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ourceCode\GitHub\TornilloCrazy\LPrecio\Listas Aceptables\"/>
    </mc:Choice>
  </mc:AlternateContent>
  <xr:revisionPtr revIDLastSave="0" documentId="13_ncr:1_{97DC24B4-6D5C-43C8-9BDE-5D504FB69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il Lista de precios" sheetId="1" r:id="rId1"/>
    <sheet name="Precios" sheetId="3" state="hidden" r:id="rId2"/>
    <sheet name="Relacion codigos" sheetId="2" state="hidden" r:id="rId3"/>
  </sheets>
  <definedNames>
    <definedName name="_xlnm._FilterDatabase" localSheetId="0" hidden="1">'Perfil Lista de precios'!$A$5:$D$5</definedName>
    <definedName name="_xlnm.Print_Area" localSheetId="0">'Perfil Lista de precios'!$A$1:$I$4677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71" i="1" l="1"/>
  <c r="I4671" i="1" s="1"/>
  <c r="F2151" i="1"/>
  <c r="F2139" i="1"/>
  <c r="F2127" i="1"/>
  <c r="F2115" i="1"/>
  <c r="F2103" i="1"/>
  <c r="F2091" i="1"/>
  <c r="F2079" i="1"/>
  <c r="F2067" i="1"/>
  <c r="F2055" i="1"/>
  <c r="F2043" i="1"/>
  <c r="F2031" i="1"/>
  <c r="F2019" i="1"/>
  <c r="F2007" i="1"/>
  <c r="F1995" i="1"/>
  <c r="F1983" i="1"/>
  <c r="F1971" i="1"/>
  <c r="F1959" i="1"/>
  <c r="F1947" i="1"/>
  <c r="F1935" i="1"/>
  <c r="F1923" i="1"/>
  <c r="F1911" i="1"/>
  <c r="F1899" i="1"/>
  <c r="F1887" i="1"/>
  <c r="F1875" i="1"/>
  <c r="F1863" i="1"/>
  <c r="F1851" i="1"/>
  <c r="F1839" i="1"/>
  <c r="F1827" i="1"/>
  <c r="F1815" i="1"/>
  <c r="F1803" i="1"/>
  <c r="F1791" i="1"/>
  <c r="F1779" i="1"/>
  <c r="F1767" i="1"/>
  <c r="F1755" i="1"/>
  <c r="F1743" i="1"/>
  <c r="F1731" i="1"/>
  <c r="F1719" i="1"/>
  <c r="F1707" i="1"/>
  <c r="F1695" i="1"/>
  <c r="F1683" i="1"/>
  <c r="F1671" i="1"/>
  <c r="F1659" i="1"/>
  <c r="F1647" i="1"/>
  <c r="F1635" i="1"/>
  <c r="F1623" i="1"/>
  <c r="F1611" i="1"/>
  <c r="F1599" i="1"/>
  <c r="F1587" i="1"/>
  <c r="F1575" i="1"/>
  <c r="F1563" i="1"/>
  <c r="F1551" i="1"/>
  <c r="F1539" i="1"/>
  <c r="F1527" i="1"/>
  <c r="F1515" i="1"/>
  <c r="F1503" i="1"/>
  <c r="F1491" i="1"/>
  <c r="F1479" i="1"/>
  <c r="F1467" i="1"/>
  <c r="F1455" i="1"/>
  <c r="F1443" i="1"/>
  <c r="F1431" i="1"/>
  <c r="F1419" i="1"/>
  <c r="F1407" i="1"/>
  <c r="F1395" i="1"/>
  <c r="F1383" i="1"/>
  <c r="F1371" i="1"/>
  <c r="F1359" i="1"/>
  <c r="F1347" i="1"/>
  <c r="F1335" i="1"/>
  <c r="F1323" i="1"/>
  <c r="F1311" i="1"/>
  <c r="F1299" i="1"/>
  <c r="F1287" i="1"/>
  <c r="F1275" i="1"/>
  <c r="F1263" i="1"/>
  <c r="F1251" i="1"/>
  <c r="F1239" i="1"/>
  <c r="F1227" i="1"/>
  <c r="F1215" i="1"/>
  <c r="F1203" i="1"/>
  <c r="F1191" i="1"/>
  <c r="F1179" i="1"/>
  <c r="F1167" i="1"/>
  <c r="F1155" i="1"/>
  <c r="F1143" i="1"/>
  <c r="F1131" i="1"/>
  <c r="F1119" i="1"/>
  <c r="F1107" i="1"/>
  <c r="F1095" i="1"/>
  <c r="F1083" i="1"/>
  <c r="F1071" i="1"/>
  <c r="F1059" i="1"/>
  <c r="F1047" i="1"/>
  <c r="F1035" i="1"/>
  <c r="F1023" i="1"/>
  <c r="F1011" i="1"/>
  <c r="F999" i="1"/>
  <c r="F987" i="1"/>
  <c r="F975" i="1"/>
  <c r="F963" i="1"/>
  <c r="F951" i="1"/>
  <c r="F939" i="1"/>
  <c r="F927" i="1"/>
  <c r="F915" i="1"/>
  <c r="F903" i="1"/>
  <c r="F891" i="1"/>
  <c r="F879" i="1"/>
  <c r="F867" i="1"/>
  <c r="F855" i="1"/>
  <c r="F843" i="1"/>
  <c r="F831" i="1"/>
  <c r="F819" i="1"/>
  <c r="F807" i="1"/>
  <c r="F795" i="1"/>
  <c r="F783" i="1"/>
  <c r="F771" i="1"/>
  <c r="F759" i="1"/>
  <c r="F747" i="1"/>
  <c r="F735" i="1"/>
  <c r="F723" i="1"/>
  <c r="F711" i="1"/>
  <c r="F699" i="1"/>
  <c r="F687" i="1"/>
  <c r="F675" i="1"/>
  <c r="F663" i="1"/>
  <c r="F651" i="1"/>
  <c r="F639" i="1"/>
  <c r="F627" i="1"/>
  <c r="F615" i="1"/>
  <c r="F603" i="1"/>
  <c r="F591" i="1"/>
  <c r="F579" i="1"/>
  <c r="F567" i="1"/>
  <c r="F555" i="1"/>
  <c r="F543" i="1"/>
  <c r="F531" i="1"/>
  <c r="F519" i="1"/>
  <c r="F507" i="1"/>
  <c r="F495" i="1"/>
  <c r="F483" i="1"/>
  <c r="F471" i="1"/>
  <c r="F459" i="1"/>
  <c r="F447" i="1"/>
  <c r="F435" i="1"/>
  <c r="F423" i="1"/>
  <c r="F411" i="1"/>
  <c r="F399" i="1"/>
  <c r="F387" i="1"/>
  <c r="F375" i="1"/>
  <c r="F363" i="1"/>
  <c r="F351" i="1"/>
  <c r="F339" i="1"/>
  <c r="F327" i="1"/>
  <c r="F315" i="1"/>
  <c r="F303" i="1"/>
  <c r="F291" i="1"/>
  <c r="F279" i="1"/>
  <c r="F267" i="1"/>
  <c r="F255" i="1"/>
  <c r="F243" i="1"/>
  <c r="F231" i="1"/>
  <c r="F219" i="1"/>
  <c r="F207" i="1"/>
  <c r="F195" i="1"/>
  <c r="F183" i="1"/>
  <c r="F171" i="1"/>
  <c r="F159" i="1"/>
  <c r="F147" i="1"/>
  <c r="F135" i="1"/>
  <c r="F123" i="1"/>
  <c r="F111" i="1"/>
  <c r="F99" i="1"/>
  <c r="F87" i="1"/>
  <c r="F75" i="1"/>
  <c r="F63" i="1"/>
  <c r="F51" i="1"/>
  <c r="F39" i="1"/>
  <c r="F27" i="1"/>
  <c r="F15" i="1"/>
  <c r="F4667" i="1"/>
  <c r="I4667" i="1" s="1"/>
  <c r="F4668" i="1"/>
  <c r="I4668" i="1" s="1"/>
  <c r="F4669" i="1"/>
  <c r="I4669" i="1" s="1"/>
  <c r="F4670" i="1"/>
  <c r="I4670" i="1" s="1"/>
  <c r="F4672" i="1"/>
  <c r="I4672" i="1" s="1"/>
  <c r="F4673" i="1"/>
  <c r="I4673" i="1" s="1"/>
  <c r="F4674" i="1"/>
  <c r="I4674" i="1" s="1"/>
  <c r="F4675" i="1"/>
  <c r="I4675" i="1" s="1"/>
  <c r="F4676" i="1"/>
  <c r="I4676" i="1" s="1"/>
  <c r="F4677" i="1"/>
  <c r="I4677" i="1" s="1"/>
  <c r="G2585" i="3"/>
  <c r="G1160" i="3"/>
  <c r="G3285" i="3"/>
  <c r="G1843" i="3"/>
  <c r="G1792" i="3"/>
  <c r="G1211" i="3"/>
  <c r="G1212" i="3"/>
  <c r="G1183" i="3"/>
  <c r="G2400" i="3"/>
  <c r="G2398" i="3"/>
  <c r="G2402" i="3"/>
  <c r="G343" i="3"/>
  <c r="G4554" i="3"/>
  <c r="G1736" i="3"/>
  <c r="G1763" i="3"/>
  <c r="G4649" i="3"/>
  <c r="G415" i="3"/>
  <c r="G2584" i="3"/>
  <c r="G2166" i="3"/>
  <c r="G2687" i="3"/>
  <c r="G2686" i="3"/>
  <c r="G4316" i="3"/>
  <c r="G3656" i="3"/>
  <c r="G3655" i="3"/>
  <c r="G3657" i="3"/>
  <c r="F4660" i="1"/>
  <c r="I4660" i="1" s="1"/>
  <c r="F4661" i="1"/>
  <c r="I4661" i="1" s="1"/>
  <c r="F4662" i="1"/>
  <c r="I4662" i="1" s="1"/>
  <c r="F4663" i="1"/>
  <c r="I4663" i="1" s="1"/>
  <c r="F4664" i="1"/>
  <c r="I4664" i="1" s="1"/>
  <c r="F4665" i="1"/>
  <c r="I4665" i="1" s="1"/>
  <c r="F4666" i="1"/>
  <c r="I4666" i="1" s="1"/>
  <c r="G1570" i="3"/>
  <c r="G132" i="3"/>
  <c r="G2351" i="3"/>
  <c r="G2818" i="3"/>
  <c r="G3812" i="3"/>
  <c r="G3260" i="3"/>
  <c r="G3262" i="3"/>
  <c r="F2008" i="1"/>
  <c r="F2006" i="1"/>
  <c r="F2004" i="1"/>
  <c r="F2002" i="1"/>
  <c r="F2000" i="1"/>
  <c r="F1998" i="1"/>
  <c r="F1996" i="1"/>
  <c r="F1994" i="1"/>
  <c r="F1992" i="1"/>
  <c r="F1990" i="1"/>
  <c r="F1988" i="1"/>
  <c r="F1986" i="1"/>
  <c r="F1984" i="1"/>
  <c r="F1982" i="1"/>
  <c r="F1980" i="1"/>
  <c r="F1978" i="1"/>
  <c r="F1976" i="1"/>
  <c r="F1974" i="1"/>
  <c r="F1972" i="1"/>
  <c r="F1970" i="1"/>
  <c r="F1968" i="1"/>
  <c r="F1966" i="1"/>
  <c r="F1964" i="1"/>
  <c r="F1962" i="1"/>
  <c r="F1960" i="1"/>
  <c r="F1958" i="1"/>
  <c r="F1956" i="1"/>
  <c r="F1954" i="1"/>
  <c r="F1952" i="1"/>
  <c r="F1950" i="1"/>
  <c r="F1948" i="1"/>
  <c r="F1946" i="1"/>
  <c r="F1944" i="1"/>
  <c r="F1942" i="1"/>
  <c r="F1940" i="1"/>
  <c r="F1938" i="1"/>
  <c r="F1936" i="1"/>
  <c r="F1934" i="1"/>
  <c r="F1932" i="1"/>
  <c r="F1930" i="1"/>
  <c r="F1928" i="1"/>
  <c r="F1926" i="1"/>
  <c r="F1924" i="1"/>
  <c r="F1922" i="1"/>
  <c r="F1920" i="1"/>
  <c r="F1918" i="1"/>
  <c r="F1916" i="1"/>
  <c r="F1914" i="1"/>
  <c r="F1912" i="1"/>
  <c r="F1910" i="1"/>
  <c r="F1908" i="1"/>
  <c r="F1906" i="1"/>
  <c r="F1904" i="1"/>
  <c r="F1902" i="1"/>
  <c r="F1900" i="1"/>
  <c r="F1898" i="1"/>
  <c r="F1896" i="1"/>
  <c r="F1894" i="1"/>
  <c r="F1892" i="1"/>
  <c r="F1890" i="1"/>
  <c r="F1888" i="1"/>
  <c r="F1886" i="1"/>
  <c r="F1884" i="1"/>
  <c r="F1882" i="1"/>
  <c r="F1880" i="1"/>
  <c r="F1878" i="1"/>
  <c r="F1876" i="1"/>
  <c r="F1874" i="1"/>
  <c r="F1872" i="1"/>
  <c r="F1870" i="1"/>
  <c r="F1868" i="1"/>
  <c r="F1866" i="1"/>
  <c r="F1864" i="1"/>
  <c r="F1862" i="1"/>
  <c r="F1860" i="1"/>
  <c r="F1858" i="1"/>
  <c r="F1856" i="1"/>
  <c r="F1854" i="1"/>
  <c r="F1852" i="1"/>
  <c r="F1850" i="1"/>
  <c r="F1848" i="1"/>
  <c r="F1846" i="1"/>
  <c r="F1844" i="1"/>
  <c r="F1842" i="1"/>
  <c r="F1840" i="1"/>
  <c r="F1838" i="1"/>
  <c r="F1836" i="1"/>
  <c r="F1834" i="1"/>
  <c r="F1832" i="1"/>
  <c r="F1830" i="1"/>
  <c r="F1828" i="1"/>
  <c r="F1826" i="1"/>
  <c r="F1824" i="1"/>
  <c r="F1822" i="1"/>
  <c r="F1820" i="1"/>
  <c r="F1818" i="1"/>
  <c r="F1816" i="1"/>
  <c r="F1814" i="1"/>
  <c r="F1812" i="1"/>
  <c r="F1810" i="1"/>
  <c r="F1808" i="1"/>
  <c r="F1806" i="1"/>
  <c r="F1804" i="1"/>
  <c r="F1802" i="1"/>
  <c r="F1800" i="1"/>
  <c r="F1798" i="1"/>
  <c r="F1796" i="1"/>
  <c r="F1794" i="1"/>
  <c r="F1792" i="1"/>
  <c r="F1790" i="1"/>
  <c r="F1788" i="1"/>
  <c r="F1786" i="1"/>
  <c r="F1784" i="1"/>
  <c r="F1782" i="1"/>
  <c r="F1780" i="1"/>
  <c r="F1778" i="1"/>
  <c r="F1776" i="1"/>
  <c r="F1774" i="1"/>
  <c r="F1772" i="1"/>
  <c r="F1770" i="1"/>
  <c r="F1768" i="1"/>
  <c r="F1766" i="1"/>
  <c r="F1764" i="1"/>
  <c r="F1762" i="1"/>
  <c r="F1760" i="1"/>
  <c r="F1758" i="1"/>
  <c r="F1756" i="1"/>
  <c r="F1754" i="1"/>
  <c r="F1752" i="1"/>
  <c r="F1750" i="1"/>
  <c r="F1748" i="1"/>
  <c r="F1746" i="1"/>
  <c r="F1744" i="1"/>
  <c r="F1742" i="1"/>
  <c r="F1740" i="1"/>
  <c r="F1738" i="1"/>
  <c r="F1736" i="1"/>
  <c r="F1734" i="1"/>
  <c r="F1732" i="1"/>
  <c r="F1730" i="1"/>
  <c r="F1728" i="1"/>
  <c r="F1726" i="1"/>
  <c r="F1724" i="1"/>
  <c r="F1722" i="1"/>
  <c r="F1720" i="1"/>
  <c r="F1718" i="1"/>
  <c r="F1716" i="1"/>
  <c r="F1714" i="1"/>
  <c r="F1712" i="1"/>
  <c r="F1710" i="1"/>
  <c r="F1708" i="1"/>
  <c r="F1706" i="1"/>
  <c r="F1704" i="1"/>
  <c r="F1702" i="1"/>
  <c r="F1700" i="1"/>
  <c r="F1698" i="1"/>
  <c r="F1696" i="1"/>
  <c r="F1694" i="1"/>
  <c r="F1692" i="1"/>
  <c r="F1690" i="1"/>
  <c r="F1688" i="1"/>
  <c r="F1686" i="1"/>
  <c r="F1684" i="1"/>
  <c r="F1682" i="1"/>
  <c r="F1680" i="1"/>
  <c r="F1678" i="1"/>
  <c r="F1676" i="1"/>
  <c r="F1674" i="1"/>
  <c r="F1672" i="1"/>
  <c r="F1670" i="1"/>
  <c r="F1668" i="1"/>
  <c r="F1666" i="1"/>
  <c r="F1664" i="1"/>
  <c r="F1662" i="1"/>
  <c r="F1660" i="1"/>
  <c r="F1658" i="1"/>
  <c r="F1656" i="1"/>
  <c r="F1654" i="1"/>
  <c r="F1652" i="1"/>
  <c r="F1650" i="1"/>
  <c r="F1648" i="1"/>
  <c r="F1646" i="1"/>
  <c r="F1644" i="1"/>
  <c r="F1642" i="1"/>
  <c r="F1640" i="1"/>
  <c r="F1638" i="1"/>
  <c r="F1636" i="1"/>
  <c r="F1634" i="1"/>
  <c r="F1632" i="1"/>
  <c r="F1630" i="1"/>
  <c r="F1628" i="1"/>
  <c r="F1626" i="1"/>
  <c r="F1624" i="1"/>
  <c r="F1622" i="1"/>
  <c r="F1620" i="1"/>
  <c r="F1618" i="1"/>
  <c r="F1616" i="1"/>
  <c r="F1614" i="1"/>
  <c r="F1612" i="1"/>
  <c r="F1610" i="1"/>
  <c r="F1608" i="1"/>
  <c r="F1606" i="1"/>
  <c r="F1604" i="1"/>
  <c r="F1602" i="1"/>
  <c r="F1600" i="1"/>
  <c r="F1598" i="1"/>
  <c r="F1596" i="1"/>
  <c r="F1594" i="1"/>
  <c r="F1592" i="1"/>
  <c r="F1590" i="1"/>
  <c r="F1588" i="1"/>
  <c r="F1586" i="1"/>
  <c r="F1584" i="1"/>
  <c r="F1582" i="1"/>
  <c r="F1580" i="1"/>
  <c r="F1578" i="1"/>
  <c r="F1576" i="1"/>
  <c r="F1574" i="1"/>
  <c r="F1572" i="1"/>
  <c r="F1570" i="1"/>
  <c r="F1568" i="1"/>
  <c r="F1566" i="1"/>
  <c r="F1564" i="1"/>
  <c r="F1562" i="1"/>
  <c r="F1560" i="1"/>
  <c r="F1558" i="1"/>
  <c r="F1556" i="1"/>
  <c r="F1554" i="1"/>
  <c r="F1552" i="1"/>
  <c r="F1550" i="1"/>
  <c r="F1548" i="1"/>
  <c r="F1546" i="1"/>
  <c r="F1544" i="1"/>
  <c r="F1542" i="1"/>
  <c r="F1540" i="1"/>
  <c r="F1538" i="1"/>
  <c r="F1536" i="1"/>
  <c r="F1534" i="1"/>
  <c r="F1532" i="1"/>
  <c r="F1530" i="1"/>
  <c r="F1528" i="1"/>
  <c r="F1526" i="1"/>
  <c r="F1524" i="1"/>
  <c r="F1522" i="1"/>
  <c r="F1520" i="1"/>
  <c r="F1518" i="1"/>
  <c r="F1516" i="1"/>
  <c r="F1514" i="1"/>
  <c r="F1512" i="1"/>
  <c r="F1510" i="1"/>
  <c r="F1508" i="1"/>
  <c r="F1506" i="1"/>
  <c r="F1504" i="1"/>
  <c r="F1502" i="1"/>
  <c r="F1500" i="1"/>
  <c r="F1498" i="1"/>
  <c r="F1496" i="1"/>
  <c r="F1494" i="1"/>
  <c r="F1492" i="1"/>
  <c r="F1490" i="1"/>
  <c r="F1488" i="1"/>
  <c r="F1486" i="1"/>
  <c r="F1484" i="1"/>
  <c r="F1482" i="1"/>
  <c r="F1480" i="1"/>
  <c r="F1478" i="1"/>
  <c r="F1476" i="1"/>
  <c r="F1474" i="1"/>
  <c r="F1472" i="1"/>
  <c r="F1470" i="1"/>
  <c r="F1468" i="1"/>
  <c r="F1466" i="1"/>
  <c r="F1464" i="1"/>
  <c r="F1462" i="1"/>
  <c r="F1460" i="1"/>
  <c r="F1458" i="1"/>
  <c r="F1456" i="1"/>
  <c r="F1454" i="1"/>
  <c r="F1452" i="1"/>
  <c r="F1450" i="1"/>
  <c r="F1448" i="1"/>
  <c r="F1446" i="1"/>
  <c r="F1444" i="1"/>
  <c r="F1442" i="1"/>
  <c r="F1440" i="1"/>
  <c r="F1438" i="1"/>
  <c r="F1436" i="1"/>
  <c r="F1434" i="1"/>
  <c r="F1432" i="1"/>
  <c r="F1430" i="1"/>
  <c r="F1428" i="1"/>
  <c r="F1426" i="1"/>
  <c r="F1424" i="1"/>
  <c r="F1422" i="1"/>
  <c r="F1420" i="1"/>
  <c r="F1418" i="1"/>
  <c r="F1416" i="1"/>
  <c r="F1414" i="1"/>
  <c r="F1412" i="1"/>
  <c r="F1410" i="1"/>
  <c r="F1408" i="1"/>
  <c r="F1406" i="1"/>
  <c r="F1404" i="1"/>
  <c r="F1402" i="1"/>
  <c r="F1400" i="1"/>
  <c r="F1398" i="1"/>
  <c r="F1396" i="1"/>
  <c r="F1394" i="1"/>
  <c r="F1392" i="1"/>
  <c r="F1390" i="1"/>
  <c r="F1388" i="1"/>
  <c r="F1386" i="1"/>
  <c r="F1384" i="1"/>
  <c r="F1382" i="1"/>
  <c r="F1380" i="1"/>
  <c r="F1378" i="1"/>
  <c r="F1376" i="1"/>
  <c r="F1374" i="1"/>
  <c r="F1372" i="1"/>
  <c r="F1370" i="1"/>
  <c r="F1368" i="1"/>
  <c r="F1366" i="1"/>
  <c r="F1364" i="1"/>
  <c r="F1362" i="1"/>
  <c r="F1360" i="1"/>
  <c r="F1358" i="1"/>
  <c r="F1356" i="1"/>
  <c r="F1354" i="1"/>
  <c r="F1352" i="1"/>
  <c r="F1350" i="1"/>
  <c r="F1348" i="1"/>
  <c r="F1346" i="1"/>
  <c r="F1344" i="1"/>
  <c r="F1342" i="1"/>
  <c r="F1340" i="1"/>
  <c r="F1338" i="1"/>
  <c r="F1336" i="1"/>
  <c r="F1334" i="1"/>
  <c r="F1332" i="1"/>
  <c r="F1330" i="1"/>
  <c r="F1328" i="1"/>
  <c r="F1326" i="1"/>
  <c r="F1324" i="1"/>
  <c r="F1322" i="1"/>
  <c r="F1320" i="1"/>
  <c r="F1318" i="1"/>
  <c r="F1316" i="1"/>
  <c r="F1314" i="1"/>
  <c r="F1312" i="1"/>
  <c r="F1310" i="1"/>
  <c r="F1308" i="1"/>
  <c r="F1306" i="1"/>
  <c r="F1304" i="1"/>
  <c r="F1302" i="1"/>
  <c r="F1300" i="1"/>
  <c r="F1298" i="1"/>
  <c r="F1296" i="1"/>
  <c r="F1294" i="1"/>
  <c r="F1292" i="1"/>
  <c r="F1290" i="1"/>
  <c r="F1288" i="1"/>
  <c r="F1286" i="1"/>
  <c r="F1284" i="1"/>
  <c r="F1282" i="1"/>
  <c r="F1280" i="1"/>
  <c r="F1278" i="1"/>
  <c r="F1276" i="1"/>
  <c r="F1274" i="1"/>
  <c r="F1272" i="1"/>
  <c r="F1270" i="1"/>
  <c r="F1268" i="1"/>
  <c r="F1266" i="1"/>
  <c r="F1264" i="1"/>
  <c r="F1262" i="1"/>
  <c r="F1260" i="1"/>
  <c r="F1258" i="1"/>
  <c r="F1256" i="1"/>
  <c r="F1254" i="1"/>
  <c r="F1252" i="1"/>
  <c r="F1250" i="1"/>
  <c r="F1248" i="1"/>
  <c r="F1246" i="1"/>
  <c r="F1244" i="1"/>
  <c r="F1242" i="1"/>
  <c r="F1240" i="1"/>
  <c r="F1238" i="1"/>
  <c r="F1236" i="1"/>
  <c r="F1234" i="1"/>
  <c r="F1232" i="1"/>
  <c r="F1230" i="1"/>
  <c r="F1228" i="1"/>
  <c r="F1226" i="1"/>
  <c r="F1224" i="1"/>
  <c r="F1222" i="1"/>
  <c r="F1220" i="1"/>
  <c r="F1218" i="1"/>
  <c r="F1216" i="1"/>
  <c r="F1214" i="1"/>
  <c r="F1212" i="1"/>
  <c r="F1210" i="1"/>
  <c r="F1208" i="1"/>
  <c r="F1206" i="1"/>
  <c r="F1204" i="1"/>
  <c r="F1202" i="1"/>
  <c r="F1200" i="1"/>
  <c r="F1198" i="1"/>
  <c r="F1196" i="1"/>
  <c r="F1194" i="1"/>
  <c r="F1192" i="1"/>
  <c r="F1190" i="1"/>
  <c r="F1188" i="1"/>
  <c r="F1186" i="1"/>
  <c r="F1184" i="1"/>
  <c r="F1182" i="1"/>
  <c r="F1180" i="1"/>
  <c r="F1178" i="1"/>
  <c r="F1176" i="1"/>
  <c r="F1174" i="1"/>
  <c r="F1172" i="1"/>
  <c r="F1170" i="1"/>
  <c r="F1168" i="1"/>
  <c r="F1166" i="1"/>
  <c r="F1164" i="1"/>
  <c r="F1162" i="1"/>
  <c r="F1160" i="1"/>
  <c r="F1158" i="1"/>
  <c r="F1156" i="1"/>
  <c r="F1154" i="1"/>
  <c r="F1152" i="1"/>
  <c r="F1150" i="1"/>
  <c r="F1148" i="1"/>
  <c r="F1146" i="1"/>
  <c r="F1144" i="1"/>
  <c r="F1142" i="1"/>
  <c r="F1140" i="1"/>
  <c r="F1138" i="1"/>
  <c r="F1136" i="1"/>
  <c r="F1134" i="1"/>
  <c r="F1132" i="1"/>
  <c r="F1130" i="1"/>
  <c r="F1128" i="1"/>
  <c r="F1126" i="1"/>
  <c r="F1124" i="1"/>
  <c r="F1122" i="1"/>
  <c r="F1120" i="1"/>
  <c r="F1118" i="1"/>
  <c r="F1116" i="1"/>
  <c r="F1114" i="1"/>
  <c r="F1112" i="1"/>
  <c r="F1110" i="1"/>
  <c r="F1108" i="1"/>
  <c r="F1106" i="1"/>
  <c r="F1104" i="1"/>
  <c r="F1102" i="1"/>
  <c r="F1100" i="1"/>
  <c r="F1098" i="1"/>
  <c r="F1096" i="1"/>
  <c r="F1094" i="1"/>
  <c r="F1092" i="1"/>
  <c r="F1090" i="1"/>
  <c r="F1088" i="1"/>
  <c r="F1086" i="1"/>
  <c r="F1084" i="1"/>
  <c r="F1082" i="1"/>
  <c r="F1080" i="1"/>
  <c r="F1078" i="1"/>
  <c r="F1076" i="1"/>
  <c r="F1074" i="1"/>
  <c r="F1072" i="1"/>
  <c r="F1070" i="1"/>
  <c r="F1068" i="1"/>
  <c r="F1066" i="1"/>
  <c r="F1064" i="1"/>
  <c r="F1062" i="1"/>
  <c r="F1060" i="1"/>
  <c r="F1058" i="1"/>
  <c r="F1056" i="1"/>
  <c r="F1054" i="1"/>
  <c r="F1052" i="1"/>
  <c r="F1050" i="1"/>
  <c r="F1048" i="1"/>
  <c r="F1046" i="1"/>
  <c r="F1044" i="1"/>
  <c r="F1042" i="1"/>
  <c r="F1040" i="1"/>
  <c r="F1038" i="1"/>
  <c r="F1036" i="1"/>
  <c r="F1034" i="1"/>
  <c r="F1032" i="1"/>
  <c r="F1030" i="1"/>
  <c r="F1028" i="1"/>
  <c r="F1026" i="1"/>
  <c r="F1024" i="1"/>
  <c r="F1022" i="1"/>
  <c r="F1020" i="1"/>
  <c r="F1018" i="1"/>
  <c r="F1016" i="1"/>
  <c r="F1014" i="1"/>
  <c r="F1012" i="1"/>
  <c r="F1010" i="1"/>
  <c r="F1008" i="1"/>
  <c r="F1006" i="1"/>
  <c r="F1004" i="1"/>
  <c r="F1002" i="1"/>
  <c r="F1000" i="1"/>
  <c r="F998" i="1"/>
  <c r="F996" i="1"/>
  <c r="F994" i="1"/>
  <c r="F992" i="1"/>
  <c r="F990" i="1"/>
  <c r="F988" i="1"/>
  <c r="F986" i="1"/>
  <c r="F984" i="1"/>
  <c r="F982" i="1"/>
  <c r="F980" i="1"/>
  <c r="F978" i="1"/>
  <c r="F976" i="1"/>
  <c r="F974" i="1"/>
  <c r="F972" i="1"/>
  <c r="F970" i="1"/>
  <c r="F968" i="1"/>
  <c r="F966" i="1"/>
  <c r="F964" i="1"/>
  <c r="F962" i="1"/>
  <c r="F960" i="1"/>
  <c r="F958" i="1"/>
  <c r="F956" i="1"/>
  <c r="F954" i="1"/>
  <c r="F952" i="1"/>
  <c r="F950" i="1"/>
  <c r="F948" i="1"/>
  <c r="F946" i="1"/>
  <c r="F944" i="1"/>
  <c r="F942" i="1"/>
  <c r="F940" i="1"/>
  <c r="F938" i="1"/>
  <c r="F936" i="1"/>
  <c r="F934" i="1"/>
  <c r="F932" i="1"/>
  <c r="F930" i="1"/>
  <c r="F928" i="1"/>
  <c r="F926" i="1"/>
  <c r="F924" i="1"/>
  <c r="F922" i="1"/>
  <c r="F920" i="1"/>
  <c r="F918" i="1"/>
  <c r="F916" i="1"/>
  <c r="F914" i="1"/>
  <c r="F912" i="1"/>
  <c r="F910" i="1"/>
  <c r="F908" i="1"/>
  <c r="F906" i="1"/>
  <c r="F904" i="1"/>
  <c r="F902" i="1"/>
  <c r="F900" i="1"/>
  <c r="F898" i="1"/>
  <c r="F896" i="1"/>
  <c r="F894" i="1"/>
  <c r="F892" i="1"/>
  <c r="F890" i="1"/>
  <c r="F888" i="1"/>
  <c r="F886" i="1"/>
  <c r="F884" i="1"/>
  <c r="F882" i="1"/>
  <c r="F880" i="1"/>
  <c r="F878" i="1"/>
  <c r="F876" i="1"/>
  <c r="F874" i="1"/>
  <c r="F872" i="1"/>
  <c r="F870" i="1"/>
  <c r="F868" i="1"/>
  <c r="F866" i="1"/>
  <c r="F864" i="1"/>
  <c r="F862" i="1"/>
  <c r="F860" i="1"/>
  <c r="F858" i="1"/>
  <c r="F856" i="1"/>
  <c r="F854" i="1"/>
  <c r="F852" i="1"/>
  <c r="F850" i="1"/>
  <c r="F848" i="1"/>
  <c r="F846" i="1"/>
  <c r="F844" i="1"/>
  <c r="F842" i="1"/>
  <c r="F840" i="1"/>
  <c r="F838" i="1"/>
  <c r="F836" i="1"/>
  <c r="F834" i="1"/>
  <c r="F832" i="1"/>
  <c r="F830" i="1"/>
  <c r="F828" i="1"/>
  <c r="F826" i="1"/>
  <c r="F824" i="1"/>
  <c r="F822" i="1"/>
  <c r="F820" i="1"/>
  <c r="F818" i="1"/>
  <c r="F816" i="1"/>
  <c r="F814" i="1"/>
  <c r="F812" i="1"/>
  <c r="F810" i="1"/>
  <c r="F808" i="1"/>
  <c r="F806" i="1"/>
  <c r="F804" i="1"/>
  <c r="F802" i="1"/>
  <c r="F800" i="1"/>
  <c r="F798" i="1"/>
  <c r="F796" i="1"/>
  <c r="F794" i="1"/>
  <c r="F792" i="1"/>
  <c r="F790" i="1"/>
  <c r="F788" i="1"/>
  <c r="F786" i="1"/>
  <c r="F784" i="1"/>
  <c r="F782" i="1"/>
  <c r="F780" i="1"/>
  <c r="F778" i="1"/>
  <c r="F776" i="1"/>
  <c r="F774" i="1"/>
  <c r="F772" i="1"/>
  <c r="F770" i="1"/>
  <c r="F768" i="1"/>
  <c r="F766" i="1"/>
  <c r="F764" i="1"/>
  <c r="F762" i="1"/>
  <c r="F760" i="1"/>
  <c r="F758" i="1"/>
  <c r="F756" i="1"/>
  <c r="F754" i="1"/>
  <c r="F752" i="1"/>
  <c r="F750" i="1"/>
  <c r="F748" i="1"/>
  <c r="F746" i="1"/>
  <c r="F744" i="1"/>
  <c r="F742" i="1"/>
  <c r="F740" i="1"/>
  <c r="F738" i="1"/>
  <c r="F736" i="1"/>
  <c r="F734" i="1"/>
  <c r="F732" i="1"/>
  <c r="F730" i="1"/>
  <c r="F728" i="1"/>
  <c r="F726" i="1"/>
  <c r="F724" i="1"/>
  <c r="F722" i="1"/>
  <c r="F720" i="1"/>
  <c r="F718" i="1"/>
  <c r="F716" i="1"/>
  <c r="F714" i="1"/>
  <c r="F712" i="1"/>
  <c r="F710" i="1"/>
  <c r="F708" i="1"/>
  <c r="F706" i="1"/>
  <c r="F704" i="1"/>
  <c r="F702" i="1"/>
  <c r="F700" i="1"/>
  <c r="F698" i="1"/>
  <c r="F696" i="1"/>
  <c r="F694" i="1"/>
  <c r="F692" i="1"/>
  <c r="F690" i="1"/>
  <c r="F688" i="1"/>
  <c r="F686" i="1"/>
  <c r="F684" i="1"/>
  <c r="F682" i="1"/>
  <c r="F680" i="1"/>
  <c r="F678" i="1"/>
  <c r="F676" i="1"/>
  <c r="F674" i="1"/>
  <c r="F672" i="1"/>
  <c r="F670" i="1"/>
  <c r="F668" i="1"/>
  <c r="F666" i="1"/>
  <c r="F664" i="1"/>
  <c r="F662" i="1"/>
  <c r="F660" i="1"/>
  <c r="F658" i="1"/>
  <c r="F656" i="1"/>
  <c r="F654" i="1"/>
  <c r="F652" i="1"/>
  <c r="F650" i="1"/>
  <c r="F648" i="1"/>
  <c r="F646" i="1"/>
  <c r="F644" i="1"/>
  <c r="F642" i="1"/>
  <c r="F640" i="1"/>
  <c r="F638" i="1"/>
  <c r="F636" i="1"/>
  <c r="F634" i="1"/>
  <c r="F632" i="1"/>
  <c r="F630" i="1"/>
  <c r="F628" i="1"/>
  <c r="F626" i="1"/>
  <c r="F624" i="1"/>
  <c r="F622" i="1"/>
  <c r="F620" i="1"/>
  <c r="F618" i="1"/>
  <c r="F616" i="1"/>
  <c r="F614" i="1"/>
  <c r="F612" i="1"/>
  <c r="F610" i="1"/>
  <c r="F608" i="1"/>
  <c r="F606" i="1"/>
  <c r="F604" i="1"/>
  <c r="F602" i="1"/>
  <c r="F600" i="1"/>
  <c r="F598" i="1"/>
  <c r="F596" i="1"/>
  <c r="F594" i="1"/>
  <c r="F592" i="1"/>
  <c r="F590" i="1"/>
  <c r="F588" i="1"/>
  <c r="F586" i="1"/>
  <c r="F584" i="1"/>
  <c r="F582" i="1"/>
  <c r="F580" i="1"/>
  <c r="F578" i="1"/>
  <c r="F576" i="1"/>
  <c r="F574" i="1"/>
  <c r="F572" i="1"/>
  <c r="F570" i="1"/>
  <c r="F568" i="1"/>
  <c r="F566" i="1"/>
  <c r="F564" i="1"/>
  <c r="F562" i="1"/>
  <c r="F560" i="1"/>
  <c r="F558" i="1"/>
  <c r="F556" i="1"/>
  <c r="F554" i="1"/>
  <c r="F552" i="1"/>
  <c r="F550" i="1"/>
  <c r="F548" i="1"/>
  <c r="F546" i="1"/>
  <c r="F544" i="1"/>
  <c r="F542" i="1"/>
  <c r="F540" i="1"/>
  <c r="F538" i="1"/>
  <c r="F536" i="1"/>
  <c r="F534" i="1"/>
  <c r="F532" i="1"/>
  <c r="F530" i="1"/>
  <c r="F528" i="1"/>
  <c r="F526" i="1"/>
  <c r="F524" i="1"/>
  <c r="F522" i="1"/>
  <c r="F520" i="1"/>
  <c r="F518" i="1"/>
  <c r="F516" i="1"/>
  <c r="F514" i="1"/>
  <c r="F512" i="1"/>
  <c r="F510" i="1"/>
  <c r="F508" i="1"/>
  <c r="F506" i="1"/>
  <c r="F504" i="1"/>
  <c r="F502" i="1"/>
  <c r="F500" i="1"/>
  <c r="F498" i="1"/>
  <c r="F496" i="1"/>
  <c r="F494" i="1"/>
  <c r="F492" i="1"/>
  <c r="F490" i="1"/>
  <c r="F488" i="1"/>
  <c r="F486" i="1"/>
  <c r="F484" i="1"/>
  <c r="F482" i="1"/>
  <c r="F480" i="1"/>
  <c r="F478" i="1"/>
  <c r="F476" i="1"/>
  <c r="F474" i="1"/>
  <c r="F472" i="1"/>
  <c r="F470" i="1"/>
  <c r="F468" i="1"/>
  <c r="F466" i="1"/>
  <c r="F464" i="1"/>
  <c r="F462" i="1"/>
  <c r="F460" i="1"/>
  <c r="F458" i="1"/>
  <c r="F456" i="1"/>
  <c r="F454" i="1"/>
  <c r="F452" i="1"/>
  <c r="F450" i="1"/>
  <c r="F448" i="1"/>
  <c r="F446" i="1"/>
  <c r="F444" i="1"/>
  <c r="F442" i="1"/>
  <c r="F440" i="1"/>
  <c r="F438" i="1"/>
  <c r="F436" i="1"/>
  <c r="F434" i="1"/>
  <c r="F432" i="1"/>
  <c r="F430" i="1"/>
  <c r="F428" i="1"/>
  <c r="F426" i="1"/>
  <c r="F424" i="1"/>
  <c r="F422" i="1"/>
  <c r="F420" i="1"/>
  <c r="F418" i="1"/>
  <c r="F416" i="1"/>
  <c r="F414" i="1"/>
  <c r="F412" i="1"/>
  <c r="F410" i="1"/>
  <c r="F408" i="1"/>
  <c r="F406" i="1"/>
  <c r="F404" i="1"/>
  <c r="F402" i="1"/>
  <c r="F400" i="1"/>
  <c r="F398" i="1"/>
  <c r="F396" i="1"/>
  <c r="F394" i="1"/>
  <c r="F392" i="1"/>
  <c r="F390" i="1"/>
  <c r="F388" i="1"/>
  <c r="F386" i="1"/>
  <c r="F384" i="1"/>
  <c r="F382" i="1"/>
  <c r="F380" i="1"/>
  <c r="F378" i="1"/>
  <c r="F376" i="1"/>
  <c r="F374" i="1"/>
  <c r="F372" i="1"/>
  <c r="F370" i="1"/>
  <c r="F368" i="1"/>
  <c r="F366" i="1"/>
  <c r="F364" i="1"/>
  <c r="F362" i="1"/>
  <c r="F360" i="1"/>
  <c r="F358" i="1"/>
  <c r="F356" i="1"/>
  <c r="F354" i="1"/>
  <c r="F352" i="1"/>
  <c r="F350" i="1"/>
  <c r="F348" i="1"/>
  <c r="F346" i="1"/>
  <c r="F344" i="1"/>
  <c r="F342" i="1"/>
  <c r="F340" i="1"/>
  <c r="F338" i="1"/>
  <c r="F336" i="1"/>
  <c r="F334" i="1"/>
  <c r="F332" i="1"/>
  <c r="F330" i="1"/>
  <c r="F328" i="1"/>
  <c r="F326" i="1"/>
  <c r="F324" i="1"/>
  <c r="F322" i="1"/>
  <c r="F320" i="1"/>
  <c r="F318" i="1"/>
  <c r="F316" i="1"/>
  <c r="F314" i="1"/>
  <c r="F312" i="1"/>
  <c r="F310" i="1"/>
  <c r="F308" i="1"/>
  <c r="F306" i="1"/>
  <c r="F304" i="1"/>
  <c r="F302" i="1"/>
  <c r="F300" i="1"/>
  <c r="F298" i="1"/>
  <c r="F296" i="1"/>
  <c r="F294" i="1"/>
  <c r="F292" i="1"/>
  <c r="F290" i="1"/>
  <c r="F288" i="1"/>
  <c r="F286" i="1"/>
  <c r="F284" i="1"/>
  <c r="F282" i="1"/>
  <c r="F280" i="1"/>
  <c r="F278" i="1"/>
  <c r="F276" i="1"/>
  <c r="F274" i="1"/>
  <c r="F272" i="1"/>
  <c r="F270" i="1"/>
  <c r="F268" i="1"/>
  <c r="F266" i="1"/>
  <c r="F264" i="1"/>
  <c r="F262" i="1"/>
  <c r="F260" i="1"/>
  <c r="F258" i="1"/>
  <c r="F256" i="1"/>
  <c r="F254" i="1"/>
  <c r="F252" i="1"/>
  <c r="F250" i="1"/>
  <c r="F248" i="1"/>
  <c r="F246" i="1"/>
  <c r="F244" i="1"/>
  <c r="F242" i="1"/>
  <c r="F240" i="1"/>
  <c r="F238" i="1"/>
  <c r="F236" i="1"/>
  <c r="F234" i="1"/>
  <c r="F232" i="1"/>
  <c r="F230" i="1"/>
  <c r="F228" i="1"/>
  <c r="F226" i="1"/>
  <c r="F224" i="1"/>
  <c r="F222" i="1"/>
  <c r="F220" i="1"/>
  <c r="F218" i="1"/>
  <c r="F216" i="1"/>
  <c r="F214" i="1"/>
  <c r="F212" i="1"/>
  <c r="F210" i="1"/>
  <c r="F208" i="1"/>
  <c r="F206" i="1"/>
  <c r="F204" i="1"/>
  <c r="F202" i="1"/>
  <c r="F200" i="1"/>
  <c r="F198" i="1"/>
  <c r="F196" i="1"/>
  <c r="F194" i="1"/>
  <c r="F192" i="1"/>
  <c r="F190" i="1"/>
  <c r="F188" i="1"/>
  <c r="F186" i="1"/>
  <c r="F184" i="1"/>
  <c r="F182" i="1"/>
  <c r="F180" i="1"/>
  <c r="F178" i="1"/>
  <c r="F176" i="1"/>
  <c r="F174" i="1"/>
  <c r="F172" i="1"/>
  <c r="F170" i="1"/>
  <c r="F168" i="1"/>
  <c r="F166" i="1"/>
  <c r="F164" i="1"/>
  <c r="F162" i="1"/>
  <c r="F160" i="1"/>
  <c r="F158" i="1"/>
  <c r="F156" i="1"/>
  <c r="F154" i="1"/>
  <c r="F152" i="1"/>
  <c r="F150" i="1"/>
  <c r="F148" i="1"/>
  <c r="F146" i="1"/>
  <c r="F144" i="1"/>
  <c r="F142" i="1"/>
  <c r="F140" i="1"/>
  <c r="F138" i="1"/>
  <c r="F136" i="1"/>
  <c r="F134" i="1"/>
  <c r="F132" i="1"/>
  <c r="F130" i="1"/>
  <c r="F128" i="1"/>
  <c r="F126" i="1"/>
  <c r="F124" i="1"/>
  <c r="F122" i="1"/>
  <c r="F120" i="1"/>
  <c r="F118" i="1"/>
  <c r="F116" i="1"/>
  <c r="F114" i="1"/>
  <c r="F112" i="1"/>
  <c r="F110" i="1"/>
  <c r="F108" i="1"/>
  <c r="F106" i="1"/>
  <c r="F104" i="1"/>
  <c r="F102" i="1"/>
  <c r="F100" i="1"/>
  <c r="F98" i="1"/>
  <c r="F96" i="1"/>
  <c r="F94" i="1"/>
  <c r="F92" i="1"/>
  <c r="F90" i="1"/>
  <c r="F88" i="1"/>
  <c r="F86" i="1"/>
  <c r="F84" i="1"/>
  <c r="F82" i="1"/>
  <c r="F80" i="1"/>
  <c r="F78" i="1"/>
  <c r="F76" i="1"/>
  <c r="F74" i="1"/>
  <c r="F72" i="1"/>
  <c r="F70" i="1"/>
  <c r="F68" i="1"/>
  <c r="F66" i="1"/>
  <c r="F64" i="1"/>
  <c r="F62" i="1"/>
  <c r="F60" i="1"/>
  <c r="F58" i="1"/>
  <c r="F56" i="1"/>
  <c r="F54" i="1"/>
  <c r="F52" i="1"/>
  <c r="F50" i="1"/>
  <c r="F48" i="1"/>
  <c r="F46" i="1"/>
  <c r="F44" i="1"/>
  <c r="F42" i="1"/>
  <c r="F40" i="1"/>
  <c r="F38" i="1"/>
  <c r="F36" i="1"/>
  <c r="F34" i="1"/>
  <c r="F32" i="1"/>
  <c r="F30" i="1"/>
  <c r="F28" i="1"/>
  <c r="F26" i="1"/>
  <c r="F24" i="1"/>
  <c r="F22" i="1"/>
  <c r="F20" i="1"/>
  <c r="F18" i="1"/>
  <c r="F16" i="1"/>
  <c r="F14" i="1"/>
  <c r="F12" i="1"/>
  <c r="F10" i="1"/>
  <c r="F8" i="1"/>
  <c r="F6" i="1"/>
  <c r="F7" i="1"/>
  <c r="F9" i="1"/>
  <c r="F11" i="1"/>
  <c r="F13" i="1"/>
  <c r="F17" i="1"/>
  <c r="F19" i="1"/>
  <c r="F21" i="1"/>
  <c r="F23" i="1"/>
  <c r="F25" i="1"/>
  <c r="F29" i="1"/>
  <c r="F31" i="1"/>
  <c r="F33" i="1"/>
  <c r="F35" i="1"/>
  <c r="F37" i="1"/>
  <c r="F41" i="1"/>
  <c r="F43" i="1"/>
  <c r="F45" i="1"/>
  <c r="F47" i="1"/>
  <c r="F49" i="1"/>
  <c r="F53" i="1"/>
  <c r="F55" i="1"/>
  <c r="F57" i="1"/>
  <c r="F59" i="1"/>
  <c r="F61" i="1"/>
  <c r="F65" i="1"/>
  <c r="F67" i="1"/>
  <c r="F69" i="1"/>
  <c r="F71" i="1"/>
  <c r="F73" i="1"/>
  <c r="F77" i="1"/>
  <c r="F79" i="1"/>
  <c r="F81" i="1"/>
  <c r="F83" i="1"/>
  <c r="F85" i="1"/>
  <c r="F89" i="1"/>
  <c r="F91" i="1"/>
  <c r="F93" i="1"/>
  <c r="F95" i="1"/>
  <c r="F97" i="1"/>
  <c r="F101" i="1"/>
  <c r="F103" i="1"/>
  <c r="F105" i="1"/>
  <c r="F107" i="1"/>
  <c r="F109" i="1"/>
  <c r="F113" i="1"/>
  <c r="F115" i="1"/>
  <c r="F117" i="1"/>
  <c r="F119" i="1"/>
  <c r="F121" i="1"/>
  <c r="F125" i="1"/>
  <c r="F127" i="1"/>
  <c r="F129" i="1"/>
  <c r="F131" i="1"/>
  <c r="F133" i="1"/>
  <c r="F137" i="1"/>
  <c r="F139" i="1"/>
  <c r="F141" i="1"/>
  <c r="F143" i="1"/>
  <c r="F145" i="1"/>
  <c r="F149" i="1"/>
  <c r="F151" i="1"/>
  <c r="F153" i="1"/>
  <c r="F155" i="1"/>
  <c r="F157" i="1"/>
  <c r="F161" i="1"/>
  <c r="F163" i="1"/>
  <c r="F165" i="1"/>
  <c r="F167" i="1"/>
  <c r="F169" i="1"/>
  <c r="F173" i="1"/>
  <c r="F175" i="1"/>
  <c r="F177" i="1"/>
  <c r="F179" i="1"/>
  <c r="F181" i="1"/>
  <c r="F185" i="1"/>
  <c r="F187" i="1"/>
  <c r="F189" i="1"/>
  <c r="F191" i="1"/>
  <c r="F193" i="1"/>
  <c r="F197" i="1"/>
  <c r="F199" i="1"/>
  <c r="F201" i="1"/>
  <c r="F203" i="1"/>
  <c r="F205" i="1"/>
  <c r="F209" i="1"/>
  <c r="F211" i="1"/>
  <c r="F213" i="1"/>
  <c r="F215" i="1"/>
  <c r="F217" i="1"/>
  <c r="F221" i="1"/>
  <c r="F223" i="1"/>
  <c r="F225" i="1"/>
  <c r="F227" i="1"/>
  <c r="F229" i="1"/>
  <c r="F233" i="1"/>
  <c r="F235" i="1"/>
  <c r="F237" i="1"/>
  <c r="F239" i="1"/>
  <c r="F241" i="1"/>
  <c r="F245" i="1"/>
  <c r="F247" i="1"/>
  <c r="F249" i="1"/>
  <c r="F251" i="1"/>
  <c r="F253" i="1"/>
  <c r="F257" i="1"/>
  <c r="F259" i="1"/>
  <c r="F261" i="1"/>
  <c r="F263" i="1"/>
  <c r="F265" i="1"/>
  <c r="F269" i="1"/>
  <c r="F271" i="1"/>
  <c r="F273" i="1"/>
  <c r="F275" i="1"/>
  <c r="F277" i="1"/>
  <c r="F281" i="1"/>
  <c r="F283" i="1"/>
  <c r="F285" i="1"/>
  <c r="F287" i="1"/>
  <c r="F289" i="1"/>
  <c r="F293" i="1"/>
  <c r="F295" i="1"/>
  <c r="F297" i="1"/>
  <c r="F299" i="1"/>
  <c r="F301" i="1"/>
  <c r="F305" i="1"/>
  <c r="F307" i="1"/>
  <c r="F309" i="1"/>
  <c r="F311" i="1"/>
  <c r="F313" i="1"/>
  <c r="F317" i="1"/>
  <c r="F319" i="1"/>
  <c r="F321" i="1"/>
  <c r="F323" i="1"/>
  <c r="F325" i="1"/>
  <c r="F329" i="1"/>
  <c r="F331" i="1"/>
  <c r="F333" i="1"/>
  <c r="F335" i="1"/>
  <c r="F337" i="1"/>
  <c r="F341" i="1"/>
  <c r="F343" i="1"/>
  <c r="F345" i="1"/>
  <c r="F347" i="1"/>
  <c r="F349" i="1"/>
  <c r="F353" i="1"/>
  <c r="F355" i="1"/>
  <c r="F357" i="1"/>
  <c r="F359" i="1"/>
  <c r="F361" i="1"/>
  <c r="F365" i="1"/>
  <c r="F367" i="1"/>
  <c r="F369" i="1"/>
  <c r="F371" i="1"/>
  <c r="F373" i="1"/>
  <c r="F377" i="1"/>
  <c r="F379" i="1"/>
  <c r="F381" i="1"/>
  <c r="F383" i="1"/>
  <c r="F385" i="1"/>
  <c r="F389" i="1"/>
  <c r="F391" i="1"/>
  <c r="F393" i="1"/>
  <c r="F395" i="1"/>
  <c r="F397" i="1"/>
  <c r="F401" i="1"/>
  <c r="F403" i="1"/>
  <c r="F405" i="1"/>
  <c r="F407" i="1"/>
  <c r="F409" i="1"/>
  <c r="F413" i="1"/>
  <c r="F415" i="1"/>
  <c r="F417" i="1"/>
  <c r="F419" i="1"/>
  <c r="F421" i="1"/>
  <c r="F425" i="1"/>
  <c r="F427" i="1"/>
  <c r="F429" i="1"/>
  <c r="F431" i="1"/>
  <c r="F433" i="1"/>
  <c r="F437" i="1"/>
  <c r="F439" i="1"/>
  <c r="F441" i="1"/>
  <c r="F443" i="1"/>
  <c r="F445" i="1"/>
  <c r="F449" i="1"/>
  <c r="F451" i="1"/>
  <c r="F453" i="1"/>
  <c r="F455" i="1"/>
  <c r="F457" i="1"/>
  <c r="F461" i="1"/>
  <c r="F463" i="1"/>
  <c r="F465" i="1"/>
  <c r="F467" i="1"/>
  <c r="F469" i="1"/>
  <c r="F473" i="1"/>
  <c r="F475" i="1"/>
  <c r="F477" i="1"/>
  <c r="F479" i="1"/>
  <c r="F481" i="1"/>
  <c r="F485" i="1"/>
  <c r="F487" i="1"/>
  <c r="F489" i="1"/>
  <c r="F491" i="1"/>
  <c r="F493" i="1"/>
  <c r="F497" i="1"/>
  <c r="F499" i="1"/>
  <c r="F501" i="1"/>
  <c r="F503" i="1"/>
  <c r="F505" i="1"/>
  <c r="F509" i="1"/>
  <c r="F511" i="1"/>
  <c r="F513" i="1"/>
  <c r="F515" i="1"/>
  <c r="F517" i="1"/>
  <c r="F521" i="1"/>
  <c r="F523" i="1"/>
  <c r="F525" i="1"/>
  <c r="F527" i="1"/>
  <c r="F529" i="1"/>
  <c r="F533" i="1"/>
  <c r="F535" i="1"/>
  <c r="F537" i="1"/>
  <c r="F539" i="1"/>
  <c r="F541" i="1"/>
  <c r="F545" i="1"/>
  <c r="F547" i="1"/>
  <c r="F549" i="1"/>
  <c r="F551" i="1"/>
  <c r="F553" i="1"/>
  <c r="F557" i="1"/>
  <c r="F559" i="1"/>
  <c r="F561" i="1"/>
  <c r="F563" i="1"/>
  <c r="F565" i="1"/>
  <c r="F569" i="1"/>
  <c r="F571" i="1"/>
  <c r="F573" i="1"/>
  <c r="F575" i="1"/>
  <c r="F577" i="1"/>
  <c r="F581" i="1"/>
  <c r="F583" i="1"/>
  <c r="F585" i="1"/>
  <c r="F587" i="1"/>
  <c r="F589" i="1"/>
  <c r="F593" i="1"/>
  <c r="F595" i="1"/>
  <c r="F597" i="1"/>
  <c r="F599" i="1"/>
  <c r="F601" i="1"/>
  <c r="F605" i="1"/>
  <c r="F607" i="1"/>
  <c r="F609" i="1"/>
  <c r="F611" i="1"/>
  <c r="F613" i="1"/>
  <c r="F617" i="1"/>
  <c r="F619" i="1"/>
  <c r="F621" i="1"/>
  <c r="F623" i="1"/>
  <c r="F625" i="1"/>
  <c r="F629" i="1"/>
  <c r="F631" i="1"/>
  <c r="F633" i="1"/>
  <c r="F635" i="1"/>
  <c r="F637" i="1"/>
  <c r="F641" i="1"/>
  <c r="F643" i="1"/>
  <c r="F645" i="1"/>
  <c r="F647" i="1"/>
  <c r="F649" i="1"/>
  <c r="F653" i="1"/>
  <c r="F655" i="1"/>
  <c r="F657" i="1"/>
  <c r="F659" i="1"/>
  <c r="F661" i="1"/>
  <c r="F665" i="1"/>
  <c r="F667" i="1"/>
  <c r="F669" i="1"/>
  <c r="F671" i="1"/>
  <c r="F673" i="1"/>
  <c r="F677" i="1"/>
  <c r="F679" i="1"/>
  <c r="F681" i="1"/>
  <c r="F683" i="1"/>
  <c r="F685" i="1"/>
  <c r="F689" i="1"/>
  <c r="F691" i="1"/>
  <c r="F693" i="1"/>
  <c r="F695" i="1"/>
  <c r="F697" i="1"/>
  <c r="F701" i="1"/>
  <c r="F703" i="1"/>
  <c r="F705" i="1"/>
  <c r="F707" i="1"/>
  <c r="F709" i="1"/>
  <c r="F713" i="1"/>
  <c r="F715" i="1"/>
  <c r="F717" i="1"/>
  <c r="F719" i="1"/>
  <c r="F721" i="1"/>
  <c r="F725" i="1"/>
  <c r="F727" i="1"/>
  <c r="F729" i="1"/>
  <c r="F731" i="1"/>
  <c r="F733" i="1"/>
  <c r="F737" i="1"/>
  <c r="F739" i="1"/>
  <c r="F741" i="1"/>
  <c r="F743" i="1"/>
  <c r="F745" i="1"/>
  <c r="F749" i="1"/>
  <c r="F751" i="1"/>
  <c r="F753" i="1"/>
  <c r="F755" i="1"/>
  <c r="F757" i="1"/>
  <c r="F761" i="1"/>
  <c r="F763" i="1"/>
  <c r="F765" i="1"/>
  <c r="F767" i="1"/>
  <c r="F769" i="1"/>
  <c r="F773" i="1"/>
  <c r="F775" i="1"/>
  <c r="F777" i="1"/>
  <c r="F779" i="1"/>
  <c r="F781" i="1"/>
  <c r="F785" i="1"/>
  <c r="F787" i="1"/>
  <c r="F789" i="1"/>
  <c r="F791" i="1"/>
  <c r="F793" i="1"/>
  <c r="F797" i="1"/>
  <c r="F799" i="1"/>
  <c r="F801" i="1"/>
  <c r="F803" i="1"/>
  <c r="F805" i="1"/>
  <c r="F809" i="1"/>
  <c r="F811" i="1"/>
  <c r="F813" i="1"/>
  <c r="F815" i="1"/>
  <c r="F817" i="1"/>
  <c r="F821" i="1"/>
  <c r="F823" i="1"/>
  <c r="F825" i="1"/>
  <c r="F827" i="1"/>
  <c r="F829" i="1"/>
  <c r="F833" i="1"/>
  <c r="F835" i="1"/>
  <c r="F837" i="1"/>
  <c r="F839" i="1"/>
  <c r="F841" i="1"/>
  <c r="F845" i="1"/>
  <c r="F847" i="1"/>
  <c r="F849" i="1"/>
  <c r="F851" i="1"/>
  <c r="F853" i="1"/>
  <c r="F857" i="1"/>
  <c r="F859" i="1"/>
  <c r="F861" i="1"/>
  <c r="F863" i="1"/>
  <c r="F865" i="1"/>
  <c r="F869" i="1"/>
  <c r="F871" i="1"/>
  <c r="F873" i="1"/>
  <c r="F875" i="1"/>
  <c r="F877" i="1"/>
  <c r="F881" i="1"/>
  <c r="F883" i="1"/>
  <c r="F885" i="1"/>
  <c r="F887" i="1"/>
  <c r="F889" i="1"/>
  <c r="F893" i="1"/>
  <c r="F895" i="1"/>
  <c r="F897" i="1"/>
  <c r="F899" i="1"/>
  <c r="F901" i="1"/>
  <c r="F905" i="1"/>
  <c r="F907" i="1"/>
  <c r="F909" i="1"/>
  <c r="F911" i="1"/>
  <c r="F913" i="1"/>
  <c r="F917" i="1"/>
  <c r="F919" i="1"/>
  <c r="F921" i="1"/>
  <c r="F923" i="1"/>
  <c r="F925" i="1"/>
  <c r="F929" i="1"/>
  <c r="F931" i="1"/>
  <c r="F933" i="1"/>
  <c r="F935" i="1"/>
  <c r="F937" i="1"/>
  <c r="F941" i="1"/>
  <c r="F943" i="1"/>
  <c r="F945" i="1"/>
  <c r="F947" i="1"/>
  <c r="F949" i="1"/>
  <c r="F953" i="1"/>
  <c r="F955" i="1"/>
  <c r="F957" i="1"/>
  <c r="F959" i="1"/>
  <c r="F961" i="1"/>
  <c r="F965" i="1"/>
  <c r="F967" i="1"/>
  <c r="F969" i="1"/>
  <c r="F971" i="1"/>
  <c r="F973" i="1"/>
  <c r="F977" i="1"/>
  <c r="F979" i="1"/>
  <c r="F981" i="1"/>
  <c r="F983" i="1"/>
  <c r="F985" i="1"/>
  <c r="F989" i="1"/>
  <c r="F991" i="1"/>
  <c r="F993" i="1"/>
  <c r="F995" i="1"/>
  <c r="F997" i="1"/>
  <c r="F1001" i="1"/>
  <c r="F1003" i="1"/>
  <c r="F1005" i="1"/>
  <c r="F1007" i="1"/>
  <c r="F1009" i="1"/>
  <c r="F1013" i="1"/>
  <c r="F1015" i="1"/>
  <c r="F1017" i="1"/>
  <c r="F1019" i="1"/>
  <c r="F1021" i="1"/>
  <c r="F1025" i="1"/>
  <c r="F1027" i="1"/>
  <c r="F1029" i="1"/>
  <c r="F1031" i="1"/>
  <c r="F1033" i="1"/>
  <c r="F1037" i="1"/>
  <c r="F1039" i="1"/>
  <c r="F1041" i="1"/>
  <c r="F1043" i="1"/>
  <c r="F1045" i="1"/>
  <c r="F1049" i="1"/>
  <c r="F1051" i="1"/>
  <c r="F1053" i="1"/>
  <c r="F1055" i="1"/>
  <c r="F1057" i="1"/>
  <c r="F1061" i="1"/>
  <c r="F1063" i="1"/>
  <c r="F1065" i="1"/>
  <c r="F1067" i="1"/>
  <c r="F1069" i="1"/>
  <c r="F1073" i="1"/>
  <c r="F1075" i="1"/>
  <c r="F1077" i="1"/>
  <c r="F1079" i="1"/>
  <c r="F1081" i="1"/>
  <c r="F1085" i="1"/>
  <c r="F1087" i="1"/>
  <c r="F1089" i="1"/>
  <c r="F1091" i="1"/>
  <c r="F1093" i="1"/>
  <c r="F1097" i="1"/>
  <c r="F1099" i="1"/>
  <c r="F1101" i="1"/>
  <c r="F1103" i="1"/>
  <c r="F1105" i="1"/>
  <c r="F1109" i="1"/>
  <c r="F1111" i="1"/>
  <c r="F1113" i="1"/>
  <c r="F1115" i="1"/>
  <c r="F1117" i="1"/>
  <c r="F1121" i="1"/>
  <c r="F1123" i="1"/>
  <c r="F1125" i="1"/>
  <c r="F1127" i="1"/>
  <c r="F1129" i="1"/>
  <c r="F1133" i="1"/>
  <c r="F1135" i="1"/>
  <c r="F1137" i="1"/>
  <c r="F1139" i="1"/>
  <c r="F1141" i="1"/>
  <c r="F1145" i="1"/>
  <c r="F1147" i="1"/>
  <c r="F1149" i="1"/>
  <c r="F1151" i="1"/>
  <c r="F1153" i="1"/>
  <c r="F1157" i="1"/>
  <c r="F1159" i="1"/>
  <c r="F1161" i="1"/>
  <c r="F1163" i="1"/>
  <c r="F1165" i="1"/>
  <c r="F1169" i="1"/>
  <c r="F1171" i="1"/>
  <c r="F1173" i="1"/>
  <c r="F1175" i="1"/>
  <c r="F1177" i="1"/>
  <c r="F1181" i="1"/>
  <c r="F1183" i="1"/>
  <c r="F1185" i="1"/>
  <c r="F1187" i="1"/>
  <c r="F1189" i="1"/>
  <c r="F1193" i="1"/>
  <c r="F1195" i="1"/>
  <c r="F1197" i="1"/>
  <c r="F1199" i="1"/>
  <c r="F1201" i="1"/>
  <c r="F1205" i="1"/>
  <c r="F1207" i="1"/>
  <c r="F1209" i="1"/>
  <c r="F1211" i="1"/>
  <c r="F1213" i="1"/>
  <c r="F1217" i="1"/>
  <c r="F1219" i="1"/>
  <c r="F1221" i="1"/>
  <c r="F1223" i="1"/>
  <c r="F1225" i="1"/>
  <c r="F1229" i="1"/>
  <c r="F1231" i="1"/>
  <c r="F1233" i="1"/>
  <c r="F1235" i="1"/>
  <c r="F1237" i="1"/>
  <c r="F1241" i="1"/>
  <c r="F1243" i="1"/>
  <c r="F1245" i="1"/>
  <c r="F1247" i="1"/>
  <c r="F1249" i="1"/>
  <c r="F1253" i="1"/>
  <c r="F1255" i="1"/>
  <c r="F1257" i="1"/>
  <c r="F1259" i="1"/>
  <c r="F1261" i="1"/>
  <c r="F1265" i="1"/>
  <c r="F1267" i="1"/>
  <c r="F1269" i="1"/>
  <c r="F1271" i="1"/>
  <c r="F1273" i="1"/>
  <c r="F1277" i="1"/>
  <c r="F1279" i="1"/>
  <c r="F1281" i="1"/>
  <c r="F1283" i="1"/>
  <c r="F1285" i="1"/>
  <c r="F1289" i="1"/>
  <c r="F1291" i="1"/>
  <c r="F1293" i="1"/>
  <c r="F1295" i="1"/>
  <c r="F1297" i="1"/>
  <c r="F1301" i="1"/>
  <c r="F1303" i="1"/>
  <c r="F1305" i="1"/>
  <c r="F1307" i="1"/>
  <c r="F1309" i="1"/>
  <c r="F1313" i="1"/>
  <c r="F1315" i="1"/>
  <c r="F1317" i="1"/>
  <c r="F1319" i="1"/>
  <c r="F1321" i="1"/>
  <c r="F1325" i="1"/>
  <c r="F1327" i="1"/>
  <c r="F1329" i="1"/>
  <c r="F1331" i="1"/>
  <c r="F1333" i="1"/>
  <c r="F1337" i="1"/>
  <c r="F1339" i="1"/>
  <c r="F1341" i="1"/>
  <c r="F1343" i="1"/>
  <c r="F1345" i="1"/>
  <c r="F1349" i="1"/>
  <c r="F1351" i="1"/>
  <c r="F1353" i="1"/>
  <c r="F1355" i="1"/>
  <c r="F1357" i="1"/>
  <c r="F1361" i="1"/>
  <c r="F1363" i="1"/>
  <c r="F1365" i="1"/>
  <c r="F1367" i="1"/>
  <c r="F1369" i="1"/>
  <c r="F1373" i="1"/>
  <c r="F1375" i="1"/>
  <c r="F1377" i="1"/>
  <c r="F1379" i="1"/>
  <c r="F1381" i="1"/>
  <c r="F1385" i="1"/>
  <c r="F1387" i="1"/>
  <c r="F1389" i="1"/>
  <c r="F1391" i="1"/>
  <c r="F1393" i="1"/>
  <c r="F1397" i="1"/>
  <c r="F1399" i="1"/>
  <c r="F1401" i="1"/>
  <c r="F1403" i="1"/>
  <c r="F1405" i="1"/>
  <c r="F1409" i="1"/>
  <c r="F1411" i="1"/>
  <c r="F1413" i="1"/>
  <c r="F1415" i="1"/>
  <c r="F1417" i="1"/>
  <c r="F1421" i="1"/>
  <c r="F1423" i="1"/>
  <c r="F1425" i="1"/>
  <c r="F1427" i="1"/>
  <c r="F1429" i="1"/>
  <c r="F1433" i="1"/>
  <c r="F1435" i="1"/>
  <c r="F1437" i="1"/>
  <c r="F1439" i="1"/>
  <c r="F1441" i="1"/>
  <c r="F1445" i="1"/>
  <c r="F1447" i="1"/>
  <c r="F1449" i="1"/>
  <c r="F1451" i="1"/>
  <c r="F1453" i="1"/>
  <c r="F1457" i="1"/>
  <c r="F1459" i="1"/>
  <c r="F1461" i="1"/>
  <c r="F1463" i="1"/>
  <c r="F1465" i="1"/>
  <c r="F1469" i="1"/>
  <c r="F1471" i="1"/>
  <c r="F1473" i="1"/>
  <c r="F1475" i="1"/>
  <c r="F1477" i="1"/>
  <c r="F1481" i="1"/>
  <c r="F1483" i="1"/>
  <c r="F1485" i="1"/>
  <c r="F1487" i="1"/>
  <c r="F1489" i="1"/>
  <c r="F1493" i="1"/>
  <c r="F1495" i="1"/>
  <c r="F1497" i="1"/>
  <c r="F1499" i="1"/>
  <c r="F1501" i="1"/>
  <c r="F1505" i="1"/>
  <c r="F1507" i="1"/>
  <c r="F1509" i="1"/>
  <c r="F1511" i="1"/>
  <c r="F1513" i="1"/>
  <c r="F1517" i="1"/>
  <c r="F1519" i="1"/>
  <c r="F1521" i="1"/>
  <c r="F1523" i="1"/>
  <c r="F1525" i="1"/>
  <c r="F1529" i="1"/>
  <c r="F1531" i="1"/>
  <c r="F1533" i="1"/>
  <c r="F1535" i="1"/>
  <c r="F1537" i="1"/>
  <c r="F1541" i="1"/>
  <c r="F1543" i="1"/>
  <c r="F1545" i="1"/>
  <c r="F1547" i="1"/>
  <c r="F1549" i="1"/>
  <c r="F1553" i="1"/>
  <c r="F1555" i="1"/>
  <c r="F1557" i="1"/>
  <c r="F1559" i="1"/>
  <c r="F1561" i="1"/>
  <c r="F1565" i="1"/>
  <c r="F1567" i="1"/>
  <c r="F1569" i="1"/>
  <c r="F1571" i="1"/>
  <c r="F1573" i="1"/>
  <c r="F1577" i="1"/>
  <c r="F1579" i="1"/>
  <c r="F1581" i="1"/>
  <c r="F1583" i="1"/>
  <c r="F1585" i="1"/>
  <c r="F1589" i="1"/>
  <c r="F1591" i="1"/>
  <c r="F1593" i="1"/>
  <c r="F1595" i="1"/>
  <c r="F1597" i="1"/>
  <c r="F1601" i="1"/>
  <c r="F1603" i="1"/>
  <c r="F1605" i="1"/>
  <c r="F1607" i="1"/>
  <c r="F1609" i="1"/>
  <c r="F1613" i="1"/>
  <c r="F1615" i="1"/>
  <c r="F1617" i="1"/>
  <c r="F1619" i="1"/>
  <c r="F1621" i="1"/>
  <c r="F1625" i="1"/>
  <c r="F1627" i="1"/>
  <c r="F1629" i="1"/>
  <c r="F1631" i="1"/>
  <c r="F1633" i="1"/>
  <c r="F1637" i="1"/>
  <c r="F1639" i="1"/>
  <c r="F1641" i="1"/>
  <c r="F1643" i="1"/>
  <c r="F1645" i="1"/>
  <c r="F1649" i="1"/>
  <c r="F1651" i="1"/>
  <c r="F1653" i="1"/>
  <c r="F1655" i="1"/>
  <c r="F1657" i="1"/>
  <c r="F1661" i="1"/>
  <c r="F1663" i="1"/>
  <c r="F1665" i="1"/>
  <c r="F1667" i="1"/>
  <c r="F1669" i="1"/>
  <c r="F1673" i="1"/>
  <c r="F1675" i="1"/>
  <c r="F1677" i="1"/>
  <c r="F1679" i="1"/>
  <c r="F1681" i="1"/>
  <c r="F1685" i="1"/>
  <c r="F1687" i="1"/>
  <c r="F1689" i="1"/>
  <c r="F1691" i="1"/>
  <c r="F1693" i="1"/>
  <c r="F1697" i="1"/>
  <c r="F1699" i="1"/>
  <c r="F1701" i="1"/>
  <c r="F1703" i="1"/>
  <c r="F1705" i="1"/>
  <c r="F1709" i="1"/>
  <c r="F1711" i="1"/>
  <c r="F1713" i="1"/>
  <c r="F1715" i="1"/>
  <c r="F1717" i="1"/>
  <c r="F1721" i="1"/>
  <c r="F1723" i="1"/>
  <c r="F1725" i="1"/>
  <c r="F1727" i="1"/>
  <c r="F1729" i="1"/>
  <c r="F1733" i="1"/>
  <c r="F1735" i="1"/>
  <c r="F1737" i="1"/>
  <c r="F1739" i="1"/>
  <c r="F1741" i="1"/>
  <c r="F1745" i="1"/>
  <c r="F1747" i="1"/>
  <c r="F1749" i="1"/>
  <c r="F1751" i="1"/>
  <c r="F1753" i="1"/>
  <c r="F1757" i="1"/>
  <c r="F1759" i="1"/>
  <c r="F1761" i="1"/>
  <c r="F1763" i="1"/>
  <c r="F1765" i="1"/>
  <c r="F1769" i="1"/>
  <c r="F1771" i="1"/>
  <c r="F1773" i="1"/>
  <c r="F1775" i="1"/>
  <c r="F1777" i="1"/>
  <c r="F1781" i="1"/>
  <c r="F1783" i="1"/>
  <c r="F1785" i="1"/>
  <c r="F1787" i="1"/>
  <c r="F1789" i="1"/>
  <c r="F1793" i="1"/>
  <c r="F1795" i="1"/>
  <c r="F1797" i="1"/>
  <c r="F1799" i="1"/>
  <c r="F1801" i="1"/>
  <c r="F1805" i="1"/>
  <c r="F1807" i="1"/>
  <c r="F1809" i="1"/>
  <c r="F1811" i="1"/>
  <c r="F1813" i="1"/>
  <c r="F1817" i="1"/>
  <c r="F1819" i="1"/>
  <c r="F1821" i="1"/>
  <c r="F1823" i="1"/>
  <c r="F1825" i="1"/>
  <c r="F1829" i="1"/>
  <c r="F1831" i="1"/>
  <c r="F1833" i="1"/>
  <c r="F1835" i="1"/>
  <c r="F1837" i="1"/>
  <c r="F1841" i="1"/>
  <c r="F1843" i="1"/>
  <c r="F1845" i="1"/>
  <c r="F1847" i="1"/>
  <c r="F1849" i="1"/>
  <c r="F1853" i="1"/>
  <c r="F1855" i="1"/>
  <c r="F1857" i="1"/>
  <c r="F1859" i="1"/>
  <c r="F1861" i="1"/>
  <c r="F1865" i="1"/>
  <c r="F1867" i="1"/>
  <c r="F1869" i="1"/>
  <c r="F1871" i="1"/>
  <c r="F1873" i="1"/>
  <c r="F1877" i="1"/>
  <c r="F1879" i="1"/>
  <c r="F1881" i="1"/>
  <c r="F1883" i="1"/>
  <c r="F1885" i="1"/>
  <c r="F1889" i="1"/>
  <c r="F1891" i="1"/>
  <c r="F1893" i="1"/>
  <c r="F1895" i="1"/>
  <c r="F1897" i="1"/>
  <c r="F1901" i="1"/>
  <c r="F1903" i="1"/>
  <c r="F1905" i="1"/>
  <c r="F1907" i="1"/>
  <c r="F1909" i="1"/>
  <c r="F1913" i="1"/>
  <c r="F1915" i="1"/>
  <c r="F1917" i="1"/>
  <c r="F1919" i="1"/>
  <c r="F1921" i="1"/>
  <c r="F1925" i="1"/>
  <c r="F1927" i="1"/>
  <c r="F1929" i="1"/>
  <c r="F1931" i="1"/>
  <c r="F1933" i="1"/>
  <c r="F1937" i="1"/>
  <c r="F1939" i="1"/>
  <c r="F1941" i="1"/>
  <c r="F1943" i="1"/>
  <c r="F1945" i="1"/>
  <c r="F1949" i="1"/>
  <c r="F1951" i="1"/>
  <c r="F1953" i="1"/>
  <c r="F1955" i="1"/>
  <c r="F1957" i="1"/>
  <c r="F1961" i="1"/>
  <c r="F1963" i="1"/>
  <c r="F1965" i="1"/>
  <c r="F1967" i="1"/>
  <c r="F1969" i="1"/>
  <c r="F1973" i="1"/>
  <c r="F1975" i="1"/>
  <c r="F1977" i="1"/>
  <c r="F1979" i="1"/>
  <c r="F1981" i="1"/>
  <c r="F1985" i="1"/>
  <c r="F1987" i="1"/>
  <c r="F1989" i="1"/>
  <c r="F1991" i="1"/>
  <c r="F1993" i="1"/>
  <c r="F1997" i="1"/>
  <c r="F1999" i="1"/>
  <c r="F2001" i="1"/>
  <c r="F2003" i="1"/>
  <c r="F2005" i="1"/>
  <c r="F2009" i="1"/>
  <c r="F2010" i="1"/>
  <c r="F2011" i="1"/>
  <c r="F2012" i="1"/>
  <c r="F2013" i="1"/>
  <c r="F2014" i="1"/>
  <c r="F2015" i="1"/>
  <c r="F2016" i="1"/>
  <c r="F2017" i="1"/>
  <c r="F2018" i="1"/>
  <c r="F2020" i="1"/>
  <c r="F2021" i="1"/>
  <c r="F2022" i="1"/>
  <c r="F2023" i="1"/>
  <c r="F2024" i="1"/>
  <c r="F2025" i="1"/>
  <c r="F2026" i="1"/>
  <c r="F2027" i="1"/>
  <c r="F2028" i="1"/>
  <c r="F2029" i="1"/>
  <c r="F2030" i="1"/>
  <c r="F2032" i="1"/>
  <c r="F2033" i="1"/>
  <c r="F2034" i="1"/>
  <c r="F2035" i="1"/>
  <c r="F2036" i="1"/>
  <c r="F2037" i="1"/>
  <c r="F2038" i="1"/>
  <c r="F2039" i="1"/>
  <c r="F2040" i="1"/>
  <c r="F2041" i="1"/>
  <c r="F2042" i="1"/>
  <c r="F2044" i="1"/>
  <c r="F2045" i="1"/>
  <c r="F2046" i="1"/>
  <c r="F2047" i="1"/>
  <c r="F2048" i="1"/>
  <c r="F2049" i="1"/>
  <c r="F2050" i="1"/>
  <c r="F2051" i="1"/>
  <c r="F2052" i="1"/>
  <c r="F2053" i="1"/>
  <c r="F2054" i="1"/>
  <c r="F2056" i="1"/>
  <c r="F2057" i="1"/>
  <c r="F2058" i="1"/>
  <c r="F2059" i="1"/>
  <c r="F2060" i="1"/>
  <c r="F2061" i="1"/>
  <c r="F2062" i="1"/>
  <c r="F2063" i="1"/>
  <c r="F2064" i="1"/>
  <c r="F2065" i="1"/>
  <c r="F2066" i="1"/>
  <c r="F2068" i="1"/>
  <c r="F2069" i="1"/>
  <c r="F2070" i="1"/>
  <c r="F2071" i="1"/>
  <c r="F2072" i="1"/>
  <c r="F2073" i="1"/>
  <c r="F2074" i="1"/>
  <c r="F2075" i="1"/>
  <c r="F2076" i="1"/>
  <c r="F2077" i="1"/>
  <c r="F2078" i="1"/>
  <c r="F2080" i="1"/>
  <c r="F2081" i="1"/>
  <c r="F2082" i="1"/>
  <c r="F2083" i="1"/>
  <c r="F2084" i="1"/>
  <c r="F2085" i="1"/>
  <c r="F2086" i="1"/>
  <c r="F2087" i="1"/>
  <c r="F2088" i="1"/>
  <c r="F2089" i="1"/>
  <c r="F2090" i="1"/>
  <c r="F2092" i="1"/>
  <c r="F2093" i="1"/>
  <c r="F2094" i="1"/>
  <c r="F2095" i="1"/>
  <c r="F2096" i="1"/>
  <c r="F2097" i="1"/>
  <c r="F2098" i="1"/>
  <c r="F2099" i="1"/>
  <c r="F2100" i="1"/>
  <c r="F2101" i="1"/>
  <c r="F2102" i="1"/>
  <c r="F2104" i="1"/>
  <c r="F2105" i="1"/>
  <c r="F2106" i="1"/>
  <c r="F2107" i="1"/>
  <c r="F2108" i="1"/>
  <c r="F2109" i="1"/>
  <c r="F2110" i="1"/>
  <c r="F2111" i="1"/>
  <c r="F2112" i="1"/>
  <c r="F2113" i="1"/>
  <c r="F2114" i="1"/>
  <c r="F2116" i="1"/>
  <c r="F2117" i="1"/>
  <c r="F2118" i="1"/>
  <c r="F2119" i="1"/>
  <c r="F2120" i="1"/>
  <c r="F2121" i="1"/>
  <c r="F2122" i="1"/>
  <c r="F2123" i="1"/>
  <c r="F2124" i="1"/>
  <c r="F2125" i="1"/>
  <c r="F2126" i="1"/>
  <c r="F2128" i="1"/>
  <c r="F2129" i="1"/>
  <c r="F2130" i="1"/>
  <c r="F2131" i="1"/>
  <c r="F2132" i="1"/>
  <c r="F2133" i="1"/>
  <c r="F2134" i="1"/>
  <c r="F2135" i="1"/>
  <c r="F2136" i="1"/>
  <c r="F2137" i="1"/>
  <c r="F2138" i="1"/>
  <c r="F2140" i="1"/>
  <c r="F2141" i="1"/>
  <c r="F2142" i="1"/>
  <c r="F2143" i="1"/>
  <c r="F2144" i="1"/>
  <c r="F2145" i="1"/>
  <c r="F2146" i="1"/>
  <c r="F2147" i="1"/>
  <c r="F2148" i="1"/>
  <c r="F2149" i="1"/>
  <c r="F2150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A4652" i="3" l="1"/>
  <c r="A4653" i="3"/>
  <c r="A4654" i="3"/>
  <c r="A4655" i="3"/>
  <c r="G1564" i="3"/>
  <c r="G1571" i="3"/>
  <c r="G1566" i="3"/>
  <c r="G1568" i="3"/>
  <c r="A4649" i="3"/>
  <c r="A4650" i="3"/>
  <c r="A4651" i="3"/>
  <c r="G1565" i="3"/>
  <c r="G1567" i="3"/>
  <c r="G1569" i="3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G2280" i="3"/>
  <c r="G1121" i="3"/>
  <c r="G1124" i="3"/>
  <c r="G1067" i="3"/>
  <c r="G1070" i="3"/>
  <c r="G1034" i="3"/>
  <c r="G1041" i="3"/>
  <c r="G1022" i="3"/>
  <c r="G987" i="3"/>
  <c r="G1142" i="3"/>
  <c r="G2727" i="3"/>
  <c r="G4223" i="3"/>
  <c r="G4341" i="3"/>
  <c r="G1836" i="3"/>
  <c r="G2233" i="3"/>
  <c r="G2215" i="3"/>
  <c r="G1610" i="3"/>
  <c r="G3497" i="3"/>
  <c r="G2211" i="3" l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5" i="1"/>
  <c r="I4576" i="1"/>
  <c r="I4577" i="1"/>
  <c r="I4578" i="1"/>
  <c r="I4579" i="1"/>
  <c r="I4580" i="1"/>
  <c r="I4581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1" i="1"/>
  <c r="I4632" i="1"/>
  <c r="I4633" i="1"/>
  <c r="I4634" i="1"/>
  <c r="I4635" i="1"/>
  <c r="I4636" i="1"/>
  <c r="I4637" i="1"/>
  <c r="I4639" i="1"/>
  <c r="I4640" i="1"/>
  <c r="I4641" i="1"/>
  <c r="I4642" i="1"/>
  <c r="G3503" i="3"/>
  <c r="G3505" i="3"/>
  <c r="G1292" i="3"/>
  <c r="G2116" i="3"/>
  <c r="G4534" i="3"/>
  <c r="G2103" i="3"/>
  <c r="G2105" i="3"/>
  <c r="G2106" i="3"/>
  <c r="G2107" i="3"/>
  <c r="G2109" i="3"/>
  <c r="G2110" i="3"/>
  <c r="G2111" i="3"/>
  <c r="G2112" i="3"/>
  <c r="G2113" i="3"/>
  <c r="G2364" i="3"/>
  <c r="G1519" i="3"/>
  <c r="G1520" i="3"/>
  <c r="G1515" i="3"/>
  <c r="G1516" i="3"/>
  <c r="G1518" i="3"/>
  <c r="G1517" i="3"/>
  <c r="G2104" i="3"/>
  <c r="G2108" i="3"/>
  <c r="G3430" i="3"/>
  <c r="G3432" i="3"/>
  <c r="G3734" i="3"/>
  <c r="G4153" i="3"/>
  <c r="G1169" i="3"/>
  <c r="G1521" i="3"/>
  <c r="G1522" i="3"/>
  <c r="G4155" i="3"/>
  <c r="G1783" i="3"/>
  <c r="G1784" i="3"/>
  <c r="G1785" i="3"/>
  <c r="G3802" i="3"/>
  <c r="G3804" i="3"/>
  <c r="G4467" i="3"/>
  <c r="G4468" i="3"/>
  <c r="G4469" i="3"/>
  <c r="G4470" i="3"/>
  <c r="G4472" i="3"/>
  <c r="G4471" i="3"/>
  <c r="G2100" i="3"/>
  <c r="G2095" i="3"/>
  <c r="G2097" i="3"/>
  <c r="G2098" i="3"/>
  <c r="G2099" i="3"/>
  <c r="G2096" i="3"/>
  <c r="G2101" i="3"/>
  <c r="G2102" i="3"/>
  <c r="G1170" i="3"/>
  <c r="G1171" i="3"/>
  <c r="G1172" i="3"/>
  <c r="G1822" i="3"/>
  <c r="G1823" i="3"/>
  <c r="G1824" i="3"/>
  <c r="G3583" i="3"/>
  <c r="G4466" i="3"/>
  <c r="G148" i="3"/>
  <c r="G4653" i="3"/>
  <c r="G1298" i="3"/>
  <c r="G1299" i="3"/>
  <c r="G1297" i="3"/>
  <c r="G1296" i="3"/>
  <c r="G1300" i="3"/>
  <c r="G1301" i="3"/>
  <c r="G1308" i="3"/>
  <c r="G1303" i="3"/>
  <c r="G1304" i="3"/>
  <c r="G1305" i="3"/>
  <c r="G1306" i="3"/>
  <c r="G1309" i="3"/>
  <c r="G1311" i="3"/>
  <c r="G1312" i="3"/>
  <c r="G1313" i="3"/>
  <c r="G1307" i="3"/>
  <c r="G1314" i="3"/>
  <c r="G1315" i="3"/>
  <c r="G1325" i="3"/>
  <c r="G1321" i="3"/>
  <c r="G1322" i="3"/>
  <c r="G1338" i="3"/>
  <c r="G1339" i="3"/>
  <c r="G2016" i="3"/>
  <c r="G2074" i="3"/>
  <c r="G2017" i="3"/>
  <c r="G2075" i="3"/>
  <c r="G2052" i="3"/>
  <c r="G1990" i="3"/>
  <c r="G1991" i="3"/>
  <c r="G1992" i="3"/>
  <c r="G1995" i="3"/>
  <c r="G1996" i="3"/>
  <c r="G1998" i="3"/>
  <c r="G1999" i="3"/>
  <c r="G2000" i="3"/>
  <c r="G2004" i="3"/>
  <c r="G2005" i="3"/>
  <c r="G2010" i="3"/>
  <c r="G2014" i="3"/>
  <c r="G2015" i="3"/>
  <c r="G2012" i="3"/>
  <c r="G2019" i="3"/>
  <c r="G2013" i="3"/>
  <c r="G2011" i="3"/>
  <c r="G2050" i="3"/>
  <c r="G2051" i="3"/>
  <c r="G2056" i="3"/>
  <c r="G2057" i="3"/>
  <c r="G2058" i="3"/>
  <c r="G2059" i="3"/>
  <c r="G2063" i="3"/>
  <c r="G2065" i="3"/>
  <c r="G2053" i="3"/>
  <c r="G2072" i="3"/>
  <c r="G2073" i="3"/>
  <c r="G2079" i="3"/>
  <c r="G2062" i="3"/>
  <c r="G2066" i="3"/>
  <c r="G1697" i="3"/>
  <c r="G1982" i="3"/>
  <c r="G1983" i="3"/>
  <c r="G1984" i="3"/>
  <c r="G1985" i="3"/>
  <c r="G1986" i="3"/>
  <c r="G2083" i="3"/>
  <c r="G3141" i="3"/>
  <c r="G3139" i="3"/>
  <c r="G2007" i="3"/>
  <c r="G347" i="3"/>
  <c r="G348" i="3"/>
  <c r="G4561" i="3"/>
  <c r="G4562" i="3"/>
  <c r="G4558" i="3"/>
  <c r="G4560" i="3"/>
  <c r="G1988" i="3"/>
  <c r="G2001" i="3"/>
  <c r="G3400" i="3"/>
  <c r="G3263" i="3"/>
  <c r="G3268" i="3"/>
  <c r="G3257" i="3"/>
  <c r="G3269" i="3"/>
  <c r="G3258" i="3"/>
  <c r="G416" i="3"/>
  <c r="G3264" i="3"/>
  <c r="G3265" i="3"/>
  <c r="G3266" i="3"/>
  <c r="G3267" i="3"/>
  <c r="G3275" i="3"/>
  <c r="G3434" i="3"/>
  <c r="G3435" i="3"/>
  <c r="G3436" i="3"/>
  <c r="G3437" i="3"/>
  <c r="G3438" i="3"/>
  <c r="G3439" i="3"/>
  <c r="G3441" i="3"/>
  <c r="G3442" i="3"/>
  <c r="G3444" i="3"/>
  <c r="G3445" i="3"/>
  <c r="G3443" i="3"/>
  <c r="G3447" i="3"/>
  <c r="G3446" i="3"/>
  <c r="G3449" i="3"/>
  <c r="G3448" i="3"/>
  <c r="G3450" i="3"/>
  <c r="G3451" i="3"/>
  <c r="G3453" i="3"/>
  <c r="G3452" i="3"/>
  <c r="G457" i="3"/>
  <c r="G458" i="3"/>
  <c r="G3478" i="3"/>
  <c r="G3480" i="3"/>
  <c r="G3481" i="3"/>
  <c r="G3482" i="3"/>
  <c r="G3483" i="3"/>
  <c r="G3485" i="3"/>
  <c r="G3465" i="3"/>
  <c r="G3468" i="3"/>
  <c r="G3469" i="3"/>
  <c r="G3470" i="3"/>
  <c r="G3476" i="3"/>
  <c r="G3477" i="3"/>
  <c r="G3484" i="3"/>
  <c r="G3488" i="3"/>
  <c r="G3492" i="3"/>
  <c r="G3495" i="3"/>
  <c r="G3140" i="3"/>
  <c r="G3479" i="3"/>
  <c r="G3474" i="3"/>
  <c r="G3487" i="3"/>
  <c r="G3489" i="3"/>
  <c r="G3490" i="3"/>
  <c r="G3491" i="3"/>
  <c r="G3494" i="3"/>
  <c r="G3493" i="3"/>
  <c r="G1905" i="3"/>
  <c r="G2084" i="3"/>
  <c r="G2314" i="3"/>
  <c r="G2731" i="3"/>
  <c r="G3429" i="3"/>
  <c r="G3735" i="3"/>
  <c r="G4455" i="3"/>
  <c r="G4456" i="3"/>
  <c r="G4457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4376" i="3"/>
  <c r="G4377" i="3"/>
  <c r="G4380" i="3"/>
  <c r="G4369" i="3"/>
  <c r="G4368" i="3"/>
  <c r="G4383" i="3"/>
  <c r="G4382" i="3"/>
  <c r="G4381" i="3"/>
  <c r="G4384" i="3"/>
  <c r="G4371" i="3"/>
  <c r="G4388" i="3"/>
  <c r="G4372" i="3"/>
  <c r="G4370" i="3"/>
  <c r="G4375" i="3"/>
  <c r="G4379" i="3"/>
  <c r="G4386" i="3"/>
  <c r="G4387" i="3"/>
  <c r="G4373" i="3"/>
  <c r="G2758" i="3"/>
  <c r="G2759" i="3"/>
  <c r="G2760" i="3"/>
  <c r="G2761" i="3"/>
  <c r="G2762" i="3"/>
  <c r="G2763" i="3"/>
  <c r="G2764" i="3"/>
  <c r="G2765" i="3"/>
  <c r="G2766" i="3"/>
  <c r="G2767" i="3"/>
  <c r="G2768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363" i="3"/>
  <c r="G4364" i="3"/>
  <c r="G4365" i="3"/>
  <c r="G4366" i="3"/>
  <c r="G4367" i="3"/>
  <c r="G4450" i="3"/>
  <c r="G4451" i="3"/>
  <c r="G4452" i="3"/>
  <c r="G4453" i="3"/>
  <c r="G22" i="3"/>
  <c r="G2808" i="3"/>
  <c r="G2809" i="3"/>
  <c r="G3131" i="3"/>
  <c r="G2302" i="3"/>
  <c r="G2303" i="3"/>
  <c r="G2305" i="3"/>
  <c r="G2306" i="3"/>
  <c r="G2308" i="3"/>
  <c r="G2304" i="3"/>
  <c r="G2309" i="3"/>
  <c r="G2310" i="3"/>
  <c r="G2311" i="3"/>
  <c r="G2312" i="3"/>
  <c r="G1591" i="3"/>
  <c r="G3133" i="3"/>
  <c r="G3132" i="3"/>
  <c r="G3136" i="3"/>
  <c r="G3137" i="3"/>
  <c r="G1342" i="3"/>
  <c r="G1343" i="3"/>
  <c r="G1344" i="3"/>
  <c r="G1345" i="3"/>
  <c r="G1346" i="3"/>
  <c r="G3455" i="3"/>
  <c r="G3457" i="3"/>
  <c r="G3454" i="3"/>
  <c r="G3458" i="3"/>
  <c r="G3459" i="3"/>
  <c r="G3456" i="3"/>
  <c r="G3460" i="3"/>
  <c r="G3461" i="3"/>
  <c r="G3462" i="3"/>
  <c r="G4458" i="3"/>
  <c r="G4459" i="3"/>
  <c r="G4460" i="3"/>
  <c r="G4461" i="3"/>
  <c r="G4462" i="3"/>
  <c r="G4463" i="3"/>
  <c r="G4464" i="3"/>
  <c r="G624" i="3"/>
  <c r="G626" i="3"/>
  <c r="G627" i="3"/>
  <c r="G628" i="3"/>
  <c r="G630" i="3"/>
  <c r="G631" i="3"/>
  <c r="G634" i="3"/>
  <c r="G637" i="3"/>
  <c r="G636" i="3"/>
  <c r="G641" i="3"/>
  <c r="G642" i="3"/>
  <c r="G643" i="3"/>
  <c r="G644" i="3"/>
  <c r="G646" i="3"/>
  <c r="G645" i="3"/>
  <c r="G648" i="3"/>
  <c r="G651" i="3"/>
  <c r="G653" i="3"/>
  <c r="G654" i="3"/>
  <c r="G656" i="3"/>
  <c r="G657" i="3"/>
  <c r="G659" i="3"/>
  <c r="G660" i="3"/>
  <c r="G663" i="3"/>
  <c r="G664" i="3"/>
  <c r="G665" i="3"/>
  <c r="G666" i="3"/>
  <c r="G667" i="3"/>
  <c r="G668" i="3"/>
  <c r="G670" i="3"/>
  <c r="G672" i="3"/>
  <c r="G673" i="3"/>
  <c r="G674" i="3"/>
  <c r="G675" i="3"/>
  <c r="G676" i="3"/>
  <c r="G677" i="3"/>
  <c r="G678" i="3"/>
  <c r="G679" i="3"/>
  <c r="G680" i="3"/>
  <c r="G682" i="3"/>
  <c r="G683" i="3"/>
  <c r="G684" i="3"/>
  <c r="G617" i="3"/>
  <c r="G618" i="3"/>
  <c r="G619" i="3"/>
  <c r="G620" i="3"/>
  <c r="G621" i="3"/>
  <c r="G622" i="3"/>
  <c r="G623" i="3"/>
  <c r="G615" i="3"/>
  <c r="G704" i="3"/>
  <c r="G707" i="3"/>
  <c r="G716" i="3"/>
  <c r="G714" i="3"/>
  <c r="G721" i="3"/>
  <c r="G724" i="3"/>
  <c r="G727" i="3"/>
  <c r="G730" i="3"/>
  <c r="G719" i="3"/>
  <c r="G738" i="3"/>
  <c r="G744" i="3"/>
  <c r="G701" i="3"/>
  <c r="G702" i="3"/>
  <c r="G703" i="3"/>
  <c r="G706" i="3"/>
  <c r="G708" i="3"/>
  <c r="G709" i="3"/>
  <c r="G711" i="3"/>
  <c r="G710" i="3"/>
  <c r="G712" i="3"/>
  <c r="G713" i="3"/>
  <c r="G715" i="3"/>
  <c r="G705" i="3"/>
  <c r="G718" i="3"/>
  <c r="G720" i="3"/>
  <c r="G722" i="3"/>
  <c r="G723" i="3"/>
  <c r="G725" i="3"/>
  <c r="G726" i="3"/>
  <c r="G728" i="3"/>
  <c r="G731" i="3"/>
  <c r="G732" i="3"/>
  <c r="G733" i="3"/>
  <c r="G734" i="3"/>
  <c r="G735" i="3"/>
  <c r="G736" i="3"/>
  <c r="G739" i="3"/>
  <c r="G741" i="3"/>
  <c r="G742" i="3"/>
  <c r="G743" i="3"/>
  <c r="G745" i="3"/>
  <c r="G746" i="3"/>
  <c r="G747" i="3"/>
  <c r="G762" i="3"/>
  <c r="G764" i="3"/>
  <c r="G775" i="3"/>
  <c r="G779" i="3"/>
  <c r="G765" i="3"/>
  <c r="G785" i="3"/>
  <c r="G789" i="3"/>
  <c r="G807" i="3"/>
  <c r="G793" i="3"/>
  <c r="G796" i="3"/>
  <c r="G799" i="3"/>
  <c r="G802" i="3"/>
  <c r="G830" i="3"/>
  <c r="G831" i="3"/>
  <c r="G833" i="3"/>
  <c r="G835" i="3"/>
  <c r="G836" i="3"/>
  <c r="G837" i="3"/>
  <c r="G868" i="3"/>
  <c r="G871" i="3"/>
  <c r="G875" i="3"/>
  <c r="G860" i="3"/>
  <c r="G861" i="3"/>
  <c r="G864" i="3"/>
  <c r="G896" i="3"/>
  <c r="G899" i="3"/>
  <c r="G902" i="3"/>
  <c r="G890" i="3"/>
  <c r="G906" i="3"/>
  <c r="G893" i="3"/>
  <c r="G658" i="3"/>
  <c r="G841" i="3"/>
  <c r="G756" i="3"/>
  <c r="G752" i="3"/>
  <c r="G750" i="3"/>
  <c r="G751" i="3"/>
  <c r="G755" i="3"/>
  <c r="G753" i="3"/>
  <c r="G754" i="3"/>
  <c r="G760" i="3"/>
  <c r="G767" i="3"/>
  <c r="G763" i="3"/>
  <c r="G772" i="3"/>
  <c r="G776" i="3"/>
  <c r="G780" i="3"/>
  <c r="G766" i="3"/>
  <c r="G800" i="3"/>
  <c r="G787" i="3"/>
  <c r="G790" i="3"/>
  <c r="G791" i="3"/>
  <c r="G797" i="3"/>
  <c r="G794" i="3"/>
  <c r="G811" i="3"/>
  <c r="G812" i="3"/>
  <c r="G813" i="3"/>
  <c r="G814" i="3"/>
  <c r="G819" i="3"/>
  <c r="G815" i="3"/>
  <c r="G816" i="3"/>
  <c r="G822" i="3"/>
  <c r="G825" i="3"/>
  <c r="G823" i="3"/>
  <c r="G824" i="3"/>
  <c r="G828" i="3"/>
  <c r="G840" i="3"/>
  <c r="G834" i="3"/>
  <c r="G843" i="3"/>
  <c r="G838" i="3"/>
  <c r="G845" i="3"/>
  <c r="G848" i="3"/>
  <c r="G849" i="3"/>
  <c r="G850" i="3"/>
  <c r="G851" i="3"/>
  <c r="G852" i="3"/>
  <c r="G853" i="3"/>
  <c r="G854" i="3"/>
  <c r="G857" i="3"/>
  <c r="G858" i="3"/>
  <c r="G859" i="3"/>
  <c r="G876" i="3"/>
  <c r="G865" i="3"/>
  <c r="G869" i="3"/>
  <c r="G872" i="3"/>
  <c r="G878" i="3"/>
  <c r="G862" i="3"/>
  <c r="G883" i="3"/>
  <c r="G884" i="3"/>
  <c r="G894" i="3"/>
  <c r="G887" i="3"/>
  <c r="G888" i="3"/>
  <c r="G903" i="3"/>
  <c r="G891" i="3"/>
  <c r="G907" i="3"/>
  <c r="G768" i="3"/>
  <c r="G770" i="3"/>
  <c r="G773" i="3"/>
  <c r="G777" i="3"/>
  <c r="G781" i="3"/>
  <c r="G783" i="3"/>
  <c r="G821" i="3"/>
  <c r="G801" i="3"/>
  <c r="G804" i="3"/>
  <c r="G805" i="3"/>
  <c r="G808" i="3"/>
  <c r="G809" i="3"/>
  <c r="G810" i="3"/>
  <c r="G817" i="3"/>
  <c r="G818" i="3"/>
  <c r="G820" i="3"/>
  <c r="G826" i="3"/>
  <c r="G827" i="3"/>
  <c r="G839" i="3"/>
  <c r="G842" i="3"/>
  <c r="G844" i="3"/>
  <c r="G846" i="3"/>
  <c r="G847" i="3"/>
  <c r="G866" i="3"/>
  <c r="G870" i="3"/>
  <c r="G873" i="3"/>
  <c r="G877" i="3"/>
  <c r="G879" i="3"/>
  <c r="G880" i="3"/>
  <c r="G895" i="3"/>
  <c r="G897" i="3"/>
  <c r="G900" i="3"/>
  <c r="G904" i="3"/>
  <c r="G905" i="3"/>
  <c r="G908" i="3"/>
  <c r="G910" i="3"/>
  <c r="G912" i="3"/>
  <c r="G911" i="3"/>
  <c r="G913" i="3"/>
  <c r="G914" i="3"/>
  <c r="G915" i="3"/>
  <c r="G916" i="3"/>
  <c r="G917" i="3"/>
  <c r="G803" i="3"/>
  <c r="G540" i="3"/>
  <c r="G544" i="3"/>
  <c r="G559" i="3"/>
  <c r="G555" i="3"/>
  <c r="G557" i="3"/>
  <c r="G556" i="3"/>
  <c r="G545" i="3"/>
  <c r="G546" i="3"/>
  <c r="G547" i="3"/>
  <c r="G548" i="3"/>
  <c r="G549" i="3"/>
  <c r="G608" i="3"/>
  <c r="G610" i="3"/>
  <c r="G609" i="3"/>
  <c r="G560" i="3"/>
  <c r="G542" i="3"/>
  <c r="G591" i="3"/>
  <c r="G592" i="3"/>
  <c r="G601" i="3"/>
  <c r="G602" i="3"/>
  <c r="G603" i="3"/>
  <c r="G605" i="3"/>
  <c r="G607" i="3"/>
  <c r="G611" i="3"/>
  <c r="G612" i="3"/>
  <c r="G613" i="3"/>
  <c r="G614" i="3"/>
  <c r="G699" i="3"/>
  <c r="G700" i="3"/>
  <c r="G689" i="3"/>
  <c r="G690" i="3"/>
  <c r="G691" i="3"/>
  <c r="G696" i="3"/>
  <c r="G692" i="3"/>
  <c r="G697" i="3"/>
  <c r="G693" i="3"/>
  <c r="G694" i="3"/>
  <c r="G698" i="3"/>
  <c r="G695" i="3"/>
  <c r="G918" i="3"/>
  <c r="G920" i="3"/>
  <c r="G922" i="3"/>
  <c r="G923" i="3"/>
  <c r="G924" i="3"/>
  <c r="G925" i="3"/>
  <c r="G926" i="3"/>
  <c r="G927" i="3"/>
  <c r="G929" i="3"/>
  <c r="G930" i="3"/>
  <c r="G528" i="3"/>
  <c r="G552" i="3"/>
  <c r="G553" i="3"/>
  <c r="G596" i="3"/>
  <c r="G1572" i="3"/>
  <c r="G1573" i="3"/>
  <c r="G1574" i="3"/>
  <c r="G1575" i="3"/>
  <c r="G1576" i="3"/>
  <c r="G1577" i="3"/>
  <c r="G1578" i="3"/>
  <c r="G1747" i="3"/>
  <c r="G1748" i="3"/>
  <c r="G1749" i="3"/>
  <c r="G1751" i="3"/>
  <c r="G1752" i="3"/>
  <c r="G4637" i="3"/>
  <c r="G4640" i="3"/>
  <c r="G4641" i="3"/>
  <c r="G4642" i="3"/>
  <c r="G3" i="3"/>
  <c r="G4" i="3"/>
  <c r="G5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459" i="3"/>
  <c r="G460" i="3"/>
  <c r="G461" i="3"/>
  <c r="G4592" i="3"/>
  <c r="G4593" i="3"/>
  <c r="G4594" i="3"/>
  <c r="G2298" i="3"/>
  <c r="G2300" i="3"/>
  <c r="G2301" i="3"/>
  <c r="G501" i="3"/>
  <c r="G1557" i="3"/>
  <c r="G1559" i="3"/>
  <c r="G1560" i="3"/>
  <c r="G1546" i="3"/>
  <c r="G1548" i="3"/>
  <c r="G1549" i="3"/>
  <c r="G4599" i="3"/>
  <c r="G4600" i="3"/>
  <c r="G1740" i="3"/>
  <c r="G1744" i="3"/>
  <c r="G1745" i="3"/>
  <c r="G4632" i="3"/>
  <c r="G4633" i="3"/>
  <c r="G4634" i="3"/>
  <c r="G2272" i="3"/>
  <c r="G2273" i="3"/>
  <c r="G2274" i="3"/>
  <c r="G1017" i="3"/>
  <c r="G1018" i="3"/>
  <c r="G1047" i="3"/>
  <c r="G1048" i="3"/>
  <c r="G1049" i="3"/>
  <c r="G1050" i="3"/>
  <c r="G1051" i="3"/>
  <c r="G1143" i="3"/>
  <c r="G1144" i="3"/>
  <c r="G2420" i="3"/>
  <c r="G938" i="3"/>
  <c r="G939" i="3"/>
  <c r="G4015" i="3"/>
  <c r="G1525" i="3"/>
  <c r="G1524" i="3"/>
  <c r="G1526" i="3"/>
  <c r="G1529" i="3"/>
  <c r="G1528" i="3"/>
  <c r="G1530" i="3"/>
  <c r="G1531" i="3"/>
  <c r="G1533" i="3"/>
  <c r="G1532" i="3"/>
  <c r="G1535" i="3"/>
  <c r="G1534" i="3"/>
  <c r="G1537" i="3"/>
  <c r="G1536" i="3"/>
  <c r="G1716" i="3"/>
  <c r="G1715" i="3"/>
  <c r="G1717" i="3"/>
  <c r="G1720" i="3"/>
  <c r="G1719" i="3"/>
  <c r="G1721" i="3"/>
  <c r="G1722" i="3"/>
  <c r="G1724" i="3"/>
  <c r="G1723" i="3"/>
  <c r="G1725" i="3"/>
  <c r="G1727" i="3"/>
  <c r="G1726" i="3"/>
  <c r="G4608" i="3"/>
  <c r="G4607" i="3"/>
  <c r="G4610" i="3"/>
  <c r="G4609" i="3"/>
  <c r="G4613" i="3"/>
  <c r="G4612" i="3"/>
  <c r="G4615" i="3"/>
  <c r="G4614" i="3"/>
  <c r="G4617" i="3"/>
  <c r="G4616" i="3"/>
  <c r="G4619" i="3"/>
  <c r="G4618" i="3"/>
  <c r="G4621" i="3"/>
  <c r="G4620" i="3"/>
  <c r="G2275" i="3"/>
  <c r="G2276" i="3"/>
  <c r="G2277" i="3"/>
  <c r="G2278" i="3"/>
  <c r="G2279" i="3"/>
  <c r="G2281" i="3"/>
  <c r="G2282" i="3"/>
  <c r="G2293" i="3"/>
  <c r="G2294" i="3"/>
  <c r="G2295" i="3"/>
  <c r="G2307" i="3"/>
  <c r="G3771" i="3"/>
  <c r="G147" i="3"/>
  <c r="G1163" i="3"/>
  <c r="G3743" i="3"/>
  <c r="G3744" i="3"/>
  <c r="G3745" i="3"/>
  <c r="G3747" i="3"/>
  <c r="G3746" i="3"/>
  <c r="G3748" i="3"/>
  <c r="G3752" i="3"/>
  <c r="G3750" i="3"/>
  <c r="G3751" i="3"/>
  <c r="G3754" i="3"/>
  <c r="G3756" i="3"/>
  <c r="G3757" i="3"/>
  <c r="G3758" i="3"/>
  <c r="G4465" i="3"/>
  <c r="G334" i="3"/>
  <c r="G335" i="3"/>
  <c r="G336" i="3"/>
  <c r="G337" i="3"/>
  <c r="G338" i="3"/>
  <c r="G339" i="3"/>
  <c r="G340" i="3"/>
  <c r="G341" i="3"/>
  <c r="G342" i="3"/>
  <c r="G1731" i="3"/>
  <c r="G1732" i="3"/>
  <c r="G1733" i="3"/>
  <c r="G1734" i="3"/>
  <c r="G1735" i="3"/>
  <c r="G1737" i="3"/>
  <c r="G1753" i="3"/>
  <c r="G1754" i="3"/>
  <c r="G1755" i="3"/>
  <c r="G1756" i="3"/>
  <c r="G1757" i="3"/>
  <c r="G1758" i="3"/>
  <c r="G1759" i="3"/>
  <c r="G1760" i="3"/>
  <c r="G1761" i="3"/>
  <c r="G1762" i="3"/>
  <c r="G3256" i="3"/>
  <c r="G3631" i="3"/>
  <c r="G3632" i="3"/>
  <c r="G3982" i="3"/>
  <c r="G3983" i="3"/>
  <c r="G3984" i="3"/>
  <c r="G3985" i="3"/>
  <c r="G3986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118" i="3"/>
  <c r="G4119" i="3"/>
  <c r="G4120" i="3"/>
  <c r="G4121" i="3"/>
  <c r="G4122" i="3"/>
  <c r="G4123" i="3"/>
  <c r="G4124" i="3"/>
  <c r="G4125" i="3"/>
  <c r="G4126" i="3"/>
  <c r="G4127" i="3"/>
  <c r="G4622" i="3"/>
  <c r="G4623" i="3"/>
  <c r="G4624" i="3"/>
  <c r="G4625" i="3"/>
  <c r="G4626" i="3"/>
  <c r="G4643" i="3"/>
  <c r="G4644" i="3"/>
  <c r="G4645" i="3"/>
  <c r="G4646" i="3"/>
  <c r="G4647" i="3"/>
  <c r="G4648" i="3"/>
  <c r="G1704" i="3"/>
  <c r="G2283" i="3"/>
  <c r="G2284" i="3"/>
  <c r="G2285" i="3"/>
  <c r="G2286" i="3"/>
  <c r="G1341" i="3"/>
  <c r="G3770" i="3"/>
  <c r="G3809" i="3"/>
  <c r="G2803" i="3"/>
  <c r="G2804" i="3"/>
  <c r="G2805" i="3"/>
  <c r="G2806" i="3"/>
  <c r="G2807" i="3"/>
  <c r="G3146" i="3"/>
  <c r="G3147" i="3"/>
  <c r="G3148" i="3"/>
  <c r="G4544" i="3"/>
  <c r="G4545" i="3"/>
  <c r="G4546" i="3"/>
  <c r="G4547" i="3"/>
  <c r="G4548" i="3"/>
  <c r="G4549" i="3"/>
  <c r="G4550" i="3"/>
  <c r="G4551" i="3"/>
  <c r="G4552" i="3"/>
  <c r="G4553" i="3"/>
  <c r="G4656" i="3"/>
  <c r="G4657" i="3"/>
  <c r="G4659" i="3"/>
  <c r="G4658" i="3"/>
  <c r="G568" i="3"/>
  <c r="G567" i="3"/>
  <c r="G570" i="3"/>
  <c r="G571" i="3"/>
  <c r="G576" i="3"/>
  <c r="G579" i="3"/>
  <c r="G583" i="3"/>
  <c r="G565" i="3"/>
  <c r="G566" i="3"/>
  <c r="G569" i="3"/>
  <c r="G572" i="3"/>
  <c r="G575" i="3"/>
  <c r="G578" i="3"/>
  <c r="G581" i="3"/>
  <c r="G582" i="3"/>
  <c r="G586" i="3"/>
  <c r="G31" i="3"/>
  <c r="G33" i="3"/>
  <c r="G37" i="3"/>
  <c r="G26" i="3"/>
  <c r="G126" i="3"/>
  <c r="G38" i="3"/>
  <c r="G41" i="3"/>
  <c r="G66" i="3"/>
  <c r="G69" i="3"/>
  <c r="G71" i="3"/>
  <c r="G73" i="3"/>
  <c r="G76" i="3"/>
  <c r="G52" i="3"/>
  <c r="G75" i="3"/>
  <c r="G65" i="3"/>
  <c r="G28" i="3"/>
  <c r="G29" i="3"/>
  <c r="G30" i="3"/>
  <c r="G25" i="3"/>
  <c r="G36" i="3"/>
  <c r="G40" i="3"/>
  <c r="G88" i="3"/>
  <c r="G78" i="3"/>
  <c r="G84" i="3"/>
  <c r="G80" i="3"/>
  <c r="G82" i="3"/>
  <c r="G86" i="3"/>
  <c r="G107" i="3"/>
  <c r="G97" i="3"/>
  <c r="G103" i="3"/>
  <c r="G98" i="3"/>
  <c r="G56" i="3"/>
  <c r="G101" i="3"/>
  <c r="G24" i="3"/>
  <c r="G70" i="3"/>
  <c r="G105" i="3"/>
  <c r="G108" i="3"/>
  <c r="G42" i="3"/>
  <c r="G110" i="3"/>
  <c r="G111" i="3"/>
  <c r="G112" i="3"/>
  <c r="G114" i="3"/>
  <c r="G59" i="3"/>
  <c r="G45" i="3"/>
  <c r="G44" i="3"/>
  <c r="G47" i="3"/>
  <c r="G46" i="3"/>
  <c r="G50" i="3"/>
  <c r="G48" i="3"/>
  <c r="G67" i="3"/>
  <c r="G68" i="3"/>
  <c r="G3302" i="3"/>
  <c r="G3401" i="3"/>
  <c r="G3402" i="3"/>
  <c r="G3808" i="3"/>
  <c r="G587" i="3"/>
  <c r="G588" i="3"/>
  <c r="G589" i="3"/>
  <c r="G590" i="3"/>
  <c r="G1131" i="3"/>
  <c r="G1134" i="3"/>
  <c r="G1135" i="3"/>
  <c r="G3404" i="3"/>
  <c r="G3253" i="3"/>
  <c r="G3254" i="3"/>
  <c r="G3255" i="3"/>
  <c r="G3296" i="3"/>
  <c r="G3298" i="3"/>
  <c r="G968" i="3"/>
  <c r="G971" i="3"/>
  <c r="G975" i="3"/>
  <c r="G978" i="3"/>
  <c r="G982" i="3"/>
  <c r="G2437" i="3"/>
  <c r="G966" i="3"/>
  <c r="G965" i="3"/>
  <c r="G969" i="3"/>
  <c r="G970" i="3"/>
  <c r="G973" i="3"/>
  <c r="G974" i="3"/>
  <c r="G976" i="3"/>
  <c r="G977" i="3"/>
  <c r="G980" i="3"/>
  <c r="G981" i="3"/>
  <c r="G983" i="3"/>
  <c r="G2440" i="3"/>
  <c r="G4016" i="3"/>
  <c r="G4017" i="3"/>
  <c r="G4066" i="3"/>
  <c r="G4067" i="3"/>
  <c r="G4068" i="3"/>
  <c r="G4069" i="3"/>
  <c r="G4074" i="3"/>
  <c r="G4090" i="3"/>
  <c r="G4092" i="3"/>
  <c r="G4094" i="3"/>
  <c r="G4097" i="3"/>
  <c r="G4099" i="3"/>
  <c r="G4100" i="3"/>
  <c r="G4103" i="3"/>
  <c r="G4104" i="3"/>
  <c r="G4109" i="3"/>
  <c r="G4107" i="3"/>
  <c r="G1147" i="3"/>
  <c r="G1053" i="3"/>
  <c r="G1054" i="3"/>
  <c r="G1056" i="3"/>
  <c r="G1057" i="3"/>
  <c r="G1058" i="3"/>
  <c r="G1060" i="3"/>
  <c r="G1061" i="3"/>
  <c r="G1062" i="3"/>
  <c r="G1063" i="3"/>
  <c r="G1120" i="3"/>
  <c r="G1064" i="3"/>
  <c r="G1065" i="3"/>
  <c r="G1066" i="3"/>
  <c r="G1068" i="3"/>
  <c r="G1069" i="3"/>
  <c r="G1123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2" i="3"/>
  <c r="G1103" i="3"/>
  <c r="G1104" i="3"/>
  <c r="G1105" i="3"/>
  <c r="G1106" i="3"/>
  <c r="G1107" i="3"/>
  <c r="G1101" i="3"/>
  <c r="G1110" i="3"/>
  <c r="G1111" i="3"/>
  <c r="G1112" i="3"/>
  <c r="G1113" i="3"/>
  <c r="G1114" i="3"/>
  <c r="G1116" i="3"/>
  <c r="G1117" i="3"/>
  <c r="G1118" i="3"/>
  <c r="G1119" i="3"/>
  <c r="G1122" i="3"/>
  <c r="G1125" i="3"/>
  <c r="G1126" i="3"/>
  <c r="G2813" i="3"/>
  <c r="G2814" i="3"/>
  <c r="G2815" i="3"/>
  <c r="G1223" i="3"/>
  <c r="G1224" i="3"/>
  <c r="G1225" i="3"/>
  <c r="G1226" i="3"/>
  <c r="G1227" i="3"/>
  <c r="G1228" i="3"/>
  <c r="G1229" i="3"/>
  <c r="G1219" i="3"/>
  <c r="G1220" i="3"/>
  <c r="G1222" i="3"/>
  <c r="G1221" i="3"/>
  <c r="G1189" i="3"/>
  <c r="G1193" i="3"/>
  <c r="G1197" i="3"/>
  <c r="G1202" i="3"/>
  <c r="G1207" i="3"/>
  <c r="G1181" i="3"/>
  <c r="G1190" i="3"/>
  <c r="G1194" i="3"/>
  <c r="G1199" i="3"/>
  <c r="G1203" i="3"/>
  <c r="G1208" i="3"/>
  <c r="G1180" i="3"/>
  <c r="G1186" i="3"/>
  <c r="G1198" i="3"/>
  <c r="G1206" i="3"/>
  <c r="G1178" i="3"/>
  <c r="G1184" i="3"/>
  <c r="G1192" i="3"/>
  <c r="G1196" i="3"/>
  <c r="G1201" i="3"/>
  <c r="G1205" i="3"/>
  <c r="G1210" i="3"/>
  <c r="G1213" i="3"/>
  <c r="G1216" i="3"/>
  <c r="G1215" i="3"/>
  <c r="G1218" i="3"/>
  <c r="G1217" i="3"/>
  <c r="G1233" i="3"/>
  <c r="G1511" i="3"/>
  <c r="G1512" i="3"/>
  <c r="G1513" i="3"/>
  <c r="G1539" i="3"/>
  <c r="G1730" i="3"/>
  <c r="G1728" i="3"/>
  <c r="G1729" i="3"/>
  <c r="G3293" i="3"/>
  <c r="G2820" i="3"/>
  <c r="G2819" i="3"/>
  <c r="G2821" i="3"/>
  <c r="G3668" i="3"/>
  <c r="G3664" i="3"/>
  <c r="G3665" i="3"/>
  <c r="G3666" i="3"/>
  <c r="G3667" i="3"/>
  <c r="G3669" i="3"/>
  <c r="G349" i="3"/>
  <c r="G4154" i="3"/>
  <c r="G480" i="3"/>
  <c r="G481" i="3"/>
  <c r="G482" i="3"/>
  <c r="G483" i="3"/>
  <c r="G484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463" i="3"/>
  <c r="G464" i="3"/>
  <c r="G466" i="3"/>
  <c r="G467" i="3"/>
  <c r="G469" i="3"/>
  <c r="G471" i="3"/>
  <c r="G472" i="3"/>
  <c r="G473" i="3"/>
  <c r="G474" i="3"/>
  <c r="G475" i="3"/>
  <c r="G476" i="3"/>
  <c r="G3810" i="3"/>
  <c r="G4080" i="3"/>
  <c r="G4519" i="3"/>
  <c r="G3733" i="3"/>
  <c r="G2625" i="3"/>
  <c r="G2801" i="3"/>
  <c r="G417" i="3"/>
  <c r="G418" i="3"/>
  <c r="G426" i="3"/>
  <c r="G3584" i="3"/>
  <c r="G3586" i="3"/>
  <c r="G3588" i="3"/>
  <c r="G3591" i="3"/>
  <c r="G3590" i="3"/>
  <c r="G3593" i="3"/>
  <c r="G3594" i="3"/>
  <c r="G3595" i="3"/>
  <c r="G2802" i="3"/>
  <c r="G3597" i="3"/>
  <c r="G3598" i="3"/>
  <c r="G3599" i="3"/>
  <c r="G3600" i="3"/>
  <c r="G3601" i="3"/>
  <c r="G3602" i="3"/>
  <c r="G3785" i="3"/>
  <c r="G3786" i="3"/>
  <c r="G3787" i="3"/>
  <c r="G3788" i="3"/>
  <c r="G3790" i="3"/>
  <c r="G3791" i="3"/>
  <c r="G3792" i="3"/>
  <c r="G3796" i="3"/>
  <c r="G3797" i="3"/>
  <c r="G2403" i="3"/>
  <c r="G2410" i="3"/>
  <c r="G2373" i="3"/>
  <c r="G2374" i="3"/>
  <c r="G3496" i="3"/>
  <c r="G2360" i="3"/>
  <c r="G2361" i="3"/>
  <c r="G3279" i="3"/>
  <c r="G3280" i="3"/>
  <c r="G3282" i="3"/>
  <c r="G3283" i="3"/>
  <c r="G3286" i="3"/>
  <c r="G3289" i="3"/>
  <c r="G3805" i="3"/>
  <c r="G3806" i="3"/>
  <c r="G3807" i="3"/>
  <c r="G1622" i="3"/>
  <c r="G1632" i="3"/>
  <c r="G1635" i="3"/>
  <c r="G1639" i="3"/>
  <c r="G1646" i="3"/>
  <c r="G1647" i="3"/>
  <c r="G1652" i="3"/>
  <c r="G1655" i="3"/>
  <c r="G1659" i="3"/>
  <c r="G1663" i="3"/>
  <c r="G1665" i="3"/>
  <c r="G1670" i="3"/>
  <c r="G1673" i="3"/>
  <c r="G1675" i="3"/>
  <c r="G1676" i="3"/>
  <c r="G1679" i="3"/>
  <c r="G1685" i="3"/>
  <c r="G1623" i="3"/>
  <c r="G1629" i="3"/>
  <c r="G1641" i="3"/>
  <c r="G1653" i="3"/>
  <c r="G1667" i="3"/>
  <c r="G1671" i="3"/>
  <c r="G1680" i="3"/>
  <c r="G1624" i="3"/>
  <c r="G1634" i="3"/>
  <c r="G1637" i="3"/>
  <c r="G1643" i="3"/>
  <c r="G1650" i="3"/>
  <c r="G1654" i="3"/>
  <c r="G1657" i="3"/>
  <c r="G1662" i="3"/>
  <c r="G1668" i="3"/>
  <c r="G1672" i="3"/>
  <c r="G1681" i="3"/>
  <c r="G1626" i="3"/>
  <c r="G1660" i="3"/>
  <c r="G1664" i="3"/>
  <c r="G1669" i="3"/>
  <c r="G1678" i="3"/>
  <c r="G1612" i="3"/>
  <c r="G1613" i="3"/>
  <c r="G1614" i="3"/>
  <c r="G1616" i="3"/>
  <c r="G3681" i="3"/>
  <c r="G3683" i="3"/>
  <c r="G3685" i="3"/>
  <c r="G3687" i="3"/>
  <c r="G3689" i="3"/>
  <c r="G3691" i="3"/>
  <c r="G3693" i="3"/>
  <c r="G3696" i="3"/>
  <c r="G3699" i="3"/>
  <c r="G3702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9" i="3"/>
  <c r="G3720" i="3"/>
  <c r="G3721" i="3"/>
  <c r="G3722" i="3"/>
  <c r="G421" i="3"/>
  <c r="G422" i="3"/>
  <c r="G423" i="3"/>
  <c r="G424" i="3"/>
  <c r="G425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27" i="3"/>
  <c r="G428" i="3"/>
  <c r="G429" i="3"/>
  <c r="G430" i="3"/>
  <c r="G431" i="3"/>
  <c r="G432" i="3"/>
  <c r="G433" i="3"/>
  <c r="G435" i="3"/>
  <c r="G436" i="3"/>
  <c r="G453" i="3"/>
  <c r="G454" i="3"/>
  <c r="G455" i="3"/>
  <c r="G456" i="3"/>
  <c r="G2816" i="3"/>
  <c r="G2825" i="3"/>
  <c r="G2826" i="3"/>
  <c r="G2827" i="3"/>
  <c r="G2828" i="3"/>
  <c r="G2829" i="3"/>
  <c r="G1274" i="3"/>
  <c r="G1275" i="3"/>
  <c r="G1276" i="3"/>
  <c r="G1278" i="3"/>
  <c r="G1279" i="3"/>
  <c r="G1282" i="3"/>
  <c r="G1283" i="3"/>
  <c r="G1284" i="3"/>
  <c r="G1285" i="3"/>
  <c r="G1286" i="3"/>
  <c r="G1287" i="3"/>
  <c r="G1288" i="3"/>
  <c r="G3776" i="3"/>
  <c r="G1901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3958" i="3"/>
  <c r="G4543" i="3"/>
  <c r="G2797" i="3"/>
  <c r="G2800" i="3"/>
  <c r="G2382" i="3"/>
  <c r="G2383" i="3"/>
  <c r="G2385" i="3"/>
  <c r="G2391" i="3"/>
  <c r="G2393" i="3"/>
  <c r="G2395" i="3"/>
  <c r="G2365" i="3"/>
  <c r="G2368" i="3"/>
  <c r="G2315" i="3"/>
  <c r="G2330" i="3"/>
  <c r="G2331" i="3"/>
  <c r="G2332" i="3"/>
  <c r="G2333" i="3"/>
  <c r="G2334" i="3"/>
  <c r="G2336" i="3"/>
  <c r="G2338" i="3"/>
  <c r="G2340" i="3"/>
  <c r="G2341" i="3"/>
  <c r="G2342" i="3"/>
  <c r="G2366" i="3"/>
  <c r="G2375" i="3"/>
  <c r="G2367" i="3"/>
  <c r="G2369" i="3"/>
  <c r="G2370" i="3"/>
  <c r="G2371" i="3"/>
  <c r="G2372" i="3"/>
  <c r="G2406" i="3"/>
  <c r="G2407" i="3"/>
  <c r="G3777" i="3"/>
  <c r="G3778" i="3"/>
  <c r="G3779" i="3"/>
  <c r="G3780" i="3"/>
  <c r="G386" i="3"/>
  <c r="G387" i="3"/>
  <c r="G3829" i="3"/>
  <c r="G3827" i="3"/>
  <c r="G3828" i="3"/>
  <c r="G1035" i="3"/>
  <c r="G1042" i="3"/>
  <c r="G1698" i="3"/>
  <c r="G3662" i="3"/>
  <c r="G2192" i="3"/>
  <c r="G2193" i="3"/>
  <c r="G2218" i="3"/>
  <c r="G2208" i="3"/>
  <c r="G2214" i="3"/>
  <c r="G2221" i="3"/>
  <c r="G2220" i="3"/>
  <c r="G2224" i="3"/>
  <c r="G2225" i="3"/>
  <c r="G2168" i="3"/>
  <c r="G2170" i="3"/>
  <c r="G2171" i="3"/>
  <c r="G2175" i="3"/>
  <c r="G2176" i="3"/>
  <c r="G2177" i="3"/>
  <c r="G2184" i="3"/>
  <c r="G2186" i="3"/>
  <c r="G2190" i="3"/>
  <c r="G1002" i="3"/>
  <c r="G1004" i="3"/>
  <c r="G1006" i="3"/>
  <c r="G1009" i="3"/>
  <c r="G1011" i="3"/>
  <c r="G1012" i="3"/>
  <c r="G1014" i="3"/>
  <c r="G1015" i="3"/>
  <c r="G1019" i="3"/>
  <c r="G1045" i="3"/>
  <c r="G2239" i="3"/>
  <c r="G2169" i="3"/>
  <c r="G1025" i="3"/>
  <c r="G1026" i="3"/>
  <c r="G1028" i="3"/>
  <c r="G1029" i="3"/>
  <c r="G1032" i="3"/>
  <c r="G1033" i="3"/>
  <c r="G1036" i="3"/>
  <c r="G1040" i="3"/>
  <c r="G1043" i="3"/>
  <c r="G1132" i="3"/>
  <c r="G1133" i="3"/>
  <c r="G1148" i="3"/>
  <c r="G1150" i="3"/>
  <c r="G1151" i="3"/>
  <c r="G1152" i="3"/>
  <c r="G1154" i="3"/>
  <c r="G1155" i="3"/>
  <c r="G1156" i="3"/>
  <c r="G1702" i="3"/>
  <c r="G2261" i="3"/>
  <c r="G2262" i="3"/>
  <c r="G1027" i="3"/>
  <c r="G1038" i="3"/>
  <c r="G1020" i="3"/>
  <c r="G946" i="3"/>
  <c r="G1021" i="3"/>
  <c r="G1023" i="3"/>
  <c r="G1024" i="3"/>
  <c r="G1030" i="3"/>
  <c r="G1031" i="3"/>
  <c r="G1037" i="3"/>
  <c r="G1039" i="3"/>
  <c r="G1153" i="3"/>
  <c r="G1127" i="3"/>
  <c r="G1128" i="3"/>
  <c r="G1157" i="3"/>
  <c r="G1129" i="3"/>
  <c r="G1158" i="3"/>
  <c r="G2163" i="3"/>
  <c r="G2164" i="3"/>
  <c r="G2165" i="3"/>
  <c r="G2256" i="3"/>
  <c r="G2257" i="3"/>
  <c r="G2258" i="3"/>
  <c r="G2259" i="3"/>
  <c r="G2260" i="3"/>
  <c r="G2236" i="3"/>
  <c r="G2234" i="3"/>
  <c r="G2263" i="3"/>
  <c r="G2238" i="3"/>
  <c r="G1000" i="3"/>
  <c r="G1001" i="3"/>
  <c r="G2252" i="3"/>
  <c r="G2245" i="3"/>
  <c r="G2246" i="3"/>
  <c r="G2248" i="3"/>
  <c r="G2249" i="3"/>
  <c r="G2251" i="3"/>
  <c r="G2254" i="3"/>
  <c r="G964" i="3"/>
  <c r="G2421" i="3"/>
  <c r="G1825" i="3"/>
  <c r="G1826" i="3"/>
  <c r="G1827" i="3"/>
  <c r="G3815" i="3"/>
  <c r="G3816" i="3"/>
  <c r="G1326" i="3"/>
  <c r="G1327" i="3"/>
  <c r="G1328" i="3"/>
  <c r="G1329" i="3"/>
  <c r="G1332" i="3"/>
  <c r="G1333" i="3"/>
  <c r="G1334" i="3"/>
  <c r="G1335" i="3"/>
  <c r="G1336" i="3"/>
  <c r="G1331" i="3"/>
  <c r="G503" i="3"/>
  <c r="G505" i="3"/>
  <c r="G1786" i="3"/>
  <c r="G2652" i="3"/>
  <c r="G2654" i="3"/>
  <c r="G346" i="3"/>
  <c r="G1165" i="3"/>
  <c r="G3817" i="3"/>
  <c r="G3818" i="3"/>
  <c r="G4655" i="3"/>
  <c r="G4663" i="3"/>
  <c r="G4665" i="3"/>
  <c r="G4666" i="3"/>
  <c r="G4668" i="3"/>
  <c r="G2394" i="3"/>
  <c r="G255" i="3"/>
  <c r="G1750" i="3"/>
  <c r="G2812" i="3"/>
  <c r="G2530" i="3"/>
  <c r="G2536" i="3"/>
  <c r="G4233" i="3"/>
  <c r="G4239" i="3"/>
  <c r="G4244" i="3"/>
  <c r="G4299" i="3"/>
  <c r="G4315" i="3"/>
  <c r="G4309" i="3"/>
  <c r="G4338" i="3"/>
  <c r="G3717" i="3"/>
  <c r="G3718" i="3"/>
  <c r="G4362" i="3"/>
  <c r="G541" i="3"/>
  <c r="G543" i="3"/>
  <c r="G226" i="3"/>
  <c r="G1358" i="3"/>
  <c r="G1359" i="3"/>
  <c r="G4669" i="3"/>
  <c r="G4670" i="3"/>
  <c r="G4597" i="3"/>
  <c r="G1337" i="3"/>
  <c r="G43" i="3"/>
  <c r="G53" i="3"/>
  <c r="G60" i="3"/>
  <c r="G57" i="3"/>
  <c r="G58" i="3"/>
  <c r="G55" i="3"/>
  <c r="G63" i="3"/>
  <c r="G4639" i="3"/>
  <c r="G4638" i="3"/>
  <c r="G4667" i="3"/>
  <c r="G4664" i="3"/>
  <c r="G3337" i="3"/>
  <c r="G1958" i="3"/>
  <c r="G1957" i="3"/>
  <c r="G3643" i="3"/>
  <c r="G3642" i="3"/>
  <c r="G3645" i="3"/>
  <c r="G671" i="3"/>
  <c r="G3425" i="3"/>
  <c r="G3521" i="3"/>
  <c r="G3127" i="3"/>
  <c r="G3128" i="3"/>
  <c r="G3736" i="3"/>
  <c r="G4661" i="3"/>
  <c r="G3677" i="3"/>
  <c r="G3678" i="3"/>
  <c r="G2408" i="3"/>
  <c r="G3794" i="3"/>
  <c r="G3799" i="3"/>
  <c r="G3144" i="3"/>
  <c r="G3143" i="3"/>
  <c r="G3142" i="3"/>
  <c r="G3622" i="3"/>
  <c r="G6" i="3"/>
  <c r="G477" i="3"/>
  <c r="G478" i="3"/>
  <c r="G479" i="3"/>
  <c r="G2002" i="3"/>
  <c r="G2003" i="3"/>
  <c r="G1993" i="3"/>
  <c r="G1994" i="3"/>
  <c r="G1959" i="3"/>
  <c r="G165" i="3"/>
  <c r="G164" i="3"/>
  <c r="G3646" i="3"/>
  <c r="G3644" i="3"/>
  <c r="G298" i="3"/>
  <c r="G306" i="3"/>
  <c r="G303" i="3"/>
  <c r="G183" i="3"/>
  <c r="G3753" i="3"/>
  <c r="G3755" i="3"/>
  <c r="G2287" i="3"/>
  <c r="G2290" i="3"/>
  <c r="G1317" i="3"/>
  <c r="G1318" i="3"/>
  <c r="G1319" i="3"/>
  <c r="G3273" i="3"/>
  <c r="G3274" i="3"/>
  <c r="G3276" i="3"/>
  <c r="G3270" i="3"/>
  <c r="G3271" i="3"/>
  <c r="G3261" i="3"/>
  <c r="G3220" i="3"/>
  <c r="G3224" i="3"/>
  <c r="G3222" i="3"/>
  <c r="G4651" i="3"/>
  <c r="G4652" i="3"/>
  <c r="G2409" i="3"/>
  <c r="G1340" i="3"/>
  <c r="G650" i="3"/>
  <c r="G3578" i="3"/>
  <c r="G2741" i="3"/>
  <c r="G2885" i="3"/>
  <c r="G2115" i="3"/>
  <c r="G928" i="3"/>
  <c r="G3641" i="3"/>
  <c r="G1764" i="3"/>
  <c r="G1765" i="3"/>
  <c r="G1766" i="3"/>
  <c r="G1771" i="3"/>
  <c r="G1772" i="3"/>
  <c r="G1773" i="3"/>
  <c r="G1767" i="3"/>
  <c r="G1768" i="3"/>
  <c r="G1769" i="3"/>
  <c r="G1770" i="3"/>
  <c r="G1214" i="3"/>
  <c r="G3294" i="3"/>
  <c r="G1540" i="3"/>
  <c r="G954" i="3"/>
  <c r="G4172" i="3"/>
  <c r="G2206" i="3"/>
  <c r="G949" i="3"/>
  <c r="G4265" i="3"/>
  <c r="G4284" i="3"/>
  <c r="G947" i="3"/>
  <c r="G2180" i="3"/>
  <c r="G2167" i="3"/>
  <c r="G2172" i="3"/>
  <c r="G2195" i="3"/>
  <c r="G1294" i="3"/>
  <c r="G2339" i="3"/>
  <c r="G1857" i="3"/>
  <c r="G4177" i="3"/>
  <c r="G3605" i="3"/>
  <c r="G3926" i="3"/>
  <c r="G2651" i="3"/>
  <c r="G2650" i="3"/>
  <c r="G2240" i="3"/>
  <c r="G3832" i="3"/>
  <c r="G2018" i="3"/>
  <c r="G955" i="3"/>
  <c r="G960" i="3"/>
  <c r="G958" i="3"/>
  <c r="G956" i="3"/>
  <c r="G957" i="3"/>
  <c r="G948" i="3"/>
  <c r="G950" i="3"/>
  <c r="G397" i="3"/>
  <c r="G937" i="3"/>
  <c r="G2120" i="3"/>
  <c r="G2124" i="3"/>
  <c r="G3466" i="3"/>
  <c r="G3467" i="3"/>
  <c r="G2526" i="3"/>
  <c r="G2525" i="3"/>
  <c r="G959" i="3"/>
  <c r="G961" i="3"/>
  <c r="G962" i="3"/>
  <c r="G963" i="3"/>
  <c r="G2513" i="3"/>
  <c r="G2514" i="3"/>
  <c r="G2497" i="3"/>
  <c r="G2506" i="3"/>
  <c r="G2507" i="3"/>
  <c r="G4586" i="3"/>
  <c r="G3749" i="3"/>
  <c r="G3201" i="3"/>
  <c r="G3732" i="3"/>
  <c r="G3731" i="3"/>
  <c r="G1683" i="3"/>
  <c r="G3550" i="3"/>
  <c r="G3552" i="3"/>
  <c r="G3272" i="3"/>
  <c r="G3259" i="3"/>
  <c r="G1302" i="3"/>
  <c r="G3541" i="3"/>
  <c r="G669" i="3"/>
  <c r="G4536" i="3"/>
  <c r="G4535" i="3"/>
  <c r="G1323" i="3"/>
  <c r="G1324" i="3"/>
  <c r="G1320" i="3"/>
  <c r="G740" i="3"/>
  <c r="G635" i="3"/>
  <c r="G729" i="3"/>
  <c r="G737" i="3"/>
  <c r="G2196" i="3"/>
  <c r="G2174" i="3"/>
  <c r="G2242" i="3"/>
  <c r="G2244" i="3"/>
  <c r="G2222" i="3"/>
  <c r="G2201" i="3"/>
  <c r="G2191" i="3"/>
  <c r="G2207" i="3"/>
  <c r="G2181" i="3"/>
  <c r="G652" i="3"/>
  <c r="G1115" i="3"/>
  <c r="G1139" i="3"/>
  <c r="G3297" i="3"/>
  <c r="G3300" i="3"/>
  <c r="G3301" i="3"/>
  <c r="G661" i="3"/>
  <c r="G625" i="3"/>
  <c r="G3728" i="3"/>
  <c r="G3783" i="3"/>
  <c r="G1277" i="3"/>
  <c r="G4283" i="3"/>
  <c r="G2649" i="3"/>
  <c r="G2350" i="3"/>
  <c r="G1059" i="3"/>
  <c r="G4035" i="3"/>
  <c r="G3951" i="3"/>
  <c r="G1907" i="3"/>
  <c r="G1330" i="3"/>
  <c r="G1746" i="3"/>
  <c r="G558" i="3"/>
  <c r="G782" i="3"/>
  <c r="G771" i="3"/>
  <c r="G769" i="3"/>
  <c r="G632" i="3"/>
  <c r="G638" i="3"/>
  <c r="G647" i="3"/>
  <c r="G4288" i="3"/>
  <c r="G1633" i="3"/>
  <c r="G3948" i="3"/>
  <c r="G3886" i="3"/>
  <c r="G3936" i="3"/>
  <c r="G3870" i="3"/>
  <c r="G1884" i="3"/>
  <c r="G1883" i="3"/>
  <c r="G2739" i="3"/>
  <c r="G3463" i="3"/>
  <c r="G4421" i="3"/>
  <c r="G1418" i="3"/>
  <c r="G1417" i="3"/>
  <c r="G1447" i="3"/>
  <c r="G3866" i="3"/>
  <c r="G3865" i="3"/>
  <c r="G2091" i="3"/>
  <c r="G2090" i="3"/>
  <c r="G2235" i="3"/>
  <c r="G2092" i="3"/>
  <c r="G2523" i="3"/>
  <c r="G2089" i="3"/>
  <c r="G2524" i="3"/>
  <c r="G2643" i="3"/>
  <c r="G2560" i="3"/>
  <c r="G2554" i="3"/>
  <c r="G2555" i="3"/>
  <c r="G2537" i="3"/>
  <c r="G2521" i="3"/>
  <c r="G2520" i="3"/>
  <c r="G2492" i="3"/>
  <c r="G2493" i="3"/>
  <c r="G1796" i="3"/>
  <c r="G1797" i="3"/>
  <c r="G2479" i="3"/>
  <c r="G4588" i="3"/>
  <c r="G2627" i="3"/>
  <c r="G2628" i="3"/>
  <c r="G2629" i="3"/>
  <c r="G1173" i="3"/>
  <c r="G1174" i="3"/>
  <c r="G1175" i="3"/>
  <c r="G3249" i="3"/>
  <c r="G3252" i="3"/>
  <c r="G2009" i="3"/>
  <c r="G2081" i="3"/>
  <c r="G3475" i="3"/>
  <c r="G3471" i="3"/>
  <c r="G3472" i="3"/>
  <c r="G3473" i="3"/>
  <c r="G2998" i="3"/>
  <c r="G3016" i="3"/>
  <c r="G2864" i="3"/>
  <c r="G1947" i="3"/>
  <c r="G2698" i="3"/>
  <c r="G2697" i="3"/>
  <c r="G2696" i="3"/>
  <c r="G1365" i="3"/>
  <c r="G1366" i="3"/>
  <c r="G1404" i="3"/>
  <c r="G1394" i="3"/>
  <c r="G1408" i="3"/>
  <c r="G597" i="3"/>
  <c r="G599" i="3"/>
  <c r="G3868" i="3"/>
  <c r="G2204" i="3"/>
  <c r="G1454" i="3"/>
  <c r="G517" i="3"/>
  <c r="G1904" i="3"/>
  <c r="G2945" i="3"/>
  <c r="G940" i="3"/>
  <c r="G4350" i="3"/>
  <c r="G4272" i="3"/>
  <c r="G662" i="3"/>
  <c r="G2237" i="3"/>
  <c r="G2178" i="3"/>
  <c r="G2590" i="3"/>
  <c r="G2576" i="3"/>
  <c r="G2586" i="3"/>
  <c r="G504" i="3"/>
  <c r="G1682" i="3"/>
  <c r="G919" i="3"/>
  <c r="G921" i="3"/>
  <c r="G516" i="3"/>
  <c r="G1906" i="3"/>
  <c r="G218" i="3"/>
  <c r="G239" i="3"/>
  <c r="G240" i="3"/>
  <c r="G241" i="3"/>
  <c r="G3431" i="3"/>
  <c r="G3433" i="3"/>
  <c r="G2754" i="3"/>
  <c r="G1402" i="3"/>
  <c r="G1397" i="3"/>
  <c r="G3221" i="3"/>
  <c r="G3226" i="3"/>
  <c r="G3291" i="3"/>
  <c r="G539" i="3"/>
  <c r="G3225" i="3"/>
  <c r="G4352" i="3"/>
  <c r="G990" i="3"/>
  <c r="G989" i="3"/>
  <c r="G2600" i="3"/>
  <c r="G2430" i="3"/>
  <c r="G4487" i="3"/>
  <c r="G2187" i="3"/>
  <c r="G2756" i="3"/>
  <c r="G3811" i="3"/>
  <c r="G2226" i="3"/>
  <c r="G2223" i="3"/>
  <c r="G2388" i="3"/>
  <c r="G2390" i="3"/>
  <c r="G2335" i="3"/>
  <c r="G1902" i="3"/>
  <c r="G2631" i="3"/>
  <c r="G2632" i="3"/>
  <c r="G1781" i="3"/>
  <c r="G1782" i="3"/>
  <c r="G150" i="3"/>
  <c r="G149" i="3"/>
  <c r="G784" i="3"/>
  <c r="G774" i="3"/>
  <c r="G778" i="3"/>
  <c r="G4389" i="3"/>
  <c r="G4378" i="3"/>
  <c r="G3134" i="3"/>
  <c r="G3135" i="3"/>
  <c r="G1242" i="3"/>
  <c r="G1246" i="3"/>
  <c r="G1247" i="3"/>
  <c r="G1249" i="3"/>
  <c r="G1248" i="3"/>
  <c r="G1245" i="3"/>
  <c r="G1244" i="3"/>
  <c r="G2067" i="3"/>
  <c r="G2068" i="3"/>
  <c r="G4505" i="3"/>
  <c r="G4504" i="3"/>
  <c r="G2212" i="3"/>
  <c r="G2188" i="3"/>
  <c r="G1136" i="3"/>
  <c r="G1955" i="3"/>
  <c r="G1455" i="3"/>
  <c r="G2522" i="3"/>
  <c r="G4527" i="3"/>
  <c r="G4521" i="3"/>
  <c r="G4523" i="3"/>
  <c r="G1434" i="3"/>
  <c r="G1432" i="3"/>
  <c r="G3640" i="3"/>
  <c r="G3649" i="3"/>
  <c r="G3650" i="3"/>
  <c r="G3638" i="3"/>
  <c r="G3637" i="3"/>
  <c r="G1437" i="3"/>
  <c r="G1436" i="3"/>
  <c r="G3464" i="3"/>
  <c r="G4422" i="3"/>
  <c r="G3416" i="3"/>
  <c r="G521" i="3"/>
  <c r="G1412" i="3"/>
  <c r="G273" i="3"/>
  <c r="G127" i="3"/>
  <c r="G1410" i="3"/>
  <c r="G129" i="3"/>
  <c r="G246" i="3"/>
  <c r="G130" i="3"/>
  <c r="G434" i="3"/>
  <c r="G3858" i="3"/>
  <c r="G3860" i="3"/>
  <c r="G1687" i="3"/>
  <c r="G1689" i="3"/>
  <c r="G1310" i="3"/>
  <c r="G1316" i="3"/>
  <c r="G4395" i="3"/>
  <c r="G4397" i="3"/>
  <c r="G4398" i="3"/>
  <c r="G4399" i="3"/>
  <c r="G4392" i="3"/>
  <c r="G4393" i="3"/>
  <c r="G4396" i="3"/>
  <c r="G595" i="3"/>
  <c r="G3486" i="3"/>
  <c r="G1109" i="3"/>
  <c r="G1137" i="3"/>
  <c r="G2352" i="3"/>
  <c r="G2070" i="3"/>
  <c r="G4506" i="3"/>
  <c r="G1413" i="3"/>
  <c r="G274" i="3"/>
  <c r="G1411" i="3"/>
  <c r="G1433" i="3"/>
  <c r="G2346" i="3"/>
  <c r="G1691" i="3"/>
  <c r="G1693" i="3"/>
  <c r="G1692" i="3"/>
  <c r="G1551" i="3"/>
  <c r="G1552" i="3"/>
  <c r="G2131" i="3"/>
  <c r="G2132" i="3"/>
  <c r="G128" i="3"/>
  <c r="G1429" i="3"/>
  <c r="G1453" i="3"/>
  <c r="G2183" i="3"/>
  <c r="G2185" i="3"/>
  <c r="G2198" i="3"/>
  <c r="G1435" i="3"/>
  <c r="G3636" i="3"/>
  <c r="G2199" i="3"/>
  <c r="G935" i="3"/>
  <c r="G936" i="3"/>
  <c r="G1108" i="3"/>
  <c r="G554" i="3"/>
  <c r="G3635" i="3"/>
  <c r="G934" i="3"/>
  <c r="G933" i="3"/>
  <c r="G4091" i="3"/>
  <c r="G1956" i="3"/>
  <c r="G3228" i="3"/>
  <c r="G3229" i="3"/>
  <c r="G1289" i="3"/>
  <c r="G3658" i="3"/>
  <c r="G3659" i="3"/>
  <c r="G3660" i="3"/>
  <c r="G4144" i="3"/>
  <c r="G4147" i="3"/>
  <c r="G4454" i="3"/>
  <c r="G500" i="3"/>
  <c r="G462" i="3"/>
  <c r="G1164" i="3"/>
  <c r="G3241" i="3"/>
  <c r="G3623" i="3"/>
  <c r="G3625" i="3"/>
  <c r="G3628" i="3"/>
  <c r="G3629" i="3"/>
  <c r="G3630" i="3"/>
  <c r="G3639" i="3"/>
  <c r="G3647" i="3"/>
  <c r="G3648" i="3"/>
  <c r="G3651" i="3"/>
  <c r="G3652" i="3"/>
  <c r="G3653" i="3"/>
  <c r="G3654" i="3"/>
  <c r="G135" i="3"/>
  <c r="G315" i="3"/>
  <c r="G316" i="3"/>
  <c r="G931" i="3"/>
  <c r="G1523" i="3"/>
  <c r="G1602" i="3"/>
  <c r="G1603" i="3"/>
  <c r="G2264" i="3"/>
  <c r="G2265" i="3"/>
  <c r="G2266" i="3"/>
  <c r="G2267" i="3"/>
  <c r="G2268" i="3"/>
  <c r="G2269" i="3"/>
  <c r="G3149" i="3"/>
  <c r="G2783" i="3"/>
  <c r="G2772" i="3"/>
  <c r="G1701" i="3"/>
  <c r="G2085" i="3"/>
  <c r="G2086" i="3"/>
  <c r="G2087" i="3"/>
  <c r="G3248" i="3"/>
  <c r="G3250" i="3"/>
  <c r="G3251" i="3"/>
  <c r="G3405" i="3"/>
  <c r="G3412" i="3"/>
  <c r="G3413" i="3"/>
  <c r="G3406" i="3"/>
  <c r="G3409" i="3"/>
  <c r="G3411" i="3"/>
  <c r="G3414" i="3"/>
  <c r="G3415" i="3"/>
  <c r="G3417" i="3"/>
  <c r="G3418" i="3"/>
  <c r="G3419" i="3"/>
  <c r="G3420" i="3"/>
  <c r="G3421" i="3"/>
  <c r="G3422" i="3"/>
  <c r="G3423" i="3"/>
  <c r="G3424" i="3"/>
  <c r="G3426" i="3"/>
  <c r="G3427" i="3"/>
  <c r="G3428" i="3"/>
  <c r="G138" i="3"/>
  <c r="G3633" i="3"/>
  <c r="G317" i="3"/>
  <c r="G318" i="3"/>
  <c r="G319" i="3"/>
  <c r="G2745" i="3"/>
  <c r="G2746" i="3"/>
  <c r="G3555" i="3"/>
  <c r="G2743" i="3"/>
  <c r="G2747" i="3"/>
  <c r="G1500" i="3"/>
  <c r="G1295" i="3"/>
  <c r="G1514" i="3"/>
  <c r="G1903" i="3"/>
  <c r="G1963" i="3"/>
  <c r="G1964" i="3"/>
  <c r="G1965" i="3"/>
  <c r="G3859" i="3"/>
  <c r="G3906" i="3"/>
  <c r="G3907" i="3"/>
  <c r="G3924" i="3"/>
  <c r="G3925" i="3"/>
  <c r="G1952" i="3"/>
  <c r="G1953" i="3"/>
  <c r="G1954" i="3"/>
  <c r="G1962" i="3"/>
  <c r="G1961" i="3"/>
  <c r="G1967" i="3"/>
  <c r="G1968" i="3"/>
  <c r="G2736" i="3"/>
  <c r="G2737" i="3"/>
  <c r="G2738" i="3"/>
  <c r="G4671" i="3"/>
  <c r="G2910" i="3"/>
  <c r="G2911" i="3"/>
  <c r="G3510" i="3"/>
  <c r="G3574" i="3"/>
  <c r="G3509" i="3"/>
  <c r="G3511" i="3"/>
  <c r="G3548" i="3"/>
  <c r="G3568" i="3"/>
  <c r="G3569" i="3"/>
  <c r="G3570" i="3"/>
  <c r="G3571" i="3"/>
  <c r="G3572" i="3"/>
  <c r="G3573" i="3"/>
  <c r="G3575" i="3"/>
  <c r="G3576" i="3"/>
  <c r="G4672" i="3"/>
  <c r="G4673" i="3"/>
  <c r="G299" i="3"/>
  <c r="G200" i="3"/>
  <c r="G259" i="3"/>
  <c r="G267" i="3"/>
  <c r="G344" i="3"/>
  <c r="G345" i="3"/>
  <c r="G3737" i="3"/>
  <c r="G3738" i="3"/>
  <c r="G3739" i="3"/>
  <c r="G3740" i="3"/>
  <c r="G3741" i="3"/>
  <c r="G4520" i="3"/>
  <c r="G4522" i="3"/>
  <c r="G4524" i="3"/>
  <c r="G4526" i="3"/>
  <c r="G4530" i="3"/>
  <c r="G4528" i="3"/>
  <c r="G4532" i="3"/>
  <c r="G4531" i="3"/>
  <c r="G4533" i="3"/>
  <c r="G4529" i="3"/>
  <c r="G1890" i="3"/>
  <c r="G2742" i="3"/>
  <c r="G2343" i="3"/>
  <c r="G2345" i="3"/>
  <c r="G2344" i="3"/>
  <c r="G2347" i="3"/>
  <c r="G2348" i="3"/>
  <c r="G1496" i="3"/>
  <c r="G1495" i="3"/>
  <c r="G1499" i="3"/>
  <c r="G1505" i="3"/>
  <c r="G1502" i="3"/>
  <c r="G323" i="3"/>
  <c r="G324" i="3"/>
  <c r="G325" i="3"/>
  <c r="G2664" i="3"/>
  <c r="G2665" i="3"/>
  <c r="G2666" i="3"/>
  <c r="G2667" i="3"/>
  <c r="G2675" i="3"/>
  <c r="G2676" i="3"/>
  <c r="G2677" i="3"/>
  <c r="G2678" i="3"/>
  <c r="G2679" i="3"/>
  <c r="G2680" i="3"/>
  <c r="G2817" i="3"/>
  <c r="G2655" i="3"/>
  <c r="G2668" i="3"/>
  <c r="G2669" i="3"/>
  <c r="G2671" i="3"/>
  <c r="G2670" i="3"/>
  <c r="G2672" i="3"/>
  <c r="G2673" i="3"/>
  <c r="G2674" i="3"/>
  <c r="G2683" i="3"/>
  <c r="G2681" i="3"/>
  <c r="G4590" i="3"/>
  <c r="G2682" i="3"/>
  <c r="G3313" i="3"/>
  <c r="G3314" i="3"/>
  <c r="G3315" i="3"/>
  <c r="G3316" i="3"/>
  <c r="G3317" i="3"/>
  <c r="G3318" i="3"/>
  <c r="G1414" i="3"/>
  <c r="G1427" i="3"/>
  <c r="G1468" i="3"/>
  <c r="G1469" i="3"/>
  <c r="G1444" i="3"/>
  <c r="G1460" i="3"/>
  <c r="G1461" i="3"/>
  <c r="G1507" i="3"/>
  <c r="G1508" i="3"/>
  <c r="G1428" i="3"/>
  <c r="G1462" i="3"/>
  <c r="G1399" i="3"/>
  <c r="G1400" i="3"/>
  <c r="G1369" i="3"/>
  <c r="G1360" i="3"/>
  <c r="G1362" i="3"/>
  <c r="G1361" i="3"/>
  <c r="G1363" i="3"/>
  <c r="G1370" i="3"/>
  <c r="G1364" i="3"/>
  <c r="G1367" i="3"/>
  <c r="G1379" i="3"/>
  <c r="G1382" i="3"/>
  <c r="G1380" i="3"/>
  <c r="G1381" i="3"/>
  <c r="G1451" i="3"/>
  <c r="G1452" i="3"/>
  <c r="G1386" i="3"/>
  <c r="G1385" i="3"/>
  <c r="G1387" i="3"/>
  <c r="G1463" i="3"/>
  <c r="G1388" i="3"/>
  <c r="G1389" i="3"/>
  <c r="G1390" i="3"/>
  <c r="G1391" i="3"/>
  <c r="G1392" i="3"/>
  <c r="G1393" i="3"/>
  <c r="G1375" i="3"/>
  <c r="G1465" i="3"/>
  <c r="G1409" i="3"/>
  <c r="G1372" i="3"/>
  <c r="G1373" i="3"/>
  <c r="G1374" i="3"/>
  <c r="G1464" i="3"/>
  <c r="G1466" i="3"/>
  <c r="G1467" i="3"/>
  <c r="G1415" i="3"/>
  <c r="G1416" i="3"/>
  <c r="G1378" i="3"/>
  <c r="G1377" i="3"/>
  <c r="G1419" i="3"/>
  <c r="G1420" i="3"/>
  <c r="G1421" i="3"/>
  <c r="G1422" i="3"/>
  <c r="G1423" i="3"/>
  <c r="G1424" i="3"/>
  <c r="G1425" i="3"/>
  <c r="G1426" i="3"/>
  <c r="G1430" i="3"/>
  <c r="G1431" i="3"/>
  <c r="G1438" i="3"/>
  <c r="G1439" i="3"/>
  <c r="G1440" i="3"/>
  <c r="G1441" i="3"/>
  <c r="G1442" i="3"/>
  <c r="G1443" i="3"/>
  <c r="G1395" i="3"/>
  <c r="G1396" i="3"/>
  <c r="G1401" i="3"/>
  <c r="G1403" i="3"/>
  <c r="G1406" i="3"/>
  <c r="G1407" i="3"/>
  <c r="G1405" i="3"/>
  <c r="G1445" i="3"/>
  <c r="G1446" i="3"/>
  <c r="G1450" i="3"/>
  <c r="G1470" i="3"/>
  <c r="G1476" i="3"/>
  <c r="G1477" i="3"/>
  <c r="G1482" i="3"/>
  <c r="G1483" i="3"/>
  <c r="G1484" i="3"/>
  <c r="G1485" i="3"/>
  <c r="G1487" i="3"/>
  <c r="G1488" i="3"/>
  <c r="G1489" i="3"/>
  <c r="G1510" i="3"/>
  <c r="G1506" i="3"/>
  <c r="G1509" i="3"/>
  <c r="G1587" i="3"/>
  <c r="G1588" i="3"/>
  <c r="G2094" i="3"/>
  <c r="G3237" i="3"/>
  <c r="G3238" i="3"/>
  <c r="G4605" i="3"/>
  <c r="G168" i="3"/>
  <c r="G1821" i="3"/>
  <c r="G2357" i="3"/>
  <c r="G2353" i="3"/>
  <c r="G2354" i="3"/>
  <c r="G2355" i="3"/>
  <c r="G2356" i="3"/>
  <c r="G2358" i="3"/>
  <c r="G2359" i="3"/>
  <c r="G3223" i="3"/>
  <c r="G3309" i="3"/>
  <c r="G3310" i="3"/>
  <c r="G3311" i="3"/>
  <c r="G3312" i="3"/>
  <c r="G3319" i="3"/>
  <c r="G3320" i="3"/>
  <c r="G3321" i="3"/>
  <c r="G3322" i="3"/>
  <c r="G3395" i="3"/>
  <c r="G1889" i="3"/>
  <c r="G3396" i="3"/>
  <c r="G3397" i="3"/>
  <c r="G3398" i="3"/>
  <c r="G4604" i="3"/>
  <c r="G131" i="3"/>
  <c r="G508" i="3"/>
  <c r="G509" i="3"/>
  <c r="G510" i="3"/>
  <c r="G511" i="3"/>
  <c r="G512" i="3"/>
  <c r="G513" i="3"/>
  <c r="G514" i="3"/>
  <c r="G518" i="3"/>
  <c r="G519" i="3"/>
  <c r="G520" i="3"/>
  <c r="G515" i="3"/>
  <c r="G522" i="3"/>
  <c r="G523" i="3"/>
  <c r="G524" i="3"/>
  <c r="G525" i="3"/>
  <c r="G526" i="3"/>
  <c r="G527" i="3"/>
  <c r="G1563" i="3"/>
  <c r="G2734" i="3"/>
  <c r="G2735" i="3"/>
  <c r="G3765" i="3"/>
  <c r="G3766" i="3"/>
  <c r="G3768" i="3"/>
  <c r="G3767" i="3"/>
  <c r="G3769" i="3"/>
  <c r="G3836" i="3"/>
  <c r="G3841" i="3"/>
  <c r="G3842" i="3"/>
  <c r="G3844" i="3"/>
  <c r="G3847" i="3"/>
  <c r="G3848" i="3"/>
  <c r="G3849" i="3"/>
  <c r="G3843" i="3"/>
  <c r="G3850" i="3"/>
  <c r="G230" i="3"/>
  <c r="G231" i="3"/>
  <c r="G3888" i="3"/>
  <c r="G3889" i="3"/>
  <c r="G3890" i="3"/>
  <c r="G3891" i="3"/>
  <c r="G3892" i="3"/>
  <c r="G3919" i="3"/>
  <c r="G3920" i="3"/>
  <c r="G3893" i="3"/>
  <c r="G3923" i="3"/>
  <c r="G3922" i="3"/>
  <c r="G3950" i="3"/>
  <c r="G281" i="3"/>
  <c r="G158" i="3"/>
  <c r="G282" i="3"/>
  <c r="G159" i="3"/>
  <c r="G160" i="3"/>
  <c r="G171" i="3"/>
  <c r="G172" i="3"/>
  <c r="G182" i="3"/>
  <c r="G180" i="3"/>
  <c r="G178" i="3"/>
  <c r="G179" i="3"/>
  <c r="G177" i="3"/>
  <c r="G181" i="3"/>
  <c r="G190" i="3"/>
  <c r="G191" i="3"/>
  <c r="G192" i="3"/>
  <c r="G193" i="3"/>
  <c r="G194" i="3"/>
  <c r="G196" i="3"/>
  <c r="G199" i="3"/>
  <c r="G197" i="3"/>
  <c r="G198" i="3"/>
  <c r="G201" i="3"/>
  <c r="G203" i="3"/>
  <c r="G161" i="3"/>
  <c r="G210" i="3"/>
  <c r="G216" i="3"/>
  <c r="G223" i="3"/>
  <c r="G224" i="3"/>
  <c r="G225" i="3"/>
  <c r="G227" i="3"/>
  <c r="G228" i="3"/>
  <c r="G232" i="3"/>
  <c r="G233" i="3"/>
  <c r="G234" i="3"/>
  <c r="G235" i="3"/>
  <c r="G236" i="3"/>
  <c r="G237" i="3"/>
  <c r="G238" i="3"/>
  <c r="G245" i="3"/>
  <c r="G250" i="3"/>
  <c r="G252" i="3"/>
  <c r="G251" i="3"/>
  <c r="G253" i="3"/>
  <c r="G256" i="3"/>
  <c r="G257" i="3"/>
  <c r="G307" i="3"/>
  <c r="G187" i="3"/>
  <c r="G262" i="3"/>
  <c r="G263" i="3"/>
  <c r="G264" i="3"/>
  <c r="G275" i="3"/>
  <c r="G276" i="3"/>
  <c r="G265" i="3"/>
  <c r="G266" i="3"/>
  <c r="G308" i="3"/>
  <c r="G188" i="3"/>
  <c r="G268" i="3"/>
  <c r="G269" i="3"/>
  <c r="G283" i="3"/>
  <c r="G285" i="3"/>
  <c r="G286" i="3"/>
  <c r="G291" i="3"/>
  <c r="G292" i="3"/>
  <c r="G295" i="3"/>
  <c r="G296" i="3"/>
  <c r="G300" i="3"/>
  <c r="G297" i="3"/>
  <c r="G301" i="3"/>
  <c r="G302" i="3"/>
  <c r="G305" i="3"/>
  <c r="G162" i="3"/>
  <c r="G163" i="3"/>
  <c r="G167" i="3"/>
  <c r="G176" i="3"/>
  <c r="G189" i="3"/>
  <c r="G166" i="3"/>
  <c r="G211" i="3"/>
  <c r="G212" i="3"/>
  <c r="G213" i="3"/>
  <c r="G214" i="3"/>
  <c r="G220" i="3"/>
  <c r="G219" i="3"/>
  <c r="G221" i="3"/>
  <c r="G229" i="3"/>
  <c r="G222" i="3"/>
  <c r="G311" i="3"/>
  <c r="G310" i="3"/>
  <c r="G312" i="3"/>
  <c r="G271" i="3"/>
  <c r="G277" i="3"/>
  <c r="G278" i="3"/>
  <c r="G280" i="3"/>
  <c r="G284" i="3"/>
  <c r="G287" i="3"/>
  <c r="G288" i="3"/>
  <c r="G289" i="3"/>
  <c r="G290" i="3"/>
  <c r="G309" i="3"/>
  <c r="G3905" i="3"/>
  <c r="G1457" i="3"/>
  <c r="G1456" i="3"/>
  <c r="G1458" i="3"/>
  <c r="G1459" i="3"/>
  <c r="G3227" i="3"/>
  <c r="G3230" i="3"/>
  <c r="G3231" i="3"/>
  <c r="G3232" i="3"/>
  <c r="G3233" i="3"/>
  <c r="G3234" i="3"/>
  <c r="G3236" i="3"/>
  <c r="G3235" i="3"/>
  <c r="G3239" i="3"/>
  <c r="G3240" i="3"/>
  <c r="G4081" i="3"/>
  <c r="G3323" i="3"/>
  <c r="G3325" i="3"/>
  <c r="G3327" i="3"/>
  <c r="G3329" i="3"/>
  <c r="G3331" i="3"/>
  <c r="G3855" i="3"/>
  <c r="G3856" i="3"/>
  <c r="G3857" i="3"/>
  <c r="G1888" i="3"/>
  <c r="G1900" i="3"/>
  <c r="G3845" i="3"/>
  <c r="G3846" i="3"/>
  <c r="G3863" i="3"/>
  <c r="G3864" i="3"/>
  <c r="G3867" i="3"/>
  <c r="G3931" i="3"/>
  <c r="G3932" i="3"/>
  <c r="G3952" i="3"/>
  <c r="G3913" i="3"/>
  <c r="G3914" i="3"/>
  <c r="G3955" i="3"/>
  <c r="G3915" i="3"/>
  <c r="G3916" i="3"/>
  <c r="G1887" i="3"/>
  <c r="G1894" i="3"/>
  <c r="G1895" i="3"/>
  <c r="G1896" i="3"/>
  <c r="G1897" i="3"/>
  <c r="G2895" i="3"/>
  <c r="G3884" i="3"/>
  <c r="G3876" i="3"/>
  <c r="G3885" i="3"/>
  <c r="G3928" i="3"/>
  <c r="G3929" i="3"/>
  <c r="G3930" i="3"/>
  <c r="G3927" i="3"/>
  <c r="G3872" i="3"/>
  <c r="G3873" i="3"/>
  <c r="G3874" i="3"/>
  <c r="G3875" i="3"/>
  <c r="G3877" i="3"/>
  <c r="G3878" i="3"/>
  <c r="G3879" i="3"/>
  <c r="G3880" i="3"/>
  <c r="G3881" i="3"/>
  <c r="G3882" i="3"/>
  <c r="G3940" i="3"/>
  <c r="G3941" i="3"/>
  <c r="G3942" i="3"/>
  <c r="G3943" i="3"/>
  <c r="G3944" i="3"/>
  <c r="G3945" i="3"/>
  <c r="G3946" i="3"/>
  <c r="G3947" i="3"/>
  <c r="G3938" i="3"/>
  <c r="G3939" i="3"/>
  <c r="G3902" i="3"/>
  <c r="G3912" i="3"/>
  <c r="G3895" i="3"/>
  <c r="G3854" i="3"/>
  <c r="G3953" i="3"/>
  <c r="G3851" i="3"/>
  <c r="G3954" i="3"/>
  <c r="G3852" i="3"/>
  <c r="G3956" i="3"/>
  <c r="G3871" i="3"/>
  <c r="G3883" i="3"/>
  <c r="G1891" i="3"/>
  <c r="G1893" i="3"/>
  <c r="G1899" i="3"/>
  <c r="G1898" i="3"/>
  <c r="G3897" i="3"/>
  <c r="G3896" i="3"/>
  <c r="G3898" i="3"/>
  <c r="G3899" i="3"/>
  <c r="G1561" i="3"/>
  <c r="G2117" i="3"/>
  <c r="G2118" i="3"/>
  <c r="G2122" i="3"/>
  <c r="G2123" i="3"/>
  <c r="G2126" i="3"/>
  <c r="G2133" i="3"/>
  <c r="G2134" i="3"/>
  <c r="G4537" i="3"/>
  <c r="G4539" i="3"/>
  <c r="G4540" i="3"/>
  <c r="G1880" i="3"/>
  <c r="G1881" i="3"/>
  <c r="G1886" i="3"/>
  <c r="G332" i="3"/>
  <c r="G333" i="3"/>
  <c r="G1694" i="3"/>
  <c r="G1695" i="3"/>
  <c r="G1696" i="3"/>
  <c r="G2639" i="3"/>
  <c r="G4660" i="3"/>
  <c r="G2528" i="3"/>
  <c r="G2527" i="3"/>
  <c r="G1874" i="3"/>
  <c r="G1875" i="3"/>
  <c r="G1876" i="3"/>
  <c r="G1877" i="3"/>
  <c r="G1878" i="3"/>
  <c r="G1879" i="3"/>
  <c r="G3153" i="3"/>
  <c r="G3155" i="3"/>
  <c r="G3157" i="3"/>
  <c r="G3167" i="3"/>
  <c r="G3169" i="3"/>
  <c r="G3171" i="3"/>
  <c r="G3181" i="3"/>
  <c r="G3183" i="3"/>
  <c r="G3152" i="3"/>
  <c r="G3206" i="3"/>
  <c r="G3208" i="3"/>
  <c r="G3210" i="3"/>
  <c r="G3159" i="3"/>
  <c r="G3212" i="3"/>
  <c r="G3213" i="3"/>
  <c r="G3214" i="3"/>
  <c r="G3339" i="3"/>
  <c r="G3341" i="3"/>
  <c r="G3353" i="3"/>
  <c r="G3355" i="3"/>
  <c r="G3357" i="3"/>
  <c r="G3371" i="3"/>
  <c r="G3372" i="3"/>
  <c r="G3383" i="3"/>
  <c r="G3385" i="3"/>
  <c r="G3387" i="3"/>
  <c r="G3160" i="3"/>
  <c r="G3162" i="3"/>
  <c r="G3165" i="3"/>
  <c r="G3173" i="3"/>
  <c r="G3175" i="3"/>
  <c r="G3186" i="3"/>
  <c r="G3188" i="3"/>
  <c r="G3215" i="3"/>
  <c r="G3217" i="3"/>
  <c r="G3219" i="3"/>
  <c r="G3166" i="3"/>
  <c r="G3179" i="3"/>
  <c r="G3178" i="3"/>
  <c r="G3190" i="3"/>
  <c r="G3346" i="3"/>
  <c r="G3348" i="3"/>
  <c r="G3360" i="3"/>
  <c r="G3362" i="3"/>
  <c r="G3365" i="3"/>
  <c r="G3376" i="3"/>
  <c r="G3378" i="3"/>
  <c r="G3389" i="3"/>
  <c r="G3391" i="3"/>
  <c r="G3393" i="3"/>
  <c r="G3197" i="3"/>
  <c r="G3199" i="3"/>
  <c r="G3198" i="3"/>
  <c r="G3200" i="3"/>
  <c r="G3150" i="3"/>
  <c r="G3151" i="3"/>
  <c r="G3204" i="3"/>
  <c r="G3191" i="3"/>
  <c r="G3192" i="3"/>
  <c r="G3193" i="3"/>
  <c r="G2422" i="3"/>
  <c r="G2427" i="3"/>
  <c r="G2438" i="3"/>
  <c r="G3344" i="3"/>
  <c r="G3345" i="3"/>
  <c r="G3180" i="3"/>
  <c r="G3185" i="3"/>
  <c r="G3359" i="3"/>
  <c r="G3351" i="3"/>
  <c r="G3352" i="3"/>
  <c r="G3367" i="3"/>
  <c r="G3364" i="3"/>
  <c r="G3369" i="3"/>
  <c r="G3394" i="3"/>
  <c r="G3388" i="3"/>
  <c r="G3380" i="3"/>
  <c r="G3535" i="3"/>
  <c r="G3517" i="3"/>
  <c r="G3533" i="3"/>
  <c r="G3537" i="3"/>
  <c r="G3546" i="3"/>
  <c r="G3519" i="3"/>
  <c r="G3522" i="3"/>
  <c r="G3542" i="3"/>
  <c r="G3558" i="3"/>
  <c r="G3553" i="3"/>
  <c r="G3562" i="3"/>
  <c r="G3563" i="3"/>
  <c r="G3564" i="3"/>
  <c r="G1828" i="3"/>
  <c r="G1833" i="3"/>
  <c r="G1830" i="3"/>
  <c r="G1835" i="3"/>
  <c r="G1834" i="3"/>
  <c r="G1839" i="3"/>
  <c r="G1840" i="3"/>
  <c r="G1842" i="3"/>
  <c r="G1844" i="3"/>
  <c r="G1845" i="3"/>
  <c r="G1846" i="3"/>
  <c r="G1848" i="3"/>
  <c r="G1850" i="3"/>
  <c r="G1853" i="3"/>
  <c r="G1854" i="3"/>
  <c r="G1859" i="3"/>
  <c r="G1862" i="3"/>
  <c r="G1868" i="3"/>
  <c r="G1870" i="3"/>
  <c r="G4168" i="3"/>
  <c r="G4170" i="3"/>
  <c r="G4173" i="3"/>
  <c r="G4174" i="3"/>
  <c r="G4176" i="3"/>
  <c r="G4178" i="3"/>
  <c r="G4180" i="3"/>
  <c r="G4184" i="3"/>
  <c r="G4185" i="3"/>
  <c r="G4186" i="3"/>
  <c r="G4188" i="3"/>
  <c r="G4189" i="3"/>
  <c r="G4190" i="3"/>
  <c r="G4191" i="3"/>
  <c r="G4192" i="3"/>
  <c r="G4193" i="3"/>
  <c r="G4194" i="3"/>
  <c r="G4195" i="3"/>
  <c r="G4196" i="3"/>
  <c r="G4358" i="3"/>
  <c r="G4212" i="3"/>
  <c r="G4214" i="3"/>
  <c r="G4219" i="3"/>
  <c r="G4221" i="3"/>
  <c r="G4226" i="3"/>
  <c r="G4232" i="3"/>
  <c r="G4238" i="3"/>
  <c r="G4243" i="3"/>
  <c r="G4245" i="3"/>
  <c r="G4247" i="3"/>
  <c r="G4248" i="3"/>
  <c r="G4249" i="3"/>
  <c r="G4250" i="3"/>
  <c r="G4251" i="3"/>
  <c r="G4252" i="3"/>
  <c r="G4256" i="3"/>
  <c r="G4259" i="3"/>
  <c r="G4260" i="3"/>
  <c r="G4261" i="3"/>
  <c r="G4262" i="3"/>
  <c r="G4264" i="3"/>
  <c r="G4267" i="3"/>
  <c r="G4268" i="3"/>
  <c r="G4269" i="3"/>
  <c r="G4271" i="3"/>
  <c r="G4273" i="3"/>
  <c r="G4276" i="3"/>
  <c r="G4277" i="3"/>
  <c r="G4281" i="3"/>
  <c r="G4285" i="3"/>
  <c r="G4289" i="3"/>
  <c r="G4298" i="3"/>
  <c r="G4300" i="3"/>
  <c r="G4303" i="3"/>
  <c r="G4308" i="3"/>
  <c r="G4310" i="3"/>
  <c r="G4314" i="3"/>
  <c r="G4165" i="3"/>
  <c r="G4166" i="3"/>
  <c r="G4169" i="3"/>
  <c r="G4206" i="3"/>
  <c r="G4207" i="3"/>
  <c r="G4209" i="3"/>
  <c r="G4216" i="3"/>
  <c r="G4227" i="3"/>
  <c r="G4229" i="3"/>
  <c r="G4235" i="3"/>
  <c r="G4241" i="3"/>
  <c r="G4275" i="3"/>
  <c r="G4279" i="3"/>
  <c r="G4294" i="3"/>
  <c r="G4311" i="3"/>
  <c r="G4319" i="3"/>
  <c r="G4320" i="3"/>
  <c r="G4321" i="3"/>
  <c r="G4322" i="3"/>
  <c r="G4325" i="3"/>
  <c r="G4327" i="3"/>
  <c r="G4330" i="3"/>
  <c r="G4332" i="3"/>
  <c r="G4333" i="3"/>
  <c r="G4334" i="3"/>
  <c r="G4337" i="3"/>
  <c r="G4339" i="3"/>
  <c r="G4295" i="3"/>
  <c r="G4344" i="3"/>
  <c r="G4348" i="3"/>
  <c r="G4211" i="3"/>
  <c r="G4218" i="3"/>
  <c r="G4305" i="3"/>
  <c r="G4347" i="3"/>
  <c r="G379" i="3"/>
  <c r="G380" i="3"/>
  <c r="G381" i="3"/>
  <c r="G382" i="3"/>
  <c r="G383" i="3"/>
  <c r="G1909" i="3"/>
  <c r="G1910" i="3"/>
  <c r="G1913" i="3"/>
  <c r="G1916" i="3"/>
  <c r="G1917" i="3"/>
  <c r="G1918" i="3"/>
  <c r="G1919" i="3"/>
  <c r="G1920" i="3"/>
  <c r="G1924" i="3"/>
  <c r="G1925" i="3"/>
  <c r="G1929" i="3"/>
  <c r="G1931" i="3"/>
  <c r="G1932" i="3"/>
  <c r="G1934" i="3"/>
  <c r="G1938" i="3"/>
  <c r="G1940" i="3"/>
  <c r="G1942" i="3"/>
  <c r="G1944" i="3"/>
  <c r="G1945" i="3"/>
  <c r="G1946" i="3"/>
  <c r="G1912" i="3"/>
  <c r="G1922" i="3"/>
  <c r="G1923" i="3"/>
  <c r="G1926" i="3"/>
  <c r="G1927" i="3"/>
  <c r="G1928" i="3"/>
  <c r="G1948" i="3"/>
  <c r="G1949" i="3"/>
  <c r="G985" i="3"/>
  <c r="G988" i="3"/>
  <c r="G4054" i="3"/>
  <c r="G4053" i="3"/>
  <c r="G996" i="3"/>
  <c r="G997" i="3"/>
  <c r="G998" i="3"/>
  <c r="G999" i="3"/>
  <c r="G1550" i="3"/>
  <c r="G1908" i="3"/>
  <c r="G1911" i="3"/>
  <c r="G1914" i="3"/>
  <c r="G1921" i="3"/>
  <c r="G941" i="3"/>
  <c r="G942" i="3"/>
  <c r="G943" i="3"/>
  <c r="G944" i="3"/>
  <c r="G945" i="3"/>
  <c r="G1261" i="3"/>
  <c r="G1262" i="3"/>
  <c r="G1264" i="3"/>
  <c r="G1265" i="3"/>
  <c r="G1130" i="3"/>
  <c r="G1243" i="3"/>
  <c r="G1250" i="3"/>
  <c r="G1253" i="3"/>
  <c r="G1254" i="3"/>
  <c r="G1256" i="3"/>
  <c r="G1257" i="3"/>
  <c r="G1258" i="3"/>
  <c r="G1259" i="3"/>
  <c r="G1260" i="3"/>
  <c r="G1263" i="3"/>
  <c r="G1266" i="3"/>
  <c r="G3303" i="3"/>
  <c r="G3304" i="3"/>
  <c r="G3306" i="3"/>
  <c r="G3307" i="3"/>
  <c r="G3308" i="3"/>
  <c r="G3822" i="3"/>
  <c r="G3820" i="3"/>
  <c r="G3821" i="3"/>
  <c r="G3831" i="3"/>
  <c r="G3830" i="3"/>
  <c r="G3823" i="3"/>
  <c r="G3824" i="3"/>
  <c r="G3825" i="3"/>
  <c r="G3826" i="3"/>
  <c r="G392" i="3"/>
  <c r="G390" i="3"/>
  <c r="G391" i="3"/>
  <c r="G396" i="3"/>
  <c r="G398" i="3"/>
  <c r="G404" i="3"/>
  <c r="G409" i="3"/>
  <c r="G3988" i="3"/>
  <c r="G3989" i="3"/>
  <c r="G3990" i="3"/>
  <c r="G3991" i="3"/>
  <c r="G3992" i="3"/>
  <c r="G3993" i="3"/>
  <c r="G3994" i="3"/>
  <c r="G3995" i="3"/>
  <c r="G2699" i="3"/>
  <c r="G2700" i="3"/>
  <c r="G2702" i="3"/>
  <c r="G2703" i="3"/>
  <c r="G2704" i="3"/>
  <c r="G2363" i="3"/>
  <c r="G2404" i="3"/>
  <c r="G2405" i="3"/>
  <c r="G2626" i="3"/>
  <c r="G3100" i="3"/>
  <c r="G2954" i="3"/>
  <c r="G2955" i="3"/>
  <c r="G3096" i="3"/>
  <c r="G3097" i="3"/>
  <c r="G3098" i="3"/>
  <c r="G3099" i="3"/>
  <c r="G3101" i="3"/>
  <c r="G2858" i="3"/>
  <c r="G2859" i="3"/>
  <c r="G3126" i="3"/>
  <c r="G2960" i="3"/>
  <c r="G2963" i="3"/>
  <c r="G2965" i="3"/>
  <c r="G2966" i="3"/>
  <c r="G2969" i="3"/>
  <c r="G3030" i="3"/>
  <c r="G3062" i="3"/>
  <c r="G3063" i="3"/>
  <c r="G3072" i="3"/>
  <c r="G3070" i="3"/>
  <c r="G3071" i="3"/>
  <c r="G3091" i="3"/>
  <c r="G3092" i="3"/>
  <c r="G3093" i="3"/>
  <c r="G3094" i="3"/>
  <c r="G3095" i="3"/>
  <c r="G3124" i="3"/>
  <c r="G3114" i="3"/>
  <c r="G3115" i="3"/>
  <c r="G3603" i="3"/>
  <c r="G3604" i="3"/>
  <c r="G4082" i="3"/>
  <c r="G4083" i="3"/>
  <c r="G4084" i="3"/>
  <c r="G4085" i="3"/>
  <c r="G4086" i="3"/>
  <c r="G3125" i="3"/>
  <c r="G3116" i="3"/>
  <c r="G3959" i="3"/>
  <c r="G3960" i="3"/>
  <c r="G3961" i="3"/>
  <c r="G3962" i="3"/>
  <c r="G3963" i="3"/>
  <c r="G3964" i="3"/>
  <c r="G3965" i="3"/>
  <c r="G3966" i="3"/>
  <c r="G3967" i="3"/>
  <c r="G3969" i="3"/>
  <c r="G3970" i="3"/>
  <c r="G3971" i="3"/>
  <c r="G3972" i="3"/>
  <c r="G3973" i="3"/>
  <c r="G4117" i="3"/>
  <c r="G4070" i="3"/>
  <c r="G4071" i="3"/>
  <c r="G4089" i="3"/>
  <c r="G4110" i="3"/>
  <c r="G4111" i="3"/>
  <c r="G4112" i="3"/>
  <c r="G4113" i="3"/>
  <c r="G4114" i="3"/>
  <c r="G4115" i="3"/>
  <c r="G4116" i="3"/>
  <c r="G2995" i="3"/>
  <c r="G2997" i="3"/>
  <c r="G2999" i="3"/>
  <c r="G3000" i="3"/>
  <c r="G3003" i="3"/>
  <c r="G3013" i="3"/>
  <c r="G3020" i="3"/>
  <c r="G3023" i="3"/>
  <c r="G3048" i="3"/>
  <c r="G3015" i="3"/>
  <c r="G3026" i="3"/>
  <c r="G3036" i="3"/>
  <c r="G3047" i="3"/>
  <c r="G3054" i="3"/>
  <c r="G2832" i="3"/>
  <c r="G2833" i="3"/>
  <c r="G2835" i="3"/>
  <c r="G2839" i="3"/>
  <c r="G2834" i="3"/>
  <c r="G2838" i="3"/>
  <c r="G2845" i="3"/>
  <c r="G2850" i="3"/>
  <c r="G2842" i="3"/>
  <c r="G2854" i="3"/>
  <c r="G2899" i="3"/>
  <c r="G2909" i="3"/>
  <c r="G2976" i="3"/>
  <c r="G2981" i="3"/>
  <c r="G2972" i="3"/>
  <c r="G2985" i="3"/>
  <c r="G2855" i="3"/>
  <c r="G2856" i="3"/>
  <c r="G2857" i="3"/>
  <c r="G2871" i="3"/>
  <c r="G2874" i="3"/>
  <c r="G2876" i="3"/>
  <c r="G2879" i="3"/>
  <c r="G2882" i="3"/>
  <c r="G2889" i="3"/>
  <c r="G2890" i="3"/>
  <c r="G2894" i="3"/>
  <c r="G2924" i="3"/>
  <c r="G2927" i="3"/>
  <c r="G2930" i="3"/>
  <c r="G2932" i="3"/>
  <c r="G2935" i="3"/>
  <c r="G2942" i="3"/>
  <c r="G2944" i="3"/>
  <c r="G2946" i="3"/>
  <c r="G2947" i="3"/>
  <c r="G2950" i="3"/>
  <c r="G405" i="3"/>
  <c r="G406" i="3"/>
  <c r="G2714" i="3"/>
  <c r="G2715" i="3"/>
  <c r="G2716" i="3"/>
  <c r="G2717" i="3"/>
  <c r="G2718" i="3"/>
  <c r="G2719" i="3"/>
  <c r="G2720" i="3"/>
  <c r="G2721" i="3"/>
  <c r="G2722" i="3"/>
  <c r="G2723" i="3"/>
  <c r="G2726" i="3"/>
  <c r="G2962" i="3"/>
  <c r="G3032" i="3"/>
  <c r="G3073" i="3"/>
  <c r="G3078" i="3"/>
  <c r="G3081" i="3"/>
  <c r="G4011" i="3"/>
  <c r="G4012" i="3"/>
  <c r="G4106" i="3"/>
  <c r="G4076" i="3"/>
  <c r="G4077" i="3"/>
  <c r="G4078" i="3"/>
  <c r="G3018" i="3"/>
  <c r="G3022" i="3"/>
  <c r="G3011" i="3"/>
  <c r="G3019" i="3"/>
  <c r="G2836" i="3"/>
  <c r="G2837" i="3"/>
  <c r="G2873" i="3"/>
  <c r="G2878" i="3"/>
  <c r="G2900" i="3"/>
  <c r="G2907" i="3"/>
  <c r="G2926" i="3"/>
  <c r="G393" i="3"/>
  <c r="G399" i="3"/>
  <c r="G400" i="3"/>
  <c r="G401" i="3"/>
  <c r="G402" i="3"/>
  <c r="G403" i="3"/>
  <c r="G411" i="3"/>
  <c r="G412" i="3"/>
  <c r="G1703" i="3"/>
  <c r="G136" i="3"/>
  <c r="G137" i="3"/>
  <c r="G1599" i="3"/>
  <c r="G1592" i="3"/>
  <c r="G1593" i="3"/>
  <c r="G1594" i="3"/>
  <c r="G1595" i="3"/>
  <c r="G1596" i="3"/>
  <c r="G1598" i="3"/>
  <c r="G1600" i="3"/>
  <c r="G1597" i="3"/>
  <c r="G1601" i="3"/>
  <c r="G1579" i="3"/>
  <c r="G1580" i="3"/>
  <c r="G1581" i="3"/>
  <c r="G1582" i="3"/>
  <c r="G1583" i="3"/>
  <c r="G1584" i="3"/>
  <c r="G1585" i="3"/>
  <c r="G1586" i="3"/>
  <c r="G2362" i="3"/>
  <c r="G2640" i="3"/>
  <c r="G2908" i="3"/>
  <c r="G2886" i="3"/>
  <c r="G2887" i="3"/>
  <c r="G2888" i="3"/>
  <c r="G2956" i="3"/>
  <c r="G2957" i="3"/>
  <c r="G2958" i="3"/>
  <c r="G2961" i="3"/>
  <c r="G2967" i="3"/>
  <c r="G2968" i="3"/>
  <c r="G3028" i="3"/>
  <c r="G3031" i="3"/>
  <c r="G3033" i="3"/>
  <c r="G3034" i="3"/>
  <c r="G3074" i="3"/>
  <c r="G3075" i="3"/>
  <c r="G3076" i="3"/>
  <c r="G3077" i="3"/>
  <c r="G3079" i="3"/>
  <c r="G3083" i="3"/>
  <c r="G3088" i="3"/>
  <c r="G3089" i="3"/>
  <c r="G3090" i="3"/>
  <c r="G3102" i="3"/>
  <c r="G3103" i="3"/>
  <c r="G3104" i="3"/>
  <c r="G3119" i="3"/>
  <c r="G3122" i="3"/>
  <c r="G3123" i="3"/>
  <c r="G2712" i="3"/>
  <c r="G2705" i="3"/>
  <c r="G2706" i="3"/>
  <c r="G2707" i="3"/>
  <c r="G2708" i="3"/>
  <c r="G2709" i="3"/>
  <c r="G2710" i="3"/>
  <c r="G2711" i="3"/>
  <c r="G2713" i="3"/>
  <c r="G2771" i="3"/>
  <c r="G2769" i="3"/>
  <c r="G2770" i="3"/>
  <c r="G3978" i="3"/>
  <c r="G3979" i="3"/>
  <c r="G3975" i="3"/>
  <c r="G3976" i="3"/>
  <c r="G3977" i="3"/>
  <c r="G3987" i="3"/>
  <c r="G4009" i="3"/>
  <c r="G4010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60" i="3"/>
  <c r="G4061" i="3"/>
  <c r="G4062" i="3"/>
  <c r="G4063" i="3"/>
  <c r="G4064" i="3"/>
  <c r="G4065" i="3"/>
  <c r="G4072" i="3"/>
  <c r="G4073" i="3"/>
  <c r="G4075" i="3"/>
  <c r="G4128" i="3"/>
  <c r="G4130" i="3"/>
  <c r="G4129" i="3"/>
  <c r="G4131" i="3"/>
  <c r="G4132" i="3"/>
  <c r="G4133" i="3"/>
  <c r="G4135" i="3"/>
  <c r="G4136" i="3"/>
  <c r="G4137" i="3"/>
  <c r="G4138" i="3"/>
  <c r="G4139" i="3"/>
  <c r="G4140" i="3"/>
  <c r="G4141" i="3"/>
  <c r="G4142" i="3"/>
  <c r="G4143" i="3"/>
  <c r="G4134" i="3"/>
  <c r="G3001" i="3"/>
  <c r="G2994" i="3"/>
  <c r="G3002" i="3"/>
  <c r="G3009" i="3"/>
  <c r="G3014" i="3"/>
  <c r="G3025" i="3"/>
  <c r="G3027" i="3"/>
  <c r="G3024" i="3"/>
  <c r="G3035" i="3"/>
  <c r="G3045" i="3"/>
  <c r="G3046" i="3"/>
  <c r="G3049" i="3"/>
  <c r="G3050" i="3"/>
  <c r="G3052" i="3"/>
  <c r="G3051" i="3"/>
  <c r="G3053" i="3"/>
  <c r="G3058" i="3"/>
  <c r="G3059" i="3"/>
  <c r="G3060" i="3"/>
  <c r="G3061" i="3"/>
  <c r="G3065" i="3"/>
  <c r="G3066" i="3"/>
  <c r="G3067" i="3"/>
  <c r="G3068" i="3"/>
  <c r="G3069" i="3"/>
  <c r="G2848" i="3"/>
  <c r="G2844" i="3"/>
  <c r="G2849" i="3"/>
  <c r="G2841" i="3"/>
  <c r="G2852" i="3"/>
  <c r="G2853" i="3"/>
  <c r="G2872" i="3"/>
  <c r="G2880" i="3"/>
  <c r="G2881" i="3"/>
  <c r="G2883" i="3"/>
  <c r="G2891" i="3"/>
  <c r="G2892" i="3"/>
  <c r="G2893" i="3"/>
  <c r="G2902" i="3"/>
  <c r="G2903" i="3"/>
  <c r="G2904" i="3"/>
  <c r="G2906" i="3"/>
  <c r="G2925" i="3"/>
  <c r="G2933" i="3"/>
  <c r="G2934" i="3"/>
  <c r="G2943" i="3"/>
  <c r="G2948" i="3"/>
  <c r="G2949" i="3"/>
  <c r="G2979" i="3"/>
  <c r="G2975" i="3"/>
  <c r="G2980" i="3"/>
  <c r="G2971" i="3"/>
  <c r="G2983" i="3"/>
  <c r="G2984" i="3"/>
  <c r="G2986" i="3"/>
  <c r="G2987" i="3"/>
  <c r="G2988" i="3"/>
  <c r="G408" i="3"/>
  <c r="G2863" i="3"/>
  <c r="G2865" i="3"/>
  <c r="G2866" i="3"/>
  <c r="G2920" i="3"/>
  <c r="G2921" i="3"/>
  <c r="G2989" i="3"/>
  <c r="G2992" i="3"/>
  <c r="G2993" i="3"/>
  <c r="G3080" i="3"/>
  <c r="G2830" i="3"/>
  <c r="G3082" i="3"/>
  <c r="G3111" i="3"/>
  <c r="G3112" i="3"/>
  <c r="G3113" i="3"/>
  <c r="G3118" i="3"/>
  <c r="G3120" i="3"/>
  <c r="G3121" i="3"/>
  <c r="G2773" i="3"/>
  <c r="G2774" i="3"/>
  <c r="G2775" i="3"/>
  <c r="G2776" i="3"/>
  <c r="G2777" i="3"/>
  <c r="G2778" i="3"/>
  <c r="G2779" i="3"/>
  <c r="G2780" i="3"/>
  <c r="G2781" i="3"/>
  <c r="G2785" i="3"/>
  <c r="G2786" i="3"/>
  <c r="G2787" i="3"/>
  <c r="G2788" i="3"/>
  <c r="G2789" i="3"/>
  <c r="G2790" i="3"/>
  <c r="G2791" i="3"/>
  <c r="G2792" i="3"/>
  <c r="G2793" i="3"/>
  <c r="G2794" i="3"/>
  <c r="G2795" i="3"/>
  <c r="G3004" i="3"/>
  <c r="G3006" i="3"/>
  <c r="G3008" i="3"/>
  <c r="G3012" i="3"/>
  <c r="G3017" i="3"/>
  <c r="G3021" i="3"/>
  <c r="G3037" i="3"/>
  <c r="G3038" i="3"/>
  <c r="G3039" i="3"/>
  <c r="G3042" i="3"/>
  <c r="G3043" i="3"/>
  <c r="G3044" i="3"/>
  <c r="G3055" i="3"/>
  <c r="G3056" i="3"/>
  <c r="G3057" i="3"/>
  <c r="G2846" i="3"/>
  <c r="G2847" i="3"/>
  <c r="G2840" i="3"/>
  <c r="G2843" i="3"/>
  <c r="G2851" i="3"/>
  <c r="G2867" i="3"/>
  <c r="G2868" i="3"/>
  <c r="G2877" i="3"/>
  <c r="G2898" i="3"/>
  <c r="G2901" i="3"/>
  <c r="G2905" i="3"/>
  <c r="G2922" i="3"/>
  <c r="G2928" i="3"/>
  <c r="G2931" i="3"/>
  <c r="G2974" i="3"/>
  <c r="G2977" i="3"/>
  <c r="G2978" i="3"/>
  <c r="G2970" i="3"/>
  <c r="G2973" i="3"/>
  <c r="G2982" i="3"/>
  <c r="G2912" i="3"/>
  <c r="G2913" i="3"/>
  <c r="G2915" i="3"/>
  <c r="G394" i="3"/>
  <c r="G395" i="3"/>
  <c r="G2860" i="3"/>
  <c r="G2861" i="3"/>
  <c r="G2918" i="3"/>
  <c r="G2953" i="3"/>
  <c r="G3117" i="3"/>
  <c r="G2831" i="3"/>
  <c r="G2923" i="3"/>
  <c r="G2959" i="3"/>
  <c r="G330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3005" i="3"/>
  <c r="G3010" i="3"/>
  <c r="G3040" i="3"/>
  <c r="G2869" i="3"/>
  <c r="G2870" i="3"/>
  <c r="G2940" i="3"/>
  <c r="G2941" i="3"/>
  <c r="G2724" i="3"/>
  <c r="G2725" i="3"/>
  <c r="G413" i="3"/>
  <c r="G414" i="3"/>
  <c r="G1268" i="3"/>
  <c r="G1269" i="3"/>
  <c r="G1270" i="3"/>
  <c r="G2424" i="3"/>
  <c r="G2428" i="3"/>
  <c r="G2425" i="3"/>
  <c r="G2426" i="3"/>
  <c r="G2749" i="3"/>
  <c r="G2750" i="3"/>
  <c r="G2751" i="3"/>
  <c r="G2753" i="3"/>
  <c r="G2480" i="3"/>
  <c r="G2481" i="3"/>
  <c r="G2482" i="3"/>
  <c r="G2469" i="3"/>
  <c r="G2471" i="3"/>
  <c r="G2473" i="3"/>
  <c r="G2474" i="3"/>
  <c r="G2475" i="3"/>
  <c r="G2477" i="3"/>
  <c r="G2605" i="3"/>
  <c r="G2606" i="3"/>
  <c r="G2607" i="3"/>
  <c r="G3772" i="3"/>
  <c r="G3773" i="3"/>
  <c r="G2644" i="3"/>
  <c r="G2646" i="3"/>
  <c r="G2645" i="3"/>
  <c r="G2648" i="3"/>
  <c r="G2483" i="3"/>
  <c r="G2484" i="3"/>
  <c r="G4582" i="3"/>
  <c r="G4575" i="3"/>
  <c r="G4577" i="3"/>
  <c r="G4579" i="3"/>
  <c r="G4583" i="3"/>
  <c r="G4584" i="3"/>
  <c r="G4578" i="3"/>
  <c r="G4589" i="3"/>
  <c r="G4585" i="3"/>
  <c r="G4587" i="3"/>
  <c r="G2566" i="3"/>
  <c r="G2568" i="3"/>
  <c r="G2569" i="3"/>
  <c r="G2571" i="3"/>
  <c r="G2580" i="3"/>
  <c r="G2575" i="3"/>
  <c r="G2582" i="3"/>
  <c r="G2589" i="3"/>
  <c r="G2591" i="3"/>
  <c r="G2578" i="3"/>
  <c r="G2565" i="3"/>
  <c r="G2573" i="3"/>
  <c r="G2583" i="3"/>
  <c r="G2564" i="3"/>
  <c r="G2587" i="3"/>
  <c r="G2588" i="3"/>
  <c r="G2613" i="3"/>
  <c r="G2612" i="3"/>
  <c r="G2634" i="3"/>
  <c r="G2601" i="3"/>
  <c r="G2602" i="3"/>
  <c r="G2603" i="3"/>
  <c r="G2633" i="3"/>
  <c r="G2635" i="3"/>
  <c r="G2636" i="3"/>
  <c r="G2546" i="3"/>
  <c r="G2541" i="3"/>
  <c r="G2540" i="3"/>
  <c r="G2544" i="3"/>
  <c r="G2548" i="3"/>
  <c r="G2547" i="3"/>
  <c r="G2545" i="3"/>
  <c r="G2549" i="3"/>
  <c r="G2490" i="3"/>
  <c r="G2538" i="3"/>
  <c r="G2539" i="3"/>
  <c r="G2543" i="3"/>
  <c r="G2542" i="3"/>
  <c r="G2495" i="3"/>
  <c r="G2494" i="3"/>
  <c r="G2499" i="3"/>
  <c r="G2500" i="3"/>
  <c r="G2502" i="3"/>
  <c r="G2501" i="3"/>
  <c r="G2505" i="3"/>
  <c r="G2503" i="3"/>
  <c r="G2504" i="3"/>
  <c r="G2511" i="3"/>
  <c r="G2510" i="3"/>
  <c r="G2512" i="3"/>
  <c r="G2496" i="3"/>
  <c r="G2515" i="3"/>
  <c r="G2498" i="3"/>
  <c r="G2516" i="3"/>
  <c r="G2517" i="3"/>
  <c r="G2642" i="3"/>
  <c r="G1799" i="3"/>
  <c r="G1789" i="3"/>
  <c r="G1790" i="3"/>
  <c r="G1791" i="3"/>
  <c r="G1818" i="3"/>
  <c r="G1819" i="3"/>
  <c r="G1798" i="3"/>
  <c r="G1807" i="3"/>
  <c r="G1808" i="3"/>
  <c r="G1809" i="3"/>
  <c r="G1817" i="3"/>
  <c r="G1804" i="3"/>
  <c r="G1801" i="3"/>
  <c r="G1802" i="3"/>
  <c r="G1812" i="3"/>
  <c r="G1814" i="3"/>
  <c r="G1816" i="3"/>
  <c r="G1794" i="3"/>
  <c r="G1795" i="3"/>
  <c r="G2604" i="3"/>
  <c r="G2454" i="3"/>
  <c r="G2455" i="3"/>
  <c r="G2450" i="3"/>
  <c r="G2445" i="3"/>
  <c r="G2446" i="3"/>
  <c r="G2447" i="3"/>
  <c r="G2448" i="3"/>
  <c r="G2449" i="3"/>
  <c r="G2452" i="3"/>
  <c r="G2453" i="3"/>
  <c r="G2458" i="3"/>
  <c r="G2463" i="3"/>
  <c r="G1806" i="3"/>
  <c r="G2608" i="3"/>
  <c r="G2609" i="3"/>
  <c r="G2610" i="3"/>
  <c r="G2518" i="3"/>
  <c r="G2519" i="3"/>
  <c r="G2596" i="3"/>
  <c r="G2598" i="3"/>
  <c r="G2599" i="3"/>
  <c r="G2637" i="3"/>
  <c r="G2638" i="3"/>
  <c r="G2550" i="3"/>
  <c r="G2552" i="3"/>
  <c r="G2553" i="3"/>
  <c r="G2551" i="3"/>
  <c r="G2647" i="3"/>
  <c r="G2556" i="3"/>
  <c r="G2557" i="3"/>
  <c r="G2558" i="3"/>
  <c r="G2559" i="3"/>
  <c r="G2561" i="3"/>
  <c r="G2563" i="3"/>
  <c r="G2562" i="3"/>
  <c r="G2443" i="3"/>
  <c r="G328" i="3"/>
  <c r="G329" i="3"/>
  <c r="G330" i="3"/>
  <c r="G331" i="3"/>
  <c r="G2441" i="3"/>
  <c r="G2442" i="3"/>
  <c r="G2444" i="3"/>
  <c r="G2451" i="3"/>
  <c r="G2456" i="3"/>
  <c r="G2457" i="3"/>
  <c r="G2459" i="3"/>
  <c r="G2460" i="3"/>
  <c r="G2461" i="3"/>
  <c r="G2462" i="3"/>
  <c r="G2464" i="3"/>
  <c r="G2485" i="3"/>
  <c r="G2489" i="3"/>
  <c r="G2611" i="3"/>
  <c r="G2486" i="3"/>
  <c r="G2487" i="3"/>
  <c r="G2488" i="3"/>
  <c r="G2597" i="3"/>
  <c r="G2491" i="3"/>
  <c r="G2592" i="3"/>
  <c r="G2593" i="3"/>
  <c r="G2616" i="3"/>
  <c r="G2614" i="3"/>
  <c r="G2615" i="3"/>
  <c r="G2618" i="3"/>
  <c r="G2619" i="3"/>
  <c r="G2617" i="3"/>
  <c r="G2621" i="3"/>
  <c r="G2622" i="3"/>
  <c r="G2620" i="3"/>
  <c r="G2623" i="3"/>
  <c r="G2624" i="3"/>
  <c r="G2630" i="3"/>
  <c r="G2641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2061" i="3"/>
  <c r="G2060" i="3"/>
  <c r="G139" i="3"/>
  <c r="G140" i="3"/>
  <c r="G388" i="3"/>
  <c r="G389" i="3"/>
  <c r="G2076" i="3"/>
  <c r="G2077" i="3"/>
  <c r="G4650" i="3"/>
  <c r="G133" i="3"/>
  <c r="G134" i="3"/>
  <c r="G154" i="3"/>
  <c r="G155" i="3"/>
  <c r="G156" i="3"/>
  <c r="G157" i="3"/>
  <c r="G529" i="3"/>
  <c r="G530" i="3"/>
  <c r="G531" i="3"/>
  <c r="G532" i="3"/>
  <c r="G533" i="3"/>
  <c r="G1538" i="3"/>
  <c r="G1541" i="3"/>
  <c r="G1542" i="3"/>
  <c r="G1543" i="3"/>
  <c r="G1774" i="3"/>
  <c r="G1775" i="3"/>
  <c r="G1776" i="3"/>
  <c r="G1892" i="3"/>
  <c r="G3290" i="3"/>
  <c r="G321" i="3"/>
  <c r="G322" i="3"/>
  <c r="G1950" i="3"/>
  <c r="G1951" i="3"/>
  <c r="G1976" i="3"/>
  <c r="G1977" i="3"/>
  <c r="G1978" i="3"/>
  <c r="G1979" i="3"/>
  <c r="G1980" i="3"/>
  <c r="G1981" i="3"/>
  <c r="G4481" i="3"/>
  <c r="G4482" i="3"/>
  <c r="G4483" i="3"/>
  <c r="G4484" i="3"/>
  <c r="G4485" i="3"/>
  <c r="G4486" i="3"/>
  <c r="G4494" i="3"/>
  <c r="G4495" i="3"/>
  <c r="G4496" i="3"/>
  <c r="G4497" i="3"/>
  <c r="G4498" i="3"/>
  <c r="G4488" i="3"/>
  <c r="G4489" i="3"/>
  <c r="G4490" i="3"/>
  <c r="G4491" i="3"/>
  <c r="G4492" i="3"/>
  <c r="G4493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992" i="3"/>
  <c r="G993" i="3"/>
  <c r="G994" i="3"/>
  <c r="G995" i="3"/>
  <c r="G2411" i="3"/>
  <c r="G2412" i="3"/>
  <c r="G2413" i="3"/>
  <c r="G2417" i="3"/>
  <c r="G2414" i="3"/>
  <c r="G2415" i="3"/>
  <c r="G2416" i="3"/>
  <c r="G2419" i="3"/>
  <c r="G4516" i="3"/>
  <c r="G4517" i="3"/>
  <c r="G4420" i="3"/>
  <c r="G4518" i="3"/>
  <c r="G1267" i="3"/>
  <c r="G2270" i="3"/>
  <c r="G2271" i="3"/>
  <c r="G1240" i="3"/>
  <c r="G1838" i="3"/>
  <c r="G1841" i="3"/>
  <c r="G1852" i="3"/>
  <c r="G1861" i="3"/>
  <c r="G1863" i="3"/>
  <c r="G1869" i="3"/>
  <c r="G1871" i="3"/>
  <c r="G1873" i="3"/>
  <c r="G1864" i="3"/>
  <c r="G4181" i="3"/>
  <c r="G4197" i="3"/>
  <c r="G4198" i="3"/>
  <c r="G4199" i="3"/>
  <c r="G4200" i="3"/>
  <c r="G4201" i="3"/>
  <c r="G4253" i="3"/>
  <c r="G4254" i="3"/>
  <c r="G4255" i="3"/>
  <c r="G4291" i="3"/>
  <c r="G4292" i="3"/>
  <c r="G4293" i="3"/>
  <c r="G4213" i="3"/>
  <c r="G4220" i="3"/>
  <c r="G4280" i="3"/>
  <c r="G4326" i="3"/>
  <c r="G4331" i="3"/>
  <c r="G4345" i="3"/>
  <c r="G4205" i="3"/>
  <c r="G4225" i="3"/>
  <c r="G4231" i="3"/>
  <c r="G4237" i="3"/>
  <c r="G4258" i="3"/>
  <c r="G4290" i="3"/>
  <c r="G4297" i="3"/>
  <c r="G4302" i="3"/>
  <c r="G4307" i="3"/>
  <c r="G4313" i="3"/>
  <c r="G4318" i="3"/>
  <c r="G4324" i="3"/>
  <c r="G3506" i="3"/>
  <c r="G3507" i="3"/>
  <c r="G3498" i="3"/>
  <c r="G3499" i="3"/>
  <c r="G655" i="3"/>
  <c r="G2653" i="3"/>
  <c r="G217" i="3"/>
  <c r="G1960" i="3"/>
  <c r="G254" i="3"/>
  <c r="G1371" i="3"/>
  <c r="G1376" i="3"/>
  <c r="G1357" i="3"/>
  <c r="G2093" i="3"/>
  <c r="G202" i="3"/>
  <c r="G3332" i="3"/>
  <c r="G3333" i="3"/>
  <c r="G3334" i="3"/>
  <c r="G3335" i="3"/>
  <c r="G3336" i="3"/>
  <c r="G3338" i="3"/>
  <c r="G3853" i="3"/>
  <c r="G195" i="3"/>
  <c r="G260" i="3"/>
  <c r="G3324" i="3"/>
  <c r="G3326" i="3"/>
  <c r="G3328" i="3"/>
  <c r="G3330" i="3"/>
  <c r="G537" i="3"/>
  <c r="G795" i="3"/>
  <c r="G788" i="3"/>
  <c r="G798" i="3"/>
  <c r="G806" i="3"/>
  <c r="G792" i="3"/>
  <c r="G786" i="3"/>
  <c r="G832" i="3"/>
  <c r="G829" i="3"/>
  <c r="G863" i="3"/>
  <c r="G874" i="3"/>
  <c r="G867" i="3"/>
  <c r="G892" i="3"/>
  <c r="G898" i="3"/>
  <c r="G909" i="3"/>
  <c r="G901" i="3"/>
  <c r="G889" i="3"/>
  <c r="G886" i="3"/>
  <c r="G3980" i="3"/>
  <c r="G3981" i="3"/>
  <c r="G4013" i="3"/>
  <c r="G4014" i="3"/>
  <c r="G4087" i="3"/>
  <c r="G4088" i="3"/>
  <c r="G2875" i="3"/>
  <c r="G2896" i="3"/>
  <c r="G2897" i="3"/>
  <c r="G2937" i="3"/>
  <c r="G2936" i="3"/>
  <c r="G2964" i="3"/>
  <c r="G3130" i="3"/>
  <c r="G3129" i="3"/>
  <c r="G3007" i="3"/>
  <c r="G2862" i="3"/>
  <c r="G4058" i="3"/>
  <c r="G4059" i="3"/>
  <c r="G2929" i="3"/>
  <c r="G3029" i="3"/>
  <c r="G3041" i="3"/>
  <c r="G2990" i="3"/>
  <c r="G2991" i="3"/>
  <c r="G2919" i="3"/>
  <c r="G2071" i="3"/>
  <c r="G984" i="3"/>
  <c r="G967" i="3"/>
  <c r="G972" i="3"/>
  <c r="G979" i="3"/>
  <c r="G4108" i="3"/>
  <c r="G4096" i="3"/>
  <c r="G4101" i="3"/>
  <c r="G2508" i="3"/>
  <c r="G2509" i="3"/>
  <c r="G2577" i="3"/>
  <c r="G384" i="3"/>
  <c r="G2069" i="3"/>
  <c r="G4329" i="3"/>
  <c r="G4336" i="3"/>
  <c r="G4343" i="3"/>
  <c r="G2217" i="3"/>
  <c r="G2219" i="3"/>
  <c r="G4662" i="3"/>
  <c r="G3203" i="3"/>
  <c r="G3957" i="3"/>
  <c r="G2938" i="3"/>
  <c r="G1856" i="3"/>
  <c r="G1666" i="3"/>
  <c r="G1627" i="3"/>
  <c r="G144" i="3"/>
  <c r="G145" i="3"/>
  <c r="G142" i="3"/>
  <c r="G2078" i="3"/>
  <c r="G1480" i="3"/>
  <c r="G1481" i="3"/>
  <c r="G1473" i="3"/>
  <c r="G1475" i="3"/>
  <c r="G1479" i="3"/>
  <c r="G1777" i="3"/>
  <c r="G639" i="3"/>
  <c r="G633" i="3"/>
  <c r="G534" i="3"/>
  <c r="G535" i="3"/>
  <c r="G550" i="3"/>
  <c r="G551" i="3"/>
  <c r="G2534" i="3"/>
  <c r="G3202" i="3"/>
  <c r="G1486" i="3"/>
  <c r="G2594" i="3"/>
  <c r="G2595" i="3"/>
  <c r="G1820" i="3"/>
  <c r="G1787" i="3"/>
  <c r="G1788" i="3"/>
  <c r="G2939" i="3"/>
  <c r="G4509" i="3"/>
  <c r="G4510" i="3"/>
  <c r="G4500" i="3"/>
  <c r="G4502" i="3"/>
  <c r="G4503" i="3"/>
  <c r="G1847" i="3"/>
  <c r="G1621" i="3"/>
  <c r="G1645" i="3"/>
  <c r="G3723" i="3"/>
  <c r="G1195" i="3"/>
  <c r="G1191" i="3"/>
  <c r="G141" i="3"/>
  <c r="G1700" i="3"/>
  <c r="G1699" i="3"/>
  <c r="G3540" i="3"/>
  <c r="G2429" i="3"/>
  <c r="G3524" i="3"/>
  <c r="G3525" i="3"/>
  <c r="G2130" i="3"/>
  <c r="G604" i="3"/>
  <c r="G1145" i="3"/>
  <c r="G1738" i="3"/>
  <c r="G1739" i="3"/>
  <c r="G2297" i="3"/>
  <c r="G2810" i="3"/>
  <c r="G1555" i="3"/>
  <c r="G1556" i="3"/>
  <c r="G4525" i="3"/>
  <c r="G4630" i="3"/>
  <c r="G4631" i="3"/>
  <c r="G4595" i="3"/>
  <c r="G1016" i="3"/>
  <c r="G2296" i="3"/>
  <c r="G4146" i="3"/>
  <c r="G2572" i="3"/>
  <c r="G2288" i="3"/>
  <c r="G2289" i="3"/>
  <c r="G3145" i="3"/>
  <c r="G3292" i="3"/>
  <c r="G205" i="3"/>
  <c r="G204" i="3"/>
  <c r="G206" i="3"/>
  <c r="G207" i="3"/>
  <c r="G209" i="3"/>
  <c r="G208" i="3"/>
  <c r="G1544" i="3"/>
  <c r="G3908" i="3"/>
  <c r="G3904" i="3"/>
  <c r="G2740" i="3"/>
  <c r="G2579" i="3"/>
  <c r="G2574" i="3"/>
  <c r="G2535" i="3"/>
  <c r="G2529" i="3"/>
  <c r="G1811" i="3"/>
  <c r="G1815" i="3"/>
  <c r="G1813" i="3"/>
  <c r="G2468" i="3"/>
  <c r="G2467" i="3"/>
  <c r="G2465" i="3"/>
  <c r="G2478" i="3"/>
  <c r="G4581" i="3"/>
  <c r="G4580" i="3"/>
  <c r="G4591" i="3"/>
  <c r="G3154" i="3"/>
  <c r="G3156" i="3"/>
  <c r="G3168" i="3"/>
  <c r="G3172" i="3"/>
  <c r="G3170" i="3"/>
  <c r="G3182" i="3"/>
  <c r="G3184" i="3"/>
  <c r="G3161" i="3"/>
  <c r="G3163" i="3"/>
  <c r="G3174" i="3"/>
  <c r="G3176" i="3"/>
  <c r="G3187" i="3"/>
  <c r="G3189" i="3"/>
  <c r="G1885" i="3"/>
  <c r="G3340" i="3"/>
  <c r="G3342" i="3"/>
  <c r="G3354" i="3"/>
  <c r="G3356" i="3"/>
  <c r="G3370" i="3"/>
  <c r="G3373" i="3"/>
  <c r="G3347" i="3"/>
  <c r="G3349" i="3"/>
  <c r="G3361" i="3"/>
  <c r="G3363" i="3"/>
  <c r="G3377" i="3"/>
  <c r="G3379" i="3"/>
  <c r="G3520" i="3"/>
  <c r="G3518" i="3"/>
  <c r="G3536" i="3"/>
  <c r="G3534" i="3"/>
  <c r="G3547" i="3"/>
  <c r="G3544" i="3"/>
  <c r="G3554" i="3"/>
  <c r="G3514" i="3"/>
  <c r="G3523" i="3"/>
  <c r="G3530" i="3"/>
  <c r="G4474" i="3"/>
  <c r="G4476" i="3"/>
  <c r="G2127" i="3"/>
  <c r="G1778" i="3"/>
  <c r="G2396" i="3"/>
  <c r="G2399" i="3"/>
  <c r="G561" i="3"/>
  <c r="G562" i="3"/>
  <c r="G538" i="3"/>
  <c r="G1281" i="3"/>
  <c r="G1273" i="3"/>
  <c r="G1280" i="3"/>
  <c r="G3784" i="3"/>
  <c r="G1688" i="3"/>
  <c r="G1686" i="3"/>
  <c r="G1628" i="3"/>
  <c r="G1640" i="3"/>
  <c r="G1651" i="3"/>
  <c r="G1656" i="3"/>
  <c r="G1661" i="3"/>
  <c r="G1674" i="3"/>
  <c r="G1677" i="3"/>
  <c r="G1684" i="3"/>
  <c r="G2823" i="3"/>
  <c r="G3680" i="3"/>
  <c r="G3686" i="3"/>
  <c r="G3694" i="3"/>
  <c r="G3697" i="3"/>
  <c r="G3700" i="3"/>
  <c r="G3703" i="3"/>
  <c r="G2318" i="3"/>
  <c r="G2321" i="3"/>
  <c r="G2326" i="3"/>
  <c r="G2327" i="3"/>
  <c r="G2316" i="3"/>
  <c r="G3277" i="3"/>
  <c r="G3284" i="3"/>
  <c r="G3287" i="3"/>
  <c r="G3589" i="3"/>
  <c r="G3587" i="3"/>
  <c r="G3585" i="3"/>
  <c r="G3592" i="3"/>
  <c r="G3596" i="3"/>
  <c r="G3789" i="3"/>
  <c r="G3795" i="3"/>
  <c r="G3793" i="3"/>
  <c r="G3798" i="3"/>
  <c r="G419" i="3"/>
  <c r="G420" i="3"/>
  <c r="G1291" i="3"/>
  <c r="G3440" i="3"/>
  <c r="G952" i="3"/>
  <c r="G4507" i="3"/>
  <c r="G4499" i="3"/>
  <c r="G563" i="3"/>
  <c r="G536" i="3"/>
  <c r="G1141" i="3"/>
  <c r="G1140" i="3"/>
  <c r="G594" i="3"/>
  <c r="G1915" i="3"/>
  <c r="G1545" i="3"/>
  <c r="G3205" i="3"/>
  <c r="G3195" i="3"/>
  <c r="G2431" i="3"/>
  <c r="G2432" i="3"/>
  <c r="G3968" i="3"/>
  <c r="G2581" i="3"/>
  <c r="G1779" i="3"/>
  <c r="G3194" i="3"/>
  <c r="G4204" i="3"/>
  <c r="G4210" i="3"/>
  <c r="G4217" i="3"/>
  <c r="G4224" i="3"/>
  <c r="G4230" i="3"/>
  <c r="G4236" i="3"/>
  <c r="G1831" i="3"/>
  <c r="G1837" i="3"/>
  <c r="G3512" i="3"/>
  <c r="G3974" i="3"/>
  <c r="G3086" i="3"/>
  <c r="G3087" i="3"/>
  <c r="G2748" i="3"/>
  <c r="G3513" i="3"/>
  <c r="G3557" i="3"/>
  <c r="G3559" i="3"/>
  <c r="G1492" i="3"/>
  <c r="G2744" i="3"/>
  <c r="G3782" i="3"/>
  <c r="G2796" i="3"/>
  <c r="G4508" i="3"/>
  <c r="G1589" i="3"/>
  <c r="G1182" i="3"/>
  <c r="G502" i="3"/>
  <c r="G564" i="3"/>
  <c r="G175" i="3"/>
  <c r="G1474" i="3"/>
  <c r="G1478" i="3"/>
  <c r="G1471" i="3"/>
  <c r="G1472" i="3"/>
  <c r="G3833" i="3"/>
  <c r="G279" i="3"/>
  <c r="G3543" i="3"/>
  <c r="G3551" i="3"/>
  <c r="G2080" i="3"/>
  <c r="G2008" i="3"/>
  <c r="G2533" i="3"/>
  <c r="G2884" i="3"/>
  <c r="G2064" i="3"/>
  <c r="G2006" i="3"/>
  <c r="G4423" i="3"/>
  <c r="G4424" i="3"/>
  <c r="G4374" i="3"/>
  <c r="G593" i="3"/>
  <c r="G2319" i="3"/>
  <c r="G2320" i="3"/>
  <c r="G2325" i="3"/>
  <c r="G2328" i="3"/>
  <c r="G2322" i="3"/>
  <c r="G4477" i="3"/>
  <c r="G4478" i="3"/>
  <c r="G4480" i="3"/>
  <c r="G2129" i="3"/>
  <c r="G2128" i="3"/>
  <c r="G4167" i="3"/>
  <c r="G4171" i="3"/>
  <c r="G4202" i="3"/>
  <c r="G4203" i="3"/>
  <c r="G4242" i="3"/>
  <c r="G4266" i="3"/>
  <c r="G4270" i="3"/>
  <c r="G4274" i="3"/>
  <c r="G4278" i="3"/>
  <c r="G4282" i="3"/>
  <c r="G4287" i="3"/>
  <c r="G4340" i="3"/>
  <c r="G4296" i="3"/>
  <c r="G4306" i="3"/>
  <c r="G4312" i="3"/>
  <c r="G4317" i="3"/>
  <c r="G4323" i="3"/>
  <c r="G4328" i="3"/>
  <c r="G4335" i="3"/>
  <c r="G4342" i="3"/>
  <c r="G4346" i="3"/>
  <c r="G4301" i="3"/>
  <c r="G1851" i="3"/>
  <c r="G1860" i="3"/>
  <c r="G1867" i="3"/>
  <c r="G1611" i="3"/>
  <c r="G1615" i="3"/>
  <c r="G385" i="3"/>
  <c r="G1272" i="3"/>
  <c r="G1648" i="3"/>
  <c r="G1607" i="3"/>
  <c r="G1605" i="3"/>
  <c r="G1606" i="3"/>
  <c r="G1290" i="3"/>
  <c r="G450" i="3"/>
  <c r="G451" i="3"/>
  <c r="G452" i="3"/>
  <c r="G3671" i="3"/>
  <c r="G3670" i="3"/>
  <c r="G3672" i="3"/>
  <c r="G3673" i="3"/>
  <c r="G3674" i="3"/>
  <c r="G3675" i="3"/>
  <c r="G3676" i="3"/>
  <c r="G3688" i="3"/>
  <c r="G3690" i="3"/>
  <c r="G3692" i="3"/>
  <c r="G3390" i="3"/>
  <c r="G3392" i="3"/>
  <c r="G3900" i="3"/>
  <c r="G485" i="3"/>
  <c r="G4538" i="3"/>
  <c r="G584" i="3"/>
  <c r="G407" i="3"/>
  <c r="G410" i="3"/>
  <c r="G2914" i="3"/>
  <c r="G272" i="3"/>
  <c r="G3164" i="3"/>
  <c r="G3177" i="3"/>
  <c r="G1642" i="3"/>
  <c r="G3408" i="3"/>
  <c r="G3209" i="3"/>
  <c r="G3216" i="3"/>
  <c r="G3218" i="3"/>
  <c r="G1882" i="3"/>
  <c r="G3384" i="3"/>
  <c r="G3386" i="3"/>
  <c r="G3343" i="3"/>
  <c r="G2121" i="3"/>
  <c r="G4164" i="3"/>
  <c r="G3679" i="3"/>
  <c r="G3949" i="3"/>
  <c r="G3695" i="3"/>
  <c r="G1973" i="3"/>
  <c r="G2755" i="3"/>
  <c r="G449" i="3"/>
  <c r="G320" i="3"/>
  <c r="G2418" i="3"/>
  <c r="G4390" i="3"/>
  <c r="G4385" i="3"/>
  <c r="G3606" i="3"/>
  <c r="G4394" i="3"/>
  <c r="G1052" i="3"/>
  <c r="G4596" i="3"/>
  <c r="G143" i="3"/>
  <c r="G681" i="3"/>
  <c r="G2567" i="3"/>
  <c r="G2570" i="3"/>
  <c r="G2466" i="3"/>
  <c r="G2476" i="3"/>
  <c r="G2661" i="3"/>
  <c r="G2663" i="3"/>
  <c r="G2657" i="3"/>
  <c r="G2659" i="3"/>
  <c r="G3561" i="3"/>
  <c r="G4473" i="3"/>
  <c r="G4182" i="3"/>
  <c r="G4175" i="3"/>
  <c r="G4179" i="3"/>
  <c r="G1630" i="3"/>
  <c r="G2824" i="3"/>
  <c r="G3682" i="3"/>
  <c r="G3684" i="3"/>
  <c r="G2323" i="3"/>
  <c r="G2324" i="3"/>
  <c r="G3663" i="3"/>
  <c r="G1159" i="3"/>
  <c r="G2317" i="3"/>
  <c r="G4079" i="3"/>
  <c r="G293" i="3"/>
  <c r="G294" i="3"/>
  <c r="G261" i="3"/>
  <c r="G258" i="3"/>
  <c r="G3917" i="3"/>
  <c r="G3918" i="3"/>
  <c r="G3937" i="3"/>
  <c r="G3909" i="3"/>
  <c r="G3910" i="3"/>
  <c r="G3911" i="3"/>
  <c r="G2376" i="3"/>
  <c r="G1780" i="3"/>
  <c r="G4163" i="3"/>
  <c r="G2470" i="3"/>
  <c r="G2472" i="3"/>
  <c r="G2291" i="3"/>
  <c r="G2292" i="3"/>
  <c r="G1969" i="3"/>
  <c r="G1966" i="3"/>
  <c r="G3368" i="3"/>
  <c r="G2662" i="3"/>
  <c r="G4475" i="3"/>
  <c r="G2119" i="3"/>
  <c r="G1161" i="3"/>
  <c r="G1162" i="3"/>
  <c r="G717" i="3"/>
  <c r="G4257" i="3"/>
  <c r="G4541" i="3"/>
  <c r="G151" i="3"/>
  <c r="G1494" i="3"/>
  <c r="G1498" i="3"/>
  <c r="G3245" i="3"/>
  <c r="G304" i="3"/>
  <c r="G186" i="3"/>
  <c r="G185" i="3"/>
  <c r="G174" i="3"/>
  <c r="G184" i="3"/>
  <c r="G170" i="3"/>
  <c r="G169" i="3"/>
  <c r="G3724" i="3"/>
  <c r="G3934" i="3"/>
  <c r="G3933" i="3"/>
  <c r="G3869" i="3"/>
  <c r="G3935" i="3"/>
  <c r="G3626" i="3"/>
  <c r="G3627" i="3"/>
  <c r="G3138" i="3"/>
  <c r="G649" i="3"/>
  <c r="G4304" i="3"/>
  <c r="G761" i="3"/>
  <c r="G759" i="3"/>
  <c r="G757" i="3"/>
  <c r="G153" i="3"/>
  <c r="G152" i="3"/>
  <c r="G4263" i="3"/>
  <c r="G2054" i="3"/>
  <c r="G3064" i="3"/>
  <c r="G1805" i="3"/>
  <c r="G1271" i="3"/>
  <c r="G2313" i="3"/>
  <c r="G1858" i="3"/>
  <c r="G3781" i="3"/>
  <c r="G4162" i="3"/>
  <c r="G1619" i="3"/>
  <c r="G2386" i="3"/>
  <c r="G2378" i="3"/>
  <c r="G3381" i="3"/>
  <c r="G3366" i="3"/>
  <c r="G4156" i="3"/>
  <c r="G4157" i="3"/>
  <c r="G4161" i="3"/>
  <c r="G4286" i="3"/>
  <c r="G1690" i="3"/>
  <c r="G4158" i="3"/>
  <c r="G4159" i="3"/>
  <c r="G3803" i="3"/>
  <c r="G2784" i="3"/>
  <c r="G3358" i="3"/>
  <c r="G1620" i="3"/>
  <c r="G1609" i="3"/>
  <c r="G1608" i="3"/>
  <c r="G4359" i="3"/>
  <c r="G4360" i="3"/>
  <c r="G4160" i="3"/>
  <c r="G4145" i="3"/>
  <c r="G3382" i="3"/>
  <c r="G758" i="3"/>
  <c r="G2194" i="3"/>
  <c r="G2213" i="3"/>
  <c r="G1997" i="3"/>
  <c r="G606" i="3"/>
  <c r="G3516" i="3"/>
  <c r="G3532" i="3"/>
  <c r="G2656" i="3"/>
  <c r="G2658" i="3"/>
  <c r="G2660" i="3"/>
  <c r="G3242" i="3"/>
  <c r="G3243" i="3"/>
  <c r="G4353" i="3"/>
  <c r="G4351" i="3"/>
  <c r="G4349" i="3"/>
  <c r="G1398" i="3"/>
  <c r="G882" i="3"/>
  <c r="G881" i="3"/>
  <c r="G885" i="3"/>
  <c r="G1855" i="3"/>
  <c r="G3580" i="3"/>
  <c r="G3581" i="3"/>
  <c r="G2114" i="3"/>
  <c r="G1970" i="3"/>
  <c r="G1368" i="3"/>
  <c r="G3698" i="3"/>
  <c r="G598" i="3"/>
  <c r="G4246" i="3"/>
  <c r="G3278" i="3"/>
  <c r="G3281" i="3"/>
  <c r="G3288" i="3"/>
  <c r="G1449" i="3"/>
  <c r="G1448" i="3"/>
  <c r="G3838" i="3"/>
  <c r="G3837" i="3"/>
  <c r="G3839" i="3"/>
  <c r="G1044" i="3"/>
  <c r="G1547" i="3"/>
  <c r="G1558" i="3"/>
  <c r="G4598" i="3"/>
  <c r="G2299" i="3"/>
  <c r="G2811" i="3"/>
  <c r="G1742" i="3"/>
  <c r="G1741" i="3"/>
  <c r="G932" i="3"/>
  <c r="G3244" i="3"/>
  <c r="G2088" i="3"/>
  <c r="G1138" i="3"/>
  <c r="G326" i="3"/>
  <c r="G3207" i="3"/>
  <c r="G3775" i="3"/>
  <c r="G3774" i="3"/>
  <c r="G3399" i="3"/>
  <c r="G1149" i="3"/>
  <c r="G953" i="3"/>
  <c r="G2055" i="3"/>
  <c r="G3246" i="3"/>
  <c r="G3247" i="3"/>
  <c r="G2439" i="3"/>
  <c r="G2423" i="3"/>
  <c r="G124" i="3"/>
  <c r="G125" i="3"/>
  <c r="G3759" i="3"/>
  <c r="G3760" i="3"/>
  <c r="G3761" i="3"/>
  <c r="G3762" i="3"/>
  <c r="G3763" i="3"/>
  <c r="G3764" i="3"/>
  <c r="G4636" i="3"/>
  <c r="G4635" i="3"/>
  <c r="G506" i="3"/>
  <c r="G507" i="3"/>
  <c r="G2733" i="3"/>
  <c r="G2822" i="3"/>
  <c r="G314" i="3"/>
  <c r="G313" i="3"/>
  <c r="G1187" i="3"/>
  <c r="G1168" i="3"/>
  <c r="G1167" i="3"/>
  <c r="G1166" i="3"/>
  <c r="G3560" i="3"/>
  <c r="G1251" i="3"/>
  <c r="G4361" i="3"/>
  <c r="G2996" i="3"/>
  <c r="G4187" i="3"/>
  <c r="G4557" i="3"/>
  <c r="G4559" i="3"/>
  <c r="G3624" i="3"/>
  <c r="G3727" i="3"/>
  <c r="G585" i="3"/>
  <c r="G4511" i="3"/>
  <c r="G3375" i="3"/>
  <c r="G2125" i="3"/>
  <c r="G2798" i="3"/>
  <c r="G2799" i="3"/>
  <c r="G1503" i="3"/>
  <c r="G3527" i="3"/>
  <c r="G4542" i="3"/>
  <c r="G39" i="3"/>
  <c r="G90" i="3"/>
  <c r="G99" i="3"/>
  <c r="G79" i="3"/>
  <c r="G32" i="3"/>
  <c r="G92" i="3"/>
  <c r="G93" i="3"/>
  <c r="G102" i="3"/>
  <c r="G83" i="3"/>
  <c r="G117" i="3"/>
  <c r="G121" i="3"/>
  <c r="G35" i="3"/>
  <c r="G3403" i="3"/>
  <c r="G122" i="3"/>
  <c r="G115" i="3"/>
  <c r="G91" i="3"/>
  <c r="G100" i="3"/>
  <c r="G81" i="3"/>
  <c r="G113" i="3"/>
  <c r="G34" i="3"/>
  <c r="G51" i="3"/>
  <c r="G74" i="3"/>
  <c r="G62" i="3"/>
  <c r="G95" i="3"/>
  <c r="G106" i="3"/>
  <c r="G87" i="3"/>
  <c r="G119" i="3"/>
  <c r="G123" i="3"/>
  <c r="G64" i="3"/>
  <c r="G54" i="3"/>
  <c r="G89" i="3"/>
  <c r="G96" i="3"/>
  <c r="G77" i="3"/>
  <c r="G109" i="3"/>
  <c r="G116" i="3"/>
  <c r="G120" i="3"/>
  <c r="G27" i="3"/>
  <c r="G49" i="3"/>
  <c r="G72" i="3"/>
  <c r="G61" i="3"/>
  <c r="G94" i="3"/>
  <c r="G104" i="3"/>
  <c r="G85" i="3"/>
  <c r="G118" i="3"/>
  <c r="G3582" i="3"/>
  <c r="G580" i="3"/>
  <c r="G577" i="3"/>
  <c r="G1800" i="3"/>
  <c r="G1504" i="3"/>
  <c r="G3529" i="3"/>
  <c r="G2349" i="3"/>
  <c r="G3084" i="3"/>
  <c r="G3085" i="3"/>
  <c r="G1865" i="3"/>
  <c r="G1866" i="3"/>
  <c r="G3834" i="3"/>
  <c r="G3835" i="3"/>
  <c r="G1491" i="3"/>
  <c r="G1490" i="3"/>
  <c r="G1987" i="3"/>
  <c r="G3730" i="3"/>
  <c r="G573" i="3"/>
  <c r="G3295" i="3"/>
  <c r="G3299" i="3"/>
  <c r="G3211" i="3"/>
  <c r="G686" i="3"/>
  <c r="G687" i="3"/>
  <c r="G3894" i="3"/>
  <c r="G1810" i="3"/>
  <c r="G991" i="3"/>
  <c r="G2329" i="3"/>
  <c r="G2227" i="3"/>
  <c r="G2232" i="3"/>
  <c r="G2229" i="3"/>
  <c r="G327" i="3"/>
  <c r="G3500" i="3"/>
  <c r="G3501" i="3"/>
  <c r="G3502" i="3"/>
  <c r="G2337" i="3"/>
  <c r="G2230" i="3"/>
  <c r="G2228" i="3"/>
  <c r="G2384" i="3"/>
  <c r="G2377" i="3"/>
  <c r="G1989" i="3"/>
  <c r="G4515" i="3"/>
  <c r="G4512" i="3"/>
  <c r="G4514" i="3"/>
  <c r="G4513" i="3"/>
  <c r="G1636" i="3"/>
  <c r="G3528" i="3"/>
  <c r="G2531" i="3"/>
  <c r="G2532" i="3"/>
  <c r="G3567" i="3"/>
  <c r="G3566" i="3"/>
  <c r="G685" i="3"/>
  <c r="G1793" i="3"/>
  <c r="G4602" i="3"/>
  <c r="G4601" i="3"/>
  <c r="G4603" i="3"/>
  <c r="G3862" i="3"/>
  <c r="G3861" i="3"/>
  <c r="G4479" i="3"/>
  <c r="G146" i="3"/>
  <c r="G3725" i="3"/>
  <c r="G3726" i="3"/>
  <c r="G3729" i="3"/>
  <c r="G1562" i="3"/>
  <c r="G4051" i="3"/>
  <c r="G4052" i="3"/>
  <c r="G688" i="3"/>
  <c r="G855" i="3"/>
  <c r="G951" i="3"/>
  <c r="G3196" i="3"/>
  <c r="G3374" i="3"/>
  <c r="G3350" i="3"/>
  <c r="G3158" i="3"/>
  <c r="G1493" i="3"/>
  <c r="G1497" i="3"/>
  <c r="G1501" i="3"/>
  <c r="G3577" i="3"/>
  <c r="G3538" i="3"/>
  <c r="G3549" i="3"/>
  <c r="G3545" i="3"/>
  <c r="G3556" i="3"/>
  <c r="G3515" i="3"/>
  <c r="G3526" i="3"/>
  <c r="G3531" i="3"/>
  <c r="G1055" i="3"/>
  <c r="G4501" i="3"/>
  <c r="G1618" i="3"/>
  <c r="G1617" i="3"/>
  <c r="G1241" i="3"/>
  <c r="G1234" i="3"/>
  <c r="G1235" i="3"/>
  <c r="G1236" i="3"/>
  <c r="G1238" i="3"/>
  <c r="G3661" i="3"/>
  <c r="G749" i="3"/>
  <c r="G1200" i="3"/>
  <c r="G1204" i="3"/>
  <c r="G1209" i="3"/>
  <c r="G1179" i="3"/>
  <c r="G1185" i="3"/>
  <c r="G23" i="3"/>
  <c r="G2" i="3"/>
  <c r="G21" i="3"/>
  <c r="G1252" i="3"/>
  <c r="G1237" i="3"/>
  <c r="G1239" i="3"/>
  <c r="G1625" i="3"/>
  <c r="G1939" i="3"/>
  <c r="G1943" i="3"/>
  <c r="G1935" i="3"/>
  <c r="G1941" i="3"/>
  <c r="G1933" i="3"/>
  <c r="G1930" i="3"/>
  <c r="G1937" i="3"/>
  <c r="G3105" i="3"/>
  <c r="G3106" i="3"/>
  <c r="G3565" i="3"/>
  <c r="G2397" i="3"/>
  <c r="G1638" i="3"/>
  <c r="G856" i="3"/>
  <c r="G2082" i="3"/>
  <c r="G2757" i="3"/>
  <c r="G2247" i="3"/>
  <c r="G2250" i="3"/>
  <c r="G2253" i="3"/>
  <c r="G2241" i="3"/>
  <c r="G2243" i="3"/>
  <c r="G2189" i="3"/>
  <c r="G2197" i="3"/>
  <c r="G2200" i="3"/>
  <c r="G2202" i="3"/>
  <c r="G2203" i="3"/>
  <c r="G2209" i="3"/>
  <c r="G2210" i="3"/>
  <c r="G2173" i="3"/>
  <c r="G2179" i="3"/>
  <c r="G2182" i="3"/>
  <c r="G1003" i="3"/>
  <c r="G1005" i="3"/>
  <c r="G1007" i="3"/>
  <c r="G1008" i="3"/>
  <c r="G1010" i="3"/>
  <c r="G1013" i="3"/>
  <c r="G1293" i="3"/>
  <c r="G247" i="3"/>
  <c r="G249" i="3"/>
  <c r="G248" i="3"/>
  <c r="G3903" i="3"/>
  <c r="G1803" i="3"/>
  <c r="G3579" i="3"/>
  <c r="G1972" i="3"/>
  <c r="G4576" i="3"/>
  <c r="G640" i="3"/>
  <c r="G1046" i="3"/>
  <c r="G2231" i="3"/>
  <c r="G2401" i="3"/>
  <c r="G2379" i="3"/>
  <c r="G2380" i="3"/>
  <c r="G2387" i="3"/>
  <c r="G2389" i="3"/>
  <c r="G2433" i="3"/>
  <c r="G2434" i="3"/>
  <c r="G2436" i="3"/>
  <c r="G2435" i="3"/>
  <c r="G1649" i="3"/>
  <c r="G2752" i="3"/>
  <c r="G1604" i="3"/>
  <c r="G215" i="3"/>
  <c r="G173" i="3"/>
  <c r="G3887" i="3"/>
  <c r="G3840" i="3"/>
  <c r="G242" i="3"/>
  <c r="G243" i="3"/>
  <c r="G244" i="3"/>
  <c r="G2205" i="3"/>
  <c r="G2916" i="3"/>
  <c r="G1936" i="3"/>
  <c r="G2951" i="3"/>
  <c r="G2952" i="3"/>
  <c r="G3109" i="3"/>
  <c r="G3110" i="3"/>
  <c r="G2690" i="3"/>
  <c r="G2691" i="3"/>
  <c r="G2688" i="3"/>
  <c r="G2689" i="3"/>
  <c r="G2692" i="3"/>
  <c r="G2693" i="3"/>
  <c r="G2694" i="3"/>
  <c r="G2695" i="3"/>
  <c r="G1554" i="3"/>
  <c r="G1553" i="3"/>
  <c r="G3410" i="3"/>
  <c r="G3508" i="3"/>
  <c r="G4555" i="3"/>
  <c r="G4556" i="3"/>
  <c r="G465" i="3"/>
  <c r="G468" i="3"/>
  <c r="G470" i="3"/>
  <c r="G1849" i="3"/>
  <c r="G2381" i="3"/>
  <c r="G1872" i="3"/>
  <c r="G4354" i="3"/>
  <c r="G4355" i="3"/>
  <c r="G3901" i="3"/>
  <c r="G616" i="3"/>
  <c r="G1971" i="3"/>
  <c r="G1974" i="3"/>
  <c r="G1975" i="3"/>
  <c r="G4356" i="3"/>
  <c r="G4357" i="3"/>
  <c r="G1255" i="3"/>
  <c r="G2917" i="3"/>
  <c r="G4105" i="3"/>
  <c r="G4093" i="3"/>
  <c r="G4095" i="3"/>
  <c r="G4098" i="3"/>
  <c r="G4102" i="3"/>
  <c r="G986" i="3"/>
  <c r="G3107" i="3"/>
  <c r="G3108" i="3"/>
  <c r="G3539" i="3"/>
  <c r="G1829" i="3"/>
  <c r="G3819" i="3"/>
  <c r="G2255" i="3"/>
  <c r="G3634" i="3"/>
  <c r="G748" i="3"/>
  <c r="G1743" i="3"/>
  <c r="G1146" i="3"/>
  <c r="G2701" i="3"/>
  <c r="G600" i="3"/>
  <c r="G1383" i="3"/>
  <c r="G270" i="3"/>
  <c r="G1384" i="3"/>
  <c r="G1590" i="3"/>
  <c r="G3921" i="3"/>
  <c r="G4606" i="3"/>
  <c r="G3504" i="3"/>
  <c r="G2732" i="3"/>
  <c r="G2684" i="3"/>
  <c r="G2685" i="3"/>
  <c r="G1658" i="3"/>
  <c r="G2216" i="3"/>
  <c r="G1177" i="3"/>
  <c r="G1349" i="3"/>
  <c r="G1350" i="3"/>
  <c r="G1351" i="3"/>
  <c r="G1352" i="3"/>
  <c r="G1353" i="3"/>
  <c r="G1354" i="3"/>
  <c r="G1355" i="3"/>
  <c r="G1356" i="3"/>
  <c r="G1705" i="3"/>
  <c r="G1706" i="3"/>
  <c r="G1707" i="3"/>
  <c r="G1714" i="3"/>
  <c r="G1708" i="3"/>
  <c r="G1709" i="3"/>
  <c r="G1710" i="3"/>
  <c r="G1711" i="3"/>
  <c r="G1712" i="3"/>
  <c r="G1713" i="3"/>
  <c r="G3813" i="3"/>
  <c r="G3814" i="3"/>
  <c r="G4055" i="3"/>
  <c r="G4056" i="3"/>
  <c r="G4057" i="3"/>
  <c r="G4148" i="3"/>
  <c r="G4149" i="3"/>
  <c r="G4150" i="3"/>
  <c r="G4151" i="3"/>
  <c r="G4152" i="3"/>
  <c r="G4627" i="3"/>
  <c r="G4628" i="3"/>
  <c r="G4629" i="3"/>
  <c r="G1230" i="3"/>
  <c r="G1231" i="3"/>
  <c r="G1232" i="3"/>
  <c r="G1644" i="3"/>
  <c r="G4208" i="3"/>
  <c r="G4215" i="3"/>
  <c r="G4222" i="3"/>
  <c r="G4228" i="3"/>
  <c r="G4234" i="3"/>
  <c r="G4240" i="3"/>
  <c r="G3701" i="3"/>
  <c r="G1188" i="3"/>
  <c r="G574" i="3"/>
  <c r="G1832" i="3"/>
  <c r="G2392" i="3"/>
  <c r="G1631" i="3"/>
  <c r="G4391" i="3"/>
  <c r="G3407" i="3"/>
  <c r="G2782" i="3"/>
  <c r="G629" i="3"/>
  <c r="G1176" i="3"/>
  <c r="G1347" i="3"/>
  <c r="G1348" i="3"/>
  <c r="G2728" i="3"/>
  <c r="G2729" i="3"/>
  <c r="G2730" i="3"/>
  <c r="G4654" i="3"/>
  <c r="G3800" i="3"/>
  <c r="G3801" i="3"/>
  <c r="G4183" i="3"/>
  <c r="G3742" i="3"/>
  <c r="G1527" i="3"/>
  <c r="G4611" i="3"/>
  <c r="G1718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I4550" i="1"/>
  <c r="I4574" i="1"/>
  <c r="I4582" i="1"/>
  <c r="I4614" i="1"/>
  <c r="I4630" i="1"/>
  <c r="I4638" i="1"/>
  <c r="I4426" i="1" l="1"/>
  <c r="I4248" i="1"/>
  <c r="I4265" i="1"/>
  <c r="I3759" i="1"/>
  <c r="I3829" i="1"/>
  <c r="I4189" i="1"/>
  <c r="I4324" i="1"/>
  <c r="I4192" i="1"/>
  <c r="I4435" i="1"/>
  <c r="I4486" i="1"/>
  <c r="I3934" i="1"/>
  <c r="I4471" i="1"/>
  <c r="I236" i="1"/>
  <c r="I4035" i="1"/>
  <c r="I4491" i="1"/>
  <c r="I4337" i="1"/>
  <c r="I2629" i="1"/>
  <c r="I220" i="1"/>
  <c r="I271" i="1"/>
  <c r="I290" i="1"/>
  <c r="I4089" i="1"/>
  <c r="I4220" i="1"/>
  <c r="I4423" i="1"/>
  <c r="I4442" i="1"/>
  <c r="I4465" i="1"/>
  <c r="I3181" i="1"/>
  <c r="I1102" i="1"/>
  <c r="I1264" i="1"/>
  <c r="I528" i="1"/>
  <c r="I548" i="1"/>
  <c r="I3284" i="1"/>
  <c r="I4424" i="1"/>
  <c r="I853" i="1"/>
  <c r="I922" i="1"/>
  <c r="I4262" i="1"/>
  <c r="I4308" i="1"/>
  <c r="I857" i="1"/>
  <c r="I2095" i="1"/>
  <c r="I2089" i="1"/>
  <c r="I4284" i="1"/>
  <c r="I1393" i="1"/>
  <c r="I1432" i="1"/>
  <c r="I3455" i="1"/>
  <c r="I3471" i="1"/>
  <c r="I3514" i="1"/>
  <c r="I4277" i="1"/>
  <c r="I3602" i="1"/>
  <c r="I484" i="1"/>
  <c r="I500" i="1"/>
  <c r="I1381" i="1"/>
  <c r="I2131" i="1"/>
  <c r="I2175" i="1"/>
  <c r="I2179" i="1"/>
  <c r="I1187" i="1"/>
  <c r="I1301" i="1"/>
  <c r="I1166" i="1"/>
  <c r="I2193" i="1"/>
  <c r="I1845" i="1"/>
  <c r="I1849" i="1"/>
  <c r="I3742" i="1"/>
  <c r="I67" i="1"/>
  <c r="I3672" i="1"/>
  <c r="I1303" i="1"/>
  <c r="I599" i="1"/>
  <c r="I558" i="1"/>
  <c r="I4431" i="1"/>
  <c r="I4448" i="1"/>
  <c r="I3694" i="1"/>
  <c r="I3698" i="1"/>
  <c r="I1459" i="1"/>
  <c r="I4422" i="1"/>
  <c r="I658" i="1"/>
  <c r="I708" i="1"/>
  <c r="I645" i="1"/>
  <c r="I757" i="1"/>
  <c r="I813" i="1"/>
  <c r="I860" i="1"/>
  <c r="I969" i="1"/>
  <c r="I833" i="1"/>
  <c r="I863" i="1"/>
  <c r="I902" i="1"/>
  <c r="I917" i="1"/>
  <c r="I921" i="1"/>
  <c r="I934" i="1"/>
  <c r="I938" i="1"/>
  <c r="I956" i="1"/>
  <c r="I960" i="1"/>
  <c r="I982" i="1"/>
  <c r="I912" i="1"/>
  <c r="I1013" i="1"/>
  <c r="I1025" i="1"/>
  <c r="I1029" i="1"/>
  <c r="I1053" i="1"/>
  <c r="I624" i="1"/>
  <c r="I644" i="1"/>
  <c r="I733" i="1"/>
  <c r="I822" i="1"/>
  <c r="I6" i="1"/>
  <c r="I18" i="1"/>
  <c r="I22" i="1"/>
  <c r="I1546" i="1"/>
  <c r="I401" i="1"/>
  <c r="I2612" i="1"/>
  <c r="I3260" i="1"/>
  <c r="I4078" i="1"/>
  <c r="I3999" i="1"/>
  <c r="I4028" i="1"/>
  <c r="I3989" i="1"/>
  <c r="I3038" i="1"/>
  <c r="I3031" i="1"/>
  <c r="I2674" i="1"/>
  <c r="I3711" i="1"/>
  <c r="I4345" i="1"/>
  <c r="I2268" i="1"/>
  <c r="I2401" i="1"/>
  <c r="I2646" i="1"/>
  <c r="I1472" i="1"/>
  <c r="I2323" i="1"/>
  <c r="I2620" i="1"/>
  <c r="I3262" i="1"/>
  <c r="I393" i="1"/>
  <c r="I1773" i="1"/>
  <c r="I1796" i="1"/>
  <c r="I3918" i="1"/>
  <c r="I3983" i="1"/>
  <c r="I3987" i="1"/>
  <c r="I4450" i="1"/>
  <c r="I4463" i="1"/>
  <c r="I4476" i="1"/>
  <c r="I2786" i="1"/>
  <c r="I27" i="1"/>
  <c r="I59" i="1"/>
  <c r="I43" i="1"/>
  <c r="I64" i="1"/>
  <c r="I3268" i="1"/>
  <c r="I2834" i="1"/>
  <c r="I1100" i="1"/>
  <c r="I1107" i="1"/>
  <c r="I1206" i="1"/>
  <c r="I1222" i="1"/>
  <c r="I1234" i="1"/>
  <c r="I1238" i="1"/>
  <c r="I1250" i="1"/>
  <c r="I1254" i="1"/>
  <c r="I1266" i="1"/>
  <c r="I1270" i="1"/>
  <c r="I1338" i="1"/>
  <c r="I1342" i="1"/>
  <c r="I2806" i="1"/>
  <c r="I1769" i="1"/>
  <c r="I4076" i="1"/>
  <c r="I542" i="1"/>
  <c r="I546" i="1"/>
  <c r="I524" i="1"/>
  <c r="I533" i="1"/>
  <c r="I3583" i="1"/>
  <c r="I3726" i="1"/>
  <c r="I2329" i="1"/>
  <c r="I1704" i="1"/>
  <c r="I1715" i="1"/>
  <c r="I1710" i="1"/>
  <c r="I1696" i="1"/>
  <c r="I477" i="1"/>
  <c r="I481" i="1"/>
  <c r="I494" i="1"/>
  <c r="I498" i="1"/>
  <c r="I2851" i="1"/>
  <c r="I2855" i="1"/>
  <c r="I2129" i="1"/>
  <c r="I554" i="1"/>
  <c r="I2259" i="1"/>
  <c r="I2342" i="1"/>
  <c r="I440" i="1"/>
  <c r="I2161" i="1"/>
  <c r="I2165" i="1"/>
  <c r="I2177" i="1"/>
  <c r="I2181" i="1"/>
  <c r="I2184" i="1"/>
  <c r="I1190" i="1"/>
  <c r="I1275" i="1"/>
  <c r="I1279" i="1"/>
  <c r="I1170" i="1"/>
  <c r="I1185" i="1"/>
  <c r="I1176" i="1"/>
  <c r="I1287" i="1"/>
  <c r="I2141" i="1"/>
  <c r="I2195" i="1"/>
  <c r="I1843" i="1"/>
  <c r="I1847" i="1"/>
  <c r="I1449" i="1"/>
  <c r="I2604" i="1"/>
  <c r="I3744" i="1"/>
  <c r="I3524" i="1"/>
  <c r="I4458" i="1"/>
  <c r="I110" i="1"/>
  <c r="I3637" i="1"/>
  <c r="I514" i="1"/>
  <c r="I2839" i="1"/>
  <c r="I3613" i="1"/>
  <c r="I1692" i="1"/>
  <c r="I2745" i="1"/>
  <c r="I2087" i="1"/>
  <c r="I3441" i="1"/>
  <c r="I2709" i="1"/>
  <c r="I1974" i="1"/>
  <c r="I1984" i="1"/>
  <c r="I3528" i="1"/>
  <c r="I3565" i="1"/>
  <c r="I146" i="1"/>
  <c r="I230" i="1"/>
  <c r="I4346" i="1"/>
  <c r="I4362" i="1"/>
  <c r="I1907" i="1"/>
  <c r="I2402" i="1"/>
  <c r="I2647" i="1"/>
  <c r="I3316" i="1"/>
  <c r="I1483" i="1"/>
  <c r="I1514" i="1"/>
  <c r="I1518" i="1"/>
  <c r="I1530" i="1"/>
  <c r="I1655" i="1"/>
  <c r="I1777" i="1"/>
  <c r="I1637" i="1"/>
  <c r="I1641" i="1"/>
  <c r="I1756" i="1"/>
  <c r="I1760" i="1"/>
  <c r="I4445" i="1"/>
  <c r="I2220" i="1"/>
  <c r="I3691" i="1"/>
  <c r="I3695" i="1"/>
  <c r="I390" i="1"/>
  <c r="I1793" i="1"/>
  <c r="I3919" i="1"/>
  <c r="I4468" i="1"/>
  <c r="I2787" i="1"/>
  <c r="I29" i="1"/>
  <c r="I32" i="1"/>
  <c r="I44" i="1"/>
  <c r="I91" i="1"/>
  <c r="I3425" i="1"/>
  <c r="I2835" i="1"/>
  <c r="I1108" i="1"/>
  <c r="I4026" i="1"/>
  <c r="I1199" i="1"/>
  <c r="I1231" i="1"/>
  <c r="I1243" i="1"/>
  <c r="I1259" i="1"/>
  <c r="I1263" i="1"/>
  <c r="I2811" i="1"/>
  <c r="I2831" i="1"/>
  <c r="I1333" i="1"/>
  <c r="I1766" i="1"/>
  <c r="I1770" i="1"/>
  <c r="I535" i="1"/>
  <c r="I539" i="1"/>
  <c r="I517" i="1"/>
  <c r="I521" i="1"/>
  <c r="I475" i="1"/>
  <c r="I3576" i="1"/>
  <c r="I3723" i="1"/>
  <c r="I3287" i="1"/>
  <c r="I1733" i="1"/>
  <c r="I1693" i="1"/>
  <c r="I3648" i="1"/>
  <c r="I3660" i="1"/>
  <c r="I3664" i="1"/>
  <c r="I478" i="1"/>
  <c r="I483" i="1"/>
  <c r="I495" i="1"/>
  <c r="I499" i="1"/>
  <c r="I2852" i="1"/>
  <c r="I1380" i="1"/>
  <c r="I1921" i="1"/>
  <c r="I2130" i="1"/>
  <c r="I2351" i="1"/>
  <c r="I2343" i="1"/>
  <c r="I1186" i="1"/>
  <c r="I2158" i="1"/>
  <c r="I2146" i="1"/>
  <c r="I2150" i="1"/>
  <c r="I1141" i="1"/>
  <c r="I1155" i="1"/>
  <c r="I1298" i="1"/>
  <c r="I1171" i="1"/>
  <c r="I1179" i="1"/>
  <c r="I1289" i="1"/>
  <c r="I1131" i="1"/>
  <c r="I2196" i="1"/>
  <c r="I1836" i="1"/>
  <c r="I1848" i="1"/>
  <c r="I1852" i="1"/>
  <c r="I1437" i="1"/>
  <c r="I1441" i="1"/>
  <c r="I1807" i="1"/>
  <c r="I2841" i="1"/>
  <c r="I114" i="1"/>
  <c r="I1785" i="1"/>
  <c r="I1326" i="1"/>
  <c r="I614" i="1"/>
  <c r="I94" i="1"/>
  <c r="I3235" i="1"/>
  <c r="I3247" i="1"/>
  <c r="I112" i="1"/>
  <c r="I515" i="1"/>
  <c r="I3614" i="1"/>
  <c r="I3621" i="1"/>
  <c r="I3180" i="1"/>
  <c r="I3432" i="1"/>
  <c r="I3450" i="1"/>
  <c r="I349" i="1"/>
  <c r="I3778" i="1"/>
  <c r="I1971" i="1"/>
  <c r="I1985" i="1"/>
  <c r="I3566" i="1"/>
  <c r="I395" i="1"/>
  <c r="I2849" i="1"/>
  <c r="I4355" i="1"/>
  <c r="I4359" i="1"/>
  <c r="I3317" i="1"/>
  <c r="I1484" i="1"/>
  <c r="I1488" i="1"/>
  <c r="I1502" i="1"/>
  <c r="I1519" i="1"/>
  <c r="I1523" i="1"/>
  <c r="I1545" i="1"/>
  <c r="I1573" i="1"/>
  <c r="I1577" i="1"/>
  <c r="I1589" i="1"/>
  <c r="I1593" i="1"/>
  <c r="I1605" i="1"/>
  <c r="I1609" i="1"/>
  <c r="I1621" i="1"/>
  <c r="I3257" i="1"/>
  <c r="I562" i="1"/>
  <c r="I566" i="1"/>
  <c r="I574" i="1"/>
  <c r="I578" i="1"/>
  <c r="I590" i="1"/>
  <c r="I3760" i="1"/>
  <c r="I3831" i="1"/>
  <c r="I160" i="1"/>
  <c r="I176" i="1"/>
  <c r="I298" i="1"/>
  <c r="I310" i="1"/>
  <c r="I1829" i="1"/>
  <c r="I2550" i="1"/>
  <c r="I2068" i="1"/>
  <c r="I605" i="1"/>
  <c r="I4332" i="1"/>
  <c r="I2378" i="1"/>
  <c r="I3762" i="1"/>
  <c r="I3827" i="1"/>
  <c r="I3833" i="1"/>
  <c r="I209" i="1"/>
  <c r="I218" i="1"/>
  <c r="I245" i="1"/>
  <c r="I249" i="1"/>
  <c r="I265" i="1"/>
  <c r="I277" i="1"/>
  <c r="I301" i="1"/>
  <c r="I3777" i="1"/>
  <c r="I3773" i="1"/>
  <c r="I3841" i="1"/>
  <c r="I3849" i="1"/>
  <c r="I3791" i="1"/>
  <c r="I3802" i="1"/>
  <c r="I3820" i="1"/>
  <c r="I3530" i="1"/>
  <c r="I3795" i="1"/>
  <c r="I2520" i="1"/>
  <c r="I3218" i="1"/>
  <c r="I3391" i="1"/>
  <c r="I2387" i="1"/>
  <c r="I3385" i="1"/>
  <c r="I3564" i="1"/>
  <c r="I1862" i="1"/>
  <c r="I4136" i="1"/>
  <c r="I4159" i="1"/>
  <c r="I4167" i="1"/>
  <c r="I4080" i="1"/>
  <c r="I4205" i="1"/>
  <c r="I4190" i="1"/>
  <c r="I1927" i="1"/>
  <c r="I1090" i="1"/>
  <c r="I3930" i="1"/>
  <c r="I2328" i="1"/>
  <c r="I3148" i="1"/>
  <c r="I1538" i="1"/>
  <c r="I1549" i="1"/>
  <c r="I1560" i="1"/>
  <c r="I1572" i="1"/>
  <c r="I1576" i="1"/>
  <c r="I1580" i="1"/>
  <c r="I1588" i="1"/>
  <c r="I1592" i="1"/>
  <c r="I1604" i="1"/>
  <c r="I1612" i="1"/>
  <c r="I1620" i="1"/>
  <c r="I2084" i="1"/>
  <c r="I148" i="1"/>
  <c r="I2320" i="1"/>
  <c r="I3302" i="1"/>
  <c r="I3405" i="1"/>
  <c r="I3412" i="1"/>
  <c r="I97" i="1"/>
  <c r="I565" i="1"/>
  <c r="I573" i="1"/>
  <c r="I577" i="1"/>
  <c r="I589" i="1"/>
  <c r="I593" i="1"/>
  <c r="I3699" i="1"/>
  <c r="I3707" i="1"/>
  <c r="I3767" i="1"/>
  <c r="I3789" i="1"/>
  <c r="I3828" i="1"/>
  <c r="I155" i="1"/>
  <c r="I159" i="1"/>
  <c r="I205" i="1"/>
  <c r="I223" i="1"/>
  <c r="I224" i="1"/>
  <c r="I228" i="1"/>
  <c r="I242" i="1"/>
  <c r="I246" i="1"/>
  <c r="I250" i="1"/>
  <c r="I258" i="1"/>
  <c r="I266" i="1"/>
  <c r="I278" i="1"/>
  <c r="I293" i="1"/>
  <c r="I297" i="1"/>
  <c r="I317" i="1"/>
  <c r="I321" i="1"/>
  <c r="I329" i="1"/>
  <c r="I333" i="1"/>
  <c r="I337" i="1"/>
  <c r="I1479" i="1"/>
  <c r="I3232" i="1"/>
  <c r="I3314" i="1"/>
  <c r="I1905" i="1"/>
  <c r="I3774" i="1"/>
  <c r="I3838" i="1"/>
  <c r="I3842" i="1"/>
  <c r="I3850" i="1"/>
  <c r="I3001" i="1"/>
  <c r="I3782" i="1"/>
  <c r="I3807" i="1"/>
  <c r="I3813" i="1"/>
  <c r="I3821" i="1"/>
  <c r="I3853" i="1"/>
  <c r="I3857" i="1"/>
  <c r="I1911" i="1"/>
  <c r="I3785" i="1"/>
  <c r="I3796" i="1"/>
  <c r="I2107" i="1"/>
  <c r="I4367" i="1"/>
  <c r="I369" i="1"/>
  <c r="I2526" i="1"/>
  <c r="I1892" i="1"/>
  <c r="I1896" i="1"/>
  <c r="I3192" i="1"/>
  <c r="I3213" i="1"/>
  <c r="I3370" i="1"/>
  <c r="I3387" i="1"/>
  <c r="I3215" i="1"/>
  <c r="I3226" i="1"/>
  <c r="I3184" i="1"/>
  <c r="I2388" i="1"/>
  <c r="I3363" i="1"/>
  <c r="I3346" i="1"/>
  <c r="I3357" i="1"/>
  <c r="I3393" i="1"/>
  <c r="I3545" i="1"/>
  <c r="I3561" i="1"/>
  <c r="I322" i="1"/>
  <c r="I330" i="1"/>
  <c r="I1476" i="1"/>
  <c r="I3253" i="1"/>
  <c r="I1906" i="1"/>
  <c r="I3770" i="1"/>
  <c r="I1918" i="1"/>
  <c r="I4368" i="1"/>
  <c r="I366" i="1"/>
  <c r="I370" i="1"/>
  <c r="I374" i="1"/>
  <c r="I2324" i="1"/>
  <c r="I2522" i="1"/>
  <c r="I3193" i="1"/>
  <c r="I3335" i="1"/>
  <c r="I3223" i="1"/>
  <c r="I3185" i="1"/>
  <c r="I3358" i="1"/>
  <c r="I3347" i="1"/>
  <c r="I3383" i="1"/>
  <c r="I1859" i="1"/>
  <c r="I1865" i="1"/>
  <c r="I435" i="1"/>
  <c r="I1957" i="1"/>
  <c r="I1949" i="1"/>
  <c r="I1964" i="1"/>
  <c r="I4000" i="1"/>
  <c r="I4029" i="1"/>
  <c r="I3074" i="1"/>
  <c r="I2996" i="1"/>
  <c r="I2991" i="1"/>
  <c r="I4025" i="1"/>
  <c r="I3131" i="1"/>
  <c r="I2744" i="1"/>
  <c r="I3100" i="1"/>
  <c r="I3122" i="1"/>
  <c r="I3025" i="1"/>
  <c r="I2880" i="1"/>
  <c r="I2927" i="1"/>
  <c r="I3921" i="1"/>
  <c r="I3932" i="1"/>
  <c r="I3140" i="1"/>
  <c r="I3867" i="1"/>
  <c r="I4313" i="1"/>
  <c r="I141" i="1"/>
  <c r="I4411" i="1"/>
  <c r="I2400" i="1"/>
  <c r="I4469" i="1"/>
  <c r="I3289" i="1"/>
  <c r="I1967" i="1"/>
  <c r="I4326" i="1"/>
  <c r="I1861" i="1"/>
  <c r="I4088" i="1"/>
  <c r="I4106" i="1"/>
  <c r="I4120" i="1"/>
  <c r="I4137" i="1"/>
  <c r="I4184" i="1"/>
  <c r="I4169" i="1"/>
  <c r="I4207" i="1"/>
  <c r="I4223" i="1"/>
  <c r="I1952" i="1"/>
  <c r="I1960" i="1"/>
  <c r="I1963" i="1"/>
  <c r="I1083" i="1"/>
  <c r="I1113" i="1"/>
  <c r="I1363" i="1"/>
  <c r="I3753" i="1"/>
  <c r="I2654" i="1"/>
  <c r="I2895" i="1"/>
  <c r="I2930" i="1"/>
  <c r="I2954" i="1"/>
  <c r="I3055" i="1"/>
  <c r="I3125" i="1"/>
  <c r="I3145" i="1"/>
  <c r="I4013" i="1"/>
  <c r="I3865" i="1"/>
  <c r="I3908" i="1"/>
  <c r="I4001" i="1"/>
  <c r="I4034" i="1"/>
  <c r="I3088" i="1"/>
  <c r="I3105" i="1"/>
  <c r="I2885" i="1"/>
  <c r="I2903" i="1"/>
  <c r="I2953" i="1"/>
  <c r="I3000" i="1"/>
  <c r="I3023" i="1"/>
  <c r="I2669" i="1"/>
  <c r="I2687" i="1"/>
  <c r="I2994" i="1"/>
  <c r="I3096" i="1"/>
  <c r="I3135" i="1"/>
  <c r="I3873" i="1"/>
  <c r="I3889" i="1"/>
  <c r="I3893" i="1"/>
  <c r="I3897" i="1"/>
  <c r="I3079" i="1"/>
  <c r="I2959" i="1"/>
  <c r="I2963" i="1"/>
  <c r="I3013" i="1"/>
  <c r="I459" i="1"/>
  <c r="I1673" i="1"/>
  <c r="I1681" i="1"/>
  <c r="I1686" i="1"/>
  <c r="I1690" i="1"/>
  <c r="I3054" i="1"/>
  <c r="I3098" i="1"/>
  <c r="I2657" i="1"/>
  <c r="I2665" i="1"/>
  <c r="I3968" i="1"/>
  <c r="I3991" i="1"/>
  <c r="I4002" i="1"/>
  <c r="I4046" i="1"/>
  <c r="I4058" i="1"/>
  <c r="I3058" i="1"/>
  <c r="I3103" i="1"/>
  <c r="I3108" i="1"/>
  <c r="I3113" i="1"/>
  <c r="I2945" i="1"/>
  <c r="I2949" i="1"/>
  <c r="I2984" i="1"/>
  <c r="I3006" i="1"/>
  <c r="I3033" i="1"/>
  <c r="I4066" i="1"/>
  <c r="I466" i="1"/>
  <c r="I2890" i="1"/>
  <c r="I2909" i="1"/>
  <c r="I2938" i="1"/>
  <c r="I2752" i="1"/>
  <c r="I2760" i="1"/>
  <c r="I2764" i="1"/>
  <c r="I2912" i="1"/>
  <c r="I2920" i="1"/>
  <c r="I2924" i="1"/>
  <c r="I2875" i="1"/>
  <c r="I2898" i="1"/>
  <c r="I2905" i="1"/>
  <c r="I2863" i="1"/>
  <c r="I3015" i="1"/>
  <c r="I3936" i="1"/>
  <c r="I3944" i="1"/>
  <c r="I2969" i="1"/>
  <c r="I3922" i="1"/>
  <c r="I1356" i="1"/>
  <c r="I1360" i="1"/>
  <c r="I3746" i="1"/>
  <c r="I3750" i="1"/>
  <c r="I3754" i="1"/>
  <c r="I2651" i="1"/>
  <c r="I2931" i="1"/>
  <c r="I3050" i="1"/>
  <c r="I3127" i="1"/>
  <c r="I3146" i="1"/>
  <c r="I4010" i="1"/>
  <c r="I3866" i="1"/>
  <c r="I3905" i="1"/>
  <c r="I3063" i="1"/>
  <c r="I3081" i="1"/>
  <c r="I3089" i="1"/>
  <c r="I2906" i="1"/>
  <c r="I463" i="1"/>
  <c r="I3043" i="1"/>
  <c r="I3123" i="1"/>
  <c r="I3137" i="1"/>
  <c r="I3874" i="1"/>
  <c r="I3882" i="1"/>
  <c r="I3890" i="1"/>
  <c r="I3950" i="1"/>
  <c r="I3080" i="1"/>
  <c r="I2943" i="1"/>
  <c r="I2977" i="1"/>
  <c r="I1674" i="1"/>
  <c r="I1678" i="1"/>
  <c r="I1683" i="1"/>
  <c r="I2327" i="1"/>
  <c r="I2988" i="1"/>
  <c r="I3042" i="1"/>
  <c r="I3129" i="1"/>
  <c r="I3144" i="1"/>
  <c r="I2658" i="1"/>
  <c r="I2742" i="1"/>
  <c r="I3920" i="1"/>
  <c r="I3957" i="1"/>
  <c r="I3969" i="1"/>
  <c r="I3988" i="1"/>
  <c r="I4059" i="1"/>
  <c r="I3104" i="1"/>
  <c r="I3109" i="1"/>
  <c r="I3114" i="1"/>
  <c r="I2946" i="1"/>
  <c r="I2950" i="1"/>
  <c r="I3037" i="1"/>
  <c r="I4071" i="1"/>
  <c r="I2935" i="1"/>
  <c r="I2939" i="1"/>
  <c r="I2757" i="1"/>
  <c r="I2913" i="1"/>
  <c r="I2917" i="1"/>
  <c r="I2884" i="1"/>
  <c r="I3010" i="1"/>
  <c r="I2864" i="1"/>
  <c r="I3945" i="1"/>
  <c r="I3030" i="1"/>
  <c r="I3929" i="1"/>
  <c r="I2666" i="1"/>
  <c r="I2679" i="1"/>
  <c r="I2688" i="1"/>
  <c r="I3094" i="1"/>
  <c r="I3086" i="1"/>
  <c r="I469" i="1"/>
  <c r="I1373" i="1"/>
  <c r="I2383" i="1"/>
  <c r="I2725" i="1"/>
  <c r="I342" i="1"/>
  <c r="I2469" i="1"/>
  <c r="I2564" i="1"/>
  <c r="I3714" i="1"/>
  <c r="I4319" i="1"/>
  <c r="I2602" i="1"/>
  <c r="I128" i="1"/>
  <c r="I136" i="1"/>
  <c r="I139" i="1"/>
  <c r="I2459" i="1"/>
  <c r="I1453" i="1"/>
  <c r="I1457" i="1"/>
  <c r="I2274" i="1"/>
  <c r="I2278" i="1"/>
  <c r="I2286" i="1"/>
  <c r="I2290" i="1"/>
  <c r="I2294" i="1"/>
  <c r="I2302" i="1"/>
  <c r="I2306" i="1"/>
  <c r="I2310" i="1"/>
  <c r="I2560" i="1"/>
  <c r="I93" i="1"/>
  <c r="I3539" i="1"/>
  <c r="I4100" i="1"/>
  <c r="I4145" i="1"/>
  <c r="I4198" i="1"/>
  <c r="I4270" i="1"/>
  <c r="I1367" i="1"/>
  <c r="I2315" i="1"/>
  <c r="I3551" i="1"/>
  <c r="I3557" i="1"/>
  <c r="I4101" i="1"/>
  <c r="I4146" i="1"/>
  <c r="I4210" i="1"/>
  <c r="I3933" i="1"/>
  <c r="I2672" i="1"/>
  <c r="I3153" i="1"/>
  <c r="I2965" i="1"/>
  <c r="I1372" i="1"/>
  <c r="I1376" i="1"/>
  <c r="I2722" i="1"/>
  <c r="I2727" i="1"/>
  <c r="I2464" i="1"/>
  <c r="I2563" i="1"/>
  <c r="I3713" i="1"/>
  <c r="I4314" i="1"/>
  <c r="I4322" i="1"/>
  <c r="I2597" i="1"/>
  <c r="I2601" i="1"/>
  <c r="I131" i="1"/>
  <c r="I135" i="1"/>
  <c r="I138" i="1"/>
  <c r="I2454" i="1"/>
  <c r="I2458" i="1"/>
  <c r="I2516" i="1"/>
  <c r="I4406" i="1"/>
  <c r="I4404" i="1"/>
  <c r="I4415" i="1"/>
  <c r="I2277" i="1"/>
  <c r="I2281" i="1"/>
  <c r="I2285" i="1"/>
  <c r="I2293" i="1"/>
  <c r="I2297" i="1"/>
  <c r="I2301" i="1"/>
  <c r="I2309" i="1"/>
  <c r="I2425" i="1"/>
  <c r="I2559" i="1"/>
  <c r="I2418" i="1"/>
  <c r="I2581" i="1"/>
  <c r="I2507" i="1"/>
  <c r="I1814" i="1"/>
  <c r="I1821" i="1"/>
  <c r="I2396" i="1"/>
  <c r="I2406" i="1"/>
  <c r="I2410" i="1"/>
  <c r="I2494" i="1"/>
  <c r="I2429" i="1"/>
  <c r="I2498" i="1"/>
  <c r="I2551" i="1"/>
  <c r="I1811" i="1"/>
  <c r="I1828" i="1"/>
  <c r="I2397" i="1"/>
  <c r="I2441" i="1"/>
  <c r="I2451" i="1"/>
  <c r="I2422" i="1"/>
  <c r="I2587" i="1"/>
  <c r="I2534" i="1"/>
  <c r="I2539" i="1"/>
  <c r="I361" i="1"/>
  <c r="I2430" i="1"/>
  <c r="I2448" i="1"/>
  <c r="I2474" i="1"/>
  <c r="I2478" i="1"/>
  <c r="I2486" i="1"/>
  <c r="I2569" i="1"/>
  <c r="I2573" i="1"/>
  <c r="I2577" i="1"/>
  <c r="I2583" i="1"/>
  <c r="I4391" i="1"/>
  <c r="I4399" i="1"/>
  <c r="I102" i="1"/>
  <c r="I604" i="1"/>
  <c r="I1652" i="1"/>
  <c r="I1995" i="1"/>
  <c r="I405" i="1"/>
  <c r="I413" i="1"/>
  <c r="I417" i="1"/>
  <c r="I429" i="1"/>
  <c r="I2021" i="1"/>
  <c r="I2037" i="1"/>
  <c r="I2041" i="1"/>
  <c r="I2049" i="1"/>
  <c r="I1123" i="1"/>
  <c r="I2369" i="1"/>
  <c r="I4272" i="1"/>
  <c r="I2216" i="1"/>
  <c r="I3380" i="1"/>
  <c r="I3555" i="1"/>
  <c r="I4090" i="1"/>
  <c r="I4103" i="1"/>
  <c r="I4168" i="1"/>
  <c r="I4204" i="1"/>
  <c r="I4214" i="1"/>
  <c r="I4209" i="1"/>
  <c r="I3244" i="1"/>
  <c r="I1864" i="1"/>
  <c r="I1877" i="1"/>
  <c r="I4141" i="1"/>
  <c r="I283" i="1"/>
  <c r="I281" i="1"/>
  <c r="I4216" i="1"/>
  <c r="I4224" i="1"/>
  <c r="I4062" i="1"/>
  <c r="I1879" i="1"/>
  <c r="I1888" i="1"/>
  <c r="I4107" i="1"/>
  <c r="I4179" i="1"/>
  <c r="I282" i="1"/>
  <c r="I3307" i="1"/>
  <c r="I2435" i="1"/>
  <c r="I2446" i="1"/>
  <c r="I2421" i="1"/>
  <c r="I2517" i="1"/>
  <c r="I2542" i="1"/>
  <c r="I2546" i="1"/>
  <c r="I2416" i="1"/>
  <c r="I2447" i="1"/>
  <c r="I2477" i="1"/>
  <c r="I2481" i="1"/>
  <c r="I2485" i="1"/>
  <c r="I2549" i="1"/>
  <c r="I2572" i="1"/>
  <c r="I2576" i="1"/>
  <c r="I4390" i="1"/>
  <c r="I4394" i="1"/>
  <c r="I2059" i="1"/>
  <c r="I99" i="1"/>
  <c r="I603" i="1"/>
  <c r="I1799" i="1"/>
  <c r="I1994" i="1"/>
  <c r="I4327" i="1"/>
  <c r="I4334" i="1"/>
  <c r="I404" i="1"/>
  <c r="I408" i="1"/>
  <c r="I416" i="1"/>
  <c r="I424" i="1"/>
  <c r="I428" i="1"/>
  <c r="I432" i="1"/>
  <c r="I2024" i="1"/>
  <c r="I2028" i="1"/>
  <c r="I2036" i="1"/>
  <c r="I2040" i="1"/>
  <c r="I2044" i="1"/>
  <c r="I1122" i="1"/>
  <c r="I2372" i="1"/>
  <c r="I4271" i="1"/>
  <c r="I2215" i="1"/>
  <c r="I2538" i="1"/>
  <c r="I3401" i="1"/>
  <c r="I3553" i="1"/>
  <c r="I3534" i="1"/>
  <c r="I4147" i="1"/>
  <c r="I4213" i="1"/>
  <c r="I4116" i="1"/>
  <c r="I1745" i="1"/>
  <c r="I1867" i="1"/>
  <c r="I1881" i="1"/>
  <c r="I4127" i="1"/>
  <c r="I4180" i="1"/>
  <c r="I206" i="1"/>
  <c r="I2083" i="1"/>
  <c r="I3410" i="1"/>
  <c r="I308" i="1"/>
  <c r="I1858" i="1"/>
  <c r="I1874" i="1"/>
  <c r="I1886" i="1"/>
  <c r="I229" i="1"/>
  <c r="I3852" i="1"/>
  <c r="I309" i="1"/>
  <c r="I3312" i="1"/>
  <c r="I156" i="1"/>
  <c r="I1467" i="1"/>
  <c r="I157" i="1"/>
  <c r="I4176" i="1"/>
  <c r="I2218" i="1"/>
  <c r="I362" i="1"/>
  <c r="I3536" i="1"/>
  <c r="I2217" i="1"/>
  <c r="I572" i="1"/>
  <c r="I571" i="1"/>
  <c r="I244" i="1"/>
  <c r="I601" i="1"/>
  <c r="I1269" i="1"/>
  <c r="I1273" i="1"/>
  <c r="I1272" i="1"/>
  <c r="I1271" i="1"/>
  <c r="I235" i="1"/>
  <c r="I233" i="1"/>
  <c r="I234" i="1"/>
  <c r="I4493" i="1"/>
  <c r="I623" i="1"/>
  <c r="I4129" i="1"/>
  <c r="I4128" i="1"/>
  <c r="I4130" i="1"/>
  <c r="I1274" i="1"/>
  <c r="I1278" i="1"/>
  <c r="I1277" i="1"/>
  <c r="I1276" i="1"/>
  <c r="I3823" i="1"/>
  <c r="I3822" i="1"/>
  <c r="I1121" i="1"/>
  <c r="I973" i="1"/>
  <c r="I972" i="1"/>
  <c r="I3781" i="1"/>
  <c r="I971" i="1"/>
  <c r="I3780" i="1"/>
  <c r="I970" i="1"/>
  <c r="I3779" i="1"/>
  <c r="I4005" i="1"/>
  <c r="I3240" i="1"/>
  <c r="I1465" i="1"/>
  <c r="I4126" i="1"/>
  <c r="I4492" i="1"/>
  <c r="I341" i="1"/>
  <c r="I340" i="1"/>
  <c r="I363" i="1"/>
  <c r="I270" i="1"/>
  <c r="I269" i="1"/>
  <c r="I268" i="1"/>
  <c r="I267" i="1"/>
  <c r="I3500" i="1"/>
  <c r="I3503" i="1"/>
  <c r="I3499" i="1"/>
  <c r="I2176" i="1"/>
  <c r="I3693" i="1"/>
  <c r="I3886" i="1"/>
  <c r="I4197" i="1"/>
  <c r="I2076" i="1"/>
  <c r="I2094" i="1"/>
  <c r="I2224" i="1"/>
  <c r="I3428" i="1"/>
  <c r="I2235" i="1"/>
  <c r="I1818" i="1"/>
  <c r="I3294" i="1"/>
  <c r="I3295" i="1"/>
  <c r="I1820" i="1"/>
  <c r="I1832" i="1"/>
  <c r="I831" i="1"/>
  <c r="I388" i="1"/>
  <c r="I212" i="1"/>
  <c r="I1345" i="1"/>
  <c r="I1309" i="1"/>
  <c r="I767" i="1"/>
  <c r="I834" i="1"/>
  <c r="I368" i="1"/>
  <c r="I1310" i="1"/>
  <c r="I3511" i="1"/>
  <c r="I2055" i="1"/>
  <c r="I1978" i="1"/>
  <c r="I320" i="1"/>
  <c r="I3182" i="1"/>
  <c r="I3187" i="1"/>
  <c r="I3186" i="1"/>
  <c r="I3183" i="1"/>
  <c r="I3305" i="1"/>
  <c r="I4288" i="1"/>
  <c r="I3923" i="1"/>
  <c r="I3924" i="1"/>
  <c r="I1374" i="1"/>
  <c r="I2599" i="1"/>
  <c r="I1810" i="1"/>
  <c r="I225" i="1"/>
  <c r="I1375" i="1"/>
  <c r="I1379" i="1"/>
  <c r="I1497" i="1"/>
  <c r="I2502" i="1"/>
  <c r="I2501" i="1"/>
  <c r="I2850" i="1"/>
  <c r="I2853" i="1"/>
  <c r="I766" i="1"/>
  <c r="I496" i="1"/>
  <c r="I391" i="1"/>
  <c r="I2505" i="1"/>
  <c r="I111" i="1"/>
  <c r="I427" i="1"/>
  <c r="I1330" i="1"/>
  <c r="I1383" i="1"/>
  <c r="I1382" i="1"/>
  <c r="I1329" i="1"/>
  <c r="I622" i="1"/>
  <c r="I1328" i="1"/>
  <c r="I482" i="1"/>
  <c r="I431" i="1"/>
  <c r="I433" i="1"/>
  <c r="I434" i="1"/>
  <c r="I3747" i="1"/>
  <c r="I3495" i="1"/>
  <c r="I3494" i="1"/>
  <c r="I3493" i="1"/>
  <c r="I1926" i="1"/>
  <c r="I2588" i="1"/>
  <c r="I305" i="1"/>
  <c r="I2584" i="1"/>
  <c r="I4280" i="1"/>
  <c r="I3311" i="1"/>
  <c r="I3211" i="1"/>
  <c r="I3219" i="1"/>
  <c r="I4178" i="1"/>
  <c r="I3863" i="1"/>
  <c r="I3454" i="1"/>
  <c r="I3452" i="1"/>
  <c r="I3453" i="1"/>
  <c r="I1537" i="1"/>
  <c r="I1536" i="1"/>
  <c r="I714" i="1"/>
  <c r="I819" i="1"/>
  <c r="I821" i="1"/>
  <c r="I713" i="1"/>
  <c r="I820" i="1"/>
  <c r="I823" i="1"/>
  <c r="I1958" i="1"/>
  <c r="I829" i="1"/>
  <c r="I824" i="1"/>
  <c r="I830" i="1"/>
  <c r="I712" i="1"/>
  <c r="I1535" i="1"/>
  <c r="I1201" i="1"/>
  <c r="I827" i="1"/>
  <c r="I828" i="1"/>
  <c r="I826" i="1"/>
  <c r="I34" i="1"/>
  <c r="I825" i="1"/>
  <c r="I1956" i="1"/>
  <c r="I1955" i="1"/>
  <c r="I764" i="1"/>
  <c r="I765" i="1"/>
  <c r="I350" i="1"/>
  <c r="I1973" i="1"/>
  <c r="I1972" i="1"/>
  <c r="I1970" i="1"/>
  <c r="I1968" i="1"/>
  <c r="I1966" i="1"/>
  <c r="I1965" i="1"/>
  <c r="I1969" i="1"/>
  <c r="I1976" i="1"/>
  <c r="I1975" i="1"/>
  <c r="I1961" i="1"/>
  <c r="I1962" i="1"/>
  <c r="I1959" i="1"/>
  <c r="I844" i="1"/>
  <c r="I1542" i="1"/>
  <c r="I1541" i="1"/>
  <c r="I1540" i="1"/>
  <c r="I1539" i="1"/>
  <c r="I1191" i="1"/>
  <c r="I1192" i="1"/>
  <c r="I1198" i="1"/>
  <c r="I1196" i="1"/>
  <c r="I1195" i="1"/>
  <c r="I1197" i="1"/>
  <c r="I1189" i="1"/>
  <c r="I1188" i="1"/>
  <c r="I1194" i="1"/>
  <c r="I1193" i="1"/>
  <c r="I3457" i="1"/>
  <c r="I3456" i="1"/>
  <c r="I3458" i="1"/>
  <c r="I4302" i="1"/>
  <c r="I4303" i="1"/>
  <c r="I1180" i="1"/>
  <c r="I215" i="1"/>
  <c r="I549" i="1"/>
  <c r="I2673" i="1"/>
  <c r="I545" i="1"/>
  <c r="I4490" i="1"/>
  <c r="I895" i="1"/>
  <c r="I502" i="1"/>
  <c r="I544" i="1"/>
  <c r="I3967" i="1"/>
  <c r="I925" i="1"/>
  <c r="I2671" i="1"/>
  <c r="I543" i="1"/>
  <c r="I4036" i="1"/>
  <c r="I2670" i="1"/>
  <c r="I541" i="1"/>
  <c r="I4097" i="1"/>
  <c r="I926" i="1"/>
  <c r="I4489" i="1"/>
  <c r="I918" i="1"/>
  <c r="I2668" i="1"/>
  <c r="I537" i="1"/>
  <c r="I4488" i="1"/>
  <c r="I919" i="1"/>
  <c r="I2667" i="1"/>
  <c r="I3563" i="1"/>
  <c r="I1203" i="1"/>
  <c r="I516" i="1"/>
  <c r="I4487" i="1"/>
  <c r="I898" i="1"/>
  <c r="I3562" i="1"/>
  <c r="I2570" i="1"/>
  <c r="I2568" i="1"/>
  <c r="I3431" i="1"/>
  <c r="I899" i="1"/>
  <c r="I1178" i="1"/>
  <c r="I900" i="1"/>
  <c r="I1177" i="1"/>
  <c r="I4096" i="1"/>
  <c r="I4330" i="1"/>
  <c r="I893" i="1"/>
  <c r="I4329" i="1"/>
  <c r="I1175" i="1"/>
  <c r="I894" i="1"/>
  <c r="I1174" i="1"/>
  <c r="I923" i="1"/>
  <c r="I2664" i="1"/>
  <c r="I2663" i="1"/>
  <c r="I1173" i="1"/>
  <c r="I207" i="1"/>
  <c r="I905" i="1"/>
  <c r="I2662" i="1"/>
  <c r="I4073" i="1"/>
  <c r="I924" i="1"/>
  <c r="I2567" i="1"/>
  <c r="I2566" i="1"/>
  <c r="I2565" i="1"/>
  <c r="I501" i="1"/>
  <c r="I903" i="1"/>
  <c r="I2661" i="1"/>
  <c r="I908" i="1"/>
  <c r="I2660" i="1"/>
  <c r="I106" i="1"/>
  <c r="I497" i="1"/>
  <c r="I928" i="1"/>
  <c r="I2659" i="1"/>
  <c r="I4485" i="1"/>
  <c r="I920" i="1"/>
  <c r="I291" i="1"/>
  <c r="I4484" i="1"/>
  <c r="I927" i="1"/>
  <c r="I3560" i="1"/>
  <c r="I280" i="1"/>
  <c r="I929" i="1"/>
  <c r="I2656" i="1"/>
  <c r="I3559" i="1"/>
  <c r="I216" i="1"/>
  <c r="I4095" i="1"/>
  <c r="I2655" i="1"/>
  <c r="I3558" i="1"/>
  <c r="I107" i="1"/>
  <c r="I916" i="1"/>
  <c r="I4298" i="1"/>
  <c r="I897" i="1"/>
  <c r="I4075" i="1"/>
  <c r="I2562" i="1"/>
  <c r="I2561" i="1"/>
  <c r="I555" i="1"/>
  <c r="I906" i="1"/>
  <c r="I2653" i="1"/>
  <c r="I105" i="1"/>
  <c r="I896" i="1"/>
  <c r="I2652" i="1"/>
  <c r="I104" i="1"/>
  <c r="I910" i="1"/>
  <c r="I98" i="1"/>
  <c r="I907" i="1"/>
  <c r="I2650" i="1"/>
  <c r="I931" i="1"/>
  <c r="I2649" i="1"/>
  <c r="I96" i="1"/>
  <c r="I2648" i="1"/>
  <c r="I95" i="1"/>
  <c r="I909" i="1"/>
  <c r="I4297" i="1"/>
  <c r="I930" i="1"/>
  <c r="I4296" i="1"/>
  <c r="I4074" i="1"/>
  <c r="I3158" i="1"/>
  <c r="I3433" i="1"/>
  <c r="I1378" i="1"/>
  <c r="I1713" i="1"/>
  <c r="I1871" i="1"/>
  <c r="I1711" i="1"/>
  <c r="I1725" i="1"/>
  <c r="I1873" i="1"/>
  <c r="I1712" i="1"/>
  <c r="I1714" i="1"/>
  <c r="I1875" i="1"/>
  <c r="I3912" i="1"/>
  <c r="I251" i="1"/>
  <c r="I4259" i="1"/>
  <c r="I2578" i="1"/>
  <c r="I1668" i="1"/>
  <c r="I1794" i="1"/>
  <c r="I1685" i="1"/>
  <c r="I1687" i="1"/>
  <c r="I2579" i="1"/>
  <c r="I1752" i="1"/>
  <c r="I2575" i="1"/>
  <c r="I1688" i="1"/>
  <c r="I2952" i="1"/>
  <c r="I1684" i="1"/>
  <c r="I1294" i="1"/>
  <c r="I1297" i="1"/>
  <c r="I1296" i="1"/>
  <c r="I1295" i="1"/>
  <c r="I1293" i="1"/>
  <c r="I1292" i="1"/>
  <c r="I1291" i="1"/>
  <c r="I1290" i="1"/>
  <c r="I576" i="1"/>
  <c r="I2321" i="1"/>
  <c r="I1430" i="1"/>
  <c r="I575" i="1"/>
  <c r="I1431" i="1"/>
  <c r="I3529" i="1"/>
  <c r="I1816" i="1"/>
  <c r="I3527" i="1"/>
  <c r="I52" i="1"/>
  <c r="I3526" i="1"/>
  <c r="I51" i="1"/>
  <c r="I3525" i="1"/>
  <c r="I53" i="1"/>
  <c r="I2582" i="1"/>
  <c r="I864" i="1"/>
  <c r="I861" i="1"/>
  <c r="I579" i="1"/>
  <c r="I862" i="1"/>
  <c r="I200" i="1"/>
  <c r="I198" i="1"/>
  <c r="I1925" i="1"/>
  <c r="I2894" i="1"/>
  <c r="I2789" i="1"/>
  <c r="I2379" i="1"/>
  <c r="I1682" i="1"/>
  <c r="I584" i="1"/>
  <c r="I583" i="1"/>
  <c r="I582" i="1"/>
  <c r="I1397" i="1"/>
  <c r="I237" i="1"/>
  <c r="I238" i="1"/>
  <c r="I1887" i="1"/>
  <c r="I1890" i="1"/>
  <c r="I1889" i="1"/>
  <c r="I1885" i="1"/>
  <c r="I1884" i="1"/>
  <c r="I1283" i="1"/>
  <c r="I1282" i="1"/>
  <c r="I1281" i="1"/>
  <c r="I1280" i="1"/>
  <c r="I1284" i="1"/>
  <c r="I1288" i="1"/>
  <c r="I1286" i="1"/>
  <c r="I1285" i="1"/>
  <c r="I1299" i="1"/>
  <c r="I1302" i="1"/>
  <c r="I1300" i="1"/>
  <c r="I2332" i="1"/>
  <c r="I2335" i="1"/>
  <c r="I2338" i="1"/>
  <c r="I2339" i="1"/>
  <c r="I2334" i="1"/>
  <c r="I2333" i="1"/>
  <c r="I2337" i="1"/>
  <c r="I2336" i="1"/>
  <c r="I1677" i="1"/>
  <c r="I1753" i="1"/>
  <c r="I1679" i="1"/>
  <c r="I1680" i="1"/>
  <c r="I1672" i="1"/>
  <c r="I1795" i="1"/>
  <c r="I1670" i="1"/>
  <c r="I3830" i="1"/>
  <c r="I4112" i="1"/>
  <c r="I1910" i="1"/>
  <c r="I1909" i="1"/>
  <c r="I2610" i="1"/>
  <c r="I2611" i="1"/>
  <c r="I4229" i="1"/>
  <c r="I4228" i="1"/>
  <c r="I4211" i="1"/>
  <c r="I4212" i="1"/>
  <c r="I4208" i="1"/>
  <c r="I4234" i="1"/>
  <c r="I4233" i="1"/>
  <c r="I4232" i="1"/>
  <c r="I4231" i="1"/>
  <c r="I4235" i="1"/>
  <c r="I4230" i="1"/>
  <c r="I1353" i="1"/>
  <c r="I642" i="1"/>
  <c r="I643" i="1"/>
  <c r="I1352" i="1"/>
  <c r="I639" i="1"/>
  <c r="I3414" i="1"/>
  <c r="I3413" i="1"/>
  <c r="I3570" i="1"/>
  <c r="I3556" i="1"/>
  <c r="I1351" i="1"/>
  <c r="I287" i="1"/>
  <c r="I638" i="1"/>
  <c r="I407" i="1"/>
  <c r="I1311" i="1"/>
  <c r="I1315" i="1"/>
  <c r="I1314" i="1"/>
  <c r="I1313" i="1"/>
  <c r="I1312" i="1"/>
  <c r="I2174" i="1"/>
  <c r="I2173" i="1"/>
  <c r="I2052" i="1"/>
  <c r="I2051" i="1"/>
  <c r="I1590" i="1"/>
  <c r="I1587" i="1"/>
  <c r="I1581" i="1"/>
  <c r="I1586" i="1"/>
  <c r="I1583" i="1"/>
  <c r="I1579" i="1"/>
  <c r="I1584" i="1"/>
  <c r="I1585" i="1"/>
  <c r="I1582" i="1"/>
  <c r="I2461" i="1"/>
  <c r="I2463" i="1"/>
  <c r="I2465" i="1"/>
  <c r="I2462" i="1"/>
  <c r="I2453" i="1"/>
  <c r="I2452" i="1"/>
  <c r="I2791" i="1"/>
  <c r="I2450" i="1"/>
  <c r="I2456" i="1"/>
  <c r="I2455" i="1"/>
  <c r="I2457" i="1"/>
  <c r="I2460" i="1"/>
  <c r="I2449" i="1"/>
  <c r="I2888" i="1"/>
  <c r="I2472" i="1"/>
  <c r="I2470" i="1"/>
  <c r="I2471" i="1"/>
  <c r="I2468" i="1"/>
  <c r="I2466" i="1"/>
  <c r="I2467" i="1"/>
  <c r="I2445" i="1"/>
  <c r="I611" i="1"/>
  <c r="I3628" i="1"/>
  <c r="I3497" i="1"/>
  <c r="I1016" i="1"/>
  <c r="I1800" i="1"/>
  <c r="I1942" i="1"/>
  <c r="I1464" i="1"/>
  <c r="I4285" i="1"/>
  <c r="I4318" i="1"/>
  <c r="I4304" i="1"/>
  <c r="I4287" i="1"/>
  <c r="I4286" i="1"/>
  <c r="I4483" i="1"/>
  <c r="I1989" i="1"/>
  <c r="I2054" i="1"/>
  <c r="I2887" i="1"/>
  <c r="I1808" i="1"/>
  <c r="I1463" i="1"/>
  <c r="I1462" i="1"/>
  <c r="I3234" i="1"/>
  <c r="I3236" i="1"/>
  <c r="I3231" i="1"/>
  <c r="I3233" i="1"/>
  <c r="I3258" i="1"/>
  <c r="I3259" i="1"/>
  <c r="I3956" i="1"/>
  <c r="I4033" i="1"/>
  <c r="I1837" i="1"/>
  <c r="I1838" i="1"/>
  <c r="I3761" i="1"/>
  <c r="I3256" i="1"/>
  <c r="I1805" i="1"/>
  <c r="I1804" i="1"/>
  <c r="I1600" i="1"/>
  <c r="I2237" i="1"/>
  <c r="I2186" i="1"/>
  <c r="I1977" i="1"/>
  <c r="I2167" i="1"/>
  <c r="I2163" i="1"/>
  <c r="I2164" i="1"/>
  <c r="I2157" i="1"/>
  <c r="I2159" i="1"/>
  <c r="I2155" i="1"/>
  <c r="I2156" i="1"/>
  <c r="I2000" i="1"/>
  <c r="I1999" i="1"/>
  <c r="I2001" i="1"/>
  <c r="I2160" i="1"/>
  <c r="I2741" i="1"/>
  <c r="I2166" i="1"/>
  <c r="I2151" i="1"/>
  <c r="I2154" i="1"/>
  <c r="I2162" i="1"/>
  <c r="I2153" i="1"/>
  <c r="I2152" i="1"/>
  <c r="I1491" i="1"/>
  <c r="I1490" i="1"/>
  <c r="I1489" i="1"/>
  <c r="I1487" i="1"/>
  <c r="I1486" i="1"/>
  <c r="I1485" i="1"/>
  <c r="I3839" i="1"/>
  <c r="I3049" i="1"/>
  <c r="I1224" i="1"/>
  <c r="I634" i="1"/>
  <c r="I1552" i="1"/>
  <c r="I953" i="1"/>
  <c r="I1844" i="1"/>
  <c r="I1438" i="1"/>
  <c r="I1435" i="1"/>
  <c r="I1436" i="1"/>
  <c r="I3461" i="1"/>
  <c r="I2615" i="1"/>
  <c r="I2614" i="1"/>
  <c r="I1594" i="1"/>
  <c r="I1607" i="1"/>
  <c r="I3896" i="1"/>
  <c r="I3900" i="1"/>
  <c r="I3899" i="1"/>
  <c r="I3898" i="1"/>
  <c r="I3895" i="1"/>
  <c r="I3894" i="1"/>
  <c r="I213" i="1"/>
  <c r="I327" i="1"/>
  <c r="I326" i="1"/>
  <c r="I325" i="1"/>
  <c r="I334" i="1"/>
  <c r="I331" i="1"/>
  <c r="I338" i="1"/>
  <c r="I816" i="1"/>
  <c r="I815" i="1"/>
  <c r="I814" i="1"/>
  <c r="I817" i="1"/>
  <c r="I3947" i="1"/>
  <c r="I3913" i="1"/>
  <c r="I3946" i="1"/>
  <c r="I3801" i="1"/>
  <c r="I4163" i="1"/>
  <c r="I4193" i="1"/>
  <c r="I4309" i="1"/>
  <c r="I4281" i="1"/>
  <c r="I3554" i="1"/>
  <c r="I2956" i="1"/>
  <c r="I2544" i="1"/>
  <c r="I1027" i="1"/>
  <c r="I1028" i="1"/>
  <c r="I3596" i="1"/>
  <c r="I3597" i="1"/>
  <c r="I3595" i="1"/>
  <c r="I3598" i="1"/>
  <c r="I3764" i="1"/>
  <c r="I3082" i="1"/>
  <c r="I1239" i="1"/>
  <c r="I1240" i="1"/>
  <c r="I755" i="1"/>
  <c r="I587" i="1"/>
  <c r="I2586" i="1"/>
  <c r="I2585" i="1"/>
  <c r="I1812" i="1"/>
  <c r="I1117" i="1"/>
  <c r="I1701" i="1"/>
  <c r="I1700" i="1"/>
  <c r="I2428" i="1"/>
  <c r="I2427" i="1"/>
  <c r="I2426" i="1"/>
  <c r="I2424" i="1"/>
  <c r="I2423" i="1"/>
  <c r="I3769" i="1"/>
  <c r="I3768" i="1"/>
  <c r="I1110" i="1"/>
  <c r="I980" i="1"/>
  <c r="I981" i="1"/>
  <c r="I979" i="1"/>
  <c r="I3840" i="1"/>
  <c r="I147" i="1"/>
  <c r="I1109" i="1"/>
  <c r="I618" i="1"/>
  <c r="I556" i="1"/>
  <c r="I557" i="1"/>
  <c r="I275" i="1"/>
  <c r="I4282" i="1"/>
  <c r="I1614" i="1"/>
  <c r="I3429" i="1"/>
  <c r="I4045" i="1"/>
  <c r="I3653" i="1"/>
  <c r="I4044" i="1"/>
  <c r="I4482" i="1"/>
  <c r="I4481" i="1"/>
  <c r="I3290" i="1"/>
  <c r="I3288" i="1"/>
  <c r="I1042" i="1"/>
  <c r="I1043" i="1"/>
  <c r="I1036" i="1"/>
  <c r="I1037" i="1"/>
  <c r="I1034" i="1"/>
  <c r="I1035" i="1"/>
  <c r="I789" i="1"/>
  <c r="I935" i="1"/>
  <c r="I3136" i="1"/>
  <c r="I4328" i="1"/>
  <c r="I3360" i="1"/>
  <c r="I3544" i="1"/>
  <c r="I3139" i="1"/>
  <c r="I3138" i="1"/>
  <c r="I3800" i="1"/>
  <c r="I3174" i="1"/>
  <c r="I3069" i="1"/>
  <c r="I3888" i="1"/>
  <c r="I3210" i="1"/>
  <c r="I3319" i="1"/>
  <c r="I3068" i="1"/>
  <c r="I3436" i="1"/>
  <c r="I4312" i="1"/>
  <c r="I3951" i="1"/>
  <c r="I4311" i="1"/>
  <c r="I4317" i="1"/>
  <c r="I3952" i="1"/>
  <c r="I2407" i="1"/>
  <c r="I2411" i="1"/>
  <c r="I3763" i="1"/>
  <c r="I3803" i="1"/>
  <c r="I3430" i="1"/>
  <c r="I3812" i="1"/>
  <c r="I3811" i="1"/>
  <c r="I3810" i="1"/>
  <c r="I588" i="1"/>
  <c r="I3195" i="1"/>
  <c r="I3194" i="1"/>
  <c r="I360" i="1"/>
  <c r="I359" i="1"/>
  <c r="I3758" i="1"/>
  <c r="I63" i="1"/>
  <c r="I422" i="1"/>
  <c r="I3449" i="1"/>
  <c r="I3448" i="1"/>
  <c r="I3447" i="1"/>
  <c r="I3451" i="1"/>
  <c r="I3446" i="1"/>
  <c r="I878" i="1"/>
  <c r="I874" i="1"/>
  <c r="I3445" i="1"/>
  <c r="I3535" i="1"/>
  <c r="I1495" i="1"/>
  <c r="I1496" i="1"/>
  <c r="I1543" i="1"/>
  <c r="I1494" i="1"/>
  <c r="I1493" i="1"/>
  <c r="I3706" i="1"/>
  <c r="I3594" i="1"/>
  <c r="I3066" i="1"/>
  <c r="I3076" i="1"/>
  <c r="I3075" i="1"/>
  <c r="I3078" i="1"/>
  <c r="I3466" i="1"/>
  <c r="I3465" i="1"/>
  <c r="I3464" i="1"/>
  <c r="I3077" i="1"/>
  <c r="I3593" i="1"/>
  <c r="I3142" i="1"/>
  <c r="I3141" i="1"/>
  <c r="I392" i="1"/>
  <c r="I1654" i="1"/>
  <c r="I1426" i="1"/>
  <c r="I1226" i="1"/>
  <c r="I774" i="1"/>
  <c r="I768" i="1"/>
  <c r="I777" i="1"/>
  <c r="I1207" i="1"/>
  <c r="I2097" i="1"/>
  <c r="I2096" i="1"/>
  <c r="I3273" i="1"/>
  <c r="I2211" i="1"/>
  <c r="I3272" i="1"/>
  <c r="I3505" i="1"/>
  <c r="I3756" i="1"/>
  <c r="I1919" i="1"/>
  <c r="I3510" i="1"/>
  <c r="I3507" i="1"/>
  <c r="I2233" i="1"/>
  <c r="I4087" i="1"/>
  <c r="I2053" i="1"/>
  <c r="I3472" i="1"/>
  <c r="I2311" i="1"/>
  <c r="I2272" i="1"/>
  <c r="I4301" i="1"/>
  <c r="I2955" i="1"/>
  <c r="I2223" i="1"/>
  <c r="I3506" i="1"/>
  <c r="I3806" i="1"/>
  <c r="I3575" i="1"/>
  <c r="I3470" i="1"/>
  <c r="I2234" i="1"/>
  <c r="I1534" i="1"/>
  <c r="I1776" i="1"/>
  <c r="I1775" i="1"/>
  <c r="I3771" i="1"/>
  <c r="I4143" i="1"/>
  <c r="I1702" i="1"/>
  <c r="I4480" i="1"/>
  <c r="I4479" i="1"/>
  <c r="I3516" i="1"/>
  <c r="I4477" i="1"/>
  <c r="I1105" i="1"/>
  <c r="I4478" i="1"/>
  <c r="I3655" i="1"/>
  <c r="I476" i="1"/>
  <c r="I4139" i="1"/>
  <c r="I3786" i="1"/>
  <c r="I3175" i="1"/>
  <c r="I4009" i="1"/>
  <c r="I4008" i="1"/>
  <c r="I1440" i="1"/>
  <c r="I840" i="1"/>
  <c r="I3661" i="1"/>
  <c r="I2828" i="1"/>
  <c r="I3741" i="1"/>
  <c r="I304" i="1"/>
  <c r="I2298" i="1"/>
  <c r="I2296" i="1"/>
  <c r="I1898" i="1"/>
  <c r="I1903" i="1"/>
  <c r="I1904" i="1"/>
  <c r="I1897" i="1"/>
  <c r="I2261" i="1"/>
  <c r="I2260" i="1"/>
  <c r="I1132" i="1"/>
  <c r="I1385" i="1"/>
  <c r="I985" i="1"/>
  <c r="I1163" i="1"/>
  <c r="I1162" i="1"/>
  <c r="I1908" i="1"/>
  <c r="I1133" i="1"/>
  <c r="I1150" i="1"/>
  <c r="I1148" i="1"/>
  <c r="I1149" i="1"/>
  <c r="I314" i="1"/>
  <c r="I561" i="1"/>
  <c r="I560" i="1"/>
  <c r="I1160" i="1"/>
  <c r="I1161" i="1"/>
  <c r="I1159" i="1"/>
  <c r="I728" i="1"/>
  <c r="I760" i="1"/>
  <c r="I1157" i="1"/>
  <c r="I1158" i="1"/>
  <c r="I1225" i="1"/>
  <c r="I1156" i="1"/>
  <c r="I1153" i="1"/>
  <c r="I1154" i="1"/>
  <c r="I1151" i="1"/>
  <c r="I1152" i="1"/>
  <c r="I877" i="1"/>
  <c r="I1321" i="1"/>
  <c r="I4269" i="1"/>
  <c r="I4268" i="1"/>
  <c r="I4267" i="1"/>
  <c r="I4264" i="1"/>
  <c r="I4266" i="1"/>
  <c r="I4263" i="1"/>
  <c r="I257" i="1"/>
  <c r="I389" i="1"/>
  <c r="I256" i="1"/>
  <c r="I357" i="1"/>
  <c r="I2830" i="1"/>
  <c r="I62" i="1"/>
  <c r="I61" i="1"/>
  <c r="I356" i="1"/>
  <c r="I1026" i="1"/>
  <c r="I650" i="1"/>
  <c r="I3522" i="1"/>
  <c r="I3966" i="1"/>
  <c r="I3965" i="1"/>
  <c r="I637" i="1"/>
  <c r="I1943" i="1"/>
  <c r="I2232" i="1"/>
  <c r="I2231" i="1"/>
  <c r="I1618" i="1"/>
  <c r="I2439" i="1"/>
  <c r="I2829" i="1"/>
  <c r="I2440" i="1"/>
  <c r="I4475" i="1"/>
  <c r="I4474" i="1"/>
  <c r="I1461" i="1"/>
  <c r="I1442" i="1"/>
  <c r="I1439" i="1"/>
  <c r="I1946" i="1"/>
  <c r="I4473" i="1"/>
  <c r="I4366" i="1"/>
  <c r="I4365" i="1"/>
  <c r="I4472" i="1"/>
  <c r="I2136" i="1"/>
  <c r="I3340" i="1"/>
  <c r="I3209" i="1"/>
  <c r="I2135" i="1"/>
  <c r="I2300" i="1"/>
  <c r="I4364" i="1"/>
  <c r="I1417" i="1"/>
  <c r="I1416" i="1"/>
  <c r="I4363" i="1"/>
  <c r="I1402" i="1"/>
  <c r="I1401" i="1"/>
  <c r="I4361" i="1"/>
  <c r="I4470" i="1"/>
  <c r="I3443" i="1"/>
  <c r="I4467" i="1"/>
  <c r="I4466" i="1"/>
  <c r="I4464" i="1"/>
  <c r="I1400" i="1"/>
  <c r="I4462" i="1"/>
  <c r="I4461" i="1"/>
  <c r="I4360" i="1"/>
  <c r="I4358" i="1"/>
  <c r="I4357" i="1"/>
  <c r="I4356" i="1"/>
  <c r="I2140" i="1"/>
  <c r="I2134" i="1"/>
  <c r="I3548" i="1"/>
  <c r="I2101" i="1"/>
  <c r="I4011" i="1"/>
  <c r="I2139" i="1"/>
  <c r="I2133" i="1"/>
  <c r="I4460" i="1"/>
  <c r="I4459" i="1"/>
  <c r="I4457" i="1"/>
  <c r="I4456" i="1"/>
  <c r="I4455" i="1"/>
  <c r="I4454" i="1"/>
  <c r="I4453" i="1"/>
  <c r="I4354" i="1"/>
  <c r="I4353" i="1"/>
  <c r="I4352" i="1"/>
  <c r="I2138" i="1"/>
  <c r="I2132" i="1"/>
  <c r="I3341" i="1"/>
  <c r="I3444" i="1"/>
  <c r="I2137" i="1"/>
  <c r="I4351" i="1"/>
  <c r="I1415" i="1"/>
  <c r="I1414" i="1"/>
  <c r="I4350" i="1"/>
  <c r="I1399" i="1"/>
  <c r="I1398" i="1"/>
  <c r="I1413" i="1"/>
  <c r="I1945" i="1"/>
  <c r="I1482" i="1"/>
  <c r="I1481" i="1"/>
  <c r="I92" i="1"/>
  <c r="I4452" i="1"/>
  <c r="I4451" i="1"/>
  <c r="I626" i="1"/>
  <c r="I1452" i="1"/>
  <c r="I1447" i="1"/>
  <c r="I1754" i="1"/>
  <c r="I1228" i="1"/>
  <c r="I1229" i="1"/>
  <c r="I691" i="1"/>
  <c r="I690" i="1"/>
  <c r="I4449" i="1"/>
  <c r="I1651" i="1"/>
  <c r="I4447" i="1"/>
  <c r="I3424" i="1"/>
  <c r="I4446" i="1"/>
  <c r="I3423" i="1"/>
  <c r="I1480" i="1"/>
  <c r="I2322" i="1"/>
  <c r="I1024" i="1"/>
  <c r="I617" i="1"/>
  <c r="I616" i="1"/>
  <c r="I615" i="1"/>
  <c r="I3875" i="1"/>
  <c r="I1019" i="1"/>
  <c r="I3064" i="1"/>
  <c r="I3147" i="1"/>
  <c r="I3652" i="1"/>
  <c r="I3581" i="1"/>
  <c r="I3580" i="1"/>
  <c r="I3582" i="1"/>
  <c r="I3585" i="1"/>
  <c r="I3584" i="1"/>
  <c r="I3587" i="1"/>
  <c r="I3586" i="1"/>
  <c r="I1420" i="1"/>
  <c r="I2957" i="1"/>
  <c r="I375" i="1"/>
  <c r="I656" i="1"/>
  <c r="I1445" i="1"/>
  <c r="I655" i="1"/>
  <c r="I3179" i="1"/>
  <c r="I1764" i="1"/>
  <c r="I1763" i="1"/>
  <c r="I3286" i="1"/>
  <c r="I3285" i="1"/>
  <c r="I743" i="1"/>
  <c r="I2574" i="1"/>
  <c r="I651" i="1"/>
  <c r="I513" i="1"/>
  <c r="I512" i="1"/>
  <c r="I511" i="1"/>
  <c r="I510" i="1"/>
  <c r="I3973" i="1"/>
  <c r="I4273" i="1"/>
  <c r="I3978" i="1"/>
  <c r="I3980" i="1"/>
  <c r="I3982" i="1"/>
  <c r="I4135" i="1"/>
  <c r="I3979" i="1"/>
  <c r="I3981" i="1"/>
  <c r="I3972" i="1"/>
  <c r="I3975" i="1"/>
  <c r="I4041" i="1"/>
  <c r="I3977" i="1"/>
  <c r="I3974" i="1"/>
  <c r="I4134" i="1"/>
  <c r="I3976" i="1"/>
  <c r="I4186" i="1"/>
  <c r="I4185" i="1"/>
  <c r="I4349" i="1"/>
  <c r="I4348" i="1"/>
  <c r="I4347" i="1"/>
  <c r="I4444" i="1"/>
  <c r="I4443" i="1"/>
  <c r="I4441" i="1"/>
  <c r="I4440" i="1"/>
  <c r="I4439" i="1"/>
  <c r="I2508" i="1"/>
  <c r="I4438" i="1"/>
  <c r="I4437" i="1"/>
  <c r="I4436" i="1"/>
  <c r="I4434" i="1"/>
  <c r="I4433" i="1"/>
  <c r="I4432" i="1"/>
  <c r="I1412" i="1"/>
  <c r="I1411" i="1"/>
  <c r="I4430" i="1"/>
  <c r="I4429" i="1"/>
  <c r="I4428" i="1"/>
  <c r="I4427" i="1"/>
  <c r="I4344" i="1"/>
  <c r="I1404" i="1"/>
  <c r="I1403" i="1"/>
  <c r="I4343" i="1"/>
  <c r="I1396" i="1"/>
  <c r="I1395" i="1"/>
  <c r="I4425" i="1"/>
  <c r="I1389" i="1"/>
  <c r="I4342" i="1"/>
  <c r="I1386" i="1"/>
  <c r="I1384" i="1"/>
  <c r="I4421" i="1"/>
  <c r="I4420" i="1"/>
  <c r="I4419" i="1"/>
  <c r="I600" i="1"/>
  <c r="I598" i="1"/>
  <c r="I3513" i="1"/>
  <c r="I3512" i="1"/>
  <c r="I838" i="1"/>
  <c r="I839" i="1"/>
  <c r="I1511" i="1"/>
  <c r="I247" i="1"/>
  <c r="I248" i="1"/>
  <c r="I272" i="1"/>
  <c r="I3318" i="1"/>
  <c r="I4155" i="1"/>
  <c r="I4017" i="1"/>
  <c r="I4289" i="1"/>
  <c r="I4290" i="1"/>
  <c r="I1578" i="1"/>
  <c r="I182" i="1"/>
  <c r="I1368" i="1"/>
  <c r="I464" i="1"/>
  <c r="I1722" i="1"/>
  <c r="I1863" i="1"/>
  <c r="I1721" i="1"/>
  <c r="I145" i="1"/>
  <c r="I1720" i="1"/>
  <c r="I1719" i="1"/>
  <c r="I1575" i="1"/>
  <c r="I1574" i="1"/>
  <c r="I2613" i="1"/>
  <c r="I536" i="1"/>
  <c r="I503" i="1"/>
  <c r="I2495" i="1"/>
  <c r="I2533" i="1"/>
  <c r="I1979" i="1"/>
  <c r="I569" i="1"/>
  <c r="I193" i="1"/>
  <c r="I1698" i="1"/>
  <c r="I1697" i="1"/>
  <c r="I1660" i="1"/>
  <c r="I4070" i="1"/>
  <c r="I462" i="1"/>
  <c r="I570" i="1"/>
  <c r="I2493" i="1"/>
  <c r="I1694" i="1"/>
  <c r="I2263" i="1"/>
  <c r="I2264" i="1"/>
  <c r="I2262" i="1"/>
  <c r="I1662" i="1"/>
  <c r="I1661" i="1"/>
  <c r="I1924" i="1"/>
  <c r="I2265" i="1"/>
  <c r="I2266" i="1"/>
  <c r="I1878" i="1"/>
  <c r="I3092" i="1"/>
  <c r="I2169" i="1"/>
  <c r="I2168" i="1"/>
  <c r="I2171" i="1"/>
  <c r="I2172" i="1"/>
  <c r="I2170" i="1"/>
  <c r="I1695" i="1"/>
  <c r="I1880" i="1"/>
  <c r="I2442" i="1"/>
  <c r="I1791" i="1"/>
  <c r="I3093" i="1"/>
  <c r="I194" i="1"/>
  <c r="I1703" i="1"/>
  <c r="I465" i="1"/>
  <c r="I673" i="1"/>
  <c r="I2645" i="1"/>
  <c r="I3498" i="1"/>
  <c r="I1866" i="1"/>
  <c r="I1527" i="1"/>
  <c r="I1659" i="1"/>
  <c r="I1558" i="1"/>
  <c r="I534" i="1"/>
  <c r="I1529" i="1"/>
  <c r="I1528" i="1"/>
  <c r="I1448" i="1"/>
  <c r="I2499" i="1"/>
  <c r="I1689" i="1"/>
  <c r="I856" i="1"/>
  <c r="I217" i="1"/>
  <c r="I568" i="1"/>
  <c r="I144" i="1"/>
  <c r="I567" i="1"/>
  <c r="I4215" i="1"/>
  <c r="I2197" i="1"/>
  <c r="I461" i="1"/>
  <c r="I4226" i="1"/>
  <c r="I2492" i="1"/>
  <c r="I2491" i="1"/>
  <c r="I1526" i="1"/>
  <c r="I858" i="1"/>
  <c r="I1656" i="1"/>
  <c r="I137" i="1"/>
  <c r="I610" i="1"/>
  <c r="I1571" i="1"/>
  <c r="I1699" i="1"/>
  <c r="I1860" i="1"/>
  <c r="I859" i="1"/>
  <c r="I1434" i="1"/>
  <c r="I406" i="1"/>
  <c r="I2473" i="1"/>
  <c r="I1724" i="1"/>
  <c r="I1723" i="1"/>
  <c r="I1521" i="1"/>
  <c r="I1705" i="1"/>
  <c r="I850" i="1"/>
  <c r="I1520" i="1"/>
  <c r="I559" i="1"/>
  <c r="I2476" i="1"/>
  <c r="I2792" i="1"/>
  <c r="I2475" i="1"/>
  <c r="I1716" i="1"/>
  <c r="I1876" i="1"/>
  <c r="I852" i="1"/>
  <c r="I2490" i="1"/>
  <c r="I2489" i="1"/>
  <c r="I564" i="1"/>
  <c r="I1522" i="1"/>
  <c r="I143" i="1"/>
  <c r="I403" i="1"/>
  <c r="I563" i="1"/>
  <c r="I4225" i="1"/>
  <c r="I2795" i="1"/>
  <c r="I2794" i="1"/>
  <c r="I3124" i="1"/>
  <c r="I3119" i="1"/>
  <c r="I1912" i="1"/>
  <c r="I1914" i="1"/>
  <c r="I1454" i="1"/>
  <c r="I1870" i="1"/>
  <c r="I1709" i="1"/>
  <c r="I3323" i="1"/>
  <c r="I3091" i="1"/>
  <c r="I1707" i="1"/>
  <c r="I1868" i="1"/>
  <c r="I1706" i="1"/>
  <c r="I3090" i="1"/>
  <c r="I2497" i="1"/>
  <c r="I4069" i="1"/>
  <c r="I1663" i="1"/>
  <c r="I2496" i="1"/>
  <c r="I1616" i="1"/>
  <c r="I1718" i="1"/>
  <c r="I1717" i="1"/>
  <c r="I1948" i="1"/>
  <c r="I1525" i="1"/>
  <c r="I1708" i="1"/>
  <c r="I1869" i="1"/>
  <c r="I851" i="1"/>
  <c r="I1455" i="1"/>
  <c r="I2488" i="1"/>
  <c r="I2487" i="1"/>
  <c r="I2484" i="1"/>
  <c r="I2483" i="1"/>
  <c r="I2480" i="1"/>
  <c r="I2479" i="1"/>
  <c r="I1524" i="1"/>
  <c r="I120" i="1"/>
  <c r="I402" i="1"/>
  <c r="I4236" i="1"/>
  <c r="I3766" i="1"/>
  <c r="I3765" i="1"/>
  <c r="I467" i="1"/>
  <c r="I2482" i="1"/>
  <c r="I2793" i="1"/>
  <c r="I2080" i="1"/>
  <c r="I2079" i="1"/>
  <c r="I3709" i="1"/>
  <c r="I3708" i="1"/>
  <c r="I854" i="1"/>
  <c r="I855" i="1"/>
  <c r="I1872" i="1"/>
  <c r="I1920" i="1"/>
  <c r="I1923" i="1"/>
  <c r="I1922" i="1"/>
  <c r="I447" i="1"/>
  <c r="I460" i="1"/>
  <c r="I2923" i="1"/>
  <c r="I2922" i="1"/>
  <c r="I2919" i="1"/>
  <c r="I2921" i="1"/>
  <c r="I3631" i="1"/>
  <c r="I3415" i="1"/>
  <c r="I3630" i="1"/>
  <c r="I3710" i="1"/>
  <c r="I2816" i="1"/>
  <c r="I2915" i="1"/>
  <c r="I2914" i="1"/>
  <c r="I2916" i="1"/>
  <c r="I2897" i="1"/>
  <c r="I2896" i="1"/>
  <c r="I2907" i="1"/>
  <c r="I2902" i="1"/>
  <c r="I2904" i="1"/>
  <c r="I2900" i="1"/>
  <c r="I2899" i="1"/>
  <c r="I2901" i="1"/>
  <c r="I2908" i="1"/>
  <c r="I2910" i="1"/>
  <c r="I2911" i="1"/>
  <c r="I3027" i="1"/>
  <c r="I2866" i="1"/>
  <c r="I2865" i="1"/>
  <c r="I3026" i="1"/>
  <c r="I2867" i="1"/>
  <c r="I3029" i="1"/>
  <c r="I3028" i="1"/>
  <c r="I2872" i="1"/>
  <c r="I2871" i="1"/>
  <c r="I2873" i="1"/>
  <c r="I3629" i="1"/>
  <c r="I3416" i="1"/>
  <c r="I2874" i="1"/>
  <c r="I2918" i="1"/>
  <c r="I3024" i="1"/>
  <c r="I2147" i="1"/>
  <c r="I2860" i="1"/>
  <c r="I2859" i="1"/>
  <c r="I2861" i="1"/>
  <c r="I2869" i="1"/>
  <c r="I2870" i="1"/>
  <c r="I2868" i="1"/>
  <c r="I2857" i="1"/>
  <c r="I2856" i="1"/>
  <c r="I2858" i="1"/>
  <c r="I2862" i="1"/>
  <c r="I3214" i="1"/>
  <c r="I3032" i="1"/>
  <c r="I3018" i="1"/>
  <c r="I3632" i="1"/>
  <c r="I4218" i="1"/>
  <c r="I4217" i="1"/>
  <c r="I4219" i="1"/>
  <c r="I4221" i="1"/>
  <c r="I3019" i="1"/>
  <c r="I3022" i="1"/>
  <c r="I3021" i="1"/>
  <c r="I3020" i="1"/>
  <c r="I3328" i="1"/>
  <c r="I3169" i="1"/>
  <c r="I3130" i="1"/>
  <c r="I3292" i="1"/>
  <c r="I3291" i="1"/>
  <c r="I2248" i="1"/>
  <c r="I2249" i="1"/>
  <c r="I3460" i="1"/>
  <c r="I4258" i="1"/>
  <c r="I3459" i="1"/>
  <c r="I3099" i="1"/>
  <c r="I4206" i="1"/>
  <c r="I4292" i="1"/>
  <c r="I4291" i="1"/>
  <c r="I3733" i="1"/>
  <c r="I2149" i="1"/>
  <c r="I3732" i="1"/>
  <c r="I2148" i="1"/>
  <c r="I1129" i="1"/>
  <c r="I1128" i="1"/>
  <c r="I1127" i="1"/>
  <c r="I958" i="1"/>
  <c r="I957" i="1"/>
  <c r="I955" i="1"/>
  <c r="I1419" i="1"/>
  <c r="I1418" i="1"/>
  <c r="I879" i="1"/>
  <c r="I961" i="1"/>
  <c r="I959" i="1"/>
  <c r="I1130" i="1"/>
  <c r="I4105" i="1"/>
  <c r="I4104" i="1"/>
  <c r="I4341" i="1"/>
  <c r="I4278" i="1"/>
  <c r="I3917" i="1"/>
  <c r="I4276" i="1"/>
  <c r="I3916" i="1"/>
  <c r="I4086" i="1"/>
  <c r="I4299" i="1"/>
  <c r="I3775" i="1"/>
  <c r="I751" i="1"/>
  <c r="I4237" i="1"/>
  <c r="I613" i="1"/>
  <c r="I3281" i="1"/>
  <c r="I3280" i="1"/>
  <c r="I2258" i="1"/>
  <c r="I2256" i="1"/>
  <c r="I2257" i="1"/>
  <c r="I1331" i="1"/>
  <c r="I3306" i="1"/>
  <c r="I3121" i="1"/>
  <c r="I3901" i="1"/>
  <c r="I2738" i="1"/>
  <c r="I3659" i="1"/>
  <c r="I812" i="1"/>
  <c r="I809" i="1"/>
  <c r="I195" i="1"/>
  <c r="I173" i="1"/>
  <c r="I4012" i="1"/>
  <c r="I3518" i="1"/>
  <c r="I3519" i="1"/>
  <c r="I3517" i="1"/>
  <c r="I4018" i="1"/>
  <c r="I1017" i="1"/>
  <c r="I1421" i="1"/>
  <c r="I1332" i="1"/>
  <c r="I33" i="1"/>
  <c r="I3906" i="1"/>
  <c r="I3904" i="1"/>
  <c r="I3903" i="1"/>
  <c r="I4325" i="1"/>
  <c r="I222" i="1"/>
  <c r="I292" i="1"/>
  <c r="I24" i="1"/>
  <c r="I23" i="1"/>
  <c r="I2358" i="1"/>
  <c r="I4249" i="1"/>
  <c r="I4389" i="1"/>
  <c r="I10" i="1"/>
  <c r="I9" i="1"/>
  <c r="I4251" i="1"/>
  <c r="I1851" i="1"/>
  <c r="I749" i="1"/>
  <c r="I750" i="1"/>
  <c r="I3607" i="1"/>
  <c r="I745" i="1"/>
  <c r="I746" i="1"/>
  <c r="I1853" i="1"/>
  <c r="I747" i="1"/>
  <c r="I748" i="1"/>
  <c r="I1850" i="1"/>
  <c r="I3604" i="1"/>
  <c r="I3603" i="1"/>
  <c r="I2345" i="1"/>
  <c r="I3606" i="1"/>
  <c r="I437" i="1"/>
  <c r="I3605" i="1"/>
  <c r="I2344" i="1"/>
  <c r="I3601" i="1"/>
  <c r="I127" i="1"/>
  <c r="I4157" i="1"/>
  <c r="I4156" i="1"/>
  <c r="I1304" i="1"/>
  <c r="I1308" i="1"/>
  <c r="I1307" i="1"/>
  <c r="I1306" i="1"/>
  <c r="I1305" i="1"/>
  <c r="I3427" i="1"/>
  <c r="I3426" i="1"/>
  <c r="I4142" i="1"/>
  <c r="I2940" i="1"/>
  <c r="I2936" i="1"/>
  <c r="I2937" i="1"/>
  <c r="I2941" i="1"/>
  <c r="I2942" i="1"/>
  <c r="I2944" i="1"/>
  <c r="I2929" i="1"/>
  <c r="I2933" i="1"/>
  <c r="I2934" i="1"/>
  <c r="I2932" i="1"/>
  <c r="I2926" i="1"/>
  <c r="I2928" i="1"/>
  <c r="I1883" i="1"/>
  <c r="I1882" i="1"/>
  <c r="I377" i="1"/>
  <c r="I663" i="1"/>
  <c r="I376" i="1"/>
  <c r="I689" i="1"/>
  <c r="I608" i="1"/>
  <c r="I243" i="1"/>
  <c r="I788" i="1"/>
  <c r="I595" i="1"/>
  <c r="I121" i="1"/>
  <c r="I538" i="1"/>
  <c r="I4418" i="1"/>
  <c r="I2692" i="1"/>
  <c r="I2951" i="1"/>
  <c r="I3662" i="1"/>
  <c r="I2879" i="1"/>
  <c r="I2222" i="1"/>
  <c r="I2145" i="1"/>
  <c r="I3324" i="1"/>
  <c r="I3537" i="1"/>
  <c r="I3885" i="1"/>
  <c r="I2854" i="1"/>
  <c r="I2882" i="1"/>
  <c r="I3939" i="1"/>
  <c r="I3745" i="1"/>
  <c r="I2714" i="1"/>
  <c r="I2270" i="1"/>
  <c r="I2827" i="1"/>
  <c r="I2267" i="1"/>
  <c r="I2886" i="1"/>
  <c r="I2269" i="1"/>
  <c r="I1548" i="1"/>
  <c r="I1544" i="1"/>
  <c r="I1547" i="1"/>
  <c r="I1839" i="1"/>
  <c r="I2319" i="1"/>
  <c r="I221" i="1"/>
  <c r="I253" i="1"/>
  <c r="I490" i="1"/>
  <c r="I489" i="1"/>
  <c r="I1167" i="1"/>
  <c r="I1169" i="1"/>
  <c r="I2790" i="1"/>
  <c r="I641" i="1"/>
  <c r="I627" i="1"/>
  <c r="I276" i="1"/>
  <c r="I1168" i="1"/>
  <c r="I439" i="1"/>
  <c r="I1059" i="1"/>
  <c r="I311" i="1"/>
  <c r="I1181" i="1"/>
  <c r="I446" i="1"/>
  <c r="I438" i="1"/>
  <c r="I445" i="1"/>
  <c r="I441" i="1"/>
  <c r="I1057" i="1"/>
  <c r="I286" i="1"/>
  <c r="I1165" i="1"/>
  <c r="I444" i="1"/>
  <c r="I1164" i="1"/>
  <c r="I442" i="1"/>
  <c r="I2330" i="1"/>
  <c r="I2331" i="1"/>
  <c r="I2325" i="1"/>
  <c r="I2326" i="1"/>
  <c r="I3478" i="1"/>
  <c r="I3479" i="1"/>
  <c r="I3477" i="1"/>
  <c r="I3418" i="1"/>
  <c r="I3417" i="1"/>
  <c r="I3486" i="1"/>
  <c r="I2728" i="1"/>
  <c r="I2730" i="1"/>
  <c r="I4183" i="1"/>
  <c r="I4182" i="1"/>
  <c r="I2729" i="1"/>
  <c r="I2731" i="1"/>
  <c r="I2212" i="1"/>
  <c r="I2616" i="1"/>
  <c r="I2213" i="1"/>
  <c r="I2734" i="1"/>
  <c r="I2185" i="1"/>
  <c r="I2229" i="1"/>
  <c r="I1988" i="1"/>
  <c r="I3809" i="1"/>
  <c r="I3808" i="1"/>
  <c r="I2735" i="1"/>
  <c r="I2737" i="1"/>
  <c r="I2736" i="1"/>
  <c r="I2288" i="1"/>
  <c r="I2289" i="1"/>
  <c r="I2291" i="1"/>
  <c r="I2287" i="1"/>
  <c r="I2292" i="1"/>
  <c r="I2091" i="1"/>
  <c r="I2092" i="1"/>
  <c r="I2093" i="1"/>
  <c r="I1767" i="1"/>
  <c r="I1765" i="1"/>
  <c r="I336" i="1"/>
  <c r="I335" i="1"/>
  <c r="I1768" i="1"/>
  <c r="I4417" i="1"/>
  <c r="I3843" i="1"/>
  <c r="I3846" i="1"/>
  <c r="I4416" i="1"/>
  <c r="I3844" i="1"/>
  <c r="I3845" i="1"/>
  <c r="I2226" i="1"/>
  <c r="I1983" i="1"/>
  <c r="I2225" i="1"/>
  <c r="I2753" i="1"/>
  <c r="I2754" i="1"/>
  <c r="I1347" i="1"/>
  <c r="I508" i="1"/>
  <c r="I4340" i="1"/>
  <c r="I3422" i="1"/>
  <c r="I3805" i="1"/>
  <c r="I3531" i="1"/>
  <c r="I3489" i="1"/>
  <c r="I2624" i="1"/>
  <c r="I2240" i="1"/>
  <c r="I2966" i="1"/>
  <c r="I2968" i="1"/>
  <c r="I734" i="1"/>
  <c r="I3065" i="1"/>
  <c r="I184" i="1"/>
  <c r="I2627" i="1"/>
  <c r="I192" i="1"/>
  <c r="I109" i="1"/>
  <c r="I741" i="1"/>
  <c r="I686" i="1"/>
  <c r="I108" i="1"/>
  <c r="I783" i="1"/>
  <c r="I585" i="1"/>
  <c r="I547" i="1"/>
  <c r="I419" i="1"/>
  <c r="I3039" i="1"/>
  <c r="I2628" i="1"/>
  <c r="I2631" i="1"/>
  <c r="I2630" i="1"/>
  <c r="I2848" i="1"/>
  <c r="I2626" i="1"/>
  <c r="I2625" i="1"/>
  <c r="I3274" i="1"/>
  <c r="I507" i="1"/>
  <c r="I208" i="1"/>
  <c r="I4072" i="1"/>
  <c r="I2128" i="1"/>
  <c r="I2962" i="1"/>
  <c r="I2964" i="1"/>
  <c r="I2961" i="1"/>
  <c r="I4339" i="1"/>
  <c r="I4092" i="1"/>
  <c r="I2283" i="1"/>
  <c r="I1986" i="1"/>
  <c r="I1987" i="1"/>
  <c r="I3798" i="1"/>
  <c r="I1492" i="1"/>
  <c r="I4077" i="1"/>
  <c r="I4081" i="1"/>
  <c r="I4083" i="1"/>
  <c r="I4079" i="1"/>
  <c r="I4082" i="1"/>
  <c r="I3935" i="1"/>
  <c r="I2623" i="1"/>
  <c r="I3152" i="1"/>
  <c r="I3151" i="1"/>
  <c r="I2608" i="1"/>
  <c r="I3501" i="1"/>
  <c r="I4338" i="1"/>
  <c r="I3481" i="1"/>
  <c r="I2621" i="1"/>
  <c r="I4020" i="1"/>
  <c r="I3872" i="1"/>
  <c r="I3871" i="1"/>
  <c r="I4255" i="1"/>
  <c r="I4091" i="1"/>
  <c r="I4257" i="1"/>
  <c r="I3276" i="1"/>
  <c r="I3277" i="1"/>
  <c r="I4061" i="1"/>
  <c r="I3275" i="1"/>
  <c r="I1726" i="1"/>
  <c r="I1727" i="1"/>
  <c r="I1427" i="1"/>
  <c r="I1428" i="1"/>
  <c r="I1498" i="1"/>
  <c r="I493" i="1"/>
  <c r="I1451" i="1"/>
  <c r="I800" i="1"/>
  <c r="I1320" i="1"/>
  <c r="I520" i="1"/>
  <c r="I1265" i="1"/>
  <c r="I801" i="1"/>
  <c r="I279" i="1"/>
  <c r="I729" i="1"/>
  <c r="I2241" i="1"/>
  <c r="I2242" i="1"/>
  <c r="I2580" i="1"/>
  <c r="I802" i="1"/>
  <c r="I4060" i="1"/>
  <c r="I2341" i="1"/>
  <c r="I2244" i="1"/>
  <c r="I2243" i="1"/>
  <c r="I2733" i="1"/>
  <c r="I2732" i="1"/>
  <c r="I2967" i="1"/>
  <c r="I2191" i="1"/>
  <c r="I2190" i="1"/>
  <c r="I2210" i="1"/>
  <c r="I2187" i="1"/>
  <c r="I2188" i="1"/>
  <c r="I4040" i="1"/>
  <c r="I4039" i="1"/>
  <c r="I4038" i="1"/>
  <c r="I2189" i="1"/>
  <c r="I531" i="1"/>
  <c r="I1667" i="1"/>
  <c r="I454" i="1"/>
  <c r="I527" i="1"/>
  <c r="I530" i="1"/>
  <c r="I1617" i="1"/>
  <c r="I1366" i="1"/>
  <c r="I526" i="1"/>
  <c r="I529" i="1"/>
  <c r="I1365" i="1"/>
  <c r="I1364" i="1"/>
  <c r="I1344" i="1"/>
  <c r="I1774" i="1"/>
  <c r="I1456" i="1"/>
  <c r="I211" i="1"/>
  <c r="I472" i="1"/>
  <c r="I470" i="1"/>
  <c r="I525" i="1"/>
  <c r="I1499" i="1"/>
  <c r="I1568" i="1"/>
  <c r="I3303" i="1"/>
  <c r="I3502" i="1"/>
  <c r="I1318" i="1"/>
  <c r="I2788" i="1"/>
  <c r="I3083" i="1"/>
  <c r="I3084" i="1"/>
  <c r="I3087" i="1"/>
  <c r="I3085" i="1"/>
  <c r="I2603" i="1"/>
  <c r="I2295" i="1"/>
  <c r="I2836" i="1"/>
  <c r="I2837" i="1"/>
  <c r="I3011" i="1"/>
  <c r="I3012" i="1"/>
  <c r="I2838" i="1"/>
  <c r="I4064" i="1"/>
  <c r="I2221" i="1"/>
  <c r="I4063" i="1"/>
  <c r="I4148" i="1"/>
  <c r="I2275" i="1"/>
  <c r="I2081" i="1"/>
  <c r="I2082" i="1"/>
  <c r="I1840" i="1"/>
  <c r="I3589" i="1"/>
  <c r="I3940" i="1"/>
  <c r="I3590" i="1"/>
  <c r="I2214" i="1"/>
  <c r="I3533" i="1"/>
  <c r="I3315" i="1"/>
  <c r="I4111" i="1"/>
  <c r="I1806" i="1"/>
  <c r="I1143" i="1"/>
  <c r="I1142" i="1"/>
  <c r="I762" i="1"/>
  <c r="I347" i="1"/>
  <c r="I346" i="1"/>
  <c r="I763" i="1"/>
  <c r="I348" i="1"/>
  <c r="I3651" i="1"/>
  <c r="I3704" i="1"/>
  <c r="I3705" i="1"/>
  <c r="I4252" i="1"/>
  <c r="I4166" i="1"/>
  <c r="I939" i="1"/>
  <c r="I1172" i="1"/>
  <c r="I4279" i="1"/>
  <c r="I3772" i="1"/>
  <c r="I3515" i="1"/>
  <c r="I940" i="1"/>
  <c r="I3212" i="1"/>
  <c r="I4320" i="1"/>
  <c r="I3128" i="1"/>
  <c r="I4321" i="1"/>
  <c r="I4250" i="1"/>
  <c r="I4323" i="1"/>
  <c r="I1098" i="1"/>
  <c r="I1096" i="1"/>
  <c r="I1095" i="1"/>
  <c r="I1097" i="1"/>
  <c r="I3702" i="1"/>
  <c r="I1094" i="1"/>
  <c r="I3700" i="1"/>
  <c r="I3701" i="1"/>
  <c r="I1099" i="1"/>
  <c r="I1101" i="1"/>
  <c r="I1103" i="1"/>
  <c r="I1104" i="1"/>
  <c r="I1657" i="1"/>
  <c r="I1691" i="1"/>
  <c r="I2066" i="1"/>
  <c r="I2067" i="1"/>
  <c r="I1217" i="1"/>
  <c r="I2317" i="1"/>
  <c r="I2318" i="1"/>
  <c r="I2316" i="1"/>
  <c r="I2552" i="1"/>
  <c r="I2726" i="1"/>
  <c r="I2739" i="1"/>
  <c r="I3484" i="1"/>
  <c r="I3483" i="1"/>
  <c r="I2756" i="1"/>
  <c r="I3712" i="1"/>
  <c r="I2219" i="1"/>
  <c r="I2142" i="1"/>
  <c r="I3482" i="1"/>
  <c r="I3359" i="1"/>
  <c r="I2183" i="1"/>
  <c r="I3071" i="1"/>
  <c r="I3469" i="1"/>
  <c r="I4283" i="1"/>
  <c r="I2182" i="1"/>
  <c r="I3468" i="1"/>
  <c r="I3752" i="1"/>
  <c r="I2743" i="1"/>
  <c r="I4188" i="1"/>
  <c r="I2180" i="1"/>
  <c r="I3749" i="1"/>
  <c r="I3751" i="1"/>
  <c r="I4187" i="1"/>
  <c r="I2178" i="1"/>
  <c r="I3748" i="1"/>
  <c r="I3755" i="1"/>
  <c r="I3485" i="1"/>
  <c r="I3504" i="1"/>
  <c r="I3007" i="1"/>
  <c r="I4053" i="1"/>
  <c r="I3009" i="1"/>
  <c r="I3008" i="1"/>
  <c r="I3224" i="1"/>
  <c r="I3116" i="1"/>
  <c r="I3062" i="1"/>
  <c r="I3222" i="1"/>
  <c r="I3061" i="1"/>
  <c r="I3060" i="1"/>
  <c r="I241" i="1"/>
  <c r="I240" i="1"/>
  <c r="I239" i="1"/>
  <c r="I37" i="1"/>
  <c r="I652" i="1"/>
  <c r="I781" i="1"/>
  <c r="I1343" i="1"/>
  <c r="I126" i="1"/>
  <c r="I36" i="1"/>
  <c r="I790" i="1"/>
  <c r="I771" i="1"/>
  <c r="I794" i="1"/>
  <c r="I782" i="1"/>
  <c r="I778" i="1"/>
  <c r="I776" i="1"/>
  <c r="I773" i="1"/>
  <c r="I761" i="1"/>
  <c r="I977" i="1"/>
  <c r="I975" i="1"/>
  <c r="I976" i="1"/>
  <c r="I978" i="1"/>
  <c r="I1316" i="1"/>
  <c r="I1146" i="1"/>
  <c r="I1144" i="1"/>
  <c r="I1145" i="1"/>
  <c r="I1147" i="1"/>
  <c r="I1112" i="1"/>
  <c r="I1111" i="1"/>
  <c r="I1116" i="1"/>
  <c r="I1114" i="1"/>
  <c r="I1115" i="1"/>
  <c r="I4099" i="1"/>
  <c r="I4098" i="1"/>
  <c r="I522" i="1"/>
  <c r="I523" i="1"/>
  <c r="I1798" i="1"/>
  <c r="I3411" i="1"/>
  <c r="I3543" i="1"/>
  <c r="I3532" i="1"/>
  <c r="I2075" i="1"/>
  <c r="I1064" i="1"/>
  <c r="I1062" i="1"/>
  <c r="I1068" i="1"/>
  <c r="I1066" i="1"/>
  <c r="I1063" i="1"/>
  <c r="I1061" i="1"/>
  <c r="I1067" i="1"/>
  <c r="I1065" i="1"/>
  <c r="I3970" i="1"/>
  <c r="I426" i="1"/>
  <c r="I646" i="1"/>
  <c r="I3509" i="1"/>
  <c r="I3508" i="1"/>
  <c r="I1010" i="1"/>
  <c r="I4019" i="1"/>
  <c r="I3870" i="1"/>
  <c r="I3869" i="1"/>
  <c r="I2098" i="1"/>
  <c r="I1009" i="1"/>
  <c r="I2099" i="1"/>
  <c r="I2100" i="1"/>
  <c r="I1008" i="1"/>
  <c r="I1007" i="1"/>
  <c r="I1006" i="1"/>
  <c r="I1011" i="1"/>
  <c r="I2143" i="1"/>
  <c r="I1005" i="1"/>
  <c r="I3721" i="1"/>
  <c r="I1012" i="1"/>
  <c r="I3720" i="1"/>
  <c r="I3719" i="1"/>
  <c r="I1004" i="1"/>
  <c r="I3097" i="1"/>
  <c r="I1003" i="1"/>
  <c r="I3992" i="1"/>
  <c r="I3718" i="1"/>
  <c r="I1002" i="1"/>
  <c r="I3717" i="1"/>
  <c r="I3716" i="1"/>
  <c r="I3990" i="1"/>
  <c r="I3715" i="1"/>
  <c r="I1001" i="1"/>
  <c r="I1052" i="1"/>
  <c r="I2600" i="1"/>
  <c r="I3725" i="1"/>
  <c r="I1362" i="1"/>
  <c r="I3313" i="1"/>
  <c r="I1361" i="1"/>
  <c r="I1354" i="1"/>
  <c r="I3722" i="1"/>
  <c r="I1359" i="1"/>
  <c r="I1358" i="1"/>
  <c r="I2500" i="1"/>
  <c r="I35" i="1"/>
  <c r="I3217" i="1"/>
  <c r="I3216" i="1"/>
  <c r="I1262" i="1"/>
  <c r="I710" i="1"/>
  <c r="I1258" i="1"/>
  <c r="I1257" i="1"/>
  <c r="I1256" i="1"/>
  <c r="I1255" i="1"/>
  <c r="I873" i="1"/>
  <c r="I1251" i="1"/>
  <c r="I707" i="1"/>
  <c r="I1241" i="1"/>
  <c r="I1249" i="1"/>
  <c r="I1247" i="1"/>
  <c r="I1245" i="1"/>
  <c r="I1246" i="1"/>
  <c r="I1244" i="1"/>
  <c r="I1260" i="1"/>
  <c r="I1253" i="1"/>
  <c r="I709" i="1"/>
  <c r="I701" i="1"/>
  <c r="I1248" i="1"/>
  <c r="I1242" i="1"/>
  <c r="I1252" i="1"/>
  <c r="I2693" i="1"/>
  <c r="I3496" i="1"/>
  <c r="I3743" i="1"/>
  <c r="I2847" i="1"/>
  <c r="I1567" i="1"/>
  <c r="I3492" i="1"/>
  <c r="I2368" i="1"/>
  <c r="I2842" i="1"/>
  <c r="I1319" i="1"/>
  <c r="I1377" i="1"/>
  <c r="I1553" i="1"/>
  <c r="I219" i="1"/>
  <c r="I1425" i="1"/>
  <c r="I2420" i="1"/>
  <c r="I1223" i="1"/>
  <c r="I3126" i="1"/>
  <c r="I4162" i="1"/>
  <c r="I4161" i="1"/>
  <c r="I55" i="1"/>
  <c r="I54" i="1"/>
  <c r="I21" i="1"/>
  <c r="I1450" i="1"/>
  <c r="I123" i="1"/>
  <c r="I1015" i="1"/>
  <c r="I592" i="1"/>
  <c r="I591" i="1"/>
  <c r="I196" i="1"/>
  <c r="I837" i="1"/>
  <c r="I480" i="1"/>
  <c r="I1658" i="1"/>
  <c r="I1443" i="1"/>
  <c r="I1337" i="1"/>
  <c r="I1500" i="1"/>
  <c r="I602" i="1"/>
  <c r="I69" i="1"/>
  <c r="I70" i="1"/>
  <c r="I254" i="1"/>
  <c r="I453" i="1"/>
  <c r="I1893" i="1"/>
  <c r="I4260" i="1"/>
  <c r="I4164" i="1"/>
  <c r="I4165" i="1"/>
  <c r="I303" i="1"/>
  <c r="I79" i="1"/>
  <c r="I263" i="1"/>
  <c r="I80" i="1"/>
  <c r="I372" i="1"/>
  <c r="I65" i="1"/>
  <c r="I705" i="1"/>
  <c r="I77" i="1"/>
  <c r="I703" i="1"/>
  <c r="I2144" i="1"/>
  <c r="I704" i="1"/>
  <c r="I180" i="1"/>
  <c r="I78" i="1"/>
  <c r="I2395" i="1"/>
  <c r="I73" i="1"/>
  <c r="I695" i="1"/>
  <c r="I702" i="1"/>
  <c r="I199" i="1"/>
  <c r="I191" i="1"/>
  <c r="I74" i="1"/>
  <c r="I2385" i="1"/>
  <c r="I2386" i="1"/>
  <c r="I75" i="1"/>
  <c r="I197" i="1"/>
  <c r="I178" i="1"/>
  <c r="I76" i="1"/>
  <c r="I71" i="1"/>
  <c r="I653" i="1"/>
  <c r="I654" i="1"/>
  <c r="I951" i="1"/>
  <c r="I952" i="1"/>
  <c r="I72" i="1"/>
  <c r="I2384" i="1"/>
  <c r="I1444" i="1"/>
  <c r="I1501" i="1"/>
  <c r="I255" i="1"/>
  <c r="I635" i="1"/>
  <c r="I1895" i="1"/>
  <c r="I4261" i="1"/>
  <c r="I1894" i="1"/>
  <c r="I421" i="1"/>
  <c r="I15" i="1"/>
  <c r="I262" i="1"/>
  <c r="I81" i="1"/>
  <c r="I1000" i="1"/>
  <c r="I373" i="1"/>
  <c r="I66" i="1"/>
  <c r="I636" i="1"/>
  <c r="I597" i="1"/>
  <c r="I68" i="1"/>
  <c r="I252" i="1"/>
  <c r="I2048" i="1"/>
  <c r="I430" i="1"/>
  <c r="I621" i="1"/>
  <c r="I619" i="1"/>
  <c r="I1327" i="1"/>
  <c r="I687" i="1"/>
  <c r="I675" i="1"/>
  <c r="I1900" i="1"/>
  <c r="I1902" i="1"/>
  <c r="I1899" i="1"/>
  <c r="I1901" i="1"/>
  <c r="I3837" i="1"/>
  <c r="I4065" i="1"/>
  <c r="I4414" i="1"/>
  <c r="I214" i="1"/>
  <c r="I3832" i="1"/>
  <c r="I4413" i="1"/>
  <c r="I3491" i="1"/>
  <c r="I1615" i="1"/>
  <c r="I3475" i="1"/>
  <c r="I3394" i="1"/>
  <c r="I2236" i="1"/>
  <c r="I1550" i="1"/>
  <c r="I232" i="1"/>
  <c r="I1813" i="1"/>
  <c r="I3851" i="1"/>
  <c r="I1334" i="1"/>
  <c r="I2039" i="1"/>
  <c r="I2035" i="1"/>
  <c r="I2038" i="1"/>
  <c r="I2058" i="1"/>
  <c r="I2043" i="1"/>
  <c r="I2042" i="1"/>
  <c r="I1340" i="1"/>
  <c r="I1833" i="1"/>
  <c r="I2047" i="1"/>
  <c r="I3971" i="1"/>
  <c r="I1506" i="1"/>
  <c r="I1335" i="1"/>
  <c r="I1336" i="1"/>
  <c r="I3856" i="1"/>
  <c r="I295" i="1"/>
  <c r="I1505" i="1"/>
  <c r="I1504" i="1"/>
  <c r="I1503" i="1"/>
  <c r="I1350" i="1"/>
  <c r="I300" i="1"/>
  <c r="I1591" i="1"/>
  <c r="I1339" i="1"/>
  <c r="I3915" i="1"/>
  <c r="I1348" i="1"/>
  <c r="I288" i="1"/>
  <c r="I3854" i="1"/>
  <c r="I1349" i="1"/>
  <c r="I3855" i="1"/>
  <c r="I1422" i="1"/>
  <c r="I3799" i="1"/>
  <c r="I4310" i="1"/>
  <c r="I1819" i="1"/>
  <c r="I1602" i="1"/>
  <c r="I1601" i="1"/>
  <c r="I1596" i="1"/>
  <c r="I1608" i="1"/>
  <c r="I1610" i="1"/>
  <c r="I1595" i="1"/>
  <c r="I1666" i="1"/>
  <c r="I353" i="1"/>
  <c r="I1846" i="1"/>
  <c r="I1801" i="1"/>
  <c r="I1230" i="1"/>
  <c r="I697" i="1"/>
  <c r="I1508" i="1"/>
  <c r="I532" i="1"/>
  <c r="I818" i="1"/>
  <c r="I3488" i="1"/>
  <c r="I1913" i="1"/>
  <c r="I3442" i="1"/>
  <c r="I1917" i="1"/>
  <c r="I1916" i="1"/>
  <c r="I1951" i="1"/>
  <c r="I1950" i="1"/>
  <c r="I1515" i="1"/>
  <c r="I1513" i="1"/>
  <c r="I1512" i="1"/>
  <c r="I181" i="1"/>
  <c r="I3462" i="1"/>
  <c r="I4094" i="1"/>
  <c r="I553" i="1"/>
  <c r="I4037" i="1"/>
  <c r="I2678" i="1"/>
  <c r="I3569" i="1"/>
  <c r="I4295" i="1"/>
  <c r="I2677" i="1"/>
  <c r="I3858" i="1"/>
  <c r="I2571" i="1"/>
  <c r="I552" i="1"/>
  <c r="I901" i="1"/>
  <c r="I2676" i="1"/>
  <c r="I551" i="1"/>
  <c r="I911" i="1"/>
  <c r="I2675" i="1"/>
  <c r="I3568" i="1"/>
  <c r="I3547" i="1"/>
  <c r="I550" i="1"/>
  <c r="I2833" i="1"/>
  <c r="I904" i="1"/>
  <c r="I3567" i="1"/>
  <c r="I2832" i="1"/>
  <c r="I4240" i="1"/>
  <c r="I4239" i="1"/>
  <c r="I4238" i="1"/>
  <c r="I4241" i="1"/>
  <c r="I717" i="1"/>
  <c r="I716" i="1"/>
  <c r="I715" i="1"/>
  <c r="I718" i="1"/>
  <c r="I332" i="1"/>
  <c r="I471" i="1"/>
  <c r="I474" i="1"/>
  <c r="I473" i="1"/>
  <c r="I4199" i="1"/>
  <c r="I4200" i="1"/>
  <c r="I4201" i="1"/>
  <c r="I1424" i="1"/>
  <c r="I1423" i="1"/>
  <c r="I1429" i="1"/>
  <c r="I2305" i="1"/>
  <c r="I2307" i="1"/>
  <c r="I2308" i="1"/>
  <c r="I2103" i="1"/>
  <c r="I2102" i="1"/>
  <c r="I4247" i="1"/>
  <c r="I3797" i="1"/>
  <c r="I2373" i="1"/>
  <c r="I2340" i="1"/>
  <c r="I2590" i="1"/>
  <c r="I2589" i="1"/>
  <c r="I2690" i="1"/>
  <c r="I2689" i="1"/>
  <c r="I2755" i="1"/>
  <c r="I2090" i="1"/>
  <c r="I1323" i="1"/>
  <c r="I1324" i="1"/>
  <c r="I1322" i="1"/>
  <c r="I1325" i="1"/>
  <c r="I2380" i="1"/>
  <c r="I2382" i="1"/>
  <c r="I2381" i="1"/>
  <c r="I3891" i="1"/>
  <c r="I2948" i="1"/>
  <c r="I2947" i="1"/>
  <c r="I1815" i="1"/>
  <c r="I1517" i="1"/>
  <c r="I4412" i="1"/>
  <c r="I161" i="1"/>
  <c r="I885" i="1"/>
  <c r="I158" i="1"/>
  <c r="I889" i="1"/>
  <c r="I888" i="1"/>
  <c r="I273" i="1"/>
  <c r="I887" i="1"/>
  <c r="I210" i="1"/>
  <c r="I886" i="1"/>
  <c r="I890" i="1"/>
  <c r="I914" i="1"/>
  <c r="I892" i="1"/>
  <c r="I3942" i="1"/>
  <c r="I162" i="1"/>
  <c r="I436" i="1"/>
  <c r="I1516" i="1"/>
  <c r="I1466" i="1"/>
  <c r="I594" i="1"/>
  <c r="I891" i="1"/>
  <c r="I4336" i="1"/>
  <c r="I3059" i="1"/>
  <c r="I913" i="1"/>
  <c r="I7" i="1"/>
  <c r="I133" i="1"/>
  <c r="I134" i="1"/>
  <c r="I4102" i="1"/>
  <c r="I915" i="1"/>
  <c r="I1268" i="1"/>
  <c r="I1267" i="1"/>
  <c r="I1184" i="1"/>
  <c r="I1183" i="1"/>
  <c r="I3521" i="1"/>
  <c r="I3520" i="1"/>
  <c r="I941" i="1"/>
  <c r="I1236" i="1"/>
  <c r="I1125" i="1"/>
  <c r="I3819" i="1"/>
  <c r="I1124" i="1"/>
  <c r="I3818" i="1"/>
  <c r="I1126" i="1"/>
  <c r="I3817" i="1"/>
  <c r="I3816" i="1"/>
  <c r="I968" i="1"/>
  <c r="I967" i="1"/>
  <c r="I966" i="1"/>
  <c r="I3776" i="1"/>
  <c r="I1317" i="1"/>
  <c r="I4170" i="1"/>
  <c r="I2085" i="1"/>
  <c r="I2419" i="1"/>
  <c r="I4171" i="1"/>
  <c r="I3435" i="1"/>
  <c r="I2413" i="1"/>
  <c r="I2846" i="1"/>
  <c r="I2845" i="1"/>
  <c r="I1040" i="1"/>
  <c r="I1046" i="1"/>
  <c r="I1050" i="1"/>
  <c r="I3369" i="1"/>
  <c r="I4043" i="1"/>
  <c r="I3943" i="1"/>
  <c r="I1051" i="1"/>
  <c r="I1044" i="1"/>
  <c r="I1048" i="1"/>
  <c r="I3367" i="1"/>
  <c r="I1049" i="1"/>
  <c r="I3101" i="1"/>
  <c r="I1047" i="1"/>
  <c r="I3368" i="1"/>
  <c r="I4042" i="1"/>
  <c r="I3599" i="1"/>
  <c r="I3600" i="1"/>
  <c r="I3296" i="1"/>
  <c r="I3757" i="1"/>
  <c r="I3134" i="1"/>
  <c r="I3168" i="1"/>
  <c r="I3331" i="1"/>
  <c r="I3390" i="1"/>
  <c r="I3167" i="1"/>
  <c r="I3133" i="1"/>
  <c r="I365" i="1"/>
  <c r="I4254" i="1"/>
  <c r="I3166" i="1"/>
  <c r="I3165" i="1"/>
  <c r="I3293" i="1"/>
  <c r="I518" i="1"/>
  <c r="I671" i="1"/>
  <c r="I1038" i="1"/>
  <c r="I3164" i="1"/>
  <c r="I3157" i="1"/>
  <c r="I3132" i="1"/>
  <c r="I1041" i="1"/>
  <c r="I4068" i="1"/>
  <c r="I1039" i="1"/>
  <c r="I3150" i="1"/>
  <c r="I3463" i="1"/>
  <c r="I3070" i="1"/>
  <c r="I3392" i="1"/>
  <c r="I399" i="1"/>
  <c r="I400" i="1"/>
  <c r="I398" i="1"/>
  <c r="I397" i="1"/>
  <c r="I396" i="1"/>
  <c r="I394" i="1"/>
  <c r="I4024" i="1"/>
  <c r="I4023" i="1"/>
  <c r="I4022" i="1"/>
  <c r="I4027" i="1"/>
  <c r="I4030" i="1"/>
  <c r="I4031" i="1"/>
  <c r="I2361" i="1"/>
  <c r="I1475" i="1"/>
  <c r="I42" i="1"/>
  <c r="I670" i="1"/>
  <c r="I45" i="1"/>
  <c r="I669" i="1"/>
  <c r="I4124" i="1"/>
  <c r="I4123" i="1"/>
  <c r="I4125" i="1"/>
  <c r="I647" i="1"/>
  <c r="I4121" i="1"/>
  <c r="I4122" i="1"/>
  <c r="I355" i="1"/>
  <c r="I354" i="1"/>
  <c r="I1018" i="1"/>
  <c r="I1120" i="1"/>
  <c r="I3826" i="1"/>
  <c r="I1119" i="1"/>
  <c r="I3825" i="1"/>
  <c r="I1118" i="1"/>
  <c r="I3824" i="1"/>
  <c r="I965" i="1"/>
  <c r="I964" i="1"/>
  <c r="I3784" i="1"/>
  <c r="I963" i="1"/>
  <c r="I3783" i="1"/>
  <c r="I962" i="1"/>
  <c r="I1219" i="1"/>
  <c r="I190" i="1"/>
  <c r="I1218" i="1"/>
  <c r="I183" i="1"/>
  <c r="I1221" i="1"/>
  <c r="I1220" i="1"/>
  <c r="I3523" i="1"/>
  <c r="I742" i="1"/>
  <c r="I983" i="1"/>
  <c r="I1233" i="1"/>
  <c r="I1235" i="1"/>
  <c r="I2532" i="1"/>
  <c r="I2530" i="1"/>
  <c r="I151" i="1"/>
  <c r="I3115" i="1"/>
  <c r="I3112" i="1"/>
  <c r="I3111" i="1"/>
  <c r="I3110" i="1"/>
  <c r="I3107" i="1"/>
  <c r="I3106" i="1"/>
  <c r="I3052" i="1"/>
  <c r="I3047" i="1"/>
  <c r="I3336" i="1"/>
  <c r="I3220" i="1"/>
  <c r="I3269" i="1"/>
  <c r="I3270" i="1"/>
  <c r="I3271" i="1"/>
  <c r="I3045" i="1"/>
  <c r="I3056" i="1"/>
  <c r="I3252" i="1"/>
  <c r="I2537" i="1"/>
  <c r="I2536" i="1"/>
  <c r="I1947" i="1"/>
  <c r="I3040" i="1"/>
  <c r="I3051" i="1"/>
  <c r="I3221" i="1"/>
  <c r="I3955" i="1"/>
  <c r="I3938" i="1"/>
  <c r="I3937" i="1"/>
  <c r="I3250" i="1"/>
  <c r="I3251" i="1"/>
  <c r="I3931" i="1"/>
  <c r="I2618" i="1"/>
  <c r="I1728" i="1"/>
  <c r="I1780" i="1"/>
  <c r="I1227" i="1"/>
  <c r="I1232" i="1"/>
  <c r="I2529" i="1"/>
  <c r="I3996" i="1"/>
  <c r="I3836" i="1"/>
  <c r="I1944" i="1"/>
  <c r="I2617" i="1"/>
  <c r="I2521" i="1"/>
  <c r="I2527" i="1"/>
  <c r="I2032" i="1"/>
  <c r="I2531" i="1"/>
  <c r="I2528" i="1"/>
  <c r="I2525" i="1"/>
  <c r="I2519" i="1"/>
  <c r="I2033" i="1"/>
  <c r="I2518" i="1"/>
  <c r="I2523" i="1"/>
  <c r="I2684" i="1"/>
  <c r="I1474" i="1"/>
  <c r="I2751" i="1"/>
  <c r="I1473" i="1"/>
  <c r="I3046" i="1"/>
  <c r="I3053" i="1"/>
  <c r="I3057" i="1"/>
  <c r="I3041" i="1"/>
  <c r="I4306" i="1"/>
  <c r="I4410" i="1"/>
  <c r="I4409" i="1"/>
  <c r="I4305" i="1"/>
  <c r="I3249" i="1"/>
  <c r="I3248" i="1"/>
  <c r="I3420" i="1"/>
  <c r="I3254" i="1"/>
  <c r="I3399" i="1"/>
  <c r="I3243" i="1"/>
  <c r="I3245" i="1"/>
  <c r="I3398" i="1"/>
  <c r="I3804" i="1"/>
  <c r="I2697" i="1"/>
  <c r="I2696" i="1"/>
  <c r="I2695" i="1"/>
  <c r="I2694" i="1"/>
  <c r="I2524" i="1"/>
  <c r="I231" i="1"/>
  <c r="I3255" i="1"/>
  <c r="I3264" i="1"/>
  <c r="I3263" i="1"/>
  <c r="I3300" i="1"/>
  <c r="I3299" i="1"/>
  <c r="I3261" i="1"/>
  <c r="I3298" i="1"/>
  <c r="I3297" i="1"/>
  <c r="I150" i="1"/>
  <c r="I3490" i="1"/>
  <c r="I3473" i="1"/>
  <c r="I3474" i="1"/>
  <c r="I3480" i="1"/>
  <c r="I3095" i="1"/>
  <c r="I4408" i="1"/>
  <c r="I4307" i="1"/>
  <c r="I2230" i="1"/>
  <c r="I3397" i="1"/>
  <c r="I3044" i="1"/>
  <c r="I3239" i="1"/>
  <c r="I3928" i="1"/>
  <c r="I3396" i="1"/>
  <c r="I3395" i="1"/>
  <c r="I3419" i="1"/>
  <c r="I3400" i="1"/>
  <c r="I4407" i="1"/>
  <c r="I2405" i="1"/>
  <c r="I1478" i="1"/>
  <c r="I2717" i="1"/>
  <c r="I2716" i="1"/>
  <c r="I2715" i="1"/>
  <c r="I2747" i="1"/>
  <c r="I2746" i="1"/>
  <c r="I2701" i="1"/>
  <c r="I2699" i="1"/>
  <c r="I2700" i="1"/>
  <c r="I2698" i="1"/>
  <c r="I2707" i="1"/>
  <c r="I2704" i="1"/>
  <c r="I2705" i="1"/>
  <c r="I2702" i="1"/>
  <c r="I2703" i="1"/>
  <c r="I2706" i="1"/>
  <c r="I2708" i="1"/>
  <c r="I2710" i="1"/>
  <c r="I2711" i="1"/>
  <c r="I3301" i="1"/>
  <c r="I3814" i="1"/>
  <c r="I1477" i="1"/>
  <c r="I3246" i="1"/>
  <c r="I662" i="1"/>
  <c r="I661" i="1"/>
  <c r="I660" i="1"/>
  <c r="I659" i="1"/>
  <c r="I2194" i="1"/>
  <c r="I2192" i="1"/>
  <c r="I3883" i="1"/>
  <c r="I2893" i="1"/>
  <c r="I4242" i="1"/>
  <c r="I4405" i="1"/>
  <c r="I4245" i="1"/>
  <c r="I4244" i="1"/>
  <c r="I4243" i="1"/>
  <c r="I3815" i="1"/>
  <c r="I2892" i="1"/>
  <c r="I2891" i="1"/>
  <c r="I1857" i="1"/>
  <c r="I1856" i="1"/>
  <c r="I1855" i="1"/>
  <c r="I1854" i="1"/>
  <c r="I339" i="1"/>
  <c r="I804" i="1"/>
  <c r="I803" i="1"/>
  <c r="I4144" i="1"/>
  <c r="I665" i="1"/>
  <c r="I664" i="1"/>
  <c r="I666" i="1"/>
  <c r="I3881" i="1"/>
  <c r="I3880" i="1"/>
  <c r="I3879" i="1"/>
  <c r="I805" i="1"/>
  <c r="I259" i="1"/>
  <c r="I260" i="1"/>
  <c r="I3884" i="1"/>
  <c r="I2605" i="1"/>
  <c r="I264" i="1"/>
  <c r="I58" i="1"/>
  <c r="I60" i="1"/>
  <c r="I457" i="1"/>
  <c r="I456" i="1"/>
  <c r="I455" i="1"/>
  <c r="I2724" i="1"/>
  <c r="I2558" i="1"/>
  <c r="I3016" i="1"/>
  <c r="I2723" i="1"/>
  <c r="I3467" i="1"/>
  <c r="I2414" i="1"/>
  <c r="I2417" i="1"/>
  <c r="I2415" i="1"/>
  <c r="I2506" i="1"/>
  <c r="I2106" i="1"/>
  <c r="I3549" i="1"/>
  <c r="I4140" i="1"/>
  <c r="I479" i="1"/>
  <c r="I2609" i="1"/>
  <c r="I2046" i="1"/>
  <c r="I1891" i="1"/>
  <c r="I1182" i="1"/>
  <c r="I3907" i="1"/>
  <c r="I3949" i="1"/>
  <c r="I679" i="1"/>
  <c r="I678" i="1"/>
  <c r="I682" i="1"/>
  <c r="I509" i="1"/>
  <c r="I681" i="1"/>
  <c r="I680" i="1"/>
  <c r="I3279" i="1"/>
  <c r="I3278" i="1"/>
  <c r="I3283" i="1"/>
  <c r="I3282" i="1"/>
  <c r="I811" i="1"/>
  <c r="I808" i="1"/>
  <c r="I807" i="1"/>
  <c r="I4015" i="1"/>
  <c r="I4014" i="1"/>
  <c r="I810" i="1"/>
  <c r="I806" i="1"/>
  <c r="I3327" i="1"/>
  <c r="I1406" i="1"/>
  <c r="I1405" i="1"/>
  <c r="I412" i="1"/>
  <c r="I410" i="1"/>
  <c r="I409" i="1"/>
  <c r="I411" i="1"/>
  <c r="I17" i="1"/>
  <c r="I11" i="1"/>
  <c r="I16" i="1"/>
  <c r="I318" i="1"/>
  <c r="I226" i="1"/>
  <c r="I227" i="1"/>
  <c r="I319" i="1"/>
  <c r="I313" i="1"/>
  <c r="I4403" i="1"/>
  <c r="I4402" i="1"/>
  <c r="I4401" i="1"/>
  <c r="I4400" i="1"/>
  <c r="I4398" i="1"/>
  <c r="I4397" i="1"/>
  <c r="I4396" i="1"/>
  <c r="I4395" i="1"/>
  <c r="I4393" i="1"/>
  <c r="I153" i="1"/>
  <c r="I3902" i="1"/>
  <c r="I154" i="1"/>
  <c r="I423" i="1"/>
  <c r="I3948" i="1"/>
  <c r="I4274" i="1"/>
  <c r="I4196" i="1"/>
  <c r="I4191" i="1"/>
  <c r="I4194" i="1"/>
  <c r="I4195" i="1"/>
  <c r="I3892" i="1"/>
  <c r="I1458" i="1"/>
  <c r="I2992" i="1"/>
  <c r="I2995" i="1"/>
  <c r="I2304" i="1"/>
  <c r="I2545" i="1"/>
  <c r="I2877" i="1"/>
  <c r="I2543" i="1"/>
  <c r="I2881" i="1"/>
  <c r="I2347" i="1"/>
  <c r="I2088" i="1"/>
  <c r="I2876" i="1"/>
  <c r="I2346" i="1"/>
  <c r="I2993" i="1"/>
  <c r="I3541" i="1"/>
  <c r="I3540" i="1"/>
  <c r="I3538" i="1"/>
  <c r="I3326" i="1"/>
  <c r="I4114" i="1"/>
  <c r="I4113" i="1"/>
  <c r="I2348" i="1"/>
  <c r="I2349" i="1"/>
  <c r="I2276" i="1"/>
  <c r="I2350" i="1"/>
  <c r="I3361" i="1"/>
  <c r="I2998" i="1"/>
  <c r="I2997" i="1"/>
  <c r="I3646" i="1"/>
  <c r="I3645" i="1"/>
  <c r="I992" i="1"/>
  <c r="I1058" i="1"/>
  <c r="I991" i="1"/>
  <c r="I3644" i="1"/>
  <c r="I3643" i="1"/>
  <c r="I3310" i="1"/>
  <c r="I3636" i="1"/>
  <c r="I3642" i="1"/>
  <c r="I3633" i="1"/>
  <c r="I3634" i="1"/>
  <c r="I832" i="1"/>
  <c r="I1070" i="1"/>
  <c r="I1076" i="1"/>
  <c r="I1069" i="1"/>
  <c r="I3635" i="1"/>
  <c r="I1084" i="1"/>
  <c r="I1075" i="1"/>
  <c r="I3005" i="1"/>
  <c r="I3731" i="1"/>
  <c r="I1081" i="1"/>
  <c r="I1080" i="1"/>
  <c r="I1079" i="1"/>
  <c r="I1078" i="1"/>
  <c r="I1074" i="1"/>
  <c r="I1082" i="1"/>
  <c r="I3640" i="1"/>
  <c r="I1093" i="1"/>
  <c r="I3639" i="1"/>
  <c r="I1092" i="1"/>
  <c r="I1091" i="1"/>
  <c r="I3638" i="1"/>
  <c r="I1077" i="1"/>
  <c r="I1073" i="1"/>
  <c r="I3641" i="1"/>
  <c r="I3627" i="1"/>
  <c r="I3003" i="1"/>
  <c r="I3002" i="1"/>
  <c r="I3004" i="1"/>
  <c r="I3625" i="1"/>
  <c r="I3624" i="1"/>
  <c r="I3623" i="1"/>
  <c r="I3626" i="1"/>
  <c r="I2999" i="1"/>
  <c r="I1071" i="1"/>
  <c r="I1088" i="1"/>
  <c r="I1087" i="1"/>
  <c r="I1056" i="1"/>
  <c r="I1055" i="1"/>
  <c r="I1072" i="1"/>
  <c r="I1089" i="1"/>
  <c r="I3649" i="1"/>
  <c r="I984" i="1"/>
  <c r="I1060" i="1"/>
  <c r="I3647" i="1"/>
  <c r="I1054" i="1"/>
  <c r="I3650" i="1"/>
  <c r="I993" i="1"/>
  <c r="I203" i="1"/>
  <c r="I185" i="1"/>
  <c r="I202" i="1"/>
  <c r="I149" i="1"/>
  <c r="I187" i="1"/>
  <c r="I186" i="1"/>
  <c r="I4119" i="1"/>
  <c r="I4118" i="1"/>
  <c r="I4115" i="1"/>
  <c r="I4117" i="1"/>
  <c r="I1021" i="1"/>
  <c r="I1460" i="1"/>
  <c r="I3730" i="1"/>
  <c r="I1023" i="1"/>
  <c r="I425" i="1"/>
  <c r="I3618" i="1"/>
  <c r="I1138" i="1"/>
  <c r="I3729" i="1"/>
  <c r="I3835" i="1"/>
  <c r="I3610" i="1"/>
  <c r="I3617" i="1"/>
  <c r="I3728" i="1"/>
  <c r="I3834" i="1"/>
  <c r="I1137" i="1"/>
  <c r="I3609" i="1"/>
  <c r="I987" i="1"/>
  <c r="I1134" i="1"/>
  <c r="I3612" i="1"/>
  <c r="I990" i="1"/>
  <c r="I1136" i="1"/>
  <c r="I3616" i="1"/>
  <c r="I1140" i="1"/>
  <c r="I3727" i="1"/>
  <c r="I3724" i="1"/>
  <c r="I3622" i="1"/>
  <c r="I986" i="1"/>
  <c r="I842" i="1"/>
  <c r="I3611" i="1"/>
  <c r="I989" i="1"/>
  <c r="I988" i="1"/>
  <c r="I1135" i="1"/>
  <c r="I3615" i="1"/>
  <c r="I3620" i="1"/>
  <c r="I3864" i="1"/>
  <c r="I3619" i="1"/>
  <c r="I1139" i="1"/>
  <c r="I3734" i="1"/>
  <c r="I4110" i="1"/>
  <c r="I4109" i="1"/>
  <c r="I936" i="1"/>
  <c r="I3308" i="1"/>
  <c r="I505" i="1"/>
  <c r="I142" i="1"/>
  <c r="I504" i="1"/>
  <c r="I994" i="1"/>
  <c r="I699" i="1"/>
  <c r="I698" i="1"/>
  <c r="I506" i="1"/>
  <c r="I1022" i="1"/>
  <c r="I1020" i="1"/>
  <c r="I1676" i="1"/>
  <c r="I1675" i="1"/>
  <c r="I2227" i="1"/>
  <c r="I2228" i="1"/>
  <c r="I4154" i="1"/>
  <c r="I841" i="1"/>
  <c r="I843" i="1"/>
  <c r="I4203" i="1"/>
  <c r="I1085" i="1"/>
  <c r="I1086" i="1"/>
  <c r="I420" i="1"/>
  <c r="I640" i="1"/>
  <c r="I3542" i="1"/>
  <c r="I3608" i="1"/>
  <c r="I3953" i="1"/>
  <c r="I2057" i="1"/>
  <c r="I3102" i="1"/>
  <c r="I3787" i="1"/>
  <c r="I384" i="1"/>
  <c r="I46" i="1"/>
  <c r="I129" i="1"/>
  <c r="I386" i="1"/>
  <c r="I48" i="1"/>
  <c r="I385" i="1"/>
  <c r="I47" i="1"/>
  <c r="I130" i="1"/>
  <c r="I492" i="1"/>
  <c r="I50" i="1"/>
  <c r="I799" i="1"/>
  <c r="I387" i="1"/>
  <c r="I132" i="1"/>
  <c r="I49" i="1"/>
  <c r="I1551" i="1"/>
  <c r="I4202" i="1"/>
  <c r="I328" i="1"/>
  <c r="I836" i="1"/>
  <c r="I2045" i="1"/>
  <c r="I835" i="1"/>
  <c r="I612" i="1"/>
  <c r="I954" i="1"/>
  <c r="I540" i="1"/>
  <c r="I125" i="1"/>
  <c r="I4108" i="1"/>
  <c r="I586" i="1"/>
  <c r="I797" i="1"/>
  <c r="I796" i="1"/>
  <c r="I744" i="1"/>
  <c r="I737" i="1"/>
  <c r="I722" i="1"/>
  <c r="I721" i="1"/>
  <c r="I720" i="1"/>
  <c r="I3697" i="1"/>
  <c r="I20" i="1"/>
  <c r="I19" i="1"/>
  <c r="I3696" i="1"/>
  <c r="I2960" i="1"/>
  <c r="I1742" i="1"/>
  <c r="I1786" i="1"/>
  <c r="I1739" i="1"/>
  <c r="I1729" i="1"/>
  <c r="I1743" i="1"/>
  <c r="I1741" i="1"/>
  <c r="I1738" i="1"/>
  <c r="I1731" i="1"/>
  <c r="I1744" i="1"/>
  <c r="I1784" i="1"/>
  <c r="I1735" i="1"/>
  <c r="I1734" i="1"/>
  <c r="I2359" i="1"/>
  <c r="I2362" i="1"/>
  <c r="I1737" i="1"/>
  <c r="I1730" i="1"/>
  <c r="I3344" i="1"/>
  <c r="I3343" i="1"/>
  <c r="I3342" i="1"/>
  <c r="I3173" i="1"/>
  <c r="I2636" i="1"/>
  <c r="I2313" i="1"/>
  <c r="I3172" i="1"/>
  <c r="I2634" i="1"/>
  <c r="I1788" i="1"/>
  <c r="I1740" i="1"/>
  <c r="I1736" i="1"/>
  <c r="I2360" i="1"/>
  <c r="I1787" i="1"/>
  <c r="I1732" i="1"/>
  <c r="I2026" i="1"/>
  <c r="I2029" i="1"/>
  <c r="I2987" i="1"/>
  <c r="I2030" i="1"/>
  <c r="I2031" i="1"/>
  <c r="I2027" i="1"/>
  <c r="I3794" i="1"/>
  <c r="I2985" i="1"/>
  <c r="I2020" i="1"/>
  <c r="I2982" i="1"/>
  <c r="I2023" i="1"/>
  <c r="I2022" i="1"/>
  <c r="I2983" i="1"/>
  <c r="I2025" i="1"/>
  <c r="I2986" i="1"/>
  <c r="I3792" i="1"/>
  <c r="I3793" i="1"/>
  <c r="I2016" i="1"/>
  <c r="I2015" i="1"/>
  <c r="I2012" i="1"/>
  <c r="I2019" i="1"/>
  <c r="I2976" i="1"/>
  <c r="I2979" i="1"/>
  <c r="I2978" i="1"/>
  <c r="I2980" i="1"/>
  <c r="I2063" i="1"/>
  <c r="I2064" i="1"/>
  <c r="I2060" i="1"/>
  <c r="I2062" i="1"/>
  <c r="I2061" i="1"/>
  <c r="I2010" i="1"/>
  <c r="I2007" i="1"/>
  <c r="I2009" i="1"/>
  <c r="I2006" i="1"/>
  <c r="I2008" i="1"/>
  <c r="I2011" i="1"/>
  <c r="I2974" i="1"/>
  <c r="I2971" i="1"/>
  <c r="I2973" i="1"/>
  <c r="I2970" i="1"/>
  <c r="I2972" i="1"/>
  <c r="I2975" i="1"/>
  <c r="I3788" i="1"/>
  <c r="I3790" i="1"/>
  <c r="I2017" i="1"/>
  <c r="I2003" i="1"/>
  <c r="I2018" i="1"/>
  <c r="I2002" i="1"/>
  <c r="I2004" i="1"/>
  <c r="I2005" i="1"/>
  <c r="I324" i="1"/>
  <c r="I101" i="1"/>
  <c r="I1644" i="1"/>
  <c r="I3689" i="1"/>
  <c r="I418" i="1"/>
  <c r="I3686" i="1"/>
  <c r="I3690" i="1"/>
  <c r="I1643" i="1"/>
  <c r="I3687" i="1"/>
  <c r="I1640" i="1"/>
  <c r="I3688" i="1"/>
  <c r="I1642" i="1"/>
  <c r="I2766" i="1"/>
  <c r="I2782" i="1"/>
  <c r="I2783" i="1"/>
  <c r="I2780" i="1"/>
  <c r="I2765" i="1"/>
  <c r="I2781" i="1"/>
  <c r="I3552" i="1"/>
  <c r="I100" i="1"/>
  <c r="I1639" i="1"/>
  <c r="I3683" i="1"/>
  <c r="I3680" i="1"/>
  <c r="I3684" i="1"/>
  <c r="I1638" i="1"/>
  <c r="I3681" i="1"/>
  <c r="I1635" i="1"/>
  <c r="I3682" i="1"/>
  <c r="I3685" i="1"/>
  <c r="I1636" i="1"/>
  <c r="I2774" i="1"/>
  <c r="I2776" i="1"/>
  <c r="I2779" i="1"/>
  <c r="I2775" i="1"/>
  <c r="I2778" i="1"/>
  <c r="I2777" i="1"/>
  <c r="I1532" i="1"/>
  <c r="I1954" i="1"/>
  <c r="I2065" i="1"/>
  <c r="I1953" i="1"/>
  <c r="I2377" i="1"/>
  <c r="I2376" i="1"/>
  <c r="I1831" i="1"/>
  <c r="I306" i="1"/>
  <c r="I3740" i="1"/>
  <c r="I3738" i="1"/>
  <c r="I3736" i="1"/>
  <c r="I3739" i="1"/>
  <c r="I3737" i="1"/>
  <c r="I3735" i="1"/>
  <c r="I3354" i="1"/>
  <c r="I3352" i="1"/>
  <c r="I2013" i="1"/>
  <c r="I3355" i="1"/>
  <c r="I3353" i="1"/>
  <c r="I3351" i="1"/>
  <c r="I3356" i="1"/>
  <c r="I1634" i="1"/>
  <c r="I3677" i="1"/>
  <c r="I2773" i="1"/>
  <c r="I2771" i="1"/>
  <c r="I3674" i="1"/>
  <c r="I2772" i="1"/>
  <c r="I1631" i="1"/>
  <c r="I3678" i="1"/>
  <c r="I2770" i="1"/>
  <c r="I1633" i="1"/>
  <c r="I3675" i="1"/>
  <c r="I2769" i="1"/>
  <c r="I1630" i="1"/>
  <c r="I3676" i="1"/>
  <c r="I1632" i="1"/>
  <c r="I3679" i="1"/>
  <c r="I1650" i="1"/>
  <c r="I1778" i="1"/>
  <c r="I1792" i="1"/>
  <c r="I1533" i="1"/>
  <c r="I1200" i="1"/>
  <c r="I1649" i="1"/>
  <c r="I620" i="1"/>
  <c r="I1646" i="1"/>
  <c r="I1648" i="1"/>
  <c r="I1645" i="1"/>
  <c r="I1647" i="1"/>
  <c r="I3692" i="1"/>
  <c r="I261" i="1"/>
  <c r="I415" i="1"/>
  <c r="I2768" i="1"/>
  <c r="I3859" i="1"/>
  <c r="I3348" i="1"/>
  <c r="I3349" i="1"/>
  <c r="I3345" i="1"/>
  <c r="I3350" i="1"/>
  <c r="I3848" i="1"/>
  <c r="I3847" i="1"/>
  <c r="I2784" i="1"/>
  <c r="I1629" i="1"/>
  <c r="I3669" i="1"/>
  <c r="I1626" i="1"/>
  <c r="I3673" i="1"/>
  <c r="I2763" i="1"/>
  <c r="I1628" i="1"/>
  <c r="I3670" i="1"/>
  <c r="I2767" i="1"/>
  <c r="I1625" i="1"/>
  <c r="I3671" i="1"/>
  <c r="I2785" i="1"/>
  <c r="I1627" i="1"/>
  <c r="I2761" i="1"/>
  <c r="I1624" i="1"/>
  <c r="I3666" i="1"/>
  <c r="I414" i="1"/>
  <c r="I3663" i="1"/>
  <c r="I2758" i="1"/>
  <c r="I3667" i="1"/>
  <c r="I2759" i="1"/>
  <c r="I1623" i="1"/>
  <c r="I4153" i="1"/>
  <c r="I3665" i="1"/>
  <c r="I2762" i="1"/>
  <c r="I1622" i="1"/>
  <c r="I3668" i="1"/>
  <c r="I289" i="1"/>
  <c r="I2639" i="1"/>
  <c r="I2637" i="1"/>
  <c r="I2638" i="1"/>
  <c r="I2635" i="1"/>
  <c r="I2633" i="1"/>
  <c r="I2314" i="1"/>
  <c r="I2644" i="1"/>
  <c r="I2014" i="1"/>
  <c r="I2981" i="1"/>
  <c r="I371" i="1"/>
  <c r="I31" i="1"/>
  <c r="I2815" i="1"/>
  <c r="I2622" i="1"/>
  <c r="I2126" i="1"/>
  <c r="I451" i="1"/>
  <c r="I4253" i="1"/>
  <c r="I2813" i="1"/>
  <c r="I2125" i="1"/>
  <c r="I450" i="1"/>
  <c r="I2812" i="1"/>
  <c r="I2124" i="1"/>
  <c r="I449" i="1"/>
  <c r="I448" i="1"/>
  <c r="I2810" i="1"/>
  <c r="I443" i="1"/>
  <c r="I2809" i="1"/>
  <c r="I4138" i="1"/>
  <c r="I2808" i="1"/>
  <c r="I2814" i="1"/>
  <c r="I2807" i="1"/>
  <c r="I316" i="1"/>
  <c r="I2279" i="1"/>
  <c r="I315" i="1"/>
  <c r="I2363" i="1"/>
  <c r="I2299" i="1"/>
  <c r="I3654" i="1"/>
  <c r="I2805" i="1"/>
  <c r="I312" i="1"/>
  <c r="I3658" i="1"/>
  <c r="I2123" i="1"/>
  <c r="I2804" i="1"/>
  <c r="I3657" i="1"/>
  <c r="I3578" i="1"/>
  <c r="I2803" i="1"/>
  <c r="I2122" i="1"/>
  <c r="I2990" i="1"/>
  <c r="I307" i="1"/>
  <c r="I3577" i="1"/>
  <c r="I2802" i="1"/>
  <c r="I2121" i="1"/>
  <c r="I2989" i="1"/>
  <c r="I302" i="1"/>
  <c r="I2801" i="1"/>
  <c r="I299" i="1"/>
  <c r="I1996" i="1"/>
  <c r="I3579" i="1"/>
  <c r="I2371" i="1"/>
  <c r="I2370" i="1"/>
  <c r="I2357" i="1"/>
  <c r="I2800" i="1"/>
  <c r="I3656" i="1"/>
  <c r="I2120" i="1"/>
  <c r="I2799" i="1"/>
  <c r="I2798" i="1"/>
  <c r="I14" i="1"/>
  <c r="I285" i="1"/>
  <c r="I2797" i="1"/>
  <c r="I13" i="1"/>
  <c r="I2119" i="1"/>
  <c r="I2086" i="1"/>
  <c r="I284" i="1"/>
  <c r="I2118" i="1"/>
  <c r="I491" i="1"/>
  <c r="I2796" i="1"/>
  <c r="I4152" i="1"/>
  <c r="I12" i="1"/>
  <c r="I296" i="1"/>
  <c r="I294" i="1"/>
  <c r="I486" i="1"/>
  <c r="I4004" i="1"/>
  <c r="I468" i="1"/>
  <c r="I596" i="1"/>
  <c r="I2245" i="1"/>
  <c r="I30" i="1"/>
  <c r="I28" i="1"/>
  <c r="I3476" i="1"/>
  <c r="I2643" i="1"/>
  <c r="I3389" i="1"/>
  <c r="I2642" i="1"/>
  <c r="I2056" i="1"/>
  <c r="I3388" i="1"/>
  <c r="I2271" i="1"/>
  <c r="I4007" i="1"/>
  <c r="I3546" i="1"/>
  <c r="I4006" i="1"/>
  <c r="I2117" i="1"/>
  <c r="I3366" i="1"/>
  <c r="I367" i="1"/>
  <c r="I3365" i="1"/>
  <c r="I3384" i="1"/>
  <c r="I1531" i="1"/>
  <c r="I2116" i="1"/>
  <c r="I115" i="1"/>
  <c r="I452" i="1"/>
  <c r="I3386" i="1"/>
  <c r="I113" i="1"/>
  <c r="I3382" i="1"/>
  <c r="I2273" i="1"/>
  <c r="I3378" i="1"/>
  <c r="I1619" i="1"/>
  <c r="I57" i="1"/>
  <c r="I3364" i="1"/>
  <c r="I849" i="1"/>
  <c r="I3377" i="1"/>
  <c r="I688" i="1"/>
  <c r="I3574" i="1"/>
  <c r="I4331" i="1"/>
  <c r="I323" i="1"/>
  <c r="I2883" i="1"/>
  <c r="I3381" i="1"/>
  <c r="I4392" i="1"/>
  <c r="I848" i="1"/>
  <c r="I2115" i="1"/>
  <c r="I2640" i="1"/>
  <c r="I3376" i="1"/>
  <c r="I1433" i="1"/>
  <c r="I174" i="1"/>
  <c r="I3379" i="1"/>
  <c r="I847" i="1"/>
  <c r="I2280" i="1"/>
  <c r="I3375" i="1"/>
  <c r="I2114" i="1"/>
  <c r="I2641" i="1"/>
  <c r="I103" i="1"/>
  <c r="I3373" i="1"/>
  <c r="I2113" i="1"/>
  <c r="I3362" i="1"/>
  <c r="I3372" i="1"/>
  <c r="I846" i="1"/>
  <c r="I3371" i="1"/>
  <c r="I2112" i="1"/>
  <c r="I1830" i="1"/>
  <c r="I3374" i="1"/>
  <c r="I845" i="1"/>
  <c r="I2111" i="1"/>
  <c r="I696" i="1"/>
  <c r="I175" i="1"/>
  <c r="I177" i="1"/>
  <c r="I1106" i="1"/>
  <c r="I1204" i="1"/>
  <c r="I649" i="1"/>
  <c r="I933" i="1"/>
  <c r="I648" i="1"/>
  <c r="I4016" i="1"/>
  <c r="I3117" i="1"/>
  <c r="I3118" i="1"/>
  <c r="I3887" i="1"/>
  <c r="I1789" i="1"/>
  <c r="I1790" i="1"/>
  <c r="I382" i="1"/>
  <c r="I381" i="1"/>
  <c r="I380" i="1"/>
  <c r="I379" i="1"/>
  <c r="I378" i="1"/>
  <c r="I8" i="1"/>
  <c r="I26" i="1"/>
  <c r="I25" i="1"/>
  <c r="I607" i="1"/>
  <c r="I606" i="1"/>
  <c r="I4003" i="1"/>
  <c r="I4294" i="1"/>
  <c r="I1202" i="1"/>
  <c r="I3171" i="1"/>
  <c r="I3120" i="1"/>
  <c r="I1834" i="1"/>
  <c r="I1835" i="1"/>
  <c r="I1827" i="1"/>
  <c r="I1826" i="1"/>
  <c r="I2432" i="1"/>
  <c r="I2510" i="1"/>
  <c r="I2509" i="1"/>
  <c r="I2512" i="1"/>
  <c r="I2535" i="1"/>
  <c r="I2511" i="1"/>
  <c r="I1998" i="1"/>
  <c r="I1762" i="1"/>
  <c r="I1761" i="1"/>
  <c r="I3994" i="1"/>
  <c r="I3993" i="1"/>
  <c r="I3995" i="1"/>
  <c r="I1755" i="1"/>
  <c r="I1759" i="1"/>
  <c r="I1757" i="1"/>
  <c r="I2438" i="1"/>
  <c r="I2437" i="1"/>
  <c r="I2436" i="1"/>
  <c r="I3228" i="1"/>
  <c r="I2127" i="1"/>
  <c r="I3227" i="1"/>
  <c r="I2375" i="1"/>
  <c r="I1772" i="1"/>
  <c r="I2434" i="1"/>
  <c r="I2433" i="1"/>
  <c r="I2541" i="1"/>
  <c r="I2540" i="1"/>
  <c r="I90" i="1"/>
  <c r="I3014" i="1"/>
  <c r="I4131" i="1"/>
  <c r="I1370" i="1"/>
  <c r="I1369" i="1"/>
  <c r="I1371" i="1"/>
  <c r="I3304" i="1"/>
  <c r="I4175" i="1"/>
  <c r="I4174" i="1"/>
  <c r="I4173" i="1"/>
  <c r="I4172" i="1"/>
  <c r="I685" i="1"/>
  <c r="I684" i="1"/>
  <c r="I1407" i="1"/>
  <c r="I683" i="1"/>
  <c r="I730" i="1"/>
  <c r="I364" i="1"/>
  <c r="I784" i="1"/>
  <c r="I740" i="1"/>
  <c r="I1409" i="1"/>
  <c r="I786" i="1"/>
  <c r="I791" i="1"/>
  <c r="I793" i="1"/>
  <c r="I787" i="1"/>
  <c r="I1410" i="1"/>
  <c r="I792" i="1"/>
  <c r="I1033" i="1"/>
  <c r="I1032" i="1"/>
  <c r="I1031" i="1"/>
  <c r="I1030" i="1"/>
  <c r="I738" i="1"/>
  <c r="I731" i="1"/>
  <c r="I1408" i="1"/>
  <c r="I739" i="1"/>
  <c r="I2686" i="1"/>
  <c r="I2685" i="1"/>
  <c r="I2958" i="1"/>
  <c r="I2071" i="1" l="1"/>
  <c r="I2074" i="1"/>
  <c r="I2069" i="1"/>
  <c r="I2073" i="1"/>
  <c r="I2072" i="1"/>
  <c r="I950" i="1"/>
  <c r="I2238" i="1"/>
  <c r="I725" i="1"/>
  <c r="I1216" i="1"/>
  <c r="I4315" i="1"/>
  <c r="I3409" i="1"/>
  <c r="I2202" i="1"/>
  <c r="I3267" i="1"/>
  <c r="I2201" i="1"/>
  <c r="I1941" i="1"/>
  <c r="I3984" i="1"/>
  <c r="I3206" i="1"/>
  <c r="I629" i="1"/>
  <c r="I3338" i="1"/>
  <c r="I1392" i="1"/>
  <c r="I1981" i="1"/>
  <c r="I4384" i="1"/>
  <c r="I674" i="1"/>
  <c r="I1938" i="1"/>
  <c r="I2823" i="1"/>
  <c r="I2591" i="1"/>
  <c r="I2606" i="1"/>
  <c r="I2366" i="1"/>
  <c r="I4055" i="1"/>
  <c r="I3572" i="1"/>
  <c r="I1564" i="1"/>
  <c r="I785" i="1"/>
  <c r="I2367" i="1"/>
  <c r="I2718" i="1"/>
  <c r="I3237" i="1"/>
  <c r="I2821" i="1"/>
  <c r="I1940" i="1"/>
  <c r="I56" i="1"/>
  <c r="I1045" i="1"/>
  <c r="I352" i="1"/>
  <c r="I3203" i="1"/>
  <c r="I2593" i="1"/>
  <c r="I3439" i="1"/>
  <c r="I3998" i="1"/>
  <c r="I3573" i="1"/>
  <c r="I1209" i="1"/>
  <c r="I1394" i="1"/>
  <c r="I2250" i="1"/>
  <c r="I2408" i="1"/>
  <c r="I4084" i="1"/>
  <c r="I4333" i="1"/>
  <c r="I4380" i="1"/>
  <c r="I2619" i="1"/>
  <c r="I3997" i="1"/>
  <c r="I3238" i="1"/>
  <c r="I2515" i="1"/>
  <c r="I2595" i="1"/>
  <c r="I2104" i="1"/>
  <c r="I1939" i="1"/>
  <c r="I2719" i="1"/>
  <c r="I609" i="1"/>
  <c r="I1822" i="1"/>
  <c r="I2246" i="1"/>
  <c r="I1809" i="1"/>
  <c r="I2596" i="1"/>
  <c r="I3207" i="1"/>
  <c r="I2740" i="1"/>
  <c r="I2514" i="1"/>
  <c r="I3178" i="1"/>
  <c r="I2200" i="1"/>
  <c r="I3241" i="1"/>
  <c r="I3242" i="1"/>
  <c r="I2817" i="1"/>
  <c r="I3437" i="1"/>
  <c r="I3440" i="1"/>
  <c r="I2252" i="1"/>
  <c r="I2826" i="1"/>
  <c r="I1212" i="1"/>
  <c r="I2364" i="1"/>
  <c r="I3229" i="1"/>
  <c r="I2105" i="1"/>
  <c r="I1937" i="1"/>
  <c r="I4085" i="1"/>
  <c r="I2203" i="1"/>
  <c r="I2365" i="1"/>
  <c r="I3155" i="1"/>
  <c r="I2503" i="1"/>
  <c r="I2198" i="1"/>
  <c r="I4382" i="1"/>
  <c r="I3265" i="1"/>
  <c r="I2819" i="1"/>
  <c r="I1569" i="1"/>
  <c r="I1824" i="1"/>
  <c r="I4246" i="1"/>
  <c r="I152" i="1"/>
  <c r="I3986" i="1"/>
  <c r="I3408" i="1"/>
  <c r="I488" i="1"/>
  <c r="I1928" i="1"/>
  <c r="I3487" i="1"/>
  <c r="I2247" i="1"/>
  <c r="I2206" i="1"/>
  <c r="I2818" i="1"/>
  <c r="I2691" i="1"/>
  <c r="I4381" i="1"/>
  <c r="I383" i="1"/>
  <c r="I1570" i="1"/>
  <c r="I4388" i="1"/>
  <c r="I2748" i="1"/>
  <c r="I1982" i="1"/>
  <c r="I2822" i="1"/>
  <c r="I4386" i="1"/>
  <c r="I1566" i="1"/>
  <c r="I2253" i="1"/>
  <c r="I3438" i="1"/>
  <c r="I1802" i="1"/>
  <c r="I2598" i="1"/>
  <c r="I2825" i="1"/>
  <c r="I2824" i="1"/>
  <c r="I1782" i="1"/>
  <c r="I4021" i="1"/>
  <c r="I1803" i="1"/>
  <c r="I3407" i="1"/>
  <c r="I694" i="1"/>
  <c r="I4293" i="1"/>
  <c r="I485" i="1"/>
  <c r="I4275" i="1"/>
  <c r="I2374" i="1"/>
  <c r="I4316" i="1"/>
  <c r="I3927" i="1"/>
  <c r="I82" i="1"/>
  <c r="I947" i="1"/>
  <c r="I1747" i="1"/>
  <c r="I1507" i="1"/>
  <c r="I1446" i="1"/>
  <c r="I865" i="1"/>
  <c r="I3201" i="1"/>
  <c r="I3862" i="1"/>
  <c r="I1823" i="1"/>
  <c r="I2443" i="1"/>
  <c r="I3954" i="1"/>
  <c r="I2034" i="1"/>
  <c r="I2889" i="1"/>
  <c r="I3860" i="1"/>
  <c r="I4379" i="1"/>
  <c r="I117" i="1"/>
  <c r="I1825" i="1"/>
  <c r="I3309" i="1"/>
  <c r="I871" i="1"/>
  <c r="I870" i="1"/>
  <c r="I4227" i="1"/>
  <c r="I4222" i="1"/>
  <c r="I2444" i="1"/>
  <c r="I1671" i="1"/>
  <c r="I3154" i="1"/>
  <c r="I3036" i="1"/>
  <c r="I3034" i="1"/>
  <c r="I274" i="1"/>
  <c r="I932" i="1"/>
  <c r="I1817" i="1"/>
  <c r="I1603" i="1"/>
  <c r="I1935" i="1"/>
  <c r="I866" i="1"/>
  <c r="I867" i="1"/>
  <c r="I693" i="1"/>
  <c r="I1387" i="1"/>
  <c r="I1563" i="1"/>
  <c r="I1562" i="1"/>
  <c r="I1565" i="1"/>
  <c r="I3985" i="1"/>
  <c r="I2398" i="1"/>
  <c r="I732" i="1"/>
  <c r="I726" i="1"/>
  <c r="I869" i="1"/>
  <c r="I700" i="1"/>
  <c r="I1561" i="1"/>
  <c r="I1997" i="1"/>
  <c r="I2547" i="1"/>
  <c r="I2303" i="1"/>
  <c r="I1930" i="1"/>
  <c r="I3861" i="1"/>
  <c r="I3926" i="1"/>
  <c r="I2352" i="1"/>
  <c r="I881" i="1"/>
  <c r="I1509" i="1"/>
  <c r="I3588" i="1"/>
  <c r="I1014" i="1"/>
  <c r="I3177" i="1"/>
  <c r="I3911" i="1"/>
  <c r="I487" i="1"/>
  <c r="I2239" i="1"/>
  <c r="I2844" i="1"/>
  <c r="I3961" i="1"/>
  <c r="I1980" i="1"/>
  <c r="I2312" i="1"/>
  <c r="I3332" i="1"/>
  <c r="I3964" i="1"/>
  <c r="I798" i="1"/>
  <c r="I4378" i="1"/>
  <c r="I1390" i="1"/>
  <c r="I1391" i="1"/>
  <c r="I3188" i="1"/>
  <c r="I4054" i="1"/>
  <c r="I1929" i="1"/>
  <c r="I882" i="1"/>
  <c r="I1355" i="1"/>
  <c r="I2050" i="1"/>
  <c r="I1669" i="1"/>
  <c r="I2925" i="1"/>
  <c r="I580" i="1"/>
  <c r="I3910" i="1"/>
  <c r="I3402" i="1"/>
  <c r="I1213" i="1"/>
  <c r="I937" i="1"/>
  <c r="I3403" i="1"/>
  <c r="I2548" i="1"/>
  <c r="I1261" i="1"/>
  <c r="I3073" i="1"/>
  <c r="I204" i="1"/>
  <c r="I201" i="1"/>
  <c r="I581" i="1"/>
  <c r="I942" i="1"/>
  <c r="I1510" i="1"/>
  <c r="I3334" i="1"/>
  <c r="I1210" i="1"/>
  <c r="I2355" i="1"/>
  <c r="I2353" i="1"/>
  <c r="I83" i="1"/>
  <c r="I868" i="1"/>
  <c r="I86" i="1"/>
  <c r="I3333" i="1"/>
  <c r="I2354" i="1"/>
  <c r="I1771" i="1"/>
  <c r="I3035" i="1"/>
  <c r="I119" i="1"/>
  <c r="I4374" i="1"/>
  <c r="I949" i="1"/>
  <c r="I1554" i="1"/>
  <c r="I1555" i="1"/>
  <c r="I3067" i="1"/>
  <c r="I2389" i="1"/>
  <c r="I711" i="1"/>
  <c r="I124" i="1"/>
  <c r="I3320" i="1"/>
  <c r="I3072" i="1"/>
  <c r="I2390" i="1"/>
  <c r="I3550" i="1"/>
  <c r="I692" i="1"/>
  <c r="I672" i="1"/>
  <c r="I4371" i="1"/>
  <c r="I3959" i="1"/>
  <c r="I4048" i="1"/>
  <c r="I4047" i="1"/>
  <c r="I4370" i="1"/>
  <c r="I3958" i="1"/>
  <c r="I1388" i="1"/>
  <c r="I140" i="1"/>
  <c r="I775" i="1"/>
  <c r="I1936" i="1"/>
  <c r="I772" i="1"/>
  <c r="I946" i="1"/>
  <c r="I998" i="1"/>
  <c r="I754" i="1"/>
  <c r="I4050" i="1"/>
  <c r="I166" i="1"/>
  <c r="I2070" i="1"/>
  <c r="I3909" i="1"/>
  <c r="I657" i="1"/>
  <c r="I625" i="1"/>
  <c r="I344" i="1"/>
  <c r="I343" i="1"/>
  <c r="I345" i="1"/>
  <c r="I3878" i="1"/>
  <c r="I3877" i="1"/>
  <c r="I3329" i="1"/>
  <c r="I3330" i="1"/>
  <c r="I3170" i="1"/>
  <c r="I4300" i="1"/>
  <c r="I3592" i="1"/>
  <c r="I3591" i="1"/>
  <c r="I3162" i="1"/>
  <c r="I3149" i="1"/>
  <c r="I3161" i="1"/>
  <c r="I3163" i="1"/>
  <c r="I3160" i="1"/>
  <c r="I3143" i="1"/>
  <c r="I3159" i="1"/>
  <c r="I3404" i="1"/>
  <c r="I4093" i="1"/>
  <c r="I1237" i="1"/>
  <c r="I872" i="1"/>
  <c r="I1559" i="1"/>
  <c r="I4160" i="1"/>
  <c r="I122" i="1"/>
  <c r="I88" i="1"/>
  <c r="I1556" i="1"/>
  <c r="I1557" i="1"/>
  <c r="I89" i="1"/>
  <c r="I2394" i="1"/>
  <c r="I118" i="1"/>
  <c r="I84" i="1"/>
  <c r="I85" i="1"/>
  <c r="I2391" i="1"/>
  <c r="I87" i="1"/>
  <c r="I2392" i="1"/>
  <c r="I2393" i="1"/>
  <c r="I116" i="1"/>
  <c r="I3868" i="1"/>
  <c r="I3434" i="1"/>
  <c r="I3876" i="1"/>
  <c r="I4181" i="1"/>
  <c r="I458" i="1"/>
  <c r="I883" i="1"/>
  <c r="I880" i="1"/>
  <c r="I3191" i="1"/>
  <c r="I3190" i="1"/>
  <c r="I3189" i="1"/>
  <c r="I2843" i="1"/>
  <c r="I1915" i="1"/>
  <c r="I1841" i="1"/>
  <c r="I1842" i="1"/>
  <c r="I1357" i="1"/>
  <c r="I358" i="1"/>
  <c r="I1214" i="1"/>
  <c r="I727" i="1"/>
  <c r="I1205" i="1"/>
  <c r="I724" i="1"/>
  <c r="I1215" i="1"/>
  <c r="I723" i="1"/>
  <c r="I1208" i="1"/>
  <c r="I1211" i="1"/>
  <c r="I667" i="1"/>
  <c r="I668" i="1"/>
  <c r="I677" i="1"/>
  <c r="I676" i="1"/>
  <c r="I719" i="1"/>
  <c r="I1346" i="1"/>
  <c r="I1746" i="1"/>
  <c r="I1779" i="1"/>
  <c r="I1653" i="1"/>
  <c r="I3421" i="1"/>
  <c r="I3406" i="1"/>
  <c r="I4387" i="1"/>
  <c r="I4335" i="1"/>
  <c r="I1606" i="1"/>
  <c r="I3048" i="1"/>
  <c r="I1931" i="1"/>
  <c r="I1933" i="1"/>
  <c r="I1341" i="1"/>
  <c r="I179" i="1"/>
  <c r="I1470" i="1"/>
  <c r="I1469" i="1"/>
  <c r="I1613" i="1"/>
  <c r="I1471" i="1"/>
  <c r="I1468" i="1"/>
  <c r="I1748" i="1"/>
  <c r="I1781" i="1"/>
  <c r="I1751" i="1"/>
  <c r="I1749" i="1"/>
  <c r="I1783" i="1"/>
  <c r="I1750" i="1"/>
  <c r="I4385" i="1"/>
  <c r="I4383" i="1"/>
  <c r="I875" i="1"/>
  <c r="I1611" i="1"/>
  <c r="I3017" i="1"/>
  <c r="I876" i="1"/>
  <c r="I884" i="1"/>
  <c r="I2513" i="1"/>
  <c r="I1599" i="1"/>
  <c r="I1665" i="1"/>
  <c r="I1597" i="1"/>
  <c r="I1664" i="1"/>
  <c r="I1598" i="1"/>
  <c r="I1797" i="1"/>
  <c r="I2399" i="1"/>
  <c r="I2712" i="1"/>
  <c r="I2681" i="1"/>
  <c r="I2749" i="1"/>
  <c r="I2682" i="1"/>
  <c r="I2721" i="1"/>
  <c r="I2592" i="1"/>
  <c r="I3156" i="1"/>
  <c r="I3225" i="1"/>
  <c r="I3337" i="1"/>
  <c r="I2878" i="1"/>
  <c r="I2594" i="1"/>
  <c r="I4151" i="1"/>
  <c r="I3208" i="1"/>
  <c r="I2255" i="1"/>
  <c r="I2254" i="1"/>
  <c r="I4057" i="1"/>
  <c r="I1934" i="1"/>
  <c r="I2199" i="1"/>
  <c r="I2504" i="1"/>
  <c r="I3339" i="1"/>
  <c r="I2078" i="1"/>
  <c r="I2077" i="1"/>
  <c r="I2205" i="1"/>
  <c r="I2204" i="1"/>
  <c r="I4149" i="1"/>
  <c r="I2820" i="1"/>
  <c r="I628" i="1"/>
  <c r="I633" i="1"/>
  <c r="I631" i="1"/>
  <c r="I630" i="1"/>
  <c r="I632" i="1"/>
  <c r="I2110" i="1"/>
  <c r="I2108" i="1"/>
  <c r="I2109" i="1"/>
  <c r="I3941" i="1"/>
  <c r="I736" i="1"/>
  <c r="I735" i="1"/>
  <c r="I41" i="1"/>
  <c r="I706" i="1"/>
  <c r="I39" i="1"/>
  <c r="I38" i="1"/>
  <c r="I40" i="1"/>
  <c r="I4158" i="1"/>
  <c r="I4133" i="1"/>
  <c r="I3325" i="1"/>
  <c r="I4132" i="1"/>
  <c r="I168" i="1"/>
  <c r="I163" i="1"/>
  <c r="I169" i="1"/>
  <c r="I164" i="1"/>
  <c r="I2557" i="1"/>
  <c r="I752" i="1"/>
  <c r="I753" i="1"/>
  <c r="I759" i="1"/>
  <c r="I519" i="1"/>
  <c r="I995" i="1"/>
  <c r="I943" i="1"/>
  <c r="I999" i="1"/>
  <c r="I769" i="1"/>
  <c r="I770" i="1"/>
  <c r="I795" i="1"/>
  <c r="I2553" i="1"/>
  <c r="I2554" i="1"/>
  <c r="I4067" i="1"/>
  <c r="I2556" i="1"/>
  <c r="I2555" i="1"/>
  <c r="I172" i="1"/>
  <c r="I167" i="1"/>
  <c r="I188" i="1"/>
  <c r="I189" i="1"/>
  <c r="I171" i="1"/>
  <c r="I3962" i="1"/>
  <c r="I4369" i="1"/>
  <c r="I944" i="1"/>
  <c r="I758" i="1"/>
  <c r="I996" i="1"/>
  <c r="I780" i="1"/>
  <c r="I3960" i="1"/>
  <c r="I4372" i="1"/>
  <c r="I165" i="1"/>
  <c r="I4049" i="1"/>
  <c r="I756" i="1"/>
  <c r="I997" i="1"/>
  <c r="I945" i="1"/>
  <c r="I779" i="1"/>
  <c r="I170" i="1"/>
  <c r="I4373" i="1"/>
  <c r="I2356" i="1"/>
  <c r="I3963" i="1"/>
  <c r="I4177" i="1"/>
  <c r="I4375" i="1"/>
  <c r="I4052" i="1"/>
  <c r="I948" i="1"/>
  <c r="I4376" i="1"/>
  <c r="I4377" i="1"/>
  <c r="I4051" i="1"/>
  <c r="I1758" i="1"/>
  <c r="I2840" i="1"/>
  <c r="I351" i="1"/>
  <c r="I2431" i="1"/>
  <c r="I974" i="1"/>
  <c r="I3703" i="1"/>
  <c r="I3925" i="1"/>
  <c r="I3914" i="1"/>
  <c r="I2412" i="1"/>
  <c r="I3204" i="1"/>
  <c r="I4256" i="1"/>
  <c r="I3197" i="1"/>
  <c r="I3199" i="1"/>
  <c r="I3200" i="1"/>
  <c r="I2284" i="1"/>
  <c r="I2282" i="1"/>
  <c r="I3176" i="1"/>
  <c r="I3205" i="1"/>
  <c r="I3196" i="1"/>
  <c r="I3198" i="1"/>
  <c r="I3202" i="1"/>
  <c r="I1991" i="1"/>
  <c r="I1990" i="1"/>
  <c r="I2720" i="1"/>
  <c r="I1993" i="1"/>
  <c r="I1992" i="1"/>
  <c r="I1932" i="1"/>
  <c r="I3321" i="1"/>
  <c r="I3322" i="1"/>
  <c r="I3230" i="1"/>
  <c r="I3266" i="1"/>
  <c r="I4032" i="1"/>
  <c r="I2409" i="1"/>
  <c r="I2683" i="1"/>
  <c r="I2680" i="1"/>
  <c r="I2750" i="1"/>
  <c r="I2713" i="1"/>
  <c r="I2607" i="1"/>
  <c r="I2251" i="1"/>
  <c r="I2404" i="1"/>
  <c r="I2403" i="1"/>
  <c r="I2209" i="1"/>
  <c r="I3571" i="1"/>
  <c r="I2207" i="1"/>
  <c r="I2208" i="1"/>
  <c r="I2632" i="1"/>
  <c r="I4056" i="1"/>
  <c r="I4150" i="1"/>
</calcChain>
</file>

<file path=xl/sharedStrings.xml><?xml version="1.0" encoding="utf-8"?>
<sst xmlns="http://schemas.openxmlformats.org/spreadsheetml/2006/main" count="37170" uniqueCount="14029">
  <si>
    <t>CODIGO</t>
  </si>
  <si>
    <t>DESCRIPCIÓN</t>
  </si>
  <si>
    <t>PRECIO IVA INCLUIDO</t>
  </si>
  <si>
    <t>DESCUENTO</t>
  </si>
  <si>
    <t xml:space="preserve">UTILIDAD </t>
  </si>
  <si>
    <t>PRECIO PÚBLICO</t>
  </si>
  <si>
    <t>ABRAZADERA DE HIERRO MEDIA OMEGA 1 1/2"</t>
  </si>
  <si>
    <t>ABRAZADERA DE HIERRO MEDIA OMEGA 1 1/4"</t>
  </si>
  <si>
    <t>ABRAZADERA DE HIERRO MEDIA OMEGA 1"</t>
  </si>
  <si>
    <t>ABRAZADERA DE HIERRO OMEGA 1 1/2"</t>
  </si>
  <si>
    <t>ABRAZADERA DE HIERRO OMEGA 1 1/4"</t>
  </si>
  <si>
    <t>ABRAZADERA DE HIERRO OMEGA 1"</t>
  </si>
  <si>
    <t>ABRAZADERA DE HIERRO OMEGA 2"</t>
  </si>
  <si>
    <t>ABRAZADERA DE HIERRO OMEGA 3/4"</t>
  </si>
  <si>
    <t>ABRAZADERA DE HIERRO OMEGA 5/8"</t>
  </si>
  <si>
    <t>ABRAZADERA DE HIERRO OMEGA 7/8"</t>
  </si>
  <si>
    <t>ADAPTADOR FINO - GRUESO</t>
  </si>
  <si>
    <t>ADAPTADOR GRUESO - FINO</t>
  </si>
  <si>
    <t>ADAPTADOR PARA RIEL ECLIPSE</t>
  </si>
  <si>
    <t>ADAPTADOR TELEFONICO MACHO A 2 HEMBRAS</t>
  </si>
  <si>
    <t>ADAPTADOR TELEFONICO MACHO A 3 HEMBRAS</t>
  </si>
  <si>
    <t>ANILLO PARA CONECTOR</t>
  </si>
  <si>
    <t>ANTENA TV 5 ELEMENTOS</t>
  </si>
  <si>
    <t>ANTENA TV 8 ELEMENTOS</t>
  </si>
  <si>
    <t>APLIQUE BASE ACERO GU-10 3 LUCES ECLIPSE 2021/3</t>
  </si>
  <si>
    <t>APLIQUE BIDIRECCIONAL WING 2 GU-10 PR607 LUC.</t>
  </si>
  <si>
    <t>APLIQUE DIFUSOR ROMA 10,5 X 20 CM 1 LUZ (AP-188)</t>
  </si>
  <si>
    <t>APLIQUE PARED ZAMAK LED AZUL (EX031L) LUC.</t>
  </si>
  <si>
    <t>APLIQUE POLICARBONATO P/3 BAJO CONSUMO E27 BAEL</t>
  </si>
  <si>
    <t>APLIQUE UNIDIRECCIONAL WING 1 GU10 PR707 LUC.</t>
  </si>
  <si>
    <t>ARTEFACTO P/COLGAR C/T.POLI. PE 250-E27 FRIHEL</t>
  </si>
  <si>
    <t>ARTEFACTO P/COLGAR C/T.POLI. PE 250-E40 FRIHEL</t>
  </si>
  <si>
    <t>ARTEFACTO P/SOPORTE C/T.P. BRAZO CORTO E40 FRIHEL</t>
  </si>
  <si>
    <t>AUTOMATICO DE TANQUE F 600</t>
  </si>
  <si>
    <t>AUTOMATICO DE TANQUE F2000</t>
  </si>
  <si>
    <t>BAJO ALACENA 14W 90CM TOUCH MILE.</t>
  </si>
  <si>
    <t>BALASTO P/MH 1000W ITALAVIA</t>
  </si>
  <si>
    <t>BALASTO P/MH 250W SKYWATCH</t>
  </si>
  <si>
    <t>BAÑADOR 2M EN ALUMINIO C/16 LEDS 48 W. BAEL</t>
  </si>
  <si>
    <t>BAÑADOR DE PARED 18W 50CM RGB MILE.**</t>
  </si>
  <si>
    <t>BASE INDUSTRIAL 2 X 16 + N KALOP</t>
  </si>
  <si>
    <t>BASE INDUSTRIAL 2 X 16 A. C/NEUTRO MIG.</t>
  </si>
  <si>
    <t>BASE INDUSTRIAL 2 X 16 A. MIG.</t>
  </si>
  <si>
    <t>BASE INDUSTRIAL 2 X 16 C/NEUTRO RIDRU</t>
  </si>
  <si>
    <t>BASE INDUSTRIAL 2 X 16 KALOP</t>
  </si>
  <si>
    <t>BASE INDUSTRIAL 2 X 16 RIDRU</t>
  </si>
  <si>
    <t>BASE INDUSTRIAL 2 X 32 + N KALOP</t>
  </si>
  <si>
    <t>BASE INDUSTRIAL 2 X 32 A. C/NEUTRO MIG.</t>
  </si>
  <si>
    <t>BASE INDUSTRIAL 2 X 32 A. MIG.</t>
  </si>
  <si>
    <t>BASE INDUSTRIAL 2 X 32 KALOP</t>
  </si>
  <si>
    <t>BASE INDUSTRIAL 3 X 16 + N KALOP</t>
  </si>
  <si>
    <t>BASE INDUSTRIAL 3 X 16 A. C/NEUTRO MIG.</t>
  </si>
  <si>
    <t>BASE INDUSTRIAL 3 X 16 A. MIG.</t>
  </si>
  <si>
    <t>BASE INDUSTRIAL 3 X 16 C/NEUTRO RIDRU</t>
  </si>
  <si>
    <t>BASE INDUSTRIAL 3 X 16 KALOP</t>
  </si>
  <si>
    <t>BASE INDUSTRIAL 3 X 16 RIDRU</t>
  </si>
  <si>
    <t>BASE INDUSTRIAL 3 X 32 + N KALOP</t>
  </si>
  <si>
    <t>BASE INDUSTRIAL 3 X 32 A. C/NEUTRO MIG.</t>
  </si>
  <si>
    <t>BASE INDUSTRIAL 3 X 32 A. MIG.</t>
  </si>
  <si>
    <t>BASE INDUSTRIAL 3 X 32 C/NEUTRO RIDRU</t>
  </si>
  <si>
    <t>BASE INDUSTRIAL 3 X 32 KALOP</t>
  </si>
  <si>
    <t>BASE INDUSTRIAL 3 X 32 RIDRU</t>
  </si>
  <si>
    <t>BASE INDUSTRIAL 3 X 63 C/NEUTRO RIDRU</t>
  </si>
  <si>
    <t>BASE PARA 1 MODULO JELUZ</t>
  </si>
  <si>
    <t>BASE PARA 2 MODULOS JELUZ</t>
  </si>
  <si>
    <t>BASE PARA 3 MODULOS JELUZ</t>
  </si>
  <si>
    <t>BASE PARA 4 MODULOS JELUZ</t>
  </si>
  <si>
    <t>BASE PARA 5 MODULOS JELUZ</t>
  </si>
  <si>
    <t>BASE TELEFONICA DOBLE C/ADHESIVO EXTERIOR</t>
  </si>
  <si>
    <t>BASE TELEFONICA SIMPLE C/ADHESIVO EXTERIOR</t>
  </si>
  <si>
    <t>BASTIDOR + TAPA 3 MOD. BLANCO/NEGRO MITO</t>
  </si>
  <si>
    <t>BASTIDOR + TAPA 3 MOD. BLANCO/PLATA MITO</t>
  </si>
  <si>
    <t>BASTIDOR ADAPTADOR P/RIEL DIN 1 MODULO JELUZ</t>
  </si>
  <si>
    <t>BASTIDOR ADAPTADOR P/RIEL DIN 2 MODULOS JELUZ</t>
  </si>
  <si>
    <t>BASTIDOR C/TOMA DOBLE INCORP. MARFIL KALOP</t>
  </si>
  <si>
    <t>BASTIDOR MIGÑON 5 X 5 JELUZ</t>
  </si>
  <si>
    <t>BASTIDOR P/ 1 MODULO LIFE</t>
  </si>
  <si>
    <t>BASTIDOR P/ 3 MODULOS LIFE</t>
  </si>
  <si>
    <t>BASTIDOR RECTANGULAR 10 X 5 JELUZ</t>
  </si>
  <si>
    <t>BLOQUE DE CONT. AUX FRONTAL 1NC BCLF01 (104701)</t>
  </si>
  <si>
    <t>BLOQUE DE CONT. AUX. FRONTAL 1 NA BCLF10 (104700)</t>
  </si>
  <si>
    <t>BLOQUE DE CONT. AUX. LATERAL 2NA BCLL20 (104706)</t>
  </si>
  <si>
    <t>BOQUILLA Hª 1"</t>
  </si>
  <si>
    <t>BOQUILLA Hª 3/4"</t>
  </si>
  <si>
    <t>BOQUILLA Hª 7/8"</t>
  </si>
  <si>
    <t>BORNERA BIPOLAR T2-100 100 A. 380 V.</t>
  </si>
  <si>
    <t>BORNERA BIPOLAR T2-200 200A. 380 V.</t>
  </si>
  <si>
    <t>BORNERA BIPOLAR T2-25 25 A. 380 V.</t>
  </si>
  <si>
    <t>BORNERA BIPOLAR T2-60 60 A. 380 V.</t>
  </si>
  <si>
    <t>BORNERA TETRAPOLAR T4-100 100 A. 380 V.</t>
  </si>
  <si>
    <t>BORNERA TETRAPOLAR T4-200 200A. 380 V.</t>
  </si>
  <si>
    <t>BORNERA TETRAPOLAR T4-300 300 A. 380 V.</t>
  </si>
  <si>
    <t>BORNERA TETRAPOLAR T4-60 60 A. 380 V.</t>
  </si>
  <si>
    <t>BORNERA TRIPOLAR T3-100 100 A. 380 V.</t>
  </si>
  <si>
    <t>BORNERA TRIPOLAR T3-200 200A. 380 V.</t>
  </si>
  <si>
    <t>BORNERA TRIPOLAR T3-25 25 A. 380 V.</t>
  </si>
  <si>
    <t>BORNERA TRIPOLAR T3-60 60 A. 380 V.</t>
  </si>
  <si>
    <t>BORNERA UNIPOLAR 1 X 250</t>
  </si>
  <si>
    <t>BORNERA UNIPOLAR T1-100 100 A. 380 V.</t>
  </si>
  <si>
    <t>BORNERA UNIPOLAR T1-16 16 A. 380 V.</t>
  </si>
  <si>
    <t>BORNERA UNIPOLAR T1-200 200A. 380V.</t>
  </si>
  <si>
    <t>BORNERA UNIPOLAR T1-25 25 A. 380 V.</t>
  </si>
  <si>
    <t>BORNERA UNIPOLAR T1-60 60 A. 380 V.</t>
  </si>
  <si>
    <t>BUSCAPOLO GRANDE</t>
  </si>
  <si>
    <t>BUSCAPOLO MEDIANO</t>
  </si>
  <si>
    <t>CABEZAL CHAPA GU10 (AZUL) ECLIPSE</t>
  </si>
  <si>
    <t>CABEZAL CHAPA GU10 (FUCSIA) ECLIPSE</t>
  </si>
  <si>
    <t>CABEZAL CILINDRICO (ACERO 2011) ECLIPSE</t>
  </si>
  <si>
    <t>CABEZAL CILINDRICO (NEGRO 2011) ECLIPSE</t>
  </si>
  <si>
    <t>CABEZAL CONO AR-111 BLANCO ECLIPSE</t>
  </si>
  <si>
    <t>CABEZAL GU10 BAJO CONS. (ACERO 2016) ECLIPSE</t>
  </si>
  <si>
    <t>CABEZAL GU10 BAJO CONS. (BLANCO 2016) ECLIPSE</t>
  </si>
  <si>
    <t>CABEZAL GU10 BAJO CONS. (NEGRO 2016) ECLIPSE</t>
  </si>
  <si>
    <t>CABEZAL V (ACERO 2021) ECLIPSE</t>
  </si>
  <si>
    <t>CABEZAL V (BLANCO 2021) ECLIPSE</t>
  </si>
  <si>
    <t>CABEZAL V (NEGRO 2021) ECLIPSE</t>
  </si>
  <si>
    <t>CABLE ARMADO PLUG A RCA X 1.80 MTS.</t>
  </si>
  <si>
    <t>CABLE TELEFONICO ESPIRALADO</t>
  </si>
  <si>
    <t>CADENA MARTILLADA GRANDE 45 X 20- SJ.</t>
  </si>
  <si>
    <t>CAJA CAPSULADA 1 PUNTO RIDRU</t>
  </si>
  <si>
    <t>CAJA CAPSULADA 2 PUNTOS RIDRU</t>
  </si>
  <si>
    <t>CAJA CAPSULADA SIGMA IP55 2 MOD. C/MEMB.GRIS KALOP</t>
  </si>
  <si>
    <t>CAJA CAPSULADA TOMA C/NEUTRO RIDRU</t>
  </si>
  <si>
    <t>CAJA CAPSULADA VACIA 16 AMP. EMBUTIR KALOP</t>
  </si>
  <si>
    <t>CAJA CAPSULADA VACIA 16 AMP. EXT KALOP</t>
  </si>
  <si>
    <t>CAJA CAPSULADA VACIA 32 AMP. EMBUTIR KALOP</t>
  </si>
  <si>
    <t>CAJA CAPSULADA VACIA 32 AMP. EXTERIOR KALOP</t>
  </si>
  <si>
    <t>CAJA EMBUTIR CUADRADA 10 X 10 CH. 20</t>
  </si>
  <si>
    <t>CAJA EMBUTIR CUADRADA DE PVC</t>
  </si>
  <si>
    <t>CAJA EMBUTIR OCTOGONAL CHICA CH. 18</t>
  </si>
  <si>
    <t>CAJA EMBUTIR OCTOGONAL CHICA CH. 20</t>
  </si>
  <si>
    <t>CAJA EMBUTIR OCTOGONAL CHICA DE PVC</t>
  </si>
  <si>
    <t>CAJA EMBUTIR OCTOGONAL GRANDE CH. 18</t>
  </si>
  <si>
    <t>CAJA EMBUTIR OCTOGONAL GRANDE CH. 20</t>
  </si>
  <si>
    <t>CAJA EMBUTIR OCTOGONAL GRANDE DE PVC</t>
  </si>
  <si>
    <t>CAJA EMBUTIR RECTANGULAR CH. 18</t>
  </si>
  <si>
    <t>CAJA EMBUTIR RECTANGULAR CH. 20</t>
  </si>
  <si>
    <t>CAJA EMBUTIR RECTANGULAR DE PVC</t>
  </si>
  <si>
    <t>CAJA ESTANCA P/3 MOD. C/TAPA TRANS. KALOP</t>
  </si>
  <si>
    <t>CAJA INSPECCION 15 X 15 PVC</t>
  </si>
  <si>
    <t>CAJA INSPECCION 25 X 25 HIERRO</t>
  </si>
  <si>
    <t>CAJA IP55 C/ TAPA 2 MOD.SIGMA GRIS KALOP</t>
  </si>
  <si>
    <t>CAJA METALICA EMBUTIR P/10 BOCAS CON PUERTA</t>
  </si>
  <si>
    <t>CAJA METALICA EMBUTIR P/14 BOCAS CON PUERTA</t>
  </si>
  <si>
    <t>CAJA METALICA EMBUTIR P/20 BOCAS CON PUERTA</t>
  </si>
  <si>
    <t>CAJA METALICA EMBUTIR P/28 BOCAS CON PUERTA</t>
  </si>
  <si>
    <t>CAJA METALICA EMBUTIR P/4 BOCAS CON PUERTA</t>
  </si>
  <si>
    <t>CAJA METALICA EMBUTIR P/42 BOCAS CON PUERTA</t>
  </si>
  <si>
    <t>CAJA METALICA EMBUTIR P/6 BOCAS CON PUERTA</t>
  </si>
  <si>
    <t>CAJA PASE PVC 115 X 165 X 110 G. T/TR (06111611GT)</t>
  </si>
  <si>
    <t>CAJA PASE PVC 115 X 165 X 80 G. T/TR (06111608GT)</t>
  </si>
  <si>
    <t>CAJA PASE PVC 118 X 118 X 112 MM BOX</t>
  </si>
  <si>
    <t>CAJA PASE PVC 148 X 188 X 112 MM BOX</t>
  </si>
  <si>
    <t>CAJA PASE PVC 148 X 188 X 72 MM BOX</t>
  </si>
  <si>
    <t>CAJA PASE PVC 148 X 188 X 92 MM BOX</t>
  </si>
  <si>
    <t>CAJA PASE PVC 165 X 165 X 110 G. T/TR (06161611GT)</t>
  </si>
  <si>
    <t>CAJA PASE PVC 165 X 210 X 110 G. T/TR (06162111GT)</t>
  </si>
  <si>
    <t>CAJA PASE PVC 168 X 168 X 122 MM BOX</t>
  </si>
  <si>
    <t>CAJA PASE PVC 168 X 168 X 97 MM BOX</t>
  </si>
  <si>
    <t>CAJA PASE PVC 210 X 210 X 135 G. T/TR (06212113GT)</t>
  </si>
  <si>
    <t>CAJA TM 4 BOCAS C/TAPA EXT. GRIS KALOP</t>
  </si>
  <si>
    <t>CAJA TM 4 MOD. EXT. C/TAPA BOX</t>
  </si>
  <si>
    <t>CAJA TM 6 BOCAS C/TAPA EXT. GRIS KALOP</t>
  </si>
  <si>
    <t>CALADORA MULTIPLE TUBELECTRIC</t>
  </si>
  <si>
    <t>CAMPANILLA EMBUTIR 10 X 10</t>
  </si>
  <si>
    <t>CAMPANILLA EXTERIOR (E) 10 X 10</t>
  </si>
  <si>
    <t>CAÑO PILAR DE BAJADA CINCADO 2 1/2" X 3.20 MTS.</t>
  </si>
  <si>
    <t>CAPSULADA 1 PUNTO MIG.</t>
  </si>
  <si>
    <t>CAPSULADA TECLA 1 PUNTO 10 A. KALOP</t>
  </si>
  <si>
    <t>CAPSULADA TOMA C/ NEUTRO 10 A. KALOP</t>
  </si>
  <si>
    <t>CARTEL HOMBRE/FLECHA 9 LEDS WE.</t>
  </si>
  <si>
    <t>CERRADURA ELECTRICA CABRERA</t>
  </si>
  <si>
    <t>CINTA PASACABLE C/ALMA DE ACERO X 10 MTS KALOP</t>
  </si>
  <si>
    <t>CINTA PASACABLE C/ALMA DE ACERO X 15 MTS KALOP</t>
  </si>
  <si>
    <t>CINTA PASACABLE C/ALMA DE ACERO X 20 MTS KALOP</t>
  </si>
  <si>
    <t>CINTA PASACABLE C/ALMA DE ACERO X 30 MTS KALOP</t>
  </si>
  <si>
    <t>CINTA PASACABLE PVC HOBBISTA 10 MTS KALOP</t>
  </si>
  <si>
    <t>CINTA PASACABLE PVC HOBBISTA 15 MTS KALOP</t>
  </si>
  <si>
    <t>CINTA PASACABLE PVC HOBBISTA 7 MTS KALOP</t>
  </si>
  <si>
    <t>CLIP P/BATERIA 10 A. S/AISLAR</t>
  </si>
  <si>
    <t>CLIP P/BATERIA 20 A. S/AISLAR</t>
  </si>
  <si>
    <t>CLIP P/BATERIA 25 A. S/AISLAR</t>
  </si>
  <si>
    <t>CLIP P/BATERIA 50 A. S/AISLAR</t>
  </si>
  <si>
    <t>CLIP P/BATERIA 70 A. S/AISLAR</t>
  </si>
  <si>
    <t>COLGANTE 3 LUCES CON TULIPA (C-340ACE)</t>
  </si>
  <si>
    <t>COLGANTE CAP.CROMO Y F. GRIS (1122-GR) ECLIPSE</t>
  </si>
  <si>
    <t>COLGANTE CAPUCHON SIMPLE BLANCO (BELL01)</t>
  </si>
  <si>
    <t>COLGANTE CAPUCHON SIMPLE BLANCO (BELL05)</t>
  </si>
  <si>
    <t>COLGANTE CAPUCHON SIMPLE NEGRO (BELL05)</t>
  </si>
  <si>
    <t>COLGANTE CAPUCHON SIMPLE OXIDO (BELL05)</t>
  </si>
  <si>
    <t>COLGANTE DE CHAPA 32 CM. BLANCO (C-136BLA)</t>
  </si>
  <si>
    <t>COLGANTE DE CHAPA 32 CM. COBRE (C-136COB)</t>
  </si>
  <si>
    <t>COLGANTE DE CHAPA 32 CM. GRIS (C-136GRI)</t>
  </si>
  <si>
    <t>COLGANTE DE CHAPA 32 CM. NEGRO (C-136NEG)</t>
  </si>
  <si>
    <t>COLGANTE DE CHAPA ESFERICO 24CM (C117COB)</t>
  </si>
  <si>
    <t>COLGANTE DE PVC CAPUCHON BLANCO 1126 ECLIPSE</t>
  </si>
  <si>
    <t>COLGANTE DE PVC CAPUCHON PVC FUCSIA 1123 ECLIPSE</t>
  </si>
  <si>
    <t>COLGANTE DE PVC CAPUCHON VERDE 1123 ECLIPSE</t>
  </si>
  <si>
    <t>COLGANTE GRIS C/CAP. Y F. GRIS (1126-GR) ECLIPSE</t>
  </si>
  <si>
    <t>COLGANTE INDUSTRIAL 250 W. C/EQUIPO BAEL</t>
  </si>
  <si>
    <t>COLGANTE INDUSTRIAL 400 W. C/EQUIPO BAEL</t>
  </si>
  <si>
    <t>COLGANTE INDUSTRIAL ECONOMICO E40 SIN EQUIPO BAEL</t>
  </si>
  <si>
    <t>COLGANTE POSEIDON 3 X E-27 CROMADO CAN.</t>
  </si>
  <si>
    <t>COLGANTE PVC CAPUCHON CROMO GRIS 1127 ECLIPSE</t>
  </si>
  <si>
    <t>COLGANTE PVC CAPUCHON CROMO VIOLETA 1127 ECLIPSE</t>
  </si>
  <si>
    <t>COLGANTE REGLETA ACERO C/TULIPA (C-345ACE)</t>
  </si>
  <si>
    <t>COLGANTE SEVILLA 4XE27 (C-408ACE)</t>
  </si>
  <si>
    <t>COLGANTE VIOL. C/CAP. Y F. VIOL. (1126-V) ECLIPSE</t>
  </si>
  <si>
    <t>COLLARIN ALUMINIO 1" 1/2</t>
  </si>
  <si>
    <t>COLLARIN ALUMINIO 2" 1/2</t>
  </si>
  <si>
    <t>COLLARIN ALUMINIO 2¨</t>
  </si>
  <si>
    <t>COMBO PORTERO 2 TELEFONOS + FRENTE EMBUTIR COMMAX</t>
  </si>
  <si>
    <t>COMBO PORTERO 2 TELEFONOS + FRENTE EXTERIOR COMMAX</t>
  </si>
  <si>
    <t>CONECTOR (Y) PARA LUMINARIA LED ITALAVIA</t>
  </si>
  <si>
    <t>CONECTOR CON POLLERA</t>
  </si>
  <si>
    <t>CONECTOR DE CAÑOS P/ CAJA ESTANCA JELUZ</t>
  </si>
  <si>
    <t>CONECTOR PARA RIEL ECLIPSE</t>
  </si>
  <si>
    <t>CONECTORES DE HIERRO 1 1/2"</t>
  </si>
  <si>
    <t>CONECTORES DE HIERRO 1 1/4"</t>
  </si>
  <si>
    <t>CONECTORES DE HIERRO 1"</t>
  </si>
  <si>
    <t>CONECTORES DE HIERRO 2"</t>
  </si>
  <si>
    <t>CONECTORES DE HIERRO 3/4"</t>
  </si>
  <si>
    <t>CONECTORES DE HIERRO 5/8"</t>
  </si>
  <si>
    <t>CONECTORES DE HIERRO 7/8"</t>
  </si>
  <si>
    <t>CONJUNTO ARMADO 1 PUNTO DONNA**</t>
  </si>
  <si>
    <t>CONJUNTO ARMADO 1 TOMA COMBINADO DONNA</t>
  </si>
  <si>
    <t>CONJUNTO ARMADO 2 PUNTOS DONNA</t>
  </si>
  <si>
    <t>CONJUNTO ARMADO 2 TOMAS COMBINADO DONNA</t>
  </si>
  <si>
    <t>CONJUNTO ARMADO PUNTO Y TOMA COMBINADO DONNA</t>
  </si>
  <si>
    <t>CONJUNTO ARMADO TOMA 20 AMP DONNA</t>
  </si>
  <si>
    <t>CONJUNTO ARMADO TOMA TELEFONICO DONNA</t>
  </si>
  <si>
    <t>CONJUNTO ARMADO TOMA TV- PIN GRUESO DONNA</t>
  </si>
  <si>
    <t>CONTROLADOR IR DE RGB MILE.</t>
  </si>
  <si>
    <t>CONTROLADOR RF RGB MILE.</t>
  </si>
  <si>
    <t>CONTROLADOR RGB + CONTROL (SHIMISA/AKAI)</t>
  </si>
  <si>
    <t>CONVERTIDORA TURISTA MIG</t>
  </si>
  <si>
    <t>CUADRO DE DISTRIBUCION DE 12 MOD. CABRERA</t>
  </si>
  <si>
    <t>CUBRE BASTIDOR SIST. MOD. KALOP</t>
  </si>
  <si>
    <t>CUPLA DE UNION CON BULONERIA ELECE</t>
  </si>
  <si>
    <t>CURVA METALICA LIVIANA 3/4</t>
  </si>
  <si>
    <t>CURVA METALICA LIVIANA 5/8</t>
  </si>
  <si>
    <t>CURVA METALICA SEMIPESADA 1 1/2</t>
  </si>
  <si>
    <t>CURVA METALICA SEMIPESADA 1 1/4"</t>
  </si>
  <si>
    <t>CURVA METALICA SEMIPESADA 5/8</t>
  </si>
  <si>
    <t>CURVA METALICA SEMIPESADA 7/8</t>
  </si>
  <si>
    <t>DERIVADOR 3 VIAS COMPLETO</t>
  </si>
  <si>
    <t>DERIVADOR 4 VIAS COMPLETO</t>
  </si>
  <si>
    <t>DETECTOR DE GAS SICA</t>
  </si>
  <si>
    <t>DICROICA 18 LEDS E-27 AZUL  SICA</t>
  </si>
  <si>
    <t>DICROICA 18 LEDS E27 ROJA SICA</t>
  </si>
  <si>
    <t>DICROICA 18 LEDS E27 VERDE SICA</t>
  </si>
  <si>
    <t>DING DONG EXTERIOR 10X10 A PILAS.</t>
  </si>
  <si>
    <t>DING DONG EXTERIOR 6X9 A PILAS</t>
  </si>
  <si>
    <t>DISYUNTOR 2 X 25 A. JELUZ</t>
  </si>
  <si>
    <t>DISYUNTOR 2 X 25 A. SICA</t>
  </si>
  <si>
    <t>DISYUNTOR 2 X 40 A. JELUZ</t>
  </si>
  <si>
    <t>DISYUNTOR 2 X 40 A. SICA</t>
  </si>
  <si>
    <t>DISYUNTOR 2 X 63 A. JELUZ</t>
  </si>
  <si>
    <t>DISYUNTOR 2 X 63 A. SICA</t>
  </si>
  <si>
    <t>DISYUNTOR 4 X 25 A. JELUZ</t>
  </si>
  <si>
    <t>DISYUNTOR 4 X 40 A. JELUZ</t>
  </si>
  <si>
    <t>DISYUNTOR 4 X 63 A. JELUZ</t>
  </si>
  <si>
    <t>DISYUNTOR 4 X 63 A. SICA</t>
  </si>
  <si>
    <t>DISYUNTOR 4X25 SCHNEIDER DOM</t>
  </si>
  <si>
    <t>DOWNLIGHT 40 LED BLANCO CALIDO SICA</t>
  </si>
  <si>
    <t>DOWNLIGHT 50 LED BLANCO CALIDO SICA</t>
  </si>
  <si>
    <t>DOWNLIGHT LED DIMERIZABLE POTENCIA 13,0 W LG</t>
  </si>
  <si>
    <t>DOWNLIGHT LED DIMERIZABLE POTENCIA 23,0W LG</t>
  </si>
  <si>
    <t>EMBUTIR GRANDE 2XE27 V/SATINADO  PVC BLANCO</t>
  </si>
  <si>
    <t>EMPALME COAXIL DOBLE HEMBRA</t>
  </si>
  <si>
    <t>EMPOTRABLE CUAD. 2-E27 BL. VID. SAT. 5001 LUC.</t>
  </si>
  <si>
    <t>EMPOTRABLE DIC. RED. ORIENT. NIQ. MAT.  306 LUC.</t>
  </si>
  <si>
    <t>EMPOTRABLE DIC. RED. ORIENT. NIQ. MATE 622 LUC.</t>
  </si>
  <si>
    <t>EMPOTRABLE PISO CUAD. ACERO GU-10 EP019 LUC.</t>
  </si>
  <si>
    <t>EMPOTRABLE PISO RED. ACERO GU-10 EP020 LUC.</t>
  </si>
  <si>
    <t>EMPOTRABLE TECHO AR 111 BLANCO ET0221 LUC.</t>
  </si>
  <si>
    <t>ESTACA POINTER BAEL</t>
  </si>
  <si>
    <t>EXTERIOR 1 PULSADOR EXTRA CHATA JELUZ</t>
  </si>
  <si>
    <t>EXTERIOR 1 PUNTO EXTRA CHATA JELUZ</t>
  </si>
  <si>
    <t>EXTERIOR 1 TOMA C/NEUTRO COMB. EXTRA CHATA JELUZ</t>
  </si>
  <si>
    <t>EXTERIOR 1 TOMA TELEFONICO RJ 11 EXTRA CHATA JELUZ</t>
  </si>
  <si>
    <t>EXTERIOR 1 TOMA TV PIN FINO EXTRA CHATA JELUZ</t>
  </si>
  <si>
    <t>EXTERIOR 1 TOMA TV PIN GRUESO EXTRA CHATA JELUZ</t>
  </si>
  <si>
    <t>EXTERIOR 2 PUNTOS EXTRA CHATA JELUZ</t>
  </si>
  <si>
    <t>FAROL COLONIAL DE PARED 3 CARAS ( F-124 )</t>
  </si>
  <si>
    <t>FAROL MINI TRIAL POLIC. S/EQUIPO BAEL</t>
  </si>
  <si>
    <t>FAROLA ALUMINIO ALT. 600 MM. E-27 (LUMINIS)</t>
  </si>
  <si>
    <t>FICHA 2 P + T 16 A. SICA (924001/6) - 934001</t>
  </si>
  <si>
    <t>FICHA 2 P + T 32A. SICA (924011/5)</t>
  </si>
  <si>
    <t>FICHA 3 P + N + T 16A. SICA (924203/6)</t>
  </si>
  <si>
    <t>FICHA 3 P + N + T 32A. SICA (924206/7)</t>
  </si>
  <si>
    <t>FICHA 3 P + T 32A. SICA (924113/2)</t>
  </si>
  <si>
    <t>FICHA 3P + T 16 A. SICA (924103/3)</t>
  </si>
  <si>
    <t>FICHA CONVERTIDORA DE 2 A 3 REF. KALOP</t>
  </si>
  <si>
    <t>FICHA CONVERTIDORA DE 3 A 2 REF. KALOP</t>
  </si>
  <si>
    <t>FICHA DE GOMA CON PORCELANA HEMBRA</t>
  </si>
  <si>
    <t>FICHA HEMBRA</t>
  </si>
  <si>
    <t>FICHA HEMBRA 10 A. NARANJA REF. SALIDA LATERAL</t>
  </si>
  <si>
    <t>FICHA HEMBRA 10 A. RIDRU</t>
  </si>
  <si>
    <t>FICHA HEMBRA ALTO CONSUMO 3 PERNOS CHATOS KALOP</t>
  </si>
  <si>
    <t>FICHA HEMBRA ALTO CONSUMO MIG.</t>
  </si>
  <si>
    <t>FICHA HEMBRA CALEFON - PLANCHA</t>
  </si>
  <si>
    <t>FICHA HEMBRA FRONTAL BLANCA KH KALOP</t>
  </si>
  <si>
    <t>FICHA HEMBRA FRONTAL NEGRA KH KALOP</t>
  </si>
  <si>
    <t>FICHA HEMBRA NARANJA RIDRU</t>
  </si>
  <si>
    <t>FICHA HEMBRA REF. KALOP</t>
  </si>
  <si>
    <t>FICHA HEMBRA TRES PERNOS CHATOS LATERAL MIG</t>
  </si>
  <si>
    <t>FICHA INDUSTRIAL 2 X 16 + N KALOP</t>
  </si>
  <si>
    <t>FICHA INDUSTRIAL 2 X 16 C/NEUTRO CELESTE RIDRU</t>
  </si>
  <si>
    <t>FICHA INDUSTRIAL 2 X 16 CELESTE RIDRU</t>
  </si>
  <si>
    <t>FICHA INDUSTRIAL 2 X 16 KALOP</t>
  </si>
  <si>
    <t>FICHA INDUSTRIAL 2 X 32 + N KALOP</t>
  </si>
  <si>
    <t>FICHA INDUSTRIAL 2 X 32 KALOP</t>
  </si>
  <si>
    <t>FICHA INDUSTRIAL 3 X 16 + N KALOP</t>
  </si>
  <si>
    <t>FICHA INDUSTRIAL 3 X 16 C/NEUTRO CELESTE RIDRU</t>
  </si>
  <si>
    <t>FICHA INDUSTRIAL 3 X 16 CELESTE RIDRU</t>
  </si>
  <si>
    <t>FICHA INDUSTRIAL 3 X 16 KALOP</t>
  </si>
  <si>
    <t>FICHA INDUSTRIAL 3 X 32 + N KALOP</t>
  </si>
  <si>
    <t>FICHA INDUSTRIAL 3 X 32 C/NEUTRO CELESTE RIDRU</t>
  </si>
  <si>
    <t>FICHA INDUSTRIAL 3 X 32 CELESTE RIDRU</t>
  </si>
  <si>
    <t>FICHA INDUSTRIAL 3 X 32 KALOP</t>
  </si>
  <si>
    <t>FICHA MACHO</t>
  </si>
  <si>
    <t>FICHA MACHO 10 A. NARANJA REF. SALIDA LAT.</t>
  </si>
  <si>
    <t>FICHA MACHO ALTO CONSUMO 3 PERNOS CHATOS KALOP</t>
  </si>
  <si>
    <t>FICHA MACHO ALTO CONSUMO PERNO REDONDO KALOP</t>
  </si>
  <si>
    <t>FICHA MACHO FRONTAL BLANCA K3 KALOP</t>
  </si>
  <si>
    <t>FICHA MACHO FRONTAL NEGRA K3 KALOP</t>
  </si>
  <si>
    <t>FICHA MACHO TELEFONICA AMERICANA RJ11 4C/6P</t>
  </si>
  <si>
    <t>FICHA MACHO TELEFONICO AMERICANA RJ9 4C/4P</t>
  </si>
  <si>
    <t>FICHA MACHO TRES PERNOS CHATOS FRONTAL MIG.</t>
  </si>
  <si>
    <t>FICHA TRIPLE REF. KALOP</t>
  </si>
  <si>
    <t>FLORON CON PORTALAMPARA</t>
  </si>
  <si>
    <t>FLORON PLASTICO 12 CM.</t>
  </si>
  <si>
    <t>FLORON PLASTICO 15 CM.</t>
  </si>
  <si>
    <t>FRENTE EMBUTIR PARA PORTERO COMMAX</t>
  </si>
  <si>
    <t>FRENTE EXPANDER 6 PULS LARGO COMMAX</t>
  </si>
  <si>
    <t>FRENTE EXPANDER 8 PULS. LARGO COMMAX</t>
  </si>
  <si>
    <t>FRENTE EXTERIOR PARA PORTERO COMMAX</t>
  </si>
  <si>
    <t>FRENTE PORTERO PARA 12 TELEFONOS COMMAX</t>
  </si>
  <si>
    <t>FRENTE PORTERO PARA 2 TELEFONOS COMMAX</t>
  </si>
  <si>
    <t>FRENTE PORTERO PARA 4 TELEFONOS COMMAX</t>
  </si>
  <si>
    <t>FRENTE PORTERO PARA 6 TELEFONOS COMMAX</t>
  </si>
  <si>
    <t>FRENTE PORTERO PARA 8 TELEFONOS COMMAX</t>
  </si>
  <si>
    <t>FUENTE ALIMENTACION REGULADA VOLTAJE 12 V. COMMAX</t>
  </si>
  <si>
    <t>GABINETE ESTANCO 500 X 400 X 200 TIBOX</t>
  </si>
  <si>
    <t>GABINETE IND. P/TOMA 2x32 y 2x16 C/PUERTA RIDRU</t>
  </si>
  <si>
    <t>GABINETE P/9 MEDIDORES MONOFASICOS + 1 TRIFASICO</t>
  </si>
  <si>
    <t>GABINETE PVC 190 X 285 X 185 C/TAPA AB OP (045006)</t>
  </si>
  <si>
    <t>GABINETE PVC 190 X 285 X 185 C/TAPA AB TR (045007)</t>
  </si>
  <si>
    <t>GABINETE PVC 285 X 380 X 185 C/P Y BAN TR (045013)</t>
  </si>
  <si>
    <t>GABINETE PVC 285 X 380 X 185 C/TAPA AB OP (045008)</t>
  </si>
  <si>
    <t>GABINETE PVC 285 X 380 X 185 C/TAPA AB TR (045009)</t>
  </si>
  <si>
    <t>GANCHO CENTRO 1/4"</t>
  </si>
  <si>
    <t>GANCHO CENTRO 3/16</t>
  </si>
  <si>
    <t>GRAMPA EXTERIOR TIPO OLMAR 1"</t>
  </si>
  <si>
    <t>GRAMPA EXTERIOR TIPO OLMAR 3/4"</t>
  </si>
  <si>
    <t>GRAMPA EXTERIOR TIPO OLMAR 5/8"</t>
  </si>
  <si>
    <t>GRAMPA EXTERIOR TIPO OLMAR 7/8"</t>
  </si>
  <si>
    <t>GRAMPA SUJETA CABLE N°  5 TACSA</t>
  </si>
  <si>
    <t>GRAMPA SUJETA CABLE N° 10 KALOP</t>
  </si>
  <si>
    <t>GRAMPA SUJETA CABLE N° 15 KALOP</t>
  </si>
  <si>
    <t>GRAMPA SUJETA CABLE N° 6 COAXIL KALOP</t>
  </si>
  <si>
    <t>GRAMPA SUJETA CABLE N° 8 KALOP</t>
  </si>
  <si>
    <t>GRAMPA SUJETA CABLE Nº 12 COAXIL TACSA</t>
  </si>
  <si>
    <t>GRAMPA SUJETA CABLE Nº 9 COAXIL NEGRA TACSA</t>
  </si>
  <si>
    <t>GRAMPA SUJETA CABLE Nº5 KALOP</t>
  </si>
  <si>
    <t>GUARDALAMPARA INDUSTRIAL PB PLAST.S/CABLE</t>
  </si>
  <si>
    <t>GUIRNALDA 10 MTS</t>
  </si>
  <si>
    <t>GUIRNALDA 15 MTS</t>
  </si>
  <si>
    <t>INDICADOR LUMINOSO ROJO</t>
  </si>
  <si>
    <t>INHIBIDOR DE DESTELLO KALOP</t>
  </si>
  <si>
    <t>INHIBIDOR DE DESTELLO LAMP. FLUORESCENTE JELUZ</t>
  </si>
  <si>
    <t>INTERCOMUNICADOR COMMAX</t>
  </si>
  <si>
    <t>JABALINA DE COBRE 1/2 X 1 M.</t>
  </si>
  <si>
    <t>JABALINA DE COBRE 3/4 X 1 M.</t>
  </si>
  <si>
    <t>JABALINA DE COBRE 3/8 X 1 M.</t>
  </si>
  <si>
    <t>JABALINA DE COBRE 3/8 X 1.5 M.</t>
  </si>
  <si>
    <t>JABALINA DE COBRE 5/8 X 1 M.</t>
  </si>
  <si>
    <t>JABALINA DE COBRE NORMALIZADA 1/2 X 1.5 MTS.</t>
  </si>
  <si>
    <t>JABALINA DE COBRE NORMALIZADA 3/4 X 1.5 MTS.</t>
  </si>
  <si>
    <t>JABALINA DE COBRE NORMALIZADA 5/8 X 1.5 MTS.</t>
  </si>
  <si>
    <t>KIT BARRA DE ACOPLE P/GABINETE DE MEDIDORES</t>
  </si>
  <si>
    <t>LAMPARA 1,1 V. ROSCA E-10</t>
  </si>
  <si>
    <t>LAMPARA 2,2 V. ROSCA E-10</t>
  </si>
  <si>
    <t>LAMPARA 21 LED 1,9 W. 12V. LUZ CALIDA SICA</t>
  </si>
  <si>
    <t>LAMPARA 21 LED E-27 LUZ CALIDA SICA</t>
  </si>
  <si>
    <t>LAMPARA 21 LED MULTICOLOR RGB GU10 SICA</t>
  </si>
  <si>
    <t>LAMPARA 21 LEDS AMARILLA GU5 SICA</t>
  </si>
  <si>
    <t>LAMPARA 24 V. 60 W.</t>
  </si>
  <si>
    <t>LAMPARA 3 LED 3 W. GU-10 LUZ CALIDA BORUS</t>
  </si>
  <si>
    <t>LAMPARA 3,6 V. BAYONETA PR</t>
  </si>
  <si>
    <t>LAMPARA 3,8 V. ROSCA E-10</t>
  </si>
  <si>
    <t>LAMPARA 4,8 V. BAYONETA PR</t>
  </si>
  <si>
    <t>LAMPARA 4,8 V. ROSCA E-10</t>
  </si>
  <si>
    <t>LAMPARA 40 W. 24 V.</t>
  </si>
  <si>
    <t>LAMPARA 6,2 V. ROSCA E-10</t>
  </si>
  <si>
    <t>LAMPARA 7,2 V. BAYONETA PR</t>
  </si>
  <si>
    <t>LAMPARA CLARA 300 W. E40</t>
  </si>
  <si>
    <t>LAMPARA HALOGENA 1000 W.</t>
  </si>
  <si>
    <t>LAMPARA HALOGENA 2000 W.</t>
  </si>
  <si>
    <t>LAMPARA MERCURIO HALOGENADO 150 W.</t>
  </si>
  <si>
    <t>LAMPARA MERCURIO HALOGENADO 250 W.</t>
  </si>
  <si>
    <t>LAMPARA MERCURIO HALOGENADO 250 W. E-40 G.E.</t>
  </si>
  <si>
    <t>LAMPARA MERCURIO HALOGENADO 70 W.</t>
  </si>
  <si>
    <t>LAMPARA MERCURIO HALOGENADO 70 W. D/CONT. G.E.</t>
  </si>
  <si>
    <t>LAMPARA MEZCLADORA 250 W. 220V. E40</t>
  </si>
  <si>
    <t>LAMPARA MEZCLADORA 250 W. 220V. E40 G.E.</t>
  </si>
  <si>
    <t>LAMPARA P/MAQ DE COSER 25W CLARA BAYONETA</t>
  </si>
  <si>
    <t>LAMPARA VAPOR DE MERCURIO 400 W.</t>
  </si>
  <si>
    <t>LINTERNA RECARGABLE 5 LED (LT3005L) WE.</t>
  </si>
  <si>
    <t>LISTON ARMADO 1 X 30 W.</t>
  </si>
  <si>
    <t>LLAVE CONCEPT CONJ. TECLON COMB. BRICKS KALOP</t>
  </si>
  <si>
    <t>LLAVE CONCEPT CONJ. TECLON COMB. CIRCLE KALOP</t>
  </si>
  <si>
    <t>LLAVE CONCEPT CONJ. TECLON COMB. CÓCTEL KALOP</t>
  </si>
  <si>
    <t>LLAVE CONCEPT CONJ. TECLON COMB. FASHION KALOP</t>
  </si>
  <si>
    <t>LLAVE CONCEPT CONJ. TECLON COMB. LETRAS KALOP</t>
  </si>
  <si>
    <t>LLAVE CONCEPT CONJ. TECLON COMB. MADERAS KALOP</t>
  </si>
  <si>
    <t>LLAVE CONCEPT CONJ. TECLON COMB. MANDALA KALOP</t>
  </si>
  <si>
    <t>LLAVE CONCEPT CONJ. TECLON COMB. RUSTICA KALOP</t>
  </si>
  <si>
    <t>LLAVE EMBUTIR 1 COMBINACION LIFE-SICA **</t>
  </si>
  <si>
    <t>LLAVE EMBUTIR 1 PULSADOR LIFE-SICA</t>
  </si>
  <si>
    <t>LLAVE EMBUTIR 1 PUNTO LIFE-SICA **</t>
  </si>
  <si>
    <t>LLAVE EMBUTIR 1 TOMA TELEFONICO LIFE-SICA</t>
  </si>
  <si>
    <t>LLAVE EMBUTIR 2 PUNTOS LIFE-SICA **</t>
  </si>
  <si>
    <t>LLAVE EMBUTIR 2 TOMAS C/NEUTRO COMBINADO LIFE-SICA</t>
  </si>
  <si>
    <t>LLAVE EMBUTIR 3 PUNTOS LIFE-SICA**</t>
  </si>
  <si>
    <t>LLAVE EMBUTIR TOMA C/NEUTRO COMBINADO LIFE-SICA</t>
  </si>
  <si>
    <t>LLAVE EMBUTIR TOMA TELEFONICO AMERICANO</t>
  </si>
  <si>
    <t>LLAVE EMBUTIR TOMA TELEFONICO DOBLE AMERICANO</t>
  </si>
  <si>
    <t>LLAVE EMBUTIR TOMA TV. LIFE-SICA</t>
  </si>
  <si>
    <t>LUMINARIA EMP. ORIENT. CUADRADA 3 LEDS 3W SICA</t>
  </si>
  <si>
    <t>LUMINARIA EMP. ORIENT. REDONDA 3 LEDS 3W L.C. SICA</t>
  </si>
  <si>
    <t>LUMINARIA SUBACUATICA 9W AZUL POLICARBONATO</t>
  </si>
  <si>
    <t>LUZ DE EMERGENCIA 20 W. 12 V. GAMA SONIC</t>
  </si>
  <si>
    <t>MANGUITO EMPALME DE COBRE EST. 10 MM. E10/UCC10</t>
  </si>
  <si>
    <t>MANGUITO EMPALME DE COBRE EST. 120 MM. E120</t>
  </si>
  <si>
    <t>MANGUITO EMPALME DE COBRE EST. 16 MM. E16/UCC16</t>
  </si>
  <si>
    <t>MANGUITO EMPALME DE COBRE EST. 25 MM. E25</t>
  </si>
  <si>
    <t>MANGUITO EMPALME DE COBRE EST. 35 MM. E35</t>
  </si>
  <si>
    <t>MANGUITO EMPALME DE COBRE EST. 4 MM. E04/UCC4</t>
  </si>
  <si>
    <t>MANGUITO EMPALME DE COBRE EST. 50 MM. E50</t>
  </si>
  <si>
    <t>MANGUITO EMPALME DE COBRE EST. 6 MM. E06/UCC6</t>
  </si>
  <si>
    <t>MANGUITO EMPALME DE COBRE EST. 70 MM. E70</t>
  </si>
  <si>
    <t>MANGUITO EMPALME DE COBRE EST. 95 MM. E95</t>
  </si>
  <si>
    <t>MARCO 3 MOD. JONICA GRAFITO KALOP</t>
  </si>
  <si>
    <t>MARCO 3 MOD. JONICA MARFIL KALOP</t>
  </si>
  <si>
    <t>MARCO MINIMAL KRISTAL ARENA + BAST. TECLASTAR</t>
  </si>
  <si>
    <t>MARCO MINIMAL KRISTAL BCO + BAST. TECLASTAR</t>
  </si>
  <si>
    <t>MARCO PIANO ARENA TECLASTAR</t>
  </si>
  <si>
    <t>MARCO PIANO BLANCO TECLASTAR</t>
  </si>
  <si>
    <t>MARCO PIANO GRIS TECLASTAR</t>
  </si>
  <si>
    <t>MARCO QUADRA ACEERO TECLASTAR</t>
  </si>
  <si>
    <t>MARCO QUADRA ARENA TECLASTAR</t>
  </si>
  <si>
    <t>MARCO QUADRA BLANCO TECLASTAR</t>
  </si>
  <si>
    <t>MARCO QUADRA CHAMPAGNE MET. TECLASTAR</t>
  </si>
  <si>
    <t>MARCO QUADRA CHAMPAGNE SAT. TECLASTAR</t>
  </si>
  <si>
    <t>MARCO QUADRA GRIS TECLASTAR</t>
  </si>
  <si>
    <t>MARCO QUADRA TOSTADO TECLASTAR</t>
  </si>
  <si>
    <t>MENSULA DE PARED REF. 130 MM. CINCADA ELECE</t>
  </si>
  <si>
    <t>MENSULA DE PARED REF. 180 MM. CINCADA ELECE</t>
  </si>
  <si>
    <t>MENSULA DE PARED REF. 230 MM. CINCADA ELECE</t>
  </si>
  <si>
    <t>MENSULA DE PARED REF. 330 MM. CINCADA ELECE</t>
  </si>
  <si>
    <t>MENSULA DE PARED REF. 80 MM. CINCADA ELECE</t>
  </si>
  <si>
    <t>MINI CONT. P/CC 9A 1NA 24VCC (100216)</t>
  </si>
  <si>
    <t>MOD. TOMA TV PIN FINO BLANCO TECLASTAR</t>
  </si>
  <si>
    <t>MODULO 1/2 INTERRUPTOR COMBINACION LIFE</t>
  </si>
  <si>
    <t>MODULO 1/2 INTERRUPTOR LIFE</t>
  </si>
  <si>
    <t>MODULO 1/2 TECLON COMBINACION MARFIL KALOP**</t>
  </si>
  <si>
    <t>MODULO 2 INTERRUP 2-1/2 MODULOS EN 1 BLANCO JELUZ</t>
  </si>
  <si>
    <t>MODULO 2 INTERRUP 2-1/2 MODULOS EN 1 GRIS JELUZ</t>
  </si>
  <si>
    <t>MODULO 2 INTERRUP 2-1/2 MODULOS EN 1 MARFIL JELUZ</t>
  </si>
  <si>
    <t>MODULO COMBINACION BLANCO LIFE</t>
  </si>
  <si>
    <t>MODULO COMBINACION LUMINOSO BLANCO LIFE</t>
  </si>
  <si>
    <t>MODULO CONTROL AUT. DE PALIER BLANCO KALOP**</t>
  </si>
  <si>
    <t>MODULO CONTROL AUT. DE PALIER MARFIL KALOP**</t>
  </si>
  <si>
    <t>MODULO CONTROL AUT. DE PALIER NEGRO KALOP**</t>
  </si>
  <si>
    <t>MODULO DOBLE INTERRUPTOR BLANCO KALOP**</t>
  </si>
  <si>
    <t>MODULO DOBLE INTERRUPTOR MARFIL KALOP**</t>
  </si>
  <si>
    <t>MODULO DOBLE INTERRUPTOR NEGRO KALOP**</t>
  </si>
  <si>
    <t>MODULO INTERRUPTOR BLANCO LIFE</t>
  </si>
  <si>
    <t>MODULO INTERRUPTOR DOBLE COMB. BLANCO KALOP**</t>
  </si>
  <si>
    <t>MODULO INTERRUPTOR DOBLE COMB. MARFIL KALOP**</t>
  </si>
  <si>
    <t>MODULO INTERRUPTOR DOBLE COMB. NEGRO KALOP**</t>
  </si>
  <si>
    <t>MODULO INTERRUPTOR INVERSOR BLANCO KALOP**</t>
  </si>
  <si>
    <t>MODULO INTERRUPTOR LUMINOSO BLANCO LIFE</t>
  </si>
  <si>
    <t>MODULO LED 30W/5000K/135ª (LENTE ABIERTO) ITALAVIA</t>
  </si>
  <si>
    <t>MODULO LED 30W/5000K/70ª (LENTE CONCENTRADO) ITALA</t>
  </si>
  <si>
    <t>MODULO PULSADOR BLANCO JELUZ</t>
  </si>
  <si>
    <t>MODULO PULSADOR BLANCO LIFE</t>
  </si>
  <si>
    <t>MODULO PULSADOR GRIS JELUZ</t>
  </si>
  <si>
    <t>MODULO PULSADOR MARFIL JELUZ</t>
  </si>
  <si>
    <t>MODULO SENSOR INFRARROJO BLANCO KALOP**</t>
  </si>
  <si>
    <t>MODULO SENSOR INFRARROJO MARFIL KALOP**</t>
  </si>
  <si>
    <t>MODULO SENSOR INFRARROJO NEGRO KALOP**</t>
  </si>
  <si>
    <t>MODULO TAPON CIEGO BLANCO JELUZ</t>
  </si>
  <si>
    <t>MODULO TAPON CIEGO BLANCO KALOP</t>
  </si>
  <si>
    <t>MODULO TAPON CIEGO BLANCO LIFE</t>
  </si>
  <si>
    <t>MODULO TAPON CIEGO GRIS JELUZ</t>
  </si>
  <si>
    <t>MODULO TAPON CIEGO MARFIL JELUZ</t>
  </si>
  <si>
    <t>MODULO TAPON CIEGO MARFIL KALOP</t>
  </si>
  <si>
    <t>MODULO TAPON CIEGO NEGRO KALOP</t>
  </si>
  <si>
    <t>MODULO TOMA BLANCO (1 MOD. Y MEDIO) KALOP</t>
  </si>
  <si>
    <t>MODULO TOMA C/ NEUTRO BLANCO KALOP</t>
  </si>
  <si>
    <t>MODULO TOMA C/ NEUTRO IRAM LIFE</t>
  </si>
  <si>
    <t>MODULO TOMA C/ NEUTRO NEGRO KALOP</t>
  </si>
  <si>
    <t>MODULO TOMA CATV P/COAXIL 2 SAL. NEGRO KALOP</t>
  </si>
  <si>
    <t>MODULO TOMA COMPUTACION ARMADO RJ45 JELUZ</t>
  </si>
  <si>
    <t>MODULO TOMA COMPUTACION RJ45 BLANCO KALOP</t>
  </si>
  <si>
    <t>MODULO TOMA COMPUTACION RJ45 LIFE</t>
  </si>
  <si>
    <t>MODULO TOMA COMPUTACION RJ45 MARFIL KALOP</t>
  </si>
  <si>
    <t>MODULO TOMA COMPUTACION RJ45 NEGRO KALOP</t>
  </si>
  <si>
    <t>MODULO TOMA DOBLE BLANCO KALOP</t>
  </si>
  <si>
    <t>MODULO TOMA DOBLE MARFIL KALOP</t>
  </si>
  <si>
    <t>MODULO TOMA DOBLE NEGRO KALOP</t>
  </si>
  <si>
    <t>MODULO TOMA EUROAME. C/T DESPLAZ. BLANCA KALOP</t>
  </si>
  <si>
    <t>MODULO TOMA EUROAME. C/T DESPLAZ. MARFIL KALOP</t>
  </si>
  <si>
    <t>MODULO TOMA EUROAMERICANO BLANCO KALOP</t>
  </si>
  <si>
    <t>MODULO TOMA EUROAMERICANO MARFIL KALOP</t>
  </si>
  <si>
    <t>MODULO TOMA IRAM MARFIL KALOP</t>
  </si>
  <si>
    <t>MODULO TOMA NEGRO (1 MOD. Y MEDIO) KALOP</t>
  </si>
  <si>
    <t>MODULO TOMA P/CORRIENTE ESTABIL. KALOP</t>
  </si>
  <si>
    <t>MODULO TOMA RJ45 BLANCO PLATINUM JELUZ</t>
  </si>
  <si>
    <t>MODULO TOMA RJ45 NEGRO PLATINUM</t>
  </si>
  <si>
    <t>MODULO TOMA SCHUKO 16A BLANCO KALOP</t>
  </si>
  <si>
    <t>MODULO TOMA SCHUKO 16A MARFIL KALOP</t>
  </si>
  <si>
    <t>MODULO TOMA SCHUKO 16A NEGRO KALOP</t>
  </si>
  <si>
    <t>MODULO TOMA SIMPLE IRAM BLANCO KALOP</t>
  </si>
  <si>
    <t>MODULO TOMA SIMPLE IRAM NEGRO KALOP</t>
  </si>
  <si>
    <t>MODULO TOMA TV - PIN FINO BLANCO KALOP</t>
  </si>
  <si>
    <t>MODULO TOMA TV P/REDONDO PASANTE LIFE</t>
  </si>
  <si>
    <t>MODULO TOMA TV PIN - FINO MARFIL KALOP</t>
  </si>
  <si>
    <t>MODULO TOMA TV PIN FINO BLANCO LIFE</t>
  </si>
  <si>
    <t>MODULO TOMA TV- PINFINO NEGRO KALOP</t>
  </si>
  <si>
    <t>MODULO TOMA USB BLANCO KALOP**</t>
  </si>
  <si>
    <t>MODULO TOMA USB MARFIL KALOP</t>
  </si>
  <si>
    <t>MODULO TV PIN FINO BLANCO PLATINUM JELUZ</t>
  </si>
  <si>
    <t>MODULO TV PIN FINO NEGRO PLATINUM JELUZ</t>
  </si>
  <si>
    <t>MODULO TV PIN GRUESO BLANCO PLATINUM JELUZ</t>
  </si>
  <si>
    <t>MODULO TV PIN GRUESO NEGRO PLATINUM JELUZ</t>
  </si>
  <si>
    <t>NIPLE CHICOLETA BRONCE 3/8- SJ.</t>
  </si>
  <si>
    <t>PANTALLA ALUMINIO 35 CM.- SJ.</t>
  </si>
  <si>
    <t>PANTALLA DE POLICARBONATO E-27 DIAM 316 MM</t>
  </si>
  <si>
    <t>PERILLA VELADOR BLANCA KALOP **</t>
  </si>
  <si>
    <t>PERILLA VELADOR MIG</t>
  </si>
  <si>
    <t>PERILLA VELADOR NEGRA KALOP**</t>
  </si>
  <si>
    <t>PIEZA REDUC. CENTRAL 300MM A 100MM ELECE</t>
  </si>
  <si>
    <t>PIN GRUESO HEMBRA</t>
  </si>
  <si>
    <t>PLACA CAPSULADA 1 PUNTO RIDRU</t>
  </si>
  <si>
    <t>PLACA CAPSULADA 2 PUNTOS RIDRU</t>
  </si>
  <si>
    <t>PLAFON "BARI" 20X20CM. C/BASE BLANCA (P-120BLA)</t>
  </si>
  <si>
    <t>PLAFON "BARI" 25CM. C/BASE BLANCA (P-213)</t>
  </si>
  <si>
    <t>PLAFON "BARI" 25X25CM. C/BASE BLANCA (P-214BLA)</t>
  </si>
  <si>
    <t>PLAFON C/LOUVER BLANCO 1 X 18 W. COMPLETO BAEL</t>
  </si>
  <si>
    <t>PLAFON C/LOUVER BLANCO 1 X 36 W. COMPLETO BAEL</t>
  </si>
  <si>
    <t>PLAFON C/LOUVER BLANCO 2 X 9 W. LED BAEL</t>
  </si>
  <si>
    <t>PLAFON C/LOUVER METALIZADO 1 X 36 COMPLETO BAEL</t>
  </si>
  <si>
    <t>PLAFON C/LOUVER METALIZADO 2 X 36 COMPLETO BAEL</t>
  </si>
  <si>
    <t>PLAFON CHAPA CON LOUVER BLANCO 2 X 36 SPOTSLINE</t>
  </si>
  <si>
    <t>PLAFON CIRCULAR 32 W. + 22 W. SJ.</t>
  </si>
  <si>
    <t>PLAFON PLYDAR 11 4 GRIS BAEL</t>
  </si>
  <si>
    <t>PONCHITO PROTECTOR TRIPOLAR</t>
  </si>
  <si>
    <t>PORTALAMPARA 3 PIEZAS MF.</t>
  </si>
  <si>
    <t>PORTALAMPARA CON CHICOTE</t>
  </si>
  <si>
    <t>PORTALAMPARA PORCELANA CASQ. ALUMINIO 3/8</t>
  </si>
  <si>
    <t>PORTALAMPARA RED. PORC. C/TUERCAS C/ESCUADRA</t>
  </si>
  <si>
    <t>PORTALAMPARA RED. PORC. C/TUERCAS Y GRAMPA 3/8</t>
  </si>
  <si>
    <t>PORTALAMPARA VICTORIA</t>
  </si>
  <si>
    <t>PORTATIL KALOP X 5 M</t>
  </si>
  <si>
    <t>PORTERO INALAMBRICO COMMAX VICOM</t>
  </si>
  <si>
    <t>PRECINTO 250 MM. NEGRO</t>
  </si>
  <si>
    <t>PRECINTO 250 MM. TRANSP.</t>
  </si>
  <si>
    <t>PRECINTO 350 MM. NEGRO</t>
  </si>
  <si>
    <t>PRECINTO 430 MM. NEGRO</t>
  </si>
  <si>
    <t>PRECINTO 430 MM. TRANSP.</t>
  </si>
  <si>
    <t>PRECINTO 450 MM. NEGRO</t>
  </si>
  <si>
    <t>PROLONGADOR 4 BOCAS C/ CABLE NET</t>
  </si>
  <si>
    <t>PROLONGADOR 5 TOMAS + USB C/CABLE X 1,3M SICA</t>
  </si>
  <si>
    <t>PROLONGADOR TOP 4 BOCAS C/LLAVE-S/CABLE</t>
  </si>
  <si>
    <t>PROLONGADOR TOP 6 BOCAS C/LLAVE-S/CABLE</t>
  </si>
  <si>
    <t>PROTECTOR DE GOMA P/INTERRUPTORES A PALANCA</t>
  </si>
  <si>
    <t>PROYECTOR DE MERC. HALOG. 250/400 ALTO IMPACTO</t>
  </si>
  <si>
    <t>PROYECTOR MERCURIO HALOGENADO 150 W (PR02)</t>
  </si>
  <si>
    <t>PROYECTOR MERCURIO HALOGENADO 250/400 W. PESADO</t>
  </si>
  <si>
    <t>PROYECTOR MERCURIO HALOGENADO 70 W. (PR01)</t>
  </si>
  <si>
    <t>PROYECTOR MERCURIO HALOGENADO 70/150 W. LIVIANO</t>
  </si>
  <si>
    <t>PROYECTOR MERCURIO HALOGENADO 70/150 W. PESADO</t>
  </si>
  <si>
    <t>PROYECTOR P/BAJO CONSUMO HASTA 85 W. E27 BAEL</t>
  </si>
  <si>
    <t>PROYECTOR PARA 2 BAJO CONSUMO E 27 BAEL MINI</t>
  </si>
  <si>
    <t>PROYECTOR PARA EXTERIOR 70 W. MH LUC.</t>
  </si>
  <si>
    <t>PULSADOR - TIMBRE METALICO REDONDO</t>
  </si>
  <si>
    <t>RECEPTACULO RECTO MIGÑON MF.</t>
  </si>
  <si>
    <t>REDUCCION EDISON A MIÑON - SJ. (BRONCE )</t>
  </si>
  <si>
    <t>REPETIDOR PORTERO COMMAX</t>
  </si>
  <si>
    <t>REPUESTO LLAVE INTERRUPTORA</t>
  </si>
  <si>
    <t>REPUESTO VIDRIO TORTUGA CUADRADA</t>
  </si>
  <si>
    <t>REPUESTO VIDRIO TORTUGA OVALADA</t>
  </si>
  <si>
    <t>REPUESTO VIDRIO TORTUGA OVALADA P/BAJO CONSUMO</t>
  </si>
  <si>
    <t>REPUESTO VIDRIO TORTUGA REDONDA</t>
  </si>
  <si>
    <t>REPUESTO VIDRIO TORTUGA REDONDA P/BAJO CONSUMO</t>
  </si>
  <si>
    <t>RIEL DE ALUMINIO DE 1 MT (BLANCO) ECLIPSE</t>
  </si>
  <si>
    <t>RIEL DE ALUMINIO DE 1 MT (FUCSIA) ECLIPSE</t>
  </si>
  <si>
    <t>RIEL DE ALUMINIO DE 1 MT (VIOLETA) ECLIPSE</t>
  </si>
  <si>
    <t>RIEL DE ALUMINIO DE 2 MT (ACERO) ECLIPSE</t>
  </si>
  <si>
    <t>ROLLO LED 3228 INTERIOR ROJO X5M SICA</t>
  </si>
  <si>
    <t>ROSETA FUSIBLE - SJ.</t>
  </si>
  <si>
    <t>SECCIONADOR B/C TAMAÑO 00 160 A. TETRAPOLAR SICA</t>
  </si>
  <si>
    <t>SECCIONADOR B/C TAMAÑO 00 160 A. TRIPOLAR SICA</t>
  </si>
  <si>
    <t>SELECTORA 2P D22 NEGRO S/M CORT FIJA PLA (184110)</t>
  </si>
  <si>
    <t>SELECTORA 2P D22 NEGRO S/M LARG FIJA (184370)</t>
  </si>
  <si>
    <t>SEÑAL LUMIN. MULTILED AD22-22DS AMBAR 220 V.</t>
  </si>
  <si>
    <t>SEÑAL LUMIN. MULTILED AD22-22DS ROJO 220 V.</t>
  </si>
  <si>
    <t>SEÑAL LUMIN. MULTILED AD22-22DS VERDE 220 V.</t>
  </si>
  <si>
    <t>SEPARADOR 100 X 50 (MTS) KALOP</t>
  </si>
  <si>
    <t>SOPORTE REPUESTO 1 PUNTO KALOP</t>
  </si>
  <si>
    <t>SOPORTE REPUESTO 1 TOMA SIMPLE KALOP</t>
  </si>
  <si>
    <t>SOPORTE REPUESTO 2 PUNTOS KALOP</t>
  </si>
  <si>
    <t>SOPORTE REPUESTO TOMA C/ NEUTRO KALOP</t>
  </si>
  <si>
    <t>SPOT 1 LUZ C/TULIPA SATINADA PLATA (S-110PLA)</t>
  </si>
  <si>
    <t>SPOT CUADRADO EMBUTIR PARA DICROICA C/MOV. BLANCO</t>
  </si>
  <si>
    <t>SPOT CUADRADO EMBUTIR PARA DICROICA C/MOV. PLATIL</t>
  </si>
  <si>
    <t>TAPA 5 X 10 AMARILLO PLATINUM JELUZ</t>
  </si>
  <si>
    <t>TAPA 5 X 10 ANTRACITA PLATINUM JELUZ</t>
  </si>
  <si>
    <t>TAPA 5 X 10 AZUL ELECTRICO PLATINUM JELUZ</t>
  </si>
  <si>
    <t>TAPA 5 X 10 AZUL NOCHE PLATINUM JELUZ</t>
  </si>
  <si>
    <t>TAPA 5 X 10 BLANCO PLATINUM JELUZ</t>
  </si>
  <si>
    <t>TAPA 5 X 10 CHAMPAGNE PLATINUM JELUZ</t>
  </si>
  <si>
    <t>TAPA 5 X 10 NARANJA PLATINUM JELUZ</t>
  </si>
  <si>
    <t>TAPA 5 X 10 PLATA PLATINUM JELUZ</t>
  </si>
  <si>
    <t>TAPA 5 X 10 ROJO PLATINUM JELUZ</t>
  </si>
  <si>
    <t>TAPA 5 X 10 UVA PLATINUM JELUZ</t>
  </si>
  <si>
    <t>TAPA 5 X 10 VERDE PLATINUM JELUZ</t>
  </si>
  <si>
    <t>TAPA 5 X 5 MIGÑON BLANCO PLATINUM JELUZ</t>
  </si>
  <si>
    <t>TAPA BANDEJA PORTAC. 100 MM. ESP. 0.7 ELECE</t>
  </si>
  <si>
    <t>TAPA BANDEJA PORTAC. 150 MM. ESP. 0.7 ELECE</t>
  </si>
  <si>
    <t>TAPA BANDEJA PORTAC. 200 MM. ESP. 0.7 ELECE</t>
  </si>
  <si>
    <t>TAPA BANDEJA PORTAC. 300 MM. ESP. 0.7 ELECE</t>
  </si>
  <si>
    <t>TAPA BANDEJA PORTAC. 50 MM. ESP. 0.7 ELECE</t>
  </si>
  <si>
    <t>TAPA BASTIDOR BLANCA VERONA 2000 JELUZ</t>
  </si>
  <si>
    <t>TAPA BASTIDOR MARFIL VERONA 2000 JELUZ</t>
  </si>
  <si>
    <t>TAPA BASTIDOR NEGRA VERONA 2000 JELUZ</t>
  </si>
  <si>
    <t>TAPA BLOCK BLANCA KALOP</t>
  </si>
  <si>
    <t>TAPA BLOCK CELESTE KALOP</t>
  </si>
  <si>
    <t>TAPA CURVA ART 100 MM. ESP. 0.7 ELECE</t>
  </si>
  <si>
    <t>TAPA CURVA ART 150 MM. ESP. 0.7 ELECE</t>
  </si>
  <si>
    <t>TAPA CURVA ART 200 MM. ESP. 0.7 ELECE</t>
  </si>
  <si>
    <t>TAPA CURVA ART 300 MM. ESP. 0.7 ELECE</t>
  </si>
  <si>
    <t>TAPA CURVA ART 50 MM. ESP. 0.7 ELECE</t>
  </si>
  <si>
    <t>TAPA CURVA PLANA 45™ 100 MM. ESP. 0.7 ELECE</t>
  </si>
  <si>
    <t>TAPA CURVA PLANA 45™ 150 MM. ESP. 0.7 ELECE</t>
  </si>
  <si>
    <t>TAPA CURVA PLANA 45™ 200 MM. ESP. 0.7 ELECE</t>
  </si>
  <si>
    <t>TAPA CURVA PLANA 45™ 300 MM. ESP. 0.7 ELECE</t>
  </si>
  <si>
    <t>TAPA CURVA PLANA 45™ 50 MM. ESP. 0.7 ELECE</t>
  </si>
  <si>
    <t>TAPA CURVA PLANA 90ª 50 MM. ESP 0.7 ELECE</t>
  </si>
  <si>
    <t>TAPA CURVA PLANA 90™ 100 MM. ESP. 0.7 ELECE</t>
  </si>
  <si>
    <t>TAPA CURVA PLANA 90™ 150 MM. ESP. 0.7 ELECE</t>
  </si>
  <si>
    <t>TAPA CURVA PLANA 90™ 200 MM. ESP. 0.7 ELECE</t>
  </si>
  <si>
    <t>TAPA CURVA PLANA 90™ 300 MM. ESP. 0.7 ELECE</t>
  </si>
  <si>
    <t>TAPA METALICA OCTOGONAL CHICA</t>
  </si>
  <si>
    <t>TAPA METALICA OCTOGONAL GRANDE</t>
  </si>
  <si>
    <t>TAPA METALICA RECTANGULAR</t>
  </si>
  <si>
    <t>TAPA MG P/BASTIDOR 5 X 5 MARFIL JELUZ</t>
  </si>
  <si>
    <t>TAPA MG P/BASTIDOR 5 X 5 QUARZO JELUZ</t>
  </si>
  <si>
    <t>TAPA MIGNON CIVIL BLANCO KALOP</t>
  </si>
  <si>
    <t>TAPA MIGNON CIVIL NEGRA KALOP</t>
  </si>
  <si>
    <t>TAPA MIGNON METALICA</t>
  </si>
  <si>
    <t>TAPA MIGNON ZEN BLANCO KALOP</t>
  </si>
  <si>
    <t>TAPA MIGÑON LIFE</t>
  </si>
  <si>
    <t>TAPA P/ 1 MODULO LIFE</t>
  </si>
  <si>
    <t>TAPA P/ 3 MODULOS LIFE</t>
  </si>
  <si>
    <t>TAPA PARA MODULO DIMMER PERILLA/TV GRIS JELUZ</t>
  </si>
  <si>
    <t>TAPA PARA MODULO DIMMER PERILLA/TV MARFIL JELUZ</t>
  </si>
  <si>
    <t>TAPA PARA MODULO TEL. AMERICANO BLANCO JELUZ</t>
  </si>
  <si>
    <t>TAPA PARA MODULO TEL. AMERICANO GRIS JELUZ</t>
  </si>
  <si>
    <t>TAPA PARA MODULO TEL. AMERICANO MARFIL JELUZ</t>
  </si>
  <si>
    <t>TAPA PORTA MODULOS JELUZ( TAPA UNIVERSAL)</t>
  </si>
  <si>
    <t>TAPA UNION CRUZ 100 MM. ESP. 0.7 ELECE</t>
  </si>
  <si>
    <t>TAPA UNION CRUZ 150 MM. ESP. 0.7 ELECE</t>
  </si>
  <si>
    <t>TAPA UNION CRUZ 200 MM. ESP. 0.7 ELECE</t>
  </si>
  <si>
    <t>TAPA UNION CRUZ 300 MM. ESP. 0.7 ELECE</t>
  </si>
  <si>
    <t>TAPA UNION CRUZ 50 MM. ESP. 0.7 ELECE</t>
  </si>
  <si>
    <t>TAPA UNION TEE 100 MM. ESP. 0.7 ELECE</t>
  </si>
  <si>
    <t>TAPA UNION TEE 150 MM. ESP. 0.7 ELECE</t>
  </si>
  <si>
    <t>TAPA UNION TEE 200 MM. ESP. 0.7 ELECE</t>
  </si>
  <si>
    <t>TAPA UNION TEE 300 MM. ESP. 0.7 ELECE</t>
  </si>
  <si>
    <t>TAPA UNION TEE 50 MM. ESP. 0.7 ELECE</t>
  </si>
  <si>
    <t>TELEFONO PARA PORTERO COMMAX DR-KM(DP-SS)</t>
  </si>
  <si>
    <t>TERMICA 1 X 10 A. JELUZ</t>
  </si>
  <si>
    <t>TERMICA 1 X 10 A. SICA</t>
  </si>
  <si>
    <t>TERMICA 1 X 16 A. JELUZ</t>
  </si>
  <si>
    <t>TERMICA 1 X 20 A. JELUZ</t>
  </si>
  <si>
    <t>TERMICA 1 X 20 A. SICA</t>
  </si>
  <si>
    <t>TERMICA 1 X 25 A. JELUZ</t>
  </si>
  <si>
    <t>TERMICA 1 X 32 A. JELUZ</t>
  </si>
  <si>
    <t>TERMICA 1 X 32 A. SICA</t>
  </si>
  <si>
    <t>TERMICA 1 X 40 A. JELUZ</t>
  </si>
  <si>
    <t>TERMICA 1 X 40 A. SICA</t>
  </si>
  <si>
    <t>TERMICA 1 X 50 A. JELUZ</t>
  </si>
  <si>
    <t>TERMICA 1 X 50 A. SICA</t>
  </si>
  <si>
    <t>TERMICA 1 X 63 A. JELUZ</t>
  </si>
  <si>
    <t>TERMICA 1 X 63 A. SICA</t>
  </si>
  <si>
    <t>TERMICA 1X10 SCHNEIDER DOM</t>
  </si>
  <si>
    <t>TERMICA 1X16 SCHNEIDER DOM</t>
  </si>
  <si>
    <t>TERMICA 1X20 SCHNEIDER DOM</t>
  </si>
  <si>
    <t>TERMICA 1X25 SCHNEIDER DOM</t>
  </si>
  <si>
    <t>TERMICA 1X32 SCHNEIDER DOM</t>
  </si>
  <si>
    <t>TERMICA 2 X 10 A. JELUZ</t>
  </si>
  <si>
    <t>TERMICA 2 X 10 A. SICA</t>
  </si>
  <si>
    <t>TERMICA 2 X 16 A. JELUZ</t>
  </si>
  <si>
    <t>TERMICA 2 X 16 A. SICA</t>
  </si>
  <si>
    <t>TERMICA 2 X 20 A. JELUZ</t>
  </si>
  <si>
    <t>TERMICA 2 X 20 A. SICA</t>
  </si>
  <si>
    <t>TERMICA 2 X 25 A. JELUZ</t>
  </si>
  <si>
    <t>TERMICA 2 X 25 A. SICA</t>
  </si>
  <si>
    <t>TERMICA 2 X 32 A. JELUZ</t>
  </si>
  <si>
    <t>TERMICA 2 X 40 A. JELUZ</t>
  </si>
  <si>
    <t>TERMICA 2 X 5 A. SICA</t>
  </si>
  <si>
    <t>TERMICA 2 X 50 A. JELUZ</t>
  </si>
  <si>
    <t>TERMICA 2 X 50 A. SICA</t>
  </si>
  <si>
    <t>TERMICA 2 X 63 A. JELUZ</t>
  </si>
  <si>
    <t>TERMICA 2 X 63 A. SICA</t>
  </si>
  <si>
    <t>TERMICA 2X20 SCHNEIDER DOM</t>
  </si>
  <si>
    <t>TERMICA 2X25 SCHNEIDER DOM</t>
  </si>
  <si>
    <t>TERMICA 2X40 SCHNEIDER DOM</t>
  </si>
  <si>
    <t>TERMICA 3 X 10 A. JELUZ</t>
  </si>
  <si>
    <t>TERMICA 3 X 10 A. SICA</t>
  </si>
  <si>
    <t>TERMICA 3 X 15 A. SICA</t>
  </si>
  <si>
    <t>TERMICA 3 X 16 A. JELUZ</t>
  </si>
  <si>
    <t>TERMICA 3 X 20 A. JELUZ</t>
  </si>
  <si>
    <t>TERMICA 3 X 20 A. SICA</t>
  </si>
  <si>
    <t>TERMICA 3 X 25 A. JELUZ</t>
  </si>
  <si>
    <t>TERMICA 3 X 25 A. SICA</t>
  </si>
  <si>
    <t>TERMICA 3 X 32 A. SICA</t>
  </si>
  <si>
    <t>TERMICA 3 X 40 A. SICA</t>
  </si>
  <si>
    <t>TERMICA 3 X 50 A. SICA</t>
  </si>
  <si>
    <t>TERMICA 3X10+N SCHNEIDER DOM</t>
  </si>
  <si>
    <t>TERMICA 3X20+N SCHNEIDER DOM</t>
  </si>
  <si>
    <t>TERMICA 3X40+N SCHNEIDER DOM</t>
  </si>
  <si>
    <t>TERMICA 4 X 10 A. JELUZ</t>
  </si>
  <si>
    <t>TERMICA 4 X 10 A. SICA</t>
  </si>
  <si>
    <t>TERMICA 4 X 100 A. SICA</t>
  </si>
  <si>
    <t>TERMICA 4 X 16 A. JELUZ</t>
  </si>
  <si>
    <t>TERMICA 4 X 16 A. SICA</t>
  </si>
  <si>
    <t>TERMICA 4 X 20 A. JELUZ</t>
  </si>
  <si>
    <t>TERMICA 4 X 25 A. JELUZ</t>
  </si>
  <si>
    <t>TERMICA 4 X 25 A. SICA</t>
  </si>
  <si>
    <t>TERMICA 4 X 32 A. JELUZ</t>
  </si>
  <si>
    <t>TERMICA 4 X 40 A. JELUZ</t>
  </si>
  <si>
    <t>TERMICA 4 X 40 A. SICA</t>
  </si>
  <si>
    <t>TERMICA 4 X 5 A. SICA</t>
  </si>
  <si>
    <t>TERMICA 4 X 50 A. JELUZ</t>
  </si>
  <si>
    <t>TERMICA 4 X 50 A. SICA</t>
  </si>
  <si>
    <t>TERMICA 4 X 63 A. JELUZ</t>
  </si>
  <si>
    <t>TERMICA 4 X 80 A. SICA</t>
  </si>
  <si>
    <t>TERMINAL LATON HEMBRA 10,3MM Nº436B</t>
  </si>
  <si>
    <t>TERMINAL LATON HEMBRA 2,8MM Nº92</t>
  </si>
  <si>
    <t>TERMINAL LATON HEMBRA 5MM Nº224</t>
  </si>
  <si>
    <t>TERMINAL LATON HEMBRA 6,3MM C/TRABA Nº517</t>
  </si>
  <si>
    <t>TERMINAL LATON HEMBRA 6,3MM Nº436</t>
  </si>
  <si>
    <t>TERMINAL LATON HEMBRA 6,3MM(BANDERA) Nº624</t>
  </si>
  <si>
    <t>TERMINAL LATON HORQUILLA 3,3MM Nº1360</t>
  </si>
  <si>
    <t>TERMINAL LATON HORQUILLA 4,2MM Nº1350</t>
  </si>
  <si>
    <t>TERMINAL LATON HORQUILLA 5MM Nº1380</t>
  </si>
  <si>
    <t>TERMINAL LATON LENGÜETA 2,8MM Nº890</t>
  </si>
  <si>
    <t>TERMINAL LATON MACHO 2,8MM Nº705</t>
  </si>
  <si>
    <t>TERMINAL LATON MACHO 5MM Nº735</t>
  </si>
  <si>
    <t>TERMINAL LATON MACHO 6,3MM C/TRABA Nº830</t>
  </si>
  <si>
    <t>TERMINAL LATON MACHO 6,3MM Nº790</t>
  </si>
  <si>
    <t>TERMINAL LATON MACHO 6,3MM Nº868</t>
  </si>
  <si>
    <t>TERMINAL LATON OJAL 4,2MM Nº1200</t>
  </si>
  <si>
    <t>TERMINAL LATON OJAL 5,2MM Nº1250</t>
  </si>
  <si>
    <t>TERMINAL LATON OJAL 6,5MM Nº1240</t>
  </si>
  <si>
    <t>TERMINAL LATON OJAL 8,5MM Nº1278</t>
  </si>
  <si>
    <t>TERMINAL LATON OJAL 9,9MM Nº1345</t>
  </si>
  <si>
    <t>TERMINAL P/JABALINA 3/8</t>
  </si>
  <si>
    <t>TERMINAL PREAISLADO A 20</t>
  </si>
  <si>
    <t>TERMINAL PREAISLADO A 21</t>
  </si>
  <si>
    <t>TERMINAL PREAISLADO A10</t>
  </si>
  <si>
    <t>TERMINAL PREAISLADO A11</t>
  </si>
  <si>
    <t>TERMINAL PREAISLADO A12</t>
  </si>
  <si>
    <t>TERMINAL PREAISLADO A13</t>
  </si>
  <si>
    <t>TERMINAL PREAISLADO A14</t>
  </si>
  <si>
    <t>TERMINAL PREAISLADO A15</t>
  </si>
  <si>
    <t>TERMINAL PREAISLADO A16</t>
  </si>
  <si>
    <t>TERMINAL PREAISLADO A17</t>
  </si>
  <si>
    <t>TERMINAL PREAISLADO A3</t>
  </si>
  <si>
    <t>TERMINAL PREAISLADO A4</t>
  </si>
  <si>
    <t>TERMINAL PREAISLADO A5</t>
  </si>
  <si>
    <t>TERMINAL PREAISLADO B 21</t>
  </si>
  <si>
    <t>TERMINAL PREAISLADO B 22</t>
  </si>
  <si>
    <t>TERMINAL PREAISLADO B10</t>
  </si>
  <si>
    <t>TERMINAL PREAISLADO B18</t>
  </si>
  <si>
    <t>TERMINAL PREAISLADO B19</t>
  </si>
  <si>
    <t>TERMINAL PREAISLADO B4</t>
  </si>
  <si>
    <t>TERMINAL PREAISLADO B5</t>
  </si>
  <si>
    <t>TERMINAL PREAISLADO C13</t>
  </si>
  <si>
    <t>TERMINAL PREAISLADO C15</t>
  </si>
  <si>
    <t>TERMINAL PREAISLADO C16</t>
  </si>
  <si>
    <t>TERMINAL PREAISLADO C4</t>
  </si>
  <si>
    <t>TERMINAL PREAISLADO C5</t>
  </si>
  <si>
    <t>TOMA ACOPLE 2 P + T 16A. SICA (925002/4)</t>
  </si>
  <si>
    <t>TOMA ACOPLE 2 P + T 32A. SICA (925011/6)(935011)</t>
  </si>
  <si>
    <t>TOMA ACOPLE 3 P + N + T 16A. SICA (925203/7)</t>
  </si>
  <si>
    <t>TOMA ACOPLE 3 P + N + T 32A. SICA (925206/8)</t>
  </si>
  <si>
    <t>TOMA ACOPLE 3 P + T 32A. SICA (925113/3)</t>
  </si>
  <si>
    <t>TOMA ACOPLE 3P + T 16A. SICA (925103/4)</t>
  </si>
  <si>
    <t>TOMA EMB. 2 P + T 16A. SICA (926002/5)</t>
  </si>
  <si>
    <t>TOMA EMB. 2 P + T 32A. SICA (926011/7)</t>
  </si>
  <si>
    <t>TOMA EMB. 3 P + N + T 32A. SICA (926206/9)</t>
  </si>
  <si>
    <t>TOMA EMB. 3P + N + T 16A. SICA (926203/8)</t>
  </si>
  <si>
    <t>TOMA EMB. 3P + T 16 A. SICA (926103/5)</t>
  </si>
  <si>
    <t>TOMA EMB. 3P + T 32 A. SICA (926113)</t>
  </si>
  <si>
    <t>TOMA EXT. 2 P + T 16A. SICA (927002/6)</t>
  </si>
  <si>
    <t>TOMA EXT. 3 P + T 32A. SICA (927113/5)</t>
  </si>
  <si>
    <t>TOMA EXT. 3P + N + T 16A. SICA (927203/9)</t>
  </si>
  <si>
    <t>TOMA EXT. 3P + T + N 32 A. SICA (927206)</t>
  </si>
  <si>
    <t>TOMA EXT. 3P + T 16 A. SICA (927103)</t>
  </si>
  <si>
    <t>TRIPLE MULTIFICHA P/CHATO GIRATORIO</t>
  </si>
  <si>
    <t>TRIPLE MULTIFICHA P/REDONDO GIRATORIO</t>
  </si>
  <si>
    <t>TUBO 12 W. LUZ CALIDA T-4</t>
  </si>
  <si>
    <t>TUBO 16 W. T-4 LUZ CALIDA</t>
  </si>
  <si>
    <t>TUBO 18 W. LUZ CALIDA G.E.</t>
  </si>
  <si>
    <t>TUBO 18 W. LUZ CALIDA SICA</t>
  </si>
  <si>
    <t>TUBO 4 W. LUZ NEGRA P/DETECTOR DINERO FALSO</t>
  </si>
  <si>
    <t>TUBO 7 W. 2 PINES</t>
  </si>
  <si>
    <t>TUBO COLONIAL Nº 2 OPAL (Z-15OPL)</t>
  </si>
  <si>
    <t>TUERCA Hª 1"</t>
  </si>
  <si>
    <t>TUERCA Hª 7/8"</t>
  </si>
  <si>
    <t>TULIPA "ROCIO" SATINADA 12.5CM. (Z-40SAT)</t>
  </si>
  <si>
    <t>UNION METALICA 1</t>
  </si>
  <si>
    <t>UNION METALICA 3/4</t>
  </si>
  <si>
    <t>UNION METALICA 5/8</t>
  </si>
  <si>
    <t>UNION METALICA 7/8</t>
  </si>
  <si>
    <t>UNION TELEFONICO HEMBRA - HEMBRA</t>
  </si>
  <si>
    <t>VARIADOR DE VELOCIDAD P/ VENTILADOR TECHO</t>
  </si>
  <si>
    <t>VELADOR CUBIC C/PANT. BCA (150)</t>
  </si>
  <si>
    <t>VIDRIO PLAFON BARI (P-120)</t>
  </si>
  <si>
    <t>VIDRIO REPUESTO P/ PROY. 1000 W.</t>
  </si>
  <si>
    <t>VIDRIO REPUESTO P/ PROY. 1500 W.</t>
  </si>
  <si>
    <t>VIDRIO TULIPA SPOT BC GARRA SATIN. (Z-77SAT)</t>
  </si>
  <si>
    <t>ZOCALO GU 10</t>
  </si>
  <si>
    <t>ZOCALO JUEGO PARA TUBO 105 W</t>
  </si>
  <si>
    <t>ZOCALO SIMPLE FLEXIBLE</t>
  </si>
  <si>
    <t>ZUMBADOR EMBUTIR 10 X 10</t>
  </si>
  <si>
    <t>ZUMBADOR EXTERIOR ( E ) 10 X 10</t>
  </si>
  <si>
    <t>ZUMBADOR EXTERIOR 10 X 10</t>
  </si>
  <si>
    <t>IVA</t>
  </si>
  <si>
    <t>ARANDELA METALICA P/TULIPA S.J.</t>
  </si>
  <si>
    <t>BASE 8 PINS PARA TEMPORIZADOR</t>
  </si>
  <si>
    <t>BASTIDOR C/DOBLE TOMA ESTABILIZADOR INCOR. KALOP</t>
  </si>
  <si>
    <t>BLOCK CONTACTOS AUX. P/BOTON.  GE  1NA (187002)</t>
  </si>
  <si>
    <t>BLOCK CONTACTOS AUX. P/BOTON.  GE  1NC (187001)</t>
  </si>
  <si>
    <t>BLOQUE PORTALAMPARA ALIMENT. DIRECTA S/ LAMP. (187</t>
  </si>
  <si>
    <t>BORNE PASO R32/35 1X 10 MM GRIS</t>
  </si>
  <si>
    <t>BORNE PASO R32/35 1X 16 MM GRIS</t>
  </si>
  <si>
    <t>BORNE PASO R32/35 1X 2,5MM GRIS</t>
  </si>
  <si>
    <t>BORNE PASO R32/35 1X 35 MM GRIS</t>
  </si>
  <si>
    <t>BORNE PASO R32/35 1X 4 MM GRIS</t>
  </si>
  <si>
    <t>BORNE PASO R32/35 1X 6 MM GRIS</t>
  </si>
  <si>
    <t>BORNE PUESTA A TIERRA P/CONDUCTOR 10MM V Y A</t>
  </si>
  <si>
    <t>BORNE PUESTA A TIERRA P/CONDUCTOR 16MM V Y A</t>
  </si>
  <si>
    <t>BORNE PUESTA A TIERRA P/CONDUCTOR 35 MM V Y A</t>
  </si>
  <si>
    <t>BORNE PUESTA A TIERRA P/CONDUCTOR 4MM V Y A</t>
  </si>
  <si>
    <t>BORNE PUESTA A TIERRA P/CONDUCTOR 6MM V Y A</t>
  </si>
  <si>
    <t>CAJA MEDIDOR TRIFASICA POLICARBONATO GEN ROD</t>
  </si>
  <si>
    <t>CAJA METALICA EMBUTIR P/64 BOCAS CON PUERTA</t>
  </si>
  <si>
    <t>CAJA METALICA EMBUTIR P/80 BOCAS CON PUERTA</t>
  </si>
  <si>
    <t>CAJA TM 2 BOCAS C/TAPA EXT. GRIS KALOP</t>
  </si>
  <si>
    <t>CARGADOR USB ENCHUFABLE P/CHATO NEGRO</t>
  </si>
  <si>
    <t>CARTUCHO FUSIBLE 10x38MM  10A gL 400V</t>
  </si>
  <si>
    <t>CARTUCHO FUSIBLE 10x38MM  6A gL 400V</t>
  </si>
  <si>
    <t>CARTUCHO FUSIBLE 8x31MM  10A gL 400V</t>
  </si>
  <si>
    <t>CARTUCHO FUSIBLE 8x31MM  16A gL 400V</t>
  </si>
  <si>
    <t>CARTUCHO FUSIBLE 8x31MM  1A gL 400V</t>
  </si>
  <si>
    <t>CARTUCHO FUSIBLE 8x31MM  20A gL 400V</t>
  </si>
  <si>
    <t>CARTUCHO FUSIBLE 8x31MM  2A gL 400V</t>
  </si>
  <si>
    <t>CARTUCHO FUSIBLE 8x31MM  4A gL 400V</t>
  </si>
  <si>
    <t>CARTUCHO FUSIBLE 8x31MM  6A gL 400V</t>
  </si>
  <si>
    <t>COLGANTE SEVILLA 3XE27 (C-308ACE)</t>
  </si>
  <si>
    <t>COLGANTE TRAPANI 2 LUCES GRIS (C-265GRI/T)</t>
  </si>
  <si>
    <t>COLGANTE TRAPANI 3 LUCES BLANCO (C-365B/T)</t>
  </si>
  <si>
    <t>COLGANTE TRAPANI 3 LUCES GRIS (C-365GRI/T)</t>
  </si>
  <si>
    <t>CONTACTOR MODULAR 2P 20A 230V 2NA G.E. (666131)</t>
  </si>
  <si>
    <t>CONTACTOR MODULAR 2P 24A 230V CA-CC 4NA G.E. (6661</t>
  </si>
  <si>
    <t>CONTACTOR MODULAR 4P 40A 230V CA-CC 4NA G.E. (6661</t>
  </si>
  <si>
    <t>CONTACTOR TRIP. 11KW 25A 220V G.E. CL25 (110733)</t>
  </si>
  <si>
    <t>CONTACTOR TRIP. 11KW 25A 380V G.E. CL25 (110805)</t>
  </si>
  <si>
    <t>CONTACTOR TRIP. 16KW 32A 1NA 220V G.E. CL04 (10946</t>
  </si>
  <si>
    <t>CONTACTOR TRIP. 16KW 32A 1NA 380V G.E. CL04 (10417</t>
  </si>
  <si>
    <t>CONTACTOR TRIP. 18.5KW 40A 1NA+1NC 220V G.E. CL45</t>
  </si>
  <si>
    <t>CONTACTOR TRIP. 18.5KW 40A 1NA+1NC 380V G.E. CL45</t>
  </si>
  <si>
    <t>CONTACTOR TRIP. 22KW 50A 1NA+1NC 220V G.E. CL06 (1</t>
  </si>
  <si>
    <t>CONTACTOR TRIP. 30KW 65A 1NA+1NC 24V G.E. CL07 (10</t>
  </si>
  <si>
    <t>CONTACTOR TRIP. 30KW 65A 1NA+1NC 380V G.E. CL07 (1</t>
  </si>
  <si>
    <t>CONTACTOR TRIP. 4KW 9A 1NA 110V G.E. CL00 (109175)</t>
  </si>
  <si>
    <t>CONTACTOR TRIP. 4KW 9A 1NA 220V G.E. CL00 (104054-</t>
  </si>
  <si>
    <t>CONTACTOR TRIP. 4KW 9A 1NA 24V G.E. CL00 (109173)</t>
  </si>
  <si>
    <t>CONTACTOR TRIP. 4KW 9A 1NA 380V G.E. CL00 (104055)</t>
  </si>
  <si>
    <t>CONTACTOR TRIP. 5.5KW 12A 1NA 110V G.E. CL01 (1092</t>
  </si>
  <si>
    <t>CONTACTOR TRIP. 5.5KW 12A 1NA 220V G.E. CL01 (1040</t>
  </si>
  <si>
    <t>CONTACTOR TRIP. 5.5KW 12A 1NA 24V G.E. CL01 (10924</t>
  </si>
  <si>
    <t>CONTACTOR TRIP. 5.5KW 12A 1NA 380V G.E. CL01 (1092</t>
  </si>
  <si>
    <t>CONTACTOR TRIP. 7.5KW 18A 1NA 110V G.E. CL02 (1093</t>
  </si>
  <si>
    <t>CONTACTOR TRIP. 7.5KW 18A 1NA 24V G.E. CL02 (10931</t>
  </si>
  <si>
    <t>CONTACTOR TRIP. 7.5KW 18A 1NA 380V G.E. CL02 (1041</t>
  </si>
  <si>
    <t>COOLER RULEMAN 150X150X51 220V</t>
  </si>
  <si>
    <t>CURVA ART 100 MM. ALA 50 (3 ESL) ESP. 0.7 ELECE</t>
  </si>
  <si>
    <t>CURVA ART 150 MM. ALA 50 (3 ESL) ESP. 0.7 ELECE</t>
  </si>
  <si>
    <t>CURVA ART 200 MM. ALA 50 (3 ESL) ESP. 0.7 ELECE</t>
  </si>
  <si>
    <t>CURVA ART 300 MM. ALA 50 (3 ESL) ESP. 0.7 ELECE</t>
  </si>
  <si>
    <t>CURVA ART 50 MM. ALA 50 (3 ESL) ESP. 0.7 ELECE</t>
  </si>
  <si>
    <t>CURVA PLANA 45° 100 MM. ALA 50 ESP. 0.7 ELECE</t>
  </si>
  <si>
    <t>CURVA PLANA 45° 150 MM. ALA 50 ESP. 0.7 ELECE</t>
  </si>
  <si>
    <t>CURVA PLANA 45° 200 MM. ALA 50 ESP. 0.7 ELECE</t>
  </si>
  <si>
    <t>CURVA PLANA 45° 300 MM. ALA 50 ESP. 0.7 ELECE</t>
  </si>
  <si>
    <t>CURVA PLANA 45° 50 MM. ALA 50 ESP. 0.7 ELECE</t>
  </si>
  <si>
    <t>CURVA PLANA 90° 100 MM. ESP. 0.7 ELECE</t>
  </si>
  <si>
    <t>CURVA PLANA 90° 150 MM. ESP. 0.7 ELECE</t>
  </si>
  <si>
    <t>CURVA PLANA 90° 200 MM. ESP. 0.7 ELECE</t>
  </si>
  <si>
    <t>CURVA PLANA 90° 300 MM. ESP. 0.7 ELECE</t>
  </si>
  <si>
    <t>CURVA PLANA 90° 50 MM. ESP. 0.7 ELECE</t>
  </si>
  <si>
    <t>DETECTOR DE MONOXIDO DE CARBONO 4.5V SICA</t>
  </si>
  <si>
    <t>EXTERIOR 1 PUNTO TAAD</t>
  </si>
  <si>
    <t>EXTERIOR 2 PUNTOS TAAD</t>
  </si>
  <si>
    <t>EXTERIOR 2 TOMAS C/ NEUTRO TAAD</t>
  </si>
  <si>
    <t>EXTERIOR BASE MODULAR 20A. KALOP</t>
  </si>
  <si>
    <t>EXTERIOR INTERRUPTOR COMBINACION TAAD</t>
  </si>
  <si>
    <t>EXTERIOR PULSADOR TAAD</t>
  </si>
  <si>
    <t>EXTERIOR PUNTO Y TOMA C/ NEUTRO TAAD</t>
  </si>
  <si>
    <t>EXTERIOR TEKNA 1 COMBINACION KALOP</t>
  </si>
  <si>
    <t>EXTERIOR TEKNA 1 COMPUTACION KALOP</t>
  </si>
  <si>
    <t>EXTERIOR TEKNA 1 PULSADOR KALOP**</t>
  </si>
  <si>
    <t>EXTERIOR TEKNA 1 PUNTO KALOP</t>
  </si>
  <si>
    <t>EXTERIOR TEKNA 1 TOMA KALOP</t>
  </si>
  <si>
    <t>EXTERIOR TEKNA 2 PUNTOS KALOP</t>
  </si>
  <si>
    <t>EXTERIOR TEKNA 2 TOMAS KALOP</t>
  </si>
  <si>
    <t>EXTERIOR TEKNA PIN FINO KALOP</t>
  </si>
  <si>
    <t>EXTERIOR TEKNA PUNTO Y TOMA KALOP</t>
  </si>
  <si>
    <t>EXTERIOR TEKNA TELEFONICA KALOP</t>
  </si>
  <si>
    <t>EXTERIOR TOMA C/ NEUTRO COMB. TAAD</t>
  </si>
  <si>
    <t>FRENTE DE CALLE DE 10 TELEFONOS COMMAX</t>
  </si>
  <si>
    <t>FRENTE EXPANDER 10 PULS. LARGO COMMAX</t>
  </si>
  <si>
    <t>GABINETE BEIGE P/36 MOD. EXT. C/TAPA BOX</t>
  </si>
  <si>
    <t>GABINETE C/CONTRAF. CALADO P/36 BOCAS (300X450X160</t>
  </si>
  <si>
    <t>GANCHO ALUMINIO SUSPENSION/ PANTALLA 3/8 S.J.</t>
  </si>
  <si>
    <t>GANCHO ALUMINIO SUSPENSION/ PANTALLA 5/8 S.J.</t>
  </si>
  <si>
    <t>GANCHO JOTA 10 CM. 1/4- SJ.</t>
  </si>
  <si>
    <t>GANCHO JOTA 5 CM. 1/4- SJ.</t>
  </si>
  <si>
    <t>GUARDAMOTOR G.E. 10-16A 16A ROTATIVO 25kA (101227)</t>
  </si>
  <si>
    <t>GUARDAMOTOR G.E. 11-16A 16A 7,5KW 25kA (101222)</t>
  </si>
  <si>
    <t>GUARDAMOTOR G.E. 14-20A  20A 10KW 25kA (101223)</t>
  </si>
  <si>
    <t>GUARDAMOTOR G.E. 19-25A  25A 11KW 25kA (101224)</t>
  </si>
  <si>
    <t>GUARDAMOTOR G.E. 24-32A  32A 15KW 25kA (101225)</t>
  </si>
  <si>
    <t>GUARDAMOTOR G.E. 28-40A  40A 18,5KW 25kA (101231)</t>
  </si>
  <si>
    <t>GUARDAMOTOR G.E. 4-6,3A 6,3A 2,2KV (101219)</t>
  </si>
  <si>
    <t>GUARDAMOTOR G.E. 6.3-10A  10A 3/4KW 25kA (101220)</t>
  </si>
  <si>
    <t>GUARDAMOTOR G.E. 9-13A 13A 5.5KW 50kA (101221)</t>
  </si>
  <si>
    <t>KIT DE SUJECION  PARA LUMINARIA A LED- LGP</t>
  </si>
  <si>
    <t>LAMPARA CLASICA LED  9W CAMBIA TEMP. COLOR C/TECLA</t>
  </si>
  <si>
    <t>LAMPARA LED ANTI INSECTOS  9W (AMARILLA) BAW</t>
  </si>
  <si>
    <t>LAMPARA PARA ALUMBRADO PUBLICO TUBULAR LED 36W E-4</t>
  </si>
  <si>
    <t>LAMPARA PARA ALUMBRADO PUBLICOA 45W E-40 L.F. AKAI</t>
  </si>
  <si>
    <t>LLAVE EMBUTIR MODULO USB LIFE</t>
  </si>
  <si>
    <t>MINI RELE 4 INV. C/LED 12V</t>
  </si>
  <si>
    <t>MINICONTACTOR TRIP. 6A 220V 1NA G.E. 2.2KW (102442</t>
  </si>
  <si>
    <t>MINICONTACTOR TRIP. 9A 220V 1NA 4KW BAW.</t>
  </si>
  <si>
    <t>MINICONTACTOR TRIP. 9A 220V 1NA G.E. 4KW (102622)</t>
  </si>
  <si>
    <t>MINICONTACTOR TRIP. 9A 24V 1NA 4KW BAW.</t>
  </si>
  <si>
    <t>MINICONTACTOR TRIP. 9A 24V 1NA 4KW G.E. (102617)</t>
  </si>
  <si>
    <t>MODULO COMBINACION BLANCO JELUZ**</t>
  </si>
  <si>
    <t>MODULO COMBINACION BLANCO KALOP**</t>
  </si>
  <si>
    <t>MODULO COMBINACION GRIS JELUZ</t>
  </si>
  <si>
    <t>MODULO COMBINACION MARFIL JELUZ</t>
  </si>
  <si>
    <t>MODULO COMBINACION MARFIL KALOP**</t>
  </si>
  <si>
    <t>MODULO COMBINACION NEGRO KALOP**</t>
  </si>
  <si>
    <t>MODULO COMBINACION NEGRO PLATINUM JELUZ</t>
  </si>
  <si>
    <t>MODULO MEDIO COMBINACION GRIS TECLASTAR **</t>
  </si>
  <si>
    <t>MODULO MEDIO PUNTO BLANCO TECLASTAR**</t>
  </si>
  <si>
    <t>MODULO MEDIO PUNTO GRIS TECLASTAR**</t>
  </si>
  <si>
    <t>MODULO PULSADOR BLANCO KALOP (KL40130)</t>
  </si>
  <si>
    <t>MODULO PULSADOR BLANCO PLATINUM JELUZ</t>
  </si>
  <si>
    <t>MODULO PULSADOR MARFIL KALOP**</t>
  </si>
  <si>
    <t>MODULO PULSADOR NEGRO KALOP**</t>
  </si>
  <si>
    <t>MODULO PULSADOR NEGRO PLATINUM JELUZ</t>
  </si>
  <si>
    <t>MODULO PUNTO BLANCO JELUZ**</t>
  </si>
  <si>
    <t>MODULO PUNTO BLANCO KALOP**</t>
  </si>
  <si>
    <t>MODULO PUNTO BLANCO PLATINUM JELUZ**</t>
  </si>
  <si>
    <t>MODULO PUNTO MARFIL JELUZ</t>
  </si>
  <si>
    <t>MODULO PUNTO MARFIL KALOP**</t>
  </si>
  <si>
    <t>MODULO PUNTO NEGRO KALOP**</t>
  </si>
  <si>
    <t>MODULO TAPON CIEGO BLANCO PLATINUM JELUZ</t>
  </si>
  <si>
    <t>MODULO TAPON CIEGO NEGRO PLATINUM JELUZ</t>
  </si>
  <si>
    <t>MODULO TOMA 20 A. BLANCO JELUZ</t>
  </si>
  <si>
    <t>MODULO TOMA 20 A. BLANCO KALOP</t>
  </si>
  <si>
    <t>MODULO TOMA 20 A. BLANCO PLATINUM JELUZ</t>
  </si>
  <si>
    <t>MODULO TOMA 20 A. GRIS JELUZ</t>
  </si>
  <si>
    <t>MODULO TOMA 20 A. MARFIL JELUZ</t>
  </si>
  <si>
    <t>MODULO TOMA 20 A. NEGRO KALOP</t>
  </si>
  <si>
    <t>MODULO TOMA 20 A. NEGRO PLATINUM JELUZ</t>
  </si>
  <si>
    <t>MODULO TOMA C/ NEUTRO BLANCO JELUZ</t>
  </si>
  <si>
    <t>MODULO TOMA C/ NEUTRO GRIS JELUZ</t>
  </si>
  <si>
    <t>MODULO TOMA C/ NEUTRO MARFIL JELUZ</t>
  </si>
  <si>
    <t>NIPLE 1/4 ELECE.</t>
  </si>
  <si>
    <t>NIPLE 3/8 ELECE</t>
  </si>
  <si>
    <t>NIPLE 5/16 ELECE</t>
  </si>
  <si>
    <t>PANTALLA PARA H. POWER 60W BAW</t>
  </si>
  <si>
    <t>PANTALLA PARA H. POWER 80W BAW</t>
  </si>
  <si>
    <t>PILOTO LUMINOSO DIN 230 V AC/DC ROJO G.E. (661692)</t>
  </si>
  <si>
    <t>PLACA BASTIDOR 100 X 50 P/CABLE CANAL</t>
  </si>
  <si>
    <t>PROLONGADOR TOP 4 BOCAS C/BORNERA S/CABLE</t>
  </si>
  <si>
    <t>PROTECTOR DE TENSION 2P. 40A</t>
  </si>
  <si>
    <t>PULSADOR D22 BOTON NEGRO RAS G.E</t>
  </si>
  <si>
    <t>PULSADOR D22 BOTON ROJO RAS G.E</t>
  </si>
  <si>
    <t>PULSADOR D22 BOTON VERDE RAS G.E</t>
  </si>
  <si>
    <t>PULSADOR EMERGENCIA LUMINOSO ROJO 40MM G.E. (18455</t>
  </si>
  <si>
    <t>PUNTERA HUECA DOBLE 1,5 MM (NEGRO) LCT</t>
  </si>
  <si>
    <t>PUNTERA HUECA DOBLE 10 MM (MARRON) LCT</t>
  </si>
  <si>
    <t>PUNTERA HUECA DOBLE 16 MM (BLANCO) LCT</t>
  </si>
  <si>
    <t>PUNTERA HUECA DOBLE 2,5 MM (GRIS) LCT</t>
  </si>
  <si>
    <t>PUNTERA HUECA DOBLE 4 MM (NARANJA) LCT</t>
  </si>
  <si>
    <t>PUNTERA HUECA DOBLE 6 MM (VERDE) LCT</t>
  </si>
  <si>
    <t>RELE DE PROTECCION MAX Y MIN TENSION TRIF. G.E. (1</t>
  </si>
  <si>
    <t>RELE TERMICO 23-32A (A25-A32) BAW</t>
  </si>
  <si>
    <t>SECCIONADOR B/C TAMAÑO 1 250 A. TETRAPOLAR SICA**</t>
  </si>
  <si>
    <t>SECCIONADOR B/C TAMAÑO 1 250 A. TRIPOLAR SICA**</t>
  </si>
  <si>
    <t>SELECTORA 3P D22 NEGRO S/M LARG FIJO 0-1-2 (184379</t>
  </si>
  <si>
    <t>TAPA BASTIDOR CRISTAL 5 X 10 PLATA JELUZ</t>
  </si>
  <si>
    <t>TEMPORIZADOR 220V PARA BASE DE 8 PINS</t>
  </si>
  <si>
    <t>TEMPORIZADOR AUTOMATICO ESCALERA O PASILLO P/DIN 1</t>
  </si>
  <si>
    <t>TERMINAL BIMETALICO 50 MM LCT</t>
  </si>
  <si>
    <t>TERMINAL BIMETALICO 70 MM LCT</t>
  </si>
  <si>
    <t>TERMINAL BIMETALICO 95 MM LCT</t>
  </si>
  <si>
    <t>TERMINAL ROSCADO (AMARILLO) LCT</t>
  </si>
  <si>
    <t>TERMINAL ROSCADO (AZUL) LCT</t>
  </si>
  <si>
    <t>TERMINAL ROSCADO (GRIS) LCT</t>
  </si>
  <si>
    <t>TERMINAL ROSCADO (NARANJA) LCT</t>
  </si>
  <si>
    <t>TIJERA CORTA CAÑO GEN-ROD</t>
  </si>
  <si>
    <t>TRAPECIO DE SUSPENSION 100MM (ZINGRIP) ELECE</t>
  </si>
  <si>
    <t>TRAPECIO DE SUSPENSION 150MM (ZINGRIP) ELECE</t>
  </si>
  <si>
    <t>TRAPECIO DE SUSPENSION 200MM (ZINGRIP) ELECE</t>
  </si>
  <si>
    <t>TRAPECIO DE SUSPENSION 250MM (ZINGRIP) ELECE</t>
  </si>
  <si>
    <t>TRAPECIO DE SUSPENSION 300MM (CINCADO) ELECE</t>
  </si>
  <si>
    <t>TRAPECIO DE SUSPENSION 50MM (ZINGRIP) ELECE</t>
  </si>
  <si>
    <t>TRAPECIO DOBLE VARILLA 100 MM. ELECE</t>
  </si>
  <si>
    <t>TRAPECIO DOBLE VARILLA 150MM ELECE.</t>
  </si>
  <si>
    <t>TRAPECIO DOBLE VARILLA 200 MM. ELECE</t>
  </si>
  <si>
    <t>TRAPECIO DOBLE VARILLA 300 MM. ELECE</t>
  </si>
  <si>
    <t>UNION CRUZ 100 MM. ALA 50 ESP. 0.7 ELECE</t>
  </si>
  <si>
    <t>UNION CRUZ 150 MM. ALA 50 ESP. 0.7 ELECE</t>
  </si>
  <si>
    <t>UNION CRUZ 200 MM. ALA 50 ESP. 0.7 ELECE</t>
  </si>
  <si>
    <t>UNION CRUZ 300 MM. ALA 50 ESP. 0.7 ELECE</t>
  </si>
  <si>
    <t>UNION CRUZ 50 MM. ALA 50 ESP. 0.7 ELECE</t>
  </si>
  <si>
    <t>UNION TEE 100 MM. ALA 50 ESP. 0.7 ELECE</t>
  </si>
  <si>
    <t>UNION TEE 150 MM. ALA 50 ESP. 0.7 ELECE</t>
  </si>
  <si>
    <t>UNION TEE 200 MM. ALA 50 ESP. 0.7 ELECE</t>
  </si>
  <si>
    <t>UNION TEE 300 MM. ALA 50 ESP. 0.7 ELECE</t>
  </si>
  <si>
    <t>UNION TEE 50 MM. ALA 50 ESP. 0.7 ELECE</t>
  </si>
  <si>
    <t>VARILLA ROSCADA 1/4 ELECE</t>
  </si>
  <si>
    <t>VARILLA ROSCADA 3/8 ELECE</t>
  </si>
  <si>
    <t>VARILLA ROSCADA 5/16 ELECE</t>
  </si>
  <si>
    <t>ACRI 1L. C/ BASE RED. E27 BLANCO S.L</t>
  </si>
  <si>
    <t>GABINETE C/CONTRAF. CALADO P/12 BOCAS (300x200x120</t>
  </si>
  <si>
    <t>GABINETE C/CONTRAF. CALADO P/48 BOCAS (400X400X120</t>
  </si>
  <si>
    <t>TAPA BASTIDOR CRISTAL 5 X 10 NEGRA C/RIBETE NEGRO JELUZ</t>
  </si>
  <si>
    <t>TAPA BASTIDOR CRISTAL 5 X 10 NEGRA C/RIBETE PLATA JELUZ</t>
  </si>
  <si>
    <t>TAPA P/BORNE D-BPN-2,5/04/06/10 ZOLODA</t>
  </si>
  <si>
    <t xml:space="preserve">PRECIO Mas IVA </t>
  </si>
  <si>
    <t>CONECTOR A COMPRESIÓN RG6 DIRECT TV</t>
  </si>
  <si>
    <t>BATERIA ENERGIZER 9V. 522</t>
  </si>
  <si>
    <t>CARBONILLA PUESTA A TIERRA</t>
  </si>
  <si>
    <t>KIT X 200 TORNILLOS PARA TAPA CIEGA GEN- ROD</t>
  </si>
  <si>
    <t>MODULO COMBINACION BLANCO PLATINUM JELUZ**</t>
  </si>
  <si>
    <t>MODULO PUNTO NEGRO PLATINUM JELUZ**</t>
  </si>
  <si>
    <t>PULSADOR ARRANQUE PARADA ROJO VERDE RASANTE SIN AUX. G.E.</t>
  </si>
  <si>
    <t>PULSADOR EMERGENCIA TRACCION ROJO 1NC BAW</t>
  </si>
  <si>
    <t>SELECTORA METALICA 2 POS. C/CERRAD. MANUAL EXTRACCION TODAS POS.</t>
  </si>
  <si>
    <t>SELECTORA METALICA 2 POS. M. LARGA AUTOMATICA BAW</t>
  </si>
  <si>
    <t>SELECTORA METALICA 3 POS. C/CERRAD. MANUAL EXTRACCION TODAS POS.</t>
  </si>
  <si>
    <t>SPOT FIJO CUADRADO DICRO BLANCO(3318B) S.L</t>
  </si>
  <si>
    <t>ABRAZADERA DE HIERRO MEDIA OMEGA CHICA 1/2"</t>
  </si>
  <si>
    <t>ABRAZADERA DE HIERRO MEDIA OMEGA CHICA 1/4"</t>
  </si>
  <si>
    <t>ABRAZADERA DE HIERRO MEDIA OMEGA CHICA 3/8"</t>
  </si>
  <si>
    <t>ABRAZADERA DE HIERRO MEDIA OMEGA CHICA 5/16"</t>
  </si>
  <si>
    <t>ADHESIVO SELLADOR GEN-ROD 100 ML</t>
  </si>
  <si>
    <t>ALARMA CON SENSOR DE MOVIMIENTO</t>
  </si>
  <si>
    <t>BORDEADORA 600 W. RULEMAN-RULEMAN</t>
  </si>
  <si>
    <t>CAJA PASE METALICA 10 X 10 X 10</t>
  </si>
  <si>
    <t>CAJA PASE METALICA 10 X 10 X 8</t>
  </si>
  <si>
    <t>CAJA PASE METALICA 12 X 12 X 8</t>
  </si>
  <si>
    <t>CAJA PASE METALICA 15 X 15 X 10</t>
  </si>
  <si>
    <t>CAJA PASE METALICA 15 X 15 X 8</t>
  </si>
  <si>
    <t>CAJA PASE METALICA 20 X 20 X 10</t>
  </si>
  <si>
    <t>CAJA PASE METALICA 20 X 20 X 8</t>
  </si>
  <si>
    <t>CAJA PASE METALICA 25 X 25 X 10</t>
  </si>
  <si>
    <t>CAJA PASE METALICA 25 X 25 X 8</t>
  </si>
  <si>
    <t>CINTA PASACABLE PVC HOBBISTA 20 MTS KALOP</t>
  </si>
  <si>
    <t>CINTA REFRIGERACION C/ADH 70X20X0 BLANCO</t>
  </si>
  <si>
    <t>COLGANTE ANODIZ S/LENTE SPOTLINE</t>
  </si>
  <si>
    <t>CONTACTOR TRIP. 37KW 80A 1NA+1NC 110V G.E. CL08</t>
  </si>
  <si>
    <t>CONTACTOR TRIP. 37KW 80A 1NA+1NC 220V G.E. CL08 (1</t>
  </si>
  <si>
    <t>CURVA METALICA LIVIANA 1</t>
  </si>
  <si>
    <t>GABINETE C/CONTRAF. CALADO P/108 BOCAS (600x750x160)</t>
  </si>
  <si>
    <t>GABINETE C/CONTRAF. CALADO P/24 BOCAS (300x300x160)</t>
  </si>
  <si>
    <t>GABINETE ESTANCO 300 X 400 X 210</t>
  </si>
  <si>
    <t>GABINETE ESTANCO 300 X 400 X 260</t>
  </si>
  <si>
    <t>GABINETE ESTANCO 450 X 750 X 260</t>
  </si>
  <si>
    <t>INTERRUPTOR A LEVA 15A ON-OFF</t>
  </si>
  <si>
    <t>INTERRUPTOR A LEVA 30A ON-OFF</t>
  </si>
  <si>
    <t>INTERRUPTOR A LEVA 63 A ON-OFF</t>
  </si>
  <si>
    <t>INTERRUPTOR PERSIANA 10A ON-OFF-ON ANTRACITA JELUZ**</t>
  </si>
  <si>
    <t>INTERRUPTOR PERSIANA 10A ON-OFF-ON BLANCO JELUZ**</t>
  </si>
  <si>
    <t>MODULO VARIADOR DE INTENS. LUMINOSA APTO LED  BLANCO KALOP**</t>
  </si>
  <si>
    <t>PANTALLA  P/ H. POWER 100W / 120W AKAI</t>
  </si>
  <si>
    <t>PANTALLA DE POLICARBONATO E-40 420 MM CABRERA</t>
  </si>
  <si>
    <t>PROYECTOR FAX LED ESTADIO 350W 60°</t>
  </si>
  <si>
    <t>PULSADOR EMERGENCIA RETENC. C/GIRO ROJO 1NC BAW</t>
  </si>
  <si>
    <t>PULSADOR PERSIANA 10A ON-OFF-ON ANTRACITA JELUZ**</t>
  </si>
  <si>
    <t>PULSADOR PERSIANA 10A ON-OFF-ON BLANCO JELUZ**</t>
  </si>
  <si>
    <t>RECEPTACULO CURVO PLASTICO BLANCO S.J</t>
  </si>
  <si>
    <t>RECEPTACULO CURVO PLASTICO NEGRO S.J</t>
  </si>
  <si>
    <t>SELECTORA METALICA 2 POS. C/ CERRAD. MANUAL</t>
  </si>
  <si>
    <t>SEPARADOR BORNE 64x52 MM. ESPESOR 2 MM. ZOLODA SE1</t>
  </si>
  <si>
    <t>TAPA  VERONA BO. BLANCA 5 X 10 CM JELUZ</t>
  </si>
  <si>
    <t>TAPA CIEGA CUADRADA 10x10 CABRERA</t>
  </si>
  <si>
    <t>TAPA CIEGA OCTOGONAL CHICA CABRERA</t>
  </si>
  <si>
    <t>TAPA METALICA CUADRADA 10 X 10</t>
  </si>
  <si>
    <t>TAPA PVC RECTANGULAR MIG</t>
  </si>
  <si>
    <t>TERMO BLACK STONE DINAM. 1L CON PICO VERTEDOR   KOVEA</t>
  </si>
  <si>
    <t>TOPE BORNERA P/RIEL 35MM  ZOLODA (EKN1)</t>
  </si>
  <si>
    <t>TRANSFORMADOR 220V. 24V. 100VA.</t>
  </si>
  <si>
    <t>TRANSFORMADOR 220V. 24V. 50 VA.</t>
  </si>
  <si>
    <t>TRANSFORMADOR 220V. 24V. 75 VA.</t>
  </si>
  <si>
    <t>VENTILADOR DE TECHO MADERA BRONCE 4 PALAS 1.25M</t>
  </si>
  <si>
    <t>VENTILADOR DE TECHO METAL BLANCO 4 PALAS 1.20M</t>
  </si>
  <si>
    <t>ZOCALO G9</t>
  </si>
  <si>
    <t>ZOCALO P/ MINI RELE AUX. 4CO.  MONTAJE DIN O PANEL IP20</t>
  </si>
  <si>
    <t>ZOCALO SIMPLE PARA TUBO LED</t>
  </si>
  <si>
    <t>GABINETE P/9 MONOFÁSICO S/TM S/ID GENROD</t>
  </si>
  <si>
    <t>CURVA ALUMINIO AISLADA P/BAJADA  Monof. 2" DESIM.</t>
  </si>
  <si>
    <t>CURVA ALUMINIO AISLADA P/BAJADA  Trifas. 2 1/2" DESIM.</t>
  </si>
  <si>
    <t>MEDIDOR MONOFASICO DIGITAL RIEL DIN C/RESET PARCIAL BAW. **</t>
  </si>
  <si>
    <t>PERISCOPIO CAJA PISO CHAPA P/2 BASTIDORES</t>
  </si>
  <si>
    <t>PERISCOPIO CAJA PISO CHAPA P/4 BASTIDORES</t>
  </si>
  <si>
    <t>PERISCOPIO CAJA PISO PVC P/2 BASTIDORES</t>
  </si>
  <si>
    <t>PROLONGADOR NECCO 4 BOCAS C/LLAVE-C/CABLE 1.5 MTS.</t>
  </si>
  <si>
    <t>PROLONGADOR NECCO 4 BOCAS C/LLAVE-C/CABLE 5 MTS.</t>
  </si>
  <si>
    <t>SOPLETE MULTI PROPOSITO CARTUCHO GAS C/ENC. ELEC. BROGAS</t>
  </si>
  <si>
    <t>CAÑO BAJADA PILAR DOBLE ASILADO Monof. 2¨x 3,20 MTS. G.C.</t>
  </si>
  <si>
    <t>CONTACTOR TRIP. 30KW 65A 1NA+1NC 220V G.E. CL07 (109633)</t>
  </si>
  <si>
    <t>CONTACTOR TRIP. 45KW 95A 1NA+1NC 220V G.E. CL09 (109729)</t>
  </si>
  <si>
    <t>CONTACTOR TRIP. 55KW 105A 1NA+1NC 220V G.E. CL10 (109777)</t>
  </si>
  <si>
    <t>MORSETO PKD 20 PINZA DE ANCLAR DOMIC. P/AEREA LCT</t>
  </si>
  <si>
    <t>PLAFON BALI 38 LED 23W 3000K DIMER. NEGRO/ORO CAN.</t>
  </si>
  <si>
    <t>CONTACTOR TRIP. 11KW 25A 24V G.E. CL25 (110728)</t>
  </si>
  <si>
    <t>MODULO TOMA TELEF. AMERIC. RJ11. 4 VIAS BLANCO PLATINUM</t>
  </si>
  <si>
    <t>MODULO TOMA TELEF. AMERIC. RJ11. 4 VIAS NEGRO PLATINUM</t>
  </si>
  <si>
    <t>CURVA GALVANIZADA S/ROSCA 1"</t>
  </si>
  <si>
    <t>CURVA GALVANIZADA S/ROSCA 7/8"</t>
  </si>
  <si>
    <t>GRAMPA CHAVETA 1"</t>
  </si>
  <si>
    <t>GRAMPA CHAVETA 3/4"</t>
  </si>
  <si>
    <t>GRAMPA CHAVETA 7/8"</t>
  </si>
  <si>
    <t>MANGUITO EMPALME DE COBRE EST. 2,5 MM. E025</t>
  </si>
  <si>
    <t>MARCO STD. PLATA METALIZADO CUADRA TECLASTAR.</t>
  </si>
  <si>
    <t>MINI LISTON 16 W. T-4 LUZ DIA BAJO MESADA</t>
  </si>
  <si>
    <t>MORSA DE SUSPENSION C/FUSIBLE PKS10-CF</t>
  </si>
  <si>
    <t>UNION EMPALME 1" ALUMINIIO</t>
  </si>
  <si>
    <t>UNION EMPALME 3/4" ALUMINIIO</t>
  </si>
  <si>
    <t>UNION EMPALME 7/8" ALUMINIIO</t>
  </si>
  <si>
    <t>APLIQUE DE CAÑO "ROCIO" 2 LUCES S/TULIPA (AP-235BLA)</t>
  </si>
  <si>
    <t>CABEZAL CONO AR-111 ACERO (102-BÑOAC/G) ECLIPSE</t>
  </si>
  <si>
    <t>CABEZAL CONO AR-111 NEGRO (102-PINTN/G) ECLIPSE</t>
  </si>
  <si>
    <t>COLGANTE BASE REDONDA 2 L. COBRE (LV6645-54) S.J.</t>
  </si>
  <si>
    <t>COLGANTE FLORALIS BLANCO TEX. (C-104B/T)</t>
  </si>
  <si>
    <t>COLGANTE FLORALIS ROJO (C-104ROJ)</t>
  </si>
  <si>
    <t>FAROLA GARDEN HIERRO 30 CM (FJ-100/30/NT)</t>
  </si>
  <si>
    <t>FAROLA GARDEN HIERRO 60 CM (FJ-100/60/NT)</t>
  </si>
  <si>
    <t>GRAMPA SUJETA CABLE N° 8 COAXIL KALOP</t>
  </si>
  <si>
    <t>GRAMPA SUJETA CABLE Nº 10 TACSA</t>
  </si>
  <si>
    <t>GRAMPA SUJETA CABLE Nº 16 KALOP</t>
  </si>
  <si>
    <t>GRAMPA SUJETA CABLE Nº 8 TACSA</t>
  </si>
  <si>
    <t>SPOT MOVIL 11 CM ACERO (G6125-13) S.J.</t>
  </si>
  <si>
    <t>SPOT MOVIL 11 CM BLANCO (G6120-01) S.J.</t>
  </si>
  <si>
    <t>VENTILADOR DE TECHO PLATIL WENGUE 4 PALAS MADERA 1.25M</t>
  </si>
  <si>
    <t>PROTECTOR RED TRIFASICA DIRECTA 63A DIN BAW</t>
  </si>
  <si>
    <t>VENTILADOR DE TECHO CON LUZ DC 42" PEABODY</t>
  </si>
  <si>
    <t>MENSULA SUSP. CHICA PKS-31</t>
  </si>
  <si>
    <t>MENSULA SUSP. GRANDE PKS-30</t>
  </si>
  <si>
    <t>CONECTOR CON ROSCA MACHO RG-59</t>
  </si>
  <si>
    <t>GEL MEJORADOR DE RESISTIVIDAD GENROD</t>
  </si>
  <si>
    <t>GRAMPA SUJETA CABLE N°5 KALOP (VE)</t>
  </si>
  <si>
    <t>SEPARADOR BANDEJA PORTACABLE 50MM C/BULONERIA ELECE</t>
  </si>
  <si>
    <t>CONECTOR CON ANILLO RG-6 (DIREC TV)</t>
  </si>
  <si>
    <t>EXTERIOR 1 PUNTO MIG</t>
  </si>
  <si>
    <t>EXTERIOR 1 PULSADOR MIG</t>
  </si>
  <si>
    <t>EXTERIOR 1 COMBINACION MIG</t>
  </si>
  <si>
    <t>EXTERIOR TOMA C/NEUTRO MIG</t>
  </si>
  <si>
    <t>MODULO PUNTO GRIS JELUZ**</t>
  </si>
  <si>
    <t>EXTERIOR 2 PUNTOS MIG</t>
  </si>
  <si>
    <t>EXTERIOR 1 PUNTO Y TOMA MIG</t>
  </si>
  <si>
    <t>TERMO ACERO 1 LT. C/TAPON CEBADOR</t>
  </si>
  <si>
    <t>ANTENA TV DOBLE CON BASE</t>
  </si>
  <si>
    <t>BARBIJO P/PARTICULAS N95 MODELO 9820 3M</t>
  </si>
  <si>
    <t>BASTIDOR 5x10 (6970) CAMBRE</t>
  </si>
  <si>
    <t>DERIVADOR 2 VIAS COMPLETO</t>
  </si>
  <si>
    <t>EMBUTIDO DE PISO PARA DICROICA BAEL</t>
  </si>
  <si>
    <t>MODULO  USB BLA 220V (6957) CAMBRE</t>
  </si>
  <si>
    <t>MODULO COMBINACION BLAN (6901) SXXI CAMBRE</t>
  </si>
  <si>
    <t>MODULO PUNTO BLANCO (9500) CAMBRE SXXII**</t>
  </si>
  <si>
    <t>MODULO TAPON CIEGO BLANCO (4004) CAMBRE SXXII</t>
  </si>
  <si>
    <t>MODULO TOMA BLANCO C/T 2 MOD (6909) CAMBRE SXXI</t>
  </si>
  <si>
    <t>PARRILLA PLEGABLE ENRROLLAR C/FUNDA BR.</t>
  </si>
  <si>
    <t>TAPA BLANCA 5X10 1b (4501) CAMBRE SXXII</t>
  </si>
  <si>
    <t>TAPA BLANCA 5X10 1t+T (4135) CAMBRE SXXII</t>
  </si>
  <si>
    <t>TAPA BLANCA 5X10 2b (4502) CAMBRE SXXII</t>
  </si>
  <si>
    <t>TAPA BLANCA 5X10 3b (4503) CAMBRE SXXII</t>
  </si>
  <si>
    <t>TAPA BLANCA 5X10 4b (4504) CAMBRE SXXII</t>
  </si>
  <si>
    <t>APLIQUE CHESTER 1 LUZ NG (AP-147N/T)</t>
  </si>
  <si>
    <t>BASE INDUSTRIAL 2 X 10 + N MA8</t>
  </si>
  <si>
    <t>BASE INDUSTRIAL 2 X 10 MA8</t>
  </si>
  <si>
    <t>BASE INDUSTRIAL 2 X 30 + N MA8</t>
  </si>
  <si>
    <t>BASE INDUSTRIAL 2 X 30 MA8</t>
  </si>
  <si>
    <t>BASE INDUSTRIAL 3 X 10 + N MA8</t>
  </si>
  <si>
    <t>BASE INDUSTRIAL 3 X 30 MA8</t>
  </si>
  <si>
    <t>BASTIDOR 5X5 (6910) CAMBRE</t>
  </si>
  <si>
    <t>BASTIDOR C/TOMA DOBLE INCORP. BLANCO KALOP</t>
  </si>
  <si>
    <t>BASTIDOR C/TOMA DOBLE INCORP. NEGRO KALOP</t>
  </si>
  <si>
    <t>BATERIA 12V. 7 A. PARA ALARMA / UPS</t>
  </si>
  <si>
    <t>BATERIA 6V. 4,5 A. PARA LUZ DE EMERGENCIA</t>
  </si>
  <si>
    <t>BLOQUE DE CONT. AUX. LATERAL 1NA+1NC BCLL11 (104707)</t>
  </si>
  <si>
    <t>BLOQUE DE CONT. AUX. LATERAL 1NA+1NC BRLL11 P/COMBINACION (104705)</t>
  </si>
  <si>
    <t>CAJA BASTID. 3/4 (1/2 GAS) - S/TAPA 4 AGUJ. + 2 TAPON</t>
  </si>
  <si>
    <t>CAJA BASTID. 3/4 GAS S/TAPA 4 AGUJ. + 2 TAPON</t>
  </si>
  <si>
    <t>CALENTADOR ENLOZADO P/GAS ENVASADO COMUN</t>
  </si>
  <si>
    <t>CANILLA 1/2 PVC C/MANGA GRIS</t>
  </si>
  <si>
    <t>CINTA PASACABLE TERMINAL CHICOTE 20 MTS ALI.</t>
  </si>
  <si>
    <t>COLGANTE BARI 35 X 35 CM CUADRADO S/ DIBUJO (C-151)</t>
  </si>
  <si>
    <t>COLGANTE CANNES 35 CM CIRCULAR C/ DUBUJO ( C-155 )</t>
  </si>
  <si>
    <t>COLGANTE VERONA 35 CM CIRCULAR S/ DIBUJO ( C-148 )</t>
  </si>
  <si>
    <t>CONECTOR MACHO PARA FUENTE</t>
  </si>
  <si>
    <t>DISCO CORTE PLANO 180 MM X 1,6  PEGASO</t>
  </si>
  <si>
    <t>DISYUNTOR 2 X 40 A. INDUSTRIAL 30mA  G.E.</t>
  </si>
  <si>
    <t>DISYUNTOR 2 X 40 A. NARANJA 30mA  G.E.</t>
  </si>
  <si>
    <t>DISYUNTOR 2 X 40 A. NEGRO 30mA  G.E.</t>
  </si>
  <si>
    <t>DISYUNTOR 2 X 63 A. NARANJA 30mA  G.E.</t>
  </si>
  <si>
    <t>DISYUNTOR 4 X 100 A. INDUSTRIAL 30mA  G.E.</t>
  </si>
  <si>
    <t>DISYUNTOR 4 X 25 A. INDUSTRIAL 30mA  G.E.</t>
  </si>
  <si>
    <t>DISYUNTOR 4 X 25 A. NEGRO 30mA  G.E.</t>
  </si>
  <si>
    <t>DISYUNTOR 4 X 40 A. INDUSTRIAL 30mA  G.E.</t>
  </si>
  <si>
    <t>DISYUNTOR 4 X 40 A. NEGRO 30mA  G.E.</t>
  </si>
  <si>
    <t>DISYUNTOR 4 X 63 A. NEGRO 30mA  G.E.</t>
  </si>
  <si>
    <t>DISYUNTOR 4 X 80 A. INDUSTRIAL 30mA  G.E.</t>
  </si>
  <si>
    <t>DRIVER P/ LED 700MA. (MOD. LED) ITALAVIA</t>
  </si>
  <si>
    <t>FICHA HEMBRA FRONTAL ECO.</t>
  </si>
  <si>
    <t>FICHA INDUSTRIAL 2 X 10 + N MA8</t>
  </si>
  <si>
    <t>FICHA INDUSTRIAL 2 X 10 MA8</t>
  </si>
  <si>
    <t>FICHA INDUSTRIAL 2 X 30 + N MA8</t>
  </si>
  <si>
    <t>FICHA INDUSTRIAL 2 X 30 MA8</t>
  </si>
  <si>
    <t>FICHA INDUSTRIAL 3 X 10 + N MA8</t>
  </si>
  <si>
    <t>FICHA INDUSTRIAL 3 X 10 MA8</t>
  </si>
  <si>
    <t>FICHA INDUSTRIAL 3 X 30 + N MA8</t>
  </si>
  <si>
    <t>FICHA INDUSTRIAL 3 X 30 MA8</t>
  </si>
  <si>
    <t>GABINETE C/CONTRAF. CALADO P/100-120 BOCAS (600X900X100)</t>
  </si>
  <si>
    <t>INTERRUPTOR COMPACTO 4 POLOS 100A REG. 80/100A 18kA GE</t>
  </si>
  <si>
    <t>INTERRUPTOR COMPACTO 4 POLOS 125A REG. 100/125A 18kA GE</t>
  </si>
  <si>
    <t>INTERRUPTOR COMPACTO 4 POLOS 630A REG. 180/630A PROT. ELECTRONICA 50kA</t>
  </si>
  <si>
    <t>INTERRUPTOR COMPACTO 4 POLOS 80A REG. 63/80A 18kA GE</t>
  </si>
  <si>
    <t>LINTERNA LED MINERA Y BICICLETA A PILA 200 LM. KOVEA</t>
  </si>
  <si>
    <t>MINI RELE 4 INV.  24V</t>
  </si>
  <si>
    <t>MINICONTACTOR TRIP. 12A 220V 1NA G.E. 5.5KW (103579)</t>
  </si>
  <si>
    <t>MODULO COMBINACION BLAN (9501) SXXII CAMBRE</t>
  </si>
  <si>
    <t>MODULO PULSADOR BLAN (6902) SXXI CAMBRE</t>
  </si>
  <si>
    <t>MODULO TOMA USB NEGRO KALOP**</t>
  </si>
  <si>
    <t>PANTALLA 1500 GAS ENVASADO C/VALVULA</t>
  </si>
  <si>
    <t>PLACA CAPSULADA 50x100 PVC p/4mod FUM IP55 (6993) CAMBRE</t>
  </si>
  <si>
    <t>PORTALAMPARA VINTAGE mdf01bv</t>
  </si>
  <si>
    <t>PORTALAMPARA VINTAGE mdf02bo</t>
  </si>
  <si>
    <t>PORTALAMPARA VINTAGE mdf02br</t>
  </si>
  <si>
    <t>PORTALAMPARA VINTAGE mdf02bv</t>
  </si>
  <si>
    <t>PORTALAMPARA VINTAGE mdf12bo</t>
  </si>
  <si>
    <t>PORTALAMPARA VINTAGE mdf16bo</t>
  </si>
  <si>
    <t>PORTALAMPARA VINTAGE mdf18br</t>
  </si>
  <si>
    <t>PORTALAMPARA VINTAGE mdf18bv</t>
  </si>
  <si>
    <t>PROTECTOR PARA TOMAS (PONCHITO) BOLSA X10 KALOP</t>
  </si>
  <si>
    <t>TAPA BLANCA 10X5 1b (4131) CAMBRE SXXI</t>
  </si>
  <si>
    <t>TAPA BLANCA 10X5 1b y 1t+T (4136) CAMBRE SXXI</t>
  </si>
  <si>
    <t>TAPA BLANCA 10X5 2b (4132) CAMBRE SXXI</t>
  </si>
  <si>
    <t>TAPA BLANCA 10X5 3b (4133) CAMBRE SXXI</t>
  </si>
  <si>
    <t>TAPA BLANCA 10X5 4b (4134) CAMBRE SXXI</t>
  </si>
  <si>
    <t>TAPA BLANCA 10X5 CIEGA (4130) CAMBRE SXXI</t>
  </si>
  <si>
    <t>TAPA BLANCA 5X5 1b (4141) CAMBRE SXXI</t>
  </si>
  <si>
    <t>TAPA BLANCA 5X5 2b (4142) CAMBRE SXXI</t>
  </si>
  <si>
    <t>TAPON CEBADOR 0,50 LTS KOVEA</t>
  </si>
  <si>
    <t>TERMICA 1 X 06 A. JELUZ</t>
  </si>
  <si>
    <t>TERMICA 1 X 06 A. NEGRA 4,5kA  G.E.</t>
  </si>
  <si>
    <t>TERMICA 1 X 10 A. NEGRA 4,5kA  G.E.</t>
  </si>
  <si>
    <t>TERMICA 1 X 25 A. NARANJA 3kA  G.E.</t>
  </si>
  <si>
    <t>TERMICA 1 X 32 A. NARANJA 3kA  G.E.</t>
  </si>
  <si>
    <t>TERMICA 1 X 40 A. NARANJA 3kA  G.E.</t>
  </si>
  <si>
    <t>TERMICA 1 X 50 A. NARANJA 3kA  G.E.</t>
  </si>
  <si>
    <t>TERMICA 1 X 63 A. NARANJA 3kA  G.E.</t>
  </si>
  <si>
    <t>TERMICA 2 X 06 A. INDUSTRIAL 6kA  G.E.</t>
  </si>
  <si>
    <t>TERMICA 2 X 06 A. JELUZ</t>
  </si>
  <si>
    <t>TERMICA 2 X 06 A. NEGRA 4,5kA  G.E.</t>
  </si>
  <si>
    <t>TERMICA 2 X 10 A. INDUSTRIAL 6kA  G.E.</t>
  </si>
  <si>
    <t>TERMICA 2 X 10 A. NEGRA 4,5kA  G.E.</t>
  </si>
  <si>
    <t>TERMICA 2 X 16 A. INDUSTRIAL 6kA  G.E.</t>
  </si>
  <si>
    <t>TERMICA 2 X 16 A. NEGRA 4,5kA  G.E.</t>
  </si>
  <si>
    <t>TERMICA 2 X 20 A. INDUSTRIAL 6kA  G.E.</t>
  </si>
  <si>
    <t>TERMICA 2 X 25 A. INDUSTRIAL 6kA  G.E.</t>
  </si>
  <si>
    <t>TERMICA 2 X 32 A. INDUSTRIAL 6kA  G.E.</t>
  </si>
  <si>
    <t>TERMICA 2 X 50 A. NARANJA 3kA  G.E.</t>
  </si>
  <si>
    <t>TERMICA 2 X 63 A. NARANJA 3kA  G.E.</t>
  </si>
  <si>
    <t>TERMICA 3 X 06 A. NARANJA 3kA  G.E.</t>
  </si>
  <si>
    <t>TERMICA 3 X 10 A. INDUSTRIAL 6kA  G.E.</t>
  </si>
  <si>
    <t>TERMICA 3 X 20 A. NARANJA 3kA  G.E.</t>
  </si>
  <si>
    <t>TERMICA 3 X 32 A. JELUZ</t>
  </si>
  <si>
    <t>TERMICA 3 X 32 A. NARANJA 3kA  G.E.</t>
  </si>
  <si>
    <t>TERMICA 3 X 40 A. JELUZ</t>
  </si>
  <si>
    <t>TERMICA 3 X 40 A. NEGRA 4,5kA  G.E.</t>
  </si>
  <si>
    <t>TERMICA 3 X 63 A. NARANJA 3kA  G.E.</t>
  </si>
  <si>
    <t>TERMICA 3 X 80 A. INDUSTRIAL 10kA  G.E.</t>
  </si>
  <si>
    <t>TERMICA 4 X 06 A. JELUZ</t>
  </si>
  <si>
    <t>TERMICA 4 X 10 A. INDUSTRIAL 6kA  G.E.</t>
  </si>
  <si>
    <t>TERMICA 4 X 125 A. INDUSTRIAL 10kA  G.E.</t>
  </si>
  <si>
    <t>TERMICA 4 X 16 A. INDUSTRIAL 6kA  G.E.</t>
  </si>
  <si>
    <t>TERMICA 4 X 20 A. INDUSTRIAL 6kA  G.E.</t>
  </si>
  <si>
    <t>TERMICA 4 X 25 A. INDUSTRIAL 6kA  G.E.</t>
  </si>
  <si>
    <t>TERMICA 4 X 25 A. NEGRA 4,5kA  G.E.</t>
  </si>
  <si>
    <t>TERMICA 4 X 32 A. INDUSTRIAL 6kA  G.E.</t>
  </si>
  <si>
    <t>TERMICA 4 X 32 A. NEGRA 4,5kA  G.E.</t>
  </si>
  <si>
    <t>TERMICA 4 X 40 A. NEGRA 4,5kA  G.E.</t>
  </si>
  <si>
    <t>TERMICA 4 X 63 A. NEGRA 4,5kA  G.E.</t>
  </si>
  <si>
    <t>TERMINAL BIMETALICO 25 MM LCT</t>
  </si>
  <si>
    <t>TERMINAL BIMETALICO 35 MM LCT</t>
  </si>
  <si>
    <t>TIMBRE INALAMBRICO ENCHUFABLE</t>
  </si>
  <si>
    <t>TRANSFORMADOR DE CORRIENTE 50/5A BAW</t>
  </si>
  <si>
    <t>TULIPA CILINDRO P/COLGANTE (6735-71) S.J.</t>
  </si>
  <si>
    <t>VALVULA ESFERICA PASO TOTAL METALICA DE 1/2"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</si>
  <si>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</si>
  <si>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</si>
  <si>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</si>
  <si>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</si>
  <si>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</si>
  <si>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</si>
  <si>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</si>
  <si>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</si>
  <si>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</si>
  <si>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</si>
  <si>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</si>
  <si>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</si>
  <si>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</si>
  <si>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</si>
  <si>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</si>
  <si>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</si>
  <si>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</si>
  <si>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</si>
  <si>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</si>
  <si>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</si>
  <si>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</si>
  <si>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</si>
  <si>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</si>
  <si>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</si>
  <si>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</si>
  <si>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</si>
  <si>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</si>
  <si>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</si>
  <si>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</si>
  <si>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</si>
  <si>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</si>
  <si>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</si>
  <si>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</si>
  <si>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</si>
  <si>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</si>
  <si>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</si>
  <si>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</si>
  <si>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</si>
  <si>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</si>
  <si>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</si>
  <si>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</si>
  <si>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</si>
  <si>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</si>
  <si>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</si>
  <si>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</si>
  <si>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</si>
  <si>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</si>
  <si>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</si>
  <si>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</si>
  <si>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</si>
  <si>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</si>
  <si>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</si>
  <si>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</si>
  <si>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</si>
  <si>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</si>
  <si>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</si>
  <si>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</si>
  <si>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</si>
  <si>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</si>
  <si>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</si>
  <si>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</si>
  <si>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</si>
  <si>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</si>
  <si>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</si>
  <si>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</si>
  <si>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</si>
  <si>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</si>
  <si>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</si>
  <si>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</si>
  <si>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</si>
  <si>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</si>
  <si>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</si>
  <si>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</si>
  <si>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</si>
  <si>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</si>
  <si>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</si>
  <si>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</si>
  <si>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</si>
  <si>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</si>
  <si>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</si>
  <si>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</si>
  <si>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</si>
  <si>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</si>
  <si>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</si>
  <si>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</si>
  <si>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</si>
  <si>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</si>
  <si>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</si>
  <si>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</si>
  <si>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</si>
  <si>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</si>
  <si>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</si>
  <si>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</si>
  <si>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</si>
  <si>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</si>
  <si>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</si>
  <si>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</si>
  <si>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</si>
  <si>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</si>
  <si>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</si>
  <si>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</si>
  <si>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</si>
  <si>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</si>
  <si>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</si>
  <si>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</si>
  <si>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</si>
  <si>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</si>
  <si>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</si>
  <si>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</si>
  <si>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</si>
  <si>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</si>
  <si>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</si>
  <si>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</si>
  <si>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</si>
  <si>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</si>
  <si>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</si>
  <si>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</si>
  <si>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</si>
  <si>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</si>
  <si>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</si>
  <si>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</si>
  <si>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</si>
  <si>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</si>
  <si>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</si>
  <si>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</si>
  <si>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</si>
  <si>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</si>
  <si>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</si>
  <si>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</si>
  <si>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</si>
  <si>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</si>
  <si>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</si>
  <si>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</si>
  <si>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</si>
  <si>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</si>
  <si>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</si>
  <si>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</si>
  <si>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</si>
  <si>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</si>
  <si>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</si>
  <si>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</si>
  <si>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</si>
  <si>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</si>
  <si>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</si>
  <si>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</si>
  <si>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</si>
  <si>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</si>
  <si>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</si>
  <si>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</si>
  <si>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</si>
  <si>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</si>
  <si>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</si>
  <si>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</si>
  <si>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</si>
  <si>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</si>
  <si>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</si>
  <si>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</si>
  <si>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</si>
  <si>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</si>
  <si>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</si>
  <si>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</si>
  <si>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</si>
  <si>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</si>
  <si>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</si>
  <si>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</si>
  <si>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</si>
  <si>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</si>
  <si>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</si>
  <si>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</si>
  <si>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</si>
  <si>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</si>
  <si>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</si>
  <si>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</si>
  <si>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</si>
  <si>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</si>
  <si>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</si>
  <si>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</si>
  <si>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</si>
  <si>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</si>
  <si>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</si>
  <si>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</si>
  <si>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</si>
  <si>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</si>
  <si>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</si>
  <si>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</si>
  <si>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</si>
  <si>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</si>
  <si>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</si>
  <si>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</si>
  <si>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</si>
  <si>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</si>
  <si>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</si>
  <si>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</si>
  <si>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</si>
  <si>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</si>
  <si>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</si>
  <si>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</si>
  <si>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</si>
  <si>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</si>
  <si>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</si>
  <si>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</si>
  <si>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</si>
  <si>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</si>
  <si>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</si>
  <si>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</si>
  <si>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</si>
  <si>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</si>
  <si>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</si>
  <si>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</si>
  <si>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</si>
  <si>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</si>
  <si>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</si>
  <si>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</si>
  <si>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</si>
  <si>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</si>
  <si>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</si>
  <si>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</si>
  <si>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</si>
  <si>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</si>
  <si>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</si>
  <si>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</si>
  <si>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</si>
  <si>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</si>
  <si>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</si>
  <si>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</si>
  <si>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</si>
  <si>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</si>
  <si>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</si>
  <si>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</si>
  <si>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</si>
  <si>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</si>
  <si>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</si>
  <si>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</si>
  <si>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</si>
  <si>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</si>
  <si>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</si>
  <si>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</si>
  <si>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</si>
  <si>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</si>
  <si>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</si>
  <si>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</si>
  <si>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</si>
  <si>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</si>
  <si>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</si>
  <si>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</si>
  <si>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</si>
  <si>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</si>
  <si>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</si>
  <si>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</si>
  <si>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</si>
  <si>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</si>
  <si>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</si>
  <si>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</si>
  <si>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</si>
  <si>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</si>
  <si>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</si>
  <si>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</si>
  <si>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</si>
  <si>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</si>
  <si>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</si>
  <si>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</si>
  <si>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</si>
  <si>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</si>
  <si>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</si>
  <si>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</si>
  <si>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</si>
  <si>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</si>
  <si>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</si>
  <si>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</si>
  <si>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</si>
  <si>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</si>
  <si>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</si>
  <si>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</si>
  <si>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</si>
  <si>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</si>
  <si>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</si>
  <si>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</si>
  <si>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</si>
  <si>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</si>
  <si>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</si>
  <si>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</si>
  <si>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</si>
  <si>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</si>
  <si>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</si>
  <si>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</si>
  <si>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</si>
  <si>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</si>
  <si>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TERMO BLACK STONE DINAM. 0.50 LTS. KOVEA</t>
  </si>
  <si>
    <t>293</t>
  </si>
  <si>
    <t>TERMO BLACK STONE DINAM. 0.75 LTS. KOVEA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</si>
  <si>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</si>
  <si>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</si>
  <si>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</si>
  <si>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</si>
  <si>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</si>
  <si>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</si>
  <si>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</si>
  <si>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</si>
  <si>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</si>
  <si>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</si>
  <si>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</si>
  <si>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</si>
  <si>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</si>
  <si>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</si>
  <si>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</si>
  <si>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</si>
  <si>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</si>
  <si>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</si>
  <si>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</si>
  <si>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</si>
  <si>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</si>
  <si>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</si>
  <si>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</si>
  <si>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</si>
  <si>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</si>
  <si>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</si>
  <si>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</si>
  <si>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</si>
  <si>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</si>
  <si>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</si>
  <si>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</si>
  <si>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</si>
  <si>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</si>
  <si>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</si>
  <si>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</si>
  <si>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</si>
  <si>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</si>
  <si>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</si>
  <si>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</si>
  <si>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</si>
  <si>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</si>
  <si>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</si>
  <si>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</si>
  <si>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</si>
  <si>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</si>
  <si>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</si>
  <si>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</si>
  <si>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</si>
  <si>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</si>
  <si>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</si>
  <si>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</si>
  <si>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</si>
  <si>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</si>
  <si>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</si>
  <si>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</si>
  <si>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</si>
  <si>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</si>
  <si>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</si>
  <si>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</si>
  <si>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</si>
  <si>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</si>
  <si>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</si>
  <si>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</si>
  <si>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</si>
  <si>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</si>
  <si>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</si>
  <si>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</si>
  <si>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</si>
  <si>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</si>
  <si>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</si>
  <si>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</si>
  <si>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</si>
  <si>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</si>
  <si>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</si>
  <si>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</si>
  <si>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</si>
  <si>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</si>
  <si>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</si>
  <si>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</si>
  <si>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</si>
  <si>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</si>
  <si>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</si>
  <si>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</si>
  <si>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</si>
  <si>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</si>
  <si>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</si>
  <si>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</si>
  <si>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</si>
  <si>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</si>
  <si>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</si>
  <si>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</si>
  <si>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</si>
  <si>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</si>
  <si>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</si>
  <si>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</si>
  <si>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</si>
  <si>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</si>
  <si>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</si>
  <si>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</si>
  <si>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</si>
  <si>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</si>
  <si>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</si>
  <si>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</si>
  <si>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</si>
  <si>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</si>
  <si>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</si>
  <si>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</si>
  <si>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</si>
  <si>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</si>
  <si>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</si>
  <si>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</si>
  <si>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</si>
  <si>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</si>
  <si>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</si>
  <si>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</si>
  <si>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</si>
  <si>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</si>
  <si>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</si>
  <si>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</si>
  <si>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</si>
  <si>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</si>
  <si>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</si>
  <si>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</si>
  <si>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</si>
  <si>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</si>
  <si>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</si>
  <si>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</si>
  <si>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</si>
  <si>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</si>
  <si>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</si>
  <si>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</si>
  <si>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</si>
  <si>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</si>
  <si>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</si>
  <si>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</si>
  <si>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</si>
  <si>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</si>
  <si>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</si>
  <si>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</si>
  <si>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</si>
  <si>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</si>
  <si>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</si>
  <si>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</si>
  <si>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</si>
  <si>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</si>
  <si>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</si>
  <si>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</si>
  <si>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</si>
  <si>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</si>
  <si>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</si>
  <si>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</si>
  <si>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</si>
  <si>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</si>
  <si>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</si>
  <si>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</si>
  <si>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</si>
  <si>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</si>
  <si>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</si>
  <si>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</si>
  <si>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</si>
  <si>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</si>
  <si>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</si>
  <si>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</si>
  <si>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</si>
  <si>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</si>
  <si>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</si>
  <si>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</si>
  <si>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</si>
  <si>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</si>
  <si>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</si>
  <si>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</si>
  <si>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</si>
  <si>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</si>
  <si>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</si>
  <si>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</si>
  <si>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</si>
  <si>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</si>
  <si>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</si>
  <si>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</si>
  <si>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</si>
  <si>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</si>
  <si>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</si>
  <si>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</si>
  <si>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</si>
  <si>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</si>
  <si>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</si>
  <si>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</si>
  <si>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</si>
  <si>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</si>
  <si>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</si>
  <si>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</si>
  <si>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</si>
  <si>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</si>
  <si>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</si>
  <si>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</si>
  <si>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</si>
  <si>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</si>
  <si>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</si>
  <si>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</si>
  <si>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</si>
  <si>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</si>
  <si>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</si>
  <si>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</si>
  <si>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</si>
  <si>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</si>
  <si>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</si>
  <si>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</si>
  <si>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</si>
  <si>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</si>
  <si>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</si>
  <si>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</si>
  <si>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</si>
  <si>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</si>
  <si>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</si>
  <si>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</si>
  <si>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</si>
  <si>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</si>
  <si>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</si>
  <si>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</si>
  <si>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</si>
  <si>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</si>
  <si>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</si>
  <si>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</si>
  <si>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</si>
  <si>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</si>
  <si>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</si>
  <si>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</si>
  <si>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</si>
  <si>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</si>
  <si>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</si>
  <si>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</si>
  <si>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</si>
  <si>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</si>
  <si>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</si>
  <si>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</si>
  <si>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</si>
  <si>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</si>
  <si>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</si>
  <si>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</si>
  <si>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</si>
  <si>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</si>
  <si>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</si>
  <si>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</si>
  <si>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</si>
  <si>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</si>
  <si>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</si>
  <si>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</si>
  <si>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</si>
  <si>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</si>
  <si>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</si>
  <si>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</si>
  <si>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</si>
  <si>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</si>
  <si>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</si>
  <si>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</si>
  <si>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</si>
  <si>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</si>
  <si>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</si>
  <si>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</si>
  <si>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</si>
  <si>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</si>
  <si>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</si>
  <si>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</si>
  <si>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</si>
  <si>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</si>
  <si>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</si>
  <si>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</si>
  <si>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</si>
  <si>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</si>
  <si>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</si>
  <si>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</si>
  <si>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</si>
  <si>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</si>
  <si>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</si>
  <si>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</si>
  <si>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</si>
  <si>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</si>
  <si>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</si>
  <si>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</si>
  <si>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</si>
  <si>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</si>
  <si>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</si>
  <si>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</si>
  <si>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</si>
  <si>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</si>
  <si>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</si>
  <si>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</si>
  <si>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</si>
  <si>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</si>
  <si>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</si>
  <si>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</si>
  <si>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</si>
  <si>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</si>
  <si>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</si>
  <si>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</si>
  <si>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</si>
  <si>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</si>
  <si>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</si>
  <si>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</si>
  <si>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</si>
  <si>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</si>
  <si>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</si>
  <si>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</si>
  <si>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</si>
  <si>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</si>
  <si>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</si>
  <si>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</si>
  <si>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</si>
  <si>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</si>
  <si>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</si>
  <si>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</si>
  <si>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</si>
  <si>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</si>
  <si>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</si>
  <si>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</si>
  <si>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</si>
  <si>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</si>
  <si>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</si>
  <si>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</si>
  <si>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</si>
  <si>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</si>
  <si>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</si>
  <si>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</si>
  <si>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</si>
  <si>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</si>
  <si>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</si>
  <si>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</si>
  <si>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</si>
  <si>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</si>
  <si>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</si>
  <si>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</si>
  <si>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</si>
  <si>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</si>
  <si>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</si>
  <si>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</si>
  <si>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</si>
  <si>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</si>
  <si>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</si>
  <si>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</si>
  <si>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</si>
  <si>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</si>
  <si>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</si>
  <si>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</si>
  <si>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</si>
  <si>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</si>
  <si>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</si>
  <si>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</si>
  <si>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</si>
  <si>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</si>
  <si>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</si>
  <si>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</si>
  <si>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</si>
  <si>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</si>
  <si>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</si>
  <si>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</si>
  <si>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</si>
  <si>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</si>
  <si>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</si>
  <si>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</si>
  <si>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</si>
  <si>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</si>
  <si>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</si>
  <si>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</si>
  <si>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</si>
  <si>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</si>
  <si>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</si>
  <si>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</si>
  <si>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</si>
  <si>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</si>
  <si>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</si>
  <si>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</si>
  <si>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</si>
  <si>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</si>
  <si>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</si>
  <si>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</si>
  <si>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</si>
  <si>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</si>
  <si>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</si>
  <si>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</si>
  <si>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</si>
  <si>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</si>
  <si>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</si>
  <si>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</si>
  <si>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</si>
  <si>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</si>
  <si>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</si>
  <si>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</si>
  <si>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</si>
  <si>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</si>
  <si>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</si>
  <si>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</si>
  <si>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</si>
  <si>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</si>
  <si>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</si>
  <si>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</si>
  <si>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</si>
  <si>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</si>
  <si>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</si>
  <si>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</si>
  <si>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</si>
  <si>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</si>
  <si>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</si>
  <si>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</si>
  <si>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</si>
  <si>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</si>
  <si>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</si>
  <si>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</si>
  <si>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</si>
  <si>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</si>
  <si>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</si>
  <si>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</si>
  <si>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</si>
  <si>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</si>
  <si>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</si>
  <si>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</si>
  <si>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</si>
  <si>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</si>
  <si>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</si>
  <si>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</si>
  <si>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</si>
  <si>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</si>
  <si>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</si>
  <si>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</si>
  <si>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</si>
  <si>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</si>
  <si>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</si>
  <si>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</si>
  <si>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</si>
  <si>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</si>
  <si>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</si>
  <si>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</si>
  <si>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</si>
  <si>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</si>
  <si>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</si>
  <si>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</si>
  <si>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</si>
  <si>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</si>
  <si>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</si>
  <si>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</si>
  <si>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</si>
  <si>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</si>
  <si>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</si>
  <si>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</si>
  <si>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</si>
  <si>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</si>
  <si>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</si>
  <si>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</si>
  <si>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</si>
  <si>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</si>
  <si>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</si>
  <si>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</si>
  <si>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</si>
  <si>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</si>
  <si>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</si>
  <si>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</si>
  <si>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</si>
  <si>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</si>
  <si>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</si>
  <si>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</si>
  <si>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</si>
  <si>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</si>
  <si>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</si>
  <si>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</si>
  <si>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</si>
  <si>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</si>
  <si>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</si>
  <si>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</si>
  <si>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</si>
  <si>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</si>
  <si>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</si>
  <si>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</si>
  <si>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</si>
  <si>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</si>
  <si>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</si>
  <si>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</si>
  <si>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</si>
  <si>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</si>
  <si>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</si>
  <si>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</si>
  <si>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</si>
  <si>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</si>
  <si>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</si>
  <si>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</si>
  <si>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</si>
  <si>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</si>
  <si>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</si>
  <si>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</si>
  <si>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</si>
  <si>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</si>
  <si>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</si>
  <si>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</si>
  <si>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</si>
  <si>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</si>
  <si>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</si>
  <si>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</si>
  <si>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</si>
  <si>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</si>
  <si>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</si>
  <si>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</si>
  <si>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</si>
  <si>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</si>
  <si>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</si>
  <si>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</si>
  <si>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</si>
  <si>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</si>
  <si>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</si>
  <si>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</si>
  <si>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</si>
  <si>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</si>
  <si>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</si>
  <si>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</si>
  <si>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</si>
  <si>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</si>
  <si>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</si>
  <si>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</si>
  <si>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</si>
  <si>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</si>
  <si>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</si>
  <si>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</si>
  <si>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</si>
  <si>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</si>
  <si>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</si>
  <si>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</si>
  <si>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</si>
  <si>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</si>
  <si>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</si>
  <si>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</si>
  <si>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</si>
  <si>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</si>
  <si>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</si>
  <si>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</si>
  <si>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</si>
  <si>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</si>
  <si>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</si>
  <si>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</si>
  <si>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</si>
  <si>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</si>
  <si>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</si>
  <si>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</si>
  <si>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</si>
  <si>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</si>
  <si>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</si>
  <si>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</si>
  <si>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</si>
  <si>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</si>
  <si>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</si>
  <si>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</si>
  <si>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</si>
  <si>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</si>
  <si>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</si>
  <si>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</si>
  <si>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</si>
  <si>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</si>
  <si>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</si>
  <si>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</si>
  <si>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</si>
  <si>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</si>
  <si>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</si>
  <si>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</si>
  <si>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</si>
  <si>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</si>
  <si>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</si>
  <si>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</si>
  <si>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</si>
  <si>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</si>
  <si>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</si>
  <si>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</si>
  <si>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</si>
  <si>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</si>
  <si>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</si>
  <si>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</si>
  <si>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</si>
  <si>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</si>
  <si>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</si>
  <si>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</si>
  <si>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</si>
  <si>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</si>
  <si>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</si>
  <si>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</si>
  <si>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</si>
  <si>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</si>
  <si>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</si>
  <si>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</si>
  <si>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</si>
  <si>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</si>
  <si>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</si>
  <si>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</si>
  <si>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</si>
  <si>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</si>
  <si>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</si>
  <si>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</si>
  <si>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</si>
  <si>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</si>
  <si>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</si>
  <si>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</si>
  <si>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</si>
  <si>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</si>
  <si>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</si>
  <si>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</si>
  <si>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</si>
  <si>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</si>
  <si>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</si>
  <si>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</si>
  <si>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</si>
  <si>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</si>
  <si>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</si>
  <si>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</si>
  <si>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</si>
  <si>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</si>
  <si>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</si>
  <si>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</si>
  <si>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</si>
  <si>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</si>
  <si>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</si>
  <si>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</si>
  <si>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</si>
  <si>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</si>
  <si>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</si>
  <si>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</si>
  <si>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</si>
  <si>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</si>
  <si>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</si>
  <si>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</si>
  <si>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</si>
  <si>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</si>
  <si>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</si>
  <si>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</si>
  <si>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</si>
  <si>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</si>
  <si>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</si>
  <si>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</si>
  <si>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</si>
  <si>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</si>
  <si>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</si>
  <si>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</si>
  <si>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</si>
  <si>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</si>
  <si>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</si>
  <si>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</si>
  <si>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</si>
  <si>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</si>
  <si>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</si>
  <si>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</si>
  <si>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</si>
  <si>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</si>
  <si>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</si>
  <si>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</si>
  <si>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</si>
  <si>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</si>
  <si>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</si>
  <si>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</si>
  <si>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</si>
  <si>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</si>
  <si>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</si>
  <si>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</si>
  <si>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</si>
  <si>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</si>
  <si>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</si>
  <si>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</si>
  <si>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</si>
  <si>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</si>
  <si>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</si>
  <si>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</si>
  <si>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</si>
  <si>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</si>
  <si>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</si>
  <si>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</si>
  <si>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</si>
  <si>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</si>
  <si>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</si>
  <si>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</si>
  <si>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</si>
  <si>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</si>
  <si>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</si>
  <si>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</si>
  <si>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</si>
  <si>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</si>
  <si>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</si>
  <si>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</si>
  <si>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</si>
  <si>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</si>
  <si>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</si>
  <si>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</si>
  <si>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</si>
  <si>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</si>
  <si>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</si>
  <si>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</si>
  <si>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</si>
  <si>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</si>
  <si>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</si>
  <si>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</si>
  <si>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</si>
  <si>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</si>
  <si>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</si>
  <si>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</si>
  <si>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</si>
  <si>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</si>
  <si>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</si>
  <si>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</si>
  <si>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</si>
  <si>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</si>
  <si>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</si>
  <si>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</si>
  <si>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</si>
  <si>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</si>
  <si>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</si>
  <si>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</si>
  <si>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</si>
  <si>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</si>
  <si>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</si>
  <si>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</si>
  <si>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</si>
  <si>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</si>
  <si>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</si>
  <si>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</si>
  <si>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</si>
  <si>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</si>
  <si>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</si>
  <si>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</si>
  <si>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</si>
  <si>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</si>
  <si>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</si>
  <si>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</si>
  <si>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</si>
  <si>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</si>
  <si>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</si>
  <si>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</si>
  <si>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</si>
  <si>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</si>
  <si>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</si>
  <si>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</si>
  <si>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</si>
  <si>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</si>
  <si>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</si>
  <si>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</si>
  <si>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</si>
  <si>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</si>
  <si>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</si>
  <si>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</si>
  <si>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</si>
  <si>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</si>
  <si>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</si>
  <si>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</si>
  <si>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</si>
  <si>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</si>
  <si>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</si>
  <si>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</si>
  <si>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</si>
  <si>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</si>
  <si>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</si>
  <si>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</si>
  <si>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</si>
  <si>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</si>
  <si>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</si>
  <si>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</si>
  <si>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</si>
  <si>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</si>
  <si>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</si>
  <si>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</si>
  <si>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</si>
  <si>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</si>
  <si>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</si>
  <si>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</si>
  <si>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</si>
  <si>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</si>
  <si>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</si>
  <si>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</si>
  <si>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</si>
  <si>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</si>
  <si>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</si>
  <si>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</si>
  <si>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</si>
  <si>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</si>
  <si>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</si>
  <si>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</si>
  <si>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</si>
  <si>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</si>
  <si>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</si>
  <si>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</si>
  <si>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</si>
  <si>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</si>
  <si>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</si>
  <si>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</si>
  <si>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</si>
  <si>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</si>
  <si>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</si>
  <si>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</si>
  <si>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</si>
  <si>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</si>
  <si>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</si>
  <si>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</si>
  <si>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</si>
  <si>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</si>
  <si>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</si>
  <si>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</si>
  <si>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</si>
  <si>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</si>
  <si>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</si>
  <si>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</si>
  <si>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</si>
  <si>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</si>
  <si>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</si>
  <si>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</si>
  <si>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</si>
  <si>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</si>
  <si>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</si>
  <si>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</si>
  <si>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</si>
  <si>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</si>
  <si>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</si>
  <si>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</si>
  <si>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</si>
  <si>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</si>
  <si>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</si>
  <si>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</si>
  <si>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</si>
  <si>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</si>
  <si>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</si>
  <si>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</si>
  <si>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</si>
  <si>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</si>
  <si>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</si>
  <si>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</si>
  <si>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</si>
  <si>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</si>
  <si>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</si>
  <si>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</si>
  <si>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</si>
  <si>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</si>
  <si>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</si>
  <si>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</si>
  <si>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</si>
  <si>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</si>
  <si>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</si>
  <si>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</si>
  <si>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</si>
  <si>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</si>
  <si>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</si>
  <si>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</si>
  <si>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</si>
  <si>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</si>
  <si>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</si>
  <si>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</si>
  <si>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</si>
  <si>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</si>
  <si>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</si>
  <si>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</si>
  <si>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</si>
  <si>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</si>
  <si>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</si>
  <si>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</si>
  <si>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</si>
  <si>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</si>
  <si>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</si>
  <si>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</si>
  <si>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</si>
  <si>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</si>
  <si>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</si>
  <si>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</si>
  <si>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</si>
  <si>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</si>
  <si>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</si>
  <si>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</si>
  <si>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</si>
  <si>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</si>
  <si>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</si>
  <si>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</si>
  <si>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</si>
  <si>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</si>
  <si>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</si>
  <si>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</si>
  <si>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</si>
  <si>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</si>
  <si>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</si>
  <si>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</si>
  <si>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</si>
  <si>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</si>
  <si>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</si>
  <si>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</si>
  <si>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</si>
  <si>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</si>
  <si>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</si>
  <si>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</si>
  <si>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</si>
  <si>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</si>
  <si>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</si>
  <si>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</si>
  <si>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</si>
  <si>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</si>
  <si>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</si>
  <si>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</si>
  <si>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</si>
  <si>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</si>
  <si>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</si>
  <si>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</si>
  <si>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</si>
  <si>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</si>
  <si>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</si>
  <si>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</si>
  <si>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</si>
  <si>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</si>
  <si>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</si>
  <si>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</si>
  <si>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</si>
  <si>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</si>
  <si>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</si>
  <si>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</si>
  <si>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</si>
  <si>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</si>
  <si>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</si>
  <si>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</si>
  <si>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</si>
  <si>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</si>
  <si>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</si>
  <si>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</si>
  <si>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</si>
  <si>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</si>
  <si>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</si>
  <si>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</si>
  <si>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</si>
  <si>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</si>
  <si>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</si>
  <si>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</si>
  <si>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</si>
  <si>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</si>
  <si>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</si>
  <si>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</si>
  <si>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</si>
  <si>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</si>
  <si>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</si>
  <si>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</si>
  <si>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</si>
  <si>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</si>
  <si>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</si>
  <si>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</si>
  <si>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</si>
  <si>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</si>
  <si>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</si>
  <si>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</si>
  <si>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</si>
  <si>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</si>
  <si>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</si>
  <si>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</si>
  <si>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</si>
  <si>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</si>
  <si>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</si>
  <si>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</si>
  <si>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</si>
  <si>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</si>
  <si>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</si>
  <si>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</si>
  <si>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</si>
  <si>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</si>
  <si>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</si>
  <si>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</si>
  <si>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</si>
  <si>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</si>
  <si>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</si>
  <si>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</si>
  <si>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</si>
  <si>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</si>
  <si>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</si>
  <si>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</si>
  <si>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</si>
  <si>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</si>
  <si>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</si>
  <si>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</si>
  <si>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</si>
  <si>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</si>
  <si>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</si>
  <si>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</si>
  <si>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</si>
  <si>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</si>
  <si>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</si>
  <si>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</si>
  <si>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</si>
  <si>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</si>
  <si>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</si>
  <si>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</si>
  <si>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</si>
  <si>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</si>
  <si>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</si>
  <si>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</si>
  <si>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</si>
  <si>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</si>
  <si>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</si>
  <si>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</si>
  <si>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</si>
  <si>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</si>
  <si>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</si>
  <si>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</si>
  <si>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</si>
  <si>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</si>
  <si>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</si>
  <si>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</si>
  <si>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</si>
  <si>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</si>
  <si>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</si>
  <si>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</si>
  <si>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</si>
  <si>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</si>
  <si>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</si>
  <si>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</si>
  <si>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</si>
  <si>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</si>
  <si>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</si>
  <si>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</si>
  <si>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</si>
  <si>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</si>
  <si>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</si>
  <si>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</si>
  <si>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</si>
  <si>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</si>
  <si>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</si>
  <si>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</si>
  <si>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</si>
  <si>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</si>
  <si>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</si>
  <si>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</si>
  <si>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</si>
  <si>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</si>
  <si>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</si>
  <si>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</si>
  <si>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</si>
  <si>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</si>
  <si>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</si>
  <si>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</si>
  <si>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</si>
  <si>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</si>
  <si>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</si>
  <si>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</si>
  <si>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</si>
  <si>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</si>
  <si>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</si>
  <si>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</si>
  <si>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</si>
  <si>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</si>
  <si>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</si>
  <si>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</si>
  <si>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</si>
  <si>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</si>
  <si>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</si>
  <si>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</si>
  <si>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</si>
  <si>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</si>
  <si>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</si>
  <si>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</si>
  <si>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</si>
  <si>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</si>
  <si>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</si>
  <si>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</si>
  <si>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</si>
  <si>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</si>
  <si>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</si>
  <si>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</si>
  <si>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</si>
  <si>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</si>
  <si>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</si>
  <si>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</si>
  <si>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</si>
  <si>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</si>
  <si>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</si>
  <si>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</si>
  <si>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</si>
  <si>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</si>
  <si>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</si>
  <si>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</si>
  <si>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</si>
  <si>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</si>
  <si>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</si>
  <si>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</si>
  <si>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</si>
  <si>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</si>
  <si>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</si>
  <si>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</si>
  <si>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</si>
  <si>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</si>
  <si>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</si>
  <si>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</si>
  <si>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</si>
  <si>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</si>
  <si>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</si>
  <si>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</si>
  <si>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</si>
  <si>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</si>
  <si>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</si>
  <si>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</si>
  <si>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</si>
  <si>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</si>
  <si>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</si>
  <si>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</si>
  <si>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</si>
  <si>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</si>
  <si>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</si>
  <si>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</si>
  <si>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</si>
  <si>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</si>
  <si>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</si>
  <si>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</si>
  <si>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</si>
  <si>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</si>
  <si>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</si>
  <si>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</si>
  <si>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</si>
  <si>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</si>
  <si>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</si>
  <si>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</si>
  <si>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</si>
  <si>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</si>
  <si>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</si>
  <si>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</si>
  <si>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</si>
  <si>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</si>
  <si>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</si>
  <si>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</si>
  <si>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</si>
  <si>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</si>
  <si>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</si>
  <si>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</si>
  <si>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</si>
  <si>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</si>
  <si>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</si>
  <si>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</si>
  <si>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</si>
  <si>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</si>
  <si>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</si>
  <si>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</si>
  <si>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</si>
  <si>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</si>
  <si>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</si>
  <si>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</si>
  <si>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</si>
  <si>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</si>
  <si>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</si>
  <si>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</si>
  <si>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</si>
  <si>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</si>
  <si>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</si>
  <si>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</si>
  <si>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</si>
  <si>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</si>
  <si>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</si>
  <si>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</si>
  <si>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</si>
  <si>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</si>
  <si>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</si>
  <si>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</si>
  <si>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</si>
  <si>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</si>
  <si>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</si>
  <si>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</si>
  <si>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CAÑO BAJADA PILAR DOBLE AISLADO Monof. 2 x 3,2 MTS DESIM.</t>
  </si>
  <si>
    <t>1445</t>
  </si>
  <si>
    <t>CAÑO BAJADA PILAR DOBLE AISLADO Trifas. 2 1/2 x 3,2 MTS. DESIM.</t>
  </si>
  <si>
    <t>1446</t>
  </si>
  <si>
    <t>CAÑO BAJADA PILAR DOBLE AISLADO Trifas. 2 1/2   x 4,2 MTS. DESIM.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</si>
  <si>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</si>
  <si>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</si>
  <si>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</si>
  <si>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</si>
  <si>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</si>
  <si>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</si>
  <si>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</si>
  <si>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</si>
  <si>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</si>
  <si>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</si>
  <si>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</si>
  <si>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</si>
  <si>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</si>
  <si>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</si>
  <si>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</si>
  <si>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</si>
  <si>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</si>
  <si>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</si>
  <si>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</si>
  <si>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</si>
  <si>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</si>
  <si>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</si>
  <si>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</si>
  <si>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</si>
  <si>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</si>
  <si>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</si>
  <si>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</si>
  <si>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</si>
  <si>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</si>
  <si>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</si>
  <si>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</si>
  <si>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</si>
  <si>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</si>
  <si>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</si>
  <si>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</si>
  <si>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</si>
  <si>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</si>
  <si>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</si>
  <si>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</si>
  <si>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</si>
  <si>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</si>
  <si>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</si>
  <si>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</si>
  <si>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</si>
  <si>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</si>
  <si>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</si>
  <si>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</si>
  <si>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</si>
  <si>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</si>
  <si>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</si>
  <si>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</si>
  <si>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</si>
  <si>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</si>
  <si>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</si>
  <si>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</si>
  <si>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</si>
  <si>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</si>
  <si>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</si>
  <si>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</si>
  <si>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</si>
  <si>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</si>
  <si>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</si>
  <si>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</si>
  <si>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</si>
  <si>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</si>
  <si>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</si>
  <si>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</si>
  <si>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</si>
  <si>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</si>
  <si>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</si>
  <si>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</si>
  <si>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</si>
  <si>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</si>
  <si>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</si>
  <si>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</si>
  <si>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</si>
  <si>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</si>
  <si>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</si>
  <si>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</si>
  <si>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</si>
  <si>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</si>
  <si>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</si>
  <si>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</si>
  <si>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</si>
  <si>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</si>
  <si>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</si>
  <si>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</si>
  <si>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</si>
  <si>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</si>
  <si>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</si>
  <si>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</si>
  <si>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</si>
  <si>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</si>
  <si>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</si>
  <si>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</si>
  <si>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</si>
  <si>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</si>
  <si>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</si>
  <si>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</si>
  <si>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</si>
  <si>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</si>
  <si>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</si>
  <si>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</si>
  <si>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</si>
  <si>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</si>
  <si>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</si>
  <si>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</si>
  <si>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</si>
  <si>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</si>
  <si>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</si>
  <si>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</si>
  <si>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</si>
  <si>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</si>
  <si>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</si>
  <si>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</si>
  <si>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</si>
  <si>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</si>
  <si>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</si>
  <si>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</si>
  <si>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</si>
  <si>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</si>
  <si>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</si>
  <si>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</si>
  <si>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</si>
  <si>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</si>
  <si>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</si>
  <si>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</si>
  <si>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</si>
  <si>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</si>
  <si>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</si>
  <si>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</si>
  <si>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</si>
  <si>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</si>
  <si>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</si>
  <si>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</si>
  <si>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</si>
  <si>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</si>
  <si>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</si>
  <si>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</si>
  <si>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</si>
  <si>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</si>
  <si>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</si>
  <si>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</si>
  <si>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</si>
  <si>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</si>
  <si>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</si>
  <si>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</si>
  <si>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</si>
  <si>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</si>
  <si>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</si>
  <si>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</si>
  <si>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</si>
  <si>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</si>
  <si>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</si>
  <si>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</si>
  <si>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</si>
  <si>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</si>
  <si>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</si>
  <si>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</si>
  <si>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</si>
  <si>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</si>
  <si>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</si>
  <si>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</si>
  <si>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</si>
  <si>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</si>
  <si>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</si>
  <si>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</si>
  <si>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</si>
  <si>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</si>
  <si>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</si>
  <si>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</si>
  <si>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</si>
  <si>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</si>
  <si>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</si>
  <si>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</si>
  <si>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</si>
  <si>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</si>
  <si>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</si>
  <si>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</si>
  <si>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</si>
  <si>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</si>
  <si>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</si>
  <si>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</si>
  <si>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</si>
  <si>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</si>
  <si>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</si>
  <si>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</si>
  <si>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</si>
  <si>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</si>
  <si>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</si>
  <si>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</si>
  <si>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</si>
  <si>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</si>
  <si>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</si>
  <si>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</si>
  <si>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</si>
  <si>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</si>
  <si>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</si>
  <si>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</si>
  <si>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</si>
  <si>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</si>
  <si>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</si>
  <si>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</si>
  <si>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</si>
  <si>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</si>
  <si>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</si>
  <si>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</si>
  <si>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</si>
  <si>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</si>
  <si>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</si>
  <si>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</si>
  <si>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</si>
  <si>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</si>
  <si>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</si>
  <si>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</si>
  <si>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</si>
  <si>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</si>
  <si>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</si>
  <si>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</si>
  <si>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</si>
  <si>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</si>
  <si>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</si>
  <si>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</si>
  <si>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</si>
  <si>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</si>
  <si>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</si>
  <si>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</si>
  <si>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</si>
  <si>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</si>
  <si>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</si>
  <si>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</si>
  <si>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</si>
  <si>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</si>
  <si>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</si>
  <si>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</si>
  <si>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</si>
  <si>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</si>
  <si>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</si>
  <si>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</si>
  <si>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</si>
  <si>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</si>
  <si>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</si>
  <si>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</si>
  <si>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</si>
  <si>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</si>
  <si>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</si>
  <si>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</si>
  <si>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</si>
  <si>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</si>
  <si>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</si>
  <si>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</si>
  <si>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</si>
  <si>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</si>
  <si>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</si>
  <si>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</si>
  <si>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</si>
  <si>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</si>
  <si>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</si>
  <si>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</si>
  <si>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</si>
  <si>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</si>
  <si>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</si>
  <si>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</si>
  <si>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</si>
  <si>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</si>
  <si>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</si>
  <si>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</si>
  <si>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</si>
  <si>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</si>
  <si>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</si>
  <si>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</si>
  <si>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</si>
  <si>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</si>
  <si>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</si>
  <si>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</si>
  <si>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</si>
  <si>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</si>
  <si>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</si>
  <si>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</si>
  <si>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</si>
  <si>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INTERRUPTOR COMPACTO 4 POLOS 160A REG. 112/160A. 35kA. BAW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</si>
  <si>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</si>
  <si>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</si>
  <si>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</si>
  <si>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</si>
  <si>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</si>
  <si>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</si>
  <si>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</si>
  <si>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</si>
  <si>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</si>
  <si>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</si>
  <si>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</si>
  <si>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</si>
  <si>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</si>
  <si>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</si>
  <si>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</si>
  <si>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</si>
  <si>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</si>
  <si>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</si>
  <si>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</si>
  <si>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</si>
  <si>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</si>
  <si>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</si>
  <si>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</si>
  <si>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</si>
  <si>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</si>
  <si>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</si>
  <si>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</si>
  <si>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</si>
  <si>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</si>
  <si>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</si>
  <si>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</si>
  <si>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</si>
  <si>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</si>
  <si>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</si>
  <si>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</si>
  <si>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</si>
  <si>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</si>
  <si>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</si>
  <si>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</si>
  <si>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</si>
  <si>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</si>
  <si>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</si>
  <si>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</si>
  <si>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</si>
  <si>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</si>
  <si>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</si>
  <si>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</si>
  <si>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</si>
  <si>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</si>
  <si>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</si>
  <si>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</si>
  <si>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</si>
  <si>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</si>
  <si>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</si>
  <si>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</si>
  <si>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</si>
  <si>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</si>
  <si>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</si>
  <si>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</si>
  <si>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</si>
  <si>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</si>
  <si>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</si>
  <si>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</si>
  <si>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</si>
  <si>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</si>
  <si>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</si>
  <si>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</si>
  <si>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</si>
  <si>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</si>
  <si>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</si>
  <si>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</si>
  <si>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</si>
  <si>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</si>
  <si>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</si>
  <si>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</si>
  <si>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</si>
  <si>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</si>
  <si>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</si>
  <si>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</si>
  <si>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</si>
  <si>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</si>
  <si>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</si>
  <si>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</si>
  <si>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</si>
  <si>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</si>
  <si>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</si>
  <si>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</si>
  <si>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</si>
  <si>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</si>
  <si>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</si>
  <si>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</si>
  <si>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</si>
  <si>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</si>
  <si>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</si>
  <si>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</si>
  <si>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</si>
  <si>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</si>
  <si>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</si>
  <si>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</si>
  <si>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</si>
  <si>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</si>
  <si>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</si>
  <si>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</si>
  <si>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</si>
  <si>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</si>
  <si>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</si>
  <si>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</si>
  <si>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</si>
  <si>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</si>
  <si>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</si>
  <si>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</si>
  <si>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</si>
  <si>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</si>
  <si>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</si>
  <si>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</si>
  <si>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</si>
  <si>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</si>
  <si>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</si>
  <si>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</si>
  <si>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</si>
  <si>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</si>
  <si>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</si>
  <si>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</si>
  <si>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</si>
  <si>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</si>
  <si>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</si>
  <si>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</si>
  <si>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</si>
  <si>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</si>
  <si>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</si>
  <si>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</si>
  <si>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</si>
  <si>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</si>
  <si>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</si>
  <si>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</si>
  <si>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</si>
  <si>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</si>
  <si>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</si>
  <si>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</si>
  <si>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</si>
  <si>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</si>
  <si>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</si>
  <si>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</si>
  <si>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</si>
  <si>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</si>
  <si>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</si>
  <si>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</si>
  <si>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</si>
  <si>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</si>
  <si>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</si>
  <si>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</si>
  <si>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</si>
  <si>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</si>
  <si>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</si>
  <si>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</si>
  <si>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</si>
  <si>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</si>
  <si>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</si>
  <si>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</si>
  <si>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</si>
  <si>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</si>
  <si>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</si>
  <si>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</si>
  <si>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</si>
  <si>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</si>
  <si>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</si>
  <si>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</si>
  <si>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</si>
  <si>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</si>
  <si>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</si>
  <si>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</si>
  <si>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</si>
  <si>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</si>
  <si>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</si>
  <si>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</si>
  <si>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</si>
  <si>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</si>
  <si>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</si>
  <si>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</si>
  <si>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</si>
  <si>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</si>
  <si>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</si>
  <si>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</si>
  <si>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</si>
  <si>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</si>
  <si>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</si>
  <si>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</si>
  <si>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</si>
  <si>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</si>
  <si>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</si>
  <si>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</si>
  <si>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</si>
  <si>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</si>
  <si>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</si>
  <si>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</si>
  <si>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</si>
  <si>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</si>
  <si>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</si>
  <si>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</si>
  <si>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</si>
  <si>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</si>
  <si>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</si>
  <si>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</si>
  <si>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</si>
  <si>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</si>
  <si>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</si>
  <si>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</si>
  <si>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</si>
  <si>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</si>
  <si>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</si>
  <si>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</si>
  <si>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</si>
  <si>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</si>
  <si>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</si>
  <si>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</si>
  <si>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</si>
  <si>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</si>
  <si>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</si>
  <si>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</si>
  <si>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</si>
  <si>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</si>
  <si>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</si>
  <si>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</si>
  <si>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</si>
  <si>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</si>
  <si>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</si>
  <si>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</si>
  <si>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</si>
  <si>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</si>
  <si>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</si>
  <si>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</si>
  <si>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</si>
  <si>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</si>
  <si>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</si>
  <si>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</si>
  <si>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</si>
  <si>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</si>
  <si>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</si>
  <si>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</si>
  <si>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</si>
  <si>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</si>
  <si>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</si>
  <si>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</si>
  <si>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</si>
  <si>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</si>
  <si>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</si>
  <si>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</si>
  <si>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</si>
  <si>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</si>
  <si>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</si>
  <si>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</si>
  <si>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</si>
  <si>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</si>
  <si>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</si>
  <si>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</si>
  <si>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</si>
  <si>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</si>
  <si>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</si>
  <si>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</si>
  <si>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</si>
  <si>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</si>
  <si>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</si>
  <si>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</si>
  <si>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</si>
  <si>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</si>
  <si>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</si>
  <si>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</si>
  <si>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</si>
  <si>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</si>
  <si>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</si>
  <si>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</si>
  <si>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</si>
  <si>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</si>
  <si>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</si>
  <si>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</si>
  <si>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</si>
  <si>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</si>
  <si>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</si>
  <si>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10067</t>
  </si>
  <si>
    <t>INTERRUPTOR COMPACTO 4 POLOS 63A REG. 50/63A 18kA GE</t>
  </si>
  <si>
    <t>10068</t>
  </si>
  <si>
    <t>10069</t>
  </si>
  <si>
    <t>10070</t>
  </si>
  <si>
    <t>CURVA METALICA SEMIPESADA 1"</t>
  </si>
  <si>
    <t>10071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</si>
  <si>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</si>
  <si>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</si>
  <si>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</si>
  <si>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</si>
  <si>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</si>
  <si>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</si>
  <si>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</si>
  <si>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</si>
  <si>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</si>
  <si>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</si>
  <si>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</si>
  <si>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2017</t>
  </si>
  <si>
    <t>2018</t>
  </si>
  <si>
    <t>2019</t>
  </si>
  <si>
    <t>2020</t>
  </si>
  <si>
    <t>2021</t>
  </si>
  <si>
    <t>2022</t>
  </si>
  <si>
    <t>2023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</si>
  <si>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</si>
  <si>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</si>
  <si>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</si>
  <si>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</si>
  <si>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</si>
  <si>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</si>
  <si>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</si>
  <si>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</si>
  <si>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</si>
  <si>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</si>
  <si>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</si>
  <si>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</si>
  <si>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</si>
  <si>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</si>
  <si>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</si>
  <si>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</si>
  <si>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</si>
  <si>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</si>
  <si>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</si>
  <si>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</si>
  <si>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</si>
  <si>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</si>
  <si>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</si>
  <si>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</si>
  <si>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2051</t>
  </si>
  <si>
    <t>TAPON TERMO BLACK STONE DIN. 0.75/1.0 KOVEA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</si>
  <si>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</si>
  <si>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</si>
  <si>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</si>
  <si>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</si>
  <si>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</si>
  <si>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</si>
  <si>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</si>
  <si>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</si>
  <si>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</si>
  <si>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</si>
  <si>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</si>
  <si>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</si>
  <si>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</si>
  <si>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</si>
  <si>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</si>
  <si>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</si>
  <si>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</si>
  <si>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</si>
  <si>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</si>
  <si>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</si>
  <si>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</si>
  <si>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</si>
  <si>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</si>
  <si>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</si>
  <si>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</si>
  <si>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</si>
  <si>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</si>
  <si>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</si>
  <si>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</si>
  <si>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</si>
  <si>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</si>
  <si>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</si>
  <si>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</si>
  <si>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</si>
  <si>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</si>
  <si>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</si>
  <si>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</si>
  <si>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</si>
  <si>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</si>
  <si>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</si>
  <si>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</si>
  <si>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</si>
  <si>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</si>
  <si>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</si>
  <si>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</si>
  <si>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</si>
  <si>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</si>
  <si>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</si>
  <si>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</si>
  <si>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</si>
  <si>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</si>
  <si>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</si>
  <si>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</si>
  <si>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</si>
  <si>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</si>
  <si>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</si>
  <si>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</si>
  <si>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</si>
  <si>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</si>
  <si>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</si>
  <si>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</si>
  <si>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</si>
  <si>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</si>
  <si>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</si>
  <si>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</si>
  <si>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</si>
  <si>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</si>
  <si>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</si>
  <si>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</si>
  <si>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</si>
  <si>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</si>
  <si>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</si>
  <si>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</si>
  <si>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</si>
  <si>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</si>
  <si>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</si>
  <si>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</si>
  <si>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</si>
  <si>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</si>
  <si>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</si>
  <si>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</si>
  <si>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</si>
  <si>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</si>
  <si>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</si>
  <si>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PORTALAMPARA 3 PIEZAS NEGRO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</si>
  <si>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</si>
  <si>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</si>
  <si>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</si>
  <si>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</si>
  <si>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</si>
  <si>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</si>
  <si>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</si>
  <si>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</si>
  <si>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</si>
  <si>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</si>
  <si>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</si>
  <si>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</si>
  <si>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</si>
  <si>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</si>
  <si>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</si>
  <si>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</si>
  <si>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</si>
  <si>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</si>
  <si>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</si>
  <si>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</si>
  <si>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</si>
  <si>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</si>
  <si>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</si>
  <si>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</si>
  <si>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</si>
  <si>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</si>
  <si>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</si>
  <si>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</si>
  <si>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</si>
  <si>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</si>
  <si>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</si>
  <si>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</si>
  <si>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</si>
  <si>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</si>
  <si>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</si>
  <si>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</si>
  <si>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</si>
  <si>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</si>
  <si>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</si>
  <si>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</si>
  <si>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</si>
  <si>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</si>
  <si>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</si>
  <si>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</si>
  <si>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</si>
  <si>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</si>
  <si>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</si>
  <si>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</si>
  <si>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</si>
  <si>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</si>
  <si>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</si>
  <si>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</si>
  <si>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</si>
  <si>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</si>
  <si>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</si>
  <si>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</si>
  <si>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</si>
  <si>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</si>
  <si>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</si>
  <si>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</si>
  <si>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</si>
  <si>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</si>
  <si>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</si>
  <si>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</si>
  <si>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</si>
  <si>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</si>
  <si>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</si>
  <si>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</si>
  <si>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</si>
  <si>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</si>
  <si>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</si>
  <si>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</si>
  <si>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</si>
  <si>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</si>
  <si>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</si>
  <si>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</si>
  <si>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</si>
  <si>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</si>
  <si>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</si>
  <si>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</si>
  <si>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</si>
  <si>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</si>
  <si>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</si>
  <si>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</si>
  <si>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</si>
  <si>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</si>
  <si>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</si>
  <si>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</si>
  <si>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</si>
  <si>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</si>
  <si>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</si>
  <si>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</si>
  <si>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</si>
  <si>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</si>
  <si>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</si>
  <si>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</si>
  <si>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</si>
  <si>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</si>
  <si>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</si>
  <si>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</si>
  <si>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</si>
  <si>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</si>
  <si>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</si>
  <si>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</si>
  <si>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</si>
  <si>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</si>
  <si>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</si>
  <si>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</si>
  <si>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</si>
  <si>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</si>
  <si>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</si>
  <si>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</si>
  <si>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</si>
  <si>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</si>
  <si>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</si>
  <si>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</si>
  <si>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</si>
  <si>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</si>
  <si>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</si>
  <si>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</si>
  <si>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</si>
  <si>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</si>
  <si>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</si>
  <si>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</si>
  <si>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</si>
  <si>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</si>
  <si>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</si>
  <si>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</si>
  <si>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</si>
  <si>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</si>
  <si>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</si>
  <si>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</si>
  <si>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</si>
  <si>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</si>
  <si>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</si>
  <si>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</si>
  <si>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</si>
  <si>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</si>
  <si>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</si>
  <si>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</si>
  <si>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</si>
  <si>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</si>
  <si>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</si>
  <si>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</si>
  <si>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</si>
  <si>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</si>
  <si>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</si>
  <si>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</si>
  <si>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</si>
  <si>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</si>
  <si>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</si>
  <si>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</si>
  <si>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</si>
  <si>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</si>
  <si>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</si>
  <si>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</si>
  <si>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</si>
  <si>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</si>
  <si>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</si>
  <si>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</si>
  <si>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</si>
  <si>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</si>
  <si>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</si>
  <si>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</si>
  <si>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</si>
  <si>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</si>
  <si>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</si>
  <si>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</si>
  <si>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</si>
  <si>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</si>
  <si>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</si>
  <si>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</si>
  <si>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</si>
  <si>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</si>
  <si>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</si>
  <si>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</si>
  <si>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</si>
  <si>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</si>
  <si>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</si>
  <si>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</si>
  <si>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</si>
  <si>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</si>
  <si>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</si>
  <si>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</si>
  <si>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</si>
  <si>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</si>
  <si>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</si>
  <si>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</si>
  <si>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</si>
  <si>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</si>
  <si>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</si>
  <si>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</si>
  <si>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</si>
  <si>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</si>
  <si>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</si>
  <si>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</si>
  <si>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</si>
  <si>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</si>
  <si>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</si>
  <si>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</si>
  <si>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</si>
  <si>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</si>
  <si>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</si>
  <si>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</si>
  <si>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</si>
  <si>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</si>
  <si>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</si>
  <si>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</si>
  <si>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</si>
  <si>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</si>
  <si>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</si>
  <si>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</si>
  <si>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</si>
  <si>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</si>
  <si>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</si>
  <si>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</si>
  <si>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</si>
  <si>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</si>
  <si>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</si>
  <si>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</si>
  <si>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</si>
  <si>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</si>
  <si>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</si>
  <si>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</si>
  <si>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</si>
  <si>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</si>
  <si>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</si>
  <si>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</si>
  <si>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</si>
  <si>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</si>
  <si>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</si>
  <si>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</si>
  <si>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</si>
  <si>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</si>
  <si>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</si>
  <si>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</si>
  <si>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</si>
  <si>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</si>
  <si>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</si>
  <si>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</si>
  <si>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</si>
  <si>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</si>
  <si>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</si>
  <si>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</si>
  <si>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</si>
  <si>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</si>
  <si>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</si>
  <si>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</si>
  <si>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</si>
  <si>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</si>
  <si>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</si>
  <si>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</si>
  <si>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</si>
  <si>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</si>
  <si>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</si>
  <si>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</si>
  <si>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</si>
  <si>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</si>
  <si>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</si>
  <si>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</si>
  <si>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</si>
  <si>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</si>
  <si>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</si>
  <si>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</si>
  <si>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</si>
  <si>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</si>
  <si>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</si>
  <si>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</si>
  <si>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</si>
  <si>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</si>
  <si>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</si>
  <si>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</si>
  <si>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</si>
  <si>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</si>
  <si>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</si>
  <si>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</si>
  <si>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</si>
  <si>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</si>
  <si>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</si>
  <si>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</si>
  <si>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</si>
  <si>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</si>
  <si>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</si>
  <si>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</si>
  <si>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</si>
  <si>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</si>
  <si>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</si>
  <si>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</si>
  <si>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</si>
  <si>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</si>
  <si>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</si>
  <si>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</si>
  <si>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</si>
  <si>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</si>
  <si>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</si>
  <si>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</si>
  <si>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</si>
  <si>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</si>
  <si>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</si>
  <si>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</si>
  <si>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</si>
  <si>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</si>
  <si>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</si>
  <si>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</si>
  <si>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</si>
  <si>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</si>
  <si>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</si>
  <si>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</si>
  <si>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</si>
  <si>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</si>
  <si>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</si>
  <si>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</si>
  <si>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</si>
  <si>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</si>
  <si>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</si>
  <si>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</si>
  <si>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</si>
  <si>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</si>
  <si>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</si>
  <si>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</si>
  <si>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</si>
  <si>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</si>
  <si>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</si>
  <si>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</si>
  <si>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</si>
  <si>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</si>
  <si>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</si>
  <si>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</si>
  <si>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</si>
  <si>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</si>
  <si>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</si>
  <si>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</si>
  <si>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</si>
  <si>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</si>
  <si>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</si>
  <si>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</si>
  <si>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</si>
  <si>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</si>
  <si>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</si>
  <si>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</si>
  <si>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</si>
  <si>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</si>
  <si>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</si>
  <si>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</si>
  <si>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</si>
  <si>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</si>
  <si>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</si>
  <si>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</si>
  <si>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</si>
  <si>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</si>
  <si>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</si>
  <si>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</si>
  <si>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</si>
  <si>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</si>
  <si>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</si>
  <si>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</si>
  <si>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</si>
  <si>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</si>
  <si>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</si>
  <si>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</si>
  <si>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</si>
  <si>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</si>
  <si>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</si>
  <si>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</si>
  <si>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</si>
  <si>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</si>
  <si>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</si>
  <si>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</si>
  <si>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</si>
  <si>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</si>
  <si>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</si>
  <si>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</si>
  <si>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</si>
  <si>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</si>
  <si>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</si>
  <si>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</si>
  <si>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</si>
  <si>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</si>
  <si>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</si>
  <si>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</si>
  <si>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</si>
  <si>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</si>
  <si>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</si>
  <si>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</si>
  <si>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</si>
  <si>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</si>
  <si>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</si>
  <si>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</si>
  <si>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</si>
  <si>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</si>
  <si>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</si>
  <si>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</si>
  <si>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</si>
  <si>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</si>
  <si>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</si>
  <si>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</si>
  <si>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</si>
  <si>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</si>
  <si>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</si>
  <si>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</si>
  <si>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</si>
  <si>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</si>
  <si>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</si>
  <si>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</si>
  <si>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</si>
  <si>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</si>
  <si>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</si>
  <si>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</si>
  <si>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</si>
  <si>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</si>
  <si>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</si>
  <si>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</si>
  <si>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</si>
  <si>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</si>
  <si>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</si>
  <si>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</si>
  <si>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</si>
  <si>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</si>
  <si>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</si>
  <si>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</si>
  <si>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</si>
  <si>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</si>
  <si>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</si>
  <si>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</si>
  <si>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</si>
  <si>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</si>
  <si>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</si>
  <si>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</si>
  <si>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</si>
  <si>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</si>
  <si>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</si>
  <si>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</si>
  <si>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</si>
  <si>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</si>
  <si>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</si>
  <si>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</si>
  <si>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</si>
  <si>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</si>
  <si>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</si>
  <si>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</si>
  <si>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</si>
  <si>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</si>
  <si>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</si>
  <si>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</si>
  <si>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</si>
  <si>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</si>
  <si>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</si>
  <si>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</si>
  <si>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</si>
  <si>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</si>
  <si>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</si>
  <si>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</si>
  <si>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</si>
  <si>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</si>
  <si>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</si>
  <si>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</si>
  <si>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</si>
  <si>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</si>
  <si>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</si>
  <si>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</si>
  <si>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</si>
  <si>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</si>
  <si>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</si>
  <si>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</si>
  <si>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</si>
  <si>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</si>
  <si>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</si>
  <si>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</si>
  <si>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</si>
  <si>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</si>
  <si>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</si>
  <si>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</si>
  <si>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</si>
  <si>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</si>
  <si>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</si>
  <si>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</si>
  <si>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</si>
  <si>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</si>
  <si>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</si>
  <si>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</si>
  <si>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</si>
  <si>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</si>
  <si>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</si>
  <si>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</si>
  <si>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</si>
  <si>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</si>
  <si>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</si>
  <si>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</si>
  <si>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</si>
  <si>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</si>
  <si>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</si>
  <si>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</si>
  <si>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</si>
  <si>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</si>
  <si>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</si>
  <si>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</si>
  <si>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</si>
  <si>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</si>
  <si>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</si>
  <si>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</si>
  <si>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</si>
  <si>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</si>
  <si>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</si>
  <si>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</si>
  <si>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</si>
  <si>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</si>
  <si>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</si>
  <si>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</si>
  <si>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</si>
  <si>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</si>
  <si>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</si>
  <si>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</si>
  <si>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</si>
  <si>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</si>
  <si>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</si>
  <si>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</si>
  <si>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</si>
  <si>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</si>
  <si>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</si>
  <si>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</si>
  <si>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</si>
  <si>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</si>
  <si>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</si>
  <si>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</si>
  <si>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</si>
  <si>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</si>
  <si>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</si>
  <si>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</si>
  <si>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</si>
  <si>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</si>
  <si>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</si>
  <si>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</si>
  <si>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</si>
  <si>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</si>
  <si>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</si>
  <si>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</si>
  <si>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</si>
  <si>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</si>
  <si>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</si>
  <si>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</si>
  <si>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</si>
  <si>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</si>
  <si>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</si>
  <si>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</si>
  <si>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</si>
  <si>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</si>
  <si>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</si>
  <si>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</si>
  <si>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</si>
  <si>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</si>
  <si>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</si>
  <si>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</si>
  <si>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</si>
  <si>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</si>
  <si>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</si>
  <si>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</si>
  <si>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</si>
  <si>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</si>
  <si>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</si>
  <si>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</si>
  <si>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</si>
  <si>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</si>
  <si>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</si>
  <si>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</si>
  <si>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</si>
  <si>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</si>
  <si>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</si>
  <si>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</si>
  <si>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</si>
  <si>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</si>
  <si>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</si>
  <si>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</si>
  <si>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</si>
  <si>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</si>
  <si>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</si>
  <si>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</si>
  <si>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</si>
  <si>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</si>
  <si>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</si>
  <si>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</si>
  <si>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</si>
  <si>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</si>
  <si>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</si>
  <si>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</si>
  <si>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</si>
  <si>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</si>
  <si>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</si>
  <si>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</si>
  <si>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</si>
  <si>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</si>
  <si>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</si>
  <si>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</si>
  <si>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</si>
  <si>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</si>
  <si>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</si>
  <si>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</si>
  <si>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</si>
  <si>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</si>
  <si>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</si>
  <si>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</si>
  <si>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</si>
  <si>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</si>
  <si>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</si>
  <si>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</si>
  <si>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</si>
  <si>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</si>
  <si>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</si>
  <si>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</si>
  <si>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</si>
  <si>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</si>
  <si>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</si>
  <si>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</si>
  <si>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</si>
  <si>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</si>
  <si>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</si>
  <si>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</si>
  <si>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</si>
  <si>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</si>
  <si>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</si>
  <si>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</si>
  <si>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</si>
  <si>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</si>
  <si>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</si>
  <si>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</si>
  <si>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</si>
  <si>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</si>
  <si>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</si>
  <si>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</si>
  <si>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</si>
  <si>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</si>
  <si>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</si>
  <si>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</si>
  <si>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</si>
  <si>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</si>
  <si>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</si>
  <si>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</si>
  <si>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</si>
  <si>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</si>
  <si>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</si>
  <si>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</si>
  <si>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</si>
  <si>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</si>
  <si>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</si>
  <si>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</si>
  <si>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</si>
  <si>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</si>
  <si>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</si>
  <si>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</si>
  <si>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</si>
  <si>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</si>
  <si>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</si>
  <si>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</si>
  <si>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</si>
  <si>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</si>
  <si>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</si>
  <si>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</si>
  <si>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</si>
  <si>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</si>
  <si>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</si>
  <si>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</si>
  <si>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</si>
  <si>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</si>
  <si>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</si>
  <si>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</si>
  <si>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</si>
  <si>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</si>
  <si>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</si>
  <si>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</si>
  <si>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</si>
  <si>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</si>
  <si>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</si>
  <si>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</si>
  <si>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</si>
  <si>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</si>
  <si>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</si>
  <si>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</si>
  <si>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</si>
  <si>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</si>
  <si>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</si>
  <si>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</si>
  <si>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</si>
  <si>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</si>
  <si>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</si>
  <si>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</si>
  <si>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</si>
  <si>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</si>
  <si>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</si>
  <si>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</si>
  <si>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</si>
  <si>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</si>
  <si>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</si>
  <si>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</si>
  <si>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</si>
  <si>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</si>
  <si>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</si>
  <si>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</si>
  <si>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</si>
  <si>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</si>
  <si>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</si>
  <si>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</si>
  <si>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</si>
  <si>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</si>
  <si>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</si>
  <si>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</si>
  <si>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</si>
  <si>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</si>
  <si>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</si>
  <si>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</si>
  <si>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</si>
  <si>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</si>
  <si>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</si>
  <si>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</si>
  <si>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</si>
  <si>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</si>
  <si>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</si>
  <si>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</si>
  <si>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</si>
  <si>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</si>
  <si>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</si>
  <si>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</si>
  <si>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</si>
  <si>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</si>
  <si>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</si>
  <si>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</si>
  <si>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</si>
  <si>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</si>
  <si>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</si>
  <si>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</si>
  <si>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</si>
  <si>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</si>
  <si>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</si>
  <si>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</si>
  <si>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</si>
  <si>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</si>
  <si>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</si>
  <si>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</si>
  <si>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</si>
  <si>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</si>
  <si>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</si>
  <si>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</si>
  <si>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</si>
  <si>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</si>
  <si>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</si>
  <si>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</si>
  <si>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</si>
  <si>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</si>
  <si>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</si>
  <si>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</si>
  <si>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</si>
  <si>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</si>
  <si>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</si>
  <si>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</si>
  <si>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</si>
  <si>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</si>
  <si>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</si>
  <si>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</si>
  <si>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</si>
  <si>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</si>
  <si>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</si>
  <si>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</si>
  <si>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</si>
  <si>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</si>
  <si>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</si>
  <si>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</si>
  <si>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</si>
  <si>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</si>
  <si>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</si>
  <si>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</si>
  <si>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</si>
  <si>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</si>
  <si>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</si>
  <si>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</si>
  <si>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</si>
  <si>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</si>
  <si>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</si>
  <si>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</si>
  <si>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</si>
  <si>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</si>
  <si>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</si>
  <si>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</si>
  <si>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</si>
  <si>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</si>
  <si>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</si>
  <si>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</si>
  <si>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</si>
  <si>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</si>
  <si>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</si>
  <si>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</si>
  <si>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</si>
  <si>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</si>
  <si>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</si>
  <si>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</si>
  <si>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</si>
  <si>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</si>
  <si>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</si>
  <si>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</si>
  <si>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</si>
  <si>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</si>
  <si>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</si>
  <si>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</si>
  <si>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</si>
  <si>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</si>
  <si>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</si>
  <si>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</si>
  <si>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</si>
  <si>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</si>
  <si>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</si>
  <si>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</si>
  <si>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</si>
  <si>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</si>
  <si>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</si>
  <si>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</si>
  <si>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</si>
  <si>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</si>
  <si>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</si>
  <si>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</si>
  <si>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</si>
  <si>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</si>
  <si>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</si>
  <si>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</si>
  <si>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</si>
  <si>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</si>
  <si>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</si>
  <si>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</si>
  <si>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</si>
  <si>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</si>
  <si>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</si>
  <si>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</si>
  <si>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</si>
  <si>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</si>
  <si>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</si>
  <si>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</si>
  <si>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</si>
  <si>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</si>
  <si>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</si>
  <si>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</si>
  <si>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</si>
  <si>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</si>
  <si>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</si>
  <si>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</si>
  <si>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</si>
  <si>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</si>
  <si>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</si>
  <si>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</si>
  <si>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</si>
  <si>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</si>
  <si>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</si>
  <si>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</si>
  <si>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</si>
  <si>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</si>
  <si>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</si>
  <si>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</si>
  <si>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</si>
  <si>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</si>
  <si>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</si>
  <si>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</si>
  <si>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</si>
  <si>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</si>
  <si>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</si>
  <si>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</si>
  <si>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</si>
  <si>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</si>
  <si>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</si>
  <si>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</si>
  <si>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</si>
  <si>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</si>
  <si>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</si>
  <si>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</si>
  <si>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</si>
  <si>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</si>
  <si>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</si>
  <si>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</si>
  <si>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</si>
  <si>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</si>
  <si>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</si>
  <si>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</si>
  <si>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</si>
  <si>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</si>
  <si>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</si>
  <si>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</si>
  <si>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</si>
  <si>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</si>
  <si>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</si>
  <si>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</si>
  <si>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</si>
  <si>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</si>
  <si>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</si>
  <si>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</si>
  <si>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</si>
  <si>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</si>
  <si>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</si>
  <si>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</si>
  <si>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</si>
  <si>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</si>
  <si>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</si>
  <si>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</si>
  <si>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</si>
  <si>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</si>
  <si>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</si>
  <si>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</si>
  <si>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</si>
  <si>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</si>
  <si>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</si>
  <si>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</si>
  <si>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</si>
  <si>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</si>
  <si>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</si>
  <si>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</si>
  <si>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</si>
  <si>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</si>
  <si>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</si>
  <si>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</si>
  <si>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</si>
  <si>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</si>
  <si>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</si>
  <si>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</si>
  <si>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</si>
  <si>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</si>
  <si>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</si>
  <si>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</si>
  <si>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</si>
  <si>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</si>
  <si>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</si>
  <si>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</si>
  <si>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</si>
  <si>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</si>
  <si>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</si>
  <si>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</si>
  <si>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</si>
  <si>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</si>
  <si>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</si>
  <si>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</si>
  <si>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</si>
  <si>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</si>
  <si>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</si>
  <si>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</si>
  <si>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</si>
  <si>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</si>
  <si>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</si>
  <si>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</si>
  <si>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</si>
  <si>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</si>
  <si>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</si>
  <si>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</si>
  <si>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</si>
  <si>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</si>
  <si>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</si>
  <si>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</si>
  <si>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</si>
  <si>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</si>
  <si>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</si>
  <si>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</si>
  <si>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</si>
  <si>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</si>
  <si>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</si>
  <si>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</si>
  <si>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</si>
  <si>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</si>
  <si>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</si>
  <si>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</si>
  <si>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</si>
  <si>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</si>
  <si>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</si>
  <si>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3102</t>
  </si>
  <si>
    <t>3103</t>
  </si>
  <si>
    <t>3104</t>
  </si>
  <si>
    <t>3107</t>
  </si>
  <si>
    <t>3112</t>
  </si>
  <si>
    <t>3113</t>
  </si>
  <si>
    <t>3114</t>
  </si>
  <si>
    <t>3115</t>
  </si>
  <si>
    <t>3117</t>
  </si>
  <si>
    <t>3118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</si>
  <si>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</si>
  <si>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</si>
  <si>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</si>
  <si>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</si>
  <si>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</si>
  <si>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</si>
  <si>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</si>
  <si>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</si>
  <si>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</si>
  <si>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</si>
  <si>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</si>
  <si>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</si>
  <si>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</si>
  <si>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</si>
  <si>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</si>
  <si>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</si>
  <si>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</si>
  <si>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</si>
  <si>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DISYUNTOR 2 X 16 A. INDUSTRIAL 10 mA G.E.</t>
  </si>
  <si>
    <t>3139</t>
  </si>
  <si>
    <t>3140</t>
  </si>
  <si>
    <t>3141</t>
  </si>
  <si>
    <t>3142</t>
  </si>
  <si>
    <t>DISYUNTOR 2 X 25 A. NEGRO 30mA G.E.</t>
  </si>
  <si>
    <t>3144</t>
  </si>
  <si>
    <t>3145</t>
  </si>
  <si>
    <t>3146</t>
  </si>
  <si>
    <t>3147</t>
  </si>
  <si>
    <t>3148</t>
  </si>
  <si>
    <t>3149</t>
  </si>
  <si>
    <t>3152</t>
  </si>
  <si>
    <t>3153</t>
  </si>
  <si>
    <t>3155</t>
  </si>
  <si>
    <t>3156</t>
  </si>
  <si>
    <t>3157</t>
  </si>
  <si>
    <t>3159</t>
  </si>
  <si>
    <t>3161</t>
  </si>
  <si>
    <t>3162</t>
  </si>
  <si>
    <t>3163</t>
  </si>
  <si>
    <t>3165</t>
  </si>
  <si>
    <t>3169</t>
  </si>
  <si>
    <t>3171</t>
  </si>
  <si>
    <t>3172</t>
  </si>
  <si>
    <t>3173</t>
  </si>
  <si>
    <t>3175</t>
  </si>
  <si>
    <t>3176</t>
  </si>
  <si>
    <t>3177</t>
  </si>
  <si>
    <t>3178</t>
  </si>
  <si>
    <t>3179</t>
  </si>
  <si>
    <t>3180</t>
  </si>
  <si>
    <t>3181</t>
  </si>
  <si>
    <t>3182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</si>
  <si>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</si>
  <si>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</si>
  <si>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</si>
  <si>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</si>
  <si>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</si>
  <si>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</si>
  <si>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</si>
  <si>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</si>
  <si>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</si>
  <si>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</si>
  <si>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</si>
  <si>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</si>
  <si>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</si>
  <si>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</si>
  <si>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3203</t>
  </si>
  <si>
    <t>3204</t>
  </si>
  <si>
    <t>3205</t>
  </si>
  <si>
    <t>3206</t>
  </si>
  <si>
    <t>3207</t>
  </si>
  <si>
    <t>3208</t>
  </si>
  <si>
    <t>3209</t>
  </si>
  <si>
    <t>3211</t>
  </si>
  <si>
    <t>3212</t>
  </si>
  <si>
    <t>3214</t>
  </si>
  <si>
    <t>3215</t>
  </si>
  <si>
    <t>3216</t>
  </si>
  <si>
    <t>3217</t>
  </si>
  <si>
    <t>3218</t>
  </si>
  <si>
    <t>3220</t>
  </si>
  <si>
    <t>3221</t>
  </si>
  <si>
    <t>3222</t>
  </si>
  <si>
    <t>3223</t>
  </si>
  <si>
    <t>3224</t>
  </si>
  <si>
    <t>3225</t>
  </si>
  <si>
    <t>3226</t>
  </si>
  <si>
    <t>3227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</si>
  <si>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</si>
  <si>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</si>
  <si>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</si>
  <si>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</si>
  <si>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</si>
  <si>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</si>
  <si>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</si>
  <si>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</si>
  <si>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</si>
  <si>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</si>
  <si>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</si>
  <si>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</si>
  <si>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</si>
  <si>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</si>
  <si>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</si>
  <si>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</si>
  <si>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</si>
  <si>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</si>
  <si>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</si>
  <si>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</si>
  <si>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</si>
  <si>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</si>
  <si>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</si>
  <si>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</si>
  <si>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</si>
  <si>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</si>
  <si>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</si>
  <si>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</si>
  <si>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</si>
  <si>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</si>
  <si>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</si>
  <si>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</si>
  <si>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</si>
  <si>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</si>
  <si>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</si>
  <si>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</si>
  <si>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</si>
  <si>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</si>
  <si>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</si>
  <si>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3275</t>
  </si>
  <si>
    <t>3277</t>
  </si>
  <si>
    <t>TERMICA 2 X 20 A. NEGRA 4,5 kA G.E.</t>
  </si>
  <si>
    <t>3278</t>
  </si>
  <si>
    <t>3279</t>
  </si>
  <si>
    <t>3280</t>
  </si>
  <si>
    <t>3281</t>
  </si>
  <si>
    <t>3282</t>
  </si>
  <si>
    <t>3284</t>
  </si>
  <si>
    <t>3285</t>
  </si>
  <si>
    <t>3286</t>
  </si>
  <si>
    <t>3287</t>
  </si>
  <si>
    <t>3288</t>
  </si>
  <si>
    <t>3290</t>
  </si>
  <si>
    <t>3291</t>
  </si>
  <si>
    <t>3292</t>
  </si>
  <si>
    <t>3293</t>
  </si>
  <si>
    <t>3295</t>
  </si>
  <si>
    <t>3296</t>
  </si>
  <si>
    <t>3297</t>
  </si>
  <si>
    <t>3300</t>
  </si>
  <si>
    <t>3301</t>
  </si>
  <si>
    <t>3302</t>
  </si>
  <si>
    <t>3303</t>
  </si>
  <si>
    <t>3304</t>
  </si>
  <si>
    <t>3305</t>
  </si>
  <si>
    <t>3306</t>
  </si>
  <si>
    <t>3307</t>
  </si>
  <si>
    <t>3309</t>
  </si>
  <si>
    <t>3310</t>
  </si>
  <si>
    <t>3312</t>
  </si>
  <si>
    <t>3313</t>
  </si>
  <si>
    <t>3321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</si>
  <si>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</si>
  <si>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</si>
  <si>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</si>
  <si>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</si>
  <si>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</si>
  <si>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</si>
  <si>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</si>
  <si>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</si>
  <si>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</si>
  <si>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</si>
  <si>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</si>
  <si>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</si>
  <si>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</si>
  <si>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</si>
  <si>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</si>
  <si>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</si>
  <si>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</si>
  <si>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</si>
  <si>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</si>
  <si>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</si>
  <si>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</si>
  <si>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</si>
  <si>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</si>
  <si>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</si>
  <si>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</si>
  <si>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</si>
  <si>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</si>
  <si>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</si>
  <si>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</si>
  <si>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</si>
  <si>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</si>
  <si>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</si>
  <si>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</si>
  <si>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</si>
  <si>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</si>
  <si>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</si>
  <si>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</si>
  <si>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</si>
  <si>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</si>
  <si>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</si>
  <si>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</si>
  <si>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</si>
  <si>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</si>
  <si>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</si>
  <si>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</si>
  <si>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</si>
  <si>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</si>
  <si>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</si>
  <si>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</si>
  <si>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</si>
  <si>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</si>
  <si>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</si>
  <si>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</si>
  <si>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</si>
  <si>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</si>
  <si>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</si>
  <si>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</si>
  <si>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</si>
  <si>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</si>
  <si>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</si>
  <si>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</si>
  <si>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</si>
  <si>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</si>
  <si>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</si>
  <si>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</si>
  <si>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</si>
  <si>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</si>
  <si>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</si>
  <si>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</si>
  <si>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</si>
  <si>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</si>
  <si>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</si>
  <si>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</si>
  <si>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</si>
  <si>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</si>
  <si>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</si>
  <si>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</si>
  <si>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</si>
  <si>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</si>
  <si>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</si>
  <si>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</si>
  <si>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</si>
  <si>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</si>
  <si>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</si>
  <si>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</si>
  <si>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</si>
  <si>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</si>
  <si>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</si>
  <si>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</si>
  <si>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</si>
  <si>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</si>
  <si>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</si>
  <si>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</si>
  <si>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</si>
  <si>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</si>
  <si>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</si>
  <si>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</si>
  <si>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</si>
  <si>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</si>
  <si>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</si>
  <si>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</si>
  <si>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</si>
  <si>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</si>
  <si>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</si>
  <si>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</si>
  <si>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</si>
  <si>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</si>
  <si>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</si>
  <si>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</si>
  <si>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</si>
  <si>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</si>
  <si>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</si>
  <si>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</si>
  <si>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</si>
  <si>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</si>
  <si>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</si>
  <si>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</si>
  <si>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</si>
  <si>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</si>
  <si>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</si>
  <si>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</si>
  <si>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</si>
  <si>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</si>
  <si>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</si>
  <si>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</si>
  <si>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</si>
  <si>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</si>
  <si>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</si>
  <si>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</si>
  <si>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</si>
  <si>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</si>
  <si>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</si>
  <si>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</si>
  <si>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</si>
  <si>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</si>
  <si>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</si>
  <si>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</si>
  <si>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</si>
  <si>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</si>
  <si>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</si>
  <si>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</si>
  <si>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</si>
  <si>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</si>
  <si>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</si>
  <si>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</si>
  <si>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</si>
  <si>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</si>
  <si>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</si>
  <si>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</si>
  <si>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</si>
  <si>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</si>
  <si>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</si>
  <si>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</si>
  <si>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</si>
  <si>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</si>
  <si>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</si>
  <si>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</si>
  <si>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</si>
  <si>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</si>
  <si>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</si>
  <si>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</si>
  <si>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</si>
  <si>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</si>
  <si>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</si>
  <si>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</si>
  <si>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</si>
  <si>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</si>
  <si>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</si>
  <si>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</si>
  <si>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</si>
  <si>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</si>
  <si>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</si>
  <si>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</si>
  <si>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</si>
  <si>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</si>
  <si>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</si>
  <si>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</si>
  <si>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</si>
  <si>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</si>
  <si>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</si>
  <si>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</si>
  <si>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</si>
  <si>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</si>
  <si>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</si>
  <si>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</si>
  <si>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</si>
  <si>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</si>
  <si>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</si>
  <si>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</si>
  <si>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</si>
  <si>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</si>
  <si>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</si>
  <si>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</si>
  <si>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</si>
  <si>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</si>
  <si>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</si>
  <si>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</si>
  <si>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</si>
  <si>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</si>
  <si>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</si>
  <si>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</si>
  <si>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</si>
  <si>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</si>
  <si>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</si>
  <si>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</si>
  <si>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</si>
  <si>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</si>
  <si>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</si>
  <si>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</si>
  <si>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</si>
  <si>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</si>
  <si>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</si>
  <si>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</si>
  <si>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</si>
  <si>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</si>
  <si>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</si>
  <si>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</si>
  <si>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</si>
  <si>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</si>
  <si>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</si>
  <si>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</si>
  <si>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</si>
  <si>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</si>
  <si>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</si>
  <si>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</si>
  <si>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</si>
  <si>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</si>
  <si>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</si>
  <si>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</si>
  <si>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</si>
  <si>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</si>
  <si>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</si>
  <si>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</si>
  <si>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</si>
  <si>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</si>
  <si>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</si>
  <si>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</si>
  <si>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</si>
  <si>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</si>
  <si>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</si>
  <si>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</si>
  <si>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</si>
  <si>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</si>
  <si>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</si>
  <si>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</si>
  <si>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</si>
  <si>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</si>
  <si>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</si>
  <si>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</si>
  <si>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</si>
  <si>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</si>
  <si>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</si>
  <si>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</si>
  <si>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</si>
  <si>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</si>
  <si>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</si>
  <si>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</si>
  <si>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</si>
  <si>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</si>
  <si>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</si>
  <si>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</si>
  <si>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</si>
  <si>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</si>
  <si>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</si>
  <si>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</si>
  <si>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</si>
  <si>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</si>
  <si>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</si>
  <si>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</si>
  <si>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</si>
  <si>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</si>
  <si>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</si>
  <si>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</si>
  <si>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</si>
  <si>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</si>
  <si>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</si>
  <si>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</si>
  <si>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</si>
  <si>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</si>
  <si>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</si>
  <si>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</si>
  <si>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</si>
  <si>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</si>
  <si>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</si>
  <si>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</si>
  <si>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</si>
  <si>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</si>
  <si>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</si>
  <si>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</si>
  <si>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</si>
  <si>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</si>
  <si>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</si>
  <si>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</si>
  <si>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</si>
  <si>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</si>
  <si>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</si>
  <si>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</si>
  <si>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</si>
  <si>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</si>
  <si>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</si>
  <si>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</si>
  <si>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</si>
  <si>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</si>
  <si>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</si>
  <si>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</si>
  <si>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</si>
  <si>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</si>
  <si>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</si>
  <si>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</si>
  <si>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</si>
  <si>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</si>
  <si>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</si>
  <si>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</si>
  <si>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</si>
  <si>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</si>
  <si>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</si>
  <si>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</si>
  <si>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</si>
  <si>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</si>
  <si>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</si>
  <si>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</si>
  <si>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</si>
  <si>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</si>
  <si>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</si>
  <si>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</si>
  <si>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</si>
  <si>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</si>
  <si>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</si>
  <si>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</si>
  <si>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</si>
  <si>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</si>
  <si>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</si>
  <si>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</si>
  <si>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</si>
  <si>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</si>
  <si>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</si>
  <si>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</si>
  <si>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</si>
  <si>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</si>
  <si>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</si>
  <si>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</si>
  <si>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</si>
  <si>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</si>
  <si>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</si>
  <si>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</si>
  <si>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</si>
  <si>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</si>
  <si>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</si>
  <si>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</si>
  <si>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</si>
  <si>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</si>
  <si>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</si>
  <si>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</si>
  <si>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</si>
  <si>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</si>
  <si>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</si>
  <si>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</si>
  <si>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</si>
  <si>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</si>
  <si>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</si>
  <si>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</si>
  <si>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</si>
  <si>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</si>
  <si>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</si>
  <si>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</si>
  <si>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</si>
  <si>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</si>
  <si>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</si>
  <si>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</si>
  <si>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</si>
  <si>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</si>
  <si>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</si>
  <si>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</si>
  <si>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</si>
  <si>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</si>
  <si>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</si>
  <si>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</si>
  <si>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</si>
  <si>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</si>
  <si>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</si>
  <si>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</si>
  <si>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</si>
  <si>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</si>
  <si>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</si>
  <si>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</si>
  <si>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</si>
  <si>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</si>
  <si>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</si>
  <si>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</si>
  <si>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</si>
  <si>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</si>
  <si>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</si>
  <si>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</si>
  <si>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</si>
  <si>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</si>
  <si>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</si>
  <si>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</si>
  <si>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</si>
  <si>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</si>
  <si>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</si>
  <si>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</si>
  <si>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MODULO VARIADOR DE INTENS. LUMINOSA APTO LED  MARFIL KALOP**</t>
  </si>
  <si>
    <t>3727</t>
  </si>
  <si>
    <t>MODULO VARIADOR DE INTENS. LUMINOSA APTO LED NEGRO KALOP**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</si>
  <si>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</si>
  <si>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</si>
  <si>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</si>
  <si>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</si>
  <si>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</si>
  <si>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</si>
  <si>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</si>
  <si>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</si>
  <si>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</si>
  <si>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</si>
  <si>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</si>
  <si>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</si>
  <si>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</si>
  <si>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</si>
  <si>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</si>
  <si>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</si>
  <si>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</si>
  <si>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</si>
  <si>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</si>
  <si>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</si>
  <si>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</si>
  <si>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</si>
  <si>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</si>
  <si>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</si>
  <si>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</si>
  <si>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</si>
  <si>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</si>
  <si>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</si>
  <si>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</si>
  <si>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</si>
  <si>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</si>
  <si>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</si>
  <si>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</si>
  <si>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</si>
  <si>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</si>
  <si>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</si>
  <si>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</si>
  <si>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</si>
  <si>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</si>
  <si>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</si>
  <si>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</si>
  <si>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</si>
  <si>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</si>
  <si>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</si>
  <si>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</si>
  <si>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</si>
  <si>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</si>
  <si>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</si>
  <si>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</si>
  <si>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</si>
  <si>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</si>
  <si>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</si>
  <si>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</si>
  <si>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</si>
  <si>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</si>
  <si>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</si>
  <si>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</si>
  <si>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</si>
  <si>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</si>
  <si>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</si>
  <si>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</si>
  <si>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</si>
  <si>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</si>
  <si>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</si>
  <si>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</si>
  <si>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</si>
  <si>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</si>
  <si>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</si>
  <si>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</si>
  <si>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</si>
  <si>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</si>
  <si>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</si>
  <si>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</si>
  <si>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</si>
  <si>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</si>
  <si>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</si>
  <si>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</si>
  <si>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</si>
  <si>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</si>
  <si>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</si>
  <si>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</si>
  <si>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</si>
  <si>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</si>
  <si>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</si>
  <si>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</si>
  <si>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</si>
  <si>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</si>
  <si>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</si>
  <si>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</si>
  <si>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</si>
  <si>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</si>
  <si>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</si>
  <si>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</si>
  <si>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</si>
  <si>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</si>
  <si>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</si>
  <si>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</si>
  <si>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</si>
  <si>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</si>
  <si>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</si>
  <si>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</si>
  <si>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</si>
  <si>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</si>
  <si>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</si>
  <si>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</si>
  <si>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</si>
  <si>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</si>
  <si>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</si>
  <si>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</si>
  <si>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</si>
  <si>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</si>
  <si>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</si>
  <si>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</si>
  <si>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</si>
  <si>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</si>
  <si>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</si>
  <si>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</si>
  <si>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</si>
  <si>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</si>
  <si>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</si>
  <si>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</si>
  <si>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</si>
  <si>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</si>
  <si>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</si>
  <si>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</si>
  <si>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</si>
  <si>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</si>
  <si>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</si>
  <si>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</si>
  <si>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</si>
  <si>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</si>
  <si>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</si>
  <si>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</si>
  <si>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</si>
  <si>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</si>
  <si>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</si>
  <si>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</si>
  <si>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</si>
  <si>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</si>
  <si>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</si>
  <si>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</si>
  <si>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</si>
  <si>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</si>
  <si>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</si>
  <si>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</si>
  <si>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</si>
  <si>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</si>
  <si>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</si>
  <si>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</si>
  <si>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</si>
  <si>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</si>
  <si>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</si>
  <si>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</si>
  <si>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</si>
  <si>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</si>
  <si>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</si>
  <si>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</si>
  <si>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</si>
  <si>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</si>
  <si>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</si>
  <si>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</si>
  <si>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</si>
  <si>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</si>
  <si>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</si>
  <si>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</si>
  <si>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</si>
  <si>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</si>
  <si>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</si>
  <si>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</si>
  <si>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</si>
  <si>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</si>
  <si>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</si>
  <si>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</si>
  <si>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</si>
  <si>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</si>
  <si>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</si>
  <si>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</si>
  <si>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</si>
  <si>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</si>
  <si>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</si>
  <si>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</si>
  <si>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</si>
  <si>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</si>
  <si>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</si>
  <si>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</si>
  <si>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</si>
  <si>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</si>
  <si>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</si>
  <si>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</si>
  <si>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</si>
  <si>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</si>
  <si>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</si>
  <si>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</si>
  <si>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</si>
  <si>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</si>
  <si>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</si>
  <si>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</si>
  <si>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</si>
  <si>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</si>
  <si>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</si>
  <si>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</si>
  <si>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</si>
  <si>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</si>
  <si>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</si>
  <si>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</si>
  <si>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</si>
  <si>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</si>
  <si>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</si>
  <si>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</si>
  <si>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</si>
  <si>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</si>
  <si>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</si>
  <si>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</si>
  <si>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</si>
  <si>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</si>
  <si>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</si>
  <si>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</si>
  <si>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</si>
  <si>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</si>
  <si>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</si>
  <si>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</si>
  <si>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</si>
  <si>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</si>
  <si>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</si>
  <si>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</si>
  <si>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</si>
  <si>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</si>
  <si>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</si>
  <si>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</si>
  <si>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</si>
  <si>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</si>
  <si>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</si>
  <si>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</si>
  <si>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</si>
  <si>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</si>
  <si>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</si>
  <si>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</si>
  <si>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</si>
  <si>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</si>
  <si>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</si>
  <si>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</si>
  <si>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</si>
  <si>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</si>
  <si>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</si>
  <si>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</si>
  <si>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</si>
  <si>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</si>
  <si>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</si>
  <si>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</si>
  <si>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</si>
  <si>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</si>
  <si>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</si>
  <si>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</si>
  <si>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</si>
  <si>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</si>
  <si>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</si>
  <si>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</si>
  <si>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</si>
  <si>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</si>
  <si>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</si>
  <si>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</si>
  <si>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</si>
  <si>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</si>
  <si>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</si>
  <si>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</si>
  <si>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</si>
  <si>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</si>
  <si>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</si>
  <si>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</si>
  <si>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</si>
  <si>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</si>
  <si>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</si>
  <si>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</si>
  <si>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</si>
  <si>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</si>
  <si>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</si>
  <si>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</si>
  <si>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</si>
  <si>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</si>
  <si>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</si>
  <si>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</si>
  <si>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</si>
  <si>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</si>
  <si>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</si>
  <si>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</si>
  <si>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</si>
  <si>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</si>
  <si>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</si>
  <si>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</si>
  <si>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</si>
  <si>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</si>
  <si>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</si>
  <si>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</si>
  <si>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</si>
  <si>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</si>
  <si>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</si>
  <si>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</si>
  <si>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</si>
  <si>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</si>
  <si>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</si>
  <si>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</si>
  <si>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</si>
  <si>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</si>
  <si>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</si>
  <si>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</si>
  <si>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</si>
  <si>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</si>
  <si>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</si>
  <si>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</si>
  <si>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</si>
  <si>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</si>
  <si>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</si>
  <si>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</si>
  <si>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</si>
  <si>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</si>
  <si>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</si>
  <si>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</si>
  <si>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</si>
  <si>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</si>
  <si>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</si>
  <si>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</si>
  <si>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</si>
  <si>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4052</t>
  </si>
  <si>
    <t>4053</t>
  </si>
  <si>
    <t>4054</t>
  </si>
  <si>
    <t>4055</t>
  </si>
  <si>
    <t>4056</t>
  </si>
  <si>
    <t>4057</t>
  </si>
  <si>
    <t>4058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</si>
  <si>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</si>
  <si>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</si>
  <si>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</si>
  <si>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</si>
  <si>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</si>
  <si>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</si>
  <si>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</si>
  <si>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</si>
  <si>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</si>
  <si>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</si>
  <si>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</si>
  <si>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</si>
  <si>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</si>
  <si>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</si>
  <si>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</si>
  <si>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</si>
  <si>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</si>
  <si>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</si>
  <si>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</si>
  <si>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</si>
  <si>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</si>
  <si>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</si>
  <si>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</si>
  <si>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</si>
  <si>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</si>
  <si>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</si>
  <si>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</si>
  <si>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</si>
  <si>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</si>
  <si>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</si>
  <si>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</si>
  <si>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</si>
  <si>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</si>
  <si>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</si>
  <si>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</si>
  <si>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</si>
  <si>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</si>
  <si>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</si>
  <si>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</si>
  <si>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</si>
  <si>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</si>
  <si>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</si>
  <si>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</si>
  <si>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</si>
  <si>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</si>
  <si>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</si>
  <si>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</si>
  <si>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</si>
  <si>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</si>
  <si>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</si>
  <si>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</si>
  <si>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</si>
  <si>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</si>
  <si>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</si>
  <si>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</si>
  <si>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</si>
  <si>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</si>
  <si>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</si>
  <si>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</si>
  <si>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</si>
  <si>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</si>
  <si>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</si>
  <si>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</si>
  <si>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</si>
  <si>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</si>
  <si>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</si>
  <si>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</si>
  <si>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</si>
  <si>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</si>
  <si>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</si>
  <si>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</si>
  <si>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</si>
  <si>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</si>
  <si>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</si>
  <si>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</si>
  <si>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</si>
  <si>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</si>
  <si>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</si>
  <si>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</si>
  <si>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</si>
  <si>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</si>
  <si>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</si>
  <si>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</si>
  <si>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</si>
  <si>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</si>
  <si>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</si>
  <si>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</si>
  <si>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</si>
  <si>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</si>
  <si>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</si>
  <si>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</si>
  <si>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</si>
  <si>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</si>
  <si>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</si>
  <si>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</si>
  <si>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</si>
  <si>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</si>
  <si>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</si>
  <si>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</si>
  <si>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</si>
  <si>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</si>
  <si>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</si>
  <si>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</si>
  <si>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</si>
  <si>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</si>
  <si>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</si>
  <si>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</si>
  <si>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</si>
  <si>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</si>
  <si>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</si>
  <si>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</si>
  <si>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</si>
  <si>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</si>
  <si>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</si>
  <si>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</si>
  <si>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</si>
  <si>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</si>
  <si>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</si>
  <si>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</si>
  <si>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</si>
  <si>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</si>
  <si>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</si>
  <si>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</si>
  <si>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</si>
  <si>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</si>
  <si>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</si>
  <si>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</si>
  <si>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</si>
  <si>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4191</t>
  </si>
  <si>
    <t>4194</t>
  </si>
  <si>
    <t>4197</t>
  </si>
  <si>
    <t>4198</t>
  </si>
  <si>
    <t>4203</t>
  </si>
  <si>
    <t>4209</t>
  </si>
  <si>
    <t>4213</t>
  </si>
  <si>
    <t>4215</t>
  </si>
  <si>
    <t>4217</t>
  </si>
  <si>
    <t>4218</t>
  </si>
  <si>
    <t>4220</t>
  </si>
  <si>
    <t>4221</t>
  </si>
  <si>
    <t>4224</t>
  </si>
  <si>
    <t>4231</t>
  </si>
  <si>
    <t>4233</t>
  </si>
  <si>
    <t>4236</t>
  </si>
  <si>
    <t>4241</t>
  </si>
  <si>
    <t>4243</t>
  </si>
  <si>
    <t>4244</t>
  </si>
  <si>
    <t>4247</t>
  </si>
  <si>
    <t>4248</t>
  </si>
  <si>
    <t>4250</t>
  </si>
  <si>
    <t>4251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</si>
  <si>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</si>
  <si>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</si>
  <si>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</si>
  <si>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</si>
  <si>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</si>
  <si>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</si>
  <si>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</si>
  <si>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</si>
  <si>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</si>
  <si>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</si>
  <si>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</si>
  <si>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</si>
  <si>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</si>
  <si>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</si>
  <si>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</si>
  <si>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</si>
  <si>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</si>
  <si>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</si>
  <si>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</si>
  <si>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</si>
  <si>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</si>
  <si>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</si>
  <si>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</si>
  <si>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</si>
  <si>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</si>
  <si>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</si>
  <si>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</si>
  <si>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</si>
  <si>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</si>
  <si>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</si>
  <si>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</si>
  <si>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</si>
  <si>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</si>
  <si>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</si>
  <si>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</si>
  <si>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</si>
  <si>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</si>
  <si>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</si>
  <si>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</si>
  <si>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</si>
  <si>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</si>
  <si>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</si>
  <si>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</si>
  <si>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</si>
  <si>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</si>
  <si>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</si>
  <si>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</si>
  <si>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</si>
  <si>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</si>
  <si>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</si>
  <si>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</si>
  <si>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</si>
  <si>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</si>
  <si>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</si>
  <si>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</si>
  <si>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</si>
  <si>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</si>
  <si>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</si>
  <si>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</si>
  <si>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</si>
  <si>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</si>
  <si>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</si>
  <si>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</si>
  <si>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</si>
  <si>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</si>
  <si>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</si>
  <si>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</si>
  <si>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</si>
  <si>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</si>
  <si>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</si>
  <si>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</si>
  <si>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</si>
  <si>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4327</t>
  </si>
  <si>
    <t>4328</t>
  </si>
  <si>
    <t>4329</t>
  </si>
  <si>
    <t>4330</t>
  </si>
  <si>
    <t>4333</t>
  </si>
  <si>
    <t>4334</t>
  </si>
  <si>
    <t>4335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</si>
  <si>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</si>
  <si>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</si>
  <si>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</si>
  <si>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</si>
  <si>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</si>
  <si>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</si>
  <si>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</si>
  <si>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</si>
  <si>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</si>
  <si>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</si>
  <si>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</si>
  <si>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</si>
  <si>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</si>
  <si>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</si>
  <si>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</si>
  <si>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</si>
  <si>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</si>
  <si>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</si>
  <si>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</si>
  <si>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</si>
  <si>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</si>
  <si>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</si>
  <si>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</si>
  <si>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</si>
  <si>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</si>
  <si>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</si>
  <si>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</si>
  <si>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</si>
  <si>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</si>
  <si>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</si>
  <si>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</si>
  <si>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</si>
  <si>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</si>
  <si>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</si>
  <si>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</si>
  <si>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</si>
  <si>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</si>
  <si>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</si>
  <si>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</si>
  <si>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</si>
  <si>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</si>
  <si>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</si>
  <si>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</si>
  <si>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</si>
  <si>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</si>
  <si>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</si>
  <si>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</si>
  <si>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</si>
  <si>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</si>
  <si>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</si>
  <si>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</si>
  <si>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</si>
  <si>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</si>
  <si>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</si>
  <si>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</si>
  <si>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</si>
  <si>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</si>
  <si>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</si>
  <si>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</si>
  <si>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</si>
  <si>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</si>
  <si>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</si>
  <si>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</si>
  <si>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</si>
  <si>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</si>
  <si>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</si>
  <si>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</si>
  <si>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</si>
  <si>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</si>
  <si>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</si>
  <si>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</si>
  <si>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</si>
  <si>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</si>
  <si>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</si>
  <si>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</si>
  <si>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</si>
  <si>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</si>
  <si>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</si>
  <si>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</si>
  <si>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</si>
  <si>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</si>
  <si>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</si>
  <si>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</si>
  <si>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</si>
  <si>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</si>
  <si>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</si>
  <si>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</si>
  <si>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</si>
  <si>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</si>
  <si>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</si>
  <si>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</si>
  <si>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</si>
  <si>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</si>
  <si>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</si>
  <si>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</si>
  <si>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</si>
  <si>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</si>
  <si>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</si>
  <si>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</si>
  <si>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</si>
  <si>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</si>
  <si>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</si>
  <si>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</si>
  <si>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</si>
  <si>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</si>
  <si>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</si>
  <si>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</si>
  <si>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</si>
  <si>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</si>
  <si>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</si>
  <si>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</si>
  <si>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</si>
  <si>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</si>
  <si>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</si>
  <si>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</si>
  <si>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</si>
  <si>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</si>
  <si>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</si>
  <si>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</si>
  <si>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</si>
  <si>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</si>
  <si>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</si>
  <si>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</si>
  <si>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</si>
  <si>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</si>
  <si>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</si>
  <si>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</si>
  <si>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</si>
  <si>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</si>
  <si>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</si>
  <si>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</si>
  <si>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</si>
  <si>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</si>
  <si>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</si>
  <si>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</si>
  <si>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</si>
  <si>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</si>
  <si>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</si>
  <si>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</si>
  <si>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</si>
  <si>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</si>
  <si>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</si>
  <si>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</si>
  <si>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</si>
  <si>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</si>
  <si>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</si>
  <si>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</si>
  <si>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</si>
  <si>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</si>
  <si>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</si>
  <si>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</si>
  <si>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</si>
  <si>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</si>
  <si>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</si>
  <si>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</si>
  <si>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</si>
  <si>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</si>
  <si>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</si>
  <si>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</si>
  <si>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</si>
  <si>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</si>
  <si>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</si>
  <si>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</si>
  <si>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</si>
  <si>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</si>
  <si>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</si>
  <si>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</si>
  <si>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</si>
  <si>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</si>
  <si>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</si>
  <si>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</si>
  <si>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</si>
  <si>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</si>
  <si>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</si>
  <si>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</si>
  <si>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</si>
  <si>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</si>
  <si>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</si>
  <si>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</si>
  <si>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</si>
  <si>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</si>
  <si>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</si>
  <si>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</si>
  <si>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</si>
  <si>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</si>
  <si>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</si>
  <si>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</si>
  <si>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</si>
  <si>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</si>
  <si>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</si>
  <si>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</si>
  <si>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</si>
  <si>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</si>
  <si>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</si>
  <si>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</si>
  <si>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</si>
  <si>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</si>
  <si>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</si>
  <si>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</si>
  <si>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</si>
  <si>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</si>
  <si>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</si>
  <si>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</si>
  <si>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</si>
  <si>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</si>
  <si>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</si>
  <si>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</si>
  <si>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</si>
  <si>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</si>
  <si>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</si>
  <si>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</si>
  <si>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</si>
  <si>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</si>
  <si>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</si>
  <si>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</si>
  <si>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4554</t>
  </si>
  <si>
    <t>2016</t>
  </si>
  <si>
    <t>2024</t>
  </si>
  <si>
    <t>2050</t>
  </si>
  <si>
    <t>2070</t>
  </si>
  <si>
    <t>3138</t>
  </si>
  <si>
    <t>3143</t>
  </si>
  <si>
    <t>3150</t>
  </si>
  <si>
    <t>3151</t>
  </si>
  <si>
    <t>3154</t>
  </si>
  <si>
    <t>3158</t>
  </si>
  <si>
    <t>3160</t>
  </si>
  <si>
    <t>3164</t>
  </si>
  <si>
    <t>3166</t>
  </si>
  <si>
    <t>3167</t>
  </si>
  <si>
    <t>3168</t>
  </si>
  <si>
    <t>3170</t>
  </si>
  <si>
    <t>3174</t>
  </si>
  <si>
    <t>3183</t>
  </si>
  <si>
    <t>3198</t>
  </si>
  <si>
    <t>3199</t>
  </si>
  <si>
    <t>3200</t>
  </si>
  <si>
    <t>3201</t>
  </si>
  <si>
    <t>3202</t>
  </si>
  <si>
    <t>3210</t>
  </si>
  <si>
    <t>3213</t>
  </si>
  <si>
    <t>3219</t>
  </si>
  <si>
    <t>3228</t>
  </si>
  <si>
    <t>3229</t>
  </si>
  <si>
    <t>3230</t>
  </si>
  <si>
    <t>3231</t>
  </si>
  <si>
    <t>3251</t>
  </si>
  <si>
    <t>3252</t>
  </si>
  <si>
    <t>3253</t>
  </si>
  <si>
    <t>3274</t>
  </si>
  <si>
    <t>3276</t>
  </si>
  <si>
    <t>3283</t>
  </si>
  <si>
    <t>3289</t>
  </si>
  <si>
    <t>3294</t>
  </si>
  <si>
    <t>3298</t>
  </si>
  <si>
    <t>3299</t>
  </si>
  <si>
    <t>3308</t>
  </si>
  <si>
    <t>3311</t>
  </si>
  <si>
    <t>3314</t>
  </si>
  <si>
    <t>3315</t>
  </si>
  <si>
    <t>3316</t>
  </si>
  <si>
    <t>3317</t>
  </si>
  <si>
    <t>3318</t>
  </si>
  <si>
    <t>3319</t>
  </si>
  <si>
    <t>3320</t>
  </si>
  <si>
    <t>3322</t>
  </si>
  <si>
    <t>3323</t>
  </si>
  <si>
    <t>3324</t>
  </si>
  <si>
    <t>3325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</si>
  <si>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</si>
  <si>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</si>
  <si>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</si>
  <si>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</si>
  <si>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</si>
  <si>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</si>
  <si>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</si>
  <si>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</si>
  <si>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</si>
  <si>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</si>
  <si>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</si>
  <si>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</si>
  <si>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</si>
  <si>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</si>
  <si>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</si>
  <si>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</si>
  <si>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</si>
  <si>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</si>
  <si>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</si>
  <si>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</si>
  <si>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</si>
  <si>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</si>
  <si>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</si>
  <si>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</si>
  <si>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</si>
  <si>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</si>
  <si>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</si>
  <si>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</si>
  <si>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</si>
  <si>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</si>
  <si>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</si>
  <si>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</si>
  <si>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</si>
  <si>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</si>
  <si>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</si>
  <si>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Codigo Viejo</t>
  </si>
  <si>
    <t>Codigo</t>
  </si>
  <si>
    <t>COD PSI</t>
  </si>
  <si>
    <t>NUEVO</t>
  </si>
  <si>
    <t>10072</t>
  </si>
  <si>
    <t>10073</t>
  </si>
  <si>
    <t>10074</t>
  </si>
  <si>
    <t>Descripcion</t>
  </si>
  <si>
    <t>Moneda</t>
  </si>
  <si>
    <t>Dolares</t>
  </si>
  <si>
    <t>LAMPARA GLOBO LED 12W G100</t>
  </si>
  <si>
    <t>Pesos Argentinos</t>
  </si>
  <si>
    <t>Iva</t>
  </si>
  <si>
    <t>5000</t>
  </si>
  <si>
    <t>5001</t>
  </si>
  <si>
    <t>5002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</si>
  <si>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</si>
  <si>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</si>
  <si>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</si>
  <si>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</si>
  <si>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</si>
  <si>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</si>
  <si>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</si>
  <si>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</si>
  <si>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</si>
  <si>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</si>
  <si>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</si>
  <si>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</si>
  <si>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</si>
  <si>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</si>
  <si>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</si>
  <si>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</si>
  <si>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</si>
  <si>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</si>
  <si>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</si>
  <si>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</si>
  <si>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</si>
  <si>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</si>
  <si>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</si>
  <si>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</si>
  <si>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</si>
  <si>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</si>
  <si>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</si>
  <si>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</si>
  <si>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</si>
  <si>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</si>
  <si>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</si>
  <si>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</si>
  <si>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</si>
  <si>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</si>
  <si>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</si>
  <si>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</si>
  <si>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</si>
  <si>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</si>
  <si>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</si>
  <si>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</si>
  <si>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</si>
  <si>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</si>
  <si>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</si>
  <si>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</si>
  <si>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</si>
  <si>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5061</t>
  </si>
  <si>
    <t>5066</t>
  </si>
  <si>
    <t>5072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</si>
  <si>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</si>
  <si>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</si>
  <si>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</si>
  <si>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</si>
  <si>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</si>
  <si>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</si>
  <si>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</si>
  <si>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</si>
  <si>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</si>
  <si>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</si>
  <si>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</si>
  <si>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</si>
  <si>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</si>
  <si>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</si>
  <si>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</si>
  <si>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</si>
  <si>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</si>
  <si>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</si>
  <si>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</si>
  <si>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</si>
  <si>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</si>
  <si>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</si>
  <si>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</si>
  <si>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</si>
  <si>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</si>
  <si>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</si>
  <si>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</si>
  <si>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</si>
  <si>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</si>
  <si>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</si>
  <si>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</si>
  <si>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</si>
  <si>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</si>
  <si>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</si>
  <si>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</si>
  <si>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</si>
  <si>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5118</t>
  </si>
  <si>
    <t>5119</t>
  </si>
  <si>
    <t>5120</t>
  </si>
  <si>
    <t>5122</t>
  </si>
  <si>
    <t>5123</t>
  </si>
  <si>
    <t>5124</t>
  </si>
  <si>
    <t>5125</t>
  </si>
  <si>
    <t>5126</t>
  </si>
  <si>
    <t>5127</t>
  </si>
  <si>
    <t>5129</t>
  </si>
  <si>
    <t>5130</t>
  </si>
  <si>
    <t>5131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</si>
  <si>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</si>
  <si>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</si>
  <si>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</si>
  <si>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</si>
  <si>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</si>
  <si>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</si>
  <si>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</si>
  <si>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</si>
  <si>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</si>
  <si>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</si>
  <si>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</si>
  <si>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</si>
  <si>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</si>
  <si>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</si>
  <si>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</si>
  <si>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</si>
  <si>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</si>
  <si>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</si>
  <si>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</si>
  <si>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</si>
  <si>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</si>
  <si>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</si>
  <si>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</si>
  <si>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</si>
  <si>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</si>
  <si>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</si>
  <si>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</si>
  <si>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</si>
  <si>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</si>
  <si>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</si>
  <si>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</si>
  <si>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</si>
  <si>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</si>
  <si>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</si>
  <si>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</si>
  <si>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</si>
  <si>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</si>
  <si>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</si>
  <si>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</si>
  <si>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</si>
  <si>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</si>
  <si>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</si>
  <si>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</si>
  <si>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</si>
  <si>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</si>
  <si>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</si>
  <si>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</si>
  <si>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</si>
  <si>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</si>
  <si>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</si>
  <si>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</si>
  <si>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</si>
  <si>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</si>
  <si>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</si>
  <si>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</si>
  <si>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</si>
  <si>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</si>
  <si>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</si>
  <si>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</si>
  <si>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</si>
  <si>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</si>
  <si>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</si>
  <si>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</si>
  <si>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</si>
  <si>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</si>
  <si>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</si>
  <si>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</si>
  <si>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</si>
  <si>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</si>
  <si>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</si>
  <si>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</si>
  <si>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</si>
  <si>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</si>
  <si>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</si>
  <si>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</si>
  <si>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</si>
  <si>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</si>
  <si>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</si>
  <si>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</si>
  <si>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5214</t>
  </si>
  <si>
    <t>5216</t>
  </si>
  <si>
    <t>5217</t>
  </si>
  <si>
    <t>5218</t>
  </si>
  <si>
    <t>5222</t>
  </si>
  <si>
    <t>5223</t>
  </si>
  <si>
    <t>5226</t>
  </si>
  <si>
    <t>5227</t>
  </si>
  <si>
    <t>5228</t>
  </si>
  <si>
    <t>5236</t>
  </si>
  <si>
    <t>5237</t>
  </si>
  <si>
    <t>5238</t>
  </si>
  <si>
    <t>5239</t>
  </si>
  <si>
    <t>5249</t>
  </si>
  <si>
    <t>5250</t>
  </si>
  <si>
    <t>5257</t>
  </si>
  <si>
    <t>5268</t>
  </si>
  <si>
    <t>5269</t>
  </si>
  <si>
    <t>5273</t>
  </si>
  <si>
    <t>5275</t>
  </si>
  <si>
    <t>5276</t>
  </si>
  <si>
    <t>5277</t>
  </si>
  <si>
    <t>5278</t>
  </si>
  <si>
    <t>5279</t>
  </si>
  <si>
    <t>5280</t>
  </si>
  <si>
    <t>5281</t>
  </si>
  <si>
    <t>5291</t>
  </si>
  <si>
    <t>5292</t>
  </si>
  <si>
    <t>5294</t>
  </si>
  <si>
    <t>5295</t>
  </si>
  <si>
    <t>5298</t>
  </si>
  <si>
    <t>5299</t>
  </si>
  <si>
    <t>5300</t>
  </si>
  <si>
    <t>5305</t>
  </si>
  <si>
    <t>5306</t>
  </si>
  <si>
    <t>5308</t>
  </si>
  <si>
    <t>5310</t>
  </si>
  <si>
    <t>5312</t>
  </si>
  <si>
    <t>5316</t>
  </si>
  <si>
    <t>5317</t>
  </si>
  <si>
    <t>5318</t>
  </si>
  <si>
    <t>5319</t>
  </si>
  <si>
    <t>5320</t>
  </si>
  <si>
    <t>5321</t>
  </si>
  <si>
    <t>5322</t>
  </si>
  <si>
    <t>5323</t>
  </si>
  <si>
    <t>5330</t>
  </si>
  <si>
    <t>5335</t>
  </si>
  <si>
    <t>5336</t>
  </si>
  <si>
    <t>5337</t>
  </si>
  <si>
    <t>5338</t>
  </si>
  <si>
    <t>5339</t>
  </si>
  <si>
    <t>5340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</si>
  <si>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</si>
  <si>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</si>
  <si>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</si>
  <si>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</si>
  <si>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</si>
  <si>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</si>
  <si>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</si>
  <si>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</si>
  <si>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</si>
  <si>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</si>
  <si>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</si>
  <si>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</si>
  <si>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5357</t>
  </si>
  <si>
    <t>5363</t>
  </si>
  <si>
    <t>5364</t>
  </si>
  <si>
    <t>5365</t>
  </si>
  <si>
    <t>5366</t>
  </si>
  <si>
    <t>5368</t>
  </si>
  <si>
    <t>5370</t>
  </si>
  <si>
    <t>5372</t>
  </si>
  <si>
    <t>5382</t>
  </si>
  <si>
    <t>5383</t>
  </si>
  <si>
    <t>5384</t>
  </si>
  <si>
    <t>5385</t>
  </si>
  <si>
    <t>5386</t>
  </si>
  <si>
    <t>5388</t>
  </si>
  <si>
    <t>5389</t>
  </si>
  <si>
    <t>5390</t>
  </si>
  <si>
    <t>5392</t>
  </si>
  <si>
    <t>5393</t>
  </si>
  <si>
    <t>5394</t>
  </si>
  <si>
    <t>5398</t>
  </si>
  <si>
    <t>5399</t>
  </si>
  <si>
    <t>5400</t>
  </si>
  <si>
    <t>5401</t>
  </si>
  <si>
    <t>5405</t>
  </si>
  <si>
    <t>5406</t>
  </si>
  <si>
    <t>5408</t>
  </si>
  <si>
    <t>5410</t>
  </si>
  <si>
    <t>5411</t>
  </si>
  <si>
    <t>5418</t>
  </si>
  <si>
    <t>5419</t>
  </si>
  <si>
    <t>5420</t>
  </si>
  <si>
    <t>5421</t>
  </si>
  <si>
    <t>5422</t>
  </si>
  <si>
    <t>5424</t>
  </si>
  <si>
    <t>5425</t>
  </si>
  <si>
    <t>5426</t>
  </si>
  <si>
    <t>5427</t>
  </si>
  <si>
    <t>5428</t>
  </si>
  <si>
    <t>5437</t>
  </si>
  <si>
    <t>5438</t>
  </si>
  <si>
    <t>5439</t>
  </si>
  <si>
    <t>5440</t>
  </si>
  <si>
    <t>5441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</si>
  <si>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</si>
  <si>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</si>
  <si>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</si>
  <si>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</si>
  <si>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</si>
  <si>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</si>
  <si>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</si>
  <si>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</si>
  <si>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</si>
  <si>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</si>
  <si>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</si>
  <si>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</si>
  <si>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</si>
  <si>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</si>
  <si>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</si>
  <si>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</si>
  <si>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</si>
  <si>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</si>
  <si>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</si>
  <si>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</si>
  <si>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</si>
  <si>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</si>
  <si>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</si>
  <si>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</si>
  <si>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</si>
  <si>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</si>
  <si>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</si>
  <si>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</si>
  <si>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</si>
  <si>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</si>
  <si>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</si>
  <si>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</si>
  <si>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</si>
  <si>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</si>
  <si>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</si>
  <si>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</si>
  <si>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</si>
  <si>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</si>
  <si>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5484</t>
  </si>
  <si>
    <t>5485</t>
  </si>
  <si>
    <t>5486</t>
  </si>
  <si>
    <t>5487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</si>
  <si>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</si>
  <si>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</si>
  <si>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</si>
  <si>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</si>
  <si>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</si>
  <si>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</si>
  <si>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</si>
  <si>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</si>
  <si>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</si>
  <si>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</si>
  <si>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</si>
  <si>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</si>
  <si>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</si>
  <si>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</si>
  <si>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5504</t>
  </si>
  <si>
    <t>5505</t>
  </si>
  <si>
    <t>5506</t>
  </si>
  <si>
    <t>5507</t>
  </si>
  <si>
    <t>5508</t>
  </si>
  <si>
    <t>5512</t>
  </si>
  <si>
    <t>5515</t>
  </si>
  <si>
    <t>5517</t>
  </si>
  <si>
    <t>5518</t>
  </si>
  <si>
    <t>5520</t>
  </si>
  <si>
    <t>5527</t>
  </si>
  <si>
    <t>5528</t>
  </si>
  <si>
    <t>5529</t>
  </si>
  <si>
    <t>5530</t>
  </si>
  <si>
    <t>5531</t>
  </si>
  <si>
    <t>5532</t>
  </si>
  <si>
    <t>5533</t>
  </si>
  <si>
    <t>5535</t>
  </si>
  <si>
    <t>5536</t>
  </si>
  <si>
    <t>5537</t>
  </si>
  <si>
    <t>5538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</si>
  <si>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</si>
  <si>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</si>
  <si>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</si>
  <si>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</si>
  <si>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</si>
  <si>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</si>
  <si>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</si>
  <si>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</si>
  <si>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</si>
  <si>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</si>
  <si>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</si>
  <si>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</si>
  <si>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</si>
  <si>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</si>
  <si>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</si>
  <si>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</si>
  <si>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</si>
  <si>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</si>
  <si>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</si>
  <si>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</si>
  <si>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</si>
  <si>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</si>
  <si>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</si>
  <si>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</si>
  <si>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</si>
  <si>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</si>
  <si>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</si>
  <si>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</si>
  <si>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</si>
  <si>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</si>
  <si>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</si>
  <si>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</si>
  <si>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</si>
  <si>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</si>
  <si>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</si>
  <si>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</si>
  <si>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</si>
  <si>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</si>
  <si>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</si>
  <si>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</si>
  <si>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</si>
  <si>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</si>
  <si>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</si>
  <si>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</si>
  <si>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</si>
  <si>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</si>
  <si>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</si>
  <si>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</si>
  <si>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</si>
  <si>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</si>
  <si>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5599</t>
  </si>
  <si>
    <t>5607</t>
  </si>
  <si>
    <t>5608</t>
  </si>
  <si>
    <t>5954</t>
  </si>
  <si>
    <t>5955</t>
  </si>
  <si>
    <t>5956</t>
  </si>
  <si>
    <t>5958</t>
  </si>
  <si>
    <t>5959</t>
  </si>
  <si>
    <t>5962</t>
  </si>
  <si>
    <t>5971</t>
  </si>
  <si>
    <t>5972</t>
  </si>
  <si>
    <t>5973</t>
  </si>
  <si>
    <t>5974</t>
  </si>
  <si>
    <t>5975</t>
  </si>
  <si>
    <t>5977</t>
  </si>
  <si>
    <t>5979</t>
  </si>
  <si>
    <t>5980</t>
  </si>
  <si>
    <t>5990</t>
  </si>
  <si>
    <t>5992</t>
  </si>
  <si>
    <t>5993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</si>
  <si>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</si>
  <si>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</si>
  <si>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</si>
  <si>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</si>
  <si>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</si>
  <si>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</si>
  <si>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</si>
  <si>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</si>
  <si>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</si>
  <si>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</si>
  <si>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</si>
  <si>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</si>
  <si>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</si>
  <si>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</si>
  <si>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</si>
  <si>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</si>
  <si>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</si>
  <si>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</si>
  <si>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</si>
  <si>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</si>
  <si>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</si>
  <si>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</si>
  <si>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</si>
  <si>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</si>
  <si>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</si>
  <si>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</si>
  <si>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</si>
  <si>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</si>
  <si>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</si>
  <si>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</si>
  <si>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</si>
  <si>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</si>
  <si>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</si>
  <si>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</si>
  <si>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</si>
  <si>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</si>
  <si>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</si>
  <si>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</si>
  <si>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</si>
  <si>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</si>
  <si>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</si>
  <si>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</si>
  <si>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</si>
  <si>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</si>
  <si>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</si>
  <si>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</si>
  <si>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</si>
  <si>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</si>
  <si>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</si>
  <si>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</si>
  <si>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</si>
  <si>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</si>
  <si>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</si>
  <si>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</si>
  <si>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6052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</si>
  <si>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</si>
  <si>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</si>
  <si>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</si>
  <si>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</si>
  <si>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</si>
  <si>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</si>
  <si>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</si>
  <si>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</si>
  <si>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</si>
  <si>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</si>
  <si>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</si>
  <si>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</si>
  <si>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</si>
  <si>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</si>
  <si>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</si>
  <si>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</si>
  <si>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</si>
  <si>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</si>
  <si>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</si>
  <si>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</si>
  <si>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</si>
  <si>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</si>
  <si>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6082</t>
  </si>
  <si>
    <t>6083</t>
  </si>
  <si>
    <t>6084</t>
  </si>
  <si>
    <t>6088</t>
  </si>
  <si>
    <t>6089</t>
  </si>
  <si>
    <t>6090</t>
  </si>
  <si>
    <t>6091</t>
  </si>
  <si>
    <t>6092</t>
  </si>
  <si>
    <t>6093</t>
  </si>
  <si>
    <t>6095</t>
  </si>
  <si>
    <t>6096</t>
  </si>
  <si>
    <t>6097</t>
  </si>
  <si>
    <t>6098</t>
  </si>
  <si>
    <t>6099</t>
  </si>
  <si>
    <t>6114</t>
  </si>
  <si>
    <t>6115</t>
  </si>
  <si>
    <t>6120</t>
  </si>
  <si>
    <t>6121</t>
  </si>
  <si>
    <t>6122</t>
  </si>
  <si>
    <t>6123</t>
  </si>
  <si>
    <t>6124</t>
  </si>
  <si>
    <t>6125</t>
  </si>
  <si>
    <t>6126</t>
  </si>
  <si>
    <t>6128</t>
  </si>
  <si>
    <t>6129</t>
  </si>
  <si>
    <t>6130</t>
  </si>
  <si>
    <t>6132</t>
  </si>
  <si>
    <t>6133</t>
  </si>
  <si>
    <t>6134</t>
  </si>
  <si>
    <t>6135</t>
  </si>
  <si>
    <t>6136</t>
  </si>
  <si>
    <t>6142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</si>
  <si>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</si>
  <si>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</si>
  <si>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</si>
  <si>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</si>
  <si>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</si>
  <si>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</si>
  <si>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</si>
  <si>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</si>
  <si>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</si>
  <si>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</si>
  <si>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</si>
  <si>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</si>
  <si>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</si>
  <si>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</si>
  <si>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</si>
  <si>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</si>
  <si>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</si>
  <si>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</si>
  <si>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</si>
  <si>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</si>
  <si>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</si>
  <si>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</si>
  <si>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</si>
  <si>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</si>
  <si>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</si>
  <si>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</si>
  <si>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</si>
  <si>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</si>
  <si>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</si>
  <si>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</si>
  <si>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</si>
  <si>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</si>
  <si>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</si>
  <si>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</si>
  <si>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</si>
  <si>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</si>
  <si>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</si>
  <si>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</si>
  <si>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</si>
  <si>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</si>
  <si>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</si>
  <si>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</si>
  <si>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</si>
  <si>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</si>
  <si>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</si>
  <si>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</si>
  <si>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</si>
  <si>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</si>
  <si>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</si>
  <si>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</si>
  <si>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</si>
  <si>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</si>
  <si>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</si>
  <si>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</si>
  <si>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</si>
  <si>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</si>
  <si>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</si>
  <si>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</si>
  <si>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</si>
  <si>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</si>
  <si>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</si>
  <si>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</si>
  <si>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</si>
  <si>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</si>
  <si>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</si>
  <si>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</si>
  <si>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</si>
  <si>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</si>
  <si>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</si>
  <si>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</si>
  <si>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</si>
  <si>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</si>
  <si>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</si>
  <si>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</si>
  <si>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</si>
  <si>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</si>
  <si>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</si>
  <si>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</si>
  <si>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</si>
  <si>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6229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</si>
  <si>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</si>
  <si>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</si>
  <si>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</si>
  <si>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</si>
  <si>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</si>
  <si>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</si>
  <si>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</si>
  <si>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</si>
  <si>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</si>
  <si>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</si>
  <si>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</si>
  <si>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</si>
  <si>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</si>
  <si>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</si>
  <si>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</si>
  <si>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</si>
  <si>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</si>
  <si>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</si>
  <si>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</si>
  <si>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</si>
  <si>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</si>
  <si>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</si>
  <si>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</si>
  <si>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</si>
  <si>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</si>
  <si>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</si>
  <si>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6267</t>
  </si>
  <si>
    <t>6269</t>
  </si>
  <si>
    <t>6270</t>
  </si>
  <si>
    <t>6271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</si>
  <si>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</si>
  <si>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</si>
  <si>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</si>
  <si>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</si>
  <si>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</si>
  <si>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</si>
  <si>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</si>
  <si>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</si>
  <si>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</si>
  <si>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</si>
  <si>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</si>
  <si>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</si>
  <si>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6288</t>
  </si>
  <si>
    <t>6289</t>
  </si>
  <si>
    <t>6297</t>
  </si>
  <si>
    <t>6298</t>
  </si>
  <si>
    <t>6299</t>
  </si>
  <si>
    <t>6300</t>
  </si>
  <si>
    <t>6302</t>
  </si>
  <si>
    <t>6305</t>
  </si>
  <si>
    <t>6309</t>
  </si>
  <si>
    <t>6310</t>
  </si>
  <si>
    <t>6312</t>
  </si>
  <si>
    <t>6313</t>
  </si>
  <si>
    <t>6314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</si>
  <si>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</si>
  <si>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</si>
  <si>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</si>
  <si>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</si>
  <si>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</si>
  <si>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</si>
  <si>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</si>
  <si>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</si>
  <si>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</si>
  <si>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</si>
  <si>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</si>
  <si>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</si>
  <si>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</si>
  <si>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6333</t>
  </si>
  <si>
    <t>6334</t>
  </si>
  <si>
    <t>6335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</si>
  <si>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</si>
  <si>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</si>
  <si>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</si>
  <si>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</si>
  <si>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</si>
  <si>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</si>
  <si>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</si>
  <si>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</si>
  <si>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</si>
  <si>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</si>
  <si>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</si>
  <si>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</si>
  <si>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</si>
  <si>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</si>
  <si>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</si>
  <si>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</si>
  <si>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</si>
  <si>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</si>
  <si>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</si>
  <si>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</si>
  <si>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</si>
  <si>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</si>
  <si>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</si>
  <si>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</si>
  <si>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</si>
  <si>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</si>
  <si>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</si>
  <si>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</si>
  <si>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</si>
  <si>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</si>
  <si>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</si>
  <si>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</si>
  <si>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</si>
  <si>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</si>
  <si>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</si>
  <si>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</si>
  <si>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</si>
  <si>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</si>
  <si>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</si>
  <si>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</si>
  <si>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</si>
  <si>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</si>
  <si>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</si>
  <si>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</si>
  <si>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6388</t>
  </si>
  <si>
    <t>6389</t>
  </si>
  <si>
    <t>6391</t>
  </si>
  <si>
    <t>6395</t>
  </si>
  <si>
    <t>6396</t>
  </si>
  <si>
    <t>6397</t>
  </si>
  <si>
    <t>6398</t>
  </si>
  <si>
    <t>6399</t>
  </si>
  <si>
    <t>6400</t>
  </si>
  <si>
    <t>6401</t>
  </si>
  <si>
    <t>6402</t>
  </si>
  <si>
    <t>6405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</si>
  <si>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</si>
  <si>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</si>
  <si>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</si>
  <si>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</si>
  <si>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</si>
  <si>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</si>
  <si>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</si>
  <si>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</si>
  <si>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</si>
  <si>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</si>
  <si>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</si>
  <si>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</si>
  <si>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</si>
  <si>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</si>
  <si>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</si>
  <si>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</si>
  <si>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</si>
  <si>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</si>
  <si>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</si>
  <si>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</si>
  <si>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</si>
  <si>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</si>
  <si>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</si>
  <si>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</si>
  <si>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</si>
  <si>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</si>
  <si>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</si>
  <si>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</si>
  <si>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6536</t>
  </si>
  <si>
    <t>6541</t>
  </si>
  <si>
    <t>6542</t>
  </si>
  <si>
    <t>6543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</si>
  <si>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</si>
  <si>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</si>
  <si>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</si>
  <si>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</si>
  <si>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</si>
  <si>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</si>
  <si>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</si>
  <si>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</si>
  <si>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</si>
  <si>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</si>
  <si>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</si>
  <si>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</si>
  <si>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</si>
  <si>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</si>
  <si>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</si>
  <si>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</si>
  <si>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</si>
  <si>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</si>
  <si>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</si>
  <si>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6569</t>
  </si>
  <si>
    <t>6570</t>
  </si>
  <si>
    <t>6573</t>
  </si>
  <si>
    <t>6576</t>
  </si>
  <si>
    <t>6577</t>
  </si>
  <si>
    <t>6578</t>
  </si>
  <si>
    <t>6579</t>
  </si>
  <si>
    <t>6589</t>
  </si>
  <si>
    <t>6591</t>
  </si>
  <si>
    <t>6592</t>
  </si>
  <si>
    <t>6593</t>
  </si>
  <si>
    <t>6594</t>
  </si>
  <si>
    <t>6595</t>
  </si>
  <si>
    <t>6596</t>
  </si>
  <si>
    <t>6598</t>
  </si>
  <si>
    <t>6606</t>
  </si>
  <si>
    <t>6607</t>
  </si>
  <si>
    <t>6608</t>
  </si>
  <si>
    <t>6609</t>
  </si>
  <si>
    <t>6610</t>
  </si>
  <si>
    <t>6611</t>
  </si>
  <si>
    <t>6612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</si>
  <si>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</si>
  <si>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</si>
  <si>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</si>
  <si>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</si>
  <si>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</si>
  <si>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</si>
  <si>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</si>
  <si>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</si>
  <si>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</si>
  <si>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</si>
  <si>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</si>
  <si>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</si>
  <si>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</si>
  <si>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</si>
  <si>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</si>
  <si>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</si>
  <si>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</si>
  <si>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</si>
  <si>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</si>
  <si>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</si>
  <si>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</si>
  <si>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</si>
  <si>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</si>
  <si>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</si>
  <si>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</si>
  <si>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</si>
  <si>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</si>
  <si>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</si>
  <si>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</si>
  <si>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</si>
  <si>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</si>
  <si>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</si>
  <si>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</si>
  <si>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</si>
  <si>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</si>
  <si>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6650</t>
  </si>
  <si>
    <t>6651</t>
  </si>
  <si>
    <t>6654</t>
  </si>
  <si>
    <t>6655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</si>
  <si>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</si>
  <si>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</si>
  <si>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</si>
  <si>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</si>
  <si>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</si>
  <si>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</si>
  <si>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</si>
  <si>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</si>
  <si>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</si>
  <si>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</si>
  <si>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</si>
  <si>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</si>
  <si>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</si>
  <si>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</si>
  <si>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</si>
  <si>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</si>
  <si>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</si>
  <si>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</si>
  <si>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</si>
  <si>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</si>
  <si>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</si>
  <si>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</si>
  <si>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</si>
  <si>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</si>
  <si>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</si>
  <si>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</si>
  <si>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</si>
  <si>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</si>
  <si>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</si>
  <si>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</si>
  <si>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</si>
  <si>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</si>
  <si>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</si>
  <si>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</si>
  <si>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</si>
  <si>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</si>
  <si>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</si>
  <si>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</si>
  <si>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</si>
  <si>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</si>
  <si>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</si>
  <si>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</si>
  <si>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</si>
  <si>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</si>
  <si>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</si>
  <si>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</si>
  <si>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</si>
  <si>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</si>
  <si>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</si>
  <si>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</si>
  <si>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</si>
  <si>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</si>
  <si>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</si>
  <si>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</si>
  <si>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</si>
  <si>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</si>
  <si>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</si>
  <si>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</si>
  <si>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</si>
  <si>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</si>
  <si>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</si>
  <si>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</si>
  <si>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</si>
  <si>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</si>
  <si>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</si>
  <si>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</si>
  <si>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</si>
  <si>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</si>
  <si>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</si>
  <si>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</si>
  <si>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</si>
  <si>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</si>
  <si>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</si>
  <si>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</si>
  <si>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</si>
  <si>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</si>
  <si>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</si>
  <si>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</si>
  <si>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</si>
  <si>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</si>
  <si>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</si>
  <si>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</si>
  <si>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</si>
  <si>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</si>
  <si>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</si>
  <si>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</si>
  <si>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</si>
  <si>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</si>
  <si>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</si>
  <si>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</si>
  <si>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</si>
  <si>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</si>
  <si>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</si>
  <si>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</si>
  <si>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</si>
  <si>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</si>
  <si>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</si>
  <si>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</si>
  <si>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</si>
  <si>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</si>
  <si>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</si>
  <si>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</si>
  <si>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</si>
  <si>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</si>
  <si>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</si>
  <si>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</si>
  <si>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</si>
  <si>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</si>
  <si>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</si>
  <si>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</si>
  <si>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</si>
  <si>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</si>
  <si>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</si>
  <si>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</si>
  <si>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</si>
  <si>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</si>
  <si>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</si>
  <si>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</si>
  <si>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</si>
  <si>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</si>
  <si>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</si>
  <si>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</si>
  <si>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</si>
  <si>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</si>
  <si>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</si>
  <si>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</si>
  <si>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6788</t>
  </si>
  <si>
    <t>6789</t>
  </si>
  <si>
    <t>6790</t>
  </si>
  <si>
    <t>6791</t>
  </si>
  <si>
    <t>6792</t>
  </si>
  <si>
    <t>6793</t>
  </si>
  <si>
    <t>6794</t>
  </si>
  <si>
    <t>6798</t>
  </si>
  <si>
    <t>6799</t>
  </si>
  <si>
    <t>6800</t>
  </si>
  <si>
    <t>6801</t>
  </si>
  <si>
    <t>6802</t>
  </si>
  <si>
    <t>6803</t>
  </si>
  <si>
    <t>6805</t>
  </si>
  <si>
    <t>6806</t>
  </si>
  <si>
    <t>6807</t>
  </si>
  <si>
    <t>6808</t>
  </si>
  <si>
    <t>6809</t>
  </si>
  <si>
    <t>6812</t>
  </si>
  <si>
    <t>6813</t>
  </si>
  <si>
    <t>6814</t>
  </si>
  <si>
    <t>6815</t>
  </si>
  <si>
    <t>6816</t>
  </si>
  <si>
    <t>6818</t>
  </si>
  <si>
    <t>6821</t>
  </si>
  <si>
    <t>6822</t>
  </si>
  <si>
    <t>6824</t>
  </si>
  <si>
    <t>6825</t>
  </si>
  <si>
    <t>6831</t>
  </si>
  <si>
    <t>6832</t>
  </si>
  <si>
    <t>6833</t>
  </si>
  <si>
    <t>6834</t>
  </si>
  <si>
    <t>6835</t>
  </si>
  <si>
    <t>6836</t>
  </si>
  <si>
    <t>6837</t>
  </si>
  <si>
    <t>6841</t>
  </si>
  <si>
    <t>6842</t>
  </si>
  <si>
    <t>6843</t>
  </si>
  <si>
    <t>6844</t>
  </si>
  <si>
    <t>6845</t>
  </si>
  <si>
    <t>6846</t>
  </si>
  <si>
    <t>6847</t>
  </si>
  <si>
    <t>6849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</si>
  <si>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</si>
  <si>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</si>
  <si>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</si>
  <si>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</si>
  <si>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</si>
  <si>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</si>
  <si>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</si>
  <si>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</si>
  <si>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</si>
  <si>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</si>
  <si>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</si>
  <si>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</si>
  <si>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6869</t>
  </si>
  <si>
    <t>6871</t>
  </si>
  <si>
    <t>6872</t>
  </si>
  <si>
    <t>6873</t>
  </si>
  <si>
    <t>6874</t>
  </si>
  <si>
    <t>6876</t>
  </si>
  <si>
    <t>6877</t>
  </si>
  <si>
    <t>6881</t>
  </si>
  <si>
    <t>6882</t>
  </si>
  <si>
    <t>6883</t>
  </si>
  <si>
    <t>6884</t>
  </si>
  <si>
    <t>6886</t>
  </si>
  <si>
    <t>6887</t>
  </si>
  <si>
    <t>6888</t>
  </si>
  <si>
    <t>6889</t>
  </si>
  <si>
    <t>6890</t>
  </si>
  <si>
    <t>6891</t>
  </si>
  <si>
    <t>6892</t>
  </si>
  <si>
    <t>6898</t>
  </si>
  <si>
    <t>6903</t>
  </si>
  <si>
    <t>6907</t>
  </si>
  <si>
    <t>6910</t>
  </si>
  <si>
    <t>6912</t>
  </si>
  <si>
    <t>6915</t>
  </si>
  <si>
    <t>6917</t>
  </si>
  <si>
    <t>6918</t>
  </si>
  <si>
    <t>6928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</si>
  <si>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</si>
  <si>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</si>
  <si>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</si>
  <si>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</si>
  <si>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</si>
  <si>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</si>
  <si>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</si>
  <si>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</si>
  <si>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</si>
  <si>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6945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</si>
  <si>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</si>
  <si>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</si>
  <si>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</si>
  <si>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</si>
  <si>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</si>
  <si>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</si>
  <si>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</si>
  <si>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</si>
  <si>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</si>
  <si>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</si>
  <si>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</si>
  <si>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</si>
  <si>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</si>
  <si>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</si>
  <si>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</si>
  <si>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</si>
  <si>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</si>
  <si>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</si>
  <si>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</si>
  <si>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</si>
  <si>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</si>
  <si>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</si>
  <si>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</si>
  <si>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</si>
  <si>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</si>
  <si>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</si>
  <si>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</si>
  <si>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</si>
  <si>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</si>
  <si>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</si>
  <si>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</si>
  <si>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</si>
  <si>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</si>
  <si>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</si>
  <si>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</si>
  <si>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</si>
  <si>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</si>
  <si>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</si>
  <si>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</si>
  <si>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</si>
  <si>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</si>
  <si>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</si>
  <si>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</si>
  <si>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</si>
  <si>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</si>
  <si>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</si>
  <si>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</si>
  <si>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</si>
  <si>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</si>
  <si>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</si>
  <si>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</si>
  <si>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</si>
  <si>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</si>
  <si>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</si>
  <si>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</si>
  <si>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</si>
  <si>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</si>
  <si>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</si>
  <si>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7017</t>
  </si>
  <si>
    <t>7018</t>
  </si>
  <si>
    <t>7021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</si>
  <si>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</si>
  <si>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</si>
  <si>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</si>
  <si>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</si>
  <si>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</si>
  <si>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</si>
  <si>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</si>
  <si>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</si>
  <si>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</si>
  <si>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</si>
  <si>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</si>
  <si>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</si>
  <si>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</si>
  <si>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</si>
  <si>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</si>
  <si>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</si>
  <si>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</si>
  <si>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</si>
  <si>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</si>
  <si>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</si>
  <si>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</si>
  <si>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</si>
  <si>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</si>
  <si>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</si>
  <si>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</si>
  <si>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</si>
  <si>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</si>
  <si>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</si>
  <si>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</si>
  <si>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7059</t>
  </si>
  <si>
    <t>7060</t>
  </si>
  <si>
    <t>7061</t>
  </si>
  <si>
    <t>7063</t>
  </si>
  <si>
    <t>7064</t>
  </si>
  <si>
    <t>7065</t>
  </si>
  <si>
    <t>7066</t>
  </si>
  <si>
    <t>7067</t>
  </si>
  <si>
    <t>7068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</si>
  <si>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</si>
  <si>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</si>
  <si>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</si>
  <si>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</si>
  <si>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</si>
  <si>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</si>
  <si>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</si>
  <si>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</si>
  <si>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</si>
  <si>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7086</t>
  </si>
  <si>
    <t>7087</t>
  </si>
  <si>
    <t>7088</t>
  </si>
  <si>
    <t>7089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</si>
  <si>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</si>
  <si>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</si>
  <si>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</si>
  <si>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</si>
  <si>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</si>
  <si>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</si>
  <si>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</si>
  <si>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</si>
  <si>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</si>
  <si>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</si>
  <si>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</si>
  <si>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</si>
  <si>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</si>
  <si>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</si>
  <si>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</si>
  <si>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</si>
  <si>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</si>
  <si>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</si>
  <si>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</si>
  <si>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</si>
  <si>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</si>
  <si>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</si>
  <si>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</si>
  <si>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</si>
  <si>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</si>
  <si>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</si>
  <si>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</si>
  <si>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</si>
  <si>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</si>
  <si>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</si>
  <si>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</si>
  <si>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</si>
  <si>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</si>
  <si>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</si>
  <si>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</si>
  <si>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</si>
  <si>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</si>
  <si>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</si>
  <si>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</si>
  <si>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</si>
  <si>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</si>
  <si>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</si>
  <si>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</si>
  <si>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</si>
  <si>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</si>
  <si>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</si>
  <si>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</si>
  <si>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</si>
  <si>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</si>
  <si>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</si>
  <si>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</si>
  <si>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</si>
  <si>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</si>
  <si>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</si>
  <si>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</si>
  <si>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</si>
  <si>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</si>
  <si>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</si>
  <si>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</si>
  <si>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</si>
  <si>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</si>
  <si>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</si>
  <si>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</si>
  <si>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</si>
  <si>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</si>
  <si>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</si>
  <si>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</si>
  <si>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</si>
  <si>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</si>
  <si>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</si>
  <si>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</si>
  <si>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</si>
  <si>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</si>
  <si>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</si>
  <si>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</si>
  <si>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</si>
  <si>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</si>
  <si>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</si>
  <si>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</si>
  <si>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</si>
  <si>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</si>
  <si>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</si>
  <si>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</si>
  <si>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</si>
  <si>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</si>
  <si>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</si>
  <si>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</si>
  <si>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</si>
  <si>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</si>
  <si>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</si>
  <si>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</si>
  <si>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</si>
  <si>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</si>
  <si>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</si>
  <si>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</si>
  <si>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</si>
  <si>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</si>
  <si>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</si>
  <si>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</si>
  <si>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</si>
  <si>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</si>
  <si>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</si>
  <si>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</si>
  <si>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</si>
  <si>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</si>
  <si>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</si>
  <si>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</si>
  <si>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</si>
  <si>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</si>
  <si>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</si>
  <si>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</si>
  <si>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</si>
  <si>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</si>
  <si>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</si>
  <si>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</si>
  <si>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</si>
  <si>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</si>
  <si>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</si>
  <si>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</si>
  <si>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</si>
  <si>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</si>
  <si>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</si>
  <si>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</si>
  <si>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</si>
  <si>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</si>
  <si>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</si>
  <si>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</si>
  <si>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</si>
  <si>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</si>
  <si>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</si>
  <si>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</si>
  <si>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</si>
  <si>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</si>
  <si>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</si>
  <si>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</si>
  <si>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</si>
  <si>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</si>
  <si>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</si>
  <si>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</si>
  <si>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</si>
  <si>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</si>
  <si>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</si>
  <si>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</si>
  <si>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</si>
  <si>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</si>
  <si>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</si>
  <si>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</si>
  <si>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</si>
  <si>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</si>
  <si>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</si>
  <si>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</si>
  <si>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</si>
  <si>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</si>
  <si>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</si>
  <si>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</si>
  <si>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</si>
  <si>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</si>
  <si>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</si>
  <si>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</si>
  <si>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</si>
  <si>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</si>
  <si>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</si>
  <si>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</si>
  <si>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</si>
  <si>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</si>
  <si>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</si>
  <si>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</si>
  <si>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</si>
  <si>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</si>
  <si>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</si>
  <si>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</si>
  <si>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</si>
  <si>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</si>
  <si>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</si>
  <si>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</si>
  <si>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</si>
  <si>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</si>
  <si>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</si>
  <si>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</si>
  <si>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</si>
  <si>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</si>
  <si>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</si>
  <si>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</si>
  <si>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</si>
  <si>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</si>
  <si>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</si>
  <si>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</si>
  <si>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</si>
  <si>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</si>
  <si>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</si>
  <si>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</si>
  <si>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</si>
  <si>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</si>
  <si>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</si>
  <si>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</si>
  <si>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</si>
  <si>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</si>
  <si>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</si>
  <si>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</si>
  <si>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</si>
  <si>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</si>
  <si>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</si>
  <si>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</si>
  <si>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</si>
  <si>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</si>
  <si>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</si>
  <si>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</si>
  <si>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</si>
  <si>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</si>
  <si>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</si>
  <si>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</si>
  <si>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</si>
  <si>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</si>
  <si>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</si>
  <si>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</si>
  <si>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</si>
  <si>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</si>
  <si>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</si>
  <si>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</si>
  <si>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</si>
  <si>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</si>
  <si>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</si>
  <si>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</si>
  <si>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</si>
  <si>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</si>
  <si>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</si>
  <si>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</si>
  <si>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7328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</si>
  <si>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</si>
  <si>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</si>
  <si>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</si>
  <si>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</si>
  <si>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</si>
  <si>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</si>
  <si>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</si>
  <si>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</si>
  <si>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</si>
  <si>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</si>
  <si>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</si>
  <si>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</si>
  <si>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</si>
  <si>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</si>
  <si>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</si>
  <si>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</si>
  <si>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</si>
  <si>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</si>
  <si>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</si>
  <si>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</si>
  <si>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</si>
  <si>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</si>
  <si>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</si>
  <si>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</si>
  <si>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</si>
  <si>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</si>
  <si>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</si>
  <si>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</si>
  <si>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</si>
  <si>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</si>
  <si>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</si>
  <si>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</si>
  <si>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</si>
  <si>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</si>
  <si>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</si>
  <si>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7367</t>
  </si>
  <si>
    <t>7368</t>
  </si>
  <si>
    <t>7369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</si>
  <si>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</si>
  <si>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</si>
  <si>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</si>
  <si>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</si>
  <si>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</si>
  <si>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</si>
  <si>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</si>
  <si>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</si>
  <si>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</si>
  <si>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</si>
  <si>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</si>
  <si>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</si>
  <si>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</si>
  <si>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</si>
  <si>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</si>
  <si>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</si>
  <si>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</si>
  <si>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</si>
  <si>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</si>
  <si>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</si>
  <si>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</si>
  <si>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</si>
  <si>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7397</t>
  </si>
  <si>
    <t>7398</t>
  </si>
  <si>
    <t>7399</t>
  </si>
  <si>
    <t>7400</t>
  </si>
  <si>
    <t>7401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</si>
  <si>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</si>
  <si>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</si>
  <si>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</si>
  <si>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</si>
  <si>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</si>
  <si>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</si>
  <si>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</si>
  <si>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</si>
  <si>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</si>
  <si>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</si>
  <si>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</si>
  <si>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</si>
  <si>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</si>
  <si>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</si>
  <si>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</si>
  <si>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</si>
  <si>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</si>
  <si>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</si>
  <si>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</si>
  <si>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</si>
  <si>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</si>
  <si>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</si>
  <si>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</si>
  <si>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</si>
  <si>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</si>
  <si>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</si>
  <si>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</si>
  <si>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</si>
  <si>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</si>
  <si>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</si>
  <si>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</si>
  <si>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</si>
  <si>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</si>
  <si>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</si>
  <si>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</si>
  <si>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</si>
  <si>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</si>
  <si>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</si>
  <si>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</si>
  <si>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</si>
  <si>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</si>
  <si>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</si>
  <si>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</si>
  <si>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</si>
  <si>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</si>
  <si>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</si>
  <si>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</si>
  <si>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</si>
  <si>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</si>
  <si>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</si>
  <si>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</si>
  <si>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</si>
  <si>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</si>
  <si>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</si>
  <si>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</si>
  <si>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</si>
  <si>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</si>
  <si>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</si>
  <si>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</si>
  <si>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</si>
  <si>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</si>
  <si>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</si>
  <si>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</si>
  <si>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</si>
  <si>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</si>
  <si>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</si>
  <si>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</si>
  <si>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</si>
  <si>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</si>
  <si>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</si>
  <si>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</si>
  <si>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</si>
  <si>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</si>
  <si>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</si>
  <si>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</si>
  <si>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</si>
  <si>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</si>
  <si>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</si>
  <si>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7518</t>
  </si>
  <si>
    <t>7519</t>
  </si>
  <si>
    <t>7521</t>
  </si>
  <si>
    <t>7522</t>
  </si>
  <si>
    <t>7885</t>
  </si>
  <si>
    <t>7887</t>
  </si>
  <si>
    <t>7888</t>
  </si>
  <si>
    <t>7889</t>
  </si>
  <si>
    <t>7890</t>
  </si>
  <si>
    <t>7891</t>
  </si>
  <si>
    <t>7892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</si>
  <si>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</si>
  <si>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</si>
  <si>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</si>
  <si>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</si>
  <si>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</si>
  <si>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</si>
  <si>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</si>
  <si>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</si>
  <si>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</si>
  <si>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</si>
  <si>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</si>
  <si>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</si>
  <si>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</si>
  <si>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</si>
  <si>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7929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</si>
  <si>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</si>
  <si>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</si>
  <si>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</si>
  <si>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</si>
  <si>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</si>
  <si>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</si>
  <si>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</si>
  <si>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</si>
  <si>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</si>
  <si>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</si>
  <si>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</si>
  <si>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</si>
  <si>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</si>
  <si>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</si>
  <si>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</si>
  <si>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</si>
  <si>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</si>
  <si>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</si>
  <si>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</si>
  <si>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</si>
  <si>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</si>
  <si>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</si>
  <si>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</si>
  <si>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</si>
  <si>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</si>
  <si>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</si>
  <si>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</si>
  <si>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</si>
  <si>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</si>
  <si>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</si>
  <si>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</si>
  <si>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</si>
  <si>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</si>
  <si>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</si>
  <si>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</si>
  <si>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</si>
  <si>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</si>
  <si>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</si>
  <si>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</si>
  <si>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</si>
  <si>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</si>
  <si>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</si>
  <si>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</si>
  <si>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</si>
  <si>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</si>
  <si>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</si>
  <si>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</si>
  <si>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</si>
  <si>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</si>
  <si>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</si>
  <si>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</si>
  <si>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</si>
  <si>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</si>
  <si>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</si>
  <si>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</si>
  <si>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</si>
  <si>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</si>
  <si>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</si>
  <si>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</si>
  <si>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</si>
  <si>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</si>
  <si>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</si>
  <si>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</si>
  <si>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</si>
  <si>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</si>
  <si>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</si>
  <si>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</si>
  <si>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</si>
  <si>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</si>
  <si>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</si>
  <si>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</si>
  <si>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</si>
  <si>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</si>
  <si>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</si>
  <si>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</si>
  <si>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</si>
  <si>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</si>
  <si>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</si>
  <si>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</si>
  <si>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</si>
  <si>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</si>
  <si>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</si>
  <si>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</si>
  <si>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</si>
  <si>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</si>
  <si>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</si>
  <si>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</si>
  <si>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</si>
  <si>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8023</t>
  </si>
  <si>
    <t>8027</t>
  </si>
  <si>
    <t>8036</t>
  </si>
  <si>
    <t>8037</t>
  </si>
  <si>
    <t>8041</t>
  </si>
  <si>
    <t>8042</t>
  </si>
  <si>
    <t>8043</t>
  </si>
  <si>
    <t>8044</t>
  </si>
  <si>
    <t>8045</t>
  </si>
  <si>
    <t>8046</t>
  </si>
  <si>
    <t>8047</t>
  </si>
  <si>
    <t>8048</t>
  </si>
  <si>
    <t>8059</t>
  </si>
  <si>
    <t>8060</t>
  </si>
  <si>
    <t>8061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</si>
  <si>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</si>
  <si>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</si>
  <si>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</si>
  <si>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</si>
  <si>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</si>
  <si>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</si>
  <si>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</si>
  <si>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</si>
  <si>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</si>
  <si>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</si>
  <si>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</si>
  <si>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</si>
  <si>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</si>
  <si>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</si>
  <si>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</si>
  <si>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</si>
  <si>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</si>
  <si>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</si>
  <si>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</si>
  <si>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</si>
  <si>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</si>
  <si>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</si>
  <si>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</si>
  <si>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</si>
  <si>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</si>
  <si>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</si>
  <si>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</si>
  <si>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</si>
  <si>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</si>
  <si>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</si>
  <si>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</si>
  <si>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</si>
  <si>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</si>
  <si>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</si>
  <si>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</si>
  <si>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</si>
  <si>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</si>
  <si>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</si>
  <si>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</si>
  <si>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</si>
  <si>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</si>
  <si>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</si>
  <si>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</si>
  <si>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</si>
  <si>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</si>
  <si>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</si>
  <si>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</si>
  <si>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</si>
  <si>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</si>
  <si>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</si>
  <si>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</si>
  <si>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</si>
  <si>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</si>
  <si>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</si>
  <si>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</si>
  <si>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</si>
  <si>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</si>
  <si>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</si>
  <si>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</si>
  <si>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</si>
  <si>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</si>
  <si>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</si>
  <si>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</si>
  <si>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</si>
  <si>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</si>
  <si>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</si>
  <si>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</si>
  <si>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</si>
  <si>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</si>
  <si>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</si>
  <si>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</si>
  <si>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</si>
  <si>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</si>
  <si>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</si>
  <si>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</si>
  <si>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</si>
  <si>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</si>
  <si>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</si>
  <si>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</si>
  <si>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</si>
  <si>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</si>
  <si>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</si>
  <si>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</si>
  <si>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</si>
  <si>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</si>
  <si>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</si>
  <si>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</si>
  <si>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</si>
  <si>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</si>
  <si>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</si>
  <si>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</si>
  <si>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</si>
  <si>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</si>
  <si>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</si>
  <si>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</si>
  <si>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</si>
  <si>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</si>
  <si>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</si>
  <si>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</si>
  <si>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</si>
  <si>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</si>
  <si>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</si>
  <si>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</si>
  <si>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</si>
  <si>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</si>
  <si>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</si>
  <si>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</si>
  <si>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</si>
  <si>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</si>
  <si>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</si>
  <si>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</si>
  <si>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</si>
  <si>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</si>
  <si>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</si>
  <si>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</si>
  <si>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</si>
  <si>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</si>
  <si>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</si>
  <si>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</si>
  <si>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</si>
  <si>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</si>
  <si>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</si>
  <si>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</si>
  <si>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</si>
  <si>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</si>
  <si>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</si>
  <si>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</si>
  <si>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</si>
  <si>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</si>
  <si>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</si>
  <si>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</si>
  <si>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</si>
  <si>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</si>
  <si>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</si>
  <si>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</si>
  <si>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</si>
  <si>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</si>
  <si>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</si>
  <si>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</si>
  <si>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</si>
  <si>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</si>
  <si>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</si>
  <si>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</si>
  <si>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</si>
  <si>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</si>
  <si>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</si>
  <si>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</si>
  <si>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</si>
  <si>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</si>
  <si>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</si>
  <si>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</si>
  <si>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</si>
  <si>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</si>
  <si>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</si>
  <si>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</si>
  <si>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</si>
  <si>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</si>
  <si>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</si>
  <si>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</si>
  <si>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</si>
  <si>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</si>
  <si>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</si>
  <si>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</si>
  <si>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</si>
  <si>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</si>
  <si>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</si>
  <si>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</si>
  <si>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</si>
  <si>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</si>
  <si>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</si>
  <si>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</si>
  <si>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</si>
  <si>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</si>
  <si>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</si>
  <si>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</si>
  <si>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</si>
  <si>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</si>
  <si>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</si>
  <si>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</si>
  <si>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</si>
  <si>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</si>
  <si>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</si>
  <si>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</si>
  <si>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</si>
  <si>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</si>
  <si>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</si>
  <si>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</si>
  <si>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</si>
  <si>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</si>
  <si>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</si>
  <si>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</si>
  <si>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</si>
  <si>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</si>
  <si>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</si>
  <si>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</si>
  <si>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</si>
  <si>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</si>
  <si>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</si>
  <si>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</si>
  <si>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</si>
  <si>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</si>
  <si>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</si>
  <si>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</si>
  <si>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</si>
  <si>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</si>
  <si>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</si>
  <si>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</si>
  <si>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</si>
  <si>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</si>
  <si>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</si>
  <si>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</si>
  <si>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</si>
  <si>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</si>
  <si>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</si>
  <si>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</si>
  <si>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</si>
  <si>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</si>
  <si>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</si>
  <si>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</si>
  <si>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</si>
  <si>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</si>
  <si>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</si>
  <si>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</si>
  <si>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</si>
  <si>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</si>
  <si>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</si>
  <si>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</si>
  <si>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</si>
  <si>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</si>
  <si>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</si>
  <si>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</si>
  <si>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</si>
  <si>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</si>
  <si>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</si>
  <si>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</si>
  <si>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</si>
  <si>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</si>
  <si>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</si>
  <si>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</si>
  <si>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</si>
  <si>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</si>
  <si>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</si>
  <si>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</si>
  <si>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</si>
  <si>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</si>
  <si>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</si>
  <si>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</si>
  <si>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</si>
  <si>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</si>
  <si>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</si>
  <si>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</si>
  <si>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</si>
  <si>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</si>
  <si>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</si>
  <si>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</si>
  <si>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</si>
  <si>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</si>
  <si>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</si>
  <si>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</si>
  <si>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</si>
  <si>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</si>
  <si>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</si>
  <si>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</si>
  <si>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</si>
  <si>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8345</t>
  </si>
  <si>
    <t>8347</t>
  </si>
  <si>
    <t>8348</t>
  </si>
  <si>
    <t>8349</t>
  </si>
  <si>
    <t>8350</t>
  </si>
  <si>
    <t>8352</t>
  </si>
  <si>
    <t>8353</t>
  </si>
  <si>
    <t>8354</t>
  </si>
  <si>
    <t>8355</t>
  </si>
  <si>
    <t>8356</t>
  </si>
  <si>
    <t>8357</t>
  </si>
  <si>
    <t>8360</t>
  </si>
  <si>
    <t>8362</t>
  </si>
  <si>
    <t>8363</t>
  </si>
  <si>
    <t>8364</t>
  </si>
  <si>
    <t>8365</t>
  </si>
  <si>
    <t>8366</t>
  </si>
  <si>
    <t>8367</t>
  </si>
  <si>
    <t>8368</t>
  </si>
  <si>
    <t>8369</t>
  </si>
  <si>
    <t>8372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</si>
  <si>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</si>
  <si>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</si>
  <si>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</si>
  <si>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</si>
  <si>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</si>
  <si>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</si>
  <si>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</si>
  <si>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</si>
  <si>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</si>
  <si>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8387</t>
  </si>
  <si>
    <t>8388</t>
  </si>
  <si>
    <t>8389</t>
  </si>
  <si>
    <t>8390</t>
  </si>
  <si>
    <t>8391</t>
  </si>
  <si>
    <t>8393</t>
  </si>
  <si>
    <t>8394</t>
  </si>
  <si>
    <t>8395</t>
  </si>
  <si>
    <t>8396</t>
  </si>
  <si>
    <t>8397</t>
  </si>
  <si>
    <t>8398</t>
  </si>
  <si>
    <t>8399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</si>
  <si>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</si>
  <si>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</si>
  <si>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</si>
  <si>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</si>
  <si>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</si>
  <si>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</si>
  <si>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</si>
  <si>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</si>
  <si>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</si>
  <si>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</si>
  <si>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</si>
  <si>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</si>
  <si>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</si>
  <si>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</si>
  <si>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</si>
  <si>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</si>
  <si>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</si>
  <si>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</si>
  <si>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</si>
  <si>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</si>
  <si>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8422</t>
  </si>
  <si>
    <t>8423</t>
  </si>
  <si>
    <t>8424</t>
  </si>
  <si>
    <t>8425</t>
  </si>
  <si>
    <t>8426</t>
  </si>
  <si>
    <t>8427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</si>
  <si>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</si>
  <si>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</si>
  <si>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</si>
  <si>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</si>
  <si>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</si>
  <si>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</si>
  <si>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</si>
  <si>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</si>
  <si>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</si>
  <si>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</si>
  <si>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</si>
  <si>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</si>
  <si>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</si>
  <si>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</si>
  <si>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</si>
  <si>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</si>
  <si>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</si>
  <si>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</si>
  <si>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</si>
  <si>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</si>
  <si>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</si>
  <si>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</si>
  <si>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</si>
  <si>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</si>
  <si>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</si>
  <si>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</si>
  <si>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</si>
  <si>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8457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</si>
  <si>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</si>
  <si>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</si>
  <si>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</si>
  <si>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</si>
  <si>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</si>
  <si>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</si>
  <si>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</si>
  <si>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</si>
  <si>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</si>
  <si>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</si>
  <si>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</si>
  <si>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</si>
  <si>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</si>
  <si>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</si>
  <si>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</si>
  <si>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</si>
  <si>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</si>
  <si>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</si>
  <si>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</si>
  <si>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</si>
  <si>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</si>
  <si>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</si>
  <si>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</si>
  <si>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</si>
  <si>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</si>
  <si>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</si>
  <si>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</si>
  <si>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</si>
  <si>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</si>
  <si>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</si>
  <si>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</si>
  <si>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</si>
  <si>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</si>
  <si>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</si>
  <si>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</si>
  <si>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</si>
  <si>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</si>
  <si>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</si>
  <si>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</si>
  <si>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</si>
  <si>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</si>
  <si>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</si>
  <si>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</si>
  <si>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</si>
  <si>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</si>
  <si>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</si>
  <si>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</si>
  <si>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</si>
  <si>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</si>
  <si>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</si>
  <si>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</si>
  <si>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</si>
  <si>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</si>
  <si>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</si>
  <si>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</si>
  <si>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</si>
  <si>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</si>
  <si>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</si>
  <si>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</si>
  <si>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</si>
  <si>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</si>
  <si>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</si>
  <si>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</si>
  <si>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</si>
  <si>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</si>
  <si>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</si>
  <si>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</si>
  <si>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</si>
  <si>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</si>
  <si>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</si>
  <si>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</si>
  <si>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</si>
  <si>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</si>
  <si>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</si>
  <si>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</si>
  <si>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</si>
  <si>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</si>
  <si>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</si>
  <si>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</si>
  <si>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</si>
  <si>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</si>
  <si>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</si>
  <si>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</si>
  <si>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</si>
  <si>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</si>
  <si>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</si>
  <si>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</si>
  <si>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</si>
  <si>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</si>
  <si>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</si>
  <si>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</si>
  <si>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</si>
  <si>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</si>
  <si>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</si>
  <si>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</si>
  <si>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</si>
  <si>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</si>
  <si>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</si>
  <si>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</si>
  <si>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</si>
  <si>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</si>
  <si>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</si>
  <si>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</si>
  <si>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</si>
  <si>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</si>
  <si>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</si>
  <si>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</si>
  <si>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</si>
  <si>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</si>
  <si>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</si>
  <si>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</si>
  <si>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</si>
  <si>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</si>
  <si>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</si>
  <si>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</si>
  <si>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</si>
  <si>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</si>
  <si>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8589</t>
  </si>
  <si>
    <t>8590</t>
  </si>
  <si>
    <t>8591</t>
  </si>
  <si>
    <t>8592</t>
  </si>
  <si>
    <t>8593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</si>
  <si>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</si>
  <si>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</si>
  <si>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</si>
  <si>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</si>
  <si>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</si>
  <si>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</si>
  <si>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</si>
  <si>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</si>
  <si>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</si>
  <si>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</si>
  <si>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</si>
  <si>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</si>
  <si>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</si>
  <si>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</si>
  <si>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</si>
  <si>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</si>
  <si>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</si>
  <si>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</si>
  <si>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</si>
  <si>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</si>
  <si>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</si>
  <si>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</si>
  <si>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</si>
  <si>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</si>
  <si>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</si>
  <si>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</si>
  <si>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</si>
  <si>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</si>
  <si>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</si>
  <si>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</si>
  <si>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</si>
  <si>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</si>
  <si>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</si>
  <si>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</si>
  <si>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</si>
  <si>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</si>
  <si>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</si>
  <si>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</si>
  <si>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</si>
  <si>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</si>
  <si>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</si>
  <si>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</si>
  <si>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</si>
  <si>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</si>
  <si>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</si>
  <si>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</si>
  <si>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</si>
  <si>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</si>
  <si>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</si>
  <si>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</si>
  <si>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</si>
  <si>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</si>
  <si>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</si>
  <si>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</si>
  <si>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</si>
  <si>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</si>
  <si>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</si>
  <si>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</si>
  <si>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</si>
  <si>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</si>
  <si>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</si>
  <si>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</si>
  <si>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</si>
  <si>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</si>
  <si>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</si>
  <si>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</si>
  <si>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</si>
  <si>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</si>
  <si>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</si>
  <si>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</si>
  <si>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</si>
  <si>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</si>
  <si>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</si>
  <si>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</si>
  <si>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</si>
  <si>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</si>
  <si>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</si>
  <si>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</si>
  <si>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</si>
  <si>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</si>
  <si>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</si>
  <si>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</si>
  <si>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</si>
  <si>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</si>
  <si>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</si>
  <si>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</si>
  <si>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</si>
  <si>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</si>
  <si>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</si>
  <si>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</si>
  <si>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</si>
  <si>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</si>
  <si>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</si>
  <si>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</si>
  <si>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</si>
  <si>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</si>
  <si>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</si>
  <si>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</si>
  <si>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</si>
  <si>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</si>
  <si>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</si>
  <si>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8714</t>
  </si>
  <si>
    <t>8715</t>
  </si>
  <si>
    <t>8716</t>
  </si>
  <si>
    <t>8717</t>
  </si>
  <si>
    <t>8718</t>
  </si>
  <si>
    <t>8719</t>
  </si>
  <si>
    <t>8720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</si>
  <si>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</si>
  <si>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</si>
  <si>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</si>
  <si>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</si>
  <si>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</si>
  <si>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</si>
  <si>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</si>
  <si>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</si>
  <si>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</si>
  <si>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</si>
  <si>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</si>
  <si>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</si>
  <si>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</si>
  <si>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</si>
  <si>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</si>
  <si>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</si>
  <si>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</si>
  <si>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</si>
  <si>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</si>
  <si>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</si>
  <si>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</si>
  <si>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</si>
  <si>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</si>
  <si>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</si>
  <si>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</si>
  <si>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</si>
  <si>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</si>
  <si>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</si>
  <si>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</si>
  <si>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</si>
  <si>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8759</t>
  </si>
  <si>
    <t>8760</t>
  </si>
  <si>
    <t>8761</t>
  </si>
  <si>
    <t>8762</t>
  </si>
  <si>
    <t>8763</t>
  </si>
  <si>
    <t>8764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</si>
  <si>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</si>
  <si>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</si>
  <si>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</si>
  <si>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</si>
  <si>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</si>
  <si>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</si>
  <si>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</si>
  <si>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</si>
  <si>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</si>
  <si>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</si>
  <si>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</si>
  <si>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</si>
  <si>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</si>
  <si>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</si>
  <si>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</si>
  <si>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</si>
  <si>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</si>
  <si>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</si>
  <si>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8792</t>
  </si>
  <si>
    <t>8793</t>
  </si>
  <si>
    <t>8794</t>
  </si>
  <si>
    <t>8795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</si>
  <si>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</si>
  <si>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</si>
  <si>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</si>
  <si>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</si>
  <si>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</si>
  <si>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</si>
  <si>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</si>
  <si>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</si>
  <si>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</si>
  <si>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</si>
  <si>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</si>
  <si>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</si>
  <si>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</si>
  <si>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</si>
  <si>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</si>
  <si>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</si>
  <si>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</si>
  <si>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</si>
  <si>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</si>
  <si>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</si>
  <si>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</si>
  <si>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</si>
  <si>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</si>
  <si>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</si>
  <si>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</si>
  <si>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</si>
  <si>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</si>
  <si>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</si>
  <si>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</si>
  <si>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</si>
  <si>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</si>
  <si>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</si>
  <si>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</si>
  <si>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</si>
  <si>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</si>
  <si>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</si>
  <si>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</si>
  <si>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</si>
  <si>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</si>
  <si>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</si>
  <si>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</si>
  <si>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</si>
  <si>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</si>
  <si>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</si>
  <si>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</si>
  <si>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</si>
  <si>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8847</t>
  </si>
  <si>
    <t>8848</t>
  </si>
  <si>
    <t>8849</t>
  </si>
  <si>
    <t>8850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</si>
  <si>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</si>
  <si>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</si>
  <si>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</si>
  <si>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</si>
  <si>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</si>
  <si>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</si>
  <si>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</si>
  <si>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</si>
  <si>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</si>
  <si>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</si>
  <si>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</si>
  <si>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</si>
  <si>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</si>
  <si>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</si>
  <si>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</si>
  <si>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</si>
  <si>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</si>
  <si>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</si>
  <si>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</si>
  <si>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</si>
  <si>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</si>
  <si>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</si>
  <si>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</si>
  <si>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</si>
  <si>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</si>
  <si>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</si>
  <si>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</si>
  <si>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</si>
  <si>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</si>
  <si>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</si>
  <si>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</si>
  <si>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</si>
  <si>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</si>
  <si>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</si>
  <si>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</si>
  <si>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</si>
  <si>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</si>
  <si>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</si>
  <si>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</si>
  <si>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</si>
  <si>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</si>
  <si>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</si>
  <si>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</si>
  <si>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</si>
  <si>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</si>
  <si>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</si>
  <si>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</si>
  <si>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</si>
  <si>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</si>
  <si>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</si>
  <si>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</si>
  <si>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</si>
  <si>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</si>
  <si>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</si>
  <si>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</si>
  <si>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</si>
  <si>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</si>
  <si>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</si>
  <si>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</si>
  <si>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</si>
  <si>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</si>
  <si>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</si>
  <si>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</si>
  <si>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</si>
  <si>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</si>
  <si>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</si>
  <si>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</si>
  <si>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</si>
  <si>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</si>
  <si>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</si>
  <si>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</si>
  <si>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</si>
  <si>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</si>
  <si>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</si>
  <si>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</si>
  <si>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</si>
  <si>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</si>
  <si>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</si>
  <si>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</si>
  <si>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</si>
  <si>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</si>
  <si>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</si>
  <si>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</si>
  <si>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</si>
  <si>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</si>
  <si>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</si>
  <si>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</si>
  <si>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</si>
  <si>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</si>
  <si>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</si>
  <si>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</si>
  <si>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</si>
  <si>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</si>
  <si>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</si>
  <si>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8951</t>
  </si>
  <si>
    <t>8952</t>
  </si>
  <si>
    <t>8954</t>
  </si>
  <si>
    <t>8955</t>
  </si>
  <si>
    <t>8956</t>
  </si>
  <si>
    <t>8957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</si>
  <si>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</si>
  <si>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</si>
  <si>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</si>
  <si>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</si>
  <si>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</si>
  <si>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</si>
  <si>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</si>
  <si>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</si>
  <si>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</si>
  <si>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</si>
  <si>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</si>
  <si>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</si>
  <si>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</si>
  <si>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</si>
  <si>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</si>
  <si>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</si>
  <si>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</si>
  <si>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</si>
  <si>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</si>
  <si>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</si>
  <si>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</si>
  <si>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</si>
  <si>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</si>
  <si>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</si>
  <si>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</si>
  <si>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</si>
  <si>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</si>
  <si>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</si>
  <si>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</si>
  <si>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</si>
  <si>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</si>
  <si>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</si>
  <si>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</si>
  <si>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</si>
  <si>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</si>
  <si>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</si>
  <si>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</si>
  <si>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</si>
  <si>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</si>
  <si>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</si>
  <si>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</si>
  <si>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</si>
  <si>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</si>
  <si>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</si>
  <si>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</si>
  <si>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</si>
  <si>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</si>
  <si>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</si>
  <si>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</si>
  <si>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</si>
  <si>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</si>
  <si>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</si>
  <si>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</si>
  <si>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</si>
  <si>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</si>
  <si>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</si>
  <si>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</si>
  <si>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</si>
  <si>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</si>
  <si>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</si>
  <si>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</si>
  <si>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</si>
  <si>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</si>
  <si>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</si>
  <si>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9029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</si>
  <si>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</si>
  <si>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</si>
  <si>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</si>
  <si>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</si>
  <si>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</si>
  <si>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</si>
  <si>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</si>
  <si>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</si>
  <si>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</si>
  <si>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</si>
  <si>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</si>
  <si>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</si>
  <si>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9048</t>
  </si>
  <si>
    <t>9049</t>
  </si>
  <si>
    <t>9054</t>
  </si>
  <si>
    <t>9055</t>
  </si>
  <si>
    <t>9056</t>
  </si>
  <si>
    <t>9057</t>
  </si>
  <si>
    <t>9058</t>
  </si>
  <si>
    <t>9059</t>
  </si>
  <si>
    <t>9060</t>
  </si>
  <si>
    <t>9061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</si>
  <si>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</si>
  <si>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</si>
  <si>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</si>
  <si>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</si>
  <si>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</si>
  <si>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</si>
  <si>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</si>
  <si>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</si>
  <si>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</si>
  <si>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</si>
  <si>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</si>
  <si>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</si>
  <si>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</si>
  <si>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</si>
  <si>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</si>
  <si>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</si>
  <si>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</si>
  <si>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</si>
  <si>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</si>
  <si>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</si>
  <si>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</si>
  <si>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</si>
  <si>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</si>
  <si>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</si>
  <si>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</si>
  <si>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</si>
  <si>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</si>
  <si>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</si>
  <si>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</si>
  <si>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</si>
  <si>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</si>
  <si>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</si>
  <si>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</si>
  <si>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</si>
  <si>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</si>
  <si>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</si>
  <si>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</si>
  <si>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</si>
  <si>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</si>
  <si>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</si>
  <si>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</si>
  <si>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</si>
  <si>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</si>
  <si>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</si>
  <si>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</si>
  <si>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</si>
  <si>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</si>
  <si>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</si>
  <si>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</si>
  <si>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</si>
  <si>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</si>
  <si>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</si>
  <si>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</si>
  <si>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</si>
  <si>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</si>
  <si>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</si>
  <si>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</si>
  <si>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</si>
  <si>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</si>
  <si>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</si>
  <si>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</si>
  <si>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</si>
  <si>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</si>
  <si>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</si>
  <si>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</si>
  <si>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</si>
  <si>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</si>
  <si>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</si>
  <si>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</si>
  <si>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</si>
  <si>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</si>
  <si>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</si>
  <si>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</si>
  <si>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</si>
  <si>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</si>
  <si>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</si>
  <si>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</si>
  <si>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</si>
  <si>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</si>
  <si>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</si>
  <si>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</si>
  <si>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</si>
  <si>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</si>
  <si>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</si>
  <si>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</si>
  <si>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</si>
  <si>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</si>
  <si>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</si>
  <si>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</si>
  <si>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</si>
  <si>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</si>
  <si>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</si>
  <si>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</si>
  <si>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</si>
  <si>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</si>
  <si>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</si>
  <si>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</si>
  <si>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</si>
  <si>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</si>
  <si>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</si>
  <si>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</si>
  <si>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</si>
  <si>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</si>
  <si>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</si>
  <si>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</si>
  <si>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</si>
  <si>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</si>
  <si>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</si>
  <si>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</si>
  <si>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</si>
  <si>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</si>
  <si>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</si>
  <si>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</si>
  <si>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</si>
  <si>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</si>
  <si>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</si>
  <si>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</si>
  <si>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</si>
  <si>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</si>
  <si>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</si>
  <si>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</si>
  <si>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</si>
  <si>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</si>
  <si>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</si>
  <si>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</si>
  <si>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</si>
  <si>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</si>
  <si>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</si>
  <si>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</si>
  <si>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</si>
  <si>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</si>
  <si>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</si>
  <si>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</si>
  <si>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</si>
  <si>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</si>
  <si>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</si>
  <si>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</si>
  <si>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</si>
  <si>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</si>
  <si>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</si>
  <si>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</si>
  <si>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</si>
  <si>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</si>
  <si>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</si>
  <si>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</si>
  <si>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</si>
  <si>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</si>
  <si>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</si>
  <si>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</si>
  <si>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</si>
  <si>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</si>
  <si>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</si>
  <si>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</si>
  <si>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</si>
  <si>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</si>
  <si>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</si>
  <si>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</si>
  <si>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</si>
  <si>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</si>
  <si>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</si>
  <si>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</si>
  <si>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</si>
  <si>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</si>
  <si>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</si>
  <si>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</si>
  <si>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</si>
  <si>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</si>
  <si>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</si>
  <si>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</si>
  <si>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</si>
  <si>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</si>
  <si>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</si>
  <si>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</si>
  <si>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</si>
  <si>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</si>
  <si>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</si>
  <si>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</si>
  <si>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</si>
  <si>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</si>
  <si>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</si>
  <si>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</si>
  <si>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</si>
  <si>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9251</t>
  </si>
  <si>
    <t>9252</t>
  </si>
  <si>
    <t>9253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</si>
  <si>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</si>
  <si>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</si>
  <si>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</si>
  <si>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</si>
  <si>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</si>
  <si>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</si>
  <si>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</si>
  <si>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</si>
  <si>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</si>
  <si>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</si>
  <si>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</si>
  <si>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</si>
  <si>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</si>
  <si>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</si>
  <si>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</si>
  <si>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</si>
  <si>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</si>
  <si>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</si>
  <si>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</si>
  <si>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</si>
  <si>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</si>
  <si>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</si>
  <si>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</si>
  <si>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</si>
  <si>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</si>
  <si>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</si>
  <si>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</si>
  <si>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</si>
  <si>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</si>
  <si>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</si>
  <si>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</si>
  <si>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</si>
  <si>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</si>
  <si>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</si>
  <si>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</si>
  <si>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</si>
  <si>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</si>
  <si>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</si>
  <si>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</si>
  <si>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</si>
  <si>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</si>
  <si>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</si>
  <si>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</si>
  <si>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</si>
  <si>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</si>
  <si>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</si>
  <si>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</si>
  <si>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</si>
  <si>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</si>
  <si>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</si>
  <si>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</si>
  <si>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</si>
  <si>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</si>
  <si>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</si>
  <si>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</si>
  <si>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</si>
  <si>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</si>
  <si>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9414</t>
  </si>
  <si>
    <t>9415</t>
  </si>
  <si>
    <t>9416</t>
  </si>
  <si>
    <t>19601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</si>
  <si>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</si>
  <si>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</si>
  <si>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</si>
  <si>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</si>
  <si>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</si>
  <si>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</si>
  <si>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</si>
  <si>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</si>
  <si>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</si>
  <si>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</si>
  <si>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</si>
  <si>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</si>
  <si>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</si>
  <si>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</si>
  <si>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</si>
  <si>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</si>
  <si>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</si>
  <si>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</si>
  <si>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</si>
  <si>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</si>
  <si>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</si>
  <si>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</si>
  <si>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</si>
  <si>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</si>
  <si>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PRECINTO 200 MM. NEGRO</t>
  </si>
  <si>
    <t>PRECINTO 200 MM. TRANSP.</t>
  </si>
  <si>
    <t>PRECINTO 300 MM. NEGRO</t>
  </si>
  <si>
    <t>PRECINTO 300 MM. TRANSP.</t>
  </si>
  <si>
    <t>TERMICA 2 X 25 A. NEGRA 4,5kA  G.E.</t>
  </si>
  <si>
    <t>TERMICA 2 X 32 A. NEGRA 4,5kA  G.E.</t>
  </si>
  <si>
    <t>TERMICA 2 X 40 A. NEGRA 4,5kA  G.E.</t>
  </si>
  <si>
    <t>TERMICA 4 X 10 A. NEGRA 4,5kA  G.E.</t>
  </si>
  <si>
    <t>TERMICA 4 X 20 A. NEGRA 4,5kA  G.E.</t>
  </si>
  <si>
    <t>TERMICA 4 X 16 A. NEGRA 4,5kA  G.E.</t>
  </si>
  <si>
    <t>TERMICA 4 X 50 A. NEGRA 4,5kA  G.E.</t>
  </si>
  <si>
    <t>TERMINAL BIMETALICO 16 MM LCT</t>
  </si>
  <si>
    <t>ABRAZADERA PARA POSTE C/ESCOTE 14CM PKR-31 LCT</t>
  </si>
  <si>
    <t>CAJA PASE PVC 210 X 210 X 165 G. GEN-ROD T/TR (06212116GT)</t>
  </si>
  <si>
    <t>10099</t>
  </si>
  <si>
    <t>10101</t>
  </si>
  <si>
    <t>10102</t>
  </si>
  <si>
    <t>10103</t>
  </si>
  <si>
    <t>VIDRIO PLAFON "ROMA" (AP-188)</t>
  </si>
  <si>
    <t>10104</t>
  </si>
  <si>
    <t>VIDRIO PLAFON "TORINO" (P-226)</t>
  </si>
  <si>
    <t>10105</t>
  </si>
  <si>
    <t>10106</t>
  </si>
  <si>
    <t>CINTA PASACABLE TERMINAL CHICOTE 25 MTS ALI.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</si>
  <si>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</si>
  <si>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</si>
  <si>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</si>
  <si>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</si>
  <si>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</si>
  <si>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</si>
  <si>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</si>
  <si>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</si>
  <si>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</si>
  <si>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</si>
  <si>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UNION METALICA 1 1/4</t>
  </si>
  <si>
    <t>10117</t>
  </si>
  <si>
    <t>UNION METALICA 1 1/2</t>
  </si>
  <si>
    <t>APLIQUE DIFUSOR ROMA 10,5 x 40 CM 2 LUCES (AP-288)</t>
  </si>
  <si>
    <t>PROLONGADOR  5 TOMAS X 1,5 MTS ECO.</t>
  </si>
  <si>
    <t>01</t>
  </si>
  <si>
    <t>servicio</t>
  </si>
  <si>
    <t>9448</t>
  </si>
  <si>
    <t>CAMPANA MARINERA DIAM. 15CM C/TRAFO 220-12 V. BLANCA</t>
  </si>
  <si>
    <t>TRAFO CON PULSADOR P/CERRADURA ELEC. CABRERA</t>
  </si>
  <si>
    <t>10119</t>
  </si>
  <si>
    <t>10118</t>
  </si>
  <si>
    <t>VENTILADOR DE TECHO METAL MARRON 4 PALAS 1.20M</t>
  </si>
  <si>
    <t>10130</t>
  </si>
  <si>
    <t>COLGANTE "NANTES" CHAPA 400 MM BLANCO TEX. FERROLUX (C146)</t>
  </si>
  <si>
    <t>COLGANTE "NANTES" CHAPA 400 MM NEGRO TEX. FERROLUX (C-146)</t>
  </si>
  <si>
    <t>10126</t>
  </si>
  <si>
    <t>10125</t>
  </si>
  <si>
    <t>10122</t>
  </si>
  <si>
    <t>10128</t>
  </si>
  <si>
    <t>10127</t>
  </si>
  <si>
    <t>10129</t>
  </si>
  <si>
    <t>Cod. Viejo</t>
  </si>
  <si>
    <t>10134</t>
  </si>
  <si>
    <t>FLEXIBLE MALLADO DE ACERO P/AGUA 1/2" x 20CM.</t>
  </si>
  <si>
    <t>PORTALAMPARA VINTAGE mdf12br</t>
  </si>
  <si>
    <t>10152</t>
  </si>
  <si>
    <t>10153</t>
  </si>
  <si>
    <t>GRAMPA SUJECION ALUMINIO 1"</t>
  </si>
  <si>
    <t>GRAMPA SUJECION ALUMINIO 3/4"</t>
  </si>
  <si>
    <t>GRAMPA SUJECION ALUMINIO 7/8"</t>
  </si>
  <si>
    <t>10154</t>
  </si>
  <si>
    <t>PRECINTO 100 MM. NEGRO</t>
  </si>
  <si>
    <t>PRECINTO 100 MM. TRANSP.</t>
  </si>
  <si>
    <t>PRECINTO 150 MM. NEGRO</t>
  </si>
  <si>
    <t>PRECINTO 150 MM. TRANSP.</t>
  </si>
  <si>
    <t>PRECINTO 350 MM. TRANSP.</t>
  </si>
  <si>
    <t>10156</t>
  </si>
  <si>
    <t>VELADOR TRICOLOR LED 8W NEGRO MILE.</t>
  </si>
  <si>
    <t>VOLTIMETRO ENCHIUFABLE P/CHATO 50V/500V</t>
  </si>
  <si>
    <t>10168</t>
  </si>
  <si>
    <t>ABRAZADERA DE HIERRO MEDIA OMEGA 2"</t>
  </si>
  <si>
    <t>10169</t>
  </si>
  <si>
    <t>10170</t>
  </si>
  <si>
    <t>10171</t>
  </si>
  <si>
    <t>10160</t>
  </si>
  <si>
    <t>INTERRUPTOR SMART WIFI 10A BAW</t>
  </si>
  <si>
    <t>10163</t>
  </si>
  <si>
    <t>MULTIFICHA DOBLE P/PLANO 10 AMP.</t>
  </si>
  <si>
    <t>MULTIFICHA DOBLE P/REDONDO 10 AMP.</t>
  </si>
  <si>
    <t>10164</t>
  </si>
  <si>
    <t>10165</t>
  </si>
  <si>
    <t>RASPAVIDRIOS 6.5"</t>
  </si>
  <si>
    <t>10159</t>
  </si>
  <si>
    <t>10158</t>
  </si>
  <si>
    <t>10161</t>
  </si>
  <si>
    <t>10162</t>
  </si>
  <si>
    <t>10182</t>
  </si>
  <si>
    <t>APLIQUE B/OVAL 2L E27 BL. C/TULIPA INTERMEDIA (M8020-01) S.J.</t>
  </si>
  <si>
    <t>10181</t>
  </si>
  <si>
    <t>APLIQUE B/RED. 1L E27 BL. C/TULIPA INTERMEDIA S.J.</t>
  </si>
  <si>
    <t>CABLE PORTERO 1 PAR SIN NEUTRO EPUYEN</t>
  </si>
  <si>
    <t>CABLE PORTERO 4 PARES C/NEUTRO EPUYEN</t>
  </si>
  <si>
    <t>CABLE PORTERO 6 PARES C/NEUTRO EPUYEN</t>
  </si>
  <si>
    <t>CABLE PORTERO 8 PARES C/NEUTRO EPUYEN</t>
  </si>
  <si>
    <t>COLGANTE NISE 35 X 35 CM CUADRADO C/ DIBUJO ( C-156 )</t>
  </si>
  <si>
    <t>10180</t>
  </si>
  <si>
    <t>FAROL TRAPEZOIDAL DE PARED BLANCO (5500-01) S.J.</t>
  </si>
  <si>
    <t>10176</t>
  </si>
  <si>
    <t>10178</t>
  </si>
  <si>
    <t>10177</t>
  </si>
  <si>
    <t>10179</t>
  </si>
  <si>
    <t>10184</t>
  </si>
  <si>
    <t>10183</t>
  </si>
  <si>
    <t>10191</t>
  </si>
  <si>
    <t>10186</t>
  </si>
  <si>
    <t>APLIQUE UNIDIRECCIONAL CALI I</t>
  </si>
  <si>
    <t>10190</t>
  </si>
  <si>
    <t>10188</t>
  </si>
  <si>
    <t>APLIQUE UNIDIRECCIONAL SANTIAGO I</t>
  </si>
  <si>
    <t>KIT SOPORTE P/CAJA OCTOGONAL GENROD</t>
  </si>
  <si>
    <t>RELE TERMICO 1,0-1,6A (A12-A32) BAW</t>
  </si>
  <si>
    <t>RELE TERMICO 1,6-2,5A (A12-A32) BAW</t>
  </si>
  <si>
    <t>10193</t>
  </si>
  <si>
    <t>10194</t>
  </si>
  <si>
    <t>10197</t>
  </si>
  <si>
    <t>10198</t>
  </si>
  <si>
    <t>10199</t>
  </si>
  <si>
    <t>10195</t>
  </si>
  <si>
    <t>10196</t>
  </si>
  <si>
    <t>CAJA MEDIDOR MONOFASICA POLICARBONATO GENROD</t>
  </si>
  <si>
    <t>CINTA DOBLE FAZ DE ESPUMA 12MM X 5M TACSA</t>
  </si>
  <si>
    <t>CINTA DOBLE FAZ DE ESPUMA 18MM X 2M TACSA</t>
  </si>
  <si>
    <t>CINTA DOBLE FAZ DE ESPUMA 24MM X 2M TACSA</t>
  </si>
  <si>
    <t>GRAMPA FIJACION 16 MM. KALOP</t>
  </si>
  <si>
    <t>GRAMPA FIJACION 25 MM. KALOP</t>
  </si>
  <si>
    <t>MORSETO ESTANCO ACOMETIDA CDE 16/95-4/35 ALUMINIO LCT</t>
  </si>
  <si>
    <t>MORSETO ESTANCO P/ALUMBRADO PUBLICO PKD 14AC LCT</t>
  </si>
  <si>
    <t>TERMINAL COBRE ESTAÑADO  2.5 x 3/16 SCC 2.5/2</t>
  </si>
  <si>
    <t>TERMINAL COBRE ESTAÑADO  2.5 x 5/32 SCC 2.5/1</t>
  </si>
  <si>
    <t>TERMINAL COBRE ESTAÑADO  4 x 3/16 SCC 4/2</t>
  </si>
  <si>
    <t>TERMINAL COBRE ESTAÑADO  4 x 5/32 SCC 4/1</t>
  </si>
  <si>
    <t>TERMINAL COBRE ESTAÑADO  6 x 1/4 SCC 6/2</t>
  </si>
  <si>
    <t>TERMINAL COBRE ESTAÑADO  6 x 3/16 SCC 6/1</t>
  </si>
  <si>
    <t>TERMINAL COBRE ESTAÑADO 10 x 1/4 SCC 10/2</t>
  </si>
  <si>
    <t>TERMINAL COBRE ESTAÑADO 10 x 5/16 SCC 10/3</t>
  </si>
  <si>
    <t>TERMINAL COBRE ESTAÑADO 120 x 1/2 SCC-120/1</t>
  </si>
  <si>
    <t>TERMINAL COBRE ESTAÑADO 16 x 3/8 SCC 16/3</t>
  </si>
  <si>
    <t>TERMINAL COBRE ESTAÑADO 16 x 5/16 SCC 16/2</t>
  </si>
  <si>
    <t>TERMINAL COBRE ESTAÑADO 25 x 3/8 SCC 25/3</t>
  </si>
  <si>
    <t>TERMINAL COBRE ESTAÑADO 25 x 5/16 SCC 25/2</t>
  </si>
  <si>
    <t>TERMINAL COBRE ESTAÑADO 35 x 3/8 SCC 35/2</t>
  </si>
  <si>
    <t>TERMINAL COBRE ESTAÑADO 35 x1/2 SCC 35/3</t>
  </si>
  <si>
    <t>TERMINAL COBRE ESTAÑADO 50 x 1/2 SCC50/3</t>
  </si>
  <si>
    <t>TERMINAL COBRE ESTAÑADO 50 x 3/8 SCC 50/2</t>
  </si>
  <si>
    <t>10209</t>
  </si>
  <si>
    <t>10211</t>
  </si>
  <si>
    <t>10210</t>
  </si>
  <si>
    <t>10205</t>
  </si>
  <si>
    <t>10206</t>
  </si>
  <si>
    <t>10207</t>
  </si>
  <si>
    <t>10202</t>
  </si>
  <si>
    <t>PILA P/AUDIFONOS ENERGIZER AZ10 BL X 4</t>
  </si>
  <si>
    <t>10203</t>
  </si>
  <si>
    <t>PILA P/AUDIFONOS ENERGIZER AZ13 BL X 4</t>
  </si>
  <si>
    <t>10204</t>
  </si>
  <si>
    <t>PILA P/AUDIFONOS ENERGIZER AZ675 BL X 4</t>
  </si>
  <si>
    <t>14675</t>
  </si>
  <si>
    <t>14689</t>
  </si>
  <si>
    <t>14685</t>
  </si>
  <si>
    <t>14687</t>
  </si>
  <si>
    <t>14688</t>
  </si>
  <si>
    <t>14684</t>
  </si>
  <si>
    <t>14686</t>
  </si>
  <si>
    <t>14695</t>
  </si>
  <si>
    <t>14693</t>
  </si>
  <si>
    <t>14701</t>
  </si>
  <si>
    <t>14699</t>
  </si>
  <si>
    <t>14698</t>
  </si>
  <si>
    <t>14707</t>
  </si>
  <si>
    <t>14703</t>
  </si>
  <si>
    <t>14705</t>
  </si>
  <si>
    <t>14702</t>
  </si>
  <si>
    <t>14704</t>
  </si>
  <si>
    <t>CONJUNTO RETENCION AUTOAJUSTABLE (PRA-1500)</t>
  </si>
  <si>
    <t>GEL MEJORADOR DE RESISTIVIDAD 12kg. ANDES</t>
  </si>
  <si>
    <t>10214</t>
  </si>
  <si>
    <t>INTERRUPTOR SMART WIFI 16A DIN BAW</t>
  </si>
  <si>
    <t>14723</t>
  </si>
  <si>
    <t>14731</t>
  </si>
  <si>
    <t>14714</t>
  </si>
  <si>
    <t>MODULO COMBINACION GRIS (7501) SXXII CAMBRE</t>
  </si>
  <si>
    <t>14715</t>
  </si>
  <si>
    <t>MODULO INTERRUPTOR 2X10 4 VIAS BLANCA (9508)</t>
  </si>
  <si>
    <t>14716</t>
  </si>
  <si>
    <t>MODULO INTERRUPTOR 2X10 4 VIAS GRIS (7508)</t>
  </si>
  <si>
    <t>14726</t>
  </si>
  <si>
    <t>MODULO PULSADOR GRIS (7502) SXXII CAMBRE</t>
  </si>
  <si>
    <t>14718</t>
  </si>
  <si>
    <t>MODULO PULSADOR P/CORTINA 2X10 BLANCO (9510)</t>
  </si>
  <si>
    <t>14717</t>
  </si>
  <si>
    <t>MODULO PULSADOR P/CORTINA 2X10 GRIS (7510)</t>
  </si>
  <si>
    <t>14719</t>
  </si>
  <si>
    <t>MODULO TAPON CIEGO GRIS (7004) CAMBRE SXXII</t>
  </si>
  <si>
    <t>14729</t>
  </si>
  <si>
    <t>14730</t>
  </si>
  <si>
    <t>14722</t>
  </si>
  <si>
    <t>MODULO TOMA 20A GRIS (7915) SXXII CAMBRE</t>
  </si>
  <si>
    <t>14727</t>
  </si>
  <si>
    <t>MODULO TOMA COMBINADO GRIS 2 MOD (7909) CAMBRE</t>
  </si>
  <si>
    <t>MODULO TOMA DOBLE COMBINADO BLANCO (6999) CAMBRE</t>
  </si>
  <si>
    <t>14728</t>
  </si>
  <si>
    <t>MODULO TOMA DOBLE COMBINADO GRIS (7999) CAMBRE</t>
  </si>
  <si>
    <t>14721</t>
  </si>
  <si>
    <t>MODULO Y 1/2 TAPON CIEGO  BLANCO (4015) CAMBRE SXXII</t>
  </si>
  <si>
    <t>14720</t>
  </si>
  <si>
    <t>MODULO Y 1/2 TAPON CIEGO  GRIS (7015) CAMBRE SXXII</t>
  </si>
  <si>
    <t>14708</t>
  </si>
  <si>
    <t>TAPA ALUMINIO 10X5 1b (4101) CAMBRE SXXII</t>
  </si>
  <si>
    <t>14709</t>
  </si>
  <si>
    <t>TAPA ALUMINIO 10X5 4b (4104) CAMBRE SXXII</t>
  </si>
  <si>
    <t>14710</t>
  </si>
  <si>
    <t>TAPA CHAMPAGNE 10X5 1b (4601) CAMBRE SXXII</t>
  </si>
  <si>
    <t>14711</t>
  </si>
  <si>
    <t>TAPA CHAMPAGNE 10X5 4b (4604) CAMBRE SXXII</t>
  </si>
  <si>
    <t>14724</t>
  </si>
  <si>
    <t>TAPA GRIS 10X5 1b (4701) CAMBRE SXXII</t>
  </si>
  <si>
    <t>14725</t>
  </si>
  <si>
    <t>TAPA GRIS 10X5 4b (4704) CAMBRE SXXII</t>
  </si>
  <si>
    <t>14712</t>
  </si>
  <si>
    <t>TAPA PLATA 10X5 1b (4901) CAMBRE SXXII</t>
  </si>
  <si>
    <t>14713</t>
  </si>
  <si>
    <t>TAPA PLATA 10X5 4b (4904) CAMBRE SXXII</t>
  </si>
  <si>
    <t>10212</t>
  </si>
  <si>
    <t>10213</t>
  </si>
  <si>
    <t>10221</t>
  </si>
  <si>
    <t>10219</t>
  </si>
  <si>
    <t>FUENTE 20W P/LUMINARIA MAG24</t>
  </si>
  <si>
    <t>10227</t>
  </si>
  <si>
    <t>10228</t>
  </si>
  <si>
    <t>10224</t>
  </si>
  <si>
    <t>10238</t>
  </si>
  <si>
    <t>10254</t>
  </si>
  <si>
    <t>10240</t>
  </si>
  <si>
    <t>10241</t>
  </si>
  <si>
    <t>10242</t>
  </si>
  <si>
    <t>10248</t>
  </si>
  <si>
    <t>10249</t>
  </si>
  <si>
    <t>10250</t>
  </si>
  <si>
    <t>10251</t>
  </si>
  <si>
    <t>10243</t>
  </si>
  <si>
    <t>10244</t>
  </si>
  <si>
    <t>10245</t>
  </si>
  <si>
    <t>10253</t>
  </si>
  <si>
    <t>10239</t>
  </si>
  <si>
    <t>CONECTOR CAÑO BAJADA 50MM A CAJA MEDIDOR GENROD</t>
  </si>
  <si>
    <t>CONECTOR CAÑO BAJADA 63MM A CAJA MEDIDOR GENROD</t>
  </si>
  <si>
    <t>DECO COLG. AR111 2 AROS PLATIL INDULAR</t>
  </si>
  <si>
    <t>DECO COLG. DICRO 2 AROS PLATIL INDULAR</t>
  </si>
  <si>
    <t>DECO DICRO SPOT 2 AROS PLATIL INDULAR</t>
  </si>
  <si>
    <t>DECO SPOT AR111 2 AROS PLATIL INDULAR</t>
  </si>
  <si>
    <t>PILA ENERGIZER CR-2016 BL X 5</t>
  </si>
  <si>
    <t>PILA ENERGIZER CR-2025 BL X 5</t>
  </si>
  <si>
    <t>PIPETA PARA CAÑO BAJADA AISLADO D: 50mm GENROD</t>
  </si>
  <si>
    <t>PIPETA PARA CAÑO BAJADA AISLADO D: 63mm GENROD</t>
  </si>
  <si>
    <t>10255</t>
  </si>
  <si>
    <t>10257</t>
  </si>
  <si>
    <t>TERMICA 1 X 16 A. INDUSTRIAL 6kA  G.E.</t>
  </si>
  <si>
    <t>10258</t>
  </si>
  <si>
    <t>10259</t>
  </si>
  <si>
    <t>10262</t>
  </si>
  <si>
    <t>TERMICA 3 X 16 A. NEGRA 4,5 kA G.E</t>
  </si>
  <si>
    <t>10263</t>
  </si>
  <si>
    <t>TERMICA 3 X 50 A. NEGRA 4,5 kA G.E</t>
  </si>
  <si>
    <t>10264</t>
  </si>
  <si>
    <t>10281</t>
  </si>
  <si>
    <t>10278</t>
  </si>
  <si>
    <t>10279</t>
  </si>
  <si>
    <t>10277</t>
  </si>
  <si>
    <t>10280</t>
  </si>
  <si>
    <t>10282</t>
  </si>
  <si>
    <t>CAJA P/TM PVC 2 BOCAS EXT C/P G. GENROD (045004G)</t>
  </si>
  <si>
    <t>CAJA P/TM PVC 2 BOCAS EXT S/P G. GENROD (045002G)</t>
  </si>
  <si>
    <t>CAJA P/TM PVC 4 BOCAS EXT C/P G. GENROD (045005G)</t>
  </si>
  <si>
    <t>CAJA P/TM PVC 4 BOCAS EXT S/P G. GENROD (045003G)</t>
  </si>
  <si>
    <t>CAJA P/TM PVC 8 BOCAS EXT. C/P G. GENROD (045031G</t>
  </si>
  <si>
    <t>CERRADURA MEDIA VUELTA C/LLAVE MEDIANA GENROD</t>
  </si>
  <si>
    <t>GABINETE C/CONTRAF. CALADO P/10 BOCAS (300X200X100) GENROD</t>
  </si>
  <si>
    <t>GABINETE ESTANCO 300 X 450 X 150 Serie 9000 GENROD</t>
  </si>
  <si>
    <t>GABINETE ESTANCO 450 X 600 X 150 Serie 9000 GENROD</t>
  </si>
  <si>
    <t>GUARDAMOTOR G.E. 45-63A 63A ROTATIVO 25kA (101233)</t>
  </si>
  <si>
    <t>10283</t>
  </si>
  <si>
    <t>10289</t>
  </si>
  <si>
    <t>LINTERNA LED ALUMINIO FOCO REG 250 LUMENES PILAS AAA x3 GRIS</t>
  </si>
  <si>
    <t>10288</t>
  </si>
  <si>
    <t>LINTERNA LED ALUMINIO RESISTENTE 600 LUMENES PILAS C x3</t>
  </si>
  <si>
    <t>LINTERNA LED MINERA RECARGABLE USB 150 LUMENES</t>
  </si>
  <si>
    <t>LUMINARIA MAGNETICA MODULAR MAG24 5/10W CLEOS</t>
  </si>
  <si>
    <t>MODULO COMPLEMENTARIO 5W P/MAG24 CLEOS</t>
  </si>
  <si>
    <t>PROYECTOR SOLAR AUTÓNOMO 50W CLEOS</t>
  </si>
  <si>
    <t>10285</t>
  </si>
  <si>
    <t>PUNTAS DE PRUEBA DE TENSION - SICA</t>
  </si>
  <si>
    <t>10286</t>
  </si>
  <si>
    <t>TERMICA 1 X 16 A. NEGRA 4,5kA  G.E.</t>
  </si>
  <si>
    <t>10284</t>
  </si>
  <si>
    <t>TERMICA 1 X 20 A. NEGRA 4,5kA  G.E.</t>
  </si>
  <si>
    <t>TERMICA 3 X 10 A. NEGRA 4,5kA  G.E.</t>
  </si>
  <si>
    <t>BASE 4 TOMAS UNIVERSAL S/CABLE C/TECLA INDEL.</t>
  </si>
  <si>
    <t>BASE 4 TOMAS UNIVERSAL S/CABLE S/TECLA INDEL.</t>
  </si>
  <si>
    <t>10306</t>
  </si>
  <si>
    <t>BASTIDOR ADAPTADOR P/RIEL DIN 2 MODULOS CAMBRE</t>
  </si>
  <si>
    <t>10307</t>
  </si>
  <si>
    <t>CAJA ALOJE OJO BUEY 22.5MM (6921) CAMBRE</t>
  </si>
  <si>
    <t>CAJA DE SOBREPONER 12 BOCAS DIN PTA. FUME GENROD</t>
  </si>
  <si>
    <t>10299</t>
  </si>
  <si>
    <t>CAJA DE SOBREPONER 16 BOCAS DIN PTA. FUME GENROD</t>
  </si>
  <si>
    <t>10302</t>
  </si>
  <si>
    <t>CAJA DE SOBREPONER 24 BOCAS DIN PTA. FUME GENROD</t>
  </si>
  <si>
    <t>10303</t>
  </si>
  <si>
    <t>CAJA DE SOBREPONER 36 BOCAS DIN PTA. FUME GENROD</t>
  </si>
  <si>
    <t>10301</t>
  </si>
  <si>
    <t>CAJA DE SOBREPONER 4 BOCAS DIN PTA. FUME GENROD</t>
  </si>
  <si>
    <t>10300</t>
  </si>
  <si>
    <t>CAJA DE SOBREPONER 8 BOCAS DIN PTA. FUME GENROD</t>
  </si>
  <si>
    <t>10304</t>
  </si>
  <si>
    <t>10305</t>
  </si>
  <si>
    <t>10298</t>
  </si>
  <si>
    <t>FICHA HEMBRA TRES PERNOS CHATOS FRONTAL INDEL.</t>
  </si>
  <si>
    <t>10290</t>
  </si>
  <si>
    <t>INTERRUPTOR A LEVA 15A CONMUTADORA 3 polos, 2 circuitos</t>
  </si>
  <si>
    <t>INTERRUPTOR A LEVA 15A INVERSORA Marcha/ContraM.</t>
  </si>
  <si>
    <t>INTERRUPTOR A LEVA 30A CONMUTADORA 3 polos, 2 circuitos</t>
  </si>
  <si>
    <t>INTERRUPTOR A LEVA 30A INVERSORA Marcha/ContraM.</t>
  </si>
  <si>
    <t>INTERRUPTOR A LEVA 63A INVERSORA Marcha/ContraM.</t>
  </si>
  <si>
    <t>10292</t>
  </si>
  <si>
    <t>SOPORTE TV ULTRA FINO 32" A 50" MAX. 35KG. ZESO0250</t>
  </si>
  <si>
    <t>10319</t>
  </si>
  <si>
    <t>CAJA DE SOBREPONER 48 BOCAS DIN PTA. FUME GENROD</t>
  </si>
  <si>
    <t>10318</t>
  </si>
  <si>
    <t>LAMPARA DISCO GLOBO LED 3W RGB GIRATORIA TBCIN</t>
  </si>
  <si>
    <t>10317</t>
  </si>
  <si>
    <t>LAMPARA DISCO LED 3W RGB GIRATORIA TBCIN</t>
  </si>
  <si>
    <t>10327</t>
  </si>
  <si>
    <t>10328</t>
  </si>
  <si>
    <t>10329</t>
  </si>
  <si>
    <t>10340</t>
  </si>
  <si>
    <t>10341</t>
  </si>
  <si>
    <t>10333</t>
  </si>
  <si>
    <t>10345</t>
  </si>
  <si>
    <t>10344</t>
  </si>
  <si>
    <t>10343</t>
  </si>
  <si>
    <t>LAMPARA MULTILED (24 / 110 / 220 V) (Verde / Rojo</t>
  </si>
  <si>
    <t>PULSADOR ARRANQUE PARADA VERDE RAS. ROJO SAL. NA+NC BAW</t>
  </si>
  <si>
    <t>INTERRUPTOR COMPACTO 4 POLOS 250A 50kA. BAW</t>
  </si>
  <si>
    <t>INTERRUPTOR COMPACTO 4 POLOS 400A 50kA. BAW</t>
  </si>
  <si>
    <t>INTERRUPTOR COMPACTO 4 POLOS 200A 50kA. BAW</t>
  </si>
  <si>
    <t>10351</t>
  </si>
  <si>
    <t>REPARTIDOR UNIPOLAR DIN 7 TOMAS 1,5-6mm NEGRO</t>
  </si>
  <si>
    <t>10352</t>
  </si>
  <si>
    <t>REPARTIDOR UNIPOLAR DIN 7 TOMAS 1,5-6mm CELESTE</t>
  </si>
  <si>
    <t>10353</t>
  </si>
  <si>
    <t>LAMPARA NEON ARMADA P/MODULO INT.PULS.COMB. JELUZ</t>
  </si>
  <si>
    <t>TAPA  VERONA BO. BLANCA 1 MODULO JELUZ</t>
  </si>
  <si>
    <t>TAPA BLU BLANCO PURO 3 MODULOS SICA</t>
  </si>
  <si>
    <t>TAPA BLU GRAFITO 3 MODULOS SICA</t>
  </si>
  <si>
    <t>LAMPARA TESTIGO 220V. NEGRO KALOP</t>
  </si>
  <si>
    <t>TAPA 6 MODULOS ZEN BLANCA KALOP</t>
  </si>
  <si>
    <t>TAPA 6 MODULOS ZEN NEGRA KALOP</t>
  </si>
  <si>
    <t>TAPA 6 MODULOS CIVIL BLANCA KALOP</t>
  </si>
  <si>
    <t>TAPA 6 MODULOS CIVIL MARFIL KALOP</t>
  </si>
  <si>
    <t>TAPA 6 MODULOS CIVIL NEGRA KALOP</t>
  </si>
  <si>
    <t>TAPA BASTIDOR 3 MODULOS DONNA</t>
  </si>
  <si>
    <t>TAPA CIVIL 3 MODULOS BLANCA KALOP</t>
  </si>
  <si>
    <t>TAPA CIVIL 3 MODULOS BLANCO NORDICO KALOP</t>
  </si>
  <si>
    <t>TAPA CIVIL 3 MODULOS CHAMPAGNE KALOP</t>
  </si>
  <si>
    <t>TAPA CIVIL 3 MODULOS GOLD KALOP</t>
  </si>
  <si>
    <t>TAPA CIVIL 3 MODULOS GRIS MANCHESTER KALOP</t>
  </si>
  <si>
    <t>TAPA CIVIL 3 MODULOS GRIS PRETORIA KALOP</t>
  </si>
  <si>
    <t>TAPA CIVIL 3 MODULOS GRIS TITANIO KALOP</t>
  </si>
  <si>
    <t>TAPA CIVIL 3 MODULOS NEGRA(GRAFITO TERM.) KALOP</t>
  </si>
  <si>
    <t>TAPA CIVIL 3 MODULOS ROJO MUNICH KALOP</t>
  </si>
  <si>
    <t>TAPA CONCEPT 3 MODULOS BRICKS KALOP</t>
  </si>
  <si>
    <t>TAPA CONCEPT 3 MODULOS CIRCLE KALOP</t>
  </si>
  <si>
    <t>TAPA CONCEPT 3 MODULOS CÓCTEL KALOP</t>
  </si>
  <si>
    <t>TAPA CONCEPT 3 MODULOS LETRAS KALOP</t>
  </si>
  <si>
    <t>TAPA CONCEPT 3 MODULOS MADERAS KALOP</t>
  </si>
  <si>
    <t>TAPA CONCEPT 3 MODULOS MANDALA KALOP</t>
  </si>
  <si>
    <t>TAPA CONCEPT 3 MODULOS PINCELEADAS KALOP</t>
  </si>
  <si>
    <t>TAPA CONCEPT 3 MODULOS RUSTICA KALOP</t>
  </si>
  <si>
    <t>TAPA JONICA 3 MODULOS BLANCO NORDICO KALOP</t>
  </si>
  <si>
    <t>TAPA JONICA 3 MODULOS CHAMPAGNE KALOP</t>
  </si>
  <si>
    <t>TAPA JONICA 3 MODULOS GRIS MANCHESTER KALOP</t>
  </si>
  <si>
    <t>TAPA JONICA 3 MODULOS GRIS PETRORIA KALOP</t>
  </si>
  <si>
    <t>TAPA JONICA 3 MODULOS GRIS TITANIO KALOP</t>
  </si>
  <si>
    <t>TAPA JONICA 3 MODULOS ROJO MUNICH KALOP</t>
  </si>
  <si>
    <t>TAPA ZEN 3 MODULOS BASIC BLANCA KALOP</t>
  </si>
  <si>
    <t>TAPA ZEN 3 MODULOS BASIC GRAFITO KALOP</t>
  </si>
  <si>
    <t>TAPA ZEN 3 MODULOS BASIC MARFIL KALOP</t>
  </si>
  <si>
    <t>TAPA ZEN 3 MODULOS COLORS CARAMEL KALOP</t>
  </si>
  <si>
    <t>TAPA ZEN 3 MODULOS COLORS CELESTE KALOP</t>
  </si>
  <si>
    <t>TAPA ZEN 3 MODULOS COLORS GRIS KALOP</t>
  </si>
  <si>
    <t>TAPA ZEN 3 MODULOS COLORS MANZANA KALOP-DISC.</t>
  </si>
  <si>
    <t>TAPA ZEN 3 MODULOS COLORS NARANJA KALOP</t>
  </si>
  <si>
    <t>TAPA ZEN 3 MODULOS COLORS ROSA KALOP</t>
  </si>
  <si>
    <t>TAPA ZEN 3 MODULOS COLORS VIOLETA KALOP-DISC.</t>
  </si>
  <si>
    <t>TAPA ZEN 3 MODULOS METAL BRONCE KALOP</t>
  </si>
  <si>
    <t>TAPA ZEN 3 MODULOS METAL HIERRO KALOP</t>
  </si>
  <si>
    <t>TAPA ZEN 3 MODULOS METAL ORO KALOP</t>
  </si>
  <si>
    <t>TAPA ZEN 3 MODULOS METAL PLATA KALOP</t>
  </si>
  <si>
    <t>TAPA ZEN 6 MODULOS METAL ORO KALOP (KS41522)</t>
  </si>
  <si>
    <t>TAPA ZEN 3 MODULOS COLORS LIMÓN KALOP-DISC.</t>
  </si>
  <si>
    <t>LAMPARA LED MR16 7W GU10 L.D DIMERIZABLE SICA</t>
  </si>
  <si>
    <t>LAMPARA 3 LED MR16 3W GU10 AMARILLO SICA</t>
  </si>
  <si>
    <t>LAMPARA 3 LED MR16 3W GU10 AZUL SICA</t>
  </si>
  <si>
    <t>CAÑO BAJADA PILAR DOBLE AISLADO 2" x 3,20 MTS. Mono/Trif. (50MM.) GENROD</t>
  </si>
  <si>
    <t>CAÑO BAJADA PILAR DOBLE AISLADO 2.5" x 4,20 MTS. Mono/Trif. (63MM.) GENROD</t>
  </si>
  <si>
    <t>FICHA HEMBRA 10A P/P BCA. SAL. LAT. MANIJA JELUZ (FH620)</t>
  </si>
  <si>
    <t>FICHA HEMBRA 10A P/P NEGRA SAL. LAT. MANIJA JELUZ (FH621)</t>
  </si>
  <si>
    <t>TERMICA 4 X 06 A. NARANJA 3kA  G.E.</t>
  </si>
  <si>
    <t>TERMICA 4 X 100 A. INDUSTRIAL HTI+ 16kA  G.E.</t>
  </si>
  <si>
    <t>TERMICA 4 X 80 A. INDUSTRIAL HTI+ 16kA  G.E.</t>
  </si>
  <si>
    <t>ACCESORIO 100 X 50 MM CURVA INTERNA ROKER</t>
  </si>
  <si>
    <t>ACCESORIO 100 X 50 MM SEPARADOR ROKER</t>
  </si>
  <si>
    <t>SELECTORA METALICA 3 POS. M. CORTA AUTOMATICA BAW</t>
  </si>
  <si>
    <t>REJILLA METAL COOLE 150 X 150</t>
  </si>
  <si>
    <t>GABINETE IND. KALOP P/TOMA 1 X 16 Y 1 X 32 S/P (09987)</t>
  </si>
  <si>
    <t>GABINETE C/CONTRAF. CALADO P/6 BOCAS (200 X 200 X 100) GENROD</t>
  </si>
  <si>
    <t>GABINETE C/CONTRAF. CALADO P/20 BOCAS (300 X 300 X 100) GENROD</t>
  </si>
  <si>
    <t>10365</t>
  </si>
  <si>
    <t>APLIQUE BENYI 1 LUZ C/PANT. CIRC. ROJA (193/C)</t>
  </si>
  <si>
    <t>APLIQUE BENYI 1 LUZ C/PANT. CUAD. BCO/RO/NG (193/Q)</t>
  </si>
  <si>
    <t>APLIQUE CAMA MASTER C/PANT. ROJA (098)</t>
  </si>
  <si>
    <t>APLIQUE CASSINI PARA E-27 SYLVANIA</t>
  </si>
  <si>
    <t>APLIQUE CICLOS NEGRO CABRERA</t>
  </si>
  <si>
    <t>APLIQUE DUBLIN 1 LUZ GU10 ACERO (S-118ACE)</t>
  </si>
  <si>
    <t>APLIQUE DUBLIN 1 LUZ GU10 BLANCO TEX. (S-118B/T)</t>
  </si>
  <si>
    <t>APLIQUE DUBLIN 1 LUZ GU10 NEGRO TEX. (S-118N/T)</t>
  </si>
  <si>
    <t>APLIQUE DUBLIN 2 LUCES GU10 ACERO (S-218ACE)</t>
  </si>
  <si>
    <t>APLIQUE DUBLIN 2 LUCES GU10 ACERO (SL-218ACE)</t>
  </si>
  <si>
    <t>APLIQUE DUBLIN 2 LUCES GU10 NEGRO TEXT. (S-218N/T)</t>
  </si>
  <si>
    <t>APLIQUE DUBLIN 3 LUCES GU10 ACERO (SL-318ACE)</t>
  </si>
  <si>
    <t>APLIQUE DUBLIN 3 LUCES GU10 BLANCO (SL-318B/T)</t>
  </si>
  <si>
    <t>APLIQUE DUBLIN 3 LUCES GU10 NEGRO (SL-318N/T)</t>
  </si>
  <si>
    <t>APLIQUE DUBLIN 4 LUCES GU10 ACERO (SL-418ACE)</t>
  </si>
  <si>
    <t>APLIQUE DUBLIN 4 LUCES GU10 BLANCO TEXT. (SL-418AB/T)</t>
  </si>
  <si>
    <t>APLIQUE DUBLIN 4 LUCES GU10 NEGRO (SL-418N/T)</t>
  </si>
  <si>
    <t>APLIQUE ONIX NEGRO CABRERA</t>
  </si>
  <si>
    <t>APLIQUE PREMIUM JADE NEGRO CABRERA</t>
  </si>
  <si>
    <t>COLGANTE DESNIVEL 2 LUCES C/CABLE Y CONO PLA (CD-211PLA)</t>
  </si>
  <si>
    <t>COLGANTE JAULA GRANDE NEGRO E-27 (BIRD01)</t>
  </si>
  <si>
    <t>COLGANTE VINTAGE C/PERILLA E-27 ACERO</t>
  </si>
  <si>
    <t>COLGANTE VINTAGE C/PERRILLA  E-27 BRONCE V.</t>
  </si>
  <si>
    <t>CONJUNTO CAPUCHON C/CABLE Y VIDRIO CONO BCO (CC-180BLA)</t>
  </si>
  <si>
    <t>CONJUNTO CAPUCHON C/CABLE Y VIDRIO CONO PLA. (CC-180PLA)</t>
  </si>
  <si>
    <t>CONJUNTO TECLON COMB. ZEN BILDIN (KL41625T)</t>
  </si>
  <si>
    <t>CONJUNTO TECLON COMB. ZEN COFFEE (KL41623T)</t>
  </si>
  <si>
    <t>CONJUNTO TECLON COMB. ZEN CONCEPT WOW (KL41620T)</t>
  </si>
  <si>
    <t>CONJUNTO TECLON COMB. ZEN LOVE (KL41621T)</t>
  </si>
  <si>
    <t>CONJUNTO TECLON COMB. ZEN WASH (KL41622T)</t>
  </si>
  <si>
    <t>CONJUNTO TECLON. COMB. ZEN PICTURE (KL41627T)</t>
  </si>
  <si>
    <t>BOBINA DE RECAMBIO CL00 A CL25 110 V.CA LB1A3 (1104</t>
  </si>
  <si>
    <t>BOBINA DE RECAMBIO CL00 A CL25 220V.CA LB1A6 (104634)</t>
  </si>
  <si>
    <t>PRENSACABLE 1"   PG-21</t>
  </si>
  <si>
    <t>PRENSACABLE 1/2    PG-07</t>
  </si>
  <si>
    <t>PRENSACABLE 2    PG-48</t>
  </si>
  <si>
    <t>PRENSACABLE 3/4    PG-11</t>
  </si>
  <si>
    <t>PRENSACABLE 5/8    PG-09</t>
  </si>
  <si>
    <t>10396</t>
  </si>
  <si>
    <t>10384</t>
  </si>
  <si>
    <t>10398</t>
  </si>
  <si>
    <t>10400</t>
  </si>
  <si>
    <t>10395</t>
  </si>
  <si>
    <t>10394</t>
  </si>
  <si>
    <t>10388</t>
  </si>
  <si>
    <t>10389</t>
  </si>
  <si>
    <t>10387</t>
  </si>
  <si>
    <t>10386</t>
  </si>
  <si>
    <t>APLIQUE BIDIRECCIONAL CILINDRO GU10 C/HAZ</t>
  </si>
  <si>
    <t>APLIQUE BIDIRECCIONAL CILINDRO GU10 S/HAZ</t>
  </si>
  <si>
    <t>APLIQUE BIDIRECCIONAL PARED CUADRADO LED (04928-1)</t>
  </si>
  <si>
    <t>BOBINA DE RECAMBIO CL00 A CL25 24 V.CA LB1A1 (11041</t>
  </si>
  <si>
    <t>BOBINA DE RECAMBIO CL00 A CL25 380 V.CA LB1AU (1046</t>
  </si>
  <si>
    <t>BOBINA DE RECAMBIO CL03 A CL45 110 V.CA LB3A3 (1104</t>
  </si>
  <si>
    <t>BOBINA DE RECAMBIO CL03 A CL45 220 V. C.A LB3</t>
  </si>
  <si>
    <t>BOBINA DE RECAMBIO CL03 A CL45 24VCA LB3A1 (110449)</t>
  </si>
  <si>
    <t>BOBINA DE RECAMBIO CL03 A CL45 380 V.CA  LB3AU (104</t>
  </si>
  <si>
    <t>BOBINA DE RECAMBIO CL06 A CL10 110 V.CA LB4A3 (1104</t>
  </si>
  <si>
    <t>BOBINA DE RECAMBIO CL06 A CL10 220 V. C.A LB4</t>
  </si>
  <si>
    <t>BOBINA DE RECAMBIO CL06 A CL10 24 V. C.A LB4</t>
  </si>
  <si>
    <t>BOBINA DE RECAMBIO CL06 A CL10 380 V. C.A LB4</t>
  </si>
  <si>
    <t>CABLE ARMADO RCA 2 PL A 2 PL RCA X 1,80 (MTS.)</t>
  </si>
  <si>
    <t>CABLE ARMADO RCA 2 PL A 2 PL RCA X 4 (MTS.)</t>
  </si>
  <si>
    <t>CABLE ARMADO RCA 2 PL A 2 PL RCA X 7 (MTS.)</t>
  </si>
  <si>
    <t>CABLE ARMADO RCA 3 PL A 3 PL RCA X 1.80 (MTS.)</t>
  </si>
  <si>
    <t>TRANSFORMADOR 220V. 12V. 100 VA.</t>
  </si>
  <si>
    <t>CINTA AISLADORA 3M TEMFLEX 165 X 9 MTS.</t>
  </si>
  <si>
    <t>COMBO PORTERO VISOR COLOR 4,3" COMMAX</t>
  </si>
  <si>
    <t>COMBO PORTERO VISOR COLOR 7" COMMAX</t>
  </si>
  <si>
    <t>CONJUNTO TECLON COMB. ROCK (KL41624T)</t>
  </si>
  <si>
    <t>CONJUNTO TECLON COMB. ZEN BIGBEN (KL41628T)</t>
  </si>
  <si>
    <t>MODULO 1/2 COMB. Y 1/2 CIEGO EN 1 BLANCO PLATINUM</t>
  </si>
  <si>
    <t>MODULO 1/2 COMB. Y 1/2 CIEGO EN 1 NEGRO PLATINUM</t>
  </si>
  <si>
    <t>MODULO 1/2 COMB. Y 1/2 PUNTO EN 1 BLANCO PLATINUM</t>
  </si>
  <si>
    <t>MODULO 1/2 PUNTO Y 1/2 CIEGO EN 1 BLANCO PLATINUM</t>
  </si>
  <si>
    <t>MODULO 1/2 PUNTO Y 1/2 CIEGO EN 1 NEGRO PLATINUM</t>
  </si>
  <si>
    <t>MODULO CATV 75 OHMS BLA MULTIATEN. (6935) CAMBRE</t>
  </si>
  <si>
    <t>MODULO CATV 75 OHMS BLA PASAN. (6936) CAMBRE</t>
  </si>
  <si>
    <t>MODULO CATV 75 OHMS GRIS MULTIATEN. (7936) CAMBRE</t>
  </si>
  <si>
    <t>MODULO CIEGO BLANCO TECLASTAR</t>
  </si>
  <si>
    <t>MODULO CIEGO GRIS TECLASTAR</t>
  </si>
  <si>
    <t>MODULO PC RJ45 BLA CAT.5 (6929) CAMBRE</t>
  </si>
  <si>
    <t>MODULO PC RJ45 GIRS CAT.5 (7929) CAMBRE</t>
  </si>
  <si>
    <t>MODULO REGULADOR LUZ BLA PERILLA APTO LED (8838) CAMBRE</t>
  </si>
  <si>
    <t>BORNERA 12 POLOS 4mm KALOP</t>
  </si>
  <si>
    <t>BORNERA 12 POLOS 6-10mm KALOP</t>
  </si>
  <si>
    <t>10412</t>
  </si>
  <si>
    <t>CAJA PASE PVC 115 X 115 X 110 G.GEN-ROD(22111111G)</t>
  </si>
  <si>
    <t>CAJA PASE PVC 115 X 115 X 65 G. GEN-ROD(22111106G)</t>
  </si>
  <si>
    <t>CAJA PASE PVC 115 X 115 X 80 GRIS GENROD (22111108G)</t>
  </si>
  <si>
    <t>CAJA PASE PVC 115 X 165 X 110 B.GEN-ROD(22111611B)</t>
  </si>
  <si>
    <t>CAJA PASE PVC 115 X 165 X 110 G.GEN-ROD(22111611G)</t>
  </si>
  <si>
    <t>CAJA PASE PVC 115 X 165 X 80 G. GEN-ROD(22111608G)</t>
  </si>
  <si>
    <t>CAJA PASE PVC 165 X 165 X 110 G.GEN-ROD(22161611G)</t>
  </si>
  <si>
    <t>CAJA PASE PVC 165 X 165 X 65 B. GEN-ROD(22161606B)</t>
  </si>
  <si>
    <t>CAJA PASE PVC 165 X 165 X 65 G. GEN-ROD(22161606G)</t>
  </si>
  <si>
    <t>CAJA PASE PVC 165 X 165 X 80 G. GEN-ROD(22161608B)</t>
  </si>
  <si>
    <t>CAJA PASE PVC 165 X 210 X 110 G.GEN-ROD(22162111G)</t>
  </si>
  <si>
    <t>CAJA PASE PVC 165 X 210 X 65 G. GEN-ROD(22162106G)</t>
  </si>
  <si>
    <t>CAJA PASE PVC 165 X 210 X 80 G. GEN-ROD(22162108G)</t>
  </si>
  <si>
    <t>CAJA PASE PVC 90 X 90 X 55 G. GEN-ROD (22090905G)</t>
  </si>
  <si>
    <t>CAJA PASE PVC 90 X 90 X 75 G. GEN-ROD (22090907G)</t>
  </si>
  <si>
    <t>10403</t>
  </si>
  <si>
    <t>GABINETE C/CONTRAF. CALADO P/30 BOCAS (300x450x100) GENROD</t>
  </si>
  <si>
    <t>GABINETE C/CONTRAF. CALADO P/36 BOCAS (300x450x120)</t>
  </si>
  <si>
    <t>10410</t>
  </si>
  <si>
    <t>GABINETE C/CONTRAF. CALADO P/60-72 BOCAS (600X600X100) GENROD</t>
  </si>
  <si>
    <t>10408</t>
  </si>
  <si>
    <t>GABINETE ESTANCO 300 X 300 X 225 Serie 9000 GENROD</t>
  </si>
  <si>
    <t>10402</t>
  </si>
  <si>
    <t>GABINETE ESTANCO 300 X 450 X 225 Serie 9000 GENROD</t>
  </si>
  <si>
    <t>10407</t>
  </si>
  <si>
    <t>GABINETE ESTANCO 450 X 450 X 150 Serie 9000 GENROD</t>
  </si>
  <si>
    <t>10409</t>
  </si>
  <si>
    <t>GABINETE ESTANCO 450 X 600 X 225 Serie 9000 GENROD</t>
  </si>
  <si>
    <t>GABINETE ESTANCO 600 X 750 X 150  SERIE 9000 GENROD</t>
  </si>
  <si>
    <t>10406</t>
  </si>
  <si>
    <t>GABINETE ESTANCO 600 X 750 X 225 Serie 9000 GENROD</t>
  </si>
  <si>
    <t>GABINETE P/1 MEDIDOR MONOFASICO + 1 TRIFASICO C/TM</t>
  </si>
  <si>
    <t>10404</t>
  </si>
  <si>
    <t>GABINETE P/1 MEDIDOR TRIFASICO C/TM</t>
  </si>
  <si>
    <t>10405</t>
  </si>
  <si>
    <t>GABINETE P/12 MEDIDORES MONOFASICOS C/TM</t>
  </si>
  <si>
    <t>GABINETE P/2 MEDIDORES TRIFASICOS C/TM</t>
  </si>
  <si>
    <t>GABINETE P/3 MEDIDORES MONOFASICOS C/TM</t>
  </si>
  <si>
    <t>GABINETE P/4 MEDIDORES TRIFASICOS C/TM</t>
  </si>
  <si>
    <t>GABINETE P/6 MEDIDORES  MONOFASICOS C/TM</t>
  </si>
  <si>
    <t>GABINETE P/9 MEDIDORES MONOFASICOS C/TM</t>
  </si>
  <si>
    <t>CAJA PASE PVC 210 X 210 X 110 G.GEN-ROD (22212111G)</t>
  </si>
  <si>
    <t>CAJA PASE PVC 210 X 210 X 135 G.GEN-ROD(22212113G)</t>
  </si>
  <si>
    <t>CAJA PASE PVC 210 X 210 X 165 B.GEN-ROD (22212116B)</t>
  </si>
  <si>
    <t>CAJA PASE PVC 210 X 210 X 165 G.GEN-ROD(22212116G)</t>
  </si>
  <si>
    <t>CAJA PASE PVC 310 X 310 X 165 G. GEN-ROD (22313116G)</t>
  </si>
  <si>
    <t>10416</t>
  </si>
  <si>
    <t>10413</t>
  </si>
  <si>
    <t>CAJA PASE PVC 310 X 310 X 110 G. GEN-ROD (22313111G)</t>
  </si>
  <si>
    <t>MULTIMETRO DIGITAL MANUAL DT 838 BAW</t>
  </si>
  <si>
    <t>MULTIMETRO DIGITAL RM777 AUTORRANGO TRUE RMS BAW</t>
  </si>
  <si>
    <t>PROTECTOR TENSION MICROCONTROLADO</t>
  </si>
  <si>
    <t>10420</t>
  </si>
  <si>
    <t>10417</t>
  </si>
  <si>
    <t>10418</t>
  </si>
  <si>
    <t>10419</t>
  </si>
  <si>
    <t>APLIQUE BASE ACERO GU-10 2 LUCES  ECLIPSE 2021/2</t>
  </si>
  <si>
    <t>10421</t>
  </si>
  <si>
    <t>10425</t>
  </si>
  <si>
    <t>10434</t>
  </si>
  <si>
    <t>10435</t>
  </si>
  <si>
    <t>GUIRNALDAS BLANCAS 27 X 5 MTS AKAI</t>
  </si>
  <si>
    <t>GUIRNALDAS NEGRAS E-27 X 5 MTS AKAI</t>
  </si>
  <si>
    <t>10423</t>
  </si>
  <si>
    <t>10424</t>
  </si>
  <si>
    <t>SECCIONADOR PORTAFUSIBLE 10X38 1 DIN 25A C/LED</t>
  </si>
  <si>
    <t>10429</t>
  </si>
  <si>
    <t>TERMICA 3 X 50 A. JELUZ</t>
  </si>
  <si>
    <t>10444</t>
  </si>
  <si>
    <t>10448</t>
  </si>
  <si>
    <t>10449</t>
  </si>
  <si>
    <t>10451</t>
  </si>
  <si>
    <t>10447</t>
  </si>
  <si>
    <t>10446</t>
  </si>
  <si>
    <t>10445</t>
  </si>
  <si>
    <t>10436</t>
  </si>
  <si>
    <t>CAJA PASE METALICA 15 X 20 X 10</t>
  </si>
  <si>
    <t>10442</t>
  </si>
  <si>
    <t>10443</t>
  </si>
  <si>
    <t>CURVA METALICA LIVIANA 2</t>
  </si>
  <si>
    <t>10440</t>
  </si>
  <si>
    <t>ESTUFA HORIZONTAL</t>
  </si>
  <si>
    <t>FICHA HEMBRA 20A CIOCCA</t>
  </si>
  <si>
    <t>FICHA HEMBRA 20A MIG</t>
  </si>
  <si>
    <t>FICHA MACHO 20A KALOP</t>
  </si>
  <si>
    <t>LINTERNA EVEREADY PILA X3 AAA ( MLV33A)</t>
  </si>
  <si>
    <t>10438</t>
  </si>
  <si>
    <t>SPOT UNIDIRECCIONAL NEGRO 1 X GU10 CABRERA</t>
  </si>
  <si>
    <t>10437</t>
  </si>
  <si>
    <t>TAPA CUBRE MODULOS DIN CABRERA</t>
  </si>
  <si>
    <t>10458</t>
  </si>
  <si>
    <t>TERMICA 3 X 63 A. JELUZ</t>
  </si>
  <si>
    <t>10460</t>
  </si>
  <si>
    <t>CONTACTOR TRIP. 16KW 32A 1NA 24V G.E. CL04 (109461)</t>
  </si>
  <si>
    <t>FICHA HEMBRA FRONTAL TRES PERNOS CHATOS TAAD</t>
  </si>
  <si>
    <t>FICHA MACHO FRONTAL TRES PERNOS CHATOS TAAD</t>
  </si>
  <si>
    <t>MODULO 1/2 COMB. Y 1/2 PUNTO  EN 1 NEGRO PLATINUM</t>
  </si>
  <si>
    <t>MODULO CIEGO ARENA TECLASTAR</t>
  </si>
  <si>
    <t>MODULO COMBINACION  BLANCO TECLASTAR**</t>
  </si>
  <si>
    <t>MODULO COMBINACION ARENA TECLASTAR**</t>
  </si>
  <si>
    <t>MODULO COMBINACION GRIS TECLASTAR**</t>
  </si>
  <si>
    <t>MODULO INTERRUPTOR ARENA TECLASTAR**</t>
  </si>
  <si>
    <t>MODULO INTERRUPTOR BLANCO TECLASTAR**</t>
  </si>
  <si>
    <t>MODULO INTERRUPTOR GRIS TECLASTAR**</t>
  </si>
  <si>
    <t>MODULO INTERRUPTOR TARJETA HOTELERA KALOP</t>
  </si>
  <si>
    <t>MODULO INTERRUTOR BIPOLAR 16A BLANCO PLATINUN</t>
  </si>
  <si>
    <t>MODULO PUERTO USB BLANCO TECLASTAR</t>
  </si>
  <si>
    <t>MODULO PUERTO USB GRIS TECLASTAR</t>
  </si>
  <si>
    <t>MODULO PULSADOR ARENA TECLASTAR**</t>
  </si>
  <si>
    <t>MODULO PULSADOR BLANCO TECLASTAR**</t>
  </si>
  <si>
    <t>MODULO PULSADOR GRIS TECLASTAR**</t>
  </si>
  <si>
    <t>MODULO SENSOR INFRARROJO 1500W JELUZ</t>
  </si>
  <si>
    <t>MODULO TECLON COMBINACION BLANCO PLATINUM</t>
  </si>
  <si>
    <t>MODULO TECLON COMBINACION NEGRO PLATINUM</t>
  </si>
  <si>
    <t>MODULO TELEFONICO AMER. GRIS TECLASTAR</t>
  </si>
  <si>
    <t>MODULO TELEFONO AMER. ARENA TECLASTAR</t>
  </si>
  <si>
    <t>MODULO TELEFONO AMER. BLANCO TECLASTAR</t>
  </si>
  <si>
    <t>MODULO TOMA 20A ARENA TECLASTAR</t>
  </si>
  <si>
    <t>MODULO TOMA 20A BLANCO TECLASTAR</t>
  </si>
  <si>
    <t>MODULO TOMA 20A GRIS TECLASTAR</t>
  </si>
  <si>
    <t>MODULO TOMA DOBLE IRAM ARENA TECLASTAR</t>
  </si>
  <si>
    <t>MODULO TOMA DOBLE IRAM BLANCO TECLASTAR</t>
  </si>
  <si>
    <t>MODULO TOMA DOBLE IRAM GRIS TECLASTAR</t>
  </si>
  <si>
    <t>MODULO TOMA IRAM ARENA TECLASTAR</t>
  </si>
  <si>
    <t>MODULO TOMA IRAM BLANCO TECLASTAR</t>
  </si>
  <si>
    <t>MODULO TOMA IRAM GRIS TECLASTAR</t>
  </si>
  <si>
    <t>MODULO TOMA TV PIN FINO ARENA TECLASTAR</t>
  </si>
  <si>
    <t>MODULO TOMA TV PIN FINO GRIS TECLASTAR</t>
  </si>
  <si>
    <t>MODULO USB 1A  BLANCO VERONA JELUZ</t>
  </si>
  <si>
    <t>MODULO USB 1A  MARFIL VERONA JELUZ</t>
  </si>
  <si>
    <t>MODULO USB 1A BLANCO PLATINUM JELUZ</t>
  </si>
  <si>
    <t>MODULO USB 1A NEGRO VERONA JELUZ</t>
  </si>
  <si>
    <t>MODULO USB 2A BLANCO VERONA JELUZ</t>
  </si>
  <si>
    <t>MODULO USB 2A NEGRO VERONA JELUZ</t>
  </si>
  <si>
    <t>MODULO VARIADOR DE LED ARENA TECLASTAR</t>
  </si>
  <si>
    <t>MODULO VARIADOR DE LED BLANCO TECLASTAR</t>
  </si>
  <si>
    <t>MODULO VARIADOR DE LED GRIS TECLASTAR</t>
  </si>
  <si>
    <t>10464</t>
  </si>
  <si>
    <t>SPOT CUADRADO EMBUTIR AR111 PVC BLANCO (SE-118BLA)</t>
  </si>
  <si>
    <t>10462</t>
  </si>
  <si>
    <t>10461</t>
  </si>
  <si>
    <t>10463</t>
  </si>
  <si>
    <t>SPOT REDONDO EMBUTIR AR111 PVC BLANCO (SE-117BLA)</t>
  </si>
  <si>
    <t>10472</t>
  </si>
  <si>
    <t>10471</t>
  </si>
  <si>
    <t>10473</t>
  </si>
  <si>
    <t>DRIVER 12W P/PANEL LED</t>
  </si>
  <si>
    <t>10467</t>
  </si>
  <si>
    <t>DRIVER 24W P/PANEL LED</t>
  </si>
  <si>
    <t>10466</t>
  </si>
  <si>
    <t>10485</t>
  </si>
  <si>
    <t>10477</t>
  </si>
  <si>
    <t>10476</t>
  </si>
  <si>
    <t>10479</t>
  </si>
  <si>
    <t>GABINETE TOMA IND. 2 X 16 + 2 X 32 (09990) GENROD</t>
  </si>
  <si>
    <t>10478</t>
  </si>
  <si>
    <t>GRAMPA SUJETA CABLE Nº 9 COAXIL BLANCA TACSA</t>
  </si>
  <si>
    <t>10498</t>
  </si>
  <si>
    <t>LAMPARA CLASICA AMARILLA 6W AKAI**</t>
  </si>
  <si>
    <t>10499</t>
  </si>
  <si>
    <t>LAMPARA CLASICA AZUL 6W AKAI**</t>
  </si>
  <si>
    <t>10497</t>
  </si>
  <si>
    <t>LAMPARA CLASICA ROJA 6W AKAI**</t>
  </si>
  <si>
    <t>10496</t>
  </si>
  <si>
    <t>LAMPARA CLASICA VERDE 6W AKAI**</t>
  </si>
  <si>
    <t>10484</t>
  </si>
  <si>
    <t>10487</t>
  </si>
  <si>
    <t>10492</t>
  </si>
  <si>
    <t>10493</t>
  </si>
  <si>
    <t>LAMPARA GOTA LED 5W AMARILLA AKAI**</t>
  </si>
  <si>
    <t>10491</t>
  </si>
  <si>
    <t>10494</t>
  </si>
  <si>
    <t>10488</t>
  </si>
  <si>
    <t>10468</t>
  </si>
  <si>
    <t>10469</t>
  </si>
  <si>
    <t>PRENSACABLE PLASTICO BLANCO</t>
  </si>
  <si>
    <t>10475</t>
  </si>
  <si>
    <t>10474</t>
  </si>
  <si>
    <t>10470</t>
  </si>
  <si>
    <t>TERMINAL P/PRENSACABLE BLANCO</t>
  </si>
  <si>
    <t>10514</t>
  </si>
  <si>
    <t>CANBUS H1 22W</t>
  </si>
  <si>
    <t>10515</t>
  </si>
  <si>
    <t>CANBUS H3 22W</t>
  </si>
  <si>
    <t>10516</t>
  </si>
  <si>
    <t>CANBUS H7 22W</t>
  </si>
  <si>
    <t>10502</t>
  </si>
  <si>
    <t>10503</t>
  </si>
  <si>
    <t>10521</t>
  </si>
  <si>
    <t>10522</t>
  </si>
  <si>
    <t>10506</t>
  </si>
  <si>
    <t>10511</t>
  </si>
  <si>
    <t>10512</t>
  </si>
  <si>
    <t>10513</t>
  </si>
  <si>
    <t>10536</t>
  </si>
  <si>
    <t>LLAVE ARMADA ERA 2 1/2 TECLON PUNTO RICHI</t>
  </si>
  <si>
    <t>10535</t>
  </si>
  <si>
    <t>LLAVE ARMADA ERA TECLON RICHI</t>
  </si>
  <si>
    <t>10533</t>
  </si>
  <si>
    <t>LLAVE ARMADA ERA TOMA 20A RICHI</t>
  </si>
  <si>
    <t>10531</t>
  </si>
  <si>
    <t>MODULO CIEGO BLANCO RICHI</t>
  </si>
  <si>
    <t>10529</t>
  </si>
  <si>
    <t>MODULO TOMA 20 A. BLANCO RICHI</t>
  </si>
  <si>
    <t>10530</t>
  </si>
  <si>
    <t>MODULO TOMA C/ NEUTRO BLANCO RICHI</t>
  </si>
  <si>
    <t>10519</t>
  </si>
  <si>
    <t>PERILLA VELADOR BLANCA RICHI**</t>
  </si>
  <si>
    <t>10520</t>
  </si>
  <si>
    <t>PERILLA VELADOR NEGRA RICHI**</t>
  </si>
  <si>
    <t>10524</t>
  </si>
  <si>
    <t>10526</t>
  </si>
  <si>
    <t>10528</t>
  </si>
  <si>
    <t>10523</t>
  </si>
  <si>
    <t>PROLONGADOR TOP 5 BOCAS C/BORNERA S/CABLE</t>
  </si>
  <si>
    <t>PROLONGADOR TOP 5 BOCAS C/LLAVE S/CABLE</t>
  </si>
  <si>
    <t>10507</t>
  </si>
  <si>
    <t>ACCESORIO PUNTERA PLANA 100 X 50 ROKER</t>
  </si>
  <si>
    <t>ADAPTADOR ROSCA E40 A E27</t>
  </si>
  <si>
    <t>CABLE CANAL 100 X 50 (PRECIO X MTS) KALOP</t>
  </si>
  <si>
    <t>CABLE CANAL 14 X 7 C/ADHESIVO (PRECIO X MTS) KALOP</t>
  </si>
  <si>
    <t>CABLE CANAL 18 X 21 C/ADHESIVO (PRECIO X MTS) KALOP</t>
  </si>
  <si>
    <t>CABLE CANAL 20 X 10 C/ADHESIVO (PRECIO X MTS) KALOP</t>
  </si>
  <si>
    <t>CABLE CANAL 30 X 10 C/ADHESIVO (PRECIO X MTS) KALOP</t>
  </si>
  <si>
    <t>CABLE CANAL 40 X 16 SIN ADHESIVO (PRECIO X MTS) KALOP</t>
  </si>
  <si>
    <t>CABLE CANAL 40 X 30 C/ADHESIVO (PRECIO X MTS) CABRERA</t>
  </si>
  <si>
    <t>CABLE CANAL 70 X 50 SIN ADHESIVO (PRECIO X MTS) CABRERA</t>
  </si>
  <si>
    <t>CAÑO 16 MM. EXTRAPESADO (PRECIO X MTS) GENROD</t>
  </si>
  <si>
    <t>CAÑO 16 MM. SEMIPESADO (PRECIO X MTS) GENROD</t>
  </si>
  <si>
    <t>CAÑO 20 MM. EXTRAPESADO (PRECIO X MTS) GENROD</t>
  </si>
  <si>
    <t>CAÑO 20 MM. SEMIPESADO (PRECIO X MTS) GENROD</t>
  </si>
  <si>
    <t>CAÑO 22 MM. EXTRAPESADO (PRECIO X MTS) GENROD</t>
  </si>
  <si>
    <t>CAÑO 22 MM. SEMIPESADO (PRECIO X MTS) GENROD</t>
  </si>
  <si>
    <t>CAÑO 25 MM. EXTRAPESADO (PRECIO X MTS) GENROD</t>
  </si>
  <si>
    <t>CAÑO 25 MM. SEMIPESADO (PRECIO X MTS) GENROD</t>
  </si>
  <si>
    <t>CAÑO 32 MM SEMIPESADO (PRECIO X MTS) KALOP</t>
  </si>
  <si>
    <t>CAÑO 32 MM. EXTRAPESADO (PRECIO X MTS) GENROD</t>
  </si>
  <si>
    <t>CAÑO 32 MM. SEMIPESADO (PRECIO X MTS) GENROD</t>
  </si>
  <si>
    <t>CAÑO 40 MM. EXTRAPESADO (PRECIO X MTS) GENROD</t>
  </si>
  <si>
    <t>CAÑO 40 MM. SEMIPESADO (PRECIO X MTS) GENROD</t>
  </si>
  <si>
    <t>CAÑO 50 MM. EXTRAPESADO (PRECIO X MTS) GENROD</t>
  </si>
  <si>
    <t>CAÑO 50 MM. SEMIPESADO (PRECIO X MTS) GENROD</t>
  </si>
  <si>
    <t>CAÑO CORRUGADO GRIS 1 (PRECIO X MTS)</t>
  </si>
  <si>
    <t>CAÑO CORRUGADO GRIS 5/8 (PRECIO X MTS)</t>
  </si>
  <si>
    <t>CAÑO CORRUGADO LIVIANO 20MM  (PRECIO x MTS) GENROD</t>
  </si>
  <si>
    <t>CAÑO CORRUGADO NARANJA 1 (PRECIO x MTS)</t>
  </si>
  <si>
    <t>CAÑO DE LUZ 1 1/2 SEMIPESADO (PRECIO x  MTS)</t>
  </si>
  <si>
    <t>CAÑO DE LUZ 1 1/4 SEMIPESADO (PRECIO x MTS)</t>
  </si>
  <si>
    <t>CAÑO DE LUZ 1 SEMIPESADO (PRECIO x MTS)</t>
  </si>
  <si>
    <t>CAÑO DE LUZ 2 SEMIPESADO (PRECIO x MTS)</t>
  </si>
  <si>
    <t>CAÑO DE LUZ 3/4 SEMIPESADO (PRECIO x MTS)</t>
  </si>
  <si>
    <t>CAÑO DE LUZ 5/8 SEMIPESADO (PRECIO x MTS)</t>
  </si>
  <si>
    <t>CAÑO DE LUZ 7/8 SEMIPESADO (PRECIO x MTS)</t>
  </si>
  <si>
    <t>10539</t>
  </si>
  <si>
    <t>10540</t>
  </si>
  <si>
    <t>10542</t>
  </si>
  <si>
    <t>10541</t>
  </si>
  <si>
    <t>10543</t>
  </si>
  <si>
    <t>GABINETE IND. P/CAPSULADA 2X16 Y 2X32 KALOP (09972)</t>
  </si>
  <si>
    <t>10550</t>
  </si>
  <si>
    <t>10544</t>
  </si>
  <si>
    <t>10545</t>
  </si>
  <si>
    <t>10549</t>
  </si>
  <si>
    <t>10552</t>
  </si>
  <si>
    <t>ESTANTERIAS</t>
  </si>
  <si>
    <t>10548</t>
  </si>
  <si>
    <t>GABINETE ESTANCO 450 X 450 X 225 Serie 9000 GENROD</t>
  </si>
  <si>
    <t>10547</t>
  </si>
  <si>
    <t>10557</t>
  </si>
  <si>
    <t>CAJA BOX ESTANCA P/3 MOD. C/TAPA TRANS. RICHI</t>
  </si>
  <si>
    <t>EXTERIOR 1 PUNTO Y 1 TOMA C/N COMB. EXTRA CHATA JELUZ</t>
  </si>
  <si>
    <t>FICHA HEMBRA FRONTAL 10A BLANCA JELUZ (FH600)</t>
  </si>
  <si>
    <t>FICHA HEMBRA FRONTAL 10A NEGRA JELUZ (FH601)</t>
  </si>
  <si>
    <t>FICHA HEMBRA LATERAL 10A BLANCA JELUZ (FH610)</t>
  </si>
  <si>
    <t>FICHA HEMBRA LATERAL 10A NEGRA JELUZ (FH611)</t>
  </si>
  <si>
    <t>LAMPARA GOTA LED 5W AZUL AKAI**</t>
  </si>
  <si>
    <t>LAMPARA GOTA LED 5W ROJA AKAI**</t>
  </si>
  <si>
    <t>LAMPARA GOTA LED 5W VERDE AKAI**</t>
  </si>
  <si>
    <t>LLAVE ARMADA ERA 1 PUNTO RICHI</t>
  </si>
  <si>
    <t>10555</t>
  </si>
  <si>
    <t>MODULO PUNTO BLANCO RICHI</t>
  </si>
  <si>
    <t>TUERCA 3/8  P/VARILLA ROSCADA HUECA</t>
  </si>
  <si>
    <t>VARILLA ROSCADA HUECA 3/8 X 1M.</t>
  </si>
  <si>
    <t>BUSCAPOLO GRANDE SICA</t>
  </si>
  <si>
    <t>10565</t>
  </si>
  <si>
    <t>GABINETE C/CONTRAF. CALADO P/36-48 BOCAS (450x450x100) GENROD</t>
  </si>
  <si>
    <t>GABINETE ESTANCO 200 X 300 X 150 Serie 9000 GENROD</t>
  </si>
  <si>
    <t>GABINETE IND. MET  P/TEMIC. S/P Y CAPSU. 4 X 16 (09989) GENROD</t>
  </si>
  <si>
    <t>GABINETE IND. MET. P/TER. C/PTA. Y CAPSU. 1 X 16 Y 1 X 32 (09970)</t>
  </si>
  <si>
    <t>10564</t>
  </si>
  <si>
    <t>GABINETE IND. MET. P/TER. C/PTA. Y CAPSU. 4 X 16 (09973)</t>
  </si>
  <si>
    <t>10568</t>
  </si>
  <si>
    <t>10566</t>
  </si>
  <si>
    <t>LLAVE ARMADA ERA PUNTO Y TOMA RICHI</t>
  </si>
  <si>
    <t>10559</t>
  </si>
  <si>
    <t>TERMICA 3 X 25 A. NEGRA 4.5kA  G.E.</t>
  </si>
  <si>
    <t>10558</t>
  </si>
  <si>
    <t>10571</t>
  </si>
  <si>
    <t>CONTACTOR TRIP. 75KW 150A 1NA+1NC 220V MOD. ELECTRONICO AC/DC G.E. CK75 (246152)</t>
  </si>
  <si>
    <t>10577</t>
  </si>
  <si>
    <t>APLIQUE UNIDIRECCIONAL "MONACO" AR-111 (AP111)</t>
  </si>
  <si>
    <t>10574</t>
  </si>
  <si>
    <t>CABEZAL E27 1L 16 CM. TRELEW BLANCO S.J</t>
  </si>
  <si>
    <t>CABEZAL E27 1L 16 CM. TRELEW NEGRO S.J</t>
  </si>
  <si>
    <t>CABLE UTP 4 PARES CAT.5 GRIS X 305 MTS INT. GIGANET</t>
  </si>
  <si>
    <t>10572</t>
  </si>
  <si>
    <t>CABLE UTP 4 PARES CAT.5 GRIS X 305 MTS INT. NETCORE</t>
  </si>
  <si>
    <t>CABLE UTP 4 PARES CAT.5 NEGRO X 305 MTS EXT. GIGANET</t>
  </si>
  <si>
    <t>10573</t>
  </si>
  <si>
    <t>CABLE UTP 4 PARES CAT.5 NEGRO X 305 MTS EXT. NETCORE</t>
  </si>
  <si>
    <t>CAÑO BAJADA PILAR DOBLE AISLADO Monof. 2 x 4,2 MTS. DESIM.</t>
  </si>
  <si>
    <t>10576</t>
  </si>
  <si>
    <t>ESTUFA HALOGENA PARABOLICA 1.000W</t>
  </si>
  <si>
    <t>GRAMPA SUJETA CABLE N° 12 COAXIL KALOP</t>
  </si>
  <si>
    <t>LLAVE INTERRUPTOR 20 AMP. NARANJA</t>
  </si>
  <si>
    <t>PORTERO ELECTRICO EMBUTIR 220 V. SICA</t>
  </si>
  <si>
    <t>10581</t>
  </si>
  <si>
    <t>PORTERO ELECTRICO EXTERIOR ANTIV. 220V. SICA</t>
  </si>
  <si>
    <t>10582</t>
  </si>
  <si>
    <t>PORTERO VISOR COLOR 7" MANOS LIBRES PLAST. SICA</t>
  </si>
  <si>
    <t>PRENSACABLE 7/8    PG-13.5 / PG-16</t>
  </si>
  <si>
    <t>10578</t>
  </si>
  <si>
    <t>10579</t>
  </si>
  <si>
    <t>10580</t>
  </si>
  <si>
    <t>UTP CAT. 6 NARANJA INTERIOR X MTS. EPUYEN</t>
  </si>
  <si>
    <t>10587</t>
  </si>
  <si>
    <t>10586</t>
  </si>
  <si>
    <t>MULTIMETRO DIGITAL MANUAL 600VCC/VCA RM113A BAW</t>
  </si>
  <si>
    <t>10588</t>
  </si>
  <si>
    <t>10589</t>
  </si>
  <si>
    <t>10592</t>
  </si>
  <si>
    <t>PINZA AMPEROMETRICA BAWCM87 BAW</t>
  </si>
  <si>
    <t>10591</t>
  </si>
  <si>
    <t>VOLTIMETRO P/TABLERO 80-500 VAC ROJO BAW</t>
  </si>
  <si>
    <t>10590</t>
  </si>
  <si>
    <t>10593</t>
  </si>
  <si>
    <t>10596</t>
  </si>
  <si>
    <t>INTERRUPTOR COMPACTO 4 POLOS 160A REG. 125/160A 18kA (436148) GE</t>
  </si>
  <si>
    <t>10597</t>
  </si>
  <si>
    <t>TERMICA CURVA "B" 4 X 25 A. 6kA  G.E.</t>
  </si>
  <si>
    <t>10599</t>
  </si>
  <si>
    <t>CAJA EXTERIOR OCTOGONAL C/TAPA Y TAPONES PVC GENROD</t>
  </si>
  <si>
    <t>10598</t>
  </si>
  <si>
    <t>CAJA EXTERIOR OCTOGONAL CHICA C/TAPA PVC GENROD</t>
  </si>
  <si>
    <t>10606</t>
  </si>
  <si>
    <t>10605</t>
  </si>
  <si>
    <t>10607</t>
  </si>
  <si>
    <t>TOMA EMB. 2 P + T  16A.  IP67</t>
  </si>
  <si>
    <t>MARCO P/PANEL LED 60X60</t>
  </si>
  <si>
    <t>PANEL LED 36W 30X60 LUZ CALIDA CANDIL</t>
  </si>
  <si>
    <t>PANEL LED 36W 30X60 LUZ FRIA CANDIL</t>
  </si>
  <si>
    <t>PANEL LED 36W 30X60 LUZ NEUTRA CANDIL</t>
  </si>
  <si>
    <t>PANEL LED 40W 60X60 LUZ CALIDA PHILIPS</t>
  </si>
  <si>
    <t>PANEL LED 45W 60X60 LUZ CALIDA CANDIL</t>
  </si>
  <si>
    <t>SPOT CUADRADO EMBUTIR AR111 C/MOV. NEGRO</t>
  </si>
  <si>
    <t>SPOT CILINDRICO AR111 BLANCO</t>
  </si>
  <si>
    <t>SPOT CILINDRICO AR111 NEGRO</t>
  </si>
  <si>
    <t>SPOT CILINDRICO AR111 PLATIL</t>
  </si>
  <si>
    <t>10609</t>
  </si>
  <si>
    <t>GABINETE ESTANCO 200 X 450 X 150 Serie 9000 GENROD</t>
  </si>
  <si>
    <t>KIT EMERGENCIA 2.2 AH (EDMLEDPL) GAMA SONIC</t>
  </si>
  <si>
    <t>KIT EMERGENCIA 5AH (EBMLEDPL4)  GAMA SONIC</t>
  </si>
  <si>
    <t>KIT EMERGENCIA 7.5 AH (EBMLEDPL6)  GAMA SONIC</t>
  </si>
  <si>
    <t>KIT EMERGENICIA 2.5 AH (EDMLEDPL2)  GAMA SONIC</t>
  </si>
  <si>
    <t>10611</t>
  </si>
  <si>
    <t>CLASICA RGB LED 10W SMART BAW</t>
  </si>
  <si>
    <t>10614</t>
  </si>
  <si>
    <t>10613</t>
  </si>
  <si>
    <t>10615</t>
  </si>
  <si>
    <t>INTERRUPTOR COMPACTO 4 POLOS 200A REG. 160/200A 36kA (431094) GE</t>
  </si>
  <si>
    <t>10616</t>
  </si>
  <si>
    <t>INTERRUPTOR COMPACTO 4 POLOS 250A REG. 200/250A 36kA (431097) GE</t>
  </si>
  <si>
    <t>INTERRUPTOR COMPACTO 4 POLOS 400A REG. 125/400A PROT. ELECT. 50kA  GE</t>
  </si>
  <si>
    <t>10612</t>
  </si>
  <si>
    <t>SEPARADOR BORNES 4 POLOS P/COMPACTA FE (432033)</t>
  </si>
  <si>
    <t>10631</t>
  </si>
  <si>
    <t>ALICATE FORJADO PUNTA CHATA C/CORTE 160 MM MOTA (Q406)</t>
  </si>
  <si>
    <t>10633</t>
  </si>
  <si>
    <t>10634</t>
  </si>
  <si>
    <t>10632</t>
  </si>
  <si>
    <t>CAJA CAPSULADA VACIA 16 AMP. RIDRU</t>
  </si>
  <si>
    <t>10625</t>
  </si>
  <si>
    <t>DESTORNILLADOR AISLA PH1 X 100 MM. MOTA (DIP1 DAH1)</t>
  </si>
  <si>
    <t>10626</t>
  </si>
  <si>
    <t>DESTORNILLADOR AISLA RECTO 4 MM. MOTA (DIR4)</t>
  </si>
  <si>
    <t>10621</t>
  </si>
  <si>
    <t>ENCHUFE WIFI 10A 250V AKAI</t>
  </si>
  <si>
    <t>GUARDAMOTOR G.E 2,5A 1.6-2.5 0,75Kw  (101217)</t>
  </si>
  <si>
    <t>10617</t>
  </si>
  <si>
    <t>GUARDAMOTOR G.E. 2,5 - 4A 4A 1,5KW (101218)</t>
  </si>
  <si>
    <t>10622</t>
  </si>
  <si>
    <t>LAMPARA PAR30 ALTA POTENCIA CALIDA 28W 15º (3081) AKAI</t>
  </si>
  <si>
    <t>10623</t>
  </si>
  <si>
    <t>LAMPARA PAR30 ALTA POTENCIA CALIDA 28W 25º (3081) AKAI</t>
  </si>
  <si>
    <t>PLACA CAPSULADA VACIA 16A. ALUMINIO RIDRU</t>
  </si>
  <si>
    <t>PLACA CAPSULADA VACIA 32A. ALUMINIO RIDRU</t>
  </si>
  <si>
    <t>REDUCCION CENTRAL 450/150MM ALA 64 ESP 1.25 GALVANI</t>
  </si>
  <si>
    <t>REDUCCION CENTRAL 450/300MM ALA 64 ESP 1.25 GALVANI</t>
  </si>
  <si>
    <t>10646</t>
  </si>
  <si>
    <t>CAPSULADA 1 PUNTO Azul TAAD</t>
  </si>
  <si>
    <t>10656</t>
  </si>
  <si>
    <t>CAPSULADA 1 PUNTO Y 1 TOMA Azul TAAD</t>
  </si>
  <si>
    <t>10655</t>
  </si>
  <si>
    <t>CAPSULADA 1 PUNTO Y 1 TOMA Blanco TAAD</t>
  </si>
  <si>
    <t>10647</t>
  </si>
  <si>
    <t>CAPSULADA 1 TOMA 20A Blanco TAAD</t>
  </si>
  <si>
    <t>10649</t>
  </si>
  <si>
    <t>CAPSULADA 1 TOMA Blanco TAAD</t>
  </si>
  <si>
    <t>10652</t>
  </si>
  <si>
    <t>CAPSULADA 2 PUNTOS Azul TAAD</t>
  </si>
  <si>
    <t>10651</t>
  </si>
  <si>
    <t>CAPSULADA 2 PUNTOS Blanco TAAD</t>
  </si>
  <si>
    <t>10657</t>
  </si>
  <si>
    <t>10658</t>
  </si>
  <si>
    <t>10661</t>
  </si>
  <si>
    <t>GABINETE ESTANCO 500 X 600 X 150 Serie 9000 GENROD</t>
  </si>
  <si>
    <t>LAMPARA AR111 LED 13,5 LUZ CALIDA BAW**</t>
  </si>
  <si>
    <t>10637</t>
  </si>
  <si>
    <t>MORSETO ESTANCO C/PORTAFUSIBLE PKD-14PF LCT</t>
  </si>
  <si>
    <t>10638</t>
  </si>
  <si>
    <t>10636</t>
  </si>
  <si>
    <t>TERMINAL COBRE ESTAÑADO 150 x 5/8 SCC 150/2</t>
  </si>
  <si>
    <t>10635</t>
  </si>
  <si>
    <t>TERMINAL COBRE ESTAÑADO 70 x 1/2 SCC 70/2</t>
  </si>
  <si>
    <t>10659</t>
  </si>
  <si>
    <t>10660</t>
  </si>
  <si>
    <t>10703</t>
  </si>
  <si>
    <t>10705</t>
  </si>
  <si>
    <t>10708</t>
  </si>
  <si>
    <t>10702</t>
  </si>
  <si>
    <t>10707</t>
  </si>
  <si>
    <t>10710</t>
  </si>
  <si>
    <t>10700</t>
  </si>
  <si>
    <t>CABEZAL P/SPOT EXT. AR11 ZOCALO GU10 BLANCO</t>
  </si>
  <si>
    <t>10669</t>
  </si>
  <si>
    <t>10682</t>
  </si>
  <si>
    <t>10689</t>
  </si>
  <si>
    <t>10688</t>
  </si>
  <si>
    <t>10704</t>
  </si>
  <si>
    <t>10701</t>
  </si>
  <si>
    <t>10695</t>
  </si>
  <si>
    <t>10696</t>
  </si>
  <si>
    <t>10681</t>
  </si>
  <si>
    <t>10668</t>
  </si>
  <si>
    <t>GABINETE ESTANCO 300 X 300 X 100 Serie 9000 GENROD</t>
  </si>
  <si>
    <t>10683</t>
  </si>
  <si>
    <t>LAMPARA DE MESA TRIPODE METALICA BLANCA (7700-16)</t>
  </si>
  <si>
    <t>10699</t>
  </si>
  <si>
    <t>PORTALAMPARA PORCELANA CASQ. ALUMINIO 5/8</t>
  </si>
  <si>
    <t>10697</t>
  </si>
  <si>
    <t>PRENSACABLE PLASTICO NEGRO</t>
  </si>
  <si>
    <t>10694</t>
  </si>
  <si>
    <t>10693</t>
  </si>
  <si>
    <t>10690</t>
  </si>
  <si>
    <t>10691</t>
  </si>
  <si>
    <t>10692</t>
  </si>
  <si>
    <t>10698</t>
  </si>
  <si>
    <t>TERMINAL P/PRENSACABLE NEGRO</t>
  </si>
  <si>
    <t>TORTUGA CHAPA OVALADA CHICA BLANCA</t>
  </si>
  <si>
    <t>10686</t>
  </si>
  <si>
    <t>TORTUGA CHAPA OVALADA CHICA NEGRA</t>
  </si>
  <si>
    <t>TORTUGA CHAPA OVALADA GRANDE BLANCA</t>
  </si>
  <si>
    <t>10687</t>
  </si>
  <si>
    <t>TORTUGA CHAPA OVALADA GRANDE NEGRA</t>
  </si>
  <si>
    <t>TORTUGA CHAPA REDONDA GRANDE BLANCA</t>
  </si>
  <si>
    <t>10685</t>
  </si>
  <si>
    <t>TORTUGA CHAPA REDONDA GRANDE NEGRA</t>
  </si>
  <si>
    <t>ACCESORIO 20 X 10 UNION</t>
  </si>
  <si>
    <t>10726</t>
  </si>
  <si>
    <t>10717</t>
  </si>
  <si>
    <t>10718</t>
  </si>
  <si>
    <t>CINTA DEMARCATORIA 50 MM X 33 M. NG/AMA TACSA</t>
  </si>
  <si>
    <t>10713</t>
  </si>
  <si>
    <t>CONTACTOR TRIP. 9A 220V 1NO+1NC 4 KW BAW</t>
  </si>
  <si>
    <t>CONTACTOR TRIP. 9A 24V 1NO+1NC 4 KW BAW</t>
  </si>
  <si>
    <t>GABINETE ESTANCO 200 X 200 X 150  Serie 9000 GENROD</t>
  </si>
  <si>
    <t>GABINETE ESTANCO 600 X 900 X 150 Serie 9000 GENROD</t>
  </si>
  <si>
    <t>10711</t>
  </si>
  <si>
    <t>10712</t>
  </si>
  <si>
    <t>10723</t>
  </si>
  <si>
    <t>TERMINAL DE ALUMINIO SCA 120 MM 1/2 LCT</t>
  </si>
  <si>
    <t>10724</t>
  </si>
  <si>
    <t>TERMINAL DE ALUMINIO SCA 150 MM 1/2 LCT</t>
  </si>
  <si>
    <t>10719</t>
  </si>
  <si>
    <t>TERMINAL DE ALUMINIO SCA 25 MM 5/16 LCT</t>
  </si>
  <si>
    <t>10725</t>
  </si>
  <si>
    <t>TERMINAL DE ALUMINIO SCA 35 MM 5/16 LCT</t>
  </si>
  <si>
    <t>10720</t>
  </si>
  <si>
    <t>TERMINAL DE ALUMINIO SCA 50 MM 3/8 LCT</t>
  </si>
  <si>
    <t>10721</t>
  </si>
  <si>
    <t>TERMINAL DE ALUMINIO SCA 70 MM 1/2 LCT</t>
  </si>
  <si>
    <t>10722</t>
  </si>
  <si>
    <t>TERMINAL DE ALUMINIO SCA 95 MM 1/2 LCT</t>
  </si>
  <si>
    <t>10731</t>
  </si>
  <si>
    <t>10730</t>
  </si>
  <si>
    <t>CAJA PASE PVC 210 X 310 X 110 G. GEN-ROD(22111106G)</t>
  </si>
  <si>
    <t>10733</t>
  </si>
  <si>
    <t>10732</t>
  </si>
  <si>
    <t>HOJA PARA CUTTER 18MM (Blister x10)</t>
  </si>
  <si>
    <t>MORSETO AISLADO P/ACOMETIDA PKD 14  25/95 - 4/16 LCT</t>
  </si>
  <si>
    <t>REPUESTO TOMA 10A EXTRA CHATA BLANCA JELUZ</t>
  </si>
  <si>
    <t>10734</t>
  </si>
  <si>
    <t>10735</t>
  </si>
  <si>
    <t>10736</t>
  </si>
  <si>
    <t>10737</t>
  </si>
  <si>
    <t>10739</t>
  </si>
  <si>
    <t>GUIRNALDA 20 MTS</t>
  </si>
  <si>
    <t>APLIQUE PARED BIDIRECCIONAL E27 (PR280)  LUC.</t>
  </si>
  <si>
    <t>APLIQUE UNIDIRECCIONAL CILINDRO GU10 S/HAZ</t>
  </si>
  <si>
    <t>10748</t>
  </si>
  <si>
    <t>CONECTOR FICHA PLUG HEMBRA 5.5 CM</t>
  </si>
  <si>
    <t>10749</t>
  </si>
  <si>
    <t>CONECTOR FICHA PLUG MACHO 5.5 CM</t>
  </si>
  <si>
    <t>10745</t>
  </si>
  <si>
    <t>CONTROLADOR DIMER BLUETHOOTH MONOCROMATICO</t>
  </si>
  <si>
    <t>10747</t>
  </si>
  <si>
    <t>CONTROLADOR DIMER RF CON LLAVERO HASTA 8A MONOCROMATICO</t>
  </si>
  <si>
    <t>10746</t>
  </si>
  <si>
    <t>CONTROLADOR DIMER RF CON LLAVERO MONOCOMATICO</t>
  </si>
  <si>
    <t>FUENTE METALICA 12V 20A</t>
  </si>
  <si>
    <t>FUENTE METALICA 12V 40A</t>
  </si>
  <si>
    <t>10750</t>
  </si>
  <si>
    <t>FUENTE PLASTICA 12V 3A</t>
  </si>
  <si>
    <t>10751</t>
  </si>
  <si>
    <t>FUENTE PLASTICA 12V 6A</t>
  </si>
  <si>
    <t>FUENTE PLASTICO 12V 1A</t>
  </si>
  <si>
    <t>FUENTE PLASTICO 12V 2A</t>
  </si>
  <si>
    <t>10753</t>
  </si>
  <si>
    <t>10755</t>
  </si>
  <si>
    <t>10754</t>
  </si>
  <si>
    <t>10759</t>
  </si>
  <si>
    <t>10756</t>
  </si>
  <si>
    <t>GABINETE ESTANCO 200 X 200 X 100 Serie 9000 GENROD</t>
  </si>
  <si>
    <t>10757</t>
  </si>
  <si>
    <t>GABINETE ESTANCO 200 X 300 X 100 Serie 9000 GENROD</t>
  </si>
  <si>
    <t>10758</t>
  </si>
  <si>
    <t>GABINETE ESTANCO 400 X 500 X 150 Serie 9000 GENROD</t>
  </si>
  <si>
    <t>10761</t>
  </si>
  <si>
    <t>GABINETE ESTANCO 450 X 450 X 100 Serie 9000 GENROD</t>
  </si>
  <si>
    <t>LAMPARA PARA ALUMBRADO PUBLICO LED OVAL 36W E-40</t>
  </si>
  <si>
    <t>10760</t>
  </si>
  <si>
    <t>RELE PROTECTOR TRIFASICO FALTA Y SECUENCIA FASE RUT33-1Q BAW</t>
  </si>
  <si>
    <t>10767</t>
  </si>
  <si>
    <t>10762</t>
  </si>
  <si>
    <t>10763</t>
  </si>
  <si>
    <t>10764</t>
  </si>
  <si>
    <t>CAJA PASE PVC 210 X 310 X 110 G. GEN-ROD(22111106B)</t>
  </si>
  <si>
    <t>ACCESORIO REJA P/PANT Rodeo 33 CM. BLANCO (7622-16) S.J.</t>
  </si>
  <si>
    <t>ACCESORIO REJA P/PANT Rodeo 33 CM. NEGRO (7622-02) S.J.</t>
  </si>
  <si>
    <t>BAJO CONSUMO 12W MINI ESPIRALADA LUZ CALIDA E14</t>
  </si>
  <si>
    <t>BAJO CONSUMO MINI ESPIRAL 12W  E14 LUZ CALIDA G.</t>
  </si>
  <si>
    <t>LAMPARA DE MESA TRIPODE METALICA NEGRA Trelew (7700-02) S.J.</t>
  </si>
  <si>
    <t>LAMPARA DE PIE TRIPODE NEGRO Trelew (7710-02) S.J.</t>
  </si>
  <si>
    <t>10768</t>
  </si>
  <si>
    <t>10770</t>
  </si>
  <si>
    <t>10769</t>
  </si>
  <si>
    <t>10774</t>
  </si>
  <si>
    <t>TAPA PVC 5 X 5 MIGÑON MIG</t>
  </si>
  <si>
    <t>10773</t>
  </si>
  <si>
    <t>TAPA PVC 5X5 MIGÑON ECO</t>
  </si>
  <si>
    <t>TAPA PVC CUADRADA 10 X 10 ECO</t>
  </si>
  <si>
    <t>TAPA PVC CUADRADA GENROD</t>
  </si>
  <si>
    <t>TAPA PVC MIGÑON GENROD</t>
  </si>
  <si>
    <t>TAPA PVC OCTOGONAL CHICA ECO</t>
  </si>
  <si>
    <t>TAPA PVC OCTOGONAL CHICA GENROD</t>
  </si>
  <si>
    <t>TAPA PVC OCTOGONAL GRANDE ECO</t>
  </si>
  <si>
    <t>TAPA PVC OCTOGONAL GRANDE GENROD</t>
  </si>
  <si>
    <t>TAPA PVC RECTANGULAR ECO</t>
  </si>
  <si>
    <t>TAPA PVC RECTANGULAR GENROD</t>
  </si>
  <si>
    <t>18734</t>
  </si>
  <si>
    <t>18735</t>
  </si>
  <si>
    <t>CAJA EMBUTIR MIGNON PVC KALOP</t>
  </si>
  <si>
    <t>18737</t>
  </si>
  <si>
    <t>CAJA EMBUTIR OCTOGONAL GRANDE PVC KALOP</t>
  </si>
  <si>
    <t>18733</t>
  </si>
  <si>
    <t>CAJA EMBUTIR RECTANGULAR PVC KALOP</t>
  </si>
  <si>
    <t>18732</t>
  </si>
  <si>
    <t>18740</t>
  </si>
  <si>
    <t>TAPA PVC MIGNON KALOP</t>
  </si>
  <si>
    <t>TAPA PVC OCTOGONAL CHICA KALOP</t>
  </si>
  <si>
    <t>TAPA PVC RECTANGULAR KALOP</t>
  </si>
  <si>
    <t>18747</t>
  </si>
  <si>
    <t>18745</t>
  </si>
  <si>
    <t>18744</t>
  </si>
  <si>
    <t>MODULO 1/2 TECLON ARENA TECLASTAR**</t>
  </si>
  <si>
    <t>MODULO 1/2 TECLON BLANCO KALOP**</t>
  </si>
  <si>
    <t>MODULO 1/2 TECLON BLANCO PLATINUM</t>
  </si>
  <si>
    <t>MODULO 1/2 TECLON BLANCO TECLASTAR**</t>
  </si>
  <si>
    <t>MODULO 1/2 TECLON COMBINACION BLANCO KALOP**</t>
  </si>
  <si>
    <t>MODULO 1/2 TECLON COMBINACION BLANCO PLATINUM</t>
  </si>
  <si>
    <t>MODULO 1/2 TECLON COMBINACION BLANCO TECLASTAR **</t>
  </si>
  <si>
    <t>MODULO 1/2 TECLON COMBINACION GRIS TECLASTAR**</t>
  </si>
  <si>
    <t>MODULO 1/2 TECLON COMBINACION NEGRO KALOP**</t>
  </si>
  <si>
    <t>MODULO 1/2 TECLON COMBINACION NEGRO PLATINUM</t>
  </si>
  <si>
    <t>MODULO 1/2 TECLON GRIS TECLASTAR**</t>
  </si>
  <si>
    <t>MODULO 1/2 TECLON MARFIL KALOP**</t>
  </si>
  <si>
    <t>MODULO 1/2 TECLON NEGRO KALOP**</t>
  </si>
  <si>
    <t>MODULO 1/2 TECLON NEGRO PLATINUN</t>
  </si>
  <si>
    <t>MODULO TECLON ARENA TECLASTAR**</t>
  </si>
  <si>
    <t>MODULO TECLON BLANCO KALOP**</t>
  </si>
  <si>
    <t>MODULO TECLON BLANCO PLATINUM</t>
  </si>
  <si>
    <t>MODULO TECLON BLANCO TECLASTAR**</t>
  </si>
  <si>
    <t>MODULO TECLON COMBINACION ARENA TECLASTAR**</t>
  </si>
  <si>
    <t>MODULO TECLON COMBINACION BLANCO KALOP**</t>
  </si>
  <si>
    <t>MODULO TECLON COMBINACION BLANCO TECLASTAR**</t>
  </si>
  <si>
    <t>MODULO TECLON COMBINACION GRIS TECLASTAR**</t>
  </si>
  <si>
    <t>MODULO TECLON COMBINACION MARFIL KALOP**</t>
  </si>
  <si>
    <t>MODULO TECLON COMBINACION NEGRO KALOP**</t>
  </si>
  <si>
    <t>MODULO TECLON GRIS TECLASTAR**</t>
  </si>
  <si>
    <t>MODULO TECLON MARFIL KALOP**</t>
  </si>
  <si>
    <t>MODULO TECLON NEGRO KALOP**</t>
  </si>
  <si>
    <t>MODULO TECLON NEGRO PLATINUM</t>
  </si>
  <si>
    <t>RELE TERMICO RT1G P/CL00 A CL45 1,0 a 1,5A  (113704) G.E.</t>
  </si>
  <si>
    <t>RELE TERMICO RT1H P/CL00 A CL45 1,3 a 1,9A (113705) G.E.</t>
  </si>
  <si>
    <t>RELE TERMICO RT1J P/ CL00 A CL45 1,8 a 2,7A (113706) G.E.</t>
  </si>
  <si>
    <t>RELE TERMICO RT1K P/CL00 a CL45 2,5 A 4A (113707) G.E.</t>
  </si>
  <si>
    <t>RELE TERMICO RT1L P/CL00 a CL45 4,0 a 6,3A (113708) G.E.</t>
  </si>
  <si>
    <t>RELE TERMICO RT1M P/CL00 a CL45 5,5 a 8,5A (113709) G.E.</t>
  </si>
  <si>
    <t>RELE TERMICO RT1N P/CL00 a CL45 8,0 a 12A (113710) G.E.</t>
  </si>
  <si>
    <t>RELE TERMICO RT1P P/CL00 A CL45 10 a 16A (113711) G.E.</t>
  </si>
  <si>
    <t>RELE TERMICO RT1S P/CL00 A CL45 14,5 a 18A (113712) G.E.</t>
  </si>
  <si>
    <t>RELE TERMICO RT1T P/CL00 A CL45 17.5 a 22A (113713) G.E.</t>
  </si>
  <si>
    <t>RELE TERMICO RT1U P/CL00 A CL45 21 a 26A (113714) G.E.</t>
  </si>
  <si>
    <t>RELE TERMICO RT1V P/CL00 A CL45 25 a 32A (113715) G.E.</t>
  </si>
  <si>
    <t>RELE TERMICO RT1W P/CL00 A CL45 30 a 40A (113716) G.E.</t>
  </si>
  <si>
    <t>RELE TERMICO RT2E P/CL05 A CL10 30 a 43A (113721) G.E.</t>
  </si>
  <si>
    <t>RELE TERMICO RT2G P/CL05 A CL10 42 a 55A (113722) G.E.</t>
  </si>
  <si>
    <t>RELE TERMICO RT2H P/CL05 A CL10 54 a 65A (113723) G.E.</t>
  </si>
  <si>
    <t>RELE TERMICO RT2L P/CL05 A CL10 78 a 97A (113725) G.E.</t>
  </si>
  <si>
    <t>RELE TERMICO RT2M P/CL05 A CL10 90 a 110A (113726) G.E.</t>
  </si>
  <si>
    <t>SELECTORA 3P D22 NEGRO S/M CORT FIJA 0-1-2 (184200)</t>
  </si>
  <si>
    <t>18746</t>
  </si>
  <si>
    <t>CINTA EMBALAJE TRANSPARENTE 40 M X 48 MM</t>
  </si>
  <si>
    <t>18751</t>
  </si>
  <si>
    <t>GABINETE ESTANCO 600 X 600 X 150 Serie 9000 GENROD</t>
  </si>
  <si>
    <t>18752</t>
  </si>
  <si>
    <t>GABINETE ESTANCO 600 X 600 X 225 Serie 9000 GENROD</t>
  </si>
  <si>
    <t>LAMPARA CLASICA LED 6W LUZ CALIDA AKAI**</t>
  </si>
  <si>
    <t>LAMPARA CLASICA LED 6W LUZ FRIA AKAI**</t>
  </si>
  <si>
    <t>MODULO VARIADOR LUZ 300W BLANCO PLATINUM</t>
  </si>
  <si>
    <t>MODULO VARIADOR LUZ INCAN. 300 W- DICRO 150 W BLANCO JELUZ</t>
  </si>
  <si>
    <t>MODULO VARIADOR LUZ INCANDESCENTE NEGRO PLATINUM</t>
  </si>
  <si>
    <t>MODULO VARIADOR LUZ LED 150W NEGRO PLATINUM</t>
  </si>
  <si>
    <t>PLAFON LED 6W CIRCULAR LUZ CALIDA</t>
  </si>
  <si>
    <t>PLAFON LED 6W CIRCULAR LUZ FRIA</t>
  </si>
  <si>
    <t>PLAFON LED 6W CIRCULAR LUZ NEUTRA</t>
  </si>
  <si>
    <t>PLAFON LED 6W CUADRADO LUZ CALIDA</t>
  </si>
  <si>
    <t>PLAFON LED 6W CUADRADO LUZ FRIA</t>
  </si>
  <si>
    <t>PLAFON LED 6W CUADRADO LUZ NEUTRA</t>
  </si>
  <si>
    <t>RIEL P/ GRAMPAS DE FIJACION GENROD</t>
  </si>
  <si>
    <t>18748</t>
  </si>
  <si>
    <t>TERMICA 4 X 40 A. INDUSTRIAL 6kA  G.E.</t>
  </si>
  <si>
    <t>18749</t>
  </si>
  <si>
    <t>TERMICA 4 X 50 A. INDUSTRIAL 6kA  G.E.</t>
  </si>
  <si>
    <t>18750</t>
  </si>
  <si>
    <t>TERMICA 4 X 63 A. INDUSTRIAL 6kA  G.E.</t>
  </si>
  <si>
    <t>18754</t>
  </si>
  <si>
    <t>VENTILADOR DE PIE DIGITAL C/CONTROL 20" 60W PEABODY</t>
  </si>
  <si>
    <t>ANTIQUE LED GOLDEN 4W HONGO LGP (LFA-64G 4W)</t>
  </si>
  <si>
    <t>ANTIQUE LED SILVER LGP (LFA-64S 4W)</t>
  </si>
  <si>
    <t>MODULO VARIADOR DE VELOCIDAD 150 W. BLANCO PLATINUM JELUZ</t>
  </si>
  <si>
    <t>MODULO VARIADOR DE VELOCIDAD 150 W.NEGRO PLATINUM JELUZ</t>
  </si>
  <si>
    <t>MODULO VARIADOR DE VELOCIDAD VENT. 150 W BLANCO JELUZ</t>
  </si>
  <si>
    <t>MODULO VARIADOR DE VELOCIDAD VENT. 300W BLA (6937) CAMBRE</t>
  </si>
  <si>
    <t>MODULO VARIADOR DE VELOCIDAD VENT. ARENA TECLASTAR</t>
  </si>
  <si>
    <t>MODULO VARIADOR DE VELOCIDAD VENT. BLANCO KALOP**</t>
  </si>
  <si>
    <t>MODULO VARIADOR DE VELOCIDAD VENT. BLANCO TECLASTAR</t>
  </si>
  <si>
    <t>MODULO VARIADOR DE VELOCIDAD VENT. GRIS TECLASTAR</t>
  </si>
  <si>
    <t>MODULO VARIADOR DE VELOCIDAD VENT. MARFIL KALOP**</t>
  </si>
  <si>
    <t>MODULO VARIADOR DE VELOCIDAD VENT. NEGRO KALOP**</t>
  </si>
  <si>
    <t>PROLONGADOR 4 TOMAS MARFIL C/TERM. C/CABLE X 1,5M  RICHI</t>
  </si>
  <si>
    <t>PROLONGADOR 4 TOMAS MARFIL C/TERM. C/CABLE X 2,5M  RICHI</t>
  </si>
  <si>
    <t>PROLONGADOR 4 TOMAS MARFIL C/TERM. C/CABLE X 5M  RICHI</t>
  </si>
  <si>
    <t>PROLONGADOR 4 TOMAS NEGRO C/TERM. C/CABLE X 1,5M  RICHI</t>
  </si>
  <si>
    <t>BASTIDOR + TAPA 3 MODULOS BLANCO MITO</t>
  </si>
  <si>
    <t>BASTIDOR 1 MODULO NEGRO KALOP</t>
  </si>
  <si>
    <t>BASTIDOR CIRCULAR 1 MODULO NEGRO ø60mm KALOP</t>
  </si>
  <si>
    <t>BASTIDOR UNICO 3 MODULOS KALOP</t>
  </si>
  <si>
    <t>BASTIDOR UNICO 6 MODULOS KALOP</t>
  </si>
  <si>
    <t>CABLE ALMA DE ACERO 2 X 0,5MM BLANCO ARG. (PRECIO x MTS)</t>
  </si>
  <si>
    <t>CABLE COAXIL RG 6 FOAM 60% BOB X 305 (PRECIO x MTS)</t>
  </si>
  <si>
    <t>CABLE PARA SOLDADURA 16 MM (PRECIO x MTS)</t>
  </si>
  <si>
    <t>CABLE PARA SOLDADURA 25 MM (PRECIO x MTS)</t>
  </si>
  <si>
    <t>CABLE PARA SOLDADURA 35 MM (PRECIO x MTS)</t>
  </si>
  <si>
    <t>CABLE PARA SOLDADURA 50 MM (PRECIO x MTS)</t>
  </si>
  <si>
    <t>CABLE PARA SOLDADURA 70 MM (PRECIO x MTS)</t>
  </si>
  <si>
    <t>CABLE PARALELO 2 X 1 BOBINA NORMALIZADO (PRECIO x MTS)</t>
  </si>
  <si>
    <t>CABLE PARALELO 2 X 1.5 BOBINA NORMALIZADO (PRECIO x MTS)</t>
  </si>
  <si>
    <t>CABLE PARALELO 2 X 2.5 BOBINA NORMALIZADO (PRECIO x MTS)</t>
  </si>
  <si>
    <t>CABLE TELEFONICO 1 PAR (PRECIO x MTS)</t>
  </si>
  <si>
    <t>CABLE TELEFONICO 2 PARES (PRECIO x MTS)</t>
  </si>
  <si>
    <t>CABLE TELEFONICO 3 PARES (PRECIO x MTS)</t>
  </si>
  <si>
    <t>CABLE TELEFONICO 4 PARES (PRECIO x MTS)</t>
  </si>
  <si>
    <t>CABLE TELEFONICO 5 PARES (PRECIO x MTS)</t>
  </si>
  <si>
    <t>CABLE TELEFONICO 6 PARES (PRECIO x MTS)</t>
  </si>
  <si>
    <t>CABLE COAXIL RG 59 FOAM 40% BOB X 305 (PRECIO x MTS)</t>
  </si>
  <si>
    <t>CURVA ART. 450MM (5 ESCAL.) ALA 64 ESP. 1.25 GALVANIZ.</t>
  </si>
  <si>
    <t>TORTUGA CHAPA REDONDA CHICA BLANCA</t>
  </si>
  <si>
    <t>18759</t>
  </si>
  <si>
    <t>PANEL LED 48W 60 X 60 LUZ FRIA AKAI</t>
  </si>
  <si>
    <t>PILOTO - OJO DE BUEY - ROJO 230/110V BAW</t>
  </si>
  <si>
    <t>18758</t>
  </si>
  <si>
    <t>SPOT VINCHA NEGRO AR 111 C/HORQUILLA (G6172-02)</t>
  </si>
  <si>
    <t>BASE PARA FOTOCELULA NEMA KALOP</t>
  </si>
  <si>
    <t>18762</t>
  </si>
  <si>
    <t>CONTACTOR TRIP. 12A 220V 1NA 5,5KW (CTR-1210) SICA</t>
  </si>
  <si>
    <t>18761</t>
  </si>
  <si>
    <t>CONTACTOR TRIP. 4KW 9A 1NA 24V  (CTR-0910) SICA</t>
  </si>
  <si>
    <t>DISYUNTOR 4 X 25 A. SICA</t>
  </si>
  <si>
    <t>FOTOCELULA NEMA 10A IRAM KALOP</t>
  </si>
  <si>
    <t>LAMPARA MERCURIO HALOGENADO 250 W</t>
  </si>
  <si>
    <t>LAMPARA MERCURIO HALOGENADO 70 W</t>
  </si>
  <si>
    <t>RELE PROTECTOR TRIFASICO SECUENCIA Y FALTA DE FASE TBCIN</t>
  </si>
  <si>
    <t>18765</t>
  </si>
  <si>
    <t>18763</t>
  </si>
  <si>
    <t>18764</t>
  </si>
  <si>
    <t>CABLE CANAL 14 X 7 C/ADHESIVO (PRECIO x MTS)</t>
  </si>
  <si>
    <t>CABLE CANAL 14 X 7 SIN ADHESIVO (PRECIO X MTS)</t>
  </si>
  <si>
    <t>CABLE CANAL 18 X 21 SIN ADHESIVO (PRECIO x MTS)</t>
  </si>
  <si>
    <t>CABLE CANAL 20 X 10 C/ADHESIVO (PRECIO x MTS)</t>
  </si>
  <si>
    <t>CABLE CANAL 20 X 10 SIN ADHESIVO (PRECIO X MTS)</t>
  </si>
  <si>
    <t>CABLE CANAL 27 X 30 C/ADHESIVO (PRECIO X MTS)</t>
  </si>
  <si>
    <t>CABLE CANAL 27 X 30 SIN ADHESIVO (PRECIO X MTS)</t>
  </si>
  <si>
    <t>APLIQUE CUADRADO C/ JAB. GU10 (0PR618.NT) LUC.</t>
  </si>
  <si>
    <t>18769</t>
  </si>
  <si>
    <t>18770</t>
  </si>
  <si>
    <t>18771</t>
  </si>
  <si>
    <t>18767</t>
  </si>
  <si>
    <t>18768</t>
  </si>
  <si>
    <t>18772</t>
  </si>
  <si>
    <t>DESCARGADOR DE SOBRETENSIONES  1 MÓDULO DIN</t>
  </si>
  <si>
    <t>18766</t>
  </si>
  <si>
    <t>FICHA MACHO TRES PERNOS CHATOS FRONTAL MARFIL RICHI</t>
  </si>
  <si>
    <t>FICHA MACHO TRES PERNOS CHATOS FRONTAL NEGRO RICHI</t>
  </si>
  <si>
    <t>ABRAZADERA DE HIERRO MEDIA OMEGA 3/4"</t>
  </si>
  <si>
    <t>ABRAZADERA DE HIERRO MEDIA OMEGA 5/8"</t>
  </si>
  <si>
    <t>ABRAZADERA DE HIERRO MEDIA OMEGA 7/8"</t>
  </si>
  <si>
    <t>18773</t>
  </si>
  <si>
    <t>TRANSFORMADOR 220V. 12V. 50 VA. COMPACTO</t>
  </si>
  <si>
    <t>18777</t>
  </si>
  <si>
    <t>18779</t>
  </si>
  <si>
    <t>18780</t>
  </si>
  <si>
    <t>18774</t>
  </si>
  <si>
    <t>18784</t>
  </si>
  <si>
    <t>PANEL LED 48W 30X120 LUZ FRIA CANDELA</t>
  </si>
  <si>
    <t>APLIQUE DUBLIN 2 LUCES GU10 NEGRO (SL-218N/T)</t>
  </si>
  <si>
    <t>APLIQUE DUBLIN TECHO 3 LUCES GU10 ACERO (ST-318ACE)</t>
  </si>
  <si>
    <t>APLIQUE DUBLIN TECHO 3 LUCES GU10 BLANCO (ST-318B/T)</t>
  </si>
  <si>
    <t>APLIQUE DUBLIN TECHO 3 LUCES GU10 NEGRO (ST-318M/T)</t>
  </si>
  <si>
    <t>18790</t>
  </si>
  <si>
    <t>LAMPARA H POWER 150W E27 LUZ FRIA BAW**</t>
  </si>
  <si>
    <t>LAMPARA H POWER 20W LUZ CALIDA NOV.**</t>
  </si>
  <si>
    <t>LAMPARA H POWER 30W LUZ CALIDA NOV.**</t>
  </si>
  <si>
    <t>LAMPARA H POWER 40W LUZ CALIDA NOV.**</t>
  </si>
  <si>
    <t>LAMPARA H POWER 60W LUZ FRIA NOV.**</t>
  </si>
  <si>
    <t>CAJA PASE PVC 115 X 115 X 50 G.</t>
  </si>
  <si>
    <t>CAJA PASE PVC 115 X 115 X 67 G.</t>
  </si>
  <si>
    <t>CAJA PASE PVC 166 X 212 X 81 G.</t>
  </si>
  <si>
    <t>CAJA PASE PVC 305 X 305 X 170 G.</t>
  </si>
  <si>
    <t>FICHA MACHO MOVIL 2P + T 16A IP44 BALS - KALOP (KL7031642)</t>
  </si>
  <si>
    <t>FICHA MACHO MOVIL 2P + T 32A IP44 BALS - KALOP (KL7033242)</t>
  </si>
  <si>
    <t>FICHA MACHO MOVIL 3P + T + N 32A IP44 BALS - KALOP (KL7053243)</t>
  </si>
  <si>
    <t>FICHA MACHO MOVIL 3P + T 16A IP44 BALS-KALOP (KL7041643)</t>
  </si>
  <si>
    <t>FICHA MACHO MOVIL 3P + T 32A IP44 BALS - KALOP (KL7043243)</t>
  </si>
  <si>
    <t>18794</t>
  </si>
  <si>
    <t>18796</t>
  </si>
  <si>
    <t>18792</t>
  </si>
  <si>
    <t>LAMPARA INCANDESCENTE PERFUME 15W CLARA</t>
  </si>
  <si>
    <t>18793</t>
  </si>
  <si>
    <t>LAMPARA INCANDESCENTE PERFUME 15W SATINADA</t>
  </si>
  <si>
    <t>BAJO ALACENA 5W LUZ FRIA</t>
  </si>
  <si>
    <t>18797</t>
  </si>
  <si>
    <t>MODULO PUNTO 4 VIAS DE CRUZAM. 10A NEGRO PLATINUN JELUZ</t>
  </si>
  <si>
    <t>18808</t>
  </si>
  <si>
    <t>CAÑO 22 MM. HD (PRECIO X MTS) SISTELECTRIC</t>
  </si>
  <si>
    <t>18807</t>
  </si>
  <si>
    <t>CAÑO 25 MM. HD (PRECIO X MTS) SISTELECTRIC</t>
  </si>
  <si>
    <t>18804</t>
  </si>
  <si>
    <t>CONTACTOR TRIP. 11KW 25A 220V ABB</t>
  </si>
  <si>
    <t>18805</t>
  </si>
  <si>
    <t>CONTACTOR TRIP. 22KW 50A 1NA+1NC 220V ABB</t>
  </si>
  <si>
    <t>18803</t>
  </si>
  <si>
    <t>DISYUNTOR 4 X 100 A. INDUSTRIAL 30mA  ABB</t>
  </si>
  <si>
    <t>RELE DE TENSION-FALTA FASE-ASIM. 3/4 FASES 1DIN RUT34-2M2 BAW</t>
  </si>
  <si>
    <t>18806</t>
  </si>
  <si>
    <t>RELE TRIFASICO FALTA Y SECUENCIA ASIMETRIA FASE RUT33-1QD BAW</t>
  </si>
  <si>
    <t>18800</t>
  </si>
  <si>
    <t>18801</t>
  </si>
  <si>
    <t>18802</t>
  </si>
  <si>
    <t>18798</t>
  </si>
  <si>
    <t>TOMA HEMBRA MOVIL 3P + 16A IP44 380V BALS-KALOP (KL7441643)</t>
  </si>
  <si>
    <t>18799</t>
  </si>
  <si>
    <t>18809</t>
  </si>
  <si>
    <t>ADAPTADOR VIAJERO</t>
  </si>
  <si>
    <t>ANTIQUE LED CLEAR  LUZ CALIDA LGP (LFA-160C 8W)</t>
  </si>
  <si>
    <t>ANTIQUE LED SILVER  LUZ CALIDA LGP (LFA-BO90S 8W)</t>
  </si>
  <si>
    <t>ANTIQUE LED SILVER LUZ CALIDA LGP (LFA-200S 8W)</t>
  </si>
  <si>
    <t>ANTIQUE LED SMOKE  LUZ CALIDA LGP (LFA-160S 8W)</t>
  </si>
  <si>
    <t>APLIQUE BIDIRECCIONAL LED LUZ CALIDA (RING) BAEL</t>
  </si>
  <si>
    <t>APLIQUE CABECERA LED AKI 5W LUZ CALIDA CROMO CANDIL</t>
  </si>
  <si>
    <t>APLIQUE LED NEO 6.5W LUZ CALIDA CROMO CANDIL</t>
  </si>
  <si>
    <t>BAJO CONSUMO 60W ESPIRALADA LUZ FRIA G.E.</t>
  </si>
  <si>
    <t>BAJO CONSUMO MINI ESPIRAL 8W LUZ FRIA G.E.</t>
  </si>
  <si>
    <t>18818</t>
  </si>
  <si>
    <t>CABLE PARA SOLDADURA 35 MM (PRECIO x MTS) AZUL</t>
  </si>
  <si>
    <t>CAJA PASE PVC 122 X 166 X 67 G. (PR1000/67) ROKER</t>
  </si>
  <si>
    <t>18811</t>
  </si>
  <si>
    <t>CORTINA LED 3 X 2 MTS</t>
  </si>
  <si>
    <t>18810</t>
  </si>
  <si>
    <t>CORTINA LED 3 X 3MTS</t>
  </si>
  <si>
    <t>FAROLA ENANA BENESH 300 LED 7W LUZ CALIDA CANDIL</t>
  </si>
  <si>
    <t>FAROLA ENANA EMANUEL 500 LED 8W LUZ CALIDA CANDIL</t>
  </si>
  <si>
    <t>FUENTE METALICA ULTRA SLIM 220V 8.3A</t>
  </si>
  <si>
    <t>18813</t>
  </si>
  <si>
    <t>KIT ESTRUCTURA Y CONECTORES P/ARMAR 500W AKAI</t>
  </si>
  <si>
    <t>LAMPARA 12 LED PAR38 E-27 19W LUZ CALIDA SICA</t>
  </si>
  <si>
    <t>LAMPARA 21 LED 1,9 W. 12 V. LUZ FRIA SICA</t>
  </si>
  <si>
    <t>LAMPARA 3 LED 3 W. GU-10 LUZ FRIA BORUS</t>
  </si>
  <si>
    <t>LAMPARA 4 LED 8W LUZ CALIDA** WE.</t>
  </si>
  <si>
    <t>LAMPARA 60 LEDS 220V LUZ FRIA** WE.</t>
  </si>
  <si>
    <t>LAMPARA BAJO C. 85 W. E-40 ESPIRAL LUZ CALIDA INT.</t>
  </si>
  <si>
    <t>LAMPARA BAJO C. T/GU10  9 W. LUZ FRIA INT.</t>
  </si>
  <si>
    <t>LAMPARA BAJO C. ULTRA COMP. 14 W. LUZ CALIDA INT.</t>
  </si>
  <si>
    <t>LAMPARA BAJO CONSU. 9 W.  R7S  LUZ FRIA SICA</t>
  </si>
  <si>
    <t>LAMPARA CLASICA LED 10W LUZ CALIDA</t>
  </si>
  <si>
    <t>LAMPARA CLASICA LED 10W LUZ CALIDA AKAI</t>
  </si>
  <si>
    <t>LAMPARA CLASICA LED 10W LUZ FRIA</t>
  </si>
  <si>
    <t>LAMPARA CLASICA LED 12W LUZ CALIDA</t>
  </si>
  <si>
    <t>LAMPARA CLASICA LED 13W LUZ CALIDA E27 FELCO / PH.**</t>
  </si>
  <si>
    <t>LAMPARA CLASICA LED 15W LUZ CALIDA</t>
  </si>
  <si>
    <t>LAMPARA CLASICA LED 18W LUZ CALIDA AKAI</t>
  </si>
  <si>
    <t>LAMPARA CLASICA LED 8W LUZ CALIDA AKAI</t>
  </si>
  <si>
    <t>LAMPARA CLASICA LED 8W LUZ FRIA AKAI</t>
  </si>
  <si>
    <t>LAMPARA CLASICA LED 9W LUZ CALIDA E27 FELCO / PH.**</t>
  </si>
  <si>
    <t>LAMPARA CLASICA LED 9W LUZ FRIA E27 FELCO / PH.**</t>
  </si>
  <si>
    <t>MARCO ALUMINIO 30 X 30 PARA PANEL CANDIL</t>
  </si>
  <si>
    <t>PANEL 50W 30 X 120 MM LUZ CALIDA</t>
  </si>
  <si>
    <t>PANEL 50W 30 X 120 MM LUZ FRIA</t>
  </si>
  <si>
    <t>PANEL LED 30W LUZ CALIDA SYLVANIA</t>
  </si>
  <si>
    <t>PANEL LEGO CUADRADO 30W BLANCO LUZ CALIDA INDULAR</t>
  </si>
  <si>
    <t>PANEL LEGO CUADRADO 30W Negro LUZ NEUTRA INDULAR</t>
  </si>
  <si>
    <t>PANEL LEGO ROMBO 30W BLANCO LUZ CALIDA INDULAR</t>
  </si>
  <si>
    <t>PANEL LEGO ROMBO 30W BLANCO LUZ FRIA INDULAR</t>
  </si>
  <si>
    <t>PANEL LEGO ROMBO 30W BLANCO LUZ NEUTRA INDULAR</t>
  </si>
  <si>
    <t>PANEL LEGO ROMBO 30W Negro LUZ CALIDA INDULAR</t>
  </si>
  <si>
    <t>PANEL LEGO ROMBO 30W Negro LUZ NEUTRA INDULAR</t>
  </si>
  <si>
    <t>18814</t>
  </si>
  <si>
    <t>PROYECTOR LED 150W LUZ FRIA SPORT LIGHT 60º AKAI</t>
  </si>
  <si>
    <t>18815</t>
  </si>
  <si>
    <t>PROYECTOR LED 150W LUZ FRIA SPORT LIGHT 90º AKAI</t>
  </si>
  <si>
    <t>18812</t>
  </si>
  <si>
    <t>PROYECTOR LED 250W LUZ FRIA SPORT LIGHT 90º AKAI</t>
  </si>
  <si>
    <t>CAJA PASE PVC 122 X 166 X 110 G. (PR1001/110E) ROKER</t>
  </si>
  <si>
    <t>CAJA PASE PVC 122 X 166 X 50 G. (PR1000/50E) ROKER</t>
  </si>
  <si>
    <t>CAJA PASE PVC 122 X 166 X 81 G. (PR1000/81E) ROKER</t>
  </si>
  <si>
    <t>CAJA PASE PVC 162 X 212 X 50 G. (PR1002/50E) ROKER</t>
  </si>
  <si>
    <t>CAJA PASE PVC 165 X 165 X 50 G. (PR1006/50E) ROKER</t>
  </si>
  <si>
    <t>CAJA PASE PVC 165 X 165 X 67 G. (PR1006/67E) ROKER</t>
  </si>
  <si>
    <t>CAJA PASE PVC 165 X 165 X 81 G. (PR1006/81E) ROKER</t>
  </si>
  <si>
    <t>CAJA PASE PVC 210 X 210 X 157 G. (PR1003/157E) ROKER</t>
  </si>
  <si>
    <t>CAJA PASE PVC 211 X 211 X 110 G. (PR1003/110E) ROKER</t>
  </si>
  <si>
    <t>CAJA PASE PVC 211 X 211 X 81 G. (PR1003/81E) ROKER</t>
  </si>
  <si>
    <t>CAJA PASE PVC 212 X 162 X 67 G. (PR1002/67E) ROKER</t>
  </si>
  <si>
    <t>CAJA PASE PVC 285 X 162 X 100 Bca. (PR1008/110) ROKER</t>
  </si>
  <si>
    <t>CAJA PASE PVC 71 X 71 X 35 G. (PR994/35E) ROKER</t>
  </si>
  <si>
    <t>CAJA PASE PVC 92 X 92 X 54 G. (PR996/54E) ROKER</t>
  </si>
  <si>
    <t>CAJA PASE PVC 92 X 92 X 75 G. (PR997/75E) ROKER</t>
  </si>
  <si>
    <t>18819</t>
  </si>
  <si>
    <t>CAJA REDONDA ALUM. 1 1/4" C/TAPA SIN JUNTA</t>
  </si>
  <si>
    <t>18824</t>
  </si>
  <si>
    <t>18825</t>
  </si>
  <si>
    <t>CONECTOR LARGO 1 1/4" ALUMINIO</t>
  </si>
  <si>
    <t>18820</t>
  </si>
  <si>
    <t>CURVA GALVANIZADA S/ROSCA 1 1/2"</t>
  </si>
  <si>
    <t>18821</t>
  </si>
  <si>
    <t>CURVA GALVANIZADA S/ROSCA 1 1/4"</t>
  </si>
  <si>
    <t>DECO COLG. AR111 2 AROS BLANCO INDULAR</t>
  </si>
  <si>
    <t>DECO COLG. AR111 2 AROS NEGRO INDULAR</t>
  </si>
  <si>
    <t>DECO DICRO SPOT 2 AROS BLANCO INDULAR</t>
  </si>
  <si>
    <t>DECO DICRO SPOT 2 AROS NEGRO INDULAR</t>
  </si>
  <si>
    <t>DECO SPOT AR111 2 AROS BLANCO INDULAR</t>
  </si>
  <si>
    <t>DECO SPOT AR111 2 AROS NEGRO INDULAR</t>
  </si>
  <si>
    <t>DICROICA LED Rosca E27 5W LUZ FRIA**</t>
  </si>
  <si>
    <t>18822</t>
  </si>
  <si>
    <t>18823</t>
  </si>
  <si>
    <t>METROS DE CAÑO DE HIERRO 1 1/4" GALVANIZADO LIV. PRECIO X MTS</t>
  </si>
  <si>
    <t>METROS DE CAÑO HIERRO 1 1/2" GALVANIZADO LIV. PRECIO X MTS</t>
  </si>
  <si>
    <t>METROS DE CAÑO HIERRO 1" GALVANIZADO LIV. PRECIO X MTS</t>
  </si>
  <si>
    <t>METROS DE CAÑO HIERRO 3/4" GALVANIZADO LIV. PRECIO X MTS</t>
  </si>
  <si>
    <t>METROS DE CAÑO HIERRO 7/8" GALVANIZADO LIV. PRECIO X MTS</t>
  </si>
  <si>
    <t>APLIQUE FISHI LED 3000K CANDIL</t>
  </si>
  <si>
    <t>APLIQUE GASPAR LED 3W CANDIL</t>
  </si>
  <si>
    <t>APLIQUE JOHN 3 LUCES LED 3 X 4,2 W CANDIL</t>
  </si>
  <si>
    <t>APLIQUE MEGAN LED 3 X 4,2 W CANDIL</t>
  </si>
  <si>
    <t>APLIQUE NATIVO LED 3 X 2,5 W CANDIL</t>
  </si>
  <si>
    <t>APLIQUE NINO LED 3000K CANDIL</t>
  </si>
  <si>
    <t>APLIQUE OLIVO 3 LUCES LED 9W BLANCO TEXTURADO CANDIL</t>
  </si>
  <si>
    <t>APLIQUE OTIS E27 60W DISFUSOR SATINADO CANDIL</t>
  </si>
  <si>
    <t>APLIQUE PARED MONA LED 1 X 4,2 W CANDIL</t>
  </si>
  <si>
    <t>APLIQUE PARED MONA LED 2 X 4,2 W CANDIL</t>
  </si>
  <si>
    <t>APLIQUE PLATIL WAYNE P/E-27 (E3202/PL) CANDIL</t>
  </si>
  <si>
    <t>APLIQUE RAMPA 2.1W CHICO 3000K NEGRO CANDIL</t>
  </si>
  <si>
    <t>APLIQUE SENNA GRANDE E-27 (T502/NT) CANDIL</t>
  </si>
  <si>
    <t>APLIQUE SENNA GU10 (T501/PT) CANDIL</t>
  </si>
  <si>
    <t>APLIQUE SILO GRANDE E-27 (T408/NT) CANDIL</t>
  </si>
  <si>
    <t>APLIQUE SILO GU10 (T407/NT) CANDIL</t>
  </si>
  <si>
    <t>APLIQUE SOLUCION LED 1 X 5 W CANDIL</t>
  </si>
  <si>
    <t>APLIQUE SOLUCION LED 3 X 5 W CANDIL</t>
  </si>
  <si>
    <t>APLIQUE TOILETTE LED 1 X 5.5 W CANDIL</t>
  </si>
  <si>
    <t>APLIQUE TOILETTE LED 3 X 5.5 W CANDIL</t>
  </si>
  <si>
    <t>CAMARA IP MOVIL WI FI</t>
  </si>
  <si>
    <t>COLGANTE UFO LED 100W LUZ FRIA NOV.</t>
  </si>
  <si>
    <t>COLGANTE UFO LED 150W LUZ FRIA NOV.</t>
  </si>
  <si>
    <t>COLGANTE UFO LED 150W LUZ FRIA STAR ECO BAEL</t>
  </si>
  <si>
    <t>COLGANTE UFO LED 200W LUZ FRIA AKAI</t>
  </si>
  <si>
    <t>DICROICA LED 12V 5W GU5.3 LUZ CALIDA AKAI</t>
  </si>
  <si>
    <t>DICROICA LED 12V 5W GU5.3 LUZ FRIA AKAI**</t>
  </si>
  <si>
    <t>DICROICA LED 12V 6W GU5.3 LUZ CALIDA</t>
  </si>
  <si>
    <t>DICROICA LED 12V 6W GU5.3 LUZ FRIA</t>
  </si>
  <si>
    <t>DICROICA LED 5W LUZ NEUTRA**</t>
  </si>
  <si>
    <t>EMBUTIDO SHARK 105 SUMERGIBLE CANDIL</t>
  </si>
  <si>
    <t>PROYECTOR LED 20W LUZ FRIA POINTER PRO BAEL</t>
  </si>
  <si>
    <t>PROYECTOR LED 300W LUZ FRIA INTERELEC</t>
  </si>
  <si>
    <t>PROYECTOR LED 30W LUZ FRIA</t>
  </si>
  <si>
    <t>2218</t>
  </si>
  <si>
    <t>PROYECTOR LED 30W LUZ FRIA POINTER PRO BAEL</t>
  </si>
  <si>
    <t>PROYECTOR LED 50W LUZ FRIA POINTER PRO BAEL</t>
  </si>
  <si>
    <t>18826</t>
  </si>
  <si>
    <t>TORTUGA CHAPA REDONDA CHICA NEGRO</t>
  </si>
  <si>
    <t>ACCESORIO 18 X 21 "T" PLANA</t>
  </si>
  <si>
    <t>ALICATE AISLADO Y FORJADO UNIVERSAL 200 MM MOTA (QA108)</t>
  </si>
  <si>
    <t>18830</t>
  </si>
  <si>
    <t>CAJA MULTIPLE ALUM. 1 1/2   (1 1/2 GAS) C/TAPA S/JUNTA "X"</t>
  </si>
  <si>
    <t>FICHA MACHO AMERICANO PLUG RJ45 P/REDES</t>
  </si>
  <si>
    <t>FICHA MACHO AMERICANO RJ45 CAT. 6 P/REDES</t>
  </si>
  <si>
    <t>FICHA MACHO SALIDA LATERAL 2 PERNOS CHATOS (VELADOR) TAAD</t>
  </si>
  <si>
    <t>FICHA MACHO SALIDA LATERAL 2 PERNOS REDONDOS (VELADOR) TAAD</t>
  </si>
  <si>
    <t>18831</t>
  </si>
  <si>
    <t>GRAMPA SUJECION ALUMINIO 1 1/2"</t>
  </si>
  <si>
    <t>GRAMPA SUJECION ALUMINIO 1 1/4"</t>
  </si>
  <si>
    <t>18832</t>
  </si>
  <si>
    <t>TAPON P/CAJA MULTIPLE 1 1/2</t>
  </si>
  <si>
    <t>18829</t>
  </si>
  <si>
    <t>18827</t>
  </si>
  <si>
    <t>UNION EMPALME 1 1/2" ALUMINIIO</t>
  </si>
  <si>
    <t>18828</t>
  </si>
  <si>
    <t>UNION EMPALME 1 1/4" ALUMINIIO</t>
  </si>
  <si>
    <t>18835</t>
  </si>
  <si>
    <t>GRAMPA FIJACION 20 MM. KALOP</t>
  </si>
  <si>
    <t>18836</t>
  </si>
  <si>
    <t>GRAMPA FIJACION 22 MM. KALOP</t>
  </si>
  <si>
    <t>18834</t>
  </si>
  <si>
    <t>LAMPARA H POWER 50W LUZ FRIA NOV.**</t>
  </si>
  <si>
    <t>18837</t>
  </si>
  <si>
    <t>MULTITESTER DIGITAL SI-T830 SIWAY</t>
  </si>
  <si>
    <t>18838</t>
  </si>
  <si>
    <t>PINZA AMPEROMETRICA SI-P266 SIWAY</t>
  </si>
  <si>
    <t>APLIQUE BOLA LED 2 X 5 W CANDIL</t>
  </si>
  <si>
    <t>APLIQUE BOLA LED 3 X 5 W CANDIL</t>
  </si>
  <si>
    <t>APLIQUE BOLA LED 4 X 5 W CANDIL</t>
  </si>
  <si>
    <t>APLIQUE CAP 3 LUCES LED 3 X 4,2 W CANDIL</t>
  </si>
  <si>
    <t>APLIQUE CAP 4 LUCES LED 4 X 4,2 W CANDIL</t>
  </si>
  <si>
    <t>18840</t>
  </si>
  <si>
    <t>APLIQUE COPA DICRO 1 LUZ BLANCO</t>
  </si>
  <si>
    <t>18839</t>
  </si>
  <si>
    <t>APLIQUE COPA DICRO 1 LUZ NEGRO</t>
  </si>
  <si>
    <t>18841</t>
  </si>
  <si>
    <t>APLIQUE COPA DICRO 2 LUCES BLANCO</t>
  </si>
  <si>
    <t>18842</t>
  </si>
  <si>
    <t>APLIQUE COPA DICRO 2 LUCES NEGRO</t>
  </si>
  <si>
    <t>18844</t>
  </si>
  <si>
    <t>APLIQUE COPA DICRO 3 LUCES BLANCO</t>
  </si>
  <si>
    <t>18843</t>
  </si>
  <si>
    <t>APLIQUE COPA DICRO 3 LUCES NEGRO</t>
  </si>
  <si>
    <t>APLIQUE DIFUSOR WAYNE P/E-27 (E3202/NT) CANDIL</t>
  </si>
  <si>
    <t>APLIQUE DON LED 2 X 6 W CANDIL</t>
  </si>
  <si>
    <t>18948</t>
  </si>
  <si>
    <t>BLOCK CONTACTOS AUX. P/BOTON. 1NA CHINT</t>
  </si>
  <si>
    <t>18949</t>
  </si>
  <si>
    <t>BLOCK CONTACTOS AUX. P/BOTON. 1NC CHINT</t>
  </si>
  <si>
    <t>CABEZAL PANTALLA P/DICRO ACERO (19002-13) S.J</t>
  </si>
  <si>
    <t>CABEZAL PANTALLA P/DICRO BLANCA (19002-01) S.J</t>
  </si>
  <si>
    <t>CABEZAL PANTALLA P/DICRO NEGRO (19002-02) S.J</t>
  </si>
  <si>
    <t>18909</t>
  </si>
  <si>
    <t>CABLE BOMBA SUMERGIBLE 2 X 2,5 mm. (PRECIO x MTS) NA.</t>
  </si>
  <si>
    <t>18907</t>
  </si>
  <si>
    <t>18908</t>
  </si>
  <si>
    <t>CAJA PVC EXTERIOR P/CABLE CANAL KALOP</t>
  </si>
  <si>
    <t>CAJA PVC EXTERIOR P/CABLE CANAL TAAD</t>
  </si>
  <si>
    <t>CAJA TERMICA 1 A 2 BOCAS C/PUERTA PVC EXT TAAD</t>
  </si>
  <si>
    <t>CAJA TERMICA 2 A 4 BOCAS C/ PUERTA PVC EXT. TAAD</t>
  </si>
  <si>
    <t>CAJA TERMICA 4 A 8 BOCAS C/ PUERTA PVC. EXT. TAAD</t>
  </si>
  <si>
    <t>CAJA TERMICA 8 A 12 BOCAS C/PUERTA PVC EXT. TAAD</t>
  </si>
  <si>
    <t>CAPSULADA EMBUTIR VACIA 16A MIG</t>
  </si>
  <si>
    <t>CAPSULADA EMBUTIR VACIA 32A MIG</t>
  </si>
  <si>
    <t>CAPSULADA PUNTO Y TOMA CON NEUTRO MIG</t>
  </si>
  <si>
    <t>CAPSULADA TOMA CON NEUTRO 20 A. MIG</t>
  </si>
  <si>
    <t>CAPSULADA TOMA CON NEUTRO MIG</t>
  </si>
  <si>
    <t>CAPSULADA VACIA 16A EXT. MIG</t>
  </si>
  <si>
    <t>CAPSULADA VACIA 32A EXT. MIG</t>
  </si>
  <si>
    <t>18911</t>
  </si>
  <si>
    <t>CARTUCHO FUSIBLE 10x38 MM 6A gG 500V 100kA CHINT</t>
  </si>
  <si>
    <t>18912</t>
  </si>
  <si>
    <t>CARTUCHO FUSIBLE 10x38MM 10A gG 500V 100kA CHINT</t>
  </si>
  <si>
    <t>18910</t>
  </si>
  <si>
    <t>CARTUCHO FUSIBLE 10x38MM 4A gG 500V 100kA CHINT</t>
  </si>
  <si>
    <t>18950</t>
  </si>
  <si>
    <t>CASETINA VACIA HASTA  5,5HP IP55 (NQ3-5.5hp) CHINT</t>
  </si>
  <si>
    <t>CINTA AISLADORA PVC X 10 MTS. BLANCA</t>
  </si>
  <si>
    <t>CINTA AISLADORA PVC X 10 MTS. NEGRA</t>
  </si>
  <si>
    <t>CINTA AISLADORA PVC X 20 MTS. BLANCA</t>
  </si>
  <si>
    <t>CINTA AISLADORA PVC X 20 MTS. NEGRA</t>
  </si>
  <si>
    <t>CINTA AISLADORA PVC X 5 MTS. NEGRA</t>
  </si>
  <si>
    <t>CINTA DE ALUMINIO 48X25 TACSA</t>
  </si>
  <si>
    <t>CINTA DE ALUMINIO 48X50 TACSA</t>
  </si>
  <si>
    <t>CINTA REFRIGERACION C/ADH 70X20X0 GRIS TACSA</t>
  </si>
  <si>
    <t>18846</t>
  </si>
  <si>
    <t>18916</t>
  </si>
  <si>
    <t>CONTACTOR TRIP. 12A 220V 1NA+1NC CHINT</t>
  </si>
  <si>
    <t>18917</t>
  </si>
  <si>
    <t>CONTACTOR TRIP. 18A 220V 1NA+1NC CHINT</t>
  </si>
  <si>
    <t>18918</t>
  </si>
  <si>
    <t>CONTACTOR TRIP. 25A 380V 1NA+1NC CHINT</t>
  </si>
  <si>
    <t>18919</t>
  </si>
  <si>
    <t>CONTACTOR TRIP. 32A 220V 1NA+1NC CHINT</t>
  </si>
  <si>
    <t>18920</t>
  </si>
  <si>
    <t>CONTACTOR TRIP. 40A 220V 1NA+1NC CHINT</t>
  </si>
  <si>
    <t>18921</t>
  </si>
  <si>
    <t>CONTACTOR TRIP. 50A 220V 1NA+1NC CHINT</t>
  </si>
  <si>
    <t>18922</t>
  </si>
  <si>
    <t>CONTACTOR TRIP. 65A 220V 1NA+1NC CHINT</t>
  </si>
  <si>
    <t>18923</t>
  </si>
  <si>
    <t>18915</t>
  </si>
  <si>
    <t>CONTACTOR TRIP. 9A 220V 1NA+1NC CHINT</t>
  </si>
  <si>
    <t>18914</t>
  </si>
  <si>
    <t>CONTACTOR TRIP. 9A 24V 1NA+1NC CHINT</t>
  </si>
  <si>
    <t>18904</t>
  </si>
  <si>
    <t>DESCARGADOR DE SOBRETENSIONES 40kA 2 POLOS (NU6-IIG) CHINT</t>
  </si>
  <si>
    <t>18854</t>
  </si>
  <si>
    <t>18856</t>
  </si>
  <si>
    <t>18855</t>
  </si>
  <si>
    <t>DING DONG EXTERIOR 10X10 C/TRANSF. 220V-12V</t>
  </si>
  <si>
    <t>18877</t>
  </si>
  <si>
    <t>FUENTE METALICA 12V 3A 35W MACROLED</t>
  </si>
  <si>
    <t>18903</t>
  </si>
  <si>
    <t>FUENTE METALICA 12V 6A 75W MACROLED</t>
  </si>
  <si>
    <t>18931</t>
  </si>
  <si>
    <t>GUARDAMOTOR 1-1,6A 0,37kW 100kA CHINT</t>
  </si>
  <si>
    <t>18932</t>
  </si>
  <si>
    <t>GUARDAMOTOR 2,5-4A 1,5kW 100kA CHINT</t>
  </si>
  <si>
    <t>18933</t>
  </si>
  <si>
    <t>GUARDAMOTOR 4-6,3A 2,5kW 100kA CHINT</t>
  </si>
  <si>
    <t>18934</t>
  </si>
  <si>
    <t>GUARDAMOTOR 6-10A 4kW 100kA CHINT</t>
  </si>
  <si>
    <t>18935</t>
  </si>
  <si>
    <t>18905</t>
  </si>
  <si>
    <t>18906</t>
  </si>
  <si>
    <t>18859</t>
  </si>
  <si>
    <t>LAMPARA AR111 LED 11W BLANCA LUZ CALIDA MACROLED**</t>
  </si>
  <si>
    <t>18857</t>
  </si>
  <si>
    <t>LAMPARA AR111 LED 11W NEGRA LUZ CALIDA MACROLED**</t>
  </si>
  <si>
    <t>18858</t>
  </si>
  <si>
    <t>18860</t>
  </si>
  <si>
    <t>18853</t>
  </si>
  <si>
    <t>18852</t>
  </si>
  <si>
    <t>18851</t>
  </si>
  <si>
    <t>LAMPARA H POWER 40W E27 LUZ FRIA MACROLED **</t>
  </si>
  <si>
    <t>18850</t>
  </si>
  <si>
    <t>LAMPARA H POWER 48W E27 LUZ FRIA MACROLED **</t>
  </si>
  <si>
    <t>LAMPARA H POWER 75W E40 LUZ FRIA NOV.**</t>
  </si>
  <si>
    <t>18849</t>
  </si>
  <si>
    <t>18924</t>
  </si>
  <si>
    <t>MINICONTACTOR 4 POLOS 12A 220V CHINT</t>
  </si>
  <si>
    <t>18864</t>
  </si>
  <si>
    <t>18865</t>
  </si>
  <si>
    <t>18866</t>
  </si>
  <si>
    <t>18868</t>
  </si>
  <si>
    <t>18867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</si>
  <si>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</si>
  <si>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</si>
  <si>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</si>
  <si>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</si>
  <si>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</si>
  <si>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</si>
  <si>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</si>
  <si>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</si>
  <si>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18936</t>
  </si>
  <si>
    <t>PILOTO - OJO DE BUEY - AMARILLO 230V CHINT</t>
  </si>
  <si>
    <t>18937</t>
  </si>
  <si>
    <t>PILOTO - OJO DE BUEY - ROJO 230V CHINT</t>
  </si>
  <si>
    <t>18938</t>
  </si>
  <si>
    <t>PILOTO - OJO DE BUEY - VERDE 230V CHINT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</si>
  <si>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</si>
  <si>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</si>
  <si>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</si>
  <si>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</si>
  <si>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</si>
  <si>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</si>
  <si>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</si>
  <si>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</si>
  <si>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</si>
  <si>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</si>
  <si>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</si>
  <si>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</si>
  <si>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18897</t>
  </si>
  <si>
    <t>PROYECTOR LED 100W LUZ FRIA MACROLED</t>
  </si>
  <si>
    <t>18891</t>
  </si>
  <si>
    <t>PROYECTOR LED 10W LUZ CALIDA MACROLED</t>
  </si>
  <si>
    <t>18890</t>
  </si>
  <si>
    <t>PROYECTOR LED 10W LUZ FRIA MACROLED</t>
  </si>
  <si>
    <t>18898</t>
  </si>
  <si>
    <t>PROYECTOR LED 150W LUZ FRIA MACROLED</t>
  </si>
  <si>
    <t>18899</t>
  </si>
  <si>
    <t>PROYECTOR LED 200W LUZ FRIA MACROLED</t>
  </si>
  <si>
    <t>18893</t>
  </si>
  <si>
    <t>PROYECTOR LED 20W LUZ CALIDA MACROLED</t>
  </si>
  <si>
    <t>18892</t>
  </si>
  <si>
    <t>PROYECTOR LED 20W LUZ FRIA MACROLED</t>
  </si>
  <si>
    <t>18895</t>
  </si>
  <si>
    <t>PROYECTOR LED 30W LUZ CALIDA MACROLED</t>
  </si>
  <si>
    <t>18894</t>
  </si>
  <si>
    <t>PROYECTOR LED 30W LUZ FRIA MACROLED</t>
  </si>
  <si>
    <t>18896</t>
  </si>
  <si>
    <t>PROYECTOR LED 50W LUZ FRIA MACROLED</t>
  </si>
  <si>
    <t>18941</t>
  </si>
  <si>
    <t>PULSADOR ARO METAL NEGRO CHINT</t>
  </si>
  <si>
    <t>18940</t>
  </si>
  <si>
    <t>PULSADOR ARO METAL ROJO CHINT</t>
  </si>
  <si>
    <t>18939</t>
  </si>
  <si>
    <t>PULSADOR ARO METAL VERDE CHINT</t>
  </si>
  <si>
    <t>18942</t>
  </si>
  <si>
    <t>18943</t>
  </si>
  <si>
    <t>18925</t>
  </si>
  <si>
    <t>RELE TERMICO 1-1,6A (NXR-25) CHINT</t>
  </si>
  <si>
    <t>18926</t>
  </si>
  <si>
    <t>RELE TERMICO 2,5-4A (NXR-25) CHINT</t>
  </si>
  <si>
    <t>18927</t>
  </si>
  <si>
    <t>RELE TERMICO 4-6A (NXR-25) CHINT</t>
  </si>
  <si>
    <t>18928</t>
  </si>
  <si>
    <t>RELE TERMICO 5,5-8A (NXR-25) CHINT</t>
  </si>
  <si>
    <t>18929</t>
  </si>
  <si>
    <t>RELE TERMICO 7-10A (NXR-25) CHINT</t>
  </si>
  <si>
    <t>18930</t>
  </si>
  <si>
    <t>RELE TERMICO 9-13A (NXR-25) CHINT</t>
  </si>
  <si>
    <t>18913</t>
  </si>
  <si>
    <t>SECCIONADOR PORTAFUSIBLE 10x38 32A C/LED CHINT</t>
  </si>
  <si>
    <t>18944</t>
  </si>
  <si>
    <t>18946</t>
  </si>
  <si>
    <t>18947</t>
  </si>
  <si>
    <t>SELECTORA METALICA 3 POS. M.LARGA 2NA CHINT</t>
  </si>
  <si>
    <t>18945</t>
  </si>
  <si>
    <t>SOPLETE SISTEMA CLIP (2703) BROGAS</t>
  </si>
  <si>
    <t>18847</t>
  </si>
  <si>
    <t>18848</t>
  </si>
  <si>
    <t>18900</t>
  </si>
  <si>
    <t>18901</t>
  </si>
  <si>
    <t>18862</t>
  </si>
  <si>
    <t>TUBO DE LED DE VIDRIO 18W LUZ CALIDA MACROLED**</t>
  </si>
  <si>
    <t>18863</t>
  </si>
  <si>
    <t>18861</t>
  </si>
  <si>
    <t>TUBO DE LED DE VIDRIO 9W LUZ FRIA MACROLED**</t>
  </si>
  <si>
    <t>CABLE UNIPOLAR  LSOH 1 X 1,5 ROJO (PRECIO x MTS)</t>
  </si>
  <si>
    <t>CABLE UNIPOLAR  LSOH 1 X 1,5 VERDE Y A (PRECIO x MTS)</t>
  </si>
  <si>
    <t>COLGANTE BASE REDONDA 2 L. NEGRO (LV6645-53) S.J.</t>
  </si>
  <si>
    <t>COLGANTE C/PANT. MET. 3 L. C/REGLA 60CM NEGRO (OS6830-52) S.J.</t>
  </si>
  <si>
    <t>COLGANTE CHAPA 2 L. COBRE C/REGLA X 50CM  (CC6626-10) S.J.</t>
  </si>
  <si>
    <t>COLGANTE CHAPA C/HERRADURA Rodeo 33 CM. BLANCO (7620-71) S.J.</t>
  </si>
  <si>
    <t>COLGANTE CHAPA C/HERRADURA Rodeo 33CM. NEGRO (7620-72) S.J.</t>
  </si>
  <si>
    <t>COLGANTE CHAPA CROMO 2 L. C/REGLA 500MM (CC6626-18) S.J.</t>
  </si>
  <si>
    <t>COLGANTE CHAPA Ø18 3 L. COBRE C/REGLA 70CM (CC6635-10) S.J.</t>
  </si>
  <si>
    <t>COLGANTE CHAPA Ø24 3 L. CROMO C/REGLA 70CM (CC6636-18/) S.J.</t>
  </si>
  <si>
    <t>DIFUSOR LIGHT 12X25 E27 (7500-01) S.J.</t>
  </si>
  <si>
    <t>DISYUNTOR 4 X 25 A. SUPERINMUNIZADO  30mA  G.E.</t>
  </si>
  <si>
    <t>DISYUNTOR 4 X 40 A. SUPERINMUNIZADO  30mA  G.E.</t>
  </si>
  <si>
    <t>DRIVER DE EMERGENCIA P/PANEL 6/12/18/24W MACROLED</t>
  </si>
  <si>
    <t>JABALINA PARA SPOT C2001. CANDIL</t>
  </si>
  <si>
    <t>KIT TENSORES CANDIL</t>
  </si>
  <si>
    <t>LAMPARA  M.H. 1000W E40 6000°K (88882) G.E.</t>
  </si>
  <si>
    <t>LAMPARA AR111 LED 12W LUZ CALIDA CANDIL**</t>
  </si>
  <si>
    <t>LAMPARA AR111 LED 12W LUZ FRIA CANDIL**</t>
  </si>
  <si>
    <t>LAMPARA AR111 LED 12W LUZ NEUTRA CANDIL**</t>
  </si>
  <si>
    <t>LAMPARA AR111 LED 15W LUZ CALIDA CANDIL**</t>
  </si>
  <si>
    <t>LAMPARA AR111 LED 15W LUZ FRIA CANDIL**</t>
  </si>
  <si>
    <t>LAMPARA AR111 LED DIMER. 12W LUZ CALIDA CANDIL**</t>
  </si>
  <si>
    <t>LAMPARA AR111 LED DIMER. 12W LUZ FRIA CANDIL**</t>
  </si>
  <si>
    <t>LAMPARA GLOBO LED 20W LUZ CALIDA</t>
  </si>
  <si>
    <t>LAMPARA GLOBO LED 20W LUZ FRIA</t>
  </si>
  <si>
    <t>LAMPARA GLOBO LED G120 15W LUZ CALIDA AKAI**</t>
  </si>
  <si>
    <t>LAMPARA GLOBO LED G120 15W LUZ FRIA AKAI**</t>
  </si>
  <si>
    <t>LAMPARA GOTA LED 6W LUZ CALIDA E14**</t>
  </si>
  <si>
    <t>LAMPARA GOTA LED 6W LUZ FRIA E14**</t>
  </si>
  <si>
    <t>LAMPARA LED E27 10W PLC LUZ CALIDA CANDIL**</t>
  </si>
  <si>
    <t>LAMPARA LED E27 10W PLC LUZ FRIA CANDIL**</t>
  </si>
  <si>
    <t>LAMPARA LED IND. E-40 27W 4000K CANDIL</t>
  </si>
  <si>
    <t>LAMPARA LED IND. E-40 35W 4000K CANDIL</t>
  </si>
  <si>
    <t>LAMPARA LED IND. E-40 55W 4000K CANDIL</t>
  </si>
  <si>
    <t>LAMPARA LED R7S 118 MM 15W  LUZ CALIDA CANDIL**</t>
  </si>
  <si>
    <t>LAMPARA LED R7S 118MM 10W LUZ CALIDA CANDIL**</t>
  </si>
  <si>
    <t>LAMPARA LED R7S 78MM 8W LUZ FRIA CANDIL**</t>
  </si>
  <si>
    <t>LAMPARA LED STIK 12W LUZ CALIDA</t>
  </si>
  <si>
    <t>LAMPARA LED STIK 15W LUZ CALIDA</t>
  </si>
  <si>
    <t>LAMPARA LED STIK 9W LUZ CALIDA</t>
  </si>
  <si>
    <t>LAMPARA MAGNOLIA LED 60W LUZ CALIDA E27 NOV.**</t>
  </si>
  <si>
    <t>LAMPARA MAGNOLIA LED 60W LUZ FRIA E27 NOV.**</t>
  </si>
  <si>
    <t>LAMPARA P/AUTO LED H1 22W 3000LM. LUZ FRIA</t>
  </si>
  <si>
    <t>LAMPARA P/AUTO LED H3 22W 3000LM. LUZ FRIA</t>
  </si>
  <si>
    <t>LAMPARA P/AUTO LED H7 22W 3000LM. LUZ FRIA</t>
  </si>
  <si>
    <t>LAMPARA PARA ALUMBRADO PUBLICO 36W E-40 LUZ FRIA AKAI*</t>
  </si>
  <si>
    <t>LAMPARA PERFUME E14 LED 1,5W  LUZ CALIDA CANDIL</t>
  </si>
  <si>
    <t>LAMPARA PERFUME E14 LED 1,5W LUZ FRIA CANDIL</t>
  </si>
  <si>
    <t>LAMPARA PIE OSTENDE BLANCO Y CROMO (OS8910-61) S.J.</t>
  </si>
  <si>
    <t>LAMPARA VELA LED 4W LUZ CALIDA CLARA CANDIL**</t>
  </si>
  <si>
    <t>LAMPARA VELA LED 4W LUZ CALIDA DECO CLARA CANDIL **</t>
  </si>
  <si>
    <t>LAMPARA VELA LED 4W LUZ CALIDA E14 SICA**</t>
  </si>
  <si>
    <t>LAMPARA VELA LED 4W LUZ CALIDA E27 SICA**</t>
  </si>
  <si>
    <t>LAMPARA VELA LED 4W. LUZ CALIDA DECO AMBAR CANDIL **</t>
  </si>
  <si>
    <t>LAMPARA VELA LED 5W LUZ FRIA E27  AKAI**</t>
  </si>
  <si>
    <t>LISTON BAJO ALACENA LED CHATO 4W LUZ CALIDA</t>
  </si>
  <si>
    <t>LISTON BAJO ALACENA LED CHATO 4W LUZ FRIA</t>
  </si>
  <si>
    <t>LISTON BAJO ALACENA LED CHATO 8W LUZ CALIDA</t>
  </si>
  <si>
    <t>LISTON BAJO ALACENA LED CHATO 8W LUZ FRIA</t>
  </si>
  <si>
    <t>LISTON FOX LED 20W LUZ CALIDA</t>
  </si>
  <si>
    <t>LISTON POLI. BAJO ALACENA LED CHATO 12W LUZ CALIDA</t>
  </si>
  <si>
    <t>LISTON POLI. BAJO ALACENA LED CHATO 12W LUZ FRIA</t>
  </si>
  <si>
    <t>LISTON POLI. BAJO ALACENA LED CHATO 4W LUZ CALIDA</t>
  </si>
  <si>
    <t>LISTON POLI. BAJO ALACENA LED CHATO 4W LUZ FRIA</t>
  </si>
  <si>
    <t>LISTON POLI. BAJO ALACENA LED CHATO 8W LUZ CALIDA</t>
  </si>
  <si>
    <t>LISTON POLI. BAJO ALACENA LED CHATO 8W LUZ FRIA</t>
  </si>
  <si>
    <t>LLAVE ARMADA MITO 2 1/2 TECLON PUNTO BLANCA JELUZ</t>
  </si>
  <si>
    <t>LLAVE ARMADA MITO 2 TOMA 10A BLANCA JELUZ</t>
  </si>
  <si>
    <t>LLAVE ARMADA MITO PUNTO BLANCA JELUZ</t>
  </si>
  <si>
    <t>LLAVE ARMADA MITO PUNTO Y TOMA BLANCA JELUZ</t>
  </si>
  <si>
    <t>LLAVE ARMADA MITO TOMA BLANCA JELUZ</t>
  </si>
  <si>
    <t>LLAVE CONCEPT CONJ. TECLON COMB. PINCELEADAS  KALOP</t>
  </si>
  <si>
    <t>LUMINARIA VIA PUBLICA 150W GARDEN PRO BAEL</t>
  </si>
  <si>
    <t>LUMINARIA VIA PUBLICA LED 120W LUZ FRIA AKAI</t>
  </si>
  <si>
    <t>MODULO COMBINADO BIPOLAR BLANCO KALOP**</t>
  </si>
  <si>
    <t>MODULO DOBLE COMBINACION (2 EN 1) BLANCO PLATINUM</t>
  </si>
  <si>
    <t>MODULO DOBLE INTERRUPTOR (2 EN 1) BLANCO PLATINUM</t>
  </si>
  <si>
    <t>MODULO DOBLE INTERRUTOR (2 EN 1) NEGRO PLATINUM</t>
  </si>
  <si>
    <t>MODULO EGRAND 3W 3000K BLANCO ARTELUM</t>
  </si>
  <si>
    <t>MODULO TOMA 20A BLANCO (6915) SXXI CAMBRE</t>
  </si>
  <si>
    <t>MODULO TOMA DOBLE NEGRO PLATINUM</t>
  </si>
  <si>
    <t>MODULO TOMA FOR EXPORT BLANCO PLATINUM</t>
  </si>
  <si>
    <t>MODULO TOMA MARFIL (1 MOD. Y MEDIO ) KALOP</t>
  </si>
  <si>
    <t>MODULO VARIADOR LUZ LED 150W BLANCO PLATINUM</t>
  </si>
  <si>
    <t>PANEL LED 50W 30 X 120 MM LUZ NEUTRA</t>
  </si>
  <si>
    <t>PANTALLA ALUMINIO 25 CM.- S.J.</t>
  </si>
  <si>
    <t>PANTALLA ALUMINIO 30 CM.- S.J.</t>
  </si>
  <si>
    <t>PANTALLA ALUMINIO 40 CM.-S.J.</t>
  </si>
  <si>
    <t>PANTALLA DE TELA NEGRA 45CM X 20CM (8862S) S.J.</t>
  </si>
  <si>
    <t>PANTALLA INDUST. DECO 35CM ALUMINIO (6801) S.J.</t>
  </si>
  <si>
    <t>PLAFON DE 3 LUCES "BOCHA" S/TULIPA BLANCO (P-352BLA)</t>
  </si>
  <si>
    <t>PLAFON DE 3 LUCES "BOCHA" S/TULIPA PLATA (P-352PLA)</t>
  </si>
  <si>
    <t>PLAFON FORT CHICO 4 X E-27 CANDIL</t>
  </si>
  <si>
    <t>PLAFON VALENCIA BLANCO P/ 1 DICRO (P-190BLA)</t>
  </si>
  <si>
    <t>PLAFON VALENCIA BLANCO P/ 2 DICRO (P-290BLA)</t>
  </si>
  <si>
    <t>PLAFON ZEUS 2 X E-27 PLATIL CANDIL</t>
  </si>
  <si>
    <t>PORTALAMPARA MIGÑON 3 PIEZAS NEGRO</t>
  </si>
  <si>
    <t>PORTALAMPARA P/GUIRNALDA NEGRO</t>
  </si>
  <si>
    <t>18951</t>
  </si>
  <si>
    <t>PRECINTO 238 MM. NEGRO</t>
  </si>
  <si>
    <t>PRECINTO 450 MM. TRANSP.</t>
  </si>
  <si>
    <t>PROLONGADOR 5 TOMAS C/ INTERRUPTOR TERMICO IRAM SICA</t>
  </si>
  <si>
    <t>PROYECTOR ECO. B. C.( HASTA 36W) MINI-ECO FRIHEL</t>
  </si>
  <si>
    <t>PROYECTOR LED 10W LUZ CALIDA</t>
  </si>
  <si>
    <t>PROYECTOR LED 10W LUZ FRIA CANDIL</t>
  </si>
  <si>
    <t>PROYECTOR LED 20W LUZ CALIDA</t>
  </si>
  <si>
    <t>PROYECTOR P/EQUIPO AUX.( M.H 1000W) FP 1000 FRIHEL</t>
  </si>
  <si>
    <t>PUNTERA HUECA 1,00 MM (ROJO)</t>
  </si>
  <si>
    <t>PUNTERA HUECA 1,5 MM (NEGRO)</t>
  </si>
  <si>
    <t>PUNTERA HUECA 10 MM (MARRON / AMARILLO)</t>
  </si>
  <si>
    <t>PUNTERA HUECA 2,5 MM (GRIS)</t>
  </si>
  <si>
    <t>PUNTERA HUECA 25 MM (NEGRA/COLORADO)</t>
  </si>
  <si>
    <t>PUNTERA HUECA 35 MM (ROJO/CREMA)</t>
  </si>
  <si>
    <t>PUNTERA HUECA 4 MM (NARANJA)</t>
  </si>
  <si>
    <t>PUNTERA HUECA 6 MM (VERDE)</t>
  </si>
  <si>
    <t>REGLETA 120 CM. 1 A 5 LUCES C/SEMICORTES BLANCO MICRO (RG6123-16) S.J.</t>
  </si>
  <si>
    <t>REGLETA 120 CM. 1 A 5 LUCES C/SEMICORTES NEGRO (RG6123-02) S.J.</t>
  </si>
  <si>
    <t>REGLETA 120 CM. 4 LUCES BLANCO (RG6124-16) S.J.</t>
  </si>
  <si>
    <t>REGLETA 120 CM. 4 LUCES NEGRO (RG6124-02) S.J.</t>
  </si>
  <si>
    <t>REGLETA 50 CM. 2 LUCES BLANCA (RG6520-01) S.J.</t>
  </si>
  <si>
    <t>REGLETA 50 CM. 2 LUCES NEGRA (RG6520-02) S.J.</t>
  </si>
  <si>
    <t>REGLETA 60 CM. 3 LUCES BLANCO (RG6630-01) S.J.</t>
  </si>
  <si>
    <t>REGLETA 70 CM. 3 LUCES NEGRO (RG6730-02) S.J.</t>
  </si>
  <si>
    <t>REGLETA 70 CM. 3 LUCES PLATA (RG6730-28) S.J.</t>
  </si>
  <si>
    <t>REGLETA 80 CM. 4 LUCES NEGRA (RG6840-02) S.J.</t>
  </si>
  <si>
    <t>REGLETA 80 CM. 4 LUCES PLATA (RG6840-28) S.J.</t>
  </si>
  <si>
    <t>RELE TERMICO RT2J P/CL05 A CL10 64 a 82A (113724) G.E.</t>
  </si>
  <si>
    <t>SPOT ANTIDES. COSME 81MM DIA. 41MM PROF. BLANCO CANDIL</t>
  </si>
  <si>
    <t>SPOT ANTIDES. ORSON  92MM DIA.  43MM PROF. NEGRO CANDIL</t>
  </si>
  <si>
    <t>SPOT ANTIDES. ROQUE  90mm X 90mm- 45MM PROF. BLANCO CANDIL</t>
  </si>
  <si>
    <t>SPOT ANTIDES. ROQUE  90mm X 90mm- 45MM PROF. NEGRO CANDIL</t>
  </si>
  <si>
    <t>SPOT ANTIDES. ROQUE  90mm X 90mm- 45MM PROF. NIQUEL MATE CANDIL</t>
  </si>
  <si>
    <t>SPOT ANTIDES. WALID  99MM DIA.  45MM PROF. NEGRO CANDIL</t>
  </si>
  <si>
    <t>SPOT CUADRADO EMBUTIR AR111 BLANCO C/MOV (G6171-01) S.J.</t>
  </si>
  <si>
    <t>SPOT CUADRADO EMBUTIR AR111 NEGRO C/MOV (G6171-02) S.J.</t>
  </si>
  <si>
    <t>SPOT EXTERIOR GU-10 NEGRO E2001/NG CANDIL</t>
  </si>
  <si>
    <t>SPOT EXTERIOR PVC C/BASE P/PAR 38 (38/B) CANDIL</t>
  </si>
  <si>
    <t>SPOT EXTERIOR PVC C/PINCHE P/PAR38(38/J) CANDIL</t>
  </si>
  <si>
    <t>SPOT PAR 38 C/BASE DE FUNDICION(C2010/NG) CANDIL</t>
  </si>
  <si>
    <t>SPOT PAR 38 C/LANZA.(C2010J/NG) CANDIL</t>
  </si>
  <si>
    <t>SPOT REDONDO 3 LUCES C/TULIPA SATIN. BLANCO (SR-310BLA)</t>
  </si>
  <si>
    <t>SPOT TECHO 14CM. E-27 BLANCO (ST-111BLA)</t>
  </si>
  <si>
    <t>TAPA BASTIDOR CRISTAL 5 X 10 BLANCA C/BRILLO (698/2-2)  JELUZ</t>
  </si>
  <si>
    <t>TAPA BASTIDOR CRISTAL 5 X 10 BLANCA CLASICO (698/2) JELUZ</t>
  </si>
  <si>
    <t>TAPA RECTANGULAR P/BAST. 10 X 5 ANTRACITA JELUZ</t>
  </si>
  <si>
    <t>TAPA RECTANGULAR P/BAST. 10 X 5 AZABACHE JELUZ</t>
  </si>
  <si>
    <t>TAPA RECTANGULAR P/BAST. 10 X 5 BLANCA JELUZ</t>
  </si>
  <si>
    <t>TAPA RECTANGULAR P/BAST. 10 X 5 MARFIL JELUZ</t>
  </si>
  <si>
    <t>TAPA RECTANGULAR P/BAST. 10 X 5 METAL JELUZ</t>
  </si>
  <si>
    <t>TAPA RECTANGULAR P/BAST. 10 X 5 PLATA JELUZ</t>
  </si>
  <si>
    <t>TAPA RECTANGULAR P/BAST. 10 X 5 QUARZO JELUZ</t>
  </si>
  <si>
    <t>TUBO COMPACTO 11W G23(LUZ FRIA)) G.E.</t>
  </si>
  <si>
    <t>TUBO COMPACTO 18W (LUZ FRIA) G.E.</t>
  </si>
  <si>
    <t>TUBO COMPACTO 26W/830 (LUZ CALIDA) 2 PINES G.E.</t>
  </si>
  <si>
    <t>TUBO DE LED 25W 1500 MM LUZ FRIA**</t>
  </si>
  <si>
    <t>TUBO DE LED 9W LUZ CALIDA**</t>
  </si>
  <si>
    <t>TUBO DE LED 9W LUZ NEUTRA**</t>
  </si>
  <si>
    <t>TUBO DE LED VIDRIO 18W LUZ CALIDA**</t>
  </si>
  <si>
    <t>TUBO DE LED VIDRIO 18W LUZ NEUTRA**</t>
  </si>
  <si>
    <t>TUBO DE LED VIDRIO CONEXION A 2 PUNTAS 9W LUZ FRIA**</t>
  </si>
  <si>
    <t>TUBO LED 12W 90CM LUZ FRIA AKAI**</t>
  </si>
  <si>
    <t>26955</t>
  </si>
  <si>
    <t>CAJA P/TM PVC 4 BOCAS P/PILASTRA IP65 GENROD (045001G)</t>
  </si>
  <si>
    <t>26952</t>
  </si>
  <si>
    <t>FICHA HEMBRA FRONTAL NEGRA C/NEUTRO RICHI</t>
  </si>
  <si>
    <t>26954</t>
  </si>
  <si>
    <t>26953</t>
  </si>
  <si>
    <t>APLIQUE DUBLIN 2 LUCES GU10 BLANCO (S-218B/T)</t>
  </si>
  <si>
    <t>APLIQUE DUBLIN 2 LUCES GU10 BLANCO (SL-218B/T)</t>
  </si>
  <si>
    <t>BOLSA KIT TARUGO STD Nº6 Y TORNILLO PARKER X40 TACSA</t>
  </si>
  <si>
    <t>BOLSA KIT TARUGO STD Nº8 Y TORNILLO PARKER X25 TACSA</t>
  </si>
  <si>
    <t>26956</t>
  </si>
  <si>
    <t>26962</t>
  </si>
  <si>
    <t>CABLE COBRE DESNUDO 1 X 25 MM (PRECIO X MTS)</t>
  </si>
  <si>
    <t>CABLE COBRE DESNUDO 1 X 35 MM (PRECIO X MTS)</t>
  </si>
  <si>
    <t>CABLE COBRE DESNUDO 1 X 50MM (PRECIO X MTS)</t>
  </si>
  <si>
    <t>CABLE COBRE DESNUDO 1 X 70 MM (PRECIO X MTS)</t>
  </si>
  <si>
    <t>26958</t>
  </si>
  <si>
    <t>CAJA RECTANGULAR SOBREPONER MONOBLOCK BLANCA</t>
  </si>
  <si>
    <t>26957</t>
  </si>
  <si>
    <t>CAJA RECTANGULAR SOBREPONER MONOBLOCK GRIS</t>
  </si>
  <si>
    <t>CAPSULADA 2 PUNTOS MIG</t>
  </si>
  <si>
    <t>CINTA AISLADORA 3M 175 X 9 MTS.</t>
  </si>
  <si>
    <t>CINTA AISLADORA S/ ADHESIVO X 20 MTS.</t>
  </si>
  <si>
    <t>CINTA AUTOSOLDABLE X 4.57 MTS.</t>
  </si>
  <si>
    <t>CINTA AUTOSOLDABLE X 9,14 MTS.</t>
  </si>
  <si>
    <t>CONECTOR CORTO P/CAJA MULTIPLE ALUMINIO 1 1/2"</t>
  </si>
  <si>
    <t>CONECTOR CORTO P/CAJA MULTIPLE ALUMINIO 1"</t>
  </si>
  <si>
    <t>CONECTOR CORTO P/CAJA MULTIPLE ALUMINIO 3/4"</t>
  </si>
  <si>
    <t>CONECTOR CORTO P/CAJA MULTIPLE ALUMINIO 7/8"</t>
  </si>
  <si>
    <t>CONECTOR LARGO 1 1/2" ALUMINIO</t>
  </si>
  <si>
    <t>CONECTOR LARGO 1" ALUMINIO</t>
  </si>
  <si>
    <t>CONECTOR LARGO 3/4" ALUMINIO</t>
  </si>
  <si>
    <t>CONECTOR LARGO 7/8" ALUMINIO</t>
  </si>
  <si>
    <t>CONJUNTO TECLON COMB. ZEN LADY (KL41626T)</t>
  </si>
  <si>
    <t>CONJUNTO TECLON COMB. ZEN STREET (KL41629T)</t>
  </si>
  <si>
    <t>CONTACTOR MODULAR 2P-25A 2NA 230V BAW</t>
  </si>
  <si>
    <t>CONTACTOR TRIP. 12A 110V 1NA 5,5KW BAW</t>
  </si>
  <si>
    <t>CONTACTOR TRIP. 12A 24V 1NA 5,5KW BAW</t>
  </si>
  <si>
    <t>CONTACTOR TRIP. 12A 380V 1NA 5,5KW BAW</t>
  </si>
  <si>
    <t>CONTACTOR TRIP. 18A 220V 1NA 7,5KW BAW</t>
  </si>
  <si>
    <t>CONTACTOR TRIP. 18A 24V 1NA 7,5KW BAW</t>
  </si>
  <si>
    <t>CONTACTOR TRIP. 18A 380V 1NA 7,5kW BAW</t>
  </si>
  <si>
    <t>CONTACTOR TRIP. 25A 220V 1NA 11KW BAW</t>
  </si>
  <si>
    <t>CONTACTOR TRIP. 25A 380V 1NA 11KW BAW</t>
  </si>
  <si>
    <t>CONTACTOR TRIP. 32A 220V 1NA 15KW BAW</t>
  </si>
  <si>
    <t>CONTACTOR TRIP. 32A 380V 1NA 15KW BAW</t>
  </si>
  <si>
    <t>CONTACTOR TRIP. 40A 380V 1NA+1NC 18.5KV BAW</t>
  </si>
  <si>
    <t>CONTACTOR TRIP. 50A 220V 1NA+1NC 22KV BAW</t>
  </si>
  <si>
    <t>CONTACTOR TRIP. 80A 220V 1NA+1NC 37KW BAW</t>
  </si>
  <si>
    <t>CONTACTOR TRIP. 85A 220V 1NA+1NC CHINT</t>
  </si>
  <si>
    <t>CONTACTOR TRIP. 95A 220V 1NA+1NC 45KW BAW</t>
  </si>
  <si>
    <t>DETECTOR DE TENSION ACUSTICO LUMINOSO BAW</t>
  </si>
  <si>
    <t>GABINETE PVC EXT. 12 TM (CUADRO DISTRIB.) KALOP</t>
  </si>
  <si>
    <t>GABINETE PVC EXT. 6 TM (CUADRO DISTRIB.) KALOP</t>
  </si>
  <si>
    <t>GUARDAMOTOR  9-14A 14A 5.5KW 15kA BAW</t>
  </si>
  <si>
    <t>LAMPARA CLASICA LED 10W LUZ CALIDA DIMERIZABLE SICA</t>
  </si>
  <si>
    <t>TERMICA CURVA "B" 3 X 20 A. 6kA  G.E.</t>
  </si>
  <si>
    <t>APLIQUE BOXER LED 3000K BLANCO CANDIL</t>
  </si>
  <si>
    <t>APLIQUE DE CAÑO "ROCIO" 1 LUZ BLANCO S/TUL (AP-135BLA)</t>
  </si>
  <si>
    <t>APLIQUE DIFUSOR "BARI" 26CM. BASE BLANCO (AP-175BLA)</t>
  </si>
  <si>
    <t>APLIQUE DIFUSOR "BARI" 26X140CM BASE BLANCO (AP-176BLA)</t>
  </si>
  <si>
    <t>APLIQUE DIFUSOR OPORTO X2 E27 NEGRO (AP-221 NT)</t>
  </si>
  <si>
    <t>APLIQUE EMBUTIR DE PISO CUADRADO ACERO GU10 CANDIL</t>
  </si>
  <si>
    <t>APLIQUE EXTERIOR LED CHAIM 1 4.7W LUZ CALIDA CANDIL</t>
  </si>
  <si>
    <t>APLIQUE EXTERIOR LED CHAIM 2 8.2W LUZ CALIDA CANDIL</t>
  </si>
  <si>
    <t>APLIQUE EXTERIOR LED PLANA LUZ CALIDA CANDIL</t>
  </si>
  <si>
    <t>BOTELLA HIDRATANTE SPORT 750ML INOX VERDE BROGAS</t>
  </si>
  <si>
    <t>CAJA IP40 1 MODULO SIGMA GRIS KALOP</t>
  </si>
  <si>
    <t>CAJA IP40 2 MODULO SIGMA GRIS KALOP</t>
  </si>
  <si>
    <t>CAJA IP40 4 MODULOS SIGMA GRIS KALOP</t>
  </si>
  <si>
    <t>CAJA P/TM PVC 2 BOCAS EXT C/P L. Recta PR421 ROKER</t>
  </si>
  <si>
    <t>CAJA P/TM PVC 28 BOCAS EXT C/P L. Recta PR628 ROKER</t>
  </si>
  <si>
    <t>CAJA P/TM PVC 36 BOCAS EXT C/P L. Premium ZM536 ROKER</t>
  </si>
  <si>
    <t>CAJA P/TM PVC 4 BOCAS EXT C/P L. Recta PR409 ROKER</t>
  </si>
  <si>
    <t>CAJA P/TM PVC 48 BOCAS EXT C/P L. Premium ZM548 ROKER</t>
  </si>
  <si>
    <t>CAJA P/TM PVC 6 BOCAS EXT C/P L. Recta PR422 ROKER</t>
  </si>
  <si>
    <t>CAJA P/TM PVC 6 BOCAS EXT S/P L. Recta PR420 ROKER</t>
  </si>
  <si>
    <t>CAJA P/TM PVC 72 BOCAS EXT C/P L. Premium ZM572 ROKER</t>
  </si>
  <si>
    <t>CAJA P/TM PVC 96 BOCAS EXT C/P L. Premium ZM596 ROKER</t>
  </si>
  <si>
    <t>COLGANTE DESNIVEL 2 LUCES C/CABLE Y CONO BLANCO (CD-211BL)</t>
  </si>
  <si>
    <t>COLGANTE MARSALA BLANCO(C-100/20/BT)</t>
  </si>
  <si>
    <t>COLGANTE MARSALA NEGRO (C-100/20/NT)</t>
  </si>
  <si>
    <t>CONTACTOR TRIP. 65A 220V 1NA+1NC 30KW BAW</t>
  </si>
  <si>
    <t>DICROICA LED 7W RGB SMART BAW**</t>
  </si>
  <si>
    <t>FICHA HEMBRA C/NEUTRO BI - USO  FRONTAL MIG</t>
  </si>
  <si>
    <t>FICHA INDUSTRIAL 2 X 16 A. C/NEUTRO MIG</t>
  </si>
  <si>
    <t>FICHA INDUSTRIAL 2 X 16 A. MIG</t>
  </si>
  <si>
    <t>FICHA INDUSTRIAL 2 X 32 A. C/NEUTRO MIG</t>
  </si>
  <si>
    <t>FICHA INDUSTRIAL 2 X 32 A. MIG</t>
  </si>
  <si>
    <t>FICHA INDUSTRIAL 3 X 16 A. C/ NEUTRO MIG</t>
  </si>
  <si>
    <t>FICHA INDUSTRIAL 3 X 16 A. MIG</t>
  </si>
  <si>
    <t>FICHA INDUSTRIAL 3 X 32 A. C/NEUTRO MIG</t>
  </si>
  <si>
    <t>FICHA INDUSTRIAL 3 X 32 A. MIG</t>
  </si>
  <si>
    <t>FICHA MACHO 20A MIG</t>
  </si>
  <si>
    <t>FICHA MACHO ALTO CONSUMO PERNO CHATO MIG</t>
  </si>
  <si>
    <t>FICHA MACHO ALTO CONSUMO PERNO REDONDO MIG</t>
  </si>
  <si>
    <t>GABINETE BEIGE P/18 MOD. EXT C/PUERTA BOX</t>
  </si>
  <si>
    <t>GABINETE BEIGE P/54 MOD. EXT. C/TAPA BOX</t>
  </si>
  <si>
    <t>INTERRUPTOR SECCIONADOR MANUAL DIN 4P 100A BAW</t>
  </si>
  <si>
    <t>LAMPARA CLASICA LED LUZ FRIA 10W C/FOTOCELULA</t>
  </si>
  <si>
    <t>LAMPARA CLASICA LED LUZ FRIA 13W C/ SENSOR MOV. BAW</t>
  </si>
  <si>
    <t>LAMPARA ESCRITORIO BONNIE ROSA 7.5W DIM. LUZ CALIDA CANDIL</t>
  </si>
  <si>
    <t>LAMPARA ESCRITORIO BOOK CHICA LED 5W 3000K CANDIL</t>
  </si>
  <si>
    <t>LISTON C/LOUVER 2X18W ECO</t>
  </si>
  <si>
    <t>MARCO 3 MODULOS JONICA BLANCO KALOP</t>
  </si>
  <si>
    <t>PANTALLA 1500 GAS ENVASADO ECO</t>
  </si>
  <si>
    <t>PILOTO - OJO DE BUEY - AMBAR 230/110V BAW</t>
  </si>
  <si>
    <t>PILOTO - OJO DE BUEY - BLANCO 230/110V BAW</t>
  </si>
  <si>
    <t>PILOTO - OJO DE BUEY - VERDE 230/110V BAW</t>
  </si>
  <si>
    <t>PLAFON LED 18W CUADRADO LUZ FRIA NEGRO LGP</t>
  </si>
  <si>
    <t>PORTA BASTIDOR EXT. P/BANDEJA 100X50 ROKER</t>
  </si>
  <si>
    <t>PORTA BASTIDOR EXTRACHATO P/BANDEJA 100X50 ROKER</t>
  </si>
  <si>
    <t>PROLONGADOR MUL. 5 TOMAS C/CABLE X 2 M. TECLASTAR</t>
  </si>
  <si>
    <t>PROLONGADOR MULT. 4 TOMAS C/TERM. C/CABLE X 1,5 M KALOP</t>
  </si>
  <si>
    <t>PROLONGADOR MULT. 4 TOMAS C/TERM. C/CABLE X 2,5 M KALOP</t>
  </si>
  <si>
    <t>PROLONGADOR MULT. 4T. "IRAM" C/TERM. C/CABLE X 5 M KALOP</t>
  </si>
  <si>
    <t>PROLONGADOR MULT. 6T. "IRAM" C/TERM. C/CABLE X 1,5 M KALOP</t>
  </si>
  <si>
    <t>PROLONGADOR Mundial MULT. 6T. "IRAM" C/TERM. C/CABLE X 1,5 M KALOP</t>
  </si>
  <si>
    <t>PROLONGADOR ULT. 5 TOMAS + USB  CABLE 1.5Mt. C/TERM KALOP</t>
  </si>
  <si>
    <t>PROLONGADOR ULT. 6 TOMAS C/TERM. C/CABLE X 1,5 M KALOP</t>
  </si>
  <si>
    <t>PULSADOR ARO METAL NEGRO BAW</t>
  </si>
  <si>
    <t>PULSADOR ARO METAL ROJO BAW</t>
  </si>
  <si>
    <t>PULSADOR ARO METAL VERDE BAW</t>
  </si>
  <si>
    <t>PULSADOR EMERGENCIA CABEZ. ROJO 40 MM CHINT</t>
  </si>
  <si>
    <t>PULSADOR EMERGENCIA D22  ROJO D40 3 POSIC. (184091)</t>
  </si>
  <si>
    <t>PULSADOR EMERGENCIA D22 ROJO D40 GIRA (184071)</t>
  </si>
  <si>
    <t>RECEPTACULO RECTO MIGÑON NEGRO</t>
  </si>
  <si>
    <t>RECEPTACULO RECTO NEGRO</t>
  </si>
  <si>
    <t>REGULADOR DE GAS P/10 KG C/MANG. X 1 Mts.</t>
  </si>
  <si>
    <t>RELE TERMICO 12-18A (A18-A32) BAW</t>
  </si>
  <si>
    <t>RELE TERMICO 17-25A (A25-A32) BAW</t>
  </si>
  <si>
    <t>RELE TERMICO 2,5-4A (A12-A32) BAW</t>
  </si>
  <si>
    <t>RELE TERMICO 30-40A (A40-A95) BAW</t>
  </si>
  <si>
    <t>RELE TERMICO 37-50A (A40-A95) BAW</t>
  </si>
  <si>
    <t>RELE TERMICO 4-6A (A12-A32) BAW</t>
  </si>
  <si>
    <t>RELE TERMICO 5,5-8A (A12-A32) BAW</t>
  </si>
  <si>
    <t>RELE TERMICO 7-10A (A12-A32) BAW</t>
  </si>
  <si>
    <t>RELE TERMICO 9-13A (A12-A32) BAW</t>
  </si>
  <si>
    <t>SOPORTE 1 PUNTO MIG</t>
  </si>
  <si>
    <t>SOPORTE 2 PUNTOS MIG</t>
  </si>
  <si>
    <t>SOPORTE PUNTO Y TOMA CON NEUTRO MIG</t>
  </si>
  <si>
    <t>SOPORTE TOMA CON NEUTRO 10A MIG</t>
  </si>
  <si>
    <t>SOPORTE TOMA CON NEUTRO 20A. MIG</t>
  </si>
  <si>
    <t>SPOT OVAL. 2 LUCES C/TULIPA SATIN. BLANCO (SO-210BLA)</t>
  </si>
  <si>
    <t>SPOT REDONDO EMBUTIR BLANCO 122MM. GU10 S.L</t>
  </si>
  <si>
    <t>SPOT REDONDO EMBUTIR C/MOV. BLANCO SAN.</t>
  </si>
  <si>
    <t>SPOT REDONDO EMBUTIR PVC BLANCO FERRO. (SE-115BLA)</t>
  </si>
  <si>
    <t>TAPA CIEGA ALUMINIO C/JUNTA 70 X 110</t>
  </si>
  <si>
    <t>TORTUGA LED OVAL 60W NEGRO CABRERA LH 411</t>
  </si>
  <si>
    <t>TORTUGA OVAL. 60W  BLANCO CABRERA LH 411</t>
  </si>
  <si>
    <t>TRIFICHA PIRAMIDAL PERNO CHATO</t>
  </si>
  <si>
    <t>TRIFICHA PIRAMIDAL PERNO REDONDO</t>
  </si>
  <si>
    <t>26963</t>
  </si>
  <si>
    <t>EXTERIOR 1 TOMA 20A EXTRA CHATA JELUZ</t>
  </si>
  <si>
    <t>COLGANTE PVC AZUL 24 CM TXC</t>
  </si>
  <si>
    <t>COLGANTE PVC BLANCO 24 CM TXC</t>
  </si>
  <si>
    <t>COLGANTE PVC NEGRO 24 CM TXC</t>
  </si>
  <si>
    <t>COLGANTE PVC ROJO 24 CM TXC</t>
  </si>
  <si>
    <t>COLGANTE PVC VERDE 24 CM TXC</t>
  </si>
  <si>
    <t>26964</t>
  </si>
  <si>
    <t>CONECTOR CORTO P/CAJA MULTIPLE ALUMINIO 1 1/4"</t>
  </si>
  <si>
    <t>CONTACTOR TRIP. 7.5KW 18A 1NA 220V G.E. CL02 (109322)</t>
  </si>
  <si>
    <t>26965</t>
  </si>
  <si>
    <t>PANEL LED 50W 30 X 120 MM LUZ NEUTRA MACROLED</t>
  </si>
  <si>
    <t>PROYECTOR LED RGB 50W MACROLED</t>
  </si>
  <si>
    <t>26971</t>
  </si>
  <si>
    <t>26979</t>
  </si>
  <si>
    <t>DISYUNTOR 2 X 25 A. 30mA CHINT</t>
  </si>
  <si>
    <t>26980</t>
  </si>
  <si>
    <t>DISYUNTOR 2 X 40 A. 30mA CHINT</t>
  </si>
  <si>
    <t>KIT P/COLGAR PANEL LED 60X60 / 30X120</t>
  </si>
  <si>
    <t>26967</t>
  </si>
  <si>
    <t>KIT P/EMBUTIR PANEL LED 60X60 / 30X120</t>
  </si>
  <si>
    <t>26968</t>
  </si>
  <si>
    <t>KIT P/FIJACION TECHO PANEL LED 60X60 / 30X120</t>
  </si>
  <si>
    <t>26970</t>
  </si>
  <si>
    <t>LAMPARA H POWER 50W LUZ CALIDA NOV.**</t>
  </si>
  <si>
    <t>26972</t>
  </si>
  <si>
    <t>PANEL LED 40W 60 X 60 LUZ CALIDA MACROLED</t>
  </si>
  <si>
    <t>26966</t>
  </si>
  <si>
    <t>PANEL LED 40W 60 X 60 LUZ FRIA MACROLED</t>
  </si>
  <si>
    <t>26981</t>
  </si>
  <si>
    <t>PROYECTOR LED 100W LUZ CALIDA MACROLED</t>
  </si>
  <si>
    <t>26969</t>
  </si>
  <si>
    <t>TAPA 5 X 10 NEGRO PLATINUM JELUZ</t>
  </si>
  <si>
    <t>26973</t>
  </si>
  <si>
    <t>TERMICA 2 X 06 A. 6kA CHINT</t>
  </si>
  <si>
    <t>26974</t>
  </si>
  <si>
    <t>TERMICA 2 X 10 A. 6kA CHINT</t>
  </si>
  <si>
    <t>26975</t>
  </si>
  <si>
    <t>TERMICA 2 X 16 A. 6kA CHINT</t>
  </si>
  <si>
    <t>26976</t>
  </si>
  <si>
    <t>TERMICA 2 X 20 A. 6kA CHINT</t>
  </si>
  <si>
    <t>26977</t>
  </si>
  <si>
    <t>TERMICA 2 X 25 A. 6kA CHINT</t>
  </si>
  <si>
    <t>26978</t>
  </si>
  <si>
    <t>TERMICA 2 X 32 A. 6kA CHINT</t>
  </si>
  <si>
    <t>26996</t>
  </si>
  <si>
    <t>26997</t>
  </si>
  <si>
    <t>LUMINARIA VIA PUBLICA 150W GARDEN ECO BAEL</t>
  </si>
  <si>
    <t>LUMINARIA VIA PUBLICA 200W GARDEN ECO BAEL</t>
  </si>
  <si>
    <t>26992</t>
  </si>
  <si>
    <t>26984</t>
  </si>
  <si>
    <t>26985</t>
  </si>
  <si>
    <t>26993</t>
  </si>
  <si>
    <t>PROYECTOR LED C/SENSOR 20W LUZ FRIA BAEL</t>
  </si>
  <si>
    <t>26994</t>
  </si>
  <si>
    <t>26995</t>
  </si>
  <si>
    <t>26982</t>
  </si>
  <si>
    <t>TAPA 5 X 5 MIGÑON NEGRO PLATINUM JELUZ</t>
  </si>
  <si>
    <t>27002</t>
  </si>
  <si>
    <t>FICHA HEMBRA FRONTAL MARFIL C/NEUTRO RICHI</t>
  </si>
  <si>
    <t>26999</t>
  </si>
  <si>
    <t>26998</t>
  </si>
  <si>
    <t>SECCIONADOR DIN 80A 2 POLOS CHINT</t>
  </si>
  <si>
    <t>27001</t>
  </si>
  <si>
    <t>TOMA HEMBRA MOVIL 32A 3P + N + T IP44 380V BALS-KALOP (KL7453243)</t>
  </si>
  <si>
    <t>APLIQUE EXTERIOR CUADRADO NEGRO V/SAT. P/G9 SPOTS LINE</t>
  </si>
  <si>
    <t>APLIQUE EXTERIOR LED PLACA 4.8W LUZ CALIDA CANDIL</t>
  </si>
  <si>
    <t>27004</t>
  </si>
  <si>
    <t>BUSCAPOLO CHICO</t>
  </si>
  <si>
    <t>27003</t>
  </si>
  <si>
    <t>CAÑO 20 MM. HD (PRECIO X MTS) SISTELECTRIC</t>
  </si>
  <si>
    <t>27006</t>
  </si>
  <si>
    <t>APLIQUE BIDIRECCIONAL CUBO CON 2 RAN. ACRILICO G9- RUSTICA</t>
  </si>
  <si>
    <t>APLIQUE EXTERIOR CUADRADO P/AR111 NEGRO TEXT. (PL0221) LUC.</t>
  </si>
  <si>
    <t>APLIQUE MEDIACAÑA 60W BLANCO CABRERA LH 412</t>
  </si>
  <si>
    <t>APLIQUE MEDIACAÑA 60W NEGRO CABRERA LH 412</t>
  </si>
  <si>
    <t>27015</t>
  </si>
  <si>
    <t>APLIQUE PARED RECTO 3 VIDRIOS GU10 NEGRO MICR - RUSTICA</t>
  </si>
  <si>
    <t>27005</t>
  </si>
  <si>
    <t>CAJA P/TM 1 BIPOLAR FRENTE AL RAS SOLDADO (3006219</t>
  </si>
  <si>
    <t>CAÑO 16 MM. SEMIPESADO (PRECIO X MTS) KALOP</t>
  </si>
  <si>
    <t>CAÑO 20 MM. SEMIPESADO (PRECIO X MTS) KALOP</t>
  </si>
  <si>
    <t>CAÑO 20 MM. ULTRA PESADO (PRECIO X MTS) KALOP</t>
  </si>
  <si>
    <t>CAÑO 22 MM. ULTRA PESADO (PRECIO X MTS) KALOP</t>
  </si>
  <si>
    <t>CAÑO 25 MM. SEMIPESADO (PRECIO X MTS) KALOP</t>
  </si>
  <si>
    <t>CAÑO 25 MM. ULTRA PESADO (PRECIO X MTS) KALOP</t>
  </si>
  <si>
    <t>CINTA ANTIDESLIZANTE 25 MM X 5 MTS. TACSA</t>
  </si>
  <si>
    <t>CINTA MULTIPROPOSITO 54 MTS. X 48 MM X 0,26 MM</t>
  </si>
  <si>
    <t>CINTA MULTIPROPOSITO 9 MTS. X 48 MM X 0,26 MM</t>
  </si>
  <si>
    <t>CINTA MULTIPROPOSITO BLANCA 27 MTS. X 48 MM X 0,26 MM</t>
  </si>
  <si>
    <t>CINTA MULTIPROPOSITO GRIS 27 MTS. X 48 MM X 0,26 MM</t>
  </si>
  <si>
    <t>CINTA MULTIPROPOSITO NEGRA 27 MTS. X 48 MM X 0,26 MM</t>
  </si>
  <si>
    <t>CINTA PASACABLE HELICOIDAL HWORK 10 MTS KALOP</t>
  </si>
  <si>
    <t>CINTA PASACABLE HELICOIDAL HWORK 20 MTS KALOP</t>
  </si>
  <si>
    <t>27010</t>
  </si>
  <si>
    <t>COLGANTE PVC AMARILLO - RUSTICA</t>
  </si>
  <si>
    <t>27013</t>
  </si>
  <si>
    <t>COLGANTE PVC AZUL - RUSTICA</t>
  </si>
  <si>
    <t>27007</t>
  </si>
  <si>
    <t>COLGANTE PVC BLANCO -  RUSTICA</t>
  </si>
  <si>
    <t>27008</t>
  </si>
  <si>
    <t>COLGANTE PVC NEGRO - RUSTICA</t>
  </si>
  <si>
    <t>COLGANTE REGLETA BLANCO CON TULIPA (C-345B/T)</t>
  </si>
  <si>
    <t>CONECTOR 16 MM. KALOP</t>
  </si>
  <si>
    <t>CONECTOR 20 MM. KALOP</t>
  </si>
  <si>
    <t>CONECTOR 22 MM. KALOP</t>
  </si>
  <si>
    <t>CONECTOR 25 MM. KALOP</t>
  </si>
  <si>
    <t>CONECTOR 32 MM. KALOP</t>
  </si>
  <si>
    <t>CONECTOR 40 MM. KALOP</t>
  </si>
  <si>
    <t>CONECTOR 50 MM. KALOP</t>
  </si>
  <si>
    <t>27014</t>
  </si>
  <si>
    <t>SPOT  PVC KANSAS P/AR 111 GU10 NEGRO - RUSTICA</t>
  </si>
  <si>
    <t>CURVA 16 MM. KALOP</t>
  </si>
  <si>
    <t>CURVA 20 MM. KALOP</t>
  </si>
  <si>
    <t>CURVA 22 MM. KALOP</t>
  </si>
  <si>
    <t>CURVA 25 MM KALOP</t>
  </si>
  <si>
    <t>CURVA 32 MM. KALOP</t>
  </si>
  <si>
    <t>CURVA 40 MM. KALOP</t>
  </si>
  <si>
    <t>LAMPARA H POWER 50W  LUZ CALIDA JELUZ**</t>
  </si>
  <si>
    <t>LUMINARIA EXTERIOR DE PISO PATOMA LEUK</t>
  </si>
  <si>
    <t>27016</t>
  </si>
  <si>
    <t>27017</t>
  </si>
  <si>
    <t>SPOT EXTERIOR ESTACA SYMME II LEUK</t>
  </si>
  <si>
    <t>APLIQUE BIDIRECCIONAL CALI II/RUSTICA</t>
  </si>
  <si>
    <t>APLIQUE BIDIRECCIONAL QUITO II/ RUSTICA</t>
  </si>
  <si>
    <t>APLIQUE BIDIRECCIONAL SANTIAGO II/ RUSTICA</t>
  </si>
  <si>
    <t>APLIQUE UNIDIRECCIONAL QUITO I/ RUSTICA</t>
  </si>
  <si>
    <t>FICHA HEMBRA FRONTAL NARANJA C/NEUTRO RICHI</t>
  </si>
  <si>
    <t>FICHA HEMBRA SALIDA LATERAL BLANCA KALOP</t>
  </si>
  <si>
    <t>FICHA HEMBRA SALIDA LATERAL NEGRA KALOP</t>
  </si>
  <si>
    <t>FICHA MACHO SALIDA LATERAL BLANCA KALOP</t>
  </si>
  <si>
    <t>FICHA MACHO SALIDA LATERAL NEGRO KALOP</t>
  </si>
  <si>
    <t>FICHA MACHO TRES PERNOS CHATOS FRONTAL NARANJA RICHI</t>
  </si>
  <si>
    <t>PROLONGADOR MULT. 4 TOMAS C/TERM. C/CABLE X 5 M KALOP</t>
  </si>
  <si>
    <t>66</t>
  </si>
  <si>
    <t>27028</t>
  </si>
  <si>
    <t>4336</t>
  </si>
  <si>
    <t>4249</t>
  </si>
  <si>
    <t>LAMPARA VELA 5W LUZ FRIA JELUZ**</t>
  </si>
  <si>
    <t>4326</t>
  </si>
  <si>
    <t>LAMPARA VELA LED 5W LUZ CALIDA JELUZ**</t>
  </si>
  <si>
    <t>LAMPARA VELA LED 7W E27 LUZ CALIDA JELUZ**</t>
  </si>
  <si>
    <t>PROLONGADOR MULT. 4 TOMAS C/ TERM  S/ CABLE Negro KALOP</t>
  </si>
  <si>
    <t>CAJA PVC EXTERIOR RECTANGULAR P/CABLE CANAL BLANCA GEN-ROD (02215PB)</t>
  </si>
  <si>
    <t>COLGANTE UFO LED 200W LUZ FRIA STAR ECO BAEL</t>
  </si>
  <si>
    <t>27030</t>
  </si>
  <si>
    <t>27029</t>
  </si>
  <si>
    <t>MODULO COMBINADO BIPOLAR NEGRO KALOP**</t>
  </si>
  <si>
    <t>27034</t>
  </si>
  <si>
    <t>27032</t>
  </si>
  <si>
    <t>TERMINAL PRE AISLADO B24</t>
  </si>
  <si>
    <t>27033</t>
  </si>
  <si>
    <t>TERMINAL PRE AISLADO B26</t>
  </si>
  <si>
    <t>27031</t>
  </si>
  <si>
    <t>TUBO LED DE 18W CONEXION A 2 PUNTAS LUZ FRIA**</t>
  </si>
  <si>
    <t>TUBO LED DE 18W LUZ FRIA MACROLED**</t>
  </si>
  <si>
    <t>27035</t>
  </si>
  <si>
    <t>27072</t>
  </si>
  <si>
    <t>DISYUNTOR 4 X 25 A. CHINT</t>
  </si>
  <si>
    <t>27073</t>
  </si>
  <si>
    <t>DISYUNTOR 4 X 40 A. CHINT</t>
  </si>
  <si>
    <t>27074</t>
  </si>
  <si>
    <t>DISYUNTOR 4 X 63 A. CHINT</t>
  </si>
  <si>
    <t>FUENTE METALICA 12V 2A 25W MACROLED</t>
  </si>
  <si>
    <t>27047</t>
  </si>
  <si>
    <t>FUENTE METALICA 12V 8A 100W MACROLED</t>
  </si>
  <si>
    <t>GUARDAMOTOR  9-14A 5,5kW 15kA CHINT</t>
  </si>
  <si>
    <t>27036</t>
  </si>
  <si>
    <t>GUARDAMOTOR 13-18A 7,5kW 15kA CHINT</t>
  </si>
  <si>
    <t>27037</t>
  </si>
  <si>
    <t>GUARDAMOTOR 17-23A 7,5kW 15kA CHINT</t>
  </si>
  <si>
    <t>27040</t>
  </si>
  <si>
    <t>GUARDAMOTOR 20-25A 7,5kW 15kA CHINT</t>
  </si>
  <si>
    <t>27038</t>
  </si>
  <si>
    <t>27039</t>
  </si>
  <si>
    <t>27054</t>
  </si>
  <si>
    <t>27048</t>
  </si>
  <si>
    <t>TERMICA 1 X 10 A. 6kA CHINT</t>
  </si>
  <si>
    <t>27049</t>
  </si>
  <si>
    <t>TERMICA 1 X 16 A. 6kA CHINT</t>
  </si>
  <si>
    <t>27050</t>
  </si>
  <si>
    <t>TERMICA 2 X 02 A. 6kA CHINT</t>
  </si>
  <si>
    <t>27051</t>
  </si>
  <si>
    <t>TERMICA 2 X 04 A. 6kA CHINT</t>
  </si>
  <si>
    <t>27052</t>
  </si>
  <si>
    <t>TERMICA 2 X 40 A. 6kA CHINT</t>
  </si>
  <si>
    <t>27053</t>
  </si>
  <si>
    <t>TERMICA 3 X 20 A. 6kA CHINT</t>
  </si>
  <si>
    <t>27055</t>
  </si>
  <si>
    <t>27056</t>
  </si>
  <si>
    <t>27057</t>
  </si>
  <si>
    <t>TERMICA 3 X 50 A. CHINT</t>
  </si>
  <si>
    <t>27058</t>
  </si>
  <si>
    <t>27060</t>
  </si>
  <si>
    <t>27069</t>
  </si>
  <si>
    <t>27061</t>
  </si>
  <si>
    <t>TERMICA 4 X 16 A. CHINT</t>
  </si>
  <si>
    <t>27062</t>
  </si>
  <si>
    <t>TERMICA 4 X 20 A. CHINT</t>
  </si>
  <si>
    <t>27063</t>
  </si>
  <si>
    <t>27064</t>
  </si>
  <si>
    <t>27065</t>
  </si>
  <si>
    <t>TERMICA 4 X 40 A. CHINT</t>
  </si>
  <si>
    <t>27066</t>
  </si>
  <si>
    <t>TERMICA 4 X 50 A. CHINT</t>
  </si>
  <si>
    <t>27059</t>
  </si>
  <si>
    <t>27067</t>
  </si>
  <si>
    <t>TERMICA 4 X 63 A. CHINT</t>
  </si>
  <si>
    <t>27068</t>
  </si>
  <si>
    <t>27043</t>
  </si>
  <si>
    <t>27044</t>
  </si>
  <si>
    <t>27045</t>
  </si>
  <si>
    <t>27080</t>
  </si>
  <si>
    <t>27087</t>
  </si>
  <si>
    <t>27088</t>
  </si>
  <si>
    <t>27089</t>
  </si>
  <si>
    <t>27103</t>
  </si>
  <si>
    <t>27081</t>
  </si>
  <si>
    <t>CARTUCHO FUSIBLE 10x38 MM 16A gG 500V 100kA CHINT</t>
  </si>
  <si>
    <t>27086</t>
  </si>
  <si>
    <t>CASETINA VACIA HASTA  11 KW IP55 (NQ3-11P) CHINT</t>
  </si>
  <si>
    <t>27084</t>
  </si>
  <si>
    <t>CONTACTO AUX. DE MONTAJE LAT. 1NO+1NC NXC SERIES CHINT</t>
  </si>
  <si>
    <t>27085</t>
  </si>
  <si>
    <t>27083</t>
  </si>
  <si>
    <t>CONTACTO AUX. DE MONTAJE SUP. 1NO+1NC NXC-06M/09M/12 M CHINT</t>
  </si>
  <si>
    <t>27078</t>
  </si>
  <si>
    <t>CONTACTOR MODULAR 2NA-25A 220-240V CHINT</t>
  </si>
  <si>
    <t>27079</t>
  </si>
  <si>
    <t>CONTACTOR MODULAR 4NA/25A 220-240V CHINT</t>
  </si>
  <si>
    <t>27082</t>
  </si>
  <si>
    <t>27100</t>
  </si>
  <si>
    <t>27101</t>
  </si>
  <si>
    <t>27091</t>
  </si>
  <si>
    <t>27090</t>
  </si>
  <si>
    <t>27092</t>
  </si>
  <si>
    <t>27097</t>
  </si>
  <si>
    <t>RELE TERMICO 23-32A NXR-38 CHINT</t>
  </si>
  <si>
    <t>27098</t>
  </si>
  <si>
    <t>RELE TERMICO 30-40A NXR-100 CHINT</t>
  </si>
  <si>
    <t>27099</t>
  </si>
  <si>
    <t>RELE TERMICO 37-50A NXR-100 CHINT</t>
  </si>
  <si>
    <t>27093</t>
  </si>
  <si>
    <t>27094</t>
  </si>
  <si>
    <t>27095</t>
  </si>
  <si>
    <t>27096</t>
  </si>
  <si>
    <t>27102</t>
  </si>
  <si>
    <t>BORNERA TETRAPOLAR T4-16 16A. 380 V.</t>
  </si>
  <si>
    <t>BORNERA TETRAPOLAR T4-25 25A. 380 V.</t>
  </si>
  <si>
    <t>PORTALAMPARA MIGÑON 3 PIEZAS MARFIL</t>
  </si>
  <si>
    <t>REGULADOR DE GAS P/10 KG C/MANG. X 1.5 Mts.</t>
  </si>
  <si>
    <t>27104</t>
  </si>
  <si>
    <t>TRANSFORMADOR 220V. 24V. 25W C/FAJAS</t>
  </si>
  <si>
    <t>APLIQUE BRAZO FIJO MASTER C/PANT. BLANCA (099)</t>
  </si>
  <si>
    <t>BASTIDOR PIANO QUADRA 10x5  (75015) TECLASTAR</t>
  </si>
  <si>
    <t>27105</t>
  </si>
  <si>
    <t>CABLE CANAL 40 X 30 C/ADHESIVO (PRECIO X MTS) KALOP</t>
  </si>
  <si>
    <t>CAÑO 22 MM. SEMIPESADO (PRECIO X MTS) KALOP</t>
  </si>
  <si>
    <t>CAÑO 32 MM. ULTRA PESADO (PRECIO X MTS) KALOP</t>
  </si>
  <si>
    <t>CURVA 50 MM. KALOP</t>
  </si>
  <si>
    <t>EXTERIOR 2 TOMAS C/NEUTRO COMBINADO EXTRA CHATA JELUZ</t>
  </si>
  <si>
    <t>EXTERIOR TOMA C/NEUTRO 20 AMP. TAAD</t>
  </si>
  <si>
    <t>GABINETE ESTANCO 600 X 1200 X 300 Serie 900 GENROD</t>
  </si>
  <si>
    <t>GABINETE ESTANCO 600 X 750 X 300 Serie 900 GENROD</t>
  </si>
  <si>
    <t>GABINETE ESTANCO 600 X 900X 300 Serie 9000 GENROD</t>
  </si>
  <si>
    <t>GABINETE ESTANCO 900 X 1200 X 300 Serie 9000 GENROD</t>
  </si>
  <si>
    <t>GRAMPA P/TUBO PVC RIGIDO 1" 25 MM.</t>
  </si>
  <si>
    <t>GRAMPA P/TUBO PVC RIGIDO 5/8 16 MM.</t>
  </si>
  <si>
    <t>GRAMPA P/TUBO PVC RIGIDO 7/8 22 MM.</t>
  </si>
  <si>
    <t>LAMPARA G9 LED 8W LUZ CALIDA NOV.**</t>
  </si>
  <si>
    <t>LAMPARA LED GLOBO 12W LUZ FRIA</t>
  </si>
  <si>
    <t>LLAVE EMBUTIR PUNTO Y TOMA C/NEUTRO COMBINADO LIFE-SICA</t>
  </si>
  <si>
    <t>MARCO MINIMAL ARENA TECLASTAR</t>
  </si>
  <si>
    <t>MARCO MINIMAL BLANCO TECLASTAR</t>
  </si>
  <si>
    <t>MARCO MINIMAL CEMENTO TECLASTAR</t>
  </si>
  <si>
    <t>MARCO MINIMAL GRAFITO TECLASTAR</t>
  </si>
  <si>
    <t>MARCO MINIMAL GRIS TECLASTAR</t>
  </si>
  <si>
    <t>MARCO MINIMAL PLATA TECLASTAR</t>
  </si>
  <si>
    <t>MARCO MINIMAL TOSTADO TECLASTAR</t>
  </si>
  <si>
    <t>MODULO PUNTO BLANCO (6900) SXXI CAMBRE</t>
  </si>
  <si>
    <t>MODULO SENSOR INFRARROJO 1500W BLANCO JELUZ**</t>
  </si>
  <si>
    <t>MODULO TOMA 20 A. MARFIL KALOP</t>
  </si>
  <si>
    <t>MODULO TOMA C/ NEUTRO 20 AMP. LIFE</t>
  </si>
  <si>
    <t>MODULO TOMA C/ NEUTRO ARENA TECLASTAR</t>
  </si>
  <si>
    <t>MODULO TOMA C/ NEUTRO BLANCO PLATINUM JELUZ</t>
  </si>
  <si>
    <t>MODULO TOMA C/ NEUTRO BLANCO TECLASTAR</t>
  </si>
  <si>
    <t>MODULO TOMA C/ NEUTRO DOBLE  LIFE</t>
  </si>
  <si>
    <t>MODULO TOMA C/ NEUTRO GRIS TECLASTAR</t>
  </si>
  <si>
    <t>MODULO TOMA C/ NEUTRO MARFIL KALOP</t>
  </si>
  <si>
    <t>MODULO TOMA C/ NEUTRO NEGRO PLATINUM JELUZ</t>
  </si>
  <si>
    <t>MODULO TOMA C/ NEUTRO(CON SEGURO NIÑO) MARFIL KALOP</t>
  </si>
  <si>
    <t>MODULO TOMA DOBLE C/ NEUTRO ARENA TECLASTAR</t>
  </si>
  <si>
    <t>MODULO TOMA DOBLE C/ NEUTRO BLANCO TECLASTAR</t>
  </si>
  <si>
    <t>MODULO TOMA DOBLE C/ NEUTRO GRIS TECLASTAR</t>
  </si>
  <si>
    <t>MODULO TOMA TELEF. AMERICANO 4 VIAS JELUZ</t>
  </si>
  <si>
    <t>PLACA CAPSULADA TOMA C/ NEUTRO RIDRU</t>
  </si>
  <si>
    <t>PLAFON LED 12W CIRCULAR NEGRO LUZ FRIA LGP</t>
  </si>
  <si>
    <t>PLAFON LED 12W CIRCULAR NEGRO LUZ NEUTRA LGP</t>
  </si>
  <si>
    <t>PLAFON LED 18W CIRCULAR NEGRO LUZ NEUTRA LGP</t>
  </si>
  <si>
    <t>PLAFON LED 18W CUADRADO NEGRO LUZ CALIDA LGP</t>
  </si>
  <si>
    <t>PLAFON LED 18W CUADRADO NEGRO LUZ NEUTRA LGP</t>
  </si>
  <si>
    <t>PLAFON LED 6W CUADRADO NEGRO LUZ CALIDA LGP</t>
  </si>
  <si>
    <t>PLAFON LED 6W CUADRADO NEGRO LUZ NEUTRA LGP</t>
  </si>
  <si>
    <t>RESORTE 16 MM. EXTRAPESADO GENROD</t>
  </si>
  <si>
    <t>RESORTE 16 MM. SEMIPESADO GENROD</t>
  </si>
  <si>
    <t>RESORTE 16 MM. SEMIPESADO KALOP</t>
  </si>
  <si>
    <t>RESORTE 20 MM. EXTRAPESADO GENROD</t>
  </si>
  <si>
    <t>RESORTE 20 MM. SEMIPESADO GENROD</t>
  </si>
  <si>
    <t>RESORTE 20 MM. SEMIPESADO KALOP</t>
  </si>
  <si>
    <t>RESORTE 20 MM. ULTRAPESADO KALOP</t>
  </si>
  <si>
    <t>RESORTE 22 MM. EXTRAPESADO GENROD</t>
  </si>
  <si>
    <t>RESORTE 22 MM. SEMIPESADO GENROD</t>
  </si>
  <si>
    <t>RESORTE 22 MM. SEMIPESADO KALOP</t>
  </si>
  <si>
    <t>RESORTE 25 MM. EXTRAPESADO GENROD</t>
  </si>
  <si>
    <t>RESORTE 25 MM. ULTRAPESADO KALOP</t>
  </si>
  <si>
    <t>RESORTE 25 MM.SEMIPESADO GENROD</t>
  </si>
  <si>
    <t>RESORTE 32 MM. EXTRAPESADO  GENROD</t>
  </si>
  <si>
    <t>RESORTE 40 MM. EXTRAPESADO GENROD</t>
  </si>
  <si>
    <t>RIEL DE ALUMINIO DE 1 MT (NEGRO) ECLIPSE</t>
  </si>
  <si>
    <t>SELECTORA METALICA 2 POS. M.LARGA 2NA CHINT</t>
  </si>
  <si>
    <t>SELECTORA METALICA 2 POS. NA BAW</t>
  </si>
  <si>
    <t>SELECTORA METALICA 3 POS. 2NA CHINT</t>
  </si>
  <si>
    <t>SELECTORA METALICA 3 POS. NA+NA BAW</t>
  </si>
  <si>
    <t>TOMA HEMBRA EMBUTIR IP44 2P + T 32A 220V BALS - KALOP (KL7533242)</t>
  </si>
  <si>
    <t>TOMA HEMBRA EMBUTIR IP44 3P + T 16A 380V BALS - KALOP (KL7541643)</t>
  </si>
  <si>
    <t>TOMA HEMBRA EMBUTIR IP44 3P + T 32A 380V BALS - KALOP (KL7543243)</t>
  </si>
  <si>
    <t>TOMA HEMBRA EMBUTIR IP67 2P + T 32A BALS - KALOP (KL7533272)</t>
  </si>
  <si>
    <t>TUBO 13 W. 2 PINES</t>
  </si>
  <si>
    <t>TUBO COMPACTO 7W (LUZ FRIA) G.E.</t>
  </si>
  <si>
    <t>UNION 16 MM. KALOP</t>
  </si>
  <si>
    <t>UNION 20 MM. KALOP</t>
  </si>
  <si>
    <t>UNION 22 MM. KALOP</t>
  </si>
  <si>
    <t>UNION 25 MM. KALOP</t>
  </si>
  <si>
    <t>UNION 32 MM. KALOP</t>
  </si>
  <si>
    <t>UNION 40 MM. KALOP</t>
  </si>
  <si>
    <t>UNION 50 MM. KALOP</t>
  </si>
  <si>
    <t>BASTIDOR P/Q MINIMAL 10x5  (65015) TECLASTAR</t>
  </si>
  <si>
    <t>CARTUCHO GAS BUTANO/PROPANO 227g **</t>
  </si>
  <si>
    <t>MODULO MEDIO PUNTO COMBINACION BLANCO TECLASTAR**</t>
  </si>
  <si>
    <t>27106</t>
  </si>
  <si>
    <t>27107</t>
  </si>
  <si>
    <t>27108</t>
  </si>
  <si>
    <t>27109</t>
  </si>
  <si>
    <t>APLIQUE PARED C/PANT. MET. EMBUDO NEGRO - COBRE (OS8900-52) S.J</t>
  </si>
  <si>
    <t>27110</t>
  </si>
  <si>
    <t>27111</t>
  </si>
  <si>
    <t>ADAPTADOR RIEL DIN 1 MODULO KALOP</t>
  </si>
  <si>
    <t>CABLE BICOLOR 2 X 0,50 (PRECIO x MTS) RE.</t>
  </si>
  <si>
    <t>CABLE BICOLOR 2 X 0,75 (PRECIO x MTS) RE.</t>
  </si>
  <si>
    <t>CABLE BICOLOR 2 X 1 (PRECIO x MTS) RE.</t>
  </si>
  <si>
    <t>CABLE BOMBA SUMERGIBLE 3 X 10 mm.(PRECIO x MTS) NA.</t>
  </si>
  <si>
    <t>CABLE BOMBA SUMERGIBLE 3 X 16 mm.(PRECIO x MTS) NA.</t>
  </si>
  <si>
    <t>CABLE BOMBA SUMERGIBLE 3 X 2,5 mm. (PRECIO X MTS) NA.</t>
  </si>
  <si>
    <t>CABLE BOMBA SUMERGIBLE 3 X 25 mm.(PRECIO x MTS) NA.</t>
  </si>
  <si>
    <t>CABLE COBRE DESNUDO 1 X 10 MM (PRECIO X MTS) NA.</t>
  </si>
  <si>
    <t>CABLE COBRE DESNUDO 1 X 16 MM (PRECIO X MTS) NA.</t>
  </si>
  <si>
    <t>CABLE PREENSAMBLADO DE CU P/ACOMETIDA 2 X 4 (PRECIO x MTS) MH.</t>
  </si>
  <si>
    <t>CABLE PREENSAMBLADO DE CU P/ACOMETIDA 4 X 10 (PRECIO x MTS) MH.</t>
  </si>
  <si>
    <t>CABLE PREENSAMBLADO DE CU P/ACOMETIDA 4 X 16 (PRECIO x MTS) MH.</t>
  </si>
  <si>
    <t>CABLE PREENSAMBLADO DE CU P/ACOMETIDA 4 X 4 (PRECIO x MTS) MH.</t>
  </si>
  <si>
    <t>CABLE SUBTERRANEO 1 X 10 (PRECIO x MTS) MH.</t>
  </si>
  <si>
    <t>CABLE SUBTERRANEO 1 X 16 (PRECIO x MTS) MH.</t>
  </si>
  <si>
    <t>CABLE SUBTERRANEO 2 X 1,5 (PRECIO x MTS) KALOP.</t>
  </si>
  <si>
    <t>CABLE SUBTERRANEO 2 X 1,50 (PRECIO x MTS) MH.</t>
  </si>
  <si>
    <t>CABLE SUBTERRANEO 2 X 1,50 (PRECIO x MTS) NA.</t>
  </si>
  <si>
    <t>CABLE SUBTERRANEO 2 X 1,50 (PRECIO x MTS) RE.</t>
  </si>
  <si>
    <t>CABLE SUBTERRANEO 2 X 10 (PRECIO x MTS) KALOP.</t>
  </si>
  <si>
    <t>CABLE SUBTERRANEO 2 X 10 (PRECIO x MTS) MH.</t>
  </si>
  <si>
    <t>CABLE SUBTERRANEO 2 X 10 (PRECIO x MTS) NA.</t>
  </si>
  <si>
    <t>CABLE SUBTERRANEO 2 X 2,50 (PRECIO x MTS) KALOP.</t>
  </si>
  <si>
    <t>CABLE SUBTERRANEO 2 X 2,50 (PRECIO x MTS) MH.</t>
  </si>
  <si>
    <t>CABLE SUBTERRANEO 2 X 2,50 (PRECIO x MTS) NA.</t>
  </si>
  <si>
    <t>CABLE SUBTERRANEO 2 X 2,50 (PRECIO x MTS) RE.</t>
  </si>
  <si>
    <t>CABLE SUBTERRANEO 2 X 4 (PRECIO x MTS) KALOP.</t>
  </si>
  <si>
    <t>CABLE SUBTERRANEO 2 X 4 (PRECIO x MTS) MH.</t>
  </si>
  <si>
    <t>CABLE SUBTERRANEO 2 X 4 (PRECIO x MTS) NA.</t>
  </si>
  <si>
    <t>CABLE SUBTERRANEO 2 X 4 (PRECIO x MTS) RE.</t>
  </si>
  <si>
    <t>CABLE SUBTERRANEO 2 X 6 (PRECIO x MTS) KALOP.</t>
  </si>
  <si>
    <t>CABLE SUBTERRANEO 2 X 6 (PRECIO x MTS) MH.</t>
  </si>
  <si>
    <t>CABLE SUBTERRANEO 2 X 6 (PRECIO x MTS) NA.</t>
  </si>
  <si>
    <t>CABLE SUBTERRANEO 3 X 1,5 (PRECIO x MTS) KALOP.</t>
  </si>
  <si>
    <t>CABLE SUBTERRANEO 3 X 1,50 (PRECIO x MTS) MH.</t>
  </si>
  <si>
    <t>CABLE SUBTERRANEO 3 X 1,50 (PRECIO x MTS) NA.</t>
  </si>
  <si>
    <t>CABLE SUBTERRANEO 3 X 1,50 (PRECIO x MTS) RE.</t>
  </si>
  <si>
    <t>CABLE SUBTERRANEO 3 X 10 (PRECIO x MTS) MH.</t>
  </si>
  <si>
    <t>CABLE SUBTERRANEO 3 X 10 (PRECIO x MTS) NA.</t>
  </si>
  <si>
    <t>CABLE SUBTERRANEO 3 X 16 (PRECIO X MTS) KALOP.</t>
  </si>
  <si>
    <t>CABLE SUBTERRANEO 3 X 16 (PRECIO x MTS) MH.</t>
  </si>
  <si>
    <t>CABLE SUBTERRANEO 3 X 16 (PRECIO x MTS) NA.</t>
  </si>
  <si>
    <t>CABLE SUBTERRANEO 3 X 2,50 (PRECIO x MTS) KALOP.</t>
  </si>
  <si>
    <t>CABLE SUBTERRANEO 3 X 2,50 (PRECIO x MTS) MH.</t>
  </si>
  <si>
    <t>CABLE SUBTERRANEO 3 X 25 (PRECIO X MTS) NA.</t>
  </si>
  <si>
    <t>CABLE SUBTERRANEO 3 X 25 + 16 (PRECIO x MTS) MH.</t>
  </si>
  <si>
    <t>CABLE SUBTERRANEO 3 X 25 + N. (PRECIO x MTS) KALOP.</t>
  </si>
  <si>
    <t>CABLE SUBTERRANEO 3 X 25 MM + 16 (PRECIO x MTS) NA.</t>
  </si>
  <si>
    <t>CABLE SUBTERRANEO 3 X 35 (PRECIO x MTS) MH.</t>
  </si>
  <si>
    <t>CABLE SUBTERRANEO 3 X 35 + 16 (PRECIO x MTS) MH.</t>
  </si>
  <si>
    <t>CABLE SUBTERRANEO 3 X 35 MM + 16 (PRECIO x MTS) NA.</t>
  </si>
  <si>
    <t>CABLE SUBTERRANEO 3 X 4 (PRECIO x MTS) KALOP.</t>
  </si>
  <si>
    <t>CABLE SUBTERRANEO 3 X 4 (PRECIO x MTS) MH.</t>
  </si>
  <si>
    <t>CABLE SUBTERRANEO 3 X 4 (PRECIO x MTS) NA.</t>
  </si>
  <si>
    <t>CABLE SUBTERRANEO 3 X 4 (PRECIO x MTS) RE.</t>
  </si>
  <si>
    <t>CABLE SUBTERRANEO 3 X 50 (PRECIO x MTS) MH.</t>
  </si>
  <si>
    <t>CABLE SUBTERRANEO 3 X 50 + 25 (PRECIO x MTS) MH.</t>
  </si>
  <si>
    <t>CABLE SUBTERRANEO 3 X 6 (PRECIO x MTS) KALOP.</t>
  </si>
  <si>
    <t>CABLE SUBTERRANEO 3 X 6 (PRECIO x MTS) MH.</t>
  </si>
  <si>
    <t>CABLE SUBTERRANEO 3 X 6 (PRECIO x MTS) NA.</t>
  </si>
  <si>
    <t>CABLE SUBTERRANEO 4 X 1,5 (PRECIO x MTS) MH.</t>
  </si>
  <si>
    <t>CABLE SUBTERRANEO 4 X 1,5 (PRECIO x MTS) NA.</t>
  </si>
  <si>
    <t>CABLE SUBTERRANEO 4 X 10 (PRECIO x MTS) KALOP.</t>
  </si>
  <si>
    <t>CABLE SUBTERRANEO 4 X 10 (PRECIO x MTS) MH.</t>
  </si>
  <si>
    <t>CABLE SUBTERRANEO 4 X 10 (PRECIO x MTS) NA.</t>
  </si>
  <si>
    <t>CABLE SUBTERRANEO 4 X 16 (PRECIO x MTS) KALOP.</t>
  </si>
  <si>
    <t>CABLE SUBTERRANEO 4 X 16 (PRECIO x MTS) MH.</t>
  </si>
  <si>
    <t>CABLE SUBTERRANEO 4 X 16 (PRECIO x MTS) NA.</t>
  </si>
  <si>
    <t>CABLE SUBTERRANEO 4 X 2,5 (PRECIO x MTS) KALOP.</t>
  </si>
  <si>
    <t>CABLE SUBTERRANEO 4 X 2,5 (PRECIO x MTS) MH.</t>
  </si>
  <si>
    <t>CABLE SUBTERRANEO 4 X 2,5 (PRECIO x MTS) NA.</t>
  </si>
  <si>
    <t>CABLE SUBTERRANEO 4 X 35 MM (PRECIO x MTS) MH.</t>
  </si>
  <si>
    <t>CABLE SUBTERRANEO 4 X 4 (PRECIO x MTS) KALOP.</t>
  </si>
  <si>
    <t>CABLE SUBTERRANEO 4 X 4 (PRECIO x MTS) MH.</t>
  </si>
  <si>
    <t>CABLE SUBTERRANEO 4 X 6 (PRECIO x MTS) KALOP.</t>
  </si>
  <si>
    <t>CABLE SUBTERRANEO 4 X 6 (PRECIO x MTS) MH.</t>
  </si>
  <si>
    <t>CABLE SUBTERRANEO 4 X 6 (PRECIO x MTS) NA.</t>
  </si>
  <si>
    <t>CABLE SUBTERRANEO 5 X 1,5 (PRECIO x MTS) MH.</t>
  </si>
  <si>
    <t>CABLE SUBTERRANEO 5 X 10 (PRECIO x MTS) MH.</t>
  </si>
  <si>
    <t>CABLE SUBTERRANEO 5 X 10 (PRECIO x MTS) NA.</t>
  </si>
  <si>
    <t>CABLE SUBTERRANEO 5 X 2,50 (PRECIO x MTS) MH.</t>
  </si>
  <si>
    <t>CABLE SUBTERRANEO 5 X 2,50 (PRECIO x MTS) NA.</t>
  </si>
  <si>
    <t>CABLE SUBTERRANEO 5 X 4 (PRECIO x MTS) MH.</t>
  </si>
  <si>
    <t>CABLE SUBTERRANEO 5 X 4 (PRECIO x MTS) NA.</t>
  </si>
  <si>
    <t>CABLE SUBTERRANEO 5 X 6 (PRECIO x MTS) MH.</t>
  </si>
  <si>
    <t>CABLE SUBTERRANEO 5 X 6 (PRECIO x MTS) NA.</t>
  </si>
  <si>
    <t>CABLE TIPO TALLER 2 X 0,50 (PRECIO x MTS) MH.</t>
  </si>
  <si>
    <t>CABLE TIPO TALLER 2 X 1 BLANCO (PRECIO x MTS) NA.</t>
  </si>
  <si>
    <t>CABLE TIPO TALLER 2 X 1,50 (PRECIO x MTS) KALOP.</t>
  </si>
  <si>
    <t>CABLE TIPO TALLER 2 X 1,50 BLANCO (PRECIO x MTS) NA.</t>
  </si>
  <si>
    <t>CABLE TIPO TALLER 2 X 2,50 BLANCO (PRECIO x MTS) NA.</t>
  </si>
  <si>
    <t>CABLE TIPO TALLER 2 X 4 (PRECIO x MTS) KALOP.</t>
  </si>
  <si>
    <t>CABLE TIPO TALLER 2 X 6 (PRECIO x MTS) RE.</t>
  </si>
  <si>
    <t>CABLE TIPO TALLER 3 X 1 (PRECIO x MTS) RE.</t>
  </si>
  <si>
    <t>CABLE TIPO TALLER 3 X 1 EN BOBINA (PRECIO x MTS) NA.</t>
  </si>
  <si>
    <t>CABLE TIPO TALLER 3 X 1,50 (PRECIO x MTS) RE.</t>
  </si>
  <si>
    <t>CABLE TIPO TALLER 3 X 2,50 (PRECIO x MTS) KALOP.</t>
  </si>
  <si>
    <t>CABLE TIPO TALLER 3 X 2,50 (PRECIO x MTS) RE.</t>
  </si>
  <si>
    <t>CABLE TIPO TALLER 3 X 4 (PRECIO x MTS) KALOP.</t>
  </si>
  <si>
    <t>CABLE TIPO TALLER 3 X 4 (PRECIO x MTS) NA.</t>
  </si>
  <si>
    <t>CABLE TIPO TALLER 3 X 4 (PRECIO x MTS) RE.</t>
  </si>
  <si>
    <t>CABLE TIPO TALLER 3 X 6 (PRECIO x MTS) KALOP.</t>
  </si>
  <si>
    <t>CABLE TIPO TALLER 3 X 6 (PRECIO x MTS) RE.</t>
  </si>
  <si>
    <t>CABLE TIPO TALLER 4 X 1 (PRECIO x MTS) KALOP.</t>
  </si>
  <si>
    <t>CABLE TIPO TALLER 4 X 1,50 (PRECIO x MTS) KALOP.</t>
  </si>
  <si>
    <t>CABLE TIPO TALLER 4 X 2,50 (PRECIO x MTS) NA.</t>
  </si>
  <si>
    <t>CABLE TIPO TALLER 4 X 4 (PRECIO x MTS) KALOP.</t>
  </si>
  <si>
    <t>CABLE TIPO TALLER 4 X 6 (PRECIO x MTS) KALOP.</t>
  </si>
  <si>
    <t>CABLE TIPO TALLER 5 X 4 (PRECIO x MTS) KALOP.</t>
  </si>
  <si>
    <t>CABLE TIPO TALLER 5 X 6 (PRECIO x MTS) NA.</t>
  </si>
  <si>
    <t>CABLE UNIPOLAR 1 X 1  MARRON (PRECIO x MTS) NA.</t>
  </si>
  <si>
    <t>CABLE UNIPOLAR 1 X 1  ROJO (PRECIO x MTS) NA.</t>
  </si>
  <si>
    <t>CABLE UNIPOLAR 1 X 1 BLANCO (PRECIO x MTS) KALOP.</t>
  </si>
  <si>
    <t>CABLE UNIPOLAR 1 X 1 BLANCO (PRECIO x MTS) NA.</t>
  </si>
  <si>
    <t>CABLE UNIPOLAR 1 X 1 BLANCO (PRECIO x MTS) RE.</t>
  </si>
  <si>
    <t>CABLE UNIPOLAR 1 X 1 CELESTE (PRECIO x MTS) KALOP.</t>
  </si>
  <si>
    <t>CABLE UNIPOLAR 1 X 1 CELESTE (PRECIO x MTS) NA.</t>
  </si>
  <si>
    <t>CABLE UNIPOLAR 1 X 1 CELESTE (PRECIO x MTS) RE.</t>
  </si>
  <si>
    <t>CABLE UNIPOLAR 1 X 1 MARRON (PRECIO x MTS) KALOP.</t>
  </si>
  <si>
    <t>CABLE UNIPOLAR 1 X 1 MARRON (PRECIO x MTS) RE.</t>
  </si>
  <si>
    <t>CABLE UNIPOLAR 1 X 1 NEGRO (PRECIO x MTS) KALOP.</t>
  </si>
  <si>
    <t>CABLE UNIPOLAR 1 X 1 NEGRO (PRECIO x MTS) RE.</t>
  </si>
  <si>
    <t>CABLE UNIPOLAR 1 X 1 ROJO (PRECIO x MTS) KALOP.</t>
  </si>
  <si>
    <t>CABLE UNIPOLAR 1 X 1 ROJO (PRECIO x MTS) RE.</t>
  </si>
  <si>
    <t>CABLE UNIPOLAR 1 X 1 VERDE Y A (PRECIO x MTS) NA.</t>
  </si>
  <si>
    <t>CABLE UNIPOLAR 1 X 1 VERDE Y A (PRECIO x MTS) RE.</t>
  </si>
  <si>
    <t>CABLE UNIPOLAR 1 X 1,50  BLANCO (PRECIO x MTS) NA.</t>
  </si>
  <si>
    <t>CABLE UNIPOLAR 1 X 1,50  BLANCO (PRECIO x MTS) RE.</t>
  </si>
  <si>
    <t>CABLE UNIPOLAR 1 X 1,50  CELESTE (PRECIO x MTS) NA.</t>
  </si>
  <si>
    <t>CABLE UNIPOLAR 1 X 1,50  CELESTE (PRECIO x MTS) RE.</t>
  </si>
  <si>
    <t>CABLE UNIPOLAR 1 X 1,50  MARRON (PRECIO x MTS) NA.</t>
  </si>
  <si>
    <t>CABLE UNIPOLAR 1 X 1,50  NEGRO (PRECIO x MTS) RE.</t>
  </si>
  <si>
    <t>CABLE UNIPOLAR 1 X 1,50  ROJO (PRECIO x MTS) NA.</t>
  </si>
  <si>
    <t>CABLE UNIPOLAR 1 X 1,50  ROJO (PRECIO x MTS) RE.</t>
  </si>
  <si>
    <t>CABLE UNIPOLAR 1 X 1,50  VERDE Y A (PRECIO x MTS) RE.</t>
  </si>
  <si>
    <t>CABLE UNIPOLAR 1 X 1,50 BLANCO (PRECIO x MTS) KALOP.</t>
  </si>
  <si>
    <t>CABLE UNIPOLAR 1 X 1,50 CELESTE (PRECIO x MTS) KALOP.</t>
  </si>
  <si>
    <t>CABLE UNIPOLAR 1 X 1,50 MARRON (PRECIO x MTS) KALOP.</t>
  </si>
  <si>
    <t>CABLE UNIPOLAR 1 X 1,50 MARRON (PRECIO x MTS) RE.</t>
  </si>
  <si>
    <t>CABLE UNIPOLAR 1 X 1,50 NEGRO (PRECIO x MTS) KALOP.</t>
  </si>
  <si>
    <t>CABLE UNIPOLAR 1 X 1,50 NEGRO (PRECIO x MTS) NA.</t>
  </si>
  <si>
    <t>CABLE UNIPOLAR 1 X 1,50 ROJO (PRECIO x MTS) KALOP.</t>
  </si>
  <si>
    <t>CABLE UNIPOLAR 1 X 1,50 VERDE Y A (PRECIO x MTS) KALOP.</t>
  </si>
  <si>
    <t>CABLE UNIPOLAR 1 X 1,50 VERDE Y A. (PRECIO x MTS) NA.</t>
  </si>
  <si>
    <t>CABLE UNIPOLAR 1 X 10 CELESTE (PRECIO x MTS) KALOP.</t>
  </si>
  <si>
    <t>CABLE UNIPOLAR 1 X 10 NEGRO (PRECIO x MTS) KALOP.</t>
  </si>
  <si>
    <t>CABLE UNIPOLAR 1 X 10 ROJO (PRECIO x MTS) KALOP.</t>
  </si>
  <si>
    <t>CABLE UNIPOLAR 1 X 10 VERDE Y A (PRECIO x MTS) KALOP.</t>
  </si>
  <si>
    <t>CABLE UNIPOLAR 1 X 16 NEGRO (PRECIO x MTS) KALOP.</t>
  </si>
  <si>
    <t>CABLE UNIPOLAR 1 X 2,50  BLANCO (PRECIO x MTS) NA.</t>
  </si>
  <si>
    <t>CABLE UNIPOLAR 1 X 2,50  BLANCO (PRECIO x MTS) RE.</t>
  </si>
  <si>
    <t>CABLE UNIPOLAR 1 X 2,50  MARRON (PRECIO x MTS) NA.</t>
  </si>
  <si>
    <t>CABLE UNIPOLAR 1 X 2,50  MARRON (PRECIO x MTS) RE.</t>
  </si>
  <si>
    <t>CABLE UNIPOLAR 1 X 2,50  NEGRO (PRECIO x MTS) NA.</t>
  </si>
  <si>
    <t>CABLE UNIPOLAR 1 X 2,50 BLANCO (PRECIO x MTS) KALOP.</t>
  </si>
  <si>
    <t>CABLE UNIPOLAR 1 X 2,50 CELESTE (PRECIO x MTS) KALOP.</t>
  </si>
  <si>
    <t>CABLE UNIPOLAR 1 X 2,50 MARRON (PRECIO x MTS) KALOP.</t>
  </si>
  <si>
    <t>CABLE UNIPOLAR 1 X 2,50 NEGRO (PRECIO x MTS) KALOP.</t>
  </si>
  <si>
    <t>CABLE UNIPOLAR 1 X 2,50 ROJO (PRECIO x MTS) KALOP.</t>
  </si>
  <si>
    <t>CABLE UNIPOLAR 1 X 2,50 VERDE Y  A (PRECIO x MTS) KALOP.</t>
  </si>
  <si>
    <t>CABLE UNIPOLAR 1 X 25 ROJO (PRECIO x MTS) KALOP.</t>
  </si>
  <si>
    <t>CABLE UNIPOLAR 1 X 4  BLANCO (PRECIO x MTS) NA.</t>
  </si>
  <si>
    <t>CABLE UNIPOLAR 1 X 4  CELESTE (PRECIO x MTS) NA.</t>
  </si>
  <si>
    <t>CABLE UNIPOLAR 1 X 4  VERDE Y A (PRECIO x MTS) NA.</t>
  </si>
  <si>
    <t>CABLE UNIPOLAR 1 X 4  VERDE Y A (PRECIO x MTS) RE.</t>
  </si>
  <si>
    <t>CABLE UNIPOLAR 1 X 4 BLANCO (PRECIO x MTS) KALOP.</t>
  </si>
  <si>
    <t>CABLE UNIPOLAR 1 X 4 BLANCO (PRECIO x MTS) RE.</t>
  </si>
  <si>
    <t>CABLE UNIPOLAR 1 X 4 CELESTE (PRECIO x MTS) KALOP.</t>
  </si>
  <si>
    <t>CABLE UNIPOLAR 1 X 4 MARRON (PRECIO x MTS) KALOP.</t>
  </si>
  <si>
    <t>CABLE UNIPOLAR 1 X 4 MARRON (PRECIO x MTS) NA.</t>
  </si>
  <si>
    <t>CABLE UNIPOLAR 1 X 4 MARRON (PRECIO x MTS) RE.</t>
  </si>
  <si>
    <t>CABLE UNIPOLAR 1 X 4 NEGRO (PRECIO x MTS) KALOP.</t>
  </si>
  <si>
    <t>CABLE UNIPOLAR 1 X 4 NEGRO (PRECIO x MTS) NA.</t>
  </si>
  <si>
    <t>CABLE UNIPOLAR 1 X 4 ROJO (PRECIO x MTS) KALOP.</t>
  </si>
  <si>
    <t>CABLE UNIPOLAR 1 X 4 VERDE Y A (PRECIO x MTS) KALOP.</t>
  </si>
  <si>
    <t>CABLE UNIPOLAR 1 X 6  BLANCO (PRECIO x MTS) NA.</t>
  </si>
  <si>
    <t>CABLE UNIPOLAR 1 X 6  BLANCO (PRECIO x MTS) RE.</t>
  </si>
  <si>
    <t>CABLE UNIPOLAR 1 X 6  NEGRO (PRECIO x MTS) RE.</t>
  </si>
  <si>
    <t>CABLE UNIPOLAR 1 X 6  ROJO (PRECIO x MTS) RE.</t>
  </si>
  <si>
    <t>CABLE UNIPOLAR 1 X 6  VERDE Y A (PRECIO x MTS) NA.</t>
  </si>
  <si>
    <t>CABLE UNIPOLAR 1 X 6 BLANCO (PRECIO x MTS) KALOP.</t>
  </si>
  <si>
    <t>CABLE UNIPOLAR 1 X 6 CELESTE (PRECIO x MTS) KALOP.</t>
  </si>
  <si>
    <t>CABLE UNIPOLAR 1 X 6 CELESTE (PRECIO x MTS) NA.</t>
  </si>
  <si>
    <t>CABLE UNIPOLAR 1 X 6 CELESTE (PRECIO x MTS) RE.</t>
  </si>
  <si>
    <t>CABLE UNIPOLAR 1 X 6 MARRON (PRECIO x MTS) KALOP.</t>
  </si>
  <si>
    <t>CABLE UNIPOLAR 1 X 6 MARRON (PRECIO x MTS) NA.</t>
  </si>
  <si>
    <t>CABLE UNIPOLAR 1 X 6 MARRON (PRECIO x MTS) RE.</t>
  </si>
  <si>
    <t>CABLE UNIPOLAR 1 X 6 NEGRO (PRECIO x MTS) KALOP.</t>
  </si>
  <si>
    <t>CABLE UNIPOLAR 1 X 6 NEGRO (PRECIO x MTS) NA.</t>
  </si>
  <si>
    <t>CABLE UNIPOLAR 1 X 6 ROJO (PRECIO x MTS) KALOP.</t>
  </si>
  <si>
    <t>CABLE UNIPOLAR 1 X 6 ROJO (PRECIO x MTS) NA.</t>
  </si>
  <si>
    <t>CABLE UNIPOLAR 1 X 6 VERDE Y A (PRECIO x MTS) KALOP.</t>
  </si>
  <si>
    <t>CABLE UNIPOLAR 1 X 6 VERDE Y A (PRECIO x MTS) RE.</t>
  </si>
  <si>
    <t>CABLE VAINA CHATA 3 X 1,50 (PRECIO x MTS) NA.</t>
  </si>
  <si>
    <t>RELE ELECTRONIC. G.E. ARRANQUE ESTRELLA TRIAN. NMETV</t>
  </si>
  <si>
    <t>TAPA REGINA 5 X 5 BLANCO JELUZ</t>
  </si>
  <si>
    <t>CABLE UNIPOLAR 1 X 10  BLANCO (PRECIO x MTS) NA.</t>
  </si>
  <si>
    <t>PUNTERA HUECA 16 MM (AZUL//BLANCO)</t>
  </si>
  <si>
    <t>27116</t>
  </si>
  <si>
    <t>CONTACTOR TRIP. 18A 24V 1NA+1NC CHINT</t>
  </si>
  <si>
    <t>TUBO LED 45W 240 CM. LUZ FRIA**</t>
  </si>
  <si>
    <t>ADAPTADOR RIEL DIN 2 MODULOS KALOP</t>
  </si>
  <si>
    <t>CABLE UNIPOLAR 1 X 35 VERDE Y A (PRECIO x MTS) NA.</t>
  </si>
  <si>
    <t>CABLE UNIPOLAR LSOH 1 X 1,5 CELESTE (PRECIO x MTS) ARG.</t>
  </si>
  <si>
    <t>CABLE UNIPOLAR LSOH 1 X 4 CELESTE (PRECIO x MTS) ARG.</t>
  </si>
  <si>
    <t>CABLE UNIPOLAR LSOH 1 X 4 ROJO (PRECIO x MTS) ARG.</t>
  </si>
  <si>
    <t>CABLE UNIPOLAR LSOH 1 X 4 VERDE Y A  (PRECIO x MTS) ARG.</t>
  </si>
  <si>
    <t>CABLE VAINA CHATA 2 X 1 (PRECIO x  MTS) MH.</t>
  </si>
  <si>
    <t>CABLE VAINA CHATA 3 X 0,75 (PRECIO x MTS) MH.</t>
  </si>
  <si>
    <t>27121</t>
  </si>
  <si>
    <t>27125</t>
  </si>
  <si>
    <t>FUENTE METALICA 12V 29A 350W MACROLED</t>
  </si>
  <si>
    <t>LAMPARA AUTONOMA 7W LUZ FRIA</t>
  </si>
  <si>
    <t>LAMPARA AUTONOMA 9W LUZ FRIA</t>
  </si>
  <si>
    <t>27118</t>
  </si>
  <si>
    <t>27119</t>
  </si>
  <si>
    <t>27120</t>
  </si>
  <si>
    <t>27124</t>
  </si>
  <si>
    <t>27122</t>
  </si>
  <si>
    <t>27123</t>
  </si>
  <si>
    <t>27117</t>
  </si>
  <si>
    <t>PORTALAMPARA CERAMICO E27 CON ESCUADRA</t>
  </si>
  <si>
    <t>27128</t>
  </si>
  <si>
    <t>RELE TERMICO 1.6-2.5A (NXR - 25) CHINT</t>
  </si>
  <si>
    <t>27127</t>
  </si>
  <si>
    <t>GUIRNALDA 5 MTS</t>
  </si>
  <si>
    <t>27129</t>
  </si>
  <si>
    <t>SPOT REDONDO EMBUTIR PVC NEGRO FERRO. (SE-115NEG)</t>
  </si>
  <si>
    <t>TERMINAL COBRE ESTAÑADO 1,5 X 1.5/3 SCC 1.5/3</t>
  </si>
  <si>
    <t>CAÑO 40 MM. SEMIPESADO (PRECIO X MTS) KALOP</t>
  </si>
  <si>
    <t>CAÑO 40 MM. ULTRAPESADO (PRECIO X MTS) KALOP</t>
  </si>
  <si>
    <t>CONTACTOR TRIP. 25A 220V 1NA+1NC CHINT</t>
  </si>
  <si>
    <t>MODULO TOMA EUROAMERICANO C/T DESPLAZ. NEGRO KALOP</t>
  </si>
  <si>
    <t>PROLONGADOR MULT. 4 TOMAS C/ TERM  S/ CABLE Blanco KALOP</t>
  </si>
  <si>
    <t>PULSADOR EMERGENCIA D22 CABEZ. ROJO D40 (184041)</t>
  </si>
  <si>
    <t>RESORTE 22 MM. ULTRAPESADO KALOP</t>
  </si>
  <si>
    <t>ROLLO LED X 5 MTS INTERIOR MULTICOLOR SICA</t>
  </si>
  <si>
    <t>SELECTORA METALICA 2 POS. 2NA CHINT</t>
  </si>
  <si>
    <t>LAMPARA FILAMENTO VINTAGE 5W LUZ CALIDA (6005) CANDIL **</t>
  </si>
  <si>
    <t>LAMPARA FILAMENTO VINTAGE 5W LUZ CALIDA (6505) CANDIL**</t>
  </si>
  <si>
    <t>LAMPARA FILAMENTO VINTAGE 5W LUZ CALIDA(6405) CANDIL**</t>
  </si>
  <si>
    <t>LAMPARA FILAMENTO VINTAGE CLASICA LED 2W MACROLED **</t>
  </si>
  <si>
    <t>LAMPARA FILAMENTO VINTAGE CLASICA LED 4W</t>
  </si>
  <si>
    <t>LAMPARA FILAMENTO VINTAGE CLASICA LED A60 6W LUZ CALIDA WE.**</t>
  </si>
  <si>
    <t>LAMPARA FILAMENTO VINTAGE GLOBO CHICO HUMO 4W AKAI 3359</t>
  </si>
  <si>
    <t>LAMPARA FILAMENTO VINTAGE GLOBO GOLDEN 8W JELUZ**</t>
  </si>
  <si>
    <t>LAMPARA FILAMENTO VINTAGE GLOBO GOLDEN LED 6W  (LFA-80G 6W) LGP</t>
  </si>
  <si>
    <t>LAMPARA FILAMENTO VINTAGE GLOBO GRANDE HUMO 4W AKAI 3361</t>
  </si>
  <si>
    <t>LAMPARA FILAMENTO VINTAGE GLOBO LED 6W</t>
  </si>
  <si>
    <t>LAMPARA FILAMENTO VINTAGE GOLDEN 8W JELUZ**</t>
  </si>
  <si>
    <t>LAMPARA FILAMENTO VINTAGE GOTA LED 1W MACROLED **</t>
  </si>
  <si>
    <t>LAMPARA FILAMENTO VINTAGE GOTA LED 4W</t>
  </si>
  <si>
    <t>LAMPARA FILAMENTO VINTAGE HONGO HUMO 4W AKAI 3360</t>
  </si>
  <si>
    <t>LAMPARA FILAMENTO VINTAGE PERA GOLD  6W AKAI 3307**</t>
  </si>
  <si>
    <t>APLIQUE DIFUSOR OPORTO X1 GU10 NEGRO (AP-121)</t>
  </si>
  <si>
    <t>CABLE BIPOLAR 2 X 1 (PRECIO x MTS) W.</t>
  </si>
  <si>
    <t>CABLE BIPOLAR 2 X 1,50 (PRECIO x MTS) W.</t>
  </si>
  <si>
    <t>CABLE BIPOLAR 2 X 2,50 (PRECIO x MTS) W.</t>
  </si>
  <si>
    <t>CABLE SUBTERRANEO 2 X 1,50 (PRECIO x MTS) W.</t>
  </si>
  <si>
    <t>CABLE SUBTERRANEO 2 X 2,50 (PRECIO x MTS) W.</t>
  </si>
  <si>
    <t>CABLE TIPO TALLER 2 X 1 (PRECIO x MTS) W.</t>
  </si>
  <si>
    <t>CABLE TIPO TALLER 2 X 1,50 (PRECIO x MTS) W.</t>
  </si>
  <si>
    <t>CABLE TIPO TALLER 2 X 4 (PRECIO x MTS) W.</t>
  </si>
  <si>
    <t>CABLE TIPO TALLER 2 X 6 (PRECIO X MTS) W.</t>
  </si>
  <si>
    <t>CABLE TIPO TALLER 3 X 1 (PRECIO x MTS) W.</t>
  </si>
  <si>
    <t>CABLE TIPO TALLER 3 X 1,50 (PRECIO x MTS) W.</t>
  </si>
  <si>
    <t>CABLE TIPO TALLER 3 X 2,50 (PRECIO XMTS) W.</t>
  </si>
  <si>
    <t>CABLE TIPO TALLER 3 X 4 (PRECIO X MTS) W.</t>
  </si>
  <si>
    <t>CABLE TIPO TALLER 3 X 6 (PRECIO X MTS) W.</t>
  </si>
  <si>
    <t>CABLE TIPO TALLER 5 X 2,50 (PRECIO x MTS) W.</t>
  </si>
  <si>
    <t>CABLE UNIPOLAR 1 X 1  BLANCO (PRECIO x MTS) W.</t>
  </si>
  <si>
    <t>CABLE UNIPOLAR 1 X 1  CELESTE (PRECIO x MTS) W.</t>
  </si>
  <si>
    <t>CABLE UNIPOLAR 1 X 1  ROJO (PRECIO x MTS) W.</t>
  </si>
  <si>
    <t>CABLE UNIPOLAR 1 X 1 MARRON (PRECIO x MTS) W.</t>
  </si>
  <si>
    <t>CABLE UNIPOLAR 1 X 1 NEGRO (PRECIO x MTS) W.</t>
  </si>
  <si>
    <t>CABLE UNIPOLAR 1 X 1 VERDE Y A (PRECIO x MTS) W.</t>
  </si>
  <si>
    <t>CABLE UNIPOLAR 1 X 1,50  CELESTE (PRECIO x MTS) W.</t>
  </si>
  <si>
    <t>CABLE UNIPOLAR 1 X 1,50  NEGRO (PRECIO x MTS) W.</t>
  </si>
  <si>
    <t>CABLE UNIPOLAR 1 X 1,50  ROJO (PRECIO x MTS) W.</t>
  </si>
  <si>
    <t>CABLE UNIPOLAR 1 X 1,50  VERDE Y A (PRECIO x MTS) W.</t>
  </si>
  <si>
    <t>CABLE UNIPOLAR 1 X 1,50 BLANCO (PRECIO x MTS) W.</t>
  </si>
  <si>
    <t>CABLE UNIPOLAR 1 X 1,50 BOBINA (PRECIO x MTS) W.</t>
  </si>
  <si>
    <t>CABLE UNIPOLAR 1 X 1,50 MARRON (PRECIO x MTS) W.</t>
  </si>
  <si>
    <t>CABLE UNIPOLAR 1 X 2,50  BLANCO (PRECIO x MTS) W.</t>
  </si>
  <si>
    <t>CABLE UNIPOLAR 1 X 2,50  CELESTE (PRECIO x MTS) W.</t>
  </si>
  <si>
    <t>CABLE UNIPOLAR 1 X 2,50  MARRON (PRECIO x MTS) W.</t>
  </si>
  <si>
    <t>CABLE UNIPOLAR 1 X 2,50  NEGRO (PRECIO x MTS) W.</t>
  </si>
  <si>
    <t>CABLE UNIPOLAR 1 X 2,50  ROJO (PRECIO x MTS) W.</t>
  </si>
  <si>
    <t>CABLE UNIPOLAR 1 X 2,50  VERDE Y A  (PRECIO x MTS) W.</t>
  </si>
  <si>
    <t>CABLE UNIPOLAR 1 X 25  ROJO (PRECIO x MTS) NA.</t>
  </si>
  <si>
    <t>CABLE UNIPOLAR 1 X 25  VERDE Y A (PRECIO x MTS) NA.</t>
  </si>
  <si>
    <t>CABLE UNIPOLAR 1 X 4  NEGRO (PRECIO x MTS) W.</t>
  </si>
  <si>
    <t>CABLE UNIPOLAR 1 X 4  ROJO (PRECIO x MTS) W.</t>
  </si>
  <si>
    <t>CABLE UNIPOLAR 1 X 4  VERDE Y A (PRECIO x MTS) W.</t>
  </si>
  <si>
    <t>CABLE UNIPOLAR 1 X 4 BLANCO (PRECIO x MTS) W.</t>
  </si>
  <si>
    <t>CABLE UNIPOLAR 1 X 4 CELESTE (PRECIO x MTS) W.</t>
  </si>
  <si>
    <t>CABLE UNIPOLAR 1 X 4 MARRON (PRECIO x MTS) W.</t>
  </si>
  <si>
    <t>CABLE UNIPOLAR 1 X 6  NEGRO (PRECIO X MTS) W.</t>
  </si>
  <si>
    <t>CABLE UNIPOLAR 1 X 6  VERDE Y A (PRECIO x MTS) W.</t>
  </si>
  <si>
    <t>CABLE UNIPOLAR 1 X 6 BLANCO (PRECIO x MTS) W.</t>
  </si>
  <si>
    <t>CABLE UNIPOLAR 1 X 6 CELESTE (PRECIO x MTS) W.</t>
  </si>
  <si>
    <t>CABLE UNIPOLAR 1 X 6 MARRON (PRECIO x MTS) W.</t>
  </si>
  <si>
    <t>CABLE UNIPOLAR 1 X 6 ROJO (PRECIO x MTS) W.</t>
  </si>
  <si>
    <t>CONJUNTO TERMINAL P/PRENSACABLE BLANCO</t>
  </si>
  <si>
    <t>CONJUNTO TERMINAL P/PRENSACABLE NEGRO</t>
  </si>
  <si>
    <t>27132</t>
  </si>
  <si>
    <t>FAROLA LED OMEGA 120W ALUMINIO IP66 BAEL</t>
  </si>
  <si>
    <t>LAMPARA H POWER 30W LUZ FRIA SICA**</t>
  </si>
  <si>
    <t>27133</t>
  </si>
  <si>
    <t>LUZ DE EMERGENCIA GRANDES AREAS LED 48 LEDS LCI</t>
  </si>
  <si>
    <t>MODULO 2 USB 3A NEGRO PLATINUM JELUZ</t>
  </si>
  <si>
    <t>MODULO TOMA USB + USB C 3A BLANCO PLATINUM</t>
  </si>
  <si>
    <t>MODULO TOMA USB + USB C 3A NEGRO PLATINUM</t>
  </si>
  <si>
    <t>RELE ELECTRONIC. ARRANQUE ESTRELLA TRIANGULO 220V CHINT</t>
  </si>
  <si>
    <t>27131</t>
  </si>
  <si>
    <t>RELE TERMICO 48 - 65A NXR-100 CHINT</t>
  </si>
  <si>
    <t>VENTILADOR DE TECHO LAQUEADO BLANCO LISO 4 PALAS 1.25M</t>
  </si>
  <si>
    <t>BOBINA A09-A18 220VAC BAW</t>
  </si>
  <si>
    <t>BOBINA A09-A18 24VAC BAW</t>
  </si>
  <si>
    <t>BOBINA A09-A18 380VAC BAW</t>
  </si>
  <si>
    <t>BOBINA A25-A32 110VAC BAW</t>
  </si>
  <si>
    <t>BOBINA A25-A32 220VAC BAW</t>
  </si>
  <si>
    <t>BOBINA A25-A32 24VAC BAW</t>
  </si>
  <si>
    <t>BOBINA A25-A32 380VAC BAW</t>
  </si>
  <si>
    <t>BOBINA A25-A38 220VCA BAW</t>
  </si>
  <si>
    <t>BOBINA A40-A95 220VAC BAW</t>
  </si>
  <si>
    <t>BOBINA A40-A95 380VAC BAW</t>
  </si>
  <si>
    <t>27140</t>
  </si>
  <si>
    <t>BOBINA NXC-06 220V CHINT</t>
  </si>
  <si>
    <t>BOBINA NXC-06 24V CHINT</t>
  </si>
  <si>
    <t>BOBINA NXC-25 24V CHINT</t>
  </si>
  <si>
    <t>BOBINA NXC-40 380V CHINT</t>
  </si>
  <si>
    <t>BOBINA P/MINI G.E. 220Vca (100454)</t>
  </si>
  <si>
    <t>BOBINA P/MINI G.E. 24Vca (100451)</t>
  </si>
  <si>
    <t>BOBINA P/MINI G.E. 380Vca (213532)</t>
  </si>
  <si>
    <t>BOBINA P/MINI G.E. 48Vca (100452)</t>
  </si>
  <si>
    <t>CABLE BIPOLAR CRISTAL 2 X 0,50 (PRECIO x MTS) RE.</t>
  </si>
  <si>
    <t>CABLE BIPOLAR CRISTAL 2 X 0,75 (PRECIO x MTS)</t>
  </si>
  <si>
    <t>CABLE BIPOLAR CRISTAL 2 X 0,75 (PRECIO x MTS) RE.</t>
  </si>
  <si>
    <t>CABLE BIPOLAR CRISTAL 2 X 1 (PRECIO x MTS) RE.</t>
  </si>
  <si>
    <t>PILA ENERGIZER  "A23" BLISTER X5 (precio unitario)</t>
  </si>
  <si>
    <t>PILA ENERGIZER  "A27" BLISTER X1 (precio unitario)</t>
  </si>
  <si>
    <t>PILA ENERGIZER  "C" Mediana BLISTER X2 (precio unitario)</t>
  </si>
  <si>
    <t>PILA ENERGIZER  "D" Grande BLISTER X2 (precio unitario)</t>
  </si>
  <si>
    <t>PILA ENERGIZER  E91 "AA" BLISTER X20 (precio unitario)</t>
  </si>
  <si>
    <t>PILA ENERGIZER  E92 "AAA" BLISTER X20 (precio unitario)</t>
  </si>
  <si>
    <t>PILA ENERGIZER  E92 "AAA" BLISTER X4 (precio unitario)</t>
  </si>
  <si>
    <t>PILA EVEREADY 1212 STEEL Chica "AAA" BLISTER X2 (precio unitario)</t>
  </si>
  <si>
    <t>PILA EVEREADY 1235 STEEL "C" Mediana BLISTER X2 (precio unitario)</t>
  </si>
  <si>
    <t>PILA P/AUDIFONOS ENERGIZER AZ312 BLISTER X 4 (precio unitario)</t>
  </si>
  <si>
    <t>RELE TERMIC. P/MINIC. 1.6-2.5A NXR-12 CHINT</t>
  </si>
  <si>
    <t>RELE TERMIC. P/MINIC. 1-1.6A NXR-12 CHINT</t>
  </si>
  <si>
    <t>RELE TERMIC. P/MINIC. 2.5-4A NXR-12 CHINT</t>
  </si>
  <si>
    <t>RELE TERMIC. P/MINIC. 4-6A NXR-12 CHINT</t>
  </si>
  <si>
    <t>RELE TERMIC. P/MINIC. 5.5-8A NXR-12 CHINT</t>
  </si>
  <si>
    <t>RELE TERMIC. P/MINIC. 7-10A NXR-12 CHINT</t>
  </si>
  <si>
    <t>RELE TERMIC. P/MINIC. 9-12A NXR-12 CHINT</t>
  </si>
  <si>
    <t>SPOT ANTIDES. P/AR111 CUAD. BLANCO</t>
  </si>
  <si>
    <t>SPOT ANTIDES. P/AR111 CUAD. EMB. PLATIL SPOTLINE</t>
  </si>
  <si>
    <t>SPOT CUADRADO EMBUTIR N.M P/MINI DICRO CANDIL</t>
  </si>
  <si>
    <t>SPOT CUADRADO EMBUTIR PVC BLANCO FERRO. (SE-116BLA)</t>
  </si>
  <si>
    <t>SPOT EMBUTIR 11 CM. BLANCO E-27 ( SE-111 BLA )</t>
  </si>
  <si>
    <t>SPOT EMBUTIR 12 CM. BLANCO E-27 ( SE-153 BLA )</t>
  </si>
  <si>
    <t>SPOT EMBUTIR REDONDO PLATIL 122MM S.L</t>
  </si>
  <si>
    <t>TERMICA 3 X 25 A. 6kA CHINT</t>
  </si>
  <si>
    <t>TUBO DE LED VIDRIO 24W 1500mm. LUZ FRIA BAW**</t>
  </si>
  <si>
    <t>MODULO 2 USB 3A BLANCO PLATINUM JELUZ</t>
  </si>
  <si>
    <t>TUBO LED 48W 240 CM. LUZ FRIA MACROLED**</t>
  </si>
  <si>
    <t>27141</t>
  </si>
  <si>
    <t>AUTOMATICO DE TANQUE CABLE 1.5 MTS MET</t>
  </si>
  <si>
    <t>27153</t>
  </si>
  <si>
    <t>27151</t>
  </si>
  <si>
    <t>EXTRACTOR DE AIRE 4" Blanco -KUDU</t>
  </si>
  <si>
    <t>EXTRACTOR DE AIRE 6" Blanco- KUDU</t>
  </si>
  <si>
    <t>27142</t>
  </si>
  <si>
    <t>JABALINA LISA 3/4 CON MORSETO</t>
  </si>
  <si>
    <t>27149</t>
  </si>
  <si>
    <t>PUNTERA HUECA 0,75 MM (CELESTE)</t>
  </si>
  <si>
    <t>TERMINAL COBRE ESTAÑADO 25 x 1/2 SCC 25/4</t>
  </si>
  <si>
    <t>27148</t>
  </si>
  <si>
    <t>TERMINAL COBRE ESTAÑADO 35 x 5/16 SCC 35/1</t>
  </si>
  <si>
    <t>27147</t>
  </si>
  <si>
    <t>TERMINAL COBRE ESTAÑADO 70 x 3/8 SCC 70/1</t>
  </si>
  <si>
    <t>27150</t>
  </si>
  <si>
    <t>TERMINAL DE ALUMINIO SCA 16 MM 5/16 LCT</t>
  </si>
  <si>
    <t>27152</t>
  </si>
  <si>
    <t>FICHA HEMBRA FRONTAL HEAVY DUTY AZUL KALOP</t>
  </si>
  <si>
    <t>FICHA MACHO FRONTAL HEAVY DUTY AZUL KALOP</t>
  </si>
  <si>
    <t>INTERRUPTOR SECCIONADOR MANUAL DIN 2P 100A BAW</t>
  </si>
  <si>
    <t>BANDEJA ESCALERA 150MM ALA 64 ESP. 1.25 GALVANIZ. E</t>
  </si>
  <si>
    <t>BANDEJA ESCALERA 300MM ALA 64 ESP. 1.25 GALVANIZ. E</t>
  </si>
  <si>
    <t>BANDEJA PORTAC. PERF. 100 MM. ALA 50 ESP.0.7 ELECE</t>
  </si>
  <si>
    <t>BANDEJA PORTAC. PERF. 150 MM.ALA 50 ESP. 0.7 ELECE</t>
  </si>
  <si>
    <t>BANDEJA PORTAC. PERF. 200 MM.ALA 50 ESP. 0.7 ELECE</t>
  </si>
  <si>
    <t>BANDEJA PORTAC. PERF. 300 MM.ALA 50 ESP. 0.7 ELECE</t>
  </si>
  <si>
    <t>BANDEJA PORTAC. PERF. 50 MM. ALA 50 ESP.0.7 ELECE</t>
  </si>
  <si>
    <t>CABLE UNIPOLAR 1 X 1 VERDE Y A (PRECIO x MTS) KALOP.</t>
  </si>
  <si>
    <t>CAJA P/TM PVC 12 BOCAS EMBUTIR C/P L. Recta PR412 ROKER</t>
  </si>
  <si>
    <t>CAJA P/TM PVC 16 BOCAS EMBUTIR C/P L. Recta PR816 ROKER</t>
  </si>
  <si>
    <t>CAJA P/TM PVC 2 BOCAS EMBUTIR C/P L. Recta PR802 ROKER</t>
  </si>
  <si>
    <t>CAJA P/TM PVC 4 BOCAS EMBUTIR C/P L. Recta PR403 ROKER</t>
  </si>
  <si>
    <t>CAJA P/TM PVC 6 BOCAS EMBUTIR C/P L. Recta PR416 ROKER</t>
  </si>
  <si>
    <t>CAJA PVC EMBUTIR P/TM. C/PTA. 18 A 36 BOCAS CABRERA</t>
  </si>
  <si>
    <t>CAJA PVC EMBUTIR P/TM. C/PTA. 30 A 54 BOCAS CABRERA</t>
  </si>
  <si>
    <t>CAJA PVC EMBUTIR P/TM. C/PTA. 8 A 20 BOCAS CABRERA</t>
  </si>
  <si>
    <t>CAJA TM 12 MODULO EMBUTIR C/TAPA BOX</t>
  </si>
  <si>
    <t>CAJA TM 4 MODULO EMBUTIR C/TAPA BOX</t>
  </si>
  <si>
    <t>CAJA TM 8 MODULO EMBUTIR C/TAPA BOX</t>
  </si>
  <si>
    <t>COLGANTE 3 LUCES BASE METAL 11X50  ACERO (6722-13) S.J</t>
  </si>
  <si>
    <t>COLGANTE BASE REDONDA 2 LUCES BLANCO (LV6645-51) S.J.</t>
  </si>
  <si>
    <t>COLGANTE C/PANT. MET. 2 LUCES C/REGLA 50CM NEGRO (OS6820-52) S.J.</t>
  </si>
  <si>
    <t>COLGANTE C/PANT. MET. 2 LUCESC/REGLA 50CM BLANCO (OS6820-51) S.J.</t>
  </si>
  <si>
    <t>COLGANTE TUBO 1 LUZ GU10 NEGRO SAN JUSTO</t>
  </si>
  <si>
    <t>IBERICA CUADRADO 14X14 /G9 BLANCO S.L.</t>
  </si>
  <si>
    <t>IBERICA CUADRADO 14X14 P/E-27 BLANCA S.L.</t>
  </si>
  <si>
    <t>IBERICA CUADRADO 14X14 P/E-27 PLATIL S.L.</t>
  </si>
  <si>
    <t>IBERICA CUADRADO 14X14 P/G9 PLATIL S.L.</t>
  </si>
  <si>
    <t>IBERICA CUADRADO INCLINADO 280MM BLANCO S.L.</t>
  </si>
  <si>
    <t>27154</t>
  </si>
  <si>
    <t>CABLE SUBTERRANEO 5 X 16 (PRECIO x MTS) MH.</t>
  </si>
  <si>
    <t>CAJA 24 BOCAS SOBREPONER DIN BLANCO IP65  (162400B)</t>
  </si>
  <si>
    <t>CAJA 24 BOCAS SOBREPONER DIN GRIS IP65 (162400G)</t>
  </si>
  <si>
    <t>CAJA 36 BOCAS SOBREPONER BLANCO IP65 (163600B)</t>
  </si>
  <si>
    <t>CAJA 36 BOCAS SOBREPONER GRIS IP65 (163600G)</t>
  </si>
  <si>
    <t>27169</t>
  </si>
  <si>
    <t>CONTACTOR TRIP. 12A 24V 1NA+1NC CHINT</t>
  </si>
  <si>
    <t>FUENTE METALICA 12V 5A 60W MACROLED</t>
  </si>
  <si>
    <t>27173</t>
  </si>
  <si>
    <t>GUARDAMOTOR 24-32A 15kW 15kA CHINT</t>
  </si>
  <si>
    <t>27174</t>
  </si>
  <si>
    <t>GUARDAMOTOR 30-40A 18.5kW 50kA CHINT</t>
  </si>
  <si>
    <t>27158</t>
  </si>
  <si>
    <t>27157</t>
  </si>
  <si>
    <t>LAMPARA AR111 LED 11W BLANCA LUZ FRIA MACROLED **</t>
  </si>
  <si>
    <t>27155</t>
  </si>
  <si>
    <t>LAMPARA H POWER 20W E27 LUZ FRIA MACROLED **</t>
  </si>
  <si>
    <t>27156</t>
  </si>
  <si>
    <t>LAMPARA H POWER 30W E27 LUZ FRIA MACROLED **</t>
  </si>
  <si>
    <t>27161</t>
  </si>
  <si>
    <t>LISTON BAJO ALACENA LED 13W LUZ FRIA 90CM MACROLED</t>
  </si>
  <si>
    <t>27162</t>
  </si>
  <si>
    <t>LISTON BAJO ALACENA LED 18W LUZ FRIA 120CM MACROLED</t>
  </si>
  <si>
    <t>27159</t>
  </si>
  <si>
    <t>LISTON BAJO ALACENA LED 5W LUZ FRIA 30CM MACROLED</t>
  </si>
  <si>
    <t>27160</t>
  </si>
  <si>
    <t>LISTON BAJO ALACENA LED 9W LUZ FRIA 60CM MACROLED</t>
  </si>
  <si>
    <t>27170</t>
  </si>
  <si>
    <t>MINICONTACTOR 4 POLOS 12A 24V CHINT</t>
  </si>
  <si>
    <t>27163</t>
  </si>
  <si>
    <t>PROYECTOR LED C/SENSOR 50W LUZ FRIA MACROLED</t>
  </si>
  <si>
    <t>27171</t>
  </si>
  <si>
    <t>RELE TERMICO 12-18A (NXR-25) CHINT</t>
  </si>
  <si>
    <t>27172</t>
  </si>
  <si>
    <t>RELE TERMICO 17-25A (NXR-25) CHINT</t>
  </si>
  <si>
    <t>27167</t>
  </si>
  <si>
    <t>TERMICA 1 X 20 A. 6kA CHINT</t>
  </si>
  <si>
    <t>27168</t>
  </si>
  <si>
    <t>TERMICA 1 X 25 A. 6kA CHINT</t>
  </si>
  <si>
    <t>27166</t>
  </si>
  <si>
    <t>TERMICA 1 X 3 A. 6kA CHINT</t>
  </si>
  <si>
    <t>27164</t>
  </si>
  <si>
    <t>27182</t>
  </si>
  <si>
    <t>27183</t>
  </si>
  <si>
    <t>GUARDAMOTOR 1,6-2,5A 0,75kW 100kA CHINT</t>
  </si>
  <si>
    <t>LAMPARA 21 LEDS GU-10 LUZ CALIDA SICA</t>
  </si>
  <si>
    <t>LAMPARA BAJO CONSUMO 9W E-14 MINIESP. LUZ CALIDA SYLV</t>
  </si>
  <si>
    <t>LAMPARA G9 LED 10W LUZ CALIDA NOV.**</t>
  </si>
  <si>
    <t>LAMPARA G9 LED 4W LUZ CALIDA JELUZ**</t>
  </si>
  <si>
    <t>LAMPARA G9 LED 4W LUZ FRIA JELUZ**</t>
  </si>
  <si>
    <t>LAMPARA G9 LED 6W LUZ CALIDA NOV.</t>
  </si>
  <si>
    <t>LAMPARA G9 LED LUZ FRIA SICA</t>
  </si>
  <si>
    <t>LAMPARA GLOBO LED 12W LUZ CALIDA</t>
  </si>
  <si>
    <t>LAMPARA H POWER 65W LUZ CALIDA SICA**</t>
  </si>
  <si>
    <t>27181</t>
  </si>
  <si>
    <t>27184</t>
  </si>
  <si>
    <t>TAPA P/BORNE D-BPN-16-35 ZOLODA</t>
  </si>
  <si>
    <t>27189</t>
  </si>
  <si>
    <t>APLIQUE IBIZA ACERO 1 LUZ G9 CUBETO (S-115ACE/C)</t>
  </si>
  <si>
    <t>27188</t>
  </si>
  <si>
    <t>APLIQUE LUCCA SIMIL MADERA 2 LUCES (AP-297MAD/C)</t>
  </si>
  <si>
    <t>27185</t>
  </si>
  <si>
    <t>APLIQUE TERNI ACRILICO NEGRO CON COBRE 1 LUZ (AP-196ACRI/CB)</t>
  </si>
  <si>
    <t>27187</t>
  </si>
  <si>
    <t>APLIQUE TERNI ACRILICO NEGRO CON COBRE 2 LUCES (AP-296ACRI/CB)</t>
  </si>
  <si>
    <t>ARO SUJETA DICRO ALAMBRE (X-21CRU)</t>
  </si>
  <si>
    <t>BAJO ALACENA 12W LUZ FRIA</t>
  </si>
  <si>
    <t>BANDEJA ESCALERA 450MM ALA 64 ESP. 1.25 GALVANIZ. E</t>
  </si>
  <si>
    <t>BANDEJA ESCALERA 600MM ALA 64 ESP. 1.25 GALVANIZ. E</t>
  </si>
  <si>
    <t>DESCARGADOR SOBRETENSIONES 1P +N 20Ka SPD275/20D</t>
  </si>
  <si>
    <t>27198</t>
  </si>
  <si>
    <t>DESCARGADOR SOBRETENSIONES UNIP. 40 Ka SPD275/40</t>
  </si>
  <si>
    <t>27197</t>
  </si>
  <si>
    <t>INTERRUPTOR COMPACTO 3 POLOS 100A REG. 63- 100A 36kA CHINT</t>
  </si>
  <si>
    <t>MODULO TOMA C/ NEUTRO COMBINADO BLANCO (353206) LIFE</t>
  </si>
  <si>
    <t>RELE ARRANQUE ESTRELLA TRIANGULO 220V BAW</t>
  </si>
  <si>
    <t>27193</t>
  </si>
  <si>
    <t>SPOT FAENZA CON TULIPA CILINDRO ACERO (SL-123ACE)</t>
  </si>
  <si>
    <t>27194</t>
  </si>
  <si>
    <t>SPOT FAENZA CON TULIPA CILINDRO BLANCO (SL-123B/T)</t>
  </si>
  <si>
    <t>27195</t>
  </si>
  <si>
    <t>SPOT FAENZA CON TULIPA CILINDRO NEGRO (SL-123N/T)</t>
  </si>
  <si>
    <t>27190</t>
  </si>
  <si>
    <t>SPOT GRANADA BLANCO 1 LUZ (S-1900B/T)</t>
  </si>
  <si>
    <t>27191</t>
  </si>
  <si>
    <t>SPOT GRANADA NEGRO 1 LUZ (S-1900N/T)</t>
  </si>
  <si>
    <t>27192</t>
  </si>
  <si>
    <t>SPOT REDONDO EMBUTIR AR111 PVC NEGRO (SE-117NEG)</t>
  </si>
  <si>
    <t>TERMICA 4 X 25 A. 6kA CHINT</t>
  </si>
  <si>
    <t>CLIP GRAMPA FIJACION TAPA BANDEJA ELECE</t>
  </si>
  <si>
    <t>DICROICA LED 4W LUZ CALIDA ** CANDIL</t>
  </si>
  <si>
    <t>DICROICA LED 7W LUZ CALIDA MACROLED**</t>
  </si>
  <si>
    <t>DICROICA LED 7W LUZ CALIDA**</t>
  </si>
  <si>
    <t>DICROICA LED 7W LUZ FRIA MACROLED**</t>
  </si>
  <si>
    <t>DICROICA LED 7W LUZ FRIA**</t>
  </si>
  <si>
    <t>DICROICA LED 7W LUZ NEUTRA MACROLED**</t>
  </si>
  <si>
    <t>DICROICA LED 7W LUZ NEUTRA**</t>
  </si>
  <si>
    <t>DICROICA LED 9W LUZ CALIDA**</t>
  </si>
  <si>
    <t>DICROICA LED 9W LUZ FRIA**</t>
  </si>
  <si>
    <t>DRIVER 18W P/PANEL LED MACROLED</t>
  </si>
  <si>
    <t>DRIVER 45W P/PANEL LED JELUZ</t>
  </si>
  <si>
    <t>27205</t>
  </si>
  <si>
    <t>FAROLA GARDEN HIERRO 100 CM (FJ-100/100/NT)</t>
  </si>
  <si>
    <t>27204</t>
  </si>
  <si>
    <t>FAROLA GARDEN HIERRO 80 CM (FJ-100/80/NT)</t>
  </si>
  <si>
    <t>27202</t>
  </si>
  <si>
    <t>GRAMPA FIJACION 32 MM. KALOP</t>
  </si>
  <si>
    <t>27203</t>
  </si>
  <si>
    <t>GRAMPA FIJACION 40 MM. KALOP</t>
  </si>
  <si>
    <t>27200</t>
  </si>
  <si>
    <t>LAMPARA AR111 LED 12W LUZ CALIDA NOV**</t>
  </si>
  <si>
    <t>27201</t>
  </si>
  <si>
    <t>LAMPARA AR111 LED 12W LUZ FRIA NOV**</t>
  </si>
  <si>
    <t>LAMPARA AR111 LED 60 LUZ FRIA SICA (911581)</t>
  </si>
  <si>
    <t>LAMPARA H POWER 100W E40 LUZ FRIA NOV.**</t>
  </si>
  <si>
    <t>LAMPARA H POWER 120W E40 LUZ FRIA AKAI**</t>
  </si>
  <si>
    <t>LAMPARA H POWER 35W E40 LUZ NEUTRA CANDIL**</t>
  </si>
  <si>
    <t>10567</t>
  </si>
  <si>
    <t>LAMPARA H POWER 45W E27  LUZ FRIA HEAVY DUTY AKAI**</t>
  </si>
  <si>
    <t>LAMPARA H POWER 45W E27 LUZ FRIA AKAI**</t>
  </si>
  <si>
    <t>LAMPARA H POWER 50W E40 LUZ CALIDA JELUZ**</t>
  </si>
  <si>
    <t>LAMPARA H POWER 55W E27 LUZ FRIA AKAI**</t>
  </si>
  <si>
    <t>LAMPARA H POWER 65W E40 LUZ FRIA AKAI**</t>
  </si>
  <si>
    <t>LAMPARA H POWER 65W E40 LUZ FRIA HEAVY DUTY AKAI**</t>
  </si>
  <si>
    <t>LAMPARA H POWER 80W E40 LUZ FRIA AKAI**</t>
  </si>
  <si>
    <t>LAMPARA H POWER 80W E40 LUZ FRIA BAW.**</t>
  </si>
  <si>
    <t>27199</t>
  </si>
  <si>
    <t>TERMICA 1 X 04 A. 6kA CHINT</t>
  </si>
  <si>
    <t>Lista 4 s/IVA</t>
  </si>
  <si>
    <t>27219</t>
  </si>
  <si>
    <t>CABLE TIPO TALLER 3 X 0,75 (PRECIO X MTS) NA.</t>
  </si>
  <si>
    <t>CABLE UNIPOLAR 1 X 16 NEGRO (PRECIO X MTS) NA.</t>
  </si>
  <si>
    <t>CABLE UNIPOLAR 1 X 16 ROJO (PRECIO X MTS) NA.</t>
  </si>
  <si>
    <t>CABLE UNIPOLAR 1 X 16 VERDE Y A (PRECIO X MTS) NA.</t>
  </si>
  <si>
    <t>CABLE UNIPOLAR 1 X 25  NEGRO (PRECIO x MTS) NA.</t>
  </si>
  <si>
    <t>CAJA VACIA AMARILLA - 1 ORIFICIO 22 MM IP65 CHINT</t>
  </si>
  <si>
    <t>27212</t>
  </si>
  <si>
    <t>CAJA VACIA GRIS - 2 ORIFICIOS 22 MM IP65 CHINT</t>
  </si>
  <si>
    <t>27213</t>
  </si>
  <si>
    <t>CAJA VACIA GRIS - 3 ORIFICIOS 22 MM IP65 CHINT</t>
  </si>
  <si>
    <t>FUENTE METALICA 12V 10A 120W MACROLED</t>
  </si>
  <si>
    <t>27211</t>
  </si>
  <si>
    <t>FUENTE METALICA 12V 17A 200W MACROLED</t>
  </si>
  <si>
    <t>INDICADOR LUMINOSO VERDE</t>
  </si>
  <si>
    <t>27207</t>
  </si>
  <si>
    <t>LISTON BAJO ALACENA LED 9W LUZ CALIDA 60CM MACROLED</t>
  </si>
  <si>
    <t>MEMBRANA PROTECCION REDONDA IP66</t>
  </si>
  <si>
    <t>MODULO TOMA DOBLE BLANCO PLATINUM JELUZ</t>
  </si>
  <si>
    <t>MORSETO ESTANCO LINEA LINEA PKD-16 25/95 -25/95 ALUMINIO LCT</t>
  </si>
  <si>
    <t>27206</t>
  </si>
  <si>
    <t>27208</t>
  </si>
  <si>
    <t>27223</t>
  </si>
  <si>
    <t>APLIQUE ALUMINIO NEGRO DE PARED PLUS T510 S/REJA LUC.</t>
  </si>
  <si>
    <t>APLIQUE ALUMINIO NEGRO DE PARED SERENA C/R T522 LUC.</t>
  </si>
  <si>
    <t>APLIQUE DIFUSOR EXT LED DE PARED ALUMINIO SMD 12W</t>
  </si>
  <si>
    <t>APLIQUE UNIDIRECCIONAL DE PARED ALUMINIO LED (04922-1)</t>
  </si>
  <si>
    <t>APLIQUE UNIDIRECCIONAL RECTO ALUMINIO NEGRO P/GU10</t>
  </si>
  <si>
    <t>BUJE REDUCCION ROSCA 3/2 X 1/2" ALUMINIO</t>
  </si>
  <si>
    <t>CAJA INSPECCION 15 X 15 FUND. ALUMINIO</t>
  </si>
  <si>
    <t>CAJA MULTIPLE ALUMINIO 3/4 (1/2 GAS) C/TAPA S/JUNTA "X"</t>
  </si>
  <si>
    <t>CAJA MULTIPLE ALUMINIO 7/8 - 1 (3/4 GAS) C/TAPA S/JUNTA "X"</t>
  </si>
  <si>
    <t>CAJA PASE ALUMINIO 1/2" GAS 100 X 100 X 60  INYECTADA</t>
  </si>
  <si>
    <t>CAJA PASE ALUMINIO 3/4" GAS 100 X 100 X 60  INYECTADA</t>
  </si>
  <si>
    <t>CAJA PASE ALUMINIO CIEGA 100 X 100 X 60  INYECTADA</t>
  </si>
  <si>
    <t>CAJA PASE ESTANCA CUADRADA ALUMINIO 150 X 150 X 100</t>
  </si>
  <si>
    <t>CAJA PASE ESTANCA CUADRADA ALUMINIO 200 X 200 X 100</t>
  </si>
  <si>
    <t>CAJA PASE ESTANCA RECTANG. ALUMINIO 200 X 150 X 100</t>
  </si>
  <si>
    <t>CAJA REDONDA  ALUMINIO 3/4" C/TAPA SIN JUNTA</t>
  </si>
  <si>
    <t>CAJA REDONDA  ALUMINIO 7/8" C/TAPA SIN JUNTA</t>
  </si>
  <si>
    <t>COLGANTE GRANDE PANT.ALUMINIO 28 CM DIAM. E27 BLANCO S.J</t>
  </si>
  <si>
    <t>COLGANTE GRANDE PANT.ALUMINIO 28 CM DIAM. E27 COBRE MATE S.J</t>
  </si>
  <si>
    <t>COLGANTE GRANDE PANT.ALUMINIO 28 CM DIAM. E27 NEGRO S.J</t>
  </si>
  <si>
    <t>COLGANTE INTERIOR ALUMINIO BENETO E27 GRIS MET. BAEL</t>
  </si>
  <si>
    <t>COLGANTE INTERIOR ALUMINIO NEGRO E27 (EXUS) BAEL</t>
  </si>
  <si>
    <t>COLGANTE PANTALLA ALUMINIO BRONCE (BELL04)</t>
  </si>
  <si>
    <t>COLGANTE PANTALLA GRANDE ALUMINIO ROJO (BELL03)</t>
  </si>
  <si>
    <t>COLGANTE PANTALLA GRANDE ALUMINIO VERDE (BELL03)</t>
  </si>
  <si>
    <t>COLUMNA ALUMINIO P/BAJO C. EXT LUMINIS</t>
  </si>
  <si>
    <t>SOLDADOR DE ESTAÑO 30W PTA. LAPIZ</t>
  </si>
  <si>
    <t>27221</t>
  </si>
  <si>
    <t>TERMICA 3 X 10 A. 6kA CHINT</t>
  </si>
  <si>
    <t>27222</t>
  </si>
  <si>
    <t>TRANSFORMADOR DE CORRIENTE 100/5A BAW</t>
  </si>
  <si>
    <t>TUERCA P/CONECTOR LARGO 1 1/2" ALUMINIO</t>
  </si>
  <si>
    <t>TUERCA P/CONECTOR LARGO 1" 1/4 ALUMINIO</t>
  </si>
  <si>
    <t>TUERCA P/CONECTOR LARGO 1" ALUMINIO</t>
  </si>
  <si>
    <t>TUERCA P/CONECTOR LARGO 3/4" ALUMIMIO</t>
  </si>
  <si>
    <t>TUERCA P/CONECTOR LARGO 7/8" ALUMINIO</t>
  </si>
  <si>
    <t>PANEL LED 45W 60X60 LUZ CALIDA JELUZ</t>
  </si>
  <si>
    <t>PANEL LED 45W 60X60 LUZ FRIA JELUZ</t>
  </si>
  <si>
    <t>ACCESORIO REJA P/PANT GONNET 31 CM. BLANCO  (7613-16) S.J.</t>
  </si>
  <si>
    <t>ACCESORIO REJA P/PANT GONNET 31 CM. NEGRO  (7613-02) S.J.</t>
  </si>
  <si>
    <t>APLIQUE ALUMINÉ CUADRADO 1 L. C/MOV. CUBET ACERO (6513-13) S. J</t>
  </si>
  <si>
    <t>APLIQUE BELEN 2 L. BASE OVAL. C/TULIPA ACERO (18022-13) S.J.</t>
  </si>
  <si>
    <t>27237</t>
  </si>
  <si>
    <t>APLIQUE BELEN 2 L. BASE OVAL. C/TULIPA NEGRO (18020-02) S.J.</t>
  </si>
  <si>
    <t>27236</t>
  </si>
  <si>
    <t>APLIQUE BELEN 2 L. BASE OVAL.C/TULIPA BLANCA (18020-01) S.J.</t>
  </si>
  <si>
    <t>27234</t>
  </si>
  <si>
    <t>APLIQUE BIDIRECCIONAL CUADRADO G9 NEGRO (4750-02) S.J.</t>
  </si>
  <si>
    <t>27235</t>
  </si>
  <si>
    <t>APLIQUE BIDIRECCIONAL RECTANGULAR DICRO NEGRO (4760-02) S.J.</t>
  </si>
  <si>
    <t>27233</t>
  </si>
  <si>
    <t>APLIQUE BIDIRECCIONAL RECTANGULAR G9 NEGRO (4740-02) S.J.</t>
  </si>
  <si>
    <t>27232</t>
  </si>
  <si>
    <t>APLIQUE BIDIRECCIONAL RECTANGULAR GRANDE DICRO NEGRO (4790-02) S.J.</t>
  </si>
  <si>
    <t>APLIQUE BIDIRECCIONAL TRAPEZOIDAL G9 NEGRO (4770-02) S.J.</t>
  </si>
  <si>
    <t>APLIQUE DINA MOVIL 2L GU10 C/REGLETA 35CM (DR19120-16) S.J</t>
  </si>
  <si>
    <t>APLIQUE ENSENADA PARED CHAPA ECO 25 CM C/BARRAL "L" NEGRO (7695) S.J.</t>
  </si>
  <si>
    <t>APLIQUE PARED CHAPA GONNET 31 CM C/BARRAL "L" BLANCO</t>
  </si>
  <si>
    <t>APLIQUE PARED CHAPA GONNET 31 CM C/BARRAL "L" NEGRO</t>
  </si>
  <si>
    <t>APLIQUE PARED OSTENDE C/PANT. MET. EMBUDO BLANCO (OS8902-51) S.J</t>
  </si>
  <si>
    <t>APLIQUE PARED OSTENDE C/PANT. MET. EMBUDO NEGRO (OS8902-52) S.J</t>
  </si>
  <si>
    <t>APLIQUE PIRANE 2 L. BASE REGLA C/TULIPA NEGRO (TR9021-02) S.J.</t>
  </si>
  <si>
    <t>APLIQUE PIRANE 3 L. BASE REGLA C/TULIPA NEGRO (TR9031-02) S.J.</t>
  </si>
  <si>
    <t>APLIQUE UNIDIRECCIONAL RECTANGULAR DICRO NEGRO (4780-02) S.J.</t>
  </si>
  <si>
    <t>APLIQUE WANDA PARED 1 L. BASE RED. NEGRO (WA8011-02) S.J</t>
  </si>
  <si>
    <t>APLIQUE WANDA PARED 1 L. BASE REDONDO BLANCO (WA8011-16) S.J</t>
  </si>
  <si>
    <t>APLIQUE WANDA PARED 1 L. BASE REDONDO OXIDO (WA8011-19) S.J</t>
  </si>
  <si>
    <t>CABEZAL DINA P/DICRO LED LISO NEGRO (19000-02) S.J</t>
  </si>
  <si>
    <t>COLGANTE  BARADERO CHAPA OVI 180 MM 1 L CROMO (CC6615-18) S.J.</t>
  </si>
  <si>
    <t>COLGANTE BARADERO 1/2 ESFERA Ø 34 1L PLATA (CC6612-28) S.J.</t>
  </si>
  <si>
    <t>COLGANTE BARADERO ALUMINIO OVI 240 MM 1 L BCO. (CC6616-01) S.J.</t>
  </si>
  <si>
    <t>COLGANTE BARADERO ALUMINIO OVI 240 MM 1 L NG (CC6616-02) S.J.</t>
  </si>
  <si>
    <t>COLGANTE BARADERO CHAPA 240MM AZUL MET. (CC6616-24) S.J.</t>
  </si>
  <si>
    <t>COLGANTE BARADERO CHAPA 240MM COBRE (CC6616-10) S.J.</t>
  </si>
  <si>
    <t>COLGANTE BARADERO CHAPA 240MM CROMO (CC6616-18) S.J.</t>
  </si>
  <si>
    <t>COLGANTE BARADERO CHAPA Ø24 CROMO (CC6611-18) S.J.</t>
  </si>
  <si>
    <t>COLGANTE BARADERO CHAPA OVI 180 MM 1 L COBRE (CC6615-10) S.J.</t>
  </si>
  <si>
    <t>COLGANTE BARADERO CHAPA OVI 180 MM 1 L NEGRO (CC6615-02) S.J.</t>
  </si>
  <si>
    <t>COLGANTE BARADERO CHAPA OVI 180 MM 1 L. BLANCO (CC6615-019 S.J.</t>
  </si>
  <si>
    <t>COLGANTE CARDALES AVIAR MINI 1 L. JAULA BLANCO (CJ6561-01) S.J.</t>
  </si>
  <si>
    <t>COLGANTE CARDALES AVIAR MINI 1 L. JAULA COBRE (CJ6561-10) S.J.</t>
  </si>
  <si>
    <t>COLGANTE CARDALES AVIAR MINI 1 L. JAULA NEGRO (CJ6561-02) S.J.</t>
  </si>
  <si>
    <t>COLGANTE CARDALES AVIAR MINI 1 L. JAULA OXIDO (CJ6561-19) S.J.</t>
  </si>
  <si>
    <t>COLGANTE CARDALES DIAMANTE 1 L. JAULA 26X31 CM NEGRA (CJ6681-02) S.J.</t>
  </si>
  <si>
    <t>COLGANTE CARDALES DIAMANTE 1 L. JAULA 26X31 CM OXIDO (CJ6681-19) S.J.</t>
  </si>
  <si>
    <t>COLGANTE CARDALES DIAMANTE MINI  1 L. JAULA COBRE (CJ6541-10) S.J.</t>
  </si>
  <si>
    <t>COLGANTE CARDALES DIAMANTE MINI 1 L. JAULA BLANCA (CJ6541-01) S.J.</t>
  </si>
  <si>
    <t>COLGANTE CARDALES DIAMANTE MINI 1 L. JAULA NEGRO (CJ6541-02) S.J.</t>
  </si>
  <si>
    <t>COLGANTE CARDALES DIAMANTE MINI 1 L. JAULA OXIDO (CJ6541-19) S.J.</t>
  </si>
  <si>
    <t>COLGANTE CARDALES ESFERA MINI 1 L.  JAULA COBRE (CJ6571-10) S.J.</t>
  </si>
  <si>
    <t>COLGANTE CARDALES ESFERA MINI 1 L. JAULA BLANCO (CJ6571-01) S.J.</t>
  </si>
  <si>
    <t>COLGANTE CARDALES ESFERA MINI 1 L. JAULA NEGRO (CJ6571-02) S.J.</t>
  </si>
  <si>
    <t>COLGANTE CARDALES ESFERA MINI 1 L. JAULA OXIDO (CJ6571-19) S.J.</t>
  </si>
  <si>
    <t>COLGANTE CHAPA CONO GONNET 1 L. 31 CM BLANCO (7610-71) S.J.</t>
  </si>
  <si>
    <t>COLGANTE CHAPA CONO GONNET 1 L. 31 CM NEGRO  (7610-72) S.J.</t>
  </si>
  <si>
    <t>COLGANTE CHICO TRELEW PANT. ALUMINIO 16 CM DIAM. E27 NEGRO (7720-02) S.J.</t>
  </si>
  <si>
    <t>COLGANTE ENSENADA CHAPA ECO 33 CM. 1 L NEGRO (7691-02) S.J.</t>
  </si>
  <si>
    <t>COLGANTE ENSENADA CHAPA ECO 33 CM. 1 L OXIDADO (7691-19) S.J.</t>
  </si>
  <si>
    <t>COLGANTE GEO BARADERO CHAPA 1/2 ESFERA BLANCO C/MADERA (MC6610-16)</t>
  </si>
  <si>
    <t>COLGANTE GEO BARADERO CHAPA 1/2 ESFERA GRIS PLOMO C/MADERA (MC6610-08)</t>
  </si>
  <si>
    <t>COLGANTE GEO BARADERO CHAPA 1/2 ESFERA NEGRO C/MADERA (MC6610-02)</t>
  </si>
  <si>
    <t>COLGANTE MAXI TRELEW PANT. ALUMINIO 30.5 CM DIAM. E27 BLANCA (CJ7740-16) S.J.</t>
  </si>
  <si>
    <t>COLGANTE OSTENDE C/PANT. MET. 1 LUZ BLANCO/COBRE (OS6810-51) S.J.</t>
  </si>
  <si>
    <t>COLGANTE OSTENDE C/PANT. MET. 1 LUZ NEGRO/COBRE (OS6810-52) S.J.</t>
  </si>
  <si>
    <t>COLGANTE OSTENDE C/PANT. MET. 1 LUZ SALMON/COBRE (OS6810-56) S.J.</t>
  </si>
  <si>
    <t>COLGANTE OSTENDE C/PANT. MET. 1L AZUL/COBRE (OS6810-54) S.J.</t>
  </si>
  <si>
    <t>COLGANTE OSTENDE C/PANT.MET 1 L. ROSA-COBRE (OS6810-57)</t>
  </si>
  <si>
    <t>COLGANTE PILAR 1 LUZ C/MALLA C/CADENA NEGRO (CR6675-02) S.J.</t>
  </si>
  <si>
    <t>COLGANTE PILAR CADENA C/MALLA 3 L. OXIDO (CR6676-19) S.J.</t>
  </si>
  <si>
    <t>COLGANTE PILAR CHAPA C/ ACRILICO 2 L. (CR6672-02) S.J.</t>
  </si>
  <si>
    <t>COLGANTE PILAR CHAPA C/MALLA 2 L. MET. NEGRO (CR6662-02) S.J.</t>
  </si>
  <si>
    <t>COLGANTE PILAR CHAPA C/MALLA 2 L. OXIDO (CR6662-19) S.J.</t>
  </si>
  <si>
    <t>COLGANTE PILAR CHAPA C/MALLA MET. 4 L. NEGRO (CR6664-02) S.J.</t>
  </si>
  <si>
    <t>COLGANTE PILAR HIERRO RECTANG. 5 L. PILAR NEGRO (CR6653-02) S.J</t>
  </si>
  <si>
    <t>COLGANTE PILAR HIERRO RECTANG. 5 L. PILAR OIXIDO (CR6653-19) S.J</t>
  </si>
  <si>
    <t>27227</t>
  </si>
  <si>
    <t>COLGANTE UFO LED 100W LUZ FRIA MACROLED ECO</t>
  </si>
  <si>
    <t>27228</t>
  </si>
  <si>
    <t>COLGANTE UFO LED 150W LUZ FRIA MACROLED ECO</t>
  </si>
  <si>
    <t>COLGANTE WANDA TRIANGULO 1 LUZ BLANCO 30X30CM (WA6671-16) S.J.</t>
  </si>
  <si>
    <t>FAROL ORIENT C/MENSULA 1 L.P/BC RECTANGULAR ESMER. NG (5570-02)</t>
  </si>
  <si>
    <t>FAROL ORIENT D/PARED CUADRADO ESMER. NG. (5565-02) S.J.</t>
  </si>
  <si>
    <t>FAROL PIRAMIDES MINI COLGANTE C/CADENA 1 L. H24CM NG (5593-02) S.J.</t>
  </si>
  <si>
    <t>FAROL TRAPEZOIDAL DE PARED OXIDO (5500-19) S.J.</t>
  </si>
  <si>
    <t>FAROL TRAPEZOIDAL MENSULA C/ARO MOV .NG (5514-02) S.J.</t>
  </si>
  <si>
    <t>FAROL TRAPEZOIDAL MONSERRAT DE PARED OXIDO (5550-19) S.J</t>
  </si>
  <si>
    <t>FLORON VINTAGE ARMADO BLANCO CABLE 1 MTS BL/NG (LV6640-51) S.J.</t>
  </si>
  <si>
    <t>FLORON VINTAGE ARMADO BLANCO CABLE 2 MTS BL/NG (LV6641-51) S.J.</t>
  </si>
  <si>
    <t>FLORON VINTAGE ARMADO COBRE CABLE 1 MTS NG (LV6640-54) S.J.</t>
  </si>
  <si>
    <t>FLORON VINTAGE ARMADO COBRE CABLE 2 MTS NG (LV6641-54) S.J.</t>
  </si>
  <si>
    <t>FLORON VINTAGE ARMADO NEGRO CABLE 1 MTS B (LV6640-53) S.J.</t>
  </si>
  <si>
    <t>FLORON VINTAGE ARMADO NEGRO CABLE 2 MTS BL/NG (LV6641-53) S.J.</t>
  </si>
  <si>
    <t>27229</t>
  </si>
  <si>
    <t>PERFIL DE ALUMINIO 3MT PARA TIRA LED</t>
  </si>
  <si>
    <t>PLAFON LAGUNA 1 L. MOV. P/AR111 BLANCO (6350-01) S.J.</t>
  </si>
  <si>
    <t>PLAFON LAGUNA 1 L. MOV. P/AR111 NEGRO (6350-02) S.J.</t>
  </si>
  <si>
    <t>PLAFON LAGUNA 2 L. MOV. P/AR111 BLANCO (6351-01) S.J.</t>
  </si>
  <si>
    <t>PLAFON LAGUNA 2 L. MOV. P/AR111 NEGRO (6351-02) S.J.</t>
  </si>
  <si>
    <t>PLAFON LAGUNA 3 L. MOV. P/AR111 BLANCO (6352-01) S.J.</t>
  </si>
  <si>
    <t>PLAFON LAGUNA 3 L. MOV. P/AR111 NEGRO (6352-02) S.J.</t>
  </si>
  <si>
    <t>PLAFON LAGUNA 4 L. MOV. P/AR111 BLANCO (6353-01) S.J</t>
  </si>
  <si>
    <t>PLAFON LAGUNA 4 L. MOV. P/AR111 NEGRO (6353-02) S.J.</t>
  </si>
  <si>
    <t>PLAFON LAGUNA 4 L. MOV. P/AR111 PLATA (6353-28) S.J</t>
  </si>
  <si>
    <t>PLAFON LAGUNA CUAD. 4 L. MOV. GU10 28X28 ACERO (6453-13) S.J.</t>
  </si>
  <si>
    <t>PLAFON LAGUNA CUAD. 4 L. MOV. GU10 28X28 BLANCO (6453-01) S.J.</t>
  </si>
  <si>
    <t>PLAFON LAGUNA CUAD. 4 L. MOV. GU10 28X28 NEGRO (6453-02) S.J.</t>
  </si>
  <si>
    <t>PLAFON LAGUNA RECT. 2 L. MOV. GU10 17X28 BLANCO (6451-01) S.J.</t>
  </si>
  <si>
    <t>PLAFON LAGUNA RECT. 2 L. MOV. GU10 17X28 NEGRO (6451-02) S.J.</t>
  </si>
  <si>
    <t>PLAFON LAGUNA RECT. 3 L. MOV. GU10 17X43 BLANCO (6452-01) S.J.</t>
  </si>
  <si>
    <t>PLAFON LAGUNA RECT. 3 L. MOV. GU10 17X43 NEGRO (6452-02) S.J.</t>
  </si>
  <si>
    <t>REGLETA 2 L. 35 CM. BLANCO (RG6320-01) S.J.</t>
  </si>
  <si>
    <t>REGLETA 2 L. 35 CM. NEGRO (RG6320-02) S.J.</t>
  </si>
  <si>
    <t>REGLETA 3 L. 120CM CAB. SPOT MOVIL ACERO P/AR111 C/GU10 (G6323-13) S.J.</t>
  </si>
  <si>
    <t>REGLETA 3 L. 120CM CAB. SPOT MOVIL BLANCO MICRO P/AR111 (G6323-16) S.J.</t>
  </si>
  <si>
    <t>REGLETA 3 L. 120CM CAB. SPOT MOVIL NEGRO P/AR111 C/GU10 (G6323-02) S.J.</t>
  </si>
  <si>
    <t>REGLETA 4 L. 120CM CAB. SPOT MOVIL ACERO P/AR111 C/GU10 (G6324-13) S.J.</t>
  </si>
  <si>
    <t>REGLETA 4 L. 120CM CAB. SPOT MOVIL BLANCO MICRO P/AR111 (G6324-16) S.J.</t>
  </si>
  <si>
    <t>REGLETA 4 L. 120CM CAB. SPOT MOVIL NEGRO P/AR111 C/GU10 (G6324-02) S.J.</t>
  </si>
  <si>
    <t>27238</t>
  </si>
  <si>
    <t>SPOT CUADRADO EMBUTIR AR111 ACERO C/MOV (G6171-13) S.J.</t>
  </si>
  <si>
    <t>27241</t>
  </si>
  <si>
    <t>SPOT DICRO FIJO EMBUTIR 8 CM ACERO (G6105-13) S.J.</t>
  </si>
  <si>
    <t>SPOT DICRO FIJO EMBUTIR 8 CM BLANCO (G6100-01) S.J.</t>
  </si>
  <si>
    <t>SPOT DICRO FIJO EMBUTIR 8 CM PLATA (G6100-28) S.J</t>
  </si>
  <si>
    <t>SPOT DICRO MOVIL EMBUTIR 10 CM ACERO (G6115-13) S.J.</t>
  </si>
  <si>
    <t>SPOT DICRO MOVIL EMBUTIR 10 CM BLANCO (G6110-01) S.J.</t>
  </si>
  <si>
    <t>SPOT DICRO MOVIL EMBUTIR 10CM BLANCO MICRO (G6110-16) S.J.</t>
  </si>
  <si>
    <t>SPOT EMBUTIR 11 CM. PLATIL E-27 ( SE-111 PLA )</t>
  </si>
  <si>
    <t>SPOT EMBUTIR 8 CM. GU5.3 PIN C/PORT. PLATA (SE-151PLA)</t>
  </si>
  <si>
    <t>SPOT REDONDO EMBUTIR  11CM. DICRO C/PORT. PLATA (SE-113PLA)</t>
  </si>
  <si>
    <t>SPOT REDONDO EMBUTIR 11CM. DICRO C/PORT. BLANCO (SE-113BLA)</t>
  </si>
  <si>
    <t>SPOT REDONDO EMBUTIR 11CM. DICRO C/PORT. DORADO (SE-113DOR)</t>
  </si>
  <si>
    <t>SPOT REDONDO EMBUTIR 11CM. DICRO C/PORT. NEGRO (SE-113NEG)</t>
  </si>
  <si>
    <t>SPOT REDONDO EMBUTIR AR111 ACERO C/MOV (G6175-13) S.J.</t>
  </si>
  <si>
    <t>SPOT REDONDO EMBUTIR AR111 BLANCO C/MOV (G6170-01) S.J.</t>
  </si>
  <si>
    <t>27240</t>
  </si>
  <si>
    <t>SPOT REDONDO EMBUTIR AR111 BLANCO MICRO C/MOV (G6170-16) S.J.</t>
  </si>
  <si>
    <t>27239</t>
  </si>
  <si>
    <t>SPOT REDONDO EMBUTIR AR111 NEGRO C/MOV (G6170-02) S.J</t>
  </si>
  <si>
    <t>SPOT VEDIA CUADRADO SEMIEMBUTIDO AR111 ACERO (6330-13) S.J.</t>
  </si>
  <si>
    <t>SPOT VEDIA CUADRADO SEMIEMBUTIDO DICRO ACERO (6450-13) S.J.</t>
  </si>
  <si>
    <t>SPOT VEDIA CUADRADO SEMIEMBUTIDO DICRO BLANCO MICRO (6450-16) S.J</t>
  </si>
  <si>
    <t>SPOT VEDIA REDONDO SEMIEMBUTIDO AR111 ACERO (6331-13) S.J.</t>
  </si>
  <si>
    <t>SPOT VEDIA REDONDO SEMIEMBUTIDO DICRO ACERO (6460-13) S.J.</t>
  </si>
  <si>
    <t>TERMICA 4 X 32 A. 6kA CHINT</t>
  </si>
  <si>
    <t>AMPERIMETRO DIGIT. 96x96 mm. P/TI In/5A (DP-96/5A) BAW</t>
  </si>
  <si>
    <t>27253</t>
  </si>
  <si>
    <t>AMPERIMETRO P/TABLERO 100A C/TI ROJO (B8EA974-100)</t>
  </si>
  <si>
    <t>27252</t>
  </si>
  <si>
    <t>AMPERIMETRO P/TABLERO 100A C/TI VERDE (B8EA973-100)</t>
  </si>
  <si>
    <t>27246</t>
  </si>
  <si>
    <t>CABLE SUBTERRANEO 3 X 10 (PRECIO X MTS) KALOP.</t>
  </si>
  <si>
    <t>CABLE SUBTERRANEO 5 X 1.5 (PRECIO X MTS) NA.</t>
  </si>
  <si>
    <t>27250</t>
  </si>
  <si>
    <t>27249</t>
  </si>
  <si>
    <t>27248</t>
  </si>
  <si>
    <t>27245</t>
  </si>
  <si>
    <t>MORSETO PKD 20 PINZA DE ANCLAR PLASTICO LCT</t>
  </si>
  <si>
    <t>27243</t>
  </si>
  <si>
    <t>RECEPTACULO RECTO BASE TERMOPLAS BLANCO (589) S.J.</t>
  </si>
  <si>
    <t>27244</t>
  </si>
  <si>
    <t>RECEPTACULO RECTO BASE TERMOPLAS NEGRO (587) S.J.</t>
  </si>
  <si>
    <t>27242</t>
  </si>
  <si>
    <t>SPOT REDONDO EMBUTIR AR111 POLIC. BLANCO C/MOV (7170-01) S.J.</t>
  </si>
  <si>
    <t>27247</t>
  </si>
  <si>
    <t>TERMICA 4 X 125 A. 10kA Curva C CHINT</t>
  </si>
  <si>
    <t>27251</t>
  </si>
  <si>
    <t>VOLTIMETRO DIGIT. P/PANEL 96x96 (DP-96/600V) BAW</t>
  </si>
  <si>
    <t>CABLE SUBTERRANEO 1 X 50  (PRECIO x MTS) MH.</t>
  </si>
  <si>
    <t>CABLE SUBTERRANEO 1 X 70  (PRECIO x MTS) MH.</t>
  </si>
  <si>
    <t>CARTEL SALIDA EMERGENCIA LED</t>
  </si>
  <si>
    <t>27259</t>
  </si>
  <si>
    <t>CARTEL SALIDA Hombre LED</t>
  </si>
  <si>
    <t>COLGANTE ALUMINIO BALA (C-119)</t>
  </si>
  <si>
    <t>27258</t>
  </si>
  <si>
    <t>DICROICA LED 5W LUZ FRIA MACROLED**</t>
  </si>
  <si>
    <t>27256</t>
  </si>
  <si>
    <t>FICHA MACHO 20A REFORZADO GRIS TAAD</t>
  </si>
  <si>
    <t>27257</t>
  </si>
  <si>
    <t>MODULO TOMA ROJO ESTABILIZADO (7604) CAMBRE**</t>
  </si>
  <si>
    <t>27255</t>
  </si>
  <si>
    <t>TERMICA 3 X 16 A. 6kA CHINT</t>
  </si>
  <si>
    <t>TERMICA 4 X 10 A. 6kA CHINT</t>
  </si>
  <si>
    <t>TERMICA 4 X 100 A. 10kA Curva C CHINT</t>
  </si>
  <si>
    <t>TERMICA 4 X 80 A. 10Ka Curva C CHINT</t>
  </si>
  <si>
    <t>UTP CAT. 6 NEGRO EXTERIOR X MTS. CERTIFICADO EPUYEN</t>
  </si>
  <si>
    <t>COLGANTE UFO LED 100W LUZ FRIA STAR ECO BAEL</t>
  </si>
  <si>
    <t>27264</t>
  </si>
  <si>
    <t>CONTACTOR P/CAPACITORES 25kVAr 1NA+1NC 220VCA CHINT</t>
  </si>
  <si>
    <t>27261</t>
  </si>
  <si>
    <t>DISYUNTOR 4 X 40 A. 100mA CHINT</t>
  </si>
  <si>
    <t>27260</t>
  </si>
  <si>
    <t>GRAMPA SUSPENSION VARILLA A TECHO OMEGA ELECE</t>
  </si>
  <si>
    <t>27266</t>
  </si>
  <si>
    <t>INTERRUPTOR COMPACTO 3 POLOS 160A REG. 80-160A 36kA CHINT</t>
  </si>
  <si>
    <t>27265</t>
  </si>
  <si>
    <t>INTERRUPTOR COMPACTO 4 POLOS 160A REG. 80-160A 36kA CHINT</t>
  </si>
  <si>
    <t>LAMPARA BIPIN LED G4 12V 1.5W LUZ DIA BAW</t>
  </si>
  <si>
    <t>27262</t>
  </si>
  <si>
    <t>SECCIONADOR DIN 125A 4 POLOS CHINT</t>
  </si>
  <si>
    <t>SPOT CUADRADO EMBUTIR BLANCO P/MINI DICRO CANDIL</t>
  </si>
  <si>
    <t>27263</t>
  </si>
  <si>
    <t>TERMICA 1 X 02 A. 6kA CHINT</t>
  </si>
  <si>
    <t>APLIQUE BIDIRECCIONAL MONACO DIFUSOR 2 AR-111 (AP-211)</t>
  </si>
  <si>
    <t>APLIQUE BIDIRECCIONAL MONACO DIFUSOR 2 GU10 (AP-205)</t>
  </si>
  <si>
    <t>APLIQUE BIDIRECCIONAL MONACO DIFUSOR E-27 (AP-101)</t>
  </si>
  <si>
    <t>APLIQUE BIDIRECCIONAL MONACO DIFUSOR G-9 (AP-106)</t>
  </si>
  <si>
    <t>APLIQUE CAP 1 LUZ LED 1 X 4,2 W CANDIL</t>
  </si>
  <si>
    <t>APLIQUE CAP 2 LUCES LED 2 X 4,2 W CANDIL</t>
  </si>
  <si>
    <t>APLIQUE UNIDIRECCIONAL MONACO DIFUSOR E-27 (AP-102)</t>
  </si>
  <si>
    <t>APLIQUE UNIDIRECCIONAL MONACO DIFUSOR GU10 (AP-105)</t>
  </si>
  <si>
    <t>27268</t>
  </si>
  <si>
    <t>27267</t>
  </si>
  <si>
    <t>27269</t>
  </si>
  <si>
    <t>TERMICA "CURVA D" 2 X 20 A. 10kA CHINT</t>
  </si>
  <si>
    <t>27270</t>
  </si>
  <si>
    <t>TERMICA "CURVA D" 2 X 40 A. 10kA CHINT</t>
  </si>
  <si>
    <t>CABLE TIPO TALLER 4 X 4 (PRECIO X MTS) W.</t>
  </si>
  <si>
    <t>CALEFON PLASTICO 25 LTS. RES. ALU.</t>
  </si>
  <si>
    <t>CONTACTO AUX. DE MONTAJE SUP. 1NO+1NC (AX-3X/11) NXC CHINT</t>
  </si>
  <si>
    <t>27273</t>
  </si>
  <si>
    <t>CONTACTOR TRIP. 9A 380V 1NA+1NC CHINT</t>
  </si>
  <si>
    <t>DICROICA LED ¨DIMERIZABLE¨ 7W LUZ CALIDA</t>
  </si>
  <si>
    <t>DICROICA LED ¨DIMERIZABLE¨ 7W LUZ FRIA</t>
  </si>
  <si>
    <t>DICROICA LED 7W ¨GRIS¨ LUZ CALIDA</t>
  </si>
  <si>
    <t>DICROICA LED 7W ¨GRIS¨ LUZ FRIA</t>
  </si>
  <si>
    <t>SPOT CUADRADO EMBUTIR DICRO ACERO VOLTIO</t>
  </si>
  <si>
    <t>SPOT CUADRADO EMBUTIR DICRO BLANCO VOLTIO</t>
  </si>
  <si>
    <t>SPOT CUADRADO EMBUTIR DICRO CROMO VOLTIO</t>
  </si>
  <si>
    <t>SPOT CUADRADO EMBUTIR DICRO HAYA VOLTIO</t>
  </si>
  <si>
    <t>SPOT CUADRADO EMBUTIR DICRO NOGAL VOLTIO</t>
  </si>
  <si>
    <t>SPOT CUADRADO EMBUTIR DICRO ORO MATE VOLTIO</t>
  </si>
  <si>
    <t>SPOT CUADRADO EMBUTIR DICRO POLICARB. ACERO VOLTIO</t>
  </si>
  <si>
    <t>SPOT CUADRADO EMBUTIR DICRO POLICARB. BLANCO VOLTIO</t>
  </si>
  <si>
    <t>SPOT CUADRADO EMBUTIR DICRO POLICARB. NEGRO VOLTIO</t>
  </si>
  <si>
    <t>SPOT CUADRADO EMBUTIR DICRO WENGUE VOLTIO</t>
  </si>
  <si>
    <t>SPOT REDONDO EMBUTIR DICRO ACERO VOLTIO</t>
  </si>
  <si>
    <t>SPOT REDONDO EMBUTIR DICRO BLANCO VOLTIO</t>
  </si>
  <si>
    <t>SPOT REDONDO EMBUTIR DICRO CROMO VOLTIO</t>
  </si>
  <si>
    <t>SPOT REDONDO EMBUTIR DICRO NEGRO VOLTIO</t>
  </si>
  <si>
    <t>SPOT REDONDO EMBUTIR DICRO ORO MATE VOLTIO</t>
  </si>
  <si>
    <t>SPOT REDONDO EMBUTIR DICRO POLICARB. ACERO VOLTIO</t>
  </si>
  <si>
    <t>SPOT REDONDO EMBUTIR DICRO POLICARB. BLANCO VOLTIO</t>
  </si>
  <si>
    <t>SPOT REDONDO EMBUTIR DICRO POLICARB. NEGRO VOLTIO</t>
  </si>
  <si>
    <t>27274</t>
  </si>
  <si>
    <t>TERMICA "CURVA D" 4 X 20 A. 10kA CHINT</t>
  </si>
  <si>
    <t>27275</t>
  </si>
  <si>
    <t>TERMICA "CURVA D" 4 X 25 A. 10kA CHINT</t>
  </si>
  <si>
    <t>27271</t>
  </si>
  <si>
    <t>TERMICA "CURVA D" 4 X 63 A. 10kA CHINT</t>
  </si>
  <si>
    <t>TERMICA 3 X 40 A. 6kA CHINT</t>
  </si>
  <si>
    <t>27272</t>
  </si>
  <si>
    <t>TERMICA 3 X 6 A. 6kA CHINT</t>
  </si>
  <si>
    <t>TERMICA 4 X 6 A. 6kA CHINT</t>
  </si>
  <si>
    <t>BASTIDOR TRANSPARENTE P/Q MINIMAL 10x5  (55115) TECLASTAR</t>
  </si>
  <si>
    <t>CABLE UNIPOLAR  LSOH 1 X 1,50  NEGRO (PRECIO x MTS)</t>
  </si>
  <si>
    <t>CABLE UNIPOLAR  LSOH 1 X 2,5 ROJO (PRECIO x MTS) MH.</t>
  </si>
  <si>
    <t>CABLE UNIPOLAR  LSOH 1 X 2,5 VERDE Y A (PRECIO x MTS) MH.</t>
  </si>
  <si>
    <t>CABLE UNIPOLAR  LSOH 1 X 2,50 BLANCO (PRECIO x MTS)</t>
  </si>
  <si>
    <t>CABLE UNIPOLAR  LSOH 1 X 2,50 NEGRO (PRECIO x MTS) MH.</t>
  </si>
  <si>
    <t>CABLE UNIPOLAR LSOH 1 X 1,5 BLANCO (PRECIO x MTS) MH.</t>
  </si>
  <si>
    <t>CABLE UNIPOLAR LSOH 1 X 1,50 MARRON (PRECIO x MTS) ARG.</t>
  </si>
  <si>
    <t>CABLE UNIPOLAR LSOH 1 X 2,50 CELESTE (PRECIO X MTS) MH.</t>
  </si>
  <si>
    <t>CAJA PASE PVC 75 X 75 X 55 G. TAAD</t>
  </si>
  <si>
    <t>CAJA PVC EXTERIOR P/TM. C/PTA. 6 A 12 BOCAS CABRERA</t>
  </si>
  <si>
    <t>COLGANTE 3 LUCES NEGRO C/REGL. C/CADE. C/PANT. (CR6302-72) S.J.</t>
  </si>
  <si>
    <t>COLGANTE BALCARCE 1L PANT Ø20cm COBRE - BLANCO (3001-51) S.J.</t>
  </si>
  <si>
    <t>COLGANTE BALCARCE 1L PANT Ø20cm COBRE - NEGRO (3001-52) S.J.</t>
  </si>
  <si>
    <t>COLGANTE BALCARCE 1L PANT Ø30cm OXIDO (3002-19) S.J.</t>
  </si>
  <si>
    <t>27281</t>
  </si>
  <si>
    <t>CONTACTO AUX. DE MONTAJE SUP. 2NO+2NC  NXC SERIES CHINT</t>
  </si>
  <si>
    <t>27280</t>
  </si>
  <si>
    <t>CONTACTO AUX. DE MONTAJE SUP. 2NO+2NC  NXC-06M/09M/12M CHINT</t>
  </si>
  <si>
    <t>27279</t>
  </si>
  <si>
    <t>CONTACTOR TRIP. 100A 220V 1NA+1NC CHINT</t>
  </si>
  <si>
    <t>DICROICA ¨Negra¨ LED 7W LUZ CALIDA**</t>
  </si>
  <si>
    <t>DICROICA ¨Negra¨ LED 7W LUZ FRIA**</t>
  </si>
  <si>
    <t>LUZ DE EMERGENCIA 30 LEDS MACROLED</t>
  </si>
  <si>
    <t>MARCO PARA PANEL LED 30X120 MACROLED</t>
  </si>
  <si>
    <t>27277</t>
  </si>
  <si>
    <t>MARCO PARA PANEL LED 60X60 MACROLED</t>
  </si>
  <si>
    <t>MINI RELE 4 INV.  220V CHINT</t>
  </si>
  <si>
    <t>27278</t>
  </si>
  <si>
    <t>27276</t>
  </si>
  <si>
    <t>SENSOR MOVIMIENTO P/PARED MACROLED</t>
  </si>
  <si>
    <t>SENSOR MOVIMIENTO PARED/TECHO AKAI 1401</t>
  </si>
  <si>
    <t>27285</t>
  </si>
  <si>
    <t>TAPON P/ CAJA MULTIPLE 3/4 (1/2 GAS)</t>
  </si>
  <si>
    <t>27282</t>
  </si>
  <si>
    <t>27283</t>
  </si>
  <si>
    <t>27284</t>
  </si>
  <si>
    <t>TERMICA "CURVA D" 4 X 32 A. 10kA  CHINT</t>
  </si>
  <si>
    <t>27287</t>
  </si>
  <si>
    <t>CABLE UNIPOLAR LSOH 1 X 2,50 MARRON (PRECIO x MTS) MH.</t>
  </si>
  <si>
    <t>27288</t>
  </si>
  <si>
    <t>GABINETE ESTANCO 300 X 450 X 100 Serie 9000 GENROD</t>
  </si>
  <si>
    <t>27289</t>
  </si>
  <si>
    <t>GABINETE ESTANCO 600 X 1050 X 300 Serie 900 GENROD</t>
  </si>
  <si>
    <t>27286</t>
  </si>
  <si>
    <t>SOLDADOR DE ESTAÑO 40W. PTA LAPIZ</t>
  </si>
  <si>
    <t>27291</t>
  </si>
  <si>
    <t>CABLE PARA SOLDADURA 50 MM (PRECIO X MTS) AZUL</t>
  </si>
  <si>
    <t>27290</t>
  </si>
  <si>
    <t>FICHA HEMBRA 20A TAAD</t>
  </si>
  <si>
    <t>LAMPARA CLASICA LED 7W LUZ FRIA</t>
  </si>
  <si>
    <t>TERMICA "CURVA D" 4 X 20 A. 6kA  ABB</t>
  </si>
  <si>
    <t>TERMICA "CURVA D" 4 X 25 A. 6kA  ABB</t>
  </si>
  <si>
    <t>CAJA P/TM PVC 8 BOCAS EMBUTIR C/P GENROD (04008)</t>
  </si>
  <si>
    <t>FICHA MACHO DOS PERNOS CHATOS LATERAL  MIG</t>
  </si>
  <si>
    <t>LAMPARA CLASICA LED  9W ¨DIMERIZABLE¨ LUZ FRIA BAW</t>
  </si>
  <si>
    <t>LAMPARA CLASICA LED 12W LUZ FRIA</t>
  </si>
  <si>
    <t>LAMPARA CLASICA LED 15W LUZ FRIA</t>
  </si>
  <si>
    <t>LAMPARA CLASICA LED 7W LUZ CALIDA</t>
  </si>
  <si>
    <t>LAMPARA CLASICA LED 7W LUZ CALIDA ¨DIMERIZABLE¨</t>
  </si>
  <si>
    <t>27294</t>
  </si>
  <si>
    <t>LISTON BAJO ALACENA LED 13W LUZ CALIDA 90CM MACROLED</t>
  </si>
  <si>
    <t>27295</t>
  </si>
  <si>
    <t>LISTON BAJO ALACENA LED 18W LUZ CALIDA 120CM MACROLED</t>
  </si>
  <si>
    <t>27296</t>
  </si>
  <si>
    <t>LISTON BAJO ALACENA LED 5W LUZ CALIDA 30CM MACROLED</t>
  </si>
  <si>
    <t>LISTON DOBLE PARA TUBO LED DE 18W NOV.</t>
  </si>
  <si>
    <t>LISTON DOBLE PARA TUBO LED DE 45W (240CM)</t>
  </si>
  <si>
    <t>LISTON SIMPLE PARA TUBO LED DE 45W (240CM)</t>
  </si>
  <si>
    <t>LUMINARIA ESTANCA 1 x 18W LED</t>
  </si>
  <si>
    <t>LUMINARIA ESTANCA 1 x 9W LED</t>
  </si>
  <si>
    <t>LUMINARIA ESTANCA 2 X 9W LED</t>
  </si>
  <si>
    <t>27292</t>
  </si>
  <si>
    <t>PROYECTOR LED 100W Profesional LUZ FRIA MACROLED</t>
  </si>
  <si>
    <t>27293</t>
  </si>
  <si>
    <t>PROYECTOR LED 200W Profesional LUZ FRIA MACROLED</t>
  </si>
  <si>
    <t>ADHESIVO PARA PVC X 1000 cc VALINCO</t>
  </si>
  <si>
    <t>ADHESIVO PARA PVC X 500 cc VALINCO</t>
  </si>
  <si>
    <t>BORNERA 12 POLOS 0,5-2,5mm TBCIN</t>
  </si>
  <si>
    <t>CAJA PVC P/12 BOCAS IP65 Y 2 CAPSULADAS CIEGO (161210G) GENROD</t>
  </si>
  <si>
    <t>CAJA PVC P/12 BOCAS IP65 Y 4 CAPSULADAS CIEGO (161220G) GENROD</t>
  </si>
  <si>
    <t>CAJA PVC P/12 BOCAS IP65 Y 6 TOMAS CAPS. (161226G) GENROD</t>
  </si>
  <si>
    <t>CILINDRO ALUMINIO EXT LED 9W L.C (SHIMSA/AKAI)</t>
  </si>
  <si>
    <t>CINTA AISLADORA VINI-TAPE 20M COLOR NEGRO</t>
  </si>
  <si>
    <t>MEDIDOR MONOFASICO DIGITAL 1 MOD. 45A TBCIN</t>
  </si>
  <si>
    <t>27297</t>
  </si>
  <si>
    <t>PEINES DE ALIMENTACION BIPOLAR 63A TBCIN</t>
  </si>
  <si>
    <t>27298</t>
  </si>
  <si>
    <t>PEINES DE ALIMENTACION TETRAPOLAR 63A TBCIN</t>
  </si>
  <si>
    <t>CAJA INSPECCION 25 X 25 METALICA</t>
  </si>
  <si>
    <t>LAMPARA G4 LED 12V 4W LUZ CALIDA MACROLED**</t>
  </si>
  <si>
    <t>LAMPARA G4 LED 12V 4W LUZ FRIA MACROLED**</t>
  </si>
  <si>
    <t>LUZ DE EMERGENCIA 30 LEDS</t>
  </si>
  <si>
    <t>LUZ DE EMERGENCIA 60 LEDS</t>
  </si>
  <si>
    <t>PROYECTOR LED 50W LUZ FRIA</t>
  </si>
  <si>
    <t>27301</t>
  </si>
  <si>
    <t>TERMICA CURVA "B" 2 X 20 A. 6 kA G.E.</t>
  </si>
  <si>
    <t>27300</t>
  </si>
  <si>
    <t>TERMICA CURVA "B" 4 X 20 A. 6 kA G.E.</t>
  </si>
  <si>
    <t>27299</t>
  </si>
  <si>
    <t>TERMICA CURVA "B" 4 X 32 A. 6 kA G.E.</t>
  </si>
  <si>
    <t>CABLE TELEFONICO SUBTERRANEO EXT. 3 PARES (PRECIO x MTS)</t>
  </si>
  <si>
    <t>CABLE TELEFONICO SUBTERRANEO EXT. 4 PARES (PRECIO x MTS)</t>
  </si>
  <si>
    <t>CABLE TELEFONICO SUBTERRANEO EXT. 6 PARES (PRECIO x MTS)</t>
  </si>
  <si>
    <t>CABLE TELEFONICO SUBTERRANEO EXT. 6 PARES C/N (PRECIO x MTS) EPUYEN</t>
  </si>
  <si>
    <t>CABLE TELEFONICO SUBTERRANEO EXT. 8 PARES C/N (PRECIO x MTS) EPUYEN</t>
  </si>
  <si>
    <t>27304</t>
  </si>
  <si>
    <t>27303</t>
  </si>
  <si>
    <t>27305</t>
  </si>
  <si>
    <t>CAJA P/TM PVC 4 BOCAS EMBUTIR C/P GENROD (04004)</t>
  </si>
  <si>
    <t>27302</t>
  </si>
  <si>
    <t>COLGANTE CARDALES DIAMANTE 1 L. JAULA 26X31 CM COBRE (CJ6681-10) S.J.</t>
  </si>
  <si>
    <t>27306</t>
  </si>
  <si>
    <t>DISYUNTOR 4 X 25 A. SELECTIVO 300mA "S"  G.E.</t>
  </si>
  <si>
    <t>PROLONGADOR TOP 6 BOCAS C/BORNERA S/CABLE</t>
  </si>
  <si>
    <t>CAJA P/TM 8 BOCAS EXT. S/P B. GENROD (045030B)</t>
  </si>
  <si>
    <t>27309</t>
  </si>
  <si>
    <t>FTP CAT 5E Exterior (x MT. ) EPUYEN</t>
  </si>
  <si>
    <t>27307</t>
  </si>
  <si>
    <t>27308</t>
  </si>
  <si>
    <t>27313</t>
  </si>
  <si>
    <t>CABLE COBRE DESNUDO 1 X 6 MM (PRECIO X MTS) NA.</t>
  </si>
  <si>
    <t>27311</t>
  </si>
  <si>
    <t>COLGANTE BARADERO 1/2 ESFERA Ø 34 1L COBRE (CC6612-10) S.J.</t>
  </si>
  <si>
    <t>27310</t>
  </si>
  <si>
    <t>FAROLA LED 100W LUZ FRIA IP65 MACROLED</t>
  </si>
  <si>
    <t>FUENTE METALICA 12V 12,5A 150W MACROLED</t>
  </si>
  <si>
    <t>27315</t>
  </si>
  <si>
    <t>PILOTO - OJO DE BUEY - AMARILLO 24V CHINT</t>
  </si>
  <si>
    <t>PILOTO - OJO DE BUEY - AZUL 230V CHINT</t>
  </si>
  <si>
    <t>27316</t>
  </si>
  <si>
    <t>PILOTO - OJO DE BUEY - AZUL 24V CHINT</t>
  </si>
  <si>
    <t>27317</t>
  </si>
  <si>
    <t>PILOTO - OJO DE BUEY - VERDE 24V CHINT</t>
  </si>
  <si>
    <t>27312</t>
  </si>
  <si>
    <t>RELE TERMICO 63 - 80A NXR-100 CHINT</t>
  </si>
  <si>
    <t>SPOT EXTERIOR SYMME I LEUK</t>
  </si>
  <si>
    <t>27314</t>
  </si>
  <si>
    <t>TERMICA 2 X 50 A. 6kA CHINT</t>
  </si>
  <si>
    <t>TOMA HEMBRA MOVIL 2P + T 32A IP44 BALS-KALOP (KL7433242)</t>
  </si>
  <si>
    <t>APLIQUE ALUMINÉ 3 L. BASE RECTANGULAR C/MOV. ACERO CUBE (6533-13) S.J.</t>
  </si>
  <si>
    <t>APLIQUE ALUMINÉ 4 L. BASE CUADRADA G9 28X28 ACERO CUBE (6843-13) S.J.</t>
  </si>
  <si>
    <t>APLIQUE ALUMINÉ 4 L. BASE CUADRADA G9 28X28 BLANCO CUBE (6843-01) S.J.</t>
  </si>
  <si>
    <t>CABLE SUBTERRANEO 3 X 120 + 70 (PRECIO x MTS) MH.</t>
  </si>
  <si>
    <t>CABLE SUBTERRANEO 3 X 25 (PRECIO x MTS) MH.</t>
  </si>
  <si>
    <t>27324</t>
  </si>
  <si>
    <t>CAJA P/TOMA INDUSTRIAL 2X32A 2X16A + TERMICAS Prof. 55mm FORLI</t>
  </si>
  <si>
    <t>CAJA P/TOMA INDUSTRIAL 2X32A 2X16A Kalop + TERMICAS Prof. 55mm FORLI</t>
  </si>
  <si>
    <t>COLGANTE MINI GALPON 1 LUZ NEGRO S.L.</t>
  </si>
  <si>
    <t>27320</t>
  </si>
  <si>
    <t>COLGANTE MINI GALPON 1L COBRE S.L.</t>
  </si>
  <si>
    <t>27319</t>
  </si>
  <si>
    <t>COLGANTE MINI GALPON 1L OXI S.L.</t>
  </si>
  <si>
    <t>27325</t>
  </si>
  <si>
    <t>CONECTOR CORTO P/CAJA MULTIPLE ALUMINIO 2"</t>
  </si>
  <si>
    <t>27326</t>
  </si>
  <si>
    <t>CONECTOR LARGO 2" ALUMINIO</t>
  </si>
  <si>
    <t>27331</t>
  </si>
  <si>
    <t>CURVA GALVANIZADA S/ROSCA 2" 45º</t>
  </si>
  <si>
    <t>27330</t>
  </si>
  <si>
    <t>CURVA GALVANIZADA S/ROSCA 2" 90º</t>
  </si>
  <si>
    <t>DRIVER 6W P/PANEL LED</t>
  </si>
  <si>
    <t>EMPOTRABLE RED. BLANCO 2- E27 VID. ESM. ET026 LUC.</t>
  </si>
  <si>
    <t>EMPOTRABLE RED. BLANCO 2-E27 VID. MOTEADO ET034E LUC.</t>
  </si>
  <si>
    <t>ESTAÑO EN TUBO 60/40 1MM 17GR.</t>
  </si>
  <si>
    <t>FAROL PIRAMIDES NEGRO 1 LUZ H35CM P/PARED (5590-02) S.J.</t>
  </si>
  <si>
    <t>GABINETE ESTANCO 300 X 300 X 150 Serie 9000 GENROD</t>
  </si>
  <si>
    <t>27328</t>
  </si>
  <si>
    <t>GRAMPA SUJECION ALUMINIO 2"</t>
  </si>
  <si>
    <t>IBERICA RECTANGULAR 45CM X 15CM 2L BLANCO S.L.</t>
  </si>
  <si>
    <t>IBERICA RECTANGULAR INCLINADO 45 X 15CM 2L BLANCO S.L.</t>
  </si>
  <si>
    <t>INTERRUPTOR A PALANCA BIP. 10 A. 250 V CA ON-ON (1321)</t>
  </si>
  <si>
    <t>INTERRUPTOR A PALANCA BIP.10 A. 250 VCA ON-OFF (1221)</t>
  </si>
  <si>
    <t>INTERRUPTOR A PALANCA UNIPOLAR 10A. 250VCA ON-OFF (1021)</t>
  </si>
  <si>
    <t>INTERRUPTOR CONMUTADOR A PALANCA BIP.10 A.ON-OFF-ON(1322)</t>
  </si>
  <si>
    <t>INTERUPTORCONMUTADOR A PALANCA UNIP.10 A.ON-OFF-ON(1122)</t>
  </si>
  <si>
    <t>27329</t>
  </si>
  <si>
    <t>METROS DE CAÑO DE HIERRO 2" GALVANIZADO LIV. PRECIO X MTS</t>
  </si>
  <si>
    <t>PANEL LED 12W CIRCULAR LUZ CALIDA MACROLED</t>
  </si>
  <si>
    <t>PANEL LED 12W CIRCULAR LUZ FRIA MACROLED</t>
  </si>
  <si>
    <t>PANEL LED 12W CIRCULAR LUZ NEUTRA</t>
  </si>
  <si>
    <t>PANEL LED 12W CIRCULAR PLATIL LUZ CALIDA</t>
  </si>
  <si>
    <t>PANEL LED 12W CUADRADO LUZ CALIDA MACROLED</t>
  </si>
  <si>
    <t>PANEL LED 12W CUADRADO LUZ FRIA MACROLED</t>
  </si>
  <si>
    <t>PANEL LED 12W CUADRADO LUZ FRIA SICA</t>
  </si>
  <si>
    <t>PANEL LED 12W CUADRADO LUZ NEUTRA</t>
  </si>
  <si>
    <t>PANEL LED 12W CUADRADO PLATIL LUZ CALIDA</t>
  </si>
  <si>
    <t>PANEL LED 18W CIRCULAR LUZ CALIDA MACROLED</t>
  </si>
  <si>
    <t>PANEL LED 18W CIRCULAR LUZ FRIA MACROLED</t>
  </si>
  <si>
    <t>PANEL LED 18W CIRCULAR LUZ NEUTRA</t>
  </si>
  <si>
    <t>PANEL LED 18W CIRCULAR LUZ NEUTRA MACROLED</t>
  </si>
  <si>
    <t>PANEL LED 18W CUADRADO LUZ CALIDA MACROLED</t>
  </si>
  <si>
    <t>PANEL LED 18W CUADRADO LUZ FRIA MACROLED</t>
  </si>
  <si>
    <t>PANEL LED 18W CUADRADO LUZ FRIA SICA</t>
  </si>
  <si>
    <t>PANEL LED 18W CUADRADO PLATIL LUZ CALIDA</t>
  </si>
  <si>
    <t>PANEL LED 18W CUADRADO PLATIL LUZ FRIA</t>
  </si>
  <si>
    <t>PANEL LED 18W CUADRADO PLATIL LUZ NEUTRA</t>
  </si>
  <si>
    <t>PANEL LED 24W CIRCULAR LUZ CALIDA JELUZ</t>
  </si>
  <si>
    <t>PANEL LED 24W CIRCULAR LUZ CALIDA MACROLED</t>
  </si>
  <si>
    <t>PANEL LED 24W CIRCULAR LUZ FRIA MACROLED</t>
  </si>
  <si>
    <t>PANEL LED 24W CIRCULAR PLATIL LUZ CALIDA</t>
  </si>
  <si>
    <t>PANEL LED 24W CUADRADO LUZ CALIDA MACROLED</t>
  </si>
  <si>
    <t>PANEL LED 24W CUADRADO LUZ FRIA MACROLED</t>
  </si>
  <si>
    <t>PANEL LED 6W CIRCULAR LUZ CALIDA</t>
  </si>
  <si>
    <t>PANEL LED 6W CIRCULAR LUZ FRIA</t>
  </si>
  <si>
    <t>PANEL LED 6W CIRCULAR LUZ FRIA MACROLED</t>
  </si>
  <si>
    <t>PANEL LED 6W CIRCULAR LUZ NEUTRA</t>
  </si>
  <si>
    <t>PANEL LED 6W CIRCULAR PLATIL LUZ CALIDA</t>
  </si>
  <si>
    <t>PANEL LED 6W CIRCULAR PLATIL LUZ FRIA</t>
  </si>
  <si>
    <t>PANEL LED 6W CIRCULAR PLATIL LUZ NEUTRA</t>
  </si>
  <si>
    <t>PANEL LED 6W CUADRADO LUZ CALIDA</t>
  </si>
  <si>
    <t>PANEL LED 6W CUADRADO LUZ CALIDA MACROLED</t>
  </si>
  <si>
    <t>PANEL LED 6W CUADRADO LUZ FRIA MACROLED</t>
  </si>
  <si>
    <t>PANEL LED 6W CUADRADO LUZ NEUTRA</t>
  </si>
  <si>
    <t>PLAFON LED 12W CIRCULAR LUZ CALIDA MACROLED</t>
  </si>
  <si>
    <t>PLAFON LED 12W CIRCULAR LUZ FRIA MACROLED</t>
  </si>
  <si>
    <t>PLAFON LED 12W CIRCULAR LUZ NEUTRA MACROLED</t>
  </si>
  <si>
    <t>PLAFON LED 12W CUADRADO LUZ CALIDA MACROLED</t>
  </si>
  <si>
    <t>PLAFON LED 12W CUADRADO LUZ FRIA MACROLED</t>
  </si>
  <si>
    <t>PLAFON LED 12W CUADRADO PLATIL LUZ CALIDA</t>
  </si>
  <si>
    <t>PLAFON LED 12W CUADRADO PLATIL LUZ FRIA</t>
  </si>
  <si>
    <t>PLAFON LED 18W CIRCULAR LUZ CALIDA MACROLED</t>
  </si>
  <si>
    <t>PLAFON LED 18W CIRCULAR LUZ FRIA MACROLED</t>
  </si>
  <si>
    <t>PLAFON LED 18W CIRCULAR LUZ NEUTRA MACROLED</t>
  </si>
  <si>
    <t>PLAFON LED 18W CUADRADO LUZ CALIDA MACROLED</t>
  </si>
  <si>
    <t>PLAFON LED 18W CUADRADO LUZ FRIA MACROLED</t>
  </si>
  <si>
    <t>PLAFON LED 18W CUADRADO LUZ NEUTRA MACROLED</t>
  </si>
  <si>
    <t>PLAFON LED 24W CIRCULAR  LUZ CALIDA MACROLED</t>
  </si>
  <si>
    <t>PLAFON LED 24W CIRCULAR LUZ FRIA MACROLED</t>
  </si>
  <si>
    <t>PLAFON LED 24W CUADRADO LUZ CALIDA MACROLED</t>
  </si>
  <si>
    <t>PLAFON LED 24W CUADRADO LUZ FRIA MACROLED</t>
  </si>
  <si>
    <t>PLAFON LED 24W CUADRADO LUZ NEUTRA MACROLED</t>
  </si>
  <si>
    <t>PLAFON LED 24W CUADRADO NEGRO LUZ CALIDA MACROLED</t>
  </si>
  <si>
    <t>PLAFON LED 6W CIRCULAR LUZ CALIDA MACROLED</t>
  </si>
  <si>
    <t>PLAFON LED 6W CIRCULAR LUZ FRIA MACROLED</t>
  </si>
  <si>
    <t>PLAFON LED 6W CUADRADO LUZ CALIDA MACROLED</t>
  </si>
  <si>
    <t>PLAFON LED 6W CUADRADO LUZ FRIA MACROLED</t>
  </si>
  <si>
    <t>27322</t>
  </si>
  <si>
    <t>SPOT 1L NIZA CUADRADO BLANCO S.L.</t>
  </si>
  <si>
    <t>27321</t>
  </si>
  <si>
    <t>SPOT 1L NIZA CUADRADO NEGRO S.L.</t>
  </si>
  <si>
    <t>27323</t>
  </si>
  <si>
    <t>SPOT 1L NIZA CUADRADO PLATIL S.L.</t>
  </si>
  <si>
    <t>27327</t>
  </si>
  <si>
    <t>TUERCA P/CONECTOR LARGO 2" ALUMINIO</t>
  </si>
  <si>
    <t>APLIQUE PARED BIDIRECCIONAL ACERO BRASILIA</t>
  </si>
  <si>
    <t>27337</t>
  </si>
  <si>
    <t>CABLE SUBTERRANEO 1 X 150 (PRECIO x MTS) MH.</t>
  </si>
  <si>
    <t>27333</t>
  </si>
  <si>
    <t>CAJA 12 BOCAS SOBREPONER DIN GRIS IP65 (161200G)</t>
  </si>
  <si>
    <t>CAJA 14 BOCAS SOBREPONER DIN GRIS IP65 (161200G)</t>
  </si>
  <si>
    <t>27343</t>
  </si>
  <si>
    <t>CAJA DE PREINSTALACION DE AIRE ACONDICIONADO</t>
  </si>
  <si>
    <t>CAJA EMBUTIR CUADRADA 10 X 10 PVC KALOP</t>
  </si>
  <si>
    <t>27336</t>
  </si>
  <si>
    <t>CAJA PVC P/12 BOCAS IP65 Y 4 TOMAS CAPS. (161224G) GENROD</t>
  </si>
  <si>
    <t>27342</t>
  </si>
  <si>
    <t>CAJA TERMICA 2 A 4 BOCAS C/ PUERTA PVC EMB. TAAD</t>
  </si>
  <si>
    <t>COLGANTE PANTALLA CHICA ALUMINIO OXIDO (BELL04)</t>
  </si>
  <si>
    <t>27335</t>
  </si>
  <si>
    <t>FLORON PLASTICO FLORENTINO 12 CM. S.J.</t>
  </si>
  <si>
    <t>FOTOCELULA 1000 W SENSOR EXT. KALOP**</t>
  </si>
  <si>
    <t>FOTOCELULA 1200W KALOP**</t>
  </si>
  <si>
    <t>FOTOCELULA 6A 1200W TECLASTAR</t>
  </si>
  <si>
    <t>FOTOCELULA UNIVERSAL 3 o 4 CABLES TXC.</t>
  </si>
  <si>
    <t>FOTOCELULA UNIVERSAL SENSOR EXTERNO</t>
  </si>
  <si>
    <t>GUARDAMOTOR 37-50A 22kW 50kA CHINT</t>
  </si>
  <si>
    <t>GUARDAMOTOR 63-80A 37kW 50kA CHINT</t>
  </si>
  <si>
    <t>MEDIDOR TRIFASICO DIGITAL RIEL DIN BAW **</t>
  </si>
  <si>
    <t>MODULO TELEFONICO RJ11 1M 4pol BLANCO (6932) CAMBRE</t>
  </si>
  <si>
    <t>MODULO TELEFONICO RJ11 GRIS (7931) CAMBRE</t>
  </si>
  <si>
    <t>MODULO TOMA TELEFONO RJ11</t>
  </si>
  <si>
    <t>MODULO TOMA TELEFONO RJ11 BLANCO KALOP</t>
  </si>
  <si>
    <t>MODULO TOMA TELEFONO RJ11 MARFIL KALOP</t>
  </si>
  <si>
    <t>MODULO TOMA TELEFONO RJ11 NEGRO KALOP</t>
  </si>
  <si>
    <t>27338</t>
  </si>
  <si>
    <t>PANEL LED 6W CIRCULAR LUZ CALIDA MACROLED</t>
  </si>
  <si>
    <t>27334</t>
  </si>
  <si>
    <t>PERFIL DE ALUMINIO 0,5 MTS. PARA TIRA LED ARTELUM</t>
  </si>
  <si>
    <t>27341</t>
  </si>
  <si>
    <t>PLUG PARA TIRA DE LED 220V</t>
  </si>
  <si>
    <t>REGULADOR DE GAS CABEZA P/10 KG</t>
  </si>
  <si>
    <t>27340</t>
  </si>
  <si>
    <t>27339</t>
  </si>
  <si>
    <t>SOPORTE RIEL DIN  X 1 MTR.</t>
  </si>
  <si>
    <t>SPOT CILINDRICO DICRO BLANCO</t>
  </si>
  <si>
    <t>SPOT CILINDRICO DICRO CON ESTACA NEGRO CABRERA</t>
  </si>
  <si>
    <t>SPOT CILINDRICO DICRO NEGRO</t>
  </si>
  <si>
    <t>SPOT CUADRADO EMBUTIR AR 111 C/MOV. BLANCO</t>
  </si>
  <si>
    <t>SPOT CUADRADO EMBUTIR AR 111 C/MOV. PLATIL</t>
  </si>
  <si>
    <t>SPOT CUADRADO EMBUTIR AR111 POLICARB. BLANCO C/MOV (7171-01) S.J.</t>
  </si>
  <si>
    <t>SPOT CUADRADO EMBUTIR DICRO NEGRO C/MOV.</t>
  </si>
  <si>
    <t>SPOT EMBUTIR DICRO BLANCO 10 CM MACROLED</t>
  </si>
  <si>
    <t>TABAQUERA UNIPOLAR FRONTAL 15A. 380 V.</t>
  </si>
  <si>
    <t>27349</t>
  </si>
  <si>
    <t>ACCESORIO APLIQUE PERFIL (2 UNIDADES) LEUK</t>
  </si>
  <si>
    <t>27350</t>
  </si>
  <si>
    <t>ACCESORIO EMBUTIR PERFIL (2 UNIDADES) LEUK</t>
  </si>
  <si>
    <t>27364</t>
  </si>
  <si>
    <t>APLIQUE YORK S 45W BLANCO LEUK</t>
  </si>
  <si>
    <t>27363</t>
  </si>
  <si>
    <t>APLIQUE YORK S 45W NEGRO LEUK</t>
  </si>
  <si>
    <t>27359</t>
  </si>
  <si>
    <t>CABEZAL BIZ DICRO GU10 1 EF BLANCO LEUK</t>
  </si>
  <si>
    <t>27360</t>
  </si>
  <si>
    <t>CABEZAL BIZ DICRO GU10 1 EF NEGRO LEUK</t>
  </si>
  <si>
    <t>27365</t>
  </si>
  <si>
    <t>CAÑO 20 MM. SEMIPESADO (PRECIO X MTS) TECNOCOM</t>
  </si>
  <si>
    <t>27344</t>
  </si>
  <si>
    <t>FICHA MACHO 3 PERNOS CHATOS LATERAL</t>
  </si>
  <si>
    <t>27348</t>
  </si>
  <si>
    <t>KIT DE SUSPENSION PERFIL 2 MTS LEUK</t>
  </si>
  <si>
    <t>27347</t>
  </si>
  <si>
    <t>KIT UNION LINEAL PERFIL LEUK</t>
  </si>
  <si>
    <t>27361</t>
  </si>
  <si>
    <t>LUMINARIA DE EXTERIOR YETI 3W LUZ CALIDA NEGRO LEUK</t>
  </si>
  <si>
    <t>27362</t>
  </si>
  <si>
    <t>MINI SPOT OPTIC 3W LUZ CALIDA BLANCO LEUK</t>
  </si>
  <si>
    <t>PANEL LED 6W CUADRADO LUZ FRIA</t>
  </si>
  <si>
    <t>27345</t>
  </si>
  <si>
    <t>PERFIL LINEAL LED DYNA 25W 1,20 MTS 3CCT BLANCO LEUK</t>
  </si>
  <si>
    <t>27346</t>
  </si>
  <si>
    <t>PERFIL LINEAL LED DYNA 25W 1,20 MTS 3CCT NEGRO LEUK</t>
  </si>
  <si>
    <t>PLAFON LED 12W CIRCULAR LUZ FRIA</t>
  </si>
  <si>
    <t>PLAFON LED 12W CUADRADO LUZ FRIA</t>
  </si>
  <si>
    <t>PLAFON LED 18W CIRCULAR LUZ CALIDA</t>
  </si>
  <si>
    <t>PLAFON LED 18W CIRCULAR LUZ FRIA</t>
  </si>
  <si>
    <t>PLAFON LED 18W CUADRADO LUZ CALIDA</t>
  </si>
  <si>
    <t>PLAFON LED 18W CUADRADO LUZ FRIA</t>
  </si>
  <si>
    <t>PLAFON LED 24W CIRCULAR LUZ CALIDA</t>
  </si>
  <si>
    <t>PLAFON LED 24W CIRCULAR LUZ FRIA</t>
  </si>
  <si>
    <t>PLAFON LED 24W CUADRADO LUZ CALIDA</t>
  </si>
  <si>
    <t>PROYECTOR LED 10W LUZ FRIA</t>
  </si>
  <si>
    <t>PROYECTOR LED 20W LUZ FRIA</t>
  </si>
  <si>
    <t>PROYECTOR LED C/SENSOR 20W LUZ FRIA</t>
  </si>
  <si>
    <t>27351</t>
  </si>
  <si>
    <t>RIEL 1 MT 1 EF BLANCO LEUK</t>
  </si>
  <si>
    <t>27352</t>
  </si>
  <si>
    <t>RIEL 1 MT 1 EF NEGRO LEUK</t>
  </si>
  <si>
    <t>27353</t>
  </si>
  <si>
    <t>RIEL 2 MTS 1 EF BLANCO LEUK</t>
  </si>
  <si>
    <t>27354</t>
  </si>
  <si>
    <t>RIEL 2 MTS 1 EF NEGRO LEUK</t>
  </si>
  <si>
    <t>27355</t>
  </si>
  <si>
    <t>RIEL 3 MTS 1 EF BLANCO LEUK</t>
  </si>
  <si>
    <t>27356</t>
  </si>
  <si>
    <t>RIEL 3 MTS 1 EF NEGRO LEUK</t>
  </si>
  <si>
    <t>27358</t>
  </si>
  <si>
    <t>UNION LINEAL 1 EF NEGRO LEUK</t>
  </si>
  <si>
    <t>27357</t>
  </si>
  <si>
    <t>UNION LINEAL 1 EFG BLANCO LEUK</t>
  </si>
  <si>
    <t>CAMARA DE SEGURIDAD SMART BULLET EXT/INT</t>
  </si>
  <si>
    <t>CAMARA DE SEGURIDAD SMART DOMO EXT/INT</t>
  </si>
  <si>
    <t>CAMARA DE SEGURIDAD SMART DOMO INT. MONOTORIZADA</t>
  </si>
  <si>
    <t>27370</t>
  </si>
  <si>
    <t>CAPSULADA DOBLE TOMA CON NEUTRO MIG</t>
  </si>
  <si>
    <t>CINTA AISLADORA VINI-TAPE 10M COLOR NEGRO</t>
  </si>
  <si>
    <t>DICROICA LED 4,5W LUZ FRIA **</t>
  </si>
  <si>
    <t>ESPUMA POLIUTERANO 300 ML TACSA</t>
  </si>
  <si>
    <t>LAMPARA AR111 LED 15W LUZ FRIA VARKAUS**</t>
  </si>
  <si>
    <t>LAMPARA H POWER 80W E40 LUZ FRIA VARKAUS**</t>
  </si>
  <si>
    <t>LAMPARA VELA LED 6W LUZ CALIDA E27 VARKAUS**</t>
  </si>
  <si>
    <t>LAMPARA VELA LED 6W LUZ FRIA E14  VARKAUS**</t>
  </si>
  <si>
    <t>LISTON LED SLIM 36W LUZ FRIA VARKAUS</t>
  </si>
  <si>
    <t>27372</t>
  </si>
  <si>
    <t>MODULO TOMA 20 A. BLANCO PLATINUM (2 MOD) JELUZ</t>
  </si>
  <si>
    <t>PANEL LED 40W 60X60 LUZ FRIA VARKAUS</t>
  </si>
  <si>
    <t>PANEL LED 40W 60X60 LUZ NEUTRA VARKAUS</t>
  </si>
  <si>
    <t>27369</t>
  </si>
  <si>
    <t>PROYECTOR LED C/SENSOR 50W LUZ FRIA</t>
  </si>
  <si>
    <t>PROYECTOR LED C/SENSOR 50W LUZ FRIA VARKAUS</t>
  </si>
  <si>
    <t>PUENTE FIJO 10 elementos - para borne 2,5 mm.</t>
  </si>
  <si>
    <t>PUENTE FIJO 10 elementos - para borne 4 mm.</t>
  </si>
  <si>
    <t>SPOT EMB. MOVIL CUADRADO DICRO PLATIL P/ 1 LUZ S.J.</t>
  </si>
  <si>
    <t>27373</t>
  </si>
  <si>
    <t>TERMICA 1 X 40 A. 6kA CHINT</t>
  </si>
  <si>
    <t>27371</t>
  </si>
  <si>
    <t>TERMICA DIN  3 X 10 A.  ABB (SH203 L-C10)</t>
  </si>
  <si>
    <t>TIMER DIGITAL P/RIEL DIN JA-1670</t>
  </si>
  <si>
    <t>TIMER ENCHUFABLE DIGITAL AKAI 1411</t>
  </si>
  <si>
    <t>TIMER ENCHUFABLE MECANICO JA-1660</t>
  </si>
  <si>
    <t>TIMER MECANICO P/ RIEL DIN AKAI 1414</t>
  </si>
  <si>
    <t>TIMER MECANICO P/ RIEL IHA-150 BAW</t>
  </si>
  <si>
    <t>TOMA HEMBRA MOVIL 3P + T  32A IP44 380V BALS-KALOP (KL7443243)</t>
  </si>
  <si>
    <t>27378</t>
  </si>
  <si>
    <t>CABLE CANAL 60 X 40 (PRECIO X MTS) KALOP</t>
  </si>
  <si>
    <t>RECEPTACULO CURVO PLASTICO ECO NEGRO</t>
  </si>
  <si>
    <t>27377</t>
  </si>
  <si>
    <t>27374</t>
  </si>
  <si>
    <t>TRIFICHA PIRAMIDAL AZUL PERNO REDONDO</t>
  </si>
  <si>
    <t>27384</t>
  </si>
  <si>
    <t>COLGANTE UFO LED 200W LUZ FRIA MACROLED ECO</t>
  </si>
  <si>
    <t>27381</t>
  </si>
  <si>
    <t>FUENTE METALICA 12V 4A 50W MACROLED</t>
  </si>
  <si>
    <t>27382</t>
  </si>
  <si>
    <t>27383</t>
  </si>
  <si>
    <t>PANEL LED 24W CIRCULAR LUZ FRIA</t>
  </si>
  <si>
    <t>PANEL LED 24W CUADRADO LUZ FRIA</t>
  </si>
  <si>
    <t>27380</t>
  </si>
  <si>
    <t>PLAFON LED 24W CIRCULAR NEGRO LUZ FRIA MACROLED</t>
  </si>
  <si>
    <t>PLAFON LED 6W CIRCULAR PLATIL LUZ FRIA MACROLED</t>
  </si>
  <si>
    <t>27385</t>
  </si>
  <si>
    <t>PROYECTOR LED 150W Profesional LUZ FRIA MACROLED</t>
  </si>
  <si>
    <t>TERMOCONTRAIBLE 1/2" 12,7 / 6,4  x  MTS ( PRECIO X MTS)</t>
  </si>
  <si>
    <t>TERMOCONTRAIBLE 1/4" 6,4 / 3,2  X MTS. Cable de 6 a 10 (PRECIO X MTS)</t>
  </si>
  <si>
    <t>TERMOCONTRAIBLE 1/8"  3,2 / 1,6 X MTS. Cable de 0,75 a 1,5 (PRECIO X MTS)</t>
  </si>
  <si>
    <t>TERMOCONTRAIBLE 3/16" 4,8 / 2,4 X MTS. Cable de 2 a 4 (PRECIO X MTS)</t>
  </si>
  <si>
    <t>TERMOCONTRAIBLE 3/32¨ 2,4 / 1,2 X MTS. (PRECIO X MTS)</t>
  </si>
  <si>
    <t>TERMOCONTRAIBLE 3/8" 9,5 / 4,8 X MTS. Cable de 16 (PRECIO X MTS)</t>
  </si>
  <si>
    <t>TERMOCONTRAIBLE 5/16" 8,0 / 4,0 X MTS Cable Bip 1,5 a 2,5 (PRECIO X MTS)</t>
  </si>
  <si>
    <t>27379</t>
  </si>
  <si>
    <t>ACCESORIO 100 X 50 ACOPLE RECTO KALOP</t>
  </si>
  <si>
    <t>ACCESORIO 100 X 50 CODO EXTERNO KALOP</t>
  </si>
  <si>
    <t>ACCESORIO 100 X 50 CODO INTERNO KALOP</t>
  </si>
  <si>
    <t>ACCESORIO 100 X 50 DERIVACION "T" KALOP</t>
  </si>
  <si>
    <t>ACCESORIO 100 X 50 TERMINAL KALOP</t>
  </si>
  <si>
    <t>ACCESORIO 14 X 7 ACOPLE RECTO KALOP</t>
  </si>
  <si>
    <t>ACCESORIO 14 X 7 CURVA EXTERNA KALOP</t>
  </si>
  <si>
    <t>ACCESORIO 14 X 7 CURVA INTERNA KALOP</t>
  </si>
  <si>
    <t>ACCESORIO 14 X 7 DERIVACION "T" KALOP</t>
  </si>
  <si>
    <t>ACCESORIO 14 X 7 TERMINAL KALOP</t>
  </si>
  <si>
    <t>ACCESORIO 18 X 21 ACOPLE RECTO KALOP</t>
  </si>
  <si>
    <t>ACCESORIO 18 X 21 CURVA EXTERNA KALOP</t>
  </si>
  <si>
    <t>ACCESORIO 18 X 21 CURVA INTERNA KALOP</t>
  </si>
  <si>
    <t>ACCESORIO 18 X 21 CURVA PLANA KALOP</t>
  </si>
  <si>
    <t>ACCESORIO 18 X 21 TERMINAL KALOP</t>
  </si>
  <si>
    <t>ACCESORIO 20 X 10 ACOPLE RECTO KALOP</t>
  </si>
  <si>
    <t>ACCESORIO 20 X 10 CURVA EXTERIOR KALOP</t>
  </si>
  <si>
    <t>ACCESORIO 20 X 10 CURVA INTERNA KALOP</t>
  </si>
  <si>
    <t>ACCESORIO 20 X 10 DERIVACION "T" KALOP</t>
  </si>
  <si>
    <t>ACCESORIO 20 X 10 TERMINAL KALOP</t>
  </si>
  <si>
    <t>ACCESORIO 27 X 30 ACOPLE RECTO KALOP</t>
  </si>
  <si>
    <t>ACCESORIO 27 X 30 CURVA EXTERNA KALOP</t>
  </si>
  <si>
    <t>ACCESORIO 27 X 30 CURVA INTERNA KALOP</t>
  </si>
  <si>
    <t>ACCESORIO 27 X 30 TERMINAL KALOP</t>
  </si>
  <si>
    <t>ACCESORIO 40 X 16 ACOPLE RECTO KALOP</t>
  </si>
  <si>
    <t>ACCESORIO 40 X 16 CURVA EXTERNA  KALOP</t>
  </si>
  <si>
    <t>ACCESORIO 40 X 16 CURVA INTERNA KALOP</t>
  </si>
  <si>
    <t>ACCESORIO 40 x 16 CURVA PLANA KALOP</t>
  </si>
  <si>
    <t>ACCESORIO 40 X 16 DERIVACION "T" KALOP</t>
  </si>
  <si>
    <t>ACCESORIO 40 X 16 TERMINAL KALOP</t>
  </si>
  <si>
    <t>CABLE SUBTERRANEO 2 X 2,50 (PRECIO x MTS) IRAM</t>
  </si>
  <si>
    <t>CABLE SUBTERRANEO 3 X 1,50 (PRECIO x MTS) IRAM</t>
  </si>
  <si>
    <t>CABLE SUBTERRANEO 3 X 16 (PRECIO x MTS) IRAM</t>
  </si>
  <si>
    <t>CABLE SUBTERRANEO 3 X 2,5 (PRECIO x MTS) IRAM</t>
  </si>
  <si>
    <t>CABLE SUBTERRANEO 3 X 4 (PRECIO x MTS) IRAM</t>
  </si>
  <si>
    <t>CABLE SUBTERRANEO 3 X 6 (PRECIO x MTS) IRAM</t>
  </si>
  <si>
    <t>CABLE SUBTERRANEO 4 X 6 (PRECIO x MTS) IRAM</t>
  </si>
  <si>
    <t>CABLE TIPO TALLER 2 X 1,50 (PRECIO x MTS) IRAM</t>
  </si>
  <si>
    <t>CABLE UNIPOLAR 1 X 1 BLANCO (PRECIO x MTS) IRAM</t>
  </si>
  <si>
    <t>CABLE UNIPOLAR 1 X 1 NEGRO (PRECIO x MTS) IRAM</t>
  </si>
  <si>
    <t>CABLE UNIPOLAR 1 X 1 ROJO (PRECIO x MTS) IRAM</t>
  </si>
  <si>
    <t>CABLE UNIPOLAR 1 X 1,50  CELESTE (PRECIO x MTS) IRAM</t>
  </si>
  <si>
    <t>CABLE UNIPOLAR 1 X 1,50  MARRON (PRECIO x MTS) IRAM</t>
  </si>
  <si>
    <t>CABLE UNIPOLAR 1 X 1,50  NEGRO (PRECIO x MTS) IRAM</t>
  </si>
  <si>
    <t>CABLE UNIPOLAR 1 X 1,50  ROJO (PRECIO x MTS) IRAM</t>
  </si>
  <si>
    <t>CABLE UNIPOLAR 1 X 1,50  VERDE Y A (PRECIO x MTS) IRAM</t>
  </si>
  <si>
    <t>CABLE UNIPOLAR 1 X 2,50  VERDE Y A (PRECIO x MTS) IRAM</t>
  </si>
  <si>
    <t>CABLE UNIPOLAR 1 X 2,50 NEGRO (PRECIO x MTS) IRAM</t>
  </si>
  <si>
    <t>LAMPARA MERCURIO HALOGENADO 150W  G.E.</t>
  </si>
  <si>
    <t>ACCESORIO  18 X 21 CURVA INTERNA GEN ROD</t>
  </si>
  <si>
    <t>ACCESORIO 100 X 50  CURVA PLANA KALOP</t>
  </si>
  <si>
    <t>ACCESORIO 100 x 50 "T" PLANA ROKER</t>
  </si>
  <si>
    <t>27433</t>
  </si>
  <si>
    <t>ACCESORIO 100 X 50 ACOPLE RECTO GEN ROD</t>
  </si>
  <si>
    <t>ACCESORIO 100 X 50 CURVA 90º PLANA ROKER</t>
  </si>
  <si>
    <t>27401</t>
  </si>
  <si>
    <t>ACCESORIO 100 X 50 CURVA EXTERNA GEN ROD</t>
  </si>
  <si>
    <t>ACCESORIO 100 X 50 CURVA EXTERNA ROKER</t>
  </si>
  <si>
    <t>27416</t>
  </si>
  <si>
    <t>ACCESORIO 100 X 50 CURVA INTERNA GEN ROD</t>
  </si>
  <si>
    <t>27408</t>
  </si>
  <si>
    <t>ACCESORIO 100 X 50 CURVA PLANA GEN ROD</t>
  </si>
  <si>
    <t>27397</t>
  </si>
  <si>
    <t>ACCESORIO 100 X 50 TERMINAL GEN ROD</t>
  </si>
  <si>
    <t>ACCESORIO 100 x 50 UNION PLANA ROKER</t>
  </si>
  <si>
    <t>ACCESORIO 14 X 7 ACOPLE RECTO GEN ROD</t>
  </si>
  <si>
    <t>ACCESORIO 14 X 7 CURVA EXTERNA GEN ROD</t>
  </si>
  <si>
    <t>ACCESORIO 14 X 7 CURVA INTERNA GEN ROD</t>
  </si>
  <si>
    <t>ACCESORIO 14 X 7 CURVA PLANA GEN ROD</t>
  </si>
  <si>
    <t>27434</t>
  </si>
  <si>
    <t>ACCESORIO 14 X 7 DERIVACION "T" GEN ROD</t>
  </si>
  <si>
    <t>27417</t>
  </si>
  <si>
    <t>ACCESORIO 14 X 7 TERMINAL GEN ROD</t>
  </si>
  <si>
    <t>27426</t>
  </si>
  <si>
    <t>ACCESORIO 18 X 21 ACOPLE RECTO GEN ROD</t>
  </si>
  <si>
    <t>ACCESORIO 18 X 21 CURVA EXTERNA GEN ROD</t>
  </si>
  <si>
    <t>ACCESORIO 18 X 21 CURVA PLANA GEN ROD</t>
  </si>
  <si>
    <t>27436</t>
  </si>
  <si>
    <t>ACCESORIO 18 X 21 DERIVACION "T" GEN ROD</t>
  </si>
  <si>
    <t>27419</t>
  </si>
  <si>
    <t>ACCESORIO 18 X 21 TERMINAL GEN ROD</t>
  </si>
  <si>
    <t>27425</t>
  </si>
  <si>
    <t>ACCESORIO 20 X 10 ACOPLE RECTO GEN ROD</t>
  </si>
  <si>
    <t>ACCESORIO 20 X 10 CURVA EXTERNA GEN ROD</t>
  </si>
  <si>
    <t>ACCESORIO 20 X 10 CURVA INTERNA GEN ROD</t>
  </si>
  <si>
    <t>ACCESORIO 20 X 10 CURVA PLANA GEN ROD</t>
  </si>
  <si>
    <t>27435</t>
  </si>
  <si>
    <t>ACCESORIO 20 X 10 DERIVACION "T" GEN ROD</t>
  </si>
  <si>
    <t>27418</t>
  </si>
  <si>
    <t>ACCESORIO 20 X 10 TERMINAL GEN ROD</t>
  </si>
  <si>
    <t>27429</t>
  </si>
  <si>
    <t>ACCESORIO 27 X 30 ACOPLE RECTO GEN ROD</t>
  </si>
  <si>
    <t>27400</t>
  </si>
  <si>
    <t>ACCESORIO 27 X 30 CURVA EXTERNA GEN ROD</t>
  </si>
  <si>
    <t>27414</t>
  </si>
  <si>
    <t>ACCESORIO 27 X 30 CURVA INTERNA GEN ROD</t>
  </si>
  <si>
    <t>27405</t>
  </si>
  <si>
    <t>ACCESORIO 27 X 30 CURVA PLANA GEN ROD</t>
  </si>
  <si>
    <t>27439</t>
  </si>
  <si>
    <t>ACCESORIO 27 X 30 DERIVACION "T" GEN ROD</t>
  </si>
  <si>
    <t>27422</t>
  </si>
  <si>
    <t>ACCESORIO 27 X 30 TERMINAL GEN ROD</t>
  </si>
  <si>
    <t>27427</t>
  </si>
  <si>
    <t>ACCESORIO 30 X 12 ACOPLE RECTO GEN ROD</t>
  </si>
  <si>
    <t>27398</t>
  </si>
  <si>
    <t>ACCESORIO 30 X 12 CURVA EXTERNA GEN ROD</t>
  </si>
  <si>
    <t>27412</t>
  </si>
  <si>
    <t>ACCESORIO 30 X 12 CURVA INTERNA GEN ROD</t>
  </si>
  <si>
    <t>27402</t>
  </si>
  <si>
    <t>ACCESORIO 30 X 12 CURVA PLANA GEN ROD</t>
  </si>
  <si>
    <t>27403</t>
  </si>
  <si>
    <t>27437</t>
  </si>
  <si>
    <t>ACCESORIO 30 X 12 DERIVACION "T" GEN ROD</t>
  </si>
  <si>
    <t>27420</t>
  </si>
  <si>
    <t>ACCESORIO 30 X 12 TERMINAL GEN ROD</t>
  </si>
  <si>
    <t>27428</t>
  </si>
  <si>
    <t>ACCESORIO 40 X 16 ACOPLE RECTO GEN ROD</t>
  </si>
  <si>
    <t>27399</t>
  </si>
  <si>
    <t>ACCESORIO 40 X 16 CURVA EXTERNA GEN ROD</t>
  </si>
  <si>
    <t>27413</t>
  </si>
  <si>
    <t>ACCESORIO 40 X 16 CURVA INTERNA GEN ROD</t>
  </si>
  <si>
    <t>27404</t>
  </si>
  <si>
    <t>ACCESORIO 40 X 16 CURVA PLANA GEN ROD</t>
  </si>
  <si>
    <t>27438</t>
  </si>
  <si>
    <t>ACCESORIO 40 X 16 DERIVACION "T" GEN ROD</t>
  </si>
  <si>
    <t>27421</t>
  </si>
  <si>
    <t>ACCESORIO 40 X 16 TERMINAL GEN ROD</t>
  </si>
  <si>
    <t>ACCESORIO 40 X 30 ACOPLE CERRADO</t>
  </si>
  <si>
    <t>27430</t>
  </si>
  <si>
    <t>ACCESORIO 40 X 30 ACOPLE RECTO GEN ROD</t>
  </si>
  <si>
    <t>ACCESORIO 40 X 30 CURVA 90º PLANA</t>
  </si>
  <si>
    <t>ACCESORIO 40 X 30 CURVA EXTERNA</t>
  </si>
  <si>
    <t>ACCESORIO 40 X 30 CURVA INTERNA</t>
  </si>
  <si>
    <t>27415</t>
  </si>
  <si>
    <t>ACCESORIO 40 X 30 CURVA INTERNA GEN ROD</t>
  </si>
  <si>
    <t>ACCESORIO 40 X 30 CURVA T PLANA</t>
  </si>
  <si>
    <t>27411</t>
  </si>
  <si>
    <t>ACCESORIO 40 X 30 DERIVACION "T" GEN ROD</t>
  </si>
  <si>
    <t>27431</t>
  </si>
  <si>
    <t>ACCESORIO 48 X 13 ACOPLE RECTO PISO CANAL GEN ROD</t>
  </si>
  <si>
    <t>27406</t>
  </si>
  <si>
    <t>ACCESORIO 48 X 13 CURVA PLANA PISO CANAL GEN ROD</t>
  </si>
  <si>
    <t>27440</t>
  </si>
  <si>
    <t>ACCESORIO 48 X 13 DERIVACION "T" PISO CANAL GEN ROD</t>
  </si>
  <si>
    <t>27423</t>
  </si>
  <si>
    <t>ACCESORIO 48 X 13 TERMINAL PISO CANAL GEN ROD</t>
  </si>
  <si>
    <t>27432</t>
  </si>
  <si>
    <t>ACCESORIO 75 X 17 ACOPLE RECTO PISO CANAL GEN ROD</t>
  </si>
  <si>
    <t>27407</t>
  </si>
  <si>
    <t>ACCESORIO 75 X 17 CURVA PLANA PISO CANAL GEN ROD</t>
  </si>
  <si>
    <t>27410</t>
  </si>
  <si>
    <t>ACCESORIO 75 X 17 DERIVACION "T" PISO CANAL GEN ROD</t>
  </si>
  <si>
    <t>27424</t>
  </si>
  <si>
    <t>ACCESORIO 75 X 17 TERMINAL PISO CANAL GEN ROD</t>
  </si>
  <si>
    <t>27409</t>
  </si>
  <si>
    <t>PORTA BASTIDOR P/BANDEJA 100 X 50 GEN ROD</t>
  </si>
  <si>
    <t>PORTA BASTIDOR P/BANDEJA 100 X 50 KALOP</t>
  </si>
  <si>
    <t>27441</t>
  </si>
  <si>
    <t>PUENTE FIJO 10 elementos - para borne 6 mm.</t>
  </si>
  <si>
    <t>RIEL OLMAR 1.22MT LIVIANO</t>
  </si>
  <si>
    <t>27396</t>
  </si>
  <si>
    <t>TRANSFORMADOR DE CORRIENTE 200/5A BAW</t>
  </si>
  <si>
    <t>CABLE CANAL 100 X 50 (PRECIO X MTS) GEN ROD</t>
  </si>
  <si>
    <t>CABLE CANAL 14 X 7 C/ADHESIVO (PRECIO X MTS) GEN ROD</t>
  </si>
  <si>
    <t>CABLE CANAL 18 X 21 C/ADHESIVO (PRECIO X MTS) GEN ROD</t>
  </si>
  <si>
    <t>27443</t>
  </si>
  <si>
    <t>CABLE CANAL 27 X 30 C/ADHESIVO (PRECIO X MTS) GEN ROD</t>
  </si>
  <si>
    <t>27442</t>
  </si>
  <si>
    <t>CABLE CANAL 30 X 12 C/ADHESIVO (PRECIO X MTS) GEN ROD</t>
  </si>
  <si>
    <t>CABLE CANAL 40 X 16 C/ADHESIVO (PRECIO X MTS) GEN ROD</t>
  </si>
  <si>
    <t>LAMPARA AR111 LED 11W GRIS LUZ FRIA MACROLED**</t>
  </si>
  <si>
    <t>PISO CANAL CHICO 48 X 13 GRIS KALOP (PRECIO x MTS)</t>
  </si>
  <si>
    <t>PISO CANAL GRANDE 75 X 17 GRIS KALOP (PRECIO x MTS)</t>
  </si>
  <si>
    <t>PISO CANAL GRANDE 75 X 17 MARRON KALOP (PRECIO x MTS)</t>
  </si>
  <si>
    <t>ACCESORIO 20 X 10 CURVA PLANA KALOP</t>
  </si>
  <si>
    <t>ACCESORIO 27 X 30 CURVA PLANA KALOP</t>
  </si>
  <si>
    <t>ACCESORIO 27 X 30 DERIVACION T KALOP</t>
  </si>
  <si>
    <t>27462</t>
  </si>
  <si>
    <t>CABLE CANAL 20 X 10 C/ADHESIVO (PRECIO X MTS) GEN ROD</t>
  </si>
  <si>
    <t>CABLE SUBTERRANEO 4 X 2,5 (PRECIO X MTS) IRAM</t>
  </si>
  <si>
    <t>CABLE TIPO TALLER 2 X 2,50 (PRECIO X MTS) W.</t>
  </si>
  <si>
    <t>CABLE VAINA CHATA 2 X 2,50 (PRECIO x MTS) MH.</t>
  </si>
  <si>
    <t>CABLE VAINA CHATA 2 X 4 (PRECIO x MTS) MH.</t>
  </si>
  <si>
    <t>CABLE VAINA CHATA 3 X 1 (PRECIO x MTS) MH.</t>
  </si>
  <si>
    <t>CABLE VAINA CHATA 3 X 4 (PRECIO x MTS) MH.</t>
  </si>
  <si>
    <t>27459</t>
  </si>
  <si>
    <t>COLGANTE TUBO 1 LUZ GU10 BLANCO FERROLUX</t>
  </si>
  <si>
    <t>27458</t>
  </si>
  <si>
    <t>COLGANTE TUBO 1 LUZ GU10 NEGRO FERROLUX</t>
  </si>
  <si>
    <t>COLGANTE UFO LED 200W LUZ FRIA NOV.</t>
  </si>
  <si>
    <t>27444</t>
  </si>
  <si>
    <t>DICROICA LED 4,5W LUZ CALIDA **</t>
  </si>
  <si>
    <t>27451</t>
  </si>
  <si>
    <t>DISYUNTOR 4 X 40 A. SUPERINMUNIZADO 30 mA 6kA CHINT</t>
  </si>
  <si>
    <t>27452</t>
  </si>
  <si>
    <t>DISYUNTOR 4 X 40A. 300mA CHINT</t>
  </si>
  <si>
    <t>FICHA CONVERTIDORA DE 2 A 3 CON MUECA MIG</t>
  </si>
  <si>
    <t>FICHA CONVERTIDORA DE 3 A 2 CON MUECA MIG</t>
  </si>
  <si>
    <t>FICHA CONVERTIDORA P/CHATO AMERICANO Y ALEMAN MIG</t>
  </si>
  <si>
    <t>27460</t>
  </si>
  <si>
    <t>FICHA CONVERTIDORA P/REDONDO AMERICANO Y ALEMAN MIG</t>
  </si>
  <si>
    <t>27448</t>
  </si>
  <si>
    <t>GUIRNALDA POR METRO (PRECIO X MTS)</t>
  </si>
  <si>
    <t>MEDIDOR MONOFASICO DIGITAL RIEL DIN CHINT</t>
  </si>
  <si>
    <t>27449</t>
  </si>
  <si>
    <t>MODULO TOMA USB  + PUERTO C BLANCO KALOP **</t>
  </si>
  <si>
    <t>27450</t>
  </si>
  <si>
    <t>MODULO TOMA USB + PUERTO C NEGRO KALOP **</t>
  </si>
  <si>
    <t>27463</t>
  </si>
  <si>
    <t>PISO CANAL CHICO 48 X 13  BLANCO C/ADHESIVO (PRECIO X MTS) GEN ROD</t>
  </si>
  <si>
    <t>PISO CANAL CHICO 48 X 13 BLANCO (PRECIO X MTS) GEN ROD</t>
  </si>
  <si>
    <t>PISO CANAL GRANDE 75 X 17 BLANCO (PRECIO X MTS) GENROD</t>
  </si>
  <si>
    <t>27464</t>
  </si>
  <si>
    <t>PISO CANAL GRANDE 75 X 17 BLANCO C/ADHESIVO (PRECIO X MTS) GEN ROD</t>
  </si>
  <si>
    <t>PLAFON LED 18W CUADRADO NEGRO LUZ FRIA MACROLED</t>
  </si>
  <si>
    <t>PORTALAMPARA GOLIATH BCE. CASQ. ALUMINIO 3/8</t>
  </si>
  <si>
    <t>PROYECTOR LED 100W LUZ FRIA</t>
  </si>
  <si>
    <t>27446</t>
  </si>
  <si>
    <t>27461</t>
  </si>
  <si>
    <t>REPARTIDOR UNIPOLAR DIN 15 TOMAS VERDE (TIERRA)</t>
  </si>
  <si>
    <t>27456</t>
  </si>
  <si>
    <t>SPOT 1 LUZ C/TULIPA PVC VALEN BLANCO (S-110BLA/V)</t>
  </si>
  <si>
    <t>27457</t>
  </si>
  <si>
    <t>SPOT 1 LUZ C/TULIPA PVC VALEN NEGRO (S-110NEG/V)</t>
  </si>
  <si>
    <t>ADHESIVO PARA PVC X 125 cc VALINCO</t>
  </si>
  <si>
    <t>ADHESIVO PARA PVC X 250 cc VALINCO</t>
  </si>
  <si>
    <t>LAMPARA H POWER 20W LUZ FRIA **</t>
  </si>
  <si>
    <t>27465</t>
  </si>
  <si>
    <t>PANEL LED 6W CIRCULAR LUZ NEUTRA MACROLED</t>
  </si>
  <si>
    <t>PROYECTOR LED 150W LUZ FRIA</t>
  </si>
  <si>
    <t>PROYECTOR LED 200W LUZ FRIA</t>
  </si>
  <si>
    <t>PROYECTOR LED 50W LUZ CALIDA</t>
  </si>
  <si>
    <t>TERMICA 3 X 32 A. 6kA CHINT</t>
  </si>
  <si>
    <t>REPARTIDOR UNIPOLAR DIN 7 TOMAS VERDE 1,5 - 6MM (TIERRA)</t>
  </si>
  <si>
    <t>TERMICA 3 X 63 A. 6kA CHINT</t>
  </si>
  <si>
    <t>TUBO LED DE 18W LUZ FRIA **</t>
  </si>
  <si>
    <t>PILA CR-2032 BL X 5</t>
  </si>
  <si>
    <t>27466</t>
  </si>
  <si>
    <t>CABLE SUBTERRANEO ALUMINIO 1 X 35 (PRECIO X MTS) CE.</t>
  </si>
  <si>
    <t>27467</t>
  </si>
  <si>
    <t>27468</t>
  </si>
  <si>
    <t>SPOT EMB. MOVIL CUADRADO DICRO NEGRO P/1 LUZ S.J.</t>
  </si>
  <si>
    <t>BAJO ALACENA MAGNETICA 1,5W 30 CM. NOVA.</t>
  </si>
  <si>
    <t>27483</t>
  </si>
  <si>
    <t>BAJO ALACENA MAGNETICA 2,0W 40 CM. NOVA.</t>
  </si>
  <si>
    <t>CAJA EMBUTIR CUADRADA 10 X 10 CH. 18</t>
  </si>
  <si>
    <t>CAJA EMBUTIR MIGNON CH. 18</t>
  </si>
  <si>
    <t>CAJA EMBUTIR MIGNON CH. 20</t>
  </si>
  <si>
    <t>CAJA EMBUTIR MIGNON PVC</t>
  </si>
  <si>
    <t>CAJA EMBUTIR RECTANGULAR PROFUNDA CH. 18 AG</t>
  </si>
  <si>
    <t>27469</t>
  </si>
  <si>
    <t>DICROICA LED 7W DIMERIZABLE "GRIS" LUZ CALIDA**</t>
  </si>
  <si>
    <t>27480</t>
  </si>
  <si>
    <t>27482</t>
  </si>
  <si>
    <t>27481</t>
  </si>
  <si>
    <t>27479</t>
  </si>
  <si>
    <t>GUARDAMOTOR G.E 1,6A 1.0-1.6 0,55Kw  (101216)</t>
  </si>
  <si>
    <t>PANEL LED 18W CIRCULAR LUZ CALIDA</t>
  </si>
  <si>
    <t>PILA CR-2032 CANDELA</t>
  </si>
  <si>
    <t>ROLLO TIRA LED LUZ CALIDA 220V (PRECIO X MTS)</t>
  </si>
  <si>
    <t>ROLLO TIRA LED LUZ FRIA 220V (PRECIO X MTS)</t>
  </si>
  <si>
    <t>LISTON DOBLE PARA TUBO LED DE 2 X 9 W.</t>
  </si>
  <si>
    <t>PANEL LED 18W CIRCULAR LUZ FRIA</t>
  </si>
  <si>
    <t>LAMPARA LED BI PIN G9 7W LUZ FRIA **</t>
  </si>
  <si>
    <t>27489</t>
  </si>
  <si>
    <t>27488</t>
  </si>
  <si>
    <t>27487</t>
  </si>
  <si>
    <t>GUARDAMOTOR G.E. 24-32A 32A 50kA (101248)</t>
  </si>
  <si>
    <t>LAMPARA AR111 LED 15W LUZ FRIA NOVA**</t>
  </si>
  <si>
    <t>PROTECTOR DE TENSION PR2 2200W LAVARROPA/VAJILLA</t>
  </si>
  <si>
    <t>PROTECTOR DE TENSION PR3 1500W HELADERA/FREEZER</t>
  </si>
  <si>
    <t>PROTECTOR DE TENSION PR5 2500W AIRE ACONDICIONADO</t>
  </si>
  <si>
    <t>TAPA P/CAMP. POLICARBONATO DE 420MM CABRERA</t>
  </si>
  <si>
    <t>PRECINTO 387 X 7.63 MM NEGRO</t>
  </si>
  <si>
    <t>PRECINTO 387 X 7.6 MM. TRANSP.</t>
  </si>
  <si>
    <t>MEMBRANA PULSADOR DOBLE PROTEC. IP66</t>
  </si>
  <si>
    <t>LAMPARA CLASICA LED 18W LUZ FRIA</t>
  </si>
  <si>
    <t>LISTON SIMPLE PARA TUBO LED DE 1 X 9 W.</t>
  </si>
  <si>
    <t>PANEL LED 12W CIRCULAR LUZ FRIA</t>
  </si>
  <si>
    <t>COLGANTE TAMPA 60 LED LUZ CALIDA CANDIL</t>
  </si>
  <si>
    <t>CABLE UNIPOLAR 1 X 6  ROJO (PRECIO x MTS) IRAM</t>
  </si>
  <si>
    <t>27493</t>
  </si>
  <si>
    <t>FICHA DOMIC. P/CONTROL DIFERENCIALES (3600) CAMBRE</t>
  </si>
  <si>
    <t>27492</t>
  </si>
  <si>
    <t>INTERRUPTOR COMPACTO 3 POLOS 125A REG. 63- 125A 36kA CHINT</t>
  </si>
  <si>
    <t>27491</t>
  </si>
  <si>
    <t>INTERRUPTOR COMPACTO 4 POLOS 125A REG. 63-125A 36kA CHINT</t>
  </si>
  <si>
    <t>LUMINARIA VIA PUBLICA 150W 5000K</t>
  </si>
  <si>
    <t>LUMINARIA ESTANCA 2 X 18W LED</t>
  </si>
  <si>
    <t>APLIQUE BIDIRECCIONAL MONACO DIFUSOR 1xE-27 (AP-103)</t>
  </si>
  <si>
    <t>27494</t>
  </si>
  <si>
    <t>TOMA HEMBRA SOBREPONER 3P+T 32A IP44 380V BALS - KALOP (KL7643243)</t>
  </si>
  <si>
    <t>27495</t>
  </si>
  <si>
    <t>TOMA HEMBRA SOBREPONER 3P+N+T 32A IP44 380V BALS - KALOP (KL7653243)</t>
  </si>
  <si>
    <t>27496</t>
  </si>
  <si>
    <t>TOMA HEMBRA SOBREPONER 3P+T 16A IP44 380V BALS - KALOP (KL7641643)</t>
  </si>
  <si>
    <t>27497</t>
  </si>
  <si>
    <t>TOMA HEMBRA SOBREPONER 3P+N+T16A IP44 380V BALS - KALOP (KL7651643)</t>
  </si>
  <si>
    <t>27498</t>
  </si>
  <si>
    <t>CONTACTOR TRIP. 18.5KW 40A 1NA+1NC 24V G.E. CL45</t>
  </si>
  <si>
    <t>27505</t>
  </si>
  <si>
    <t>CABLE SUBTERRANEO 5 x 6 (PRECIO X MTS) KALOP.</t>
  </si>
  <si>
    <t>CURVA ALUMINIO BAJADA VIEJA 1" 1/2</t>
  </si>
  <si>
    <t>27506</t>
  </si>
  <si>
    <t>DICROICA LED "DIMERIZABLE" 7W LUZ FRIA MACROLED**</t>
  </si>
  <si>
    <t>27500</t>
  </si>
  <si>
    <t>LAMPARA FILAMENTO SPIRAL VINTAGE GLOBO LED 6W</t>
  </si>
  <si>
    <t>27501</t>
  </si>
  <si>
    <t>LAMPARA FILAMENTO SPIRAL VINTAGE PERA 6W GOLD</t>
  </si>
  <si>
    <t>LAMPARA FILAMENTO VINTAGE PERA 4W  SICA**</t>
  </si>
  <si>
    <t>PANTALLA DE POLICARBONATO E-27 DIAM 420 MM. CABRERA</t>
  </si>
  <si>
    <t>PROLONGADOR 4 TOMAS MULTIPLE SIN CABLE RICHI</t>
  </si>
  <si>
    <t>27499</t>
  </si>
  <si>
    <t>PROYECTOR LED 200W LUZ CALIDA MACROLED</t>
  </si>
  <si>
    <t>PROYECTOR LED C/SENSOR 30W LUZ FRIA</t>
  </si>
  <si>
    <t>27503</t>
  </si>
  <si>
    <t>27502</t>
  </si>
  <si>
    <t>PROYECTOR LED SOLAR 50W LUZ FRÍA</t>
  </si>
  <si>
    <t>PULSADOR ARRANQUE PARADA VERDE ROJO NA+NC CHINT</t>
  </si>
  <si>
    <t>27508</t>
  </si>
  <si>
    <t>TUERCA Y ARANDELA 1/4 PARA BANDEJA PORTACABLE</t>
  </si>
  <si>
    <t>27507</t>
  </si>
  <si>
    <t>TUERCA Y ARANDELA 3/8 PARA BANDEJA PORTACABLE</t>
  </si>
  <si>
    <t>27509</t>
  </si>
  <si>
    <t>TUERCA Y ARANDELA 5/16 PARA BANDEJA PORTACABLE</t>
  </si>
  <si>
    <t>27515</t>
  </si>
  <si>
    <t>ADHESIVO PARA PVC X 60 cc VALINCO</t>
  </si>
  <si>
    <t>CABLE PREENSAMBLADO DE CU P/ ACOMETIDA 2 X 16 (PRECIO x MTS) MH.</t>
  </si>
  <si>
    <t>CABLE PREENSAMBLADO DE CU P/ ACOMETIDA 2 X 6 (PRECIO x MTS) MH.</t>
  </si>
  <si>
    <t>CABLE PREENSANBLADO DE CU P/ACOMETIDA 4 X 6 (PRECIO x MTS) MH.</t>
  </si>
  <si>
    <t>27522</t>
  </si>
  <si>
    <t>CABLE SUBTERRANEO LSOH 3 X 35 +16 (PRECIO X MTS) MH</t>
  </si>
  <si>
    <t>27523</t>
  </si>
  <si>
    <t>27524</t>
  </si>
  <si>
    <t>CARTUCHO FUSIBLE 10x38MM  20A</t>
  </si>
  <si>
    <t>CARTUCHO FUSIBLE 10x38MM  25A gG 500V</t>
  </si>
  <si>
    <t>CARTUCHO FUSIBLE 10x38MM  2A</t>
  </si>
  <si>
    <t>CARTUCHO FUSIBLE 10x38MM  32A</t>
  </si>
  <si>
    <t>27529</t>
  </si>
  <si>
    <t>COLGANTE UFO LED 100W LF-LC-LN TECLASTAR</t>
  </si>
  <si>
    <t>27530</t>
  </si>
  <si>
    <t>COLGANTE UFO LED 150W LF-LC-LN TECLASTAR</t>
  </si>
  <si>
    <t>27531</t>
  </si>
  <si>
    <t>COLGANTE UFO LED 200W LF-LN-LC TECLASTAR</t>
  </si>
  <si>
    <t>CONECTOR 16 MM. GENROD-SISTELECTRIC</t>
  </si>
  <si>
    <t>CONECTOR 20 MM. GENROD-SISTELECTRIC</t>
  </si>
  <si>
    <t>CONECTOR 22 MM. GENROD-SISTELECTRIC</t>
  </si>
  <si>
    <t>CONECTOR 25 MM. GENROD-SISTELECTRIC</t>
  </si>
  <si>
    <t>CONECTOR 32 MM. GENROD-SISTELECTRIC</t>
  </si>
  <si>
    <t>CONECTOR 40 MM. GENROD-SISTELECTRIC</t>
  </si>
  <si>
    <t>CONECTOR 50 MM. GENROD-SISTELECTRIC</t>
  </si>
  <si>
    <t>27519</t>
  </si>
  <si>
    <t>CONECTOR PARA PEINES</t>
  </si>
  <si>
    <t>CURVA 16 MM. GENROD-SISTELECTRIC</t>
  </si>
  <si>
    <t>CURVA 20 MM. GENROD-SISTELECTRIC</t>
  </si>
  <si>
    <t>CURVA 22 MM. GENROD-SISTELECTRIC</t>
  </si>
  <si>
    <t>CURVA 25 MM. GENROD-SISTELECTRIC</t>
  </si>
  <si>
    <t>CURVA 32 MM. GENROD-SISTELECTRIC</t>
  </si>
  <si>
    <t>CURVA 40 MM. GENROD-SISTELECTRIC</t>
  </si>
  <si>
    <t>CURVA 50 MM. GENROD-SISTELECTRIC</t>
  </si>
  <si>
    <t>FUSIBLE NH TAMAÑO  00 35A</t>
  </si>
  <si>
    <t>FUSIBLE NH TAMAÑO  00 63A</t>
  </si>
  <si>
    <t>FUSIBLE NH TAMAÑO 00 50A</t>
  </si>
  <si>
    <t>FUSIBLE NH TAMAÑO 00 80A</t>
  </si>
  <si>
    <t>GRAMPA DE FIJACION 1 1/2" 40 MM. GENROD-SISTELECTRIC</t>
  </si>
  <si>
    <t>GRAMPA DE FIJACION 1 1/4" 32 MM. GENROD-SISTELECTRIC</t>
  </si>
  <si>
    <t>GRAMPA DE FIJACION 1" 25 MM. GENROD-SISTELECTRIC</t>
  </si>
  <si>
    <t>GRAMPA DE FIJACION 2" 50 MM. GENROD-SISTELECTRIC</t>
  </si>
  <si>
    <t>GRAMPA DE FIJACION 3/4"  20 MM. GENROD-SISTELECTRIC</t>
  </si>
  <si>
    <t>GRAMPA DE FIJACION 5/8 16 MM. GENROD-SISTELECTRIC</t>
  </si>
  <si>
    <t>GRAMPA DE FIJACION 7/8" 22 MM. GENROD-SISTELECTRIC</t>
  </si>
  <si>
    <t>27528</t>
  </si>
  <si>
    <t>PANEL LED 12W CIRCULAR LUZ NEUTRA MACROLED</t>
  </si>
  <si>
    <t>PANEL LED 18W CUADRADO LUZ FRIA</t>
  </si>
  <si>
    <t>27525</t>
  </si>
  <si>
    <t>PANEL LED 40W 60 X 60 LUZ NEUTRA MACROLED</t>
  </si>
  <si>
    <t>27520</t>
  </si>
  <si>
    <t>27521</t>
  </si>
  <si>
    <t>27527</t>
  </si>
  <si>
    <t>PLAFON LED 12W CUADRADO LUZ NEUTRA MACROLED</t>
  </si>
  <si>
    <t>27526</t>
  </si>
  <si>
    <t>PROTECTOR DE TENSION ENCHUFABLE 20A</t>
  </si>
  <si>
    <t>PROTECTOR DE TENSION ENCHUFABLE DE 10A 2200 W.</t>
  </si>
  <si>
    <t>27537</t>
  </si>
  <si>
    <t>PROYECTOR LED 100W LUZ FRIA TECLASTAR</t>
  </si>
  <si>
    <t>10138</t>
  </si>
  <si>
    <t>PROYECTOR LED 10W LUZ FRIA TECLASTAR</t>
  </si>
  <si>
    <t>27538</t>
  </si>
  <si>
    <t>PROYECTOR LED 150W LUZ FRIA TECLASTAR</t>
  </si>
  <si>
    <t>27539</t>
  </si>
  <si>
    <t>PROYECTOR LED 200W LUZ FRIA TECLASTAR</t>
  </si>
  <si>
    <t>27533</t>
  </si>
  <si>
    <t>PROYECTOR LED 20W LUZ FRIA TECLASTAR</t>
  </si>
  <si>
    <t>27535</t>
  </si>
  <si>
    <t>PROYECTOR LED 30W LUZ CALIDA TECLASTAR</t>
  </si>
  <si>
    <t>27534</t>
  </si>
  <si>
    <t>PROYECTOR LED 30W LUZ FRIA TECLASTAR</t>
  </si>
  <si>
    <t>27536</t>
  </si>
  <si>
    <t>PROYECTOR LED 50W LUZ FRIA TECLASTAR</t>
  </si>
  <si>
    <t>27532</t>
  </si>
  <si>
    <t>PROYECTOR PORTATIL AUTONOMO TECLASTAR</t>
  </si>
  <si>
    <t>REPARTIDOR BORNERA BIPOLAR 100A R2-7</t>
  </si>
  <si>
    <t>27516</t>
  </si>
  <si>
    <t>REPARTIDOR BORNERA BIPOLAR 125A R2-11</t>
  </si>
  <si>
    <t>27517</t>
  </si>
  <si>
    <t>REPARTIDOR BORNERA BIPOLAR 125A R2-15</t>
  </si>
  <si>
    <t>REPARTIDOR BORNERA TETRAPOLAR 125A R4-11</t>
  </si>
  <si>
    <t>REPARTIDOR BORNERA TETRAPOLAR 125A R4-15</t>
  </si>
  <si>
    <t>27518</t>
  </si>
  <si>
    <t>REPARTIDOR BORNERA TETRAPOLAR 125A R4-7</t>
  </si>
  <si>
    <t>27512</t>
  </si>
  <si>
    <t>SPOT CILINDRICO LARGO AR111 BLANCO</t>
  </si>
  <si>
    <t>27511</t>
  </si>
  <si>
    <t>SPOT CILINDRICO LARGO AR111 NEGRO</t>
  </si>
  <si>
    <t>TERMICA 1 X 06 A. 6kA CHINT</t>
  </si>
  <si>
    <t>TIRA LED 5050 X 5 METROS EXTERIOR LUZ CALIDA IP65 MACROLED **</t>
  </si>
  <si>
    <t>TIRA LED 5050 X 5 METROS EXTERIOR LUZ FRIA IP65 MACROLED **</t>
  </si>
  <si>
    <t>TIRA LED 5050 X 5 METROS INTERIOR LUZ CALIDA IP20 MACROLED **</t>
  </si>
  <si>
    <t>TIRA LED 5050 X 5 METROS INTERIOR LUZ FRIA IP20 MACROLED **</t>
  </si>
  <si>
    <t>27514</t>
  </si>
  <si>
    <t>TIRA LED 5050 X 5 METROS INTERIOR LUZ NEUTRA IP20 MACROLED **</t>
  </si>
  <si>
    <t>TIRA LED 5050 X 5 METROS LUZ CALIDA IP45 MACROLED **</t>
  </si>
  <si>
    <t>TIRA LED 5050 X 5 METROS LUZ FRIA IP45 MACROLED **</t>
  </si>
  <si>
    <t>TIRA LED RGB 5050 X 5 METROS EXTERIOR IP45 MACROLED **</t>
  </si>
  <si>
    <t>UNION 16 MM. GENROD-SISTELECTRIC</t>
  </si>
  <si>
    <t>UNION 20 MM. GENROD-SISTELECTRIC</t>
  </si>
  <si>
    <t>UNION 22 MM. GENROD-SISTELECTRIC</t>
  </si>
  <si>
    <t>UNION 25 MM. GENROD-SISTELECTRIC</t>
  </si>
  <si>
    <t>UNION 32 MM. GENROD-SISTELECTRIC</t>
  </si>
  <si>
    <t>UNION 40 MM. GENROD-SISTELECTRIC</t>
  </si>
  <si>
    <t>UNION 50 MM. GENROD-SISTELECTRIC</t>
  </si>
  <si>
    <t>CABLE UNIPOLAR 1 X 6  CELESTE (PRECIO x MTS) IRAM</t>
  </si>
  <si>
    <t>CABLE UNIPOLAR 1 X 6  MARRON (PRECIO x MTS) IRAM</t>
  </si>
  <si>
    <t>CABLE UNIPOLAR 1 X 6 BLANCO (PRECIO x MTS) IRAM</t>
  </si>
  <si>
    <t>CABLE UNIPOLAR 1 X 6 VERDE Y A (PRECIO x MTS) IRAM</t>
  </si>
  <si>
    <t>27540</t>
  </si>
  <si>
    <t>CAJA PASE METALICA 12 X 12 X 10</t>
  </si>
  <si>
    <t>CINTA AUTOSOLDABLE 3M SCOTCH 2351 X 3 MTS.</t>
  </si>
  <si>
    <t>MODULO INTERRUPTOR BIPOLAR 16A NEGRO (80036) PLATINUM</t>
  </si>
  <si>
    <t>MODULO PUNTO 4 VIAS DE CRUZAM. 10A BLANCO (60037) PLATINUN JELUZ</t>
  </si>
  <si>
    <t>PRENSACABLE 1 1/2  PG-29</t>
  </si>
  <si>
    <t>PRENSACABLE 1 1/4</t>
  </si>
  <si>
    <t>PROYECTOR LED 30W LUZ CALIDA</t>
  </si>
  <si>
    <t>27546</t>
  </si>
  <si>
    <t>TOMA HEMBRA EMBUTIR IP44 3P + N + T 16A BALS - KALOP (KL7551643)</t>
  </si>
  <si>
    <t>27551</t>
  </si>
  <si>
    <t>CAPACITOR TRIFÁSICO CILINDRICO 10kVAr CHINT</t>
  </si>
  <si>
    <t>27552</t>
  </si>
  <si>
    <t>CAPACITOR TRIFÁSICO CILINDRICO 15kVAr CHINT</t>
  </si>
  <si>
    <t>27553</t>
  </si>
  <si>
    <t>CAPACITOR TRIFÁSICO CILINDRICO 20kVAr CHINT</t>
  </si>
  <si>
    <t>27554</t>
  </si>
  <si>
    <t>CAPACITOR TRIFÁSICO CILINDRICO 3kVAr CHINT</t>
  </si>
  <si>
    <t>CAPACITOR TRIFÁSICO CILINDRICO 5kVAr CHINT</t>
  </si>
  <si>
    <t>27550</t>
  </si>
  <si>
    <t>CAPACITOR TRIFÁSICO CILINDRICO 7,5kVAr CHINT</t>
  </si>
  <si>
    <t>27549</t>
  </si>
  <si>
    <t>CONTACTOR P/CAPACITORES 12,5kVAr 1NA+1NC 220VCA CHINT</t>
  </si>
  <si>
    <t>27548</t>
  </si>
  <si>
    <t>CONTACTOR P/CAPACITORES 20kVAr 1NA+1NC 220VCA CHINT</t>
  </si>
  <si>
    <t>27555</t>
  </si>
  <si>
    <t>REGULADOR VARIMÉTRICO 6 PASOS AUTOMÁTICO DE FACTOR DE POTENCIA</t>
  </si>
  <si>
    <t>27563</t>
  </si>
  <si>
    <t>ABRAZADERA DE HIERRO DOMICILIARIO (PKD-31 ECO)</t>
  </si>
  <si>
    <t>27564</t>
  </si>
  <si>
    <t>ABRAZADERA PARA POSTE C/ESCOTE  PKR-30 LCT</t>
  </si>
  <si>
    <t>27562</t>
  </si>
  <si>
    <t>ABRAZADERA PKD-31 LCT</t>
  </si>
  <si>
    <t>CABLE SUBTERRANEO 4 X 4 (PRECIO X MTS) IRAM</t>
  </si>
  <si>
    <t>CABLE SUBTERRANEO 5 X 4 (PRECIO X MTS) IRAM</t>
  </si>
  <si>
    <t>27556</t>
  </si>
  <si>
    <t>27560</t>
  </si>
  <si>
    <t>CAÑO 16 MM. SEMIPESADO (PRECIO X MTS) JELUZ</t>
  </si>
  <si>
    <t>27561</t>
  </si>
  <si>
    <t>CAÑO 20 MM. SEMIPESADO (PRECIO X MTS) JELUZ</t>
  </si>
  <si>
    <t>27557</t>
  </si>
  <si>
    <t>CAÑO 32 MM. HD (PRECIO X MTS) SISTELECTRIC</t>
  </si>
  <si>
    <t>27558</t>
  </si>
  <si>
    <t>CAÑO 40 MM. HD (PRECIO X MTS) SISTELECTRIC</t>
  </si>
  <si>
    <t>27559</t>
  </si>
  <si>
    <t>CAÑO 50 MM. HD (PRECIO X MTS) SISTELECTRIC</t>
  </si>
  <si>
    <t>SPOT BALCONY REDONDO SEMIEMBUTIDO DICRO BLANCO MICRO CANDIL</t>
  </si>
  <si>
    <t>SPOT BALCONY REDONDO SEMIEMBUTIDO DICRO NEGRO CANDIL</t>
  </si>
  <si>
    <t>CABLE SUBTERRANEO ALUMINIO 1 X 50 (PRECIO X MTS) CE.</t>
  </si>
  <si>
    <t>27569</t>
  </si>
  <si>
    <t>CAPACITOR TRIFÁSICO CILINDRICO 30kVAr CHINT</t>
  </si>
  <si>
    <t>27570</t>
  </si>
  <si>
    <t>CAPACITOR TRIFÁSICO CILINDRICO 40kVAr 400VAC CHINT</t>
  </si>
  <si>
    <t>27568</t>
  </si>
  <si>
    <t>CAPSULADA EMBURTIR + TOMA C/ NEUTRO 10 A. KALOP</t>
  </si>
  <si>
    <t>27571</t>
  </si>
  <si>
    <t>27577</t>
  </si>
  <si>
    <t>27576</t>
  </si>
  <si>
    <t>EXTERIOR TEKNA 1 PULSADOR NEGRO KALOP**</t>
  </si>
  <si>
    <t>27574</t>
  </si>
  <si>
    <t>EXTERIOR TEKNA 1 PUNTO NEGRO KALOP**</t>
  </si>
  <si>
    <t>27578</t>
  </si>
  <si>
    <t>EXTERIOR TEKNA 1 TOMA 20A NEGRO KALOP</t>
  </si>
  <si>
    <t>27572</t>
  </si>
  <si>
    <t>EXTERIOR TEKNA 1 TOMA NEGRO KALOP</t>
  </si>
  <si>
    <t>27575</t>
  </si>
  <si>
    <t>EXTERIOR TEKNA 2 PUNTOS NEGRO KALOP**</t>
  </si>
  <si>
    <t>27573</t>
  </si>
  <si>
    <t>EXTERIOR TEKNA 2 TOMAS NEGRO KALOP</t>
  </si>
  <si>
    <t>LAMPARA CLASICA LED 12W LUZ NEUTRA E27 MACROLED**</t>
  </si>
  <si>
    <t>LAMPARA CLASICA LED 15W LUZ NEUTRA E27 MACROLED**</t>
  </si>
  <si>
    <t>27579</t>
  </si>
  <si>
    <t>MODULO VARIADOR DE INTENSIDAD PUSH BLANCO KALOP**</t>
  </si>
  <si>
    <t>27580</t>
  </si>
  <si>
    <t>MODULO VARIADOR DE INTENSIDAD PUSH NEGRO KALOP**</t>
  </si>
  <si>
    <t>27581</t>
  </si>
  <si>
    <t>PROYECTOR LED SOLAR 100W LUZ FRÍA</t>
  </si>
  <si>
    <t>PROYECTOR LED SOLAR 200W LUZ FRIA</t>
  </si>
  <si>
    <t>CABLE BIPOLAR  2 X 1 (PRECIO x MTS) RE.</t>
  </si>
  <si>
    <t>CABLE BIPOLAR 2 X 0,75 BLANCO (PRECIO X MTS) RE.</t>
  </si>
  <si>
    <t>CABLE BIPOLAR 2 X 0.75 BLANCO (PRECIO x MTS) NA.</t>
  </si>
  <si>
    <t>CABLE BIPOLAR 2 X 1 BLANCO (PRECIO x MTS) NA.</t>
  </si>
  <si>
    <t>CABLE BIPOLAR 2 X 2,5 BLANCO (PRECIO x MTS) NA.</t>
  </si>
  <si>
    <t>CABLE BIPOLAR BLANCO 2 X 0,50 NORM (PRECIO x MTS) MH</t>
  </si>
  <si>
    <t>CABLE BIPOLAR BLANCO 2 X 0,75 NORM (PRECIO X MTS) MH</t>
  </si>
  <si>
    <t>CABLE BIPOLAR BLANCO 2 X 1 NORM (PRECIO x MTS) MH</t>
  </si>
  <si>
    <t>CABLE BIPOLAR BLANCO 2 X 1,5  NORM (PRECIO x MTS) MH</t>
  </si>
  <si>
    <t>CABLE BIPOLAR BLANCO 2 X 2,5  NORM (PRECIO x MTS) MH</t>
  </si>
  <si>
    <t>CABLE BIPOLAR NEGRO 2 X 0,75 (PRECIO x MTS) RE.</t>
  </si>
  <si>
    <t>CABLE BIPOLAR NEGRO 2 X 0.75 (PRECIO x MTS) NA.</t>
  </si>
  <si>
    <t>CABLE BIPOLAR NEGRO 2 X 1 (PRECIO x MTS) MH</t>
  </si>
  <si>
    <t>CABLE BIPOLAR NEGRO 2 X 1 (PRECIO x MTS) NA.</t>
  </si>
  <si>
    <t>CABLE BIPOLAR NEGRO 2 X 1 (PRECIO x MTS) RE.</t>
  </si>
  <si>
    <t>CABLE BIPOLAR NEGRO 2 X 1,5 (PRECIO X MTS) NA.</t>
  </si>
  <si>
    <t>27583</t>
  </si>
  <si>
    <t>EXTERIOR TEKNA 1 COMBINACION NEGRO KALOP**</t>
  </si>
  <si>
    <t>27046</t>
  </si>
  <si>
    <t>FUENTE METALICA EXTERIOR 12V 5A MACROLED</t>
  </si>
  <si>
    <t>FUSIBLE NH TAMAÑO 00 100A</t>
  </si>
  <si>
    <t>27582</t>
  </si>
  <si>
    <t>10583</t>
  </si>
  <si>
    <t>LUZ DE EMERGENCIA 60 LEDS MACROLED</t>
  </si>
  <si>
    <t>TUBO DE LED 9W LUZ FRIA**</t>
  </si>
  <si>
    <t>27584</t>
  </si>
  <si>
    <t>PANEL LED 18W CUADRADO LUZ CALIDA</t>
  </si>
  <si>
    <t>PLAFON LED 12W CUADRADO LUZ CALIDA</t>
  </si>
  <si>
    <t>PRECINTO 300 MM. GRIS PLATA</t>
  </si>
  <si>
    <t>CABLE TIPO TALLER 2 X 4 (PRECIO x MTS) IRAM</t>
  </si>
  <si>
    <t>CABLE UNIPOLAR 1 X 10  CELESTE (PRECIO x MTS) IRAM</t>
  </si>
  <si>
    <t>CABLE UNIPOLAR 1 X 10  MARRON (PRECIO x MTS) IRAM</t>
  </si>
  <si>
    <t>CONTACTOR TRIP. 120A 220V 2NA+2NC CHINT</t>
  </si>
  <si>
    <t>CONTACTOR TRIP. 185A 220V 2NA+2NC CHINT</t>
  </si>
  <si>
    <t>CABLE CANAL RANURADO b 15 x h 30mm (PCIO X MT) ZOLODA CKN-015-30</t>
  </si>
  <si>
    <t>CABLE CANAL RANURADO b 30 x h 30mm  (PCIO X MT) ZOLODA CKN-030-30</t>
  </si>
  <si>
    <t>CABLE CANAL RANURADO b 40 xh 40mm  (PCIO X MT) ZOLODA CKN-040-40</t>
  </si>
  <si>
    <t>CABLE CANAL RANURADO b 40 xh 60mm  (PCIO X MT) ZOLODA CKN-040-60</t>
  </si>
  <si>
    <t>DISCO DIAMANTADO ALIAFOR TRF 4,5¨ ( TURBO FINO )</t>
  </si>
  <si>
    <t>27585</t>
  </si>
  <si>
    <t>FICHA MACHO TRES PERNOS CHATOS LATERAL MIG</t>
  </si>
  <si>
    <t>10373</t>
  </si>
  <si>
    <t>PROYECTOR LED 300W HIGH LINE LUZ FRIA</t>
  </si>
  <si>
    <t>10354</t>
  </si>
  <si>
    <t>PROYECTOR LED 400W HIGH LINE LUZ FRIA</t>
  </si>
  <si>
    <t>CABLE UNIPOLAR 1 X 10  NEGRO (PRECIO x MTS) IRAM</t>
  </si>
  <si>
    <t>CABLE UNIPOLAR 1 X 10  VERDE Y A (PRECIO x MTS) IRAM</t>
  </si>
  <si>
    <t>27602</t>
  </si>
  <si>
    <t>CAJA METALICA EMBUTIR P/10 BOCAS CON PUERTA GABEXEL</t>
  </si>
  <si>
    <t>27603</t>
  </si>
  <si>
    <t>CAJA METALICA EMBUTIR P/14 BOCAS CON PUERTA GABEXEL</t>
  </si>
  <si>
    <t>27604</t>
  </si>
  <si>
    <t>CAJA METALICA EMBUTIR P/20 BOCAS CON PUERTA GABEXEL</t>
  </si>
  <si>
    <t>27605</t>
  </si>
  <si>
    <t>CAJA METALICA EMBUTIR P/30 BOCAS CON PUERTA GABEXEL</t>
  </si>
  <si>
    <t>27606</t>
  </si>
  <si>
    <t>CAJA METALICA EMBUTIR P/40 BOCAS CON PUERTA GABEXEL</t>
  </si>
  <si>
    <t>27607</t>
  </si>
  <si>
    <t>CAJA METALICA EMBUTIR P/60 BOCAS CON PUERTA GABEXEL</t>
  </si>
  <si>
    <t>27608</t>
  </si>
  <si>
    <t>CERRADURA MEDIA VUELTA C/LLAVE GABEXEL</t>
  </si>
  <si>
    <t>27599</t>
  </si>
  <si>
    <t>GABINETE C/CONTRAF. CALADO P/20 BOCAS (350X300X120) GABEXEL</t>
  </si>
  <si>
    <t>27600</t>
  </si>
  <si>
    <t>GABINETE C/CONTRAF. CALADO P/54 BOCAS (500X450X120) GABEXEL</t>
  </si>
  <si>
    <t>27601</t>
  </si>
  <si>
    <t>GABINETE C/CONTRAF. CALADO P/72 BOCAS (650X450X120) GABEXEL</t>
  </si>
  <si>
    <t>27592</t>
  </si>
  <si>
    <t>GABINETE ESTANCO 300 X 300 X 120 GABEXEL</t>
  </si>
  <si>
    <t>27593</t>
  </si>
  <si>
    <t>GABINETE ESTANCO 400 X 300 X 120 GABEXEL</t>
  </si>
  <si>
    <t>27594</t>
  </si>
  <si>
    <t>GABINETE ESTANCO 450 X 450 X 120 GABEXEL</t>
  </si>
  <si>
    <t>27595</t>
  </si>
  <si>
    <t>GABINETE ESTANCO 450 X 450 X 160 GABEXEL</t>
  </si>
  <si>
    <t>27596</t>
  </si>
  <si>
    <t>GABINETE ESTANCO 450 X 450 X 210 GABEXEL</t>
  </si>
  <si>
    <t>27597</t>
  </si>
  <si>
    <t>GABINETE ESTANCO 500 X 400 X 120 GABEXEL</t>
  </si>
  <si>
    <t>27598</t>
  </si>
  <si>
    <t>GABINETE ESTANCO 500 X 400 X 160 GABEXEL</t>
  </si>
  <si>
    <t>27590</t>
  </si>
  <si>
    <t>GABINETE P/1 MEDIDOR MONOFASICO + 1 TRIFASICO SIN TM</t>
  </si>
  <si>
    <t>27591</t>
  </si>
  <si>
    <t>GABINETE P/1 MEDIDOR TRIFASICO SIN TM</t>
  </si>
  <si>
    <t>27587</t>
  </si>
  <si>
    <t>GABINETE P/3 MEDIDORES MONOFASICOS SIN TM</t>
  </si>
  <si>
    <t>27588</t>
  </si>
  <si>
    <t>GABINETE P/6 MEDIDORES  MONOFASICOS SIN/TM</t>
  </si>
  <si>
    <t>27589</t>
  </si>
  <si>
    <t>GABINETE P/9 MEDIDORES MONOFASICOS SIN TM</t>
  </si>
  <si>
    <t>27586</t>
  </si>
  <si>
    <t>LUZ DE EMERGENCIA Mantis 2 LUCES MOV. MACROLED</t>
  </si>
  <si>
    <t>27609</t>
  </si>
  <si>
    <t>APLIQUE EXT FLY NG. 2W LUZ CALIDA ARTELUM</t>
  </si>
  <si>
    <t>27611</t>
  </si>
  <si>
    <t>APLIQUE EXT PLANO BIDIRECCIONAL ABS NG. ARLIGHT ARTELUM</t>
  </si>
  <si>
    <t>27610</t>
  </si>
  <si>
    <t>APLIQUE EXT RECTANGULAR BIDIRECCIONAL ABS NG. ARTELUM</t>
  </si>
  <si>
    <t>27612</t>
  </si>
  <si>
    <t>SPOT EXTERIOR ESTACA NG. ARTELUM</t>
  </si>
  <si>
    <t>SPOT GALLERY REDONDO SEMIEMBUTIDO AR111 BLANCO  CANDIL</t>
  </si>
  <si>
    <t>SPOT GALLERY REDONDO SEMIEMBUTIDO AR111 NEGRO CANDIL</t>
  </si>
  <si>
    <t>TOMA HEMBRA EMBUTIR IP67 2P+T 16A BALS - KALOP (KL7531672)</t>
  </si>
  <si>
    <t>PANEL LED  24W CIRCULAR LUZ NEUTRA MACROLED</t>
  </si>
  <si>
    <t>DICROICA LED 5W LUZ CALIDA NOV**</t>
  </si>
  <si>
    <t>DICROICA LED 5W LUZ FRIA NOV**</t>
  </si>
  <si>
    <t>TOMA HEMBRA MOVIL 2P+T 16A IP44 BALS-KALOP (KL7431642)</t>
  </si>
  <si>
    <t>TOMA HEMBRA EMB. 2P+T 16A IP44 BALS-KALOP (KL7531642)</t>
  </si>
  <si>
    <t>TOMA HEMBRA SOBREPONER 2P+T 16A. IP44 BALS - KALOP (KL7631642)</t>
  </si>
  <si>
    <t>27613</t>
  </si>
  <si>
    <t>DICROICA LED 5W LUZ CALIDA MACROLED**</t>
  </si>
  <si>
    <t>27614</t>
  </si>
  <si>
    <t>PUENTE FIJO 10 elementos - para borne 10 mm.</t>
  </si>
  <si>
    <t>27615</t>
  </si>
  <si>
    <t>FAROLA LED 50W LUZ FRIA IP65 MACROLED</t>
  </si>
  <si>
    <t>27616</t>
  </si>
  <si>
    <t>TUBO DE LED 25W 1500MM LUZ NEUTRA**</t>
  </si>
  <si>
    <t>27617</t>
  </si>
  <si>
    <t>CABLE SUBTERRANEO 2 X 25 MH (PRECIO X MTS) MH.</t>
  </si>
  <si>
    <t>CAJA DE TOMA HASTA 125A C/3 BASES NH00 EDEMSA TIPO II 420x420</t>
  </si>
  <si>
    <t>CAJA DE TOMA HASTA 200A C/3 BASES NH T1 EDEMSA TIPO III 420x520</t>
  </si>
  <si>
    <t>CAJA DE TOMA HASTA 400A C/3 BASES NH T3 EDEMSA TIPO VI 420x520</t>
  </si>
  <si>
    <t>CAJA DE TOMA HASTA 63A C/BASE NH00 EDEMSA TIPO I 210x270</t>
  </si>
  <si>
    <t>27618</t>
  </si>
  <si>
    <t>CAJA PARA MEDICION directa T2 (hasta 50kW) EDEMSA</t>
  </si>
  <si>
    <t>10532</t>
  </si>
  <si>
    <t>EXTERIOR TOMA 20 A. RICHI</t>
  </si>
  <si>
    <t>GABINETE ESTANCO QUADRI ENERGY PVC 330 X 315 X 180 GENROD</t>
  </si>
  <si>
    <t>27619</t>
  </si>
  <si>
    <t>GABINETE ESTANCO QUADRI ENERGY PVC 435 X 525 X 180 GEN ROD</t>
  </si>
  <si>
    <t>LAMPARA H POWER 30W LUZ FRIA **</t>
  </si>
  <si>
    <t>PLAFON LED SLIM 18W LUZ FRIA</t>
  </si>
  <si>
    <t>APLIQUE BIDIRECCIONAL TIPO MAO 2 GU10</t>
  </si>
  <si>
    <t>APLIQUE BIDIRECCIONAL TIPO ODA 2 GU10</t>
  </si>
  <si>
    <t>APLIQUE UNIDIRECCIONAL TIPO MAO 1 GU10</t>
  </si>
  <si>
    <t>APLIQUE UNIDIRECCIONAL TIPO ODA 1 X GU10</t>
  </si>
  <si>
    <t>27629</t>
  </si>
  <si>
    <t>CONTACTOR TRIP. 25A 24V 1NA+1NC CHINT</t>
  </si>
  <si>
    <t>27621</t>
  </si>
  <si>
    <t>INTERRUPTOR COMPACTO 3 POLOS 200A REG. 100-200A 36kA CHINT</t>
  </si>
  <si>
    <t>27622</t>
  </si>
  <si>
    <t>INTERRUPTOR COMPACTO 3 POLOS 250A REG. 125-250A 36kA CHINT</t>
  </si>
  <si>
    <t>27623</t>
  </si>
  <si>
    <t>INTERRUPTOR COMPACTO 4 POLOS 200A REG. 100-200A 36kA CHINT</t>
  </si>
  <si>
    <t>27624</t>
  </si>
  <si>
    <t>INTERRUPTOR COMPACTO 4 POLOS 250A REG. 125-250A 36kA CHINT</t>
  </si>
  <si>
    <t>INTERRUPTOR COMPACTO Fijo 3 POLOS 160A 35kA CHINT</t>
  </si>
  <si>
    <t>INTERRUPTOR COMPACTO Fijo 3 POLOS 250A 35kA CHINT</t>
  </si>
  <si>
    <t>INTERRUPTOR COMPACTO Fijo 4 POLOS 160A 35kA CHINT</t>
  </si>
  <si>
    <t>27620</t>
  </si>
  <si>
    <t>INTERRUPTOR COMPACTO Fijo 4 POLOS 250A 35kA CHINT</t>
  </si>
  <si>
    <t>KIT EMERGENCIA P/ LED HASTA 54W (LP101) GAMA SONIC</t>
  </si>
  <si>
    <t>27625</t>
  </si>
  <si>
    <t>KIT PILASTRA MONOFASICO SIMPLE CON CAÑO 2" X 3,20 Y ACCESORIOS</t>
  </si>
  <si>
    <t>27626</t>
  </si>
  <si>
    <t>KIT PILASTRA MONOFASICO SIMPLE CON CAÑO 2" X 4,20 Y ACCESORIOS</t>
  </si>
  <si>
    <t>27628</t>
  </si>
  <si>
    <t>KIT PILASTRA TRIFÁSICA SIMPLE CON CAÑO 2 1/2 x 4,20 Y ACCESORIOS</t>
  </si>
  <si>
    <t>27627</t>
  </si>
  <si>
    <t>KIT PILASTRA TRIFASICA SIMPLE CON CAÑO 2 1/2" X 3,20 Y ACCESORIOS</t>
  </si>
  <si>
    <t>27630</t>
  </si>
  <si>
    <t>LUZ DE EMERGENCIA 60 LED GS60 GAMA SONIC</t>
  </si>
  <si>
    <t>MODULO TV C/ACOPLE FINAL PIN FINO JELUZ</t>
  </si>
  <si>
    <t>SOPORTE RIEL DIN X 10 cm.</t>
  </si>
  <si>
    <t>SPOT ANTIDES. FIJO ORSON  92MM DIA.  43MM PROF. BLANCO CANDIL</t>
  </si>
  <si>
    <t>SPOT ANTIDES. ORIENTABLE WALID  99MM DIA.  45MM PROF. BLANCO CANDIL</t>
  </si>
  <si>
    <t>27633</t>
  </si>
  <si>
    <t>APLIQUE DIFUSOR  BOLONIA X2 GU10 NEGRO (AP-2700N/T)</t>
  </si>
  <si>
    <t>27632</t>
  </si>
  <si>
    <t>APLIQUE DIFUSOR BOLONIA X1 GU10 NEGRO (AP-1700N/T)</t>
  </si>
  <si>
    <t>27636</t>
  </si>
  <si>
    <t>APLIQUE DUBLIN TECHO 4 LUCES GU10 ACERO (ST-418ACE)</t>
  </si>
  <si>
    <t>27637</t>
  </si>
  <si>
    <t>APLIQUE DUBLIN TECHO 4 LUCES GU10 BLANCO (ST-418B/T)</t>
  </si>
  <si>
    <t>27638</t>
  </si>
  <si>
    <t>APLIQUE DUBLIN TECHO 4 LUCES GU10 NEGRO (ST-418N/T)</t>
  </si>
  <si>
    <t>CARTEL 12 LED SALIDA EMERGENCIA (GX12) GAMA SONIC</t>
  </si>
  <si>
    <t>CINTA AISLADORA X 20 FLEX PRO RICHI</t>
  </si>
  <si>
    <t>27631</t>
  </si>
  <si>
    <t>CONJUNTO TERMINAL P/PRENSACABLE TRANSPARENTE</t>
  </si>
  <si>
    <t>27641</t>
  </si>
  <si>
    <t>EXTERIOR TEKNA 1 PUNTO Y TOMA NEGRO KALOP**</t>
  </si>
  <si>
    <t>GABINETE C/CONTRAF. CALADO P/108 BOCAS (650x600x120) GABEXEL</t>
  </si>
  <si>
    <t>GABINETE C/CONTRAF. CALADO P/36 BOCAS (350x450x260) GABEXEL</t>
  </si>
  <si>
    <t>27639</t>
  </si>
  <si>
    <t>GABINETE ESTANCO 450 X 450 X 260 GABEXEL</t>
  </si>
  <si>
    <t>GABINETE ESTANCO 600 X 600 X 160 GABEXEL</t>
  </si>
  <si>
    <t>GABINETE ESTANCO 600 X 600 X 260 GABEXEL</t>
  </si>
  <si>
    <t>LAMPARA MAGNOLIA LED 50W. LUZ CALIDA E-40 INTERELEC</t>
  </si>
  <si>
    <t>27648</t>
  </si>
  <si>
    <t>LLAVE ARMADA 1 PUNTO 1 SALIDA ZEN WI FI BLANCO KALOP**</t>
  </si>
  <si>
    <t>27649</t>
  </si>
  <si>
    <t>LLAVE ARMADA 1 PUNTO 1 SALIDA ZEN WI FI NEGRO KALOP**</t>
  </si>
  <si>
    <t>27646</t>
  </si>
  <si>
    <t>LLAVE ARMADA 1 TOMA 1 PUNTO ZEN WI FI BLANCO KALOP**</t>
  </si>
  <si>
    <t>27647</t>
  </si>
  <si>
    <t>LLAVE ARMADA 1 TOMA 1 PUNTO ZEN WI FI NEGRO KALOP**</t>
  </si>
  <si>
    <t>27650</t>
  </si>
  <si>
    <t>LLAVE ARMADA 2 PUNTOS 2 SALIDAS ZEN WI FI BLANCO KALOP**</t>
  </si>
  <si>
    <t>27651</t>
  </si>
  <si>
    <t>LLAVE ARMADA 2 PUNTOS 2 SALIDAS ZEN WI FI NEGRO KALOP**</t>
  </si>
  <si>
    <t>27652</t>
  </si>
  <si>
    <t>LLAVE ARMADA 2 PUNTOS DIMERIZABLE ZEN WI FI BLANCO KALOP**</t>
  </si>
  <si>
    <t>27653</t>
  </si>
  <si>
    <t>LLAVE ARMADA 2 PUNTOS DIMERIZABLE ZEN WI FI NEGRO KALOP**</t>
  </si>
  <si>
    <t>27640</t>
  </si>
  <si>
    <t>MODULO NUEVO TOMA 20 A. BLANCO KALOP (1 MOD)</t>
  </si>
  <si>
    <t>27642</t>
  </si>
  <si>
    <t>MODULO PUNTO WI FI 2 SALIDAS BLANCO KALOP**</t>
  </si>
  <si>
    <t>27643</t>
  </si>
  <si>
    <t>MODULO PUNTO WI FI 2 SALIDAS NEGRO KALOP**</t>
  </si>
  <si>
    <t>27644</t>
  </si>
  <si>
    <t>MODULO VARIADOR DE INTENSIDAD WI FI 2 SALIDAS BLANCO KALOP**</t>
  </si>
  <si>
    <t>27645</t>
  </si>
  <si>
    <t>MODULO VARIADOR DE INTENSIDAD WI FI 2 SALIDAS NEGRO KALOP**</t>
  </si>
  <si>
    <t>SOPORTE RIEL DIN X 1 MTR. TROQUELADO</t>
  </si>
  <si>
    <t>27635</t>
  </si>
  <si>
    <t>SPOT 2 LUCES OVAL C/TULIPA PVC VALEN BLANCO (SO-210BLA/V)</t>
  </si>
  <si>
    <t>27634</t>
  </si>
  <si>
    <t>SPOT CUADRADO EMBUTIR PVC NEGRO FERRO. (SE-116NEG)</t>
  </si>
  <si>
    <t>27655</t>
  </si>
  <si>
    <t>CONECTOR HEBILLA DOBLE MONOCOLOR</t>
  </si>
  <si>
    <t>27654</t>
  </si>
  <si>
    <t>CONECTOR HEBILLA DOBLE RGB</t>
  </si>
  <si>
    <t>27656</t>
  </si>
  <si>
    <t>PORTALAMPARA CON CHICOTE DE GOMA</t>
  </si>
  <si>
    <t>10355</t>
  </si>
  <si>
    <t>PROYECTOR LED 50W LUZ CALIDA TECLASTAR</t>
  </si>
  <si>
    <t>CAJA PASE PVC 115 X 165 X 65 G. GEN-ROD (22111606G)</t>
  </si>
  <si>
    <t>LAMPARA G9 LED 10W LUZ FRIA NOV. **</t>
  </si>
  <si>
    <t>LAMPARA G9 LED 12W LUZ FRIA NOV.**</t>
  </si>
  <si>
    <t>LAMPARA G9 LED 6W LUZ FRIA NOV.**</t>
  </si>
  <si>
    <t>27657</t>
  </si>
  <si>
    <t>PROTECTOR Y MULTIMEDIDOR MONOF. SMART 63A BAW.</t>
  </si>
  <si>
    <t>27660</t>
  </si>
  <si>
    <t>BORNE PASO R32/35 1X 2,5MM AZUL</t>
  </si>
  <si>
    <t>27661</t>
  </si>
  <si>
    <t>BORNE PASO R32/35 1X 4 MM AZUL</t>
  </si>
  <si>
    <t>27662</t>
  </si>
  <si>
    <t>BORNE PASO R32/35 1X 6 MM AZUL</t>
  </si>
  <si>
    <t>27663</t>
  </si>
  <si>
    <t>DISYUNTOR 4 X 100 A. SELECTIVO Clase A 100mA CHINT</t>
  </si>
  <si>
    <t>27664</t>
  </si>
  <si>
    <t>INTERRUPTOR COMPACTO 3 POLOS 80A REG. 63/80A 18kA GE</t>
  </si>
  <si>
    <t>LAMPARA AR111 LED 15W LUZ CALIDA MACROLED **</t>
  </si>
  <si>
    <t>LAMPARA AR111 LED 15W LUZ FRIA MACROLED**</t>
  </si>
  <si>
    <t>LAMPARA G9 LED 12W LUZ CALIDA NOV.**</t>
  </si>
  <si>
    <t>LAMPARA GOTA LED 6W LUZ FRIA **</t>
  </si>
  <si>
    <t>LUZ DE EMERGENCIA LED GX-2FP 3630LL GAMA SONIC</t>
  </si>
  <si>
    <t>MODULO TOMA DOBLE NEGRO PLATINUM JELUZ</t>
  </si>
  <si>
    <t>PLAFON LED 24W CUADRADO LUZ FRIA</t>
  </si>
  <si>
    <t>27658</t>
  </si>
  <si>
    <t>TRAPECIO SOPORTE SIMPLE 100MM (ZINGRIP) ELECE</t>
  </si>
  <si>
    <t>27659</t>
  </si>
  <si>
    <t>TRAPECIO SOPORTE SIMPLE 50MM (ZINGRIP) ELECE</t>
  </si>
  <si>
    <t>27665</t>
  </si>
  <si>
    <t>DISYUNTOR 4 X 80 A. SELECTIVO Clase A 100mA CHINT</t>
  </si>
  <si>
    <t>LAMPARA H POWER 40W LUZ FRIA**</t>
  </si>
  <si>
    <t>REGLETA 60 CM. 3 LUCES NEGRO (RG6630-02) S.J.</t>
  </si>
  <si>
    <t>27666</t>
  </si>
  <si>
    <t>TERMICA "CURVA B" 2 X 20 A. 10kA CHINT</t>
  </si>
  <si>
    <t>27667</t>
  </si>
  <si>
    <t>TERMICA "CURVA B" 4 X 20 A. 10kA CHINT</t>
  </si>
  <si>
    <t>TIMER DIGITAL P/RIEL DIN IHD-150 BAW</t>
  </si>
  <si>
    <t>BASE PORTAFUSIBLE NH TAMAÑO 00 160 A.</t>
  </si>
  <si>
    <t>BASE PORTAFUSIBLE NH TAMAÑO 00 160A</t>
  </si>
  <si>
    <t>BASE PORTAFUSIBLE NH TAMAÑO 1 250 A.</t>
  </si>
  <si>
    <t>BASE PORTAFUSIBLE NH TAMAÑO 2 400 A.</t>
  </si>
  <si>
    <t>CABLE PREENSAMBLADO ALUMINIO 3 X 25 + 50 (PRECIO x MTS)</t>
  </si>
  <si>
    <t>27669</t>
  </si>
  <si>
    <t>CABLE PREENSAMBLADO ALUMINIO 3 X 50+50+25 (PRECIO x MTS)</t>
  </si>
  <si>
    <t>CAJA DE EMBUTIR 12 BOCAS DIN PTA. FUME GENROD</t>
  </si>
  <si>
    <t>CAJA DE EMBUTIR 16 BOCAS DIN PTA. FUME GENROD</t>
  </si>
  <si>
    <t>CAJA DE EMBUTIR 24 BOCAS DIN PTA. FUME GENROD</t>
  </si>
  <si>
    <t>CAJA DE EMBUTIR 36 BOCAS DIN PTA. FUME GENROD</t>
  </si>
  <si>
    <t>CAJA DE EMBUTIR 48 BOCAS DIN PTA. FUME GENROD</t>
  </si>
  <si>
    <t>CAJA DE EMBUTIR 72 BOCAS DIN PTA. FUME GENROD</t>
  </si>
  <si>
    <t>CAJA DE EMBUTIR 96 BOCAS DIN PTA. FUME GEN ROD</t>
  </si>
  <si>
    <t>27675</t>
  </si>
  <si>
    <t>CAPSULADA EXTERIOR + BASE 3X32 +T  KALOP</t>
  </si>
  <si>
    <t>DRIVER 18W P/PANEL LED</t>
  </si>
  <si>
    <t>EMBUTIDO INDUSTRIAL 150W OPTICA 90º LUZ FRIA BAEL</t>
  </si>
  <si>
    <t>EMPUÑADURA PARA FUSIBLE NH</t>
  </si>
  <si>
    <t>27670</t>
  </si>
  <si>
    <t>FAROLA LED 140W LUZ FRIA IP65 MACROLED</t>
  </si>
  <si>
    <t>27671</t>
  </si>
  <si>
    <t>FAROLA LED TRIAL PRO 100W BAEL</t>
  </si>
  <si>
    <t>27672</t>
  </si>
  <si>
    <t>FAROLA LED TRIAL PRO 150W BAEL</t>
  </si>
  <si>
    <t>FUSIBLE NH TAMAÑO   1 160 A.</t>
  </si>
  <si>
    <t>FUSIBLE NH TAMAÑO  00 10 A.</t>
  </si>
  <si>
    <t>FUSIBLE NH TAMAÑO  00 25 A.</t>
  </si>
  <si>
    <t>FUSIBLE NH TAMAÑO  1 125 A.</t>
  </si>
  <si>
    <t>FUSIBLE NH TAMAÑO  1 250 A.</t>
  </si>
  <si>
    <t>FUSIBLE NH TAMAÑO  2 400 A.</t>
  </si>
  <si>
    <t>FUSIBLE NH TAMAÑO 00 125 A.</t>
  </si>
  <si>
    <t>FUSIBLE NH TAMAÑO 00 16 A.</t>
  </si>
  <si>
    <t>FUSIBLE NH TAMAÑO 00 160 A.</t>
  </si>
  <si>
    <t>FUSIBLE NH TAMAÑO 00 20 A.</t>
  </si>
  <si>
    <t>FUSIBLE NH TAMAÑO 00 6 A.</t>
  </si>
  <si>
    <t>FUSIBLE NH TAMAÑO 1 100 A.</t>
  </si>
  <si>
    <t>FUSIBLE NH TAMAÑO 1 200 A.</t>
  </si>
  <si>
    <t>FUSIBLE NH TAMAÑO 1 40 A.</t>
  </si>
  <si>
    <t>FUSIBLE NH TAMAÑO 1 50 A.</t>
  </si>
  <si>
    <t>FUSIBLE NH TAMAÑO 1 63 A.</t>
  </si>
  <si>
    <t>FUSIBLE NH TAMAÑO 1 80 A.</t>
  </si>
  <si>
    <t>FUSIBLE NH TAMAÑO 2 200 A.</t>
  </si>
  <si>
    <t>FUSIBLE NH TAMAÑO 2 225 A.</t>
  </si>
  <si>
    <t>FUSIBLE NH TAMAÑO 2 250 A.</t>
  </si>
  <si>
    <t>FUSIBLE NH TAMAÑO 2 315 A.</t>
  </si>
  <si>
    <t>FUSIBLE NH TAMAÑO 2 355 A.</t>
  </si>
  <si>
    <t>FUSIBLE NH TAMAÑO 3 500 A.</t>
  </si>
  <si>
    <t>LAMPARA CLASICA LED 9W LUZ FRIA **</t>
  </si>
  <si>
    <t>LUZ DE EMERGENCIA 120 LEDS</t>
  </si>
  <si>
    <t>27676</t>
  </si>
  <si>
    <t>MODULO NUEVO TOMA 20 A. NEGRO KALOP (1 MOD)</t>
  </si>
  <si>
    <t>PROYECTOR LED RGB 50W</t>
  </si>
  <si>
    <t>27668</t>
  </si>
  <si>
    <t>SPOT EMBUTIR DICRO BLANCO 8 CM MACROLED</t>
  </si>
  <si>
    <t>27673</t>
  </si>
  <si>
    <t>TERMICA "CURVA B" 4 X 25 A. 10kA CHINT</t>
  </si>
  <si>
    <t>27674</t>
  </si>
  <si>
    <t>TERMICA "CURVA B" 4 X 32 A. 10kA CHINT</t>
  </si>
  <si>
    <t>27682</t>
  </si>
  <si>
    <t>CAJA EXTERIOR CUADRADA C/TAPA PVC GENROD</t>
  </si>
  <si>
    <t>LISTON SIMPLE PARA TUBO LED DE 1 x 18W NOV.</t>
  </si>
  <si>
    <t>PANEL LED 12W CUADRADO LUZ CALIDA</t>
  </si>
  <si>
    <t>PANEL LED 24W CUADRADO LUZ CALIDA</t>
  </si>
  <si>
    <t>PLAFON LED 12W CIRCULAR LUZ CALIDA</t>
  </si>
  <si>
    <t>SENSOR MOVIMIENTO C/BASE P/PARED BLANCO/NEGRO</t>
  </si>
  <si>
    <t>27678</t>
  </si>
  <si>
    <t>TAPA PVC CUADRADA ADHESIVA</t>
  </si>
  <si>
    <t>27679</t>
  </si>
  <si>
    <t>TAPA PVC MIGNON ADHESIVA</t>
  </si>
  <si>
    <t>27680</t>
  </si>
  <si>
    <t>TAPA PVC OCTOGONAL CHICA ADHESIVA</t>
  </si>
  <si>
    <t>27681</t>
  </si>
  <si>
    <t>TAPA PVC OCTOGONAL GRANDE ADHESIVA</t>
  </si>
  <si>
    <t>27677</t>
  </si>
  <si>
    <t>TAPA PVC RECTANGULAR ADHESIVA</t>
  </si>
  <si>
    <t>DISCO DIAMANTADO PATROLL TRF AMARILLO 4,5" (TURBO FINO)</t>
  </si>
  <si>
    <t>FOTOCELULA NEMA 10A IRAM TECLASTAR</t>
  </si>
  <si>
    <t>27683</t>
  </si>
  <si>
    <t>MODULO VARIADOR DE INTENSIDAD WI FI 1 SALIDA BLANCO KALOP**</t>
  </si>
  <si>
    <t>27684</t>
  </si>
  <si>
    <t>MODULO VARIADOR DE INTENSIDAD WI FI 1 SALIDA NEGRO KALOP**</t>
  </si>
  <si>
    <t>PANEL LED 12W CIRCULAR LUZ CALIDA</t>
  </si>
  <si>
    <t>27685</t>
  </si>
  <si>
    <t>PROYECTOR LED 20W Profesional LUZ FRIA MACROLED</t>
  </si>
  <si>
    <t>TERMICA 4 X 25 A. CURVA B JELUZ</t>
  </si>
  <si>
    <t>CAJA PASE PVC 90 X 90 X 55 G. TAAD</t>
  </si>
  <si>
    <t>CAJA PVC EXTERIOR RECTANGULAR P/CABLE CANAL GRIS GEN-ROD (02215PG)</t>
  </si>
  <si>
    <t>27686</t>
  </si>
  <si>
    <t>DISYUNTOR 2 X 16A 10mA JELUZ</t>
  </si>
  <si>
    <t>FAROL COLONIAL DE PARED S/REJA ( F-140 )</t>
  </si>
  <si>
    <t>GABINETE ESTANCO QUADRI ENERGY 8 MOD. PVC 245 X 230 X 150 GENROD</t>
  </si>
  <si>
    <t>GABINETE ESTANCO QUADRI ENERGY PVC 200 X 277 X 150 GENROD</t>
  </si>
  <si>
    <t>GABINETE ESTANCO QUADRI ENERGY PVC 230 X 310 X 150 GENROD</t>
  </si>
  <si>
    <t>GABINETE ESTANCO QUADRI ENERGY PVC 245 X 230 X 150 GENROD</t>
  </si>
  <si>
    <t>PROLONGADOR  TOP 4 BOCAS C/LLAVE-C/CABLE X 3 MTS.</t>
  </si>
  <si>
    <t>PROLONGADOR  TOP 4 BOCAS C/LLAVE-C/CABLE X 5 MTS.</t>
  </si>
  <si>
    <t>PROLONGADOR TOP 4 BOCAS C/LLAVE-C/CABLE X 1,5 MTS.</t>
  </si>
  <si>
    <t>PROLONGADOR TOP 5 TOMAS C/LLAVE-C/CABLE X 1,5 MTS.</t>
  </si>
  <si>
    <t>PROLONGADOR TOP 6 TOMAS C/LLAVE-C/CABLE X 1,5 MTS.</t>
  </si>
  <si>
    <t>27687</t>
  </si>
  <si>
    <t>SOPLETE SISTEMA CLIP GIRATORIO (2706) BROGAS</t>
  </si>
  <si>
    <t>CABLE BIPOLAR PARALELO NEGRO 2 X 1,5 (PRECIO x MTS) RE.</t>
  </si>
  <si>
    <t>27690</t>
  </si>
  <si>
    <t>CAJA PASE PVC 90 X 90 X 75 G. TAAD</t>
  </si>
  <si>
    <t>COLGANTE PANTALLA GRANDE ALUM. BCO(BELL03)</t>
  </si>
  <si>
    <t>COLGANTE PANTALLA GRANDE ALUM. NARANJA (BELL03)</t>
  </si>
  <si>
    <t>27691</t>
  </si>
  <si>
    <t>CURVA GALVANIZADA S/ROSCA 3/4" 45º</t>
  </si>
  <si>
    <t>CURVA GALVANIZADA S/ROSCA 3/4" 90º</t>
  </si>
  <si>
    <t>DETECTOR DE HUMO 9V.</t>
  </si>
  <si>
    <t>27688</t>
  </si>
  <si>
    <t>GABINETE P/CAPSU. 4X16 KALOP + 9 BOCAS  GABEXEL (GTIS 4025-2)</t>
  </si>
  <si>
    <t>MEDIDOR TRIFASICO DIGITAL RIEL DIN (0 INYECCION) CHINT</t>
  </si>
  <si>
    <t>MODULO TECLON PULSADOR BLANCO KALOP**</t>
  </si>
  <si>
    <t>MODULO TECLON PULSADOR MARFIL KALOP**</t>
  </si>
  <si>
    <t>MODULO TECLON PULSADOR NEGRO KALOP**</t>
  </si>
  <si>
    <t>PANEL LED 12W CUADRADO LUZ FRIA</t>
  </si>
  <si>
    <t>PRENSACABLE 1 3/4  PG-36 - Discont.</t>
  </si>
  <si>
    <t>27689</t>
  </si>
  <si>
    <t>REGLETA 100 CM. 4 LUCES NEGRO ROLUX</t>
  </si>
  <si>
    <t>SPOT BALCONY CUADRADO SEMIEMBUTIDO DICRO BLANCO CANDIL</t>
  </si>
  <si>
    <t>SPOT BALCONY CUADRADO SEMIEMBUTIDO DICRO NEGRO CANDIL</t>
  </si>
  <si>
    <t>SPOT GALLERY CUADRADO SEMIEMBUTIDO AR111 BLANCO CANDIL</t>
  </si>
  <si>
    <t>SPOT GALLERY CUADRADO SEMIEMBUTIDO AR111 NEGRO CANDIL</t>
  </si>
  <si>
    <t>27694</t>
  </si>
  <si>
    <t>CABLE COBRE DESNUDO 1 X 95 MM (PRECIO X MTS)</t>
  </si>
  <si>
    <t>CAJA P/TM PVC 9 BOCAS P/PILASTRA IP65 GENROD (045505)</t>
  </si>
  <si>
    <t>27692</t>
  </si>
  <si>
    <t>CAJA REDONDA C/TAPA C/JUNTA IP54 3/4 ALUMINIO</t>
  </si>
  <si>
    <t>CAJA REDONDA C/TAPA C/JUNTA IP54 7/8 ALUMINIO</t>
  </si>
  <si>
    <t>JUNTA P/ CAJA MULTIPLE 3/4" A 1"</t>
  </si>
  <si>
    <t>27693</t>
  </si>
  <si>
    <t>LLAVE ARMADA MITO DOBLE TOMA INCORPORADO 10A BLANCA JELUZ</t>
  </si>
  <si>
    <t>27696</t>
  </si>
  <si>
    <t>APLIQUE PALMA NG. (AP-146N/T)</t>
  </si>
  <si>
    <t>CINTA AISLADORA 3M 175 X 20 MTS.</t>
  </si>
  <si>
    <t>27695</t>
  </si>
  <si>
    <t>COLGANTE BRINDISI 1 x E-27  Ø30cm FERROLUX</t>
  </si>
  <si>
    <t>27697</t>
  </si>
  <si>
    <t>COLGANTE BRINDISI 1 x E-27 NG.  Ø30cm FERROLUX</t>
  </si>
  <si>
    <t>COLGANTE CHICO TRELEW PANT. ALUMINIO 16 CM DIAM. E27 BLANCO (7720-16) S.J.</t>
  </si>
  <si>
    <t>CONJUNTO PORTAL. C/CABLE FLORON BCO. FERROLUX (CC-47BLA)</t>
  </si>
  <si>
    <t>27698</t>
  </si>
  <si>
    <t>CONJUNTO PORTAL. C/CABLE FLORON NG. FERROLUX (CC-47NEG)</t>
  </si>
  <si>
    <t>CRUCETA M 10 X 1 METALICA ZINCADA (X-19CRU)</t>
  </si>
  <si>
    <t>LAMPARA GOTA LED 6W LUZ CALIDA **</t>
  </si>
  <si>
    <t>27699</t>
  </si>
  <si>
    <t>SPOT OVAL. 2 LUCES C/TULIPA PVC VALEN NG. (SO-210NEG/V)</t>
  </si>
  <si>
    <t>SPOT OVAL. 2 LUCES C/TULIPA PVC VALEN SATIN. PLATA(SO-210PLA/V)</t>
  </si>
  <si>
    <t>TAPA EXT. LAT. P/PEINES DE ALIMENTACION BIPOLAR</t>
  </si>
  <si>
    <t>TAPA EXT. LAT. P/PEINES DE ALIMENTACION TETRAPOLAR</t>
  </si>
  <si>
    <t>TORTUGA LED OVAL 15W NEGRA LUZ FRIA</t>
  </si>
  <si>
    <t>TORTUGA LED OVAL 8W NEGRA LUZ FRIA</t>
  </si>
  <si>
    <t>TORTUGA LED REDONDA NEGRA 15W</t>
  </si>
  <si>
    <t>TORTUGA LED REDONDA NEGRA 8W</t>
  </si>
  <si>
    <t>27700</t>
  </si>
  <si>
    <t>TULIPA SPOT PVC VALEN (X-90SAT)</t>
  </si>
  <si>
    <t>CABLE UNIPOLAR 1 X 0,75 BLANCO (PRECIO X MTS) IRAM</t>
  </si>
  <si>
    <t>CABLE UNIPOLAR 1 X 0,75 CELESTE (PRECIO x MTS) IRAM</t>
  </si>
  <si>
    <t>CABLE UNIPOLAR 1 X 0,75 MARRON (PRECIO X MTS) IRAM</t>
  </si>
  <si>
    <t>CABLE UNIPOLAR 1 X 0,75 NEGRO (PRECIO x MTS) IRAM</t>
  </si>
  <si>
    <t>CABLE UNIPOLAR 1 X 0,75 ROJO (PRECIO X MTS) IRAM</t>
  </si>
  <si>
    <t>CABLE UNIPOLAR 1 X 1  CELESTE (PRECIO x MTS) IRAM</t>
  </si>
  <si>
    <t>CABLE UNIPOLAR 1 X 1  VERDE Y A (PRECIO x MTS) IRAM</t>
  </si>
  <si>
    <t>CABLE UNIPOLAR 1 X 1 MARRON (PRECIO x MTS) IRAM</t>
  </si>
  <si>
    <t>CABLE UNIPOLAR 1 X 1,50 BLANCO (PRECIO x MTS) IRAM</t>
  </si>
  <si>
    <t>CABLE UNIPOLAR 1 X 10  BLANCO (PRECIO x MTS) IRAM</t>
  </si>
  <si>
    <t>CABLE UNIPOLAR 1 X 10 7 HILOS (PRECIO x MTS) IRAM</t>
  </si>
  <si>
    <t>CABLE UNIPOLAR 1 X 10 ROJO (PRECIO x MTS) IRAM</t>
  </si>
  <si>
    <t>CABLE UNIPOLAR 1 X 16  CELESTE (PRECIO x MTS) IRAM</t>
  </si>
  <si>
    <t>CABLE UNIPOLAR 1 X 16  ROJO (PRECIO x MTS) IRAM</t>
  </si>
  <si>
    <t>CABLE UNIPOLAR 1 X 16  VERDE Y A (PRECIO x MTS) IRAM</t>
  </si>
  <si>
    <t>CABLE UNIPOLAR 1 X 16 MARRON (PRECIO x MTS) IRAM</t>
  </si>
  <si>
    <t>CABLE UNIPOLAR 1 X 16 NEGRO (PRECIO x MTS) IRAM</t>
  </si>
  <si>
    <t>CABLE UNIPOLAR 1 X 2,50  BLANCO (PRECIO x MTS) IRAM</t>
  </si>
  <si>
    <t>CABLE UNIPOLAR 1 X 2,50  MARRON (PRECIOx MTS) IRAM</t>
  </si>
  <si>
    <t>CABLE UNIPOLAR 1 X 2,50 CELESTE (PRECIO x MTS) IRAM</t>
  </si>
  <si>
    <t>CABLE UNIPOLAR 1 X 2,50 ROJO (PRECIO x MTS) IRAM</t>
  </si>
  <si>
    <t>CABLE UNIPOLAR 1 X 25  VERDE Y A (PRECIO x MTS) IRAM</t>
  </si>
  <si>
    <t>CABLE UNIPOLAR 1 X 25 BLANCO (PRECIO x MTS) IRAM</t>
  </si>
  <si>
    <t>CABLE UNIPOLAR 1 X 25 CELESTE (PRECIO x MTS) IRAM</t>
  </si>
  <si>
    <t>CABLE UNIPOLAR 1 X 25 MARRON (PRECIO x MTS) IRAM</t>
  </si>
  <si>
    <t>CABLE UNIPOLAR 1 X 25 NEGRO (PRECIO x MTS) IRAM</t>
  </si>
  <si>
    <t>CABLE UNIPOLAR 1 X 25 ROJO (PRECIO x MTS) IRAM</t>
  </si>
  <si>
    <t>CABLE UNIPOLAR 1 X 35 CELESTE (PRECIO X MTS) IRAM</t>
  </si>
  <si>
    <t>CABLE UNIPOLAR 1 X 35 MARRON (PRECIO X MTS) IRAM</t>
  </si>
  <si>
    <t>CABLE UNIPOLAR 1 X 35 NEGRO (PRECIO x MTS) IRAM</t>
  </si>
  <si>
    <t>CABLE UNIPOLAR 1 X 35 ROJO (PRECIO x MTS) IRAM</t>
  </si>
  <si>
    <t>CABLE UNIPOLAR 1 X 35 VERDE Y A (PRECIO x MTS) IRAM</t>
  </si>
  <si>
    <t>CABLE UNIPOLAR 1 X 4  VERDE Y A (PRECIO x MTS) IRAM</t>
  </si>
  <si>
    <t>CABLE UNIPOLAR 1 X 4 BLANCO (PRECIO x MTS) IRAM</t>
  </si>
  <si>
    <t>CABLE UNIPOLAR 1 X 4 CELESTE (PRECIO x MTS) IRAM</t>
  </si>
  <si>
    <t>CABLE UNIPOLAR 1 X 4 MARRON (PRECIO x MTS) IRAM</t>
  </si>
  <si>
    <t>CABLE UNIPOLAR 1 X 4 NEGRO (PRECIO x MTS) IRAM</t>
  </si>
  <si>
    <t>CABLE UNIPOLAR 1 X 4 ROJO (PRECIO x MTS) IRAM</t>
  </si>
  <si>
    <t>CABLE UNIPOLAR 1 X 50 CELESTE (PRECIO x MTS) IRAM</t>
  </si>
  <si>
    <t>CABLE UNIPOLAR 1 X 50 MARRON (PRECIO x MTS) IRAM</t>
  </si>
  <si>
    <t>CABLE UNIPOLAR 1 X 50 NEGRO (PRECIO X MTS) IRAM</t>
  </si>
  <si>
    <t>CABLE UNIPOLAR 1 X 50 ROJO (PRECIO x MTS) IRAM</t>
  </si>
  <si>
    <t>CABLE UNIPOLAR 1 X 50 VERDE Y A (PRECIO x MTS) IRAM</t>
  </si>
  <si>
    <t>CABLE UNIPOLAR 1 X 6 NEGRO (PRECIO x MTS) IRAM</t>
  </si>
  <si>
    <t>CAJA EXTERIOR ESTANCA 5 X 10 S/PUERTA BLANCA JELUZ (40021)</t>
  </si>
  <si>
    <t>CAJA PVC EXTERIOR P/TM. C/PTA. 18 A 36 BOCAS CABRERA</t>
  </si>
  <si>
    <t>CAJA PVC EXTERIOR P/TM. C/PTA. 30 A 54 BOCAS CABRERA</t>
  </si>
  <si>
    <t>CINTA AISLADORA 3M  TEMFLEX 165 X 20 MTS.</t>
  </si>
  <si>
    <t>COMBO PORTERO 1 TELEFONO + FRENTE EMB. ECO COMMAX</t>
  </si>
  <si>
    <t>COMBO PORTERO 1 TELEFONO + FRENTE EMBUTIR COMMAX</t>
  </si>
  <si>
    <t>COMBO PORTERO 1 TELEFONO + FRENTE EXTERIOR COMMAX</t>
  </si>
  <si>
    <t>COMBO PORTERO 1 TELEFONO + FRENTE EXTERIOR ECO COMMAX</t>
  </si>
  <si>
    <t>LAMPARA VELA LED 6W E27 LUZ FRIA **</t>
  </si>
  <si>
    <t>27703</t>
  </si>
  <si>
    <t>LLAVE PUNTO CIVIL KALOP</t>
  </si>
  <si>
    <t>27702</t>
  </si>
  <si>
    <t>LLAVE PUNTO Y TOMA CIVIL KALOP</t>
  </si>
  <si>
    <t>27704</t>
  </si>
  <si>
    <t>LLAVE TOMA CIVIL KALOP.</t>
  </si>
  <si>
    <t>PLAFON LED 24W CIRCULAR LUZ NEUTRA MACROLED</t>
  </si>
  <si>
    <t>27701</t>
  </si>
  <si>
    <t>PROTECTOR RED TRIFASICA DIRECTA 100A DIN BAW</t>
  </si>
  <si>
    <t>PROTECTOR TENSION  VOL-AMP DIGIT. MONO. 40A BAW.</t>
  </si>
  <si>
    <t>TAPA EXTERIOR  ESTANCA P/2 MOD. C/TAPA TRANSP. JELUZ (40002)</t>
  </si>
  <si>
    <t>TAPA EXTERIOR ESTANCA P/2 MOD. C/TAPA BLANCA JELUZ (40001)</t>
  </si>
  <si>
    <t>CABLE TIPO TALLER 2 X 0,75 (PRECIO x MTS) IRAM</t>
  </si>
  <si>
    <t>CABLE TIPO TALLER 2 X 1 (PRECIO x MTS) IRAM</t>
  </si>
  <si>
    <t>CABLE TIPO TALLER 2 X 2,50 (PRECIO x MTS) IRAM</t>
  </si>
  <si>
    <t>CABLE TIPO TALLER 2 X 6 (PRECIO x MTS) IRAM</t>
  </si>
  <si>
    <t>CABLE TIPO TALLER 3 X 1 (PRECIO x MTS) IRAM</t>
  </si>
  <si>
    <t>CABLE TIPO TALLER 3 X 1,50 (PRECIO x MTS) IRAM</t>
  </si>
  <si>
    <t>CABLE TIPO TALLER 3 X 2,50 (PRECIO x MTS) IRAM</t>
  </si>
  <si>
    <t>CABLE TIPO TALLER 3 X 4 (PRECIO x MTS) IRAM</t>
  </si>
  <si>
    <t>CABLE TIPO TALLER 3 X 6 (PRECIO x MTS) IRAM</t>
  </si>
  <si>
    <t>CABLE TIPO TALLER 4 X 1 (PRECIO x MTS) IRAM</t>
  </si>
  <si>
    <t>CABLE TIPO TALLER 4 X 1,50 (PRECIO x MTS) IRAM</t>
  </si>
  <si>
    <t>CABLE TIPO TALLER 4 X 2,50 (PRECIO x MTS) IRAM</t>
  </si>
  <si>
    <t>CABLE TIPO TALLER 4 X 4 (PRECIO x MTS) IRAM</t>
  </si>
  <si>
    <t>CABLE TIPO TALLER 4 X 6 (PRECIO x MTS) IRAM</t>
  </si>
  <si>
    <t>CABLE TIPO TALLER 5 X 1 (PRECIO x MTS) IRAM</t>
  </si>
  <si>
    <t>CABLE TIPO TALLER 5 X 1,50 (PRECIO x MTS) IRAM</t>
  </si>
  <si>
    <t>CABLE TIPO TALLER 5 X 2,50 (PRECIO x MTS) IRAM</t>
  </si>
  <si>
    <t>CABLE TIPO TALLER 5 X 4 (PRECIO x MTS) IRAM</t>
  </si>
  <si>
    <t>CABLE TIPO TALLER 7 X 1 (PRECIO X MTS) IRAM</t>
  </si>
  <si>
    <t>CABLE TIPO TALLER 7 X 1,50 (PRECIO X MTS) IRAM</t>
  </si>
  <si>
    <t>CABLE VAINA CHATA 2 X 1,50 (PRECIO x MTS) IRAM</t>
  </si>
  <si>
    <t>CABLE VAINA CHATA 3 X 1,50 (PRECIO x MTS) IRAM</t>
  </si>
  <si>
    <t>27707</t>
  </si>
  <si>
    <t>CANILLA 1/2 PVC GRIS (1765)</t>
  </si>
  <si>
    <t>27708</t>
  </si>
  <si>
    <t>CODO FUSION 90º 20 MM (8500)</t>
  </si>
  <si>
    <t>27709</t>
  </si>
  <si>
    <t>CODO FUSION 90º 25 MM (8502)</t>
  </si>
  <si>
    <t>27710</t>
  </si>
  <si>
    <t>CODO FUSION 90º 32 MM (8504)</t>
  </si>
  <si>
    <t>27711</t>
  </si>
  <si>
    <t>CODO FUSIÓN INSERTO HEMBRA 20 X 1/2" (8512)</t>
  </si>
  <si>
    <t>27712</t>
  </si>
  <si>
    <t>CODO FUSIÓN INSERTO HEMBRA 25 X 1/2" (8520)</t>
  </si>
  <si>
    <t>27713</t>
  </si>
  <si>
    <t>CODO FUSIÓN INSERTO HEMBRA 25 X 3/4" (8514)</t>
  </si>
  <si>
    <t>27714</t>
  </si>
  <si>
    <t>CODO FUSIÓN INSERTO MACHO 20 X 1/2" (8524)</t>
  </si>
  <si>
    <t>27715</t>
  </si>
  <si>
    <t>CODO FUSIÓN INSERTO MACHO 25 X 1/2" (8530)</t>
  </si>
  <si>
    <t>27705</t>
  </si>
  <si>
    <t>CONTACTOR TRIP. 32A 380V 1NA+1NC CHINT</t>
  </si>
  <si>
    <t>27716</t>
  </si>
  <si>
    <t>CUPLA FUSION 20 MM ( 8578)</t>
  </si>
  <si>
    <t>27717</t>
  </si>
  <si>
    <t>CUPLA FUSION 25 MM ( 8580)</t>
  </si>
  <si>
    <t>27718</t>
  </si>
  <si>
    <t>CUPLA FUSION 32 MM ( 8582)</t>
  </si>
  <si>
    <t>27720</t>
  </si>
  <si>
    <t>CUPLA FUSION INSERTO HEMBRA 20 X 1/2" (8586)</t>
  </si>
  <si>
    <t>27721</t>
  </si>
  <si>
    <t>CUPLA FUSION INSERTO HEMBRA 25 X 1/2" (8592)</t>
  </si>
  <si>
    <t>27722</t>
  </si>
  <si>
    <t>CUPLA FUSION INSERTO HEMBRA 32 X 3/4" (8594)</t>
  </si>
  <si>
    <t>27723</t>
  </si>
  <si>
    <t>CUPLA FUSION INSERTO MACHO 20 X 1/2" (8602)</t>
  </si>
  <si>
    <t>27724</t>
  </si>
  <si>
    <t>CUPLA FUSION INSERTO MACHO 25 X 1/2" (8608)</t>
  </si>
  <si>
    <t>27725</t>
  </si>
  <si>
    <t>CUPLA FUSION INSERTO MACHO 25 X 3/4" (8604)</t>
  </si>
  <si>
    <t>27719</t>
  </si>
  <si>
    <t>CUPLA FUSIÓN REDUCCIÓN 25 X 20 (8596)</t>
  </si>
  <si>
    <t>EMBUTIDO INDUSTRIAL ANTIEXPLOSIVO 100W IP67 BAEL</t>
  </si>
  <si>
    <t>27706</t>
  </si>
  <si>
    <t>GABINETE ESTANCO 600 X 500 X 260 GABEXEL</t>
  </si>
  <si>
    <t>PLAFON LED 18W CIRCULAR LUZ NEUTRA</t>
  </si>
  <si>
    <t>PLAFON LED 18W CUADRADO LUZ NEUTRA</t>
  </si>
  <si>
    <t>27726</t>
  </si>
  <si>
    <t>SOBREPASO FUSION 25 MM CORTO (8678)</t>
  </si>
  <si>
    <t>27727</t>
  </si>
  <si>
    <t>SOBREPASO FUSION 25 MM LARGO (8638)</t>
  </si>
  <si>
    <t>27728</t>
  </si>
  <si>
    <t>TAPA FUSION 20 MM (8540)</t>
  </si>
  <si>
    <t>27729</t>
  </si>
  <si>
    <t>TAPA FUSION 25 MM (8542)</t>
  </si>
  <si>
    <t>27730</t>
  </si>
  <si>
    <t>TAPA FUSION 32 MM (8544)</t>
  </si>
  <si>
    <t>27731</t>
  </si>
  <si>
    <t>TEE FUSION 20 MM (8546)</t>
  </si>
  <si>
    <t>27732</t>
  </si>
  <si>
    <t>TEE FUSION 25 MM (8548)</t>
  </si>
  <si>
    <t>27733</t>
  </si>
  <si>
    <t>TEE FUSION INSERTO HEMBRA 20 X 1/2" (8552)</t>
  </si>
  <si>
    <t>27734</t>
  </si>
  <si>
    <t>TEE FUSION INSERTO HEMBRA 25 X 1/2" (8558)</t>
  </si>
  <si>
    <t>27735</t>
  </si>
  <si>
    <t>TEE FUSION INSERTO HEMBRA 25 X 3/4" (8554)</t>
  </si>
  <si>
    <t>TOMACABLE P/JABALINA NORMALIZADA DE 1/2</t>
  </si>
  <si>
    <t>TOMACABLE P/JABALINA NORMALIZADA DE 3/4</t>
  </si>
  <si>
    <t>TOMACABLE P/JABALINA NORMALIZADA DE 5/8</t>
  </si>
  <si>
    <t>27736</t>
  </si>
  <si>
    <t>UNION DOBLE FUSION 20 MM (8618)</t>
  </si>
  <si>
    <t>27737</t>
  </si>
  <si>
    <t>UNION DOBLE FUSION 25 MM (8620)</t>
  </si>
  <si>
    <t>27738</t>
  </si>
  <si>
    <t>UNION DOBLE FUSION 32 MM (8622)</t>
  </si>
  <si>
    <t>CABLE BIPOLAR BLANCO 2 X 0,50 NORM (PRECIO x MTS) IRAM</t>
  </si>
  <si>
    <t>CABLE BIPOLAR BLANCO 2 X 0,75 NORM (PRECIO X MTS) IRAM</t>
  </si>
  <si>
    <t>CABLE BIPOLAR BLANCO 2 X 1 NORM (PRECIO x MTS) IRAM</t>
  </si>
  <si>
    <t>CABLE BIPOLAR BLANCO 2 X 1,5  NORM (PRECIO x MTS) IRAM</t>
  </si>
  <si>
    <t>CABLE BIPOLAR BLANCO 2 X 2,5  NORM (PRECIO x MTS) IRAM</t>
  </si>
  <si>
    <t>CABLE BIPOLAR NEGRO 2 X 1 (PRECIO x MTS) IRAM</t>
  </si>
  <si>
    <t>CABLE COBRE DESNUDO 1 X 10 MM (PRECIO X MTS) IRAM</t>
  </si>
  <si>
    <t>CABLE COBRE DESNUDO 1 X 16 MM (PRECIO X MTS) IRAM</t>
  </si>
  <si>
    <t>CABLE COBRE DESNUDO 1 X 25 MM (PRECIO X MTS) IRAM</t>
  </si>
  <si>
    <t>CABLE COBRE DESNUDO 1 X 35 MM (PRECIO X MTS) IRAM</t>
  </si>
  <si>
    <t>CABLE COBRE DESNUDO 1 X 50MM (PRECIO X MTS) IRAM</t>
  </si>
  <si>
    <t>CABLE COBRE DESNUDO 1 X 6 MM (PRECIO X MTS) IRAM</t>
  </si>
  <si>
    <t>CABLE COBRE DESNUDO 1 X 70 MM (PRECIO X MTS) IRAM</t>
  </si>
  <si>
    <t>CABLE COBRE DESNUDO 1 X 95 MM (PRECIO X MTS) IRAM</t>
  </si>
  <si>
    <t>CABLE PREENSAMBLADO DE CU P/ ACOMETIDA 2 X 16 (PRECIO x MTS) IRAM</t>
  </si>
  <si>
    <t>CABLE PREENSAMBLADO DE CU P/ ACOMETIDA 2 X 6 (PRECIO x MTS) IRAM</t>
  </si>
  <si>
    <t>CABLE PREENSAMBLADO DE CU P/ACOMETIDA 2 X 4 (PRECIO x MTS) IRAM</t>
  </si>
  <si>
    <t>CABLE PREENSAMBLADO DE CU P/ACOMETIDA 4 X 10 (PRECIO x MTS) IRAM</t>
  </si>
  <si>
    <t>CABLE PREENSAMBLADO DE CU P/ACOMETIDA 4 X 16 (PRECIO x MTS) IRAM</t>
  </si>
  <si>
    <t>CABLE PREENSAMBLADO DE CU P/ACOMETIDA 4 X 4 (PRECIO x MTS) IRAM</t>
  </si>
  <si>
    <t>CABLE PREENSANBLADO DE CU P/ACOMETIDA 4 X 6 (PRECIO x MTS) IRAM</t>
  </si>
  <si>
    <t>CABLE SUBTERRANEO 1 X 10 (PRECIO x MTS) IRAM</t>
  </si>
  <si>
    <t>CABLE SUBTERRANEO 1 X 150 (PRECIO x MTS) IRAM</t>
  </si>
  <si>
    <t>CABLE SUBTERRANEO 1 X 16 (PRECIO x MTS) IRAM</t>
  </si>
  <si>
    <t>CABLE SUBTERRANEO 1 X 50  (PRECIO x MTS) IRAM</t>
  </si>
  <si>
    <t>CABLE SUBTERRANEO 1 X 70  (PRECIO x MTS) IRAM</t>
  </si>
  <si>
    <t>CABLE SUBTERRANEO 2 X 1,50 (PRECIO x MTS) IRAM</t>
  </si>
  <si>
    <t>CABLE SUBTERRANEO 2 X 10 (PRECIO x MTS) IRAM</t>
  </si>
  <si>
    <t>CABLE SUBTERRANEO 2 X 25 MH (PRECIO X MTS) IRAM</t>
  </si>
  <si>
    <t>CABLE SUBTERRANEO 2 X 4 (PRECIO x MTS) IRAM</t>
  </si>
  <si>
    <t>CABLE SUBTERRANEO 2 X 6 (PRECIO x MTS) IRAM</t>
  </si>
  <si>
    <t>CABLE SUBTERRANEO 3 X 10 (PRECIO x MTS) IRAM</t>
  </si>
  <si>
    <t>CABLE SUBTERRANEO 3 X 120 + 70 (PRECIO x MTS) IRAM</t>
  </si>
  <si>
    <t>CABLE SUBTERRANEO 3 X 2,50 (PRECIO x MTS) IRAM</t>
  </si>
  <si>
    <t>CABLE SUBTERRANEO 3 X 25 (PRECIO x MTS) IRAM</t>
  </si>
  <si>
    <t>CABLE SUBTERRANEO 3 X 25 + 16 (PRECIO x MTS) IRAM</t>
  </si>
  <si>
    <t>CABLE SUBTERRANEO 3 X 35 (PRECIO x MTS) IRAM</t>
  </si>
  <si>
    <t>CABLE SUBTERRANEO 3 X 35 + 16 (PRECIO x MTS) IRAM</t>
  </si>
  <si>
    <t>CABLE SUBTERRANEO 3 X 50 (PRECIO x MTS) IRAM</t>
  </si>
  <si>
    <t>CABLE SUBTERRANEO 3 X 50 + 25 (PRECIO x MTS) IRAM</t>
  </si>
  <si>
    <t>CABLE SUBTERRANEO 4 X 1,5 (PRECIO x MTS) IRAM</t>
  </si>
  <si>
    <t>CABLE SUBTERRANEO 4 X 10 (PRECIO x MTS) IRAM</t>
  </si>
  <si>
    <t>CABLE SUBTERRANEO 4 X 16 (PRECIO x MTS) IRAM</t>
  </si>
  <si>
    <t>CABLE SUBTERRANEO 4 X 2,5 (PRECIO x MTS) IRAM</t>
  </si>
  <si>
    <t>CABLE SUBTERRANEO 4 X 35 MM (PRECIO x MTS) IRAM</t>
  </si>
  <si>
    <t>CABLE SUBTERRANEO 4 X 4 (PRECIO x MTS) IRAM</t>
  </si>
  <si>
    <t>CABLE SUBTERRANEO 5 X 1,5 (PRECIO x MTS) IRAM</t>
  </si>
  <si>
    <t>CABLE SUBTERRANEO 5 X 10 (PRECIO x MTS) IRAM</t>
  </si>
  <si>
    <t>CABLE SUBTERRANEO 5 X 16 (PRECIO x MTS) IRAM</t>
  </si>
  <si>
    <t>CABLE SUBTERRANEO 5 X 2,50 (PRECIO x MTS) IRAM</t>
  </si>
  <si>
    <t>CABLE SUBTERRANEO 5 X 4 (PRECIO x MTS) IRAM</t>
  </si>
  <si>
    <t>CABLE SUBTERRANEO 5 X 6 (PRECIO x MTS) IRAM</t>
  </si>
  <si>
    <t>CABLE SUBTERRANEO LSOH 3 X 35 +16 (PRECIO X MTS) IRAM</t>
  </si>
  <si>
    <t>CABLE TIPO TALLER 2 X 0,50 (PRECIO x MTS) IRAM</t>
  </si>
  <si>
    <t>CABLE TIPO TALLER 3 X 0,75 (PRECIO X MTS) IRAM</t>
  </si>
  <si>
    <t>CABLE TIPO TALLER 5 X 6 (PRECIO x MTS) IRAM</t>
  </si>
  <si>
    <t>CABLE VAINA CHATA 2 X 1 (PRECIO x  MTS) IRAM</t>
  </si>
  <si>
    <t>CABLE VAINA CHATA 2 X 2,50 (PRECIO x MTS) IRAM</t>
  </si>
  <si>
    <t>CABLE VAINA CHATA 2 X 4 (PRECIO x MTS) IRAM</t>
  </si>
  <si>
    <t>CABLE VAINA CHATA 3 X 0,75 (PRECIO x MTS) IRAM</t>
  </si>
  <si>
    <t>CABLE VAINA CHATA 3 X 1 (PRECIO x MTS) IRAM</t>
  </si>
  <si>
    <t>CABLE VAINA CHATA 3 X 4 (PRECIO x MTS) IRAM</t>
  </si>
  <si>
    <t>27739</t>
  </si>
  <si>
    <t>27740</t>
  </si>
  <si>
    <t>27741</t>
  </si>
  <si>
    <t>CAPSULADA VACIA 16 AMP. EMBUTIR KALOP</t>
  </si>
  <si>
    <t>CAPSULADA VACIA 16 AMP. EXT KALOP</t>
  </si>
  <si>
    <t>CAPSULADA VACIA 32 AMP. EMBUTIR KALOP</t>
  </si>
  <si>
    <t>CAPSULADA VACIA 32 AMP. EXTERIOR KALOP</t>
  </si>
  <si>
    <t>27742</t>
  </si>
  <si>
    <t>CONTACTOR TRIP. 18A 380V 1NA+1NC CHINT</t>
  </si>
  <si>
    <t>FICHA CONVERTIDORA DE 3 A 2 CON MUECA (212) MIG</t>
  </si>
  <si>
    <t>GUIRNALDA 10 MTS C/20 PORTALAMPARAS NOVA.</t>
  </si>
  <si>
    <t>GUIRNALDA 6 MTS. C/10 PORTALAMPARAS NOVA.</t>
  </si>
  <si>
    <t>PLAFON LED 24W CUADRADO LUZ NEUTRA</t>
  </si>
  <si>
    <t>27749</t>
  </si>
  <si>
    <t>RELE TERMICO 80 - 100A NXR-100A CHINT</t>
  </si>
  <si>
    <t>27743</t>
  </si>
  <si>
    <t>TERMICA 2 X 10 A. 3 kA JELUZ</t>
  </si>
  <si>
    <t>27744</t>
  </si>
  <si>
    <t>TERMICA 2 X 16 A. 3 kA JELUZ</t>
  </si>
  <si>
    <t>27745</t>
  </si>
  <si>
    <t>TERMICA 2 X 20 A. 3 kA JELUZ</t>
  </si>
  <si>
    <t>27746</t>
  </si>
  <si>
    <t>TERMICA 2 X 25 A. 3 kA JELUZ</t>
  </si>
  <si>
    <t>27747</t>
  </si>
  <si>
    <t>TERMICA 2 X 32 A. 3 kA JELUZ</t>
  </si>
  <si>
    <t>27748</t>
  </si>
  <si>
    <t>TERMICA 2 X 40 A. 3 kA JELUZ</t>
  </si>
  <si>
    <t>ABRAZADERA PARA POSTE C/ESCOTE 12CM PKR-30 LCT</t>
  </si>
  <si>
    <t>27751</t>
  </si>
  <si>
    <t>CABLE CANAL 20 X 10 NERA C/ADHESIVO (PRECIO X MTS) GEN ROD</t>
  </si>
  <si>
    <t>CAJA MULTIPLE ALUMINIO 3/4 (1/2 GAS) USO interior C/TAPA S/JUNTA "X"</t>
  </si>
  <si>
    <t>27750</t>
  </si>
  <si>
    <t>CAÑO 20 MM. SEMIPESADO NERA (PRECIO X MTS) GENROD</t>
  </si>
  <si>
    <t>CAJA P/TM PVC 8 BOCAS EXT. C/P G. GENROD (045031G)</t>
  </si>
  <si>
    <t>TERMICA CURVA ¨B¨ 4 X 25 4.5kA. JELUZ</t>
  </si>
  <si>
    <t>TERMICA CURVA ¨D" 4 X 20 A. 6kA  ABB</t>
  </si>
  <si>
    <t>TERMICA CURVA ¨D" 4 X 25 A. 6kA  ABB</t>
  </si>
  <si>
    <t>TERMICA CURVA ¨B" 2 X 20 A. 10kA CHINT</t>
  </si>
  <si>
    <t>TERMICA CURVA ¨B" 4 X 20 A. 10kA CHINT</t>
  </si>
  <si>
    <t>TERMICA CURVA ¨B" 4 X 25 A. 10kA CHINT</t>
  </si>
  <si>
    <t>TERMICA CURVA ¨B" 4 X 32 A. 10kA CHINT</t>
  </si>
  <si>
    <t>27753</t>
  </si>
  <si>
    <t>INTERRUPTOR COMPACTO 4 POLOS 400A REG. FIJA 50kA CHINT</t>
  </si>
  <si>
    <t>27754</t>
  </si>
  <si>
    <t>CONTACTOR TRIP. 12A 380V 1NA+1NC CHINT</t>
  </si>
  <si>
    <t>CABLE UNIPOLAR  LSOH 1 X 2,5 ROJO (PRECIO x MTS)</t>
  </si>
  <si>
    <t>CABLE UNIPOLAR  LSOH 1 X 2,5 VERDE Y A (PRECIO x MTS)</t>
  </si>
  <si>
    <t>CABLE UNIPOLAR  LSOH 1 X 2,50 NEGRO (PRECIO x MTS)</t>
  </si>
  <si>
    <t>CABLE UNIPOLAR LSOH 1 X 1,5 BLANCO (PRECIO x MTS)</t>
  </si>
  <si>
    <t>CABLE UNIPOLAR LSOH 1 X 1,5 CELESTE (PRECIO x MTS)</t>
  </si>
  <si>
    <t>CABLE UNIPOLAR LSOH 1 X 1,50 MARRON (PRECIO x MTS)</t>
  </si>
  <si>
    <t>CABLE UNIPOLAR LSOH 1 X 2,50 CELESTE (PRECIO X MTS)</t>
  </si>
  <si>
    <t>CABLE UNIPOLAR LSOH 1 X 2,50 MARRON (PRECIO x MTS)</t>
  </si>
  <si>
    <t>CABLE UNIPOLAR LSOH 1 X 4 CELESTE (PRECIO x MTS)</t>
  </si>
  <si>
    <t>CABLE UNIPOLAR LSOH 1 X 4 ROJO (PRECIO x MTS)</t>
  </si>
  <si>
    <t>CABLE UNIPOLAR LSOH 1 X 4 VERDE Y A  (PRECIO x MTS)</t>
  </si>
  <si>
    <t>CAJA METALICA EMBUTIR P/80 BOCAS CON PUERTA GABEXEL</t>
  </si>
  <si>
    <t>LLAVE INTERRUPTOR 20 AMP. NARANJA / NEGRA TAAD</t>
  </si>
  <si>
    <t>MODULO TOMA 20 A. BLANCO (KL40235) KALOP</t>
  </si>
  <si>
    <t>PILA CR-2032 BL X 5 ENERGIZER</t>
  </si>
  <si>
    <t>27755</t>
  </si>
  <si>
    <t>TERMINAL COBRE ESTAÑADO 95 x 5/8 SCC 95/2</t>
  </si>
  <si>
    <t>LAMPARA VELA 5W LUZ FRIA **</t>
  </si>
  <si>
    <t>LAMPARA VELA 5W LUZ FRIA E14 **</t>
  </si>
  <si>
    <t>LAMPARA VELA LED 5W LUZ CALIDA **</t>
  </si>
  <si>
    <t>PANEL LED 45W 60X60 LUZ FRIA</t>
  </si>
  <si>
    <t>27758</t>
  </si>
  <si>
    <t>CABLE SUBTERRANEO 1 X 95 (PRECIO x MTS) IRAM</t>
  </si>
  <si>
    <t>27759</t>
  </si>
  <si>
    <t>CANILLA 1/2 METAL ESFERICA (2728)</t>
  </si>
  <si>
    <t>27760</t>
  </si>
  <si>
    <t>CODO DOBLE FUSION INSERTO HEMBRA 20 X 1/2" (8888)</t>
  </si>
  <si>
    <t>27761</t>
  </si>
  <si>
    <t>CODO DOBLE FUSION INSERTO HEMBRA 25 X 1/2" (8889)</t>
  </si>
  <si>
    <t>LAMPARA VELA LED 5W LUZ CALIDA E14 **</t>
  </si>
  <si>
    <t>27762</t>
  </si>
  <si>
    <t>LLAVE ESFERICA 25 FUSION (1817)</t>
  </si>
  <si>
    <t>27763</t>
  </si>
  <si>
    <t>LLAVE FUSION 20 V. BRONCE (8706)</t>
  </si>
  <si>
    <t>27764</t>
  </si>
  <si>
    <t>27757</t>
  </si>
  <si>
    <t>MARCO PARA PANEL LED 30X120 INTERELEC</t>
  </si>
  <si>
    <t>27756</t>
  </si>
  <si>
    <t>27766</t>
  </si>
  <si>
    <t>SELLADOR PPN 25CC (400)</t>
  </si>
  <si>
    <t>27767</t>
  </si>
  <si>
    <t>SELLADOR PPN 85CC (410)</t>
  </si>
  <si>
    <t>TIMER ENCHUFABLE DIGITAL INTERELEC</t>
  </si>
  <si>
    <t>27765</t>
  </si>
  <si>
    <t>VALVULA MEZCLADORA MONOCOMANDO FUSION 25 MM (8701)</t>
  </si>
  <si>
    <t>27781</t>
  </si>
  <si>
    <t>CAJA EXTERIOR CUADRADA C/TAPA PVC NERA GENROD</t>
  </si>
  <si>
    <t>27474</t>
  </si>
  <si>
    <t>CAJA EXTERIOR OCTOGONAL CHICA C/TAPA PVC NERA GENROD</t>
  </si>
  <si>
    <t>27780</t>
  </si>
  <si>
    <t>CAJA P/TM PVC 12 BOCAS EXT. C/P NERA GENROD (04534FN)</t>
  </si>
  <si>
    <t>27778</t>
  </si>
  <si>
    <t>CAJA P/TM PVC 4 BOCAS EXT C/P NERA GENROD (04505FN)</t>
  </si>
  <si>
    <t>27779</t>
  </si>
  <si>
    <t>CAJA P/TM PVC 8 BOCAS EXT. C/P NERA GENROD (04531FN)</t>
  </si>
  <si>
    <t>27776</t>
  </si>
  <si>
    <t>CAJA PASE PVC 115 X 115 X 65 NERA GEN-ROD(22111106N)</t>
  </si>
  <si>
    <t>27777</t>
  </si>
  <si>
    <t>CAJA PASE PVC 115 X 115 X 80 NERA GENROD (22111108N)</t>
  </si>
  <si>
    <t>27774</t>
  </si>
  <si>
    <t>CAJA PASE PVC 90 X 90 X 55 NERA GEN-ROD (22090905N)</t>
  </si>
  <si>
    <t>27775</t>
  </si>
  <si>
    <t>CAJA PASE PVC 90 X 90 X 75 NERA GEN-ROD (22090907N)</t>
  </si>
  <si>
    <t>27782</t>
  </si>
  <si>
    <t>CAJA RECTANGULAR SOBREPONER MONOBLOCK NERA</t>
  </si>
  <si>
    <t>27770</t>
  </si>
  <si>
    <t>CONECTOR 20 MM. NERA GENROD-SISTELECTRIC</t>
  </si>
  <si>
    <t>27772</t>
  </si>
  <si>
    <t>CURVA 20 MM. NERA GENROD-SISTELECTRIC</t>
  </si>
  <si>
    <t>DISYUNTOR 2 X 25 A. 30mA  GEN-ROD</t>
  </si>
  <si>
    <t>27786</t>
  </si>
  <si>
    <t>DISYUNTOR 2 X 40 A. 30mA  GEN-ROD</t>
  </si>
  <si>
    <t>DISYUNTOR 4 X 25 A. 30mA GEN-ROD</t>
  </si>
  <si>
    <t>DISYUNTOR 4 X 40 A. 30mA GEN-ROD</t>
  </si>
  <si>
    <t>27773</t>
  </si>
  <si>
    <t>GRAMPA DE FIJACION 3/4"  20 MM. NERA GENROD-SISTELECTRIC</t>
  </si>
  <si>
    <t>27783</t>
  </si>
  <si>
    <t>LLAVE ESFERICA 20 FUSION (1815)</t>
  </si>
  <si>
    <t>LLAVE FUSION 25 V. BRONCE (8707)</t>
  </si>
  <si>
    <t>MULTIFICHA DOBLE P/PLANO 10 AMP. PRO.</t>
  </si>
  <si>
    <t>10315</t>
  </si>
  <si>
    <t>PROLONGADOR  5 TOMAS X 3 MTS ECO.</t>
  </si>
  <si>
    <t>10316</t>
  </si>
  <si>
    <t>PROLONGADOR  5 TOMAS X 5 MTS ECO.</t>
  </si>
  <si>
    <t>27769</t>
  </si>
  <si>
    <t>RESISTENCIA Y TERMOSTATO 1500W (4065)</t>
  </si>
  <si>
    <t>27768</t>
  </si>
  <si>
    <t>TERMICA 1 X 32 A. 6kA CHINT</t>
  </si>
  <si>
    <t>TERMICA 2 X 10 A. 4,5 GEN-ROD</t>
  </si>
  <si>
    <t>TERMICA 2 X 16 A. 4,5 GEN-ROD</t>
  </si>
  <si>
    <t>27784</t>
  </si>
  <si>
    <t>TERMICA 2 X 20 A. 4,5 GEN-ROD</t>
  </si>
  <si>
    <t>TERMICA 2 X 25 A. 4,5 GEN-ROD</t>
  </si>
  <si>
    <t>TERMICA 2 X 32 A. 4,5 GEN-ROD</t>
  </si>
  <si>
    <t>TERMICA 2 X 40 A. 4,5 GEN-ROD</t>
  </si>
  <si>
    <t>TERMICA 4 X 20 A. 4,5 GEN-ROD</t>
  </si>
  <si>
    <t>TERMICA 4 X 32 A. 4,5 GEN-ROD</t>
  </si>
  <si>
    <t>TERMICA 4 X 40 A. 4,5 GEN-ROD</t>
  </si>
  <si>
    <t>TERMICA 4 X 50 A. 4,5 GEN-ROD</t>
  </si>
  <si>
    <t>27785</t>
  </si>
  <si>
    <t>TERMICA 4 X 63 A. 4,5 GEN-ROD</t>
  </si>
  <si>
    <t>27375</t>
  </si>
  <si>
    <t>TRIFICHA PIRAMIDAL PERNO CHATO PRO.</t>
  </si>
  <si>
    <t>27771</t>
  </si>
  <si>
    <t>UNION 20 MM. NERA GENROD-SISTELECTRIC</t>
  </si>
  <si>
    <t>MINI RELE 4 INV. 5A 220V CHINT</t>
  </si>
  <si>
    <t>MINI RELE 4 INVERSORES 12VCC 3A</t>
  </si>
  <si>
    <t>LISTON LED SLIM 18W LUZ FRIA</t>
  </si>
  <si>
    <t>COLGANTE POSEIDON 3 X E-27 CROMADO CANDIL</t>
  </si>
  <si>
    <t>PLAFON BALI 38 LED 23W 3000K DIMER. NEGRO/ORO CANDIL</t>
  </si>
  <si>
    <t>PANTALLA DE POLICARBONATO E-27 DIAM 320 MM CABRERA</t>
  </si>
  <si>
    <t>PROYECTOR LED 10W LUZ FRIA Classic MACROLED</t>
  </si>
  <si>
    <t>PROYECTOR LED 10W LUZ CALIDA Classic MACROLED</t>
  </si>
  <si>
    <t>PROYECTOR LED 20W LUZ FRIA Classic MACROLED</t>
  </si>
  <si>
    <t>PROYECTOR LED 20W LUZ CALIDA Classic MACROLED</t>
  </si>
  <si>
    <t>PROYECTOR LED 30W LUZ FRIA Classic MACROLED</t>
  </si>
  <si>
    <t>PROYECTOR LED 30W LUZ CALIDA Classic MACROLED</t>
  </si>
  <si>
    <t>PROYECTOR LED 50W LUZ FRIA Classic MACROLED</t>
  </si>
  <si>
    <t>PROYECTOR LED 100W LUZ FRIA Classic MACROLED</t>
  </si>
  <si>
    <t>PROYECTOR LED 150W LUZ FRIA Classic MACROLED</t>
  </si>
  <si>
    <t>PROYECTOR LED 200W LUZ FRIA Classic MACROLED</t>
  </si>
  <si>
    <t>PROYECTOR LED 100W LUZ CALIDA Classic MACROLED</t>
  </si>
  <si>
    <t>PEINES DE ALIMENTACION TETRAPOLAR 63A</t>
  </si>
  <si>
    <t>GABINETE ESTANCO QUADRI ENERGY VACIO PVC 245 X 230 X 150 GENROD</t>
  </si>
  <si>
    <t>27787</t>
  </si>
  <si>
    <t>GABINETE ESTANCO QUADRI ENERGY VACIO PVC 550 X 637 X 180 (BANDEJA 503 x 590 mm) GENROD</t>
  </si>
  <si>
    <t>27788</t>
  </si>
  <si>
    <t>GABINETE ESTANCO 600 X 400 X 160 GABEXEL</t>
  </si>
  <si>
    <t>27789</t>
  </si>
  <si>
    <t>CONTACTO AUX. DE POSICIÓN - LATERAL P/NXB-63 y 63H - 1NA/NC CHINT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</si>
  <si>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</si>
  <si>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</si>
  <si>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</si>
  <si>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</si>
  <si>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</si>
  <si>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</si>
  <si>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</si>
  <si>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</si>
  <si>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</si>
  <si>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</si>
  <si>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</si>
  <si>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MINI RELE 2 INV. 5A 220V CHINT</t>
  </si>
  <si>
    <t>27801</t>
  </si>
  <si>
    <t>SMART SWITCH AC-90 MACROLED</t>
  </si>
  <si>
    <t>27802</t>
  </si>
  <si>
    <t>PILA CR-2025 BL X 5 POWERSWITCH-MACROLED</t>
  </si>
  <si>
    <t>27803</t>
  </si>
  <si>
    <t>PILA CR-2032 BL X 5 POWERSWITCH-MACROLED</t>
  </si>
  <si>
    <t>27804</t>
  </si>
  <si>
    <t>LAMPARA H POWER 60W E40 LUZ FRIA MACROLED **</t>
  </si>
  <si>
    <t>27805</t>
  </si>
  <si>
    <t>CAJA VACIA GRIS - 1 ORIFICIO 22 MM IP65 CHINT</t>
  </si>
  <si>
    <t>27806</t>
  </si>
  <si>
    <t>PILOTO - OJO DE BUEY - ROJO 24V CHINT</t>
  </si>
  <si>
    <t>27809</t>
  </si>
  <si>
    <t>CAÑO 50 MM. SEMIPESADO (PRECIO X MTS) KALOP</t>
  </si>
  <si>
    <t>27810</t>
  </si>
  <si>
    <t>CAÑO 50 MM. ULTRAPESADO (PRECIO X MTS) KALOP</t>
  </si>
  <si>
    <t>10367</t>
  </si>
  <si>
    <t>CINTA AISLADORA PVC X 10 MTS. NEGRA INTECK</t>
  </si>
  <si>
    <t>CINTA AISLADORA PVC X 20 MTS. NEGRA INTECK</t>
  </si>
  <si>
    <t>27808</t>
  </si>
  <si>
    <t>DICROICA LED "DIMERIZABLE" 7W LUZ CALIDA MACROLED**</t>
  </si>
  <si>
    <t>27807</t>
  </si>
  <si>
    <t>DISYUNTOR 2 X 63 A. 30mA CHINT</t>
  </si>
  <si>
    <t>LAMPARA H POWER 50W E27 LUZ FRIA MACROLED **</t>
  </si>
  <si>
    <t>PRENSACABLE 1 1/4 PG-21</t>
  </si>
  <si>
    <t>PRENSACABLE 1"   PG-16</t>
  </si>
  <si>
    <t>PRENSACABLE 2    PG-42</t>
  </si>
  <si>
    <t>PRENSACABLE 7/8    PG-13.5</t>
  </si>
  <si>
    <t>18778</t>
  </si>
  <si>
    <t>EXTRACTOR DE AIRE 4" Blanco</t>
  </si>
  <si>
    <t>FOTOCELULA 1200W 3 CABLES KALOP**</t>
  </si>
  <si>
    <t>FOTOCELULA 1200W 4 CABLES KALOP**</t>
  </si>
  <si>
    <t>LAMPARA FILAMENTO VINTAGE CLASICA LED 4W CANDELA</t>
  </si>
  <si>
    <t>LAMPARA FILAMENTO VINTAGE ESPIRAL GLOBO LED 6W NOVA.</t>
  </si>
  <si>
    <t>LAMPARA FILAMENTO VINTAGE ESPIRAL PERA 6W GOLD NOVA.</t>
  </si>
  <si>
    <t>LAMPARA FILAMENTO VINTAGE GOLDEN PERA 5W  MACROLED**</t>
  </si>
  <si>
    <t>LAMPARA FILAMENTO VINTAGE GOTA LED 4W CANDELA</t>
  </si>
  <si>
    <t>27811</t>
  </si>
  <si>
    <t>CAÑO 20 MM. PESADO (PRECIO X MTS.) TECNOCOM</t>
  </si>
  <si>
    <t>MORSETO ESTANCO P/ALUMBRADO PUBLICO PKD 14 ACA LCT</t>
  </si>
  <si>
    <t>PROYECTOR LED SOLAR 10W = 100W LUZ FRÍA</t>
  </si>
  <si>
    <t>PROYECTOR LED SOLAR 20W = 200W LUZ FRIA</t>
  </si>
  <si>
    <t>PROYECTOR LED SOLAR 5W = 50W LUZ FRÍA</t>
  </si>
  <si>
    <t>TAPA ZEN 3 MODULOS BASIC NEGRA KALOP (KS41511)</t>
  </si>
  <si>
    <t>TIRA LED 5050 X 5 METROS EC LUZ CALIDA IP45 MACROLED **</t>
  </si>
  <si>
    <t>TIRA LED 5050 X 5 METROS EXTERIOR LUZ FRIA IP45 MACROLED **</t>
  </si>
  <si>
    <t>27815</t>
  </si>
  <si>
    <t>BANDEJA PORTAC. PERF. 600 MM.ALA 50 ESP. 0.7 ELECE</t>
  </si>
  <si>
    <t>27817</t>
  </si>
  <si>
    <t>CURVA ART 600 MM. ALA 50 (3 ESL) ESP. 0.7 ELECE</t>
  </si>
  <si>
    <t>27818</t>
  </si>
  <si>
    <t>CURVA PLANA 90° 600 MM. ESP. 0.7 ELECE</t>
  </si>
  <si>
    <t>27813</t>
  </si>
  <si>
    <t>INTERRUPTOR COMPACTO Fijo 4 POLOS 125A 25kA CHINT</t>
  </si>
  <si>
    <t>27812</t>
  </si>
  <si>
    <t>INTERRUPTOR COMPACTO Fijo 4 POLOS 200A 35kA CHINT</t>
  </si>
  <si>
    <t>27814</t>
  </si>
  <si>
    <t>INTERRUPTOR COMPACTO Fijo 4 POLOS 400A 50kA CHINT</t>
  </si>
  <si>
    <t>JABALINA LISA 1/2 CON MORSETO</t>
  </si>
  <si>
    <t>MORSA DE SUSPENSION C/FUSIBLE PKS10-CF LCT</t>
  </si>
  <si>
    <t>27816</t>
  </si>
  <si>
    <t>TRAPECIO DOBLE VARILLA 600 MM. ELECE</t>
  </si>
  <si>
    <t>27819</t>
  </si>
  <si>
    <t>UNION TEE 600 MM. ALA 50 ESP. 0.7 ELECE</t>
  </si>
  <si>
    <t>27820</t>
  </si>
  <si>
    <t>BATERIA 9V. POWERSWITCH-MACROLED</t>
  </si>
  <si>
    <t>CABLE BICOLOR 2 X 1 (PRECIO x MTS)</t>
  </si>
  <si>
    <t>CABLE BIPOLAR CRISTAL 2 X 0,75 (PRECIO x MTS) W.</t>
  </si>
  <si>
    <t>CABLE BIPOLAR CRISTAL 2 X 1 (PRECIO x MTS) W.</t>
  </si>
  <si>
    <t>27822</t>
  </si>
  <si>
    <t>GABINETE C/CONTRAF. CALADO P/10 BOCAS (200X300X120) GABEXEL</t>
  </si>
  <si>
    <t>27821</t>
  </si>
  <si>
    <t>LAMPARA H POWER 60W E27 LUZ CALIDA MACROLED **</t>
  </si>
  <si>
    <t>LLAVE 1 PUNTO S/TAPA BCA. KALOP.</t>
  </si>
  <si>
    <t>LLAVE 1 TOMA S/TAPA BCA. KALOP.</t>
  </si>
  <si>
    <t>27824</t>
  </si>
  <si>
    <t>LLAVE 2 PUNTO S/TAPA BCA. KALOP.</t>
  </si>
  <si>
    <t>27823</t>
  </si>
  <si>
    <t>LLAVE 2 TOMAS S/TAPA BCA. KALOP.</t>
  </si>
  <si>
    <t>LLAVE PUNTO Y TOMA S/TAPA BCA. KALOP.</t>
  </si>
  <si>
    <t>PILA "AA" BL X4 POWERSWICH-MACROLED (precio unitario)</t>
  </si>
  <si>
    <t>PILA "AAA" BL X 4 POWERSWITCH-MACROLED (precio unitario)</t>
  </si>
  <si>
    <t>10366</t>
  </si>
  <si>
    <t>PILA "D" LR20 BL X 2 POWERSWITCH-MACROLED (precio unitario)</t>
  </si>
  <si>
    <t>PROLONGADOR MULTINORMA 4 TOMAS C/TERM. C/CABLE X 1,5 M KALOP</t>
  </si>
  <si>
    <t>PROLONGADOR MULTINORMA 4 TOMAS C/TERM. C/CABLE X 2,5 M KALOP</t>
  </si>
  <si>
    <t>PROLONGADOR MULTINORMA 4 TOMAS C/TERM. C/CABLE X 5 M KALOP</t>
  </si>
  <si>
    <t>PROLONGADOR TOMA IRAM 6T.  C/TERM. C/CABLE X 1,5 M KALOP</t>
  </si>
  <si>
    <t>PROLONGADOR MULTINORMA 4 TOMAS C/ TERM  SIN CABLE Blanco KALOP</t>
  </si>
  <si>
    <t>APLIQUE BIDIRECCIONAL  BOLONIA X2 GU10 NEGRO (AP-2700N/T)</t>
  </si>
  <si>
    <t>CAÑO FUSION 20 MM (8679)</t>
  </si>
  <si>
    <t>CAÑO FUSION 25 MM (8681)</t>
  </si>
  <si>
    <t>CAÑO FUSION 32 MM (8683)</t>
  </si>
  <si>
    <t>27825</t>
  </si>
  <si>
    <t>TERMICA 4 X 25 A. 4,5 GEN-ROD</t>
  </si>
  <si>
    <t>27826</t>
  </si>
  <si>
    <t>REGULADOR APROB CON VALVULA DE CORTE S/MANG NUEVO</t>
  </si>
  <si>
    <t>27827</t>
  </si>
  <si>
    <t>REGULADOR APROB CON VALVULA DE CORTE C/MANG 1 Mts NUEVO</t>
  </si>
  <si>
    <t>27828</t>
  </si>
  <si>
    <t>REGULADOR APROB CON VALVULADE CORTE C/MANG. X 1.5 Mts. NUEVO</t>
  </si>
  <si>
    <t>27830</t>
  </si>
  <si>
    <t>CAJA PASE PVC 165 X 165 X 80 NERA GEN-ROD(22161608N)</t>
  </si>
  <si>
    <t>27831</t>
  </si>
  <si>
    <t>DISYUNTOR 4 X 25 A. 100mA CHINT</t>
  </si>
  <si>
    <t>KIT TARUGO STD Nº6 Y TORNILLO PARKER</t>
  </si>
  <si>
    <t>27832</t>
  </si>
  <si>
    <t>PIEZA REDUC. CENTRAL 100MM A 50MM ELECE</t>
  </si>
  <si>
    <t>27833</t>
  </si>
  <si>
    <t>PIEZA REDUC. CENTRAL 150MM A 100MM ELECE</t>
  </si>
  <si>
    <t>27834</t>
  </si>
  <si>
    <t>PIEZA REDUC. CENTRAL 200MM A 150MM ELECE</t>
  </si>
  <si>
    <t>27829</t>
  </si>
  <si>
    <t>TERMINAL COBRE ESTAÑADO 50 x 5/8 SCC50/4</t>
  </si>
  <si>
    <t>ADAPTADOR DIN Y TORNILLO PARA 221 WAGO 221-500</t>
  </si>
  <si>
    <t>CABLE BIPOLAR 2 X 0.75 BLANCO (PRECIO x MTS) IRAM</t>
  </si>
  <si>
    <t>CABLE BIPOLAR 2 X 1 BLANCO (PRECIO x MTS) IRAM</t>
  </si>
  <si>
    <t>CABLE BIPOLAR 2 X 2,5 BLANCO (PRECIO x MTS) IRAM</t>
  </si>
  <si>
    <t>CABLE BIPOLAR NEGRO 2 X 0.75 (PRECIO x MTS) IRAM</t>
  </si>
  <si>
    <t>CABLE BIPOLAR NEGRO 2 X 1,5 (PRECIO X MTS) IRAM</t>
  </si>
  <si>
    <t>CABLE PARALELO 2 X 1 BOBINA NORMALIZADO (PRECIO x MTS) IRAM</t>
  </si>
  <si>
    <t>CABLE PARALELO 2 X 1.5 BOBINA NORMALIZADO (PRECIO x MTS) IRAM</t>
  </si>
  <si>
    <t>CABLE TIPO TALLER 2 X 1 BLANCO (PRECIO x MTS) IRAM</t>
  </si>
  <si>
    <t>CABLE TIPO TALLER 2 X 1,50 BLANCO (PRECIO x MTS) IRAM</t>
  </si>
  <si>
    <t>CABLE TIPO TALLER 2 X 2,50 BLANCO (PRECIO x MTS) IRAM</t>
  </si>
  <si>
    <t>CONECTORES DE EMPALME DE 10 POLOS 4 MM WAGO 221-420</t>
  </si>
  <si>
    <t>CONECTORES DE EMPALME DE 2 POLOS 4 MM WAGO 221-412</t>
  </si>
  <si>
    <t>CONECTORES DE EMPALME DE 2 POLOS 6 MM WAGO 221-612</t>
  </si>
  <si>
    <t>CONECTORES DE EMPALME DE 3 POLOS 4 MM WAGO 221-413</t>
  </si>
  <si>
    <t>CONECTORES DE EMPALME DE 3 POLOS 6 MM WAGO 221-613</t>
  </si>
  <si>
    <t>CONECTORES DE EMPALME DE 5 POLOS 4 MM WAGO 221-415</t>
  </si>
  <si>
    <t>CONECTORES DE EMPALME DE 5 POLOS 6 MM WAGO 221-615</t>
  </si>
  <si>
    <t>CONECTORES DE EMPALME EN LINEA DE 2 POLOS 4 MM WAGO 221-2411</t>
  </si>
  <si>
    <t>27839</t>
  </si>
  <si>
    <t>DISYUNTOR 2 X 25 A. 100mA CHINT</t>
  </si>
  <si>
    <t>27840</t>
  </si>
  <si>
    <t>GABINETE ESTANCO QUADRI ENERGY PVC 325 X 465 X 180 (12280) GENROD</t>
  </si>
  <si>
    <t>HERRAMIENTA PELA CABLE WAGO 206-1141</t>
  </si>
  <si>
    <t>KIT TARUGO STD Nº8 Y TORNILLO PARKER</t>
  </si>
  <si>
    <t>27837</t>
  </si>
  <si>
    <t>PANEL LED 18W CUADRADO LUZ NEUTRA MACROLED</t>
  </si>
  <si>
    <t>27836</t>
  </si>
  <si>
    <t>PANEL LED 24W CUADRADO LUZ NEUTRA MACROLED</t>
  </si>
  <si>
    <t>27835</t>
  </si>
  <si>
    <t>TOMA HEMBRA EMBUTIR IP44 3P +N +T 32A 380V BALS - KALOP (KL7543243)</t>
  </si>
  <si>
    <t>MEDIDOR MONOFASICO DIGITAL RIEL DIN **</t>
  </si>
  <si>
    <t>27842</t>
  </si>
  <si>
    <t>TIJERA CORTA TUBO 42 MM (8642)</t>
  </si>
  <si>
    <t>TIMER DIGITAL P/RIEL DIN</t>
  </si>
  <si>
    <t>27841</t>
  </si>
  <si>
    <t>VALVULA DESCARGA COMPLETA (9020)</t>
  </si>
  <si>
    <t>27854</t>
  </si>
  <si>
    <t>27855</t>
  </si>
  <si>
    <t>27848</t>
  </si>
  <si>
    <t>APLIQUE VISTRA PLATIL GU-10 2 LUCES CANDIL</t>
  </si>
  <si>
    <t>27849</t>
  </si>
  <si>
    <t>APLIQUE VISTRA PLATIL GU-10 3 LUCES CANDIL</t>
  </si>
  <si>
    <t>27851</t>
  </si>
  <si>
    <t>BASE TORITO 355 PARA 2 CABEZALES BLANCO CANDIL</t>
  </si>
  <si>
    <t>27852</t>
  </si>
  <si>
    <t>BASE TORITO 580 PARA 3 CABEZALES BLANCO CANDIL</t>
  </si>
  <si>
    <t>27853</t>
  </si>
  <si>
    <t>BASE TORITO 805 PARA 4 CABEZALES BLANCO CANDIL</t>
  </si>
  <si>
    <t>27850</t>
  </si>
  <si>
    <t>CABEZAL BOMBER 1 X GU10 BLANCO CANDIL</t>
  </si>
  <si>
    <t>DICROICA LED 12V 5W GU5.3 LUZ CALIDA</t>
  </si>
  <si>
    <t>GABINETE C/CONTRAF. CALADO P/36 BOCAS (350x450x120) GABEXEL</t>
  </si>
  <si>
    <t>LAMPARA CLASICA LED 18W LUZ CALIDA **</t>
  </si>
  <si>
    <t>LAMPARA CLASICA LED 18W LUZ FRIA**</t>
  </si>
  <si>
    <t>27843</t>
  </si>
  <si>
    <t>MENSULA DE PARED REF. 480 MM. CINCADA ELECE</t>
  </si>
  <si>
    <t>PANEL LED 48W 30 X 120 MM LUZ CALIDA</t>
  </si>
  <si>
    <t>PANEL LED 48W 30 X 120 MM LUZ FRIA</t>
  </si>
  <si>
    <t>PANEL LED 48W 30 X 120 MM LUZ NEUTRA</t>
  </si>
  <si>
    <t>27844</t>
  </si>
  <si>
    <t>PLAFON ECUA AR 111 X 2 BLANCO CANDIL</t>
  </si>
  <si>
    <t>27845</t>
  </si>
  <si>
    <t>PLAFON ECUA AR 111 X 2 NEGRO CANDIL</t>
  </si>
  <si>
    <t>27847</t>
  </si>
  <si>
    <t>PLAFON ECUA AR 111 X 4 BLANCO CANDIL</t>
  </si>
  <si>
    <t>27846</t>
  </si>
  <si>
    <t>PLAFON ECUA AR 111 X 4 NEGRO CANDIL</t>
  </si>
  <si>
    <t>TIMBRE INALAMBRICO</t>
  </si>
  <si>
    <t>TUBO 18 W. FORMATO VIEJO VIDRIO LUZ CALIDA G.E.</t>
  </si>
  <si>
    <t>TUBO 18 W. FORMATO VIEJO VIDRIO LUZ CALIDA SICA</t>
  </si>
  <si>
    <t>TUBO LED DE 18W LUZ CALIDA MACROLED**</t>
  </si>
  <si>
    <t>TUBO LED DE 18W LUZ CALIDA**</t>
  </si>
  <si>
    <t>TUBO LED DE 18W LUZ NEUTRA**</t>
  </si>
  <si>
    <t>ADAPTADOR PORTALAMPARA E27 A E40</t>
  </si>
  <si>
    <t>BUSCAPOLO INDUCTIVO</t>
  </si>
  <si>
    <t>CANILLA 1/2 PVC (1765)</t>
  </si>
  <si>
    <t>FOTOCELULA 6A 1200W</t>
  </si>
  <si>
    <t>27860</t>
  </si>
  <si>
    <t>FUENTE PLASTICA 12V 1A</t>
  </si>
  <si>
    <t>27861</t>
  </si>
  <si>
    <t>FUENTE PLASTICA 12V 2A</t>
  </si>
  <si>
    <t>MARCO P/PANEL LED 60X60 BACKLIGHT</t>
  </si>
  <si>
    <t>27858</t>
  </si>
  <si>
    <t>PANEL LED 36W 60 X 60 LUZ CALIDA BACKLIGHT MACROLED</t>
  </si>
  <si>
    <t>27859</t>
  </si>
  <si>
    <t>PANEL LED 36W 60 X 60 LUZ FRIA BACKLIGHT MACROLED</t>
  </si>
  <si>
    <t>PORTALAMPARA ADAPTADOR E40 A E27</t>
  </si>
  <si>
    <t>SELECTORA METALICA 2 POS. 2NA (NP2-BD23) CHINT</t>
  </si>
  <si>
    <t>27856</t>
  </si>
  <si>
    <t>TERMICA 1 X 50 A. 6kA CHINT</t>
  </si>
  <si>
    <t>27857</t>
  </si>
  <si>
    <t>TERMICA 1 X 63 A. 6kA CHINT</t>
  </si>
  <si>
    <t>27863</t>
  </si>
  <si>
    <t>BANDEJA PORTAC. PERF. 450 MM.ALA 50 ESP. 0.7 ELECE</t>
  </si>
  <si>
    <t>CAJA DE EMBUTIR 8 BOCAS DIN PTA. FUME GENROD (04008)</t>
  </si>
  <si>
    <t>27864</t>
  </si>
  <si>
    <t>CURVA PLANA 90° 450 MM. ESP. 0.7 ELECE</t>
  </si>
  <si>
    <t>27865</t>
  </si>
  <si>
    <t>TRAPECIO DOBLE VARILLA 450 MM. ELECE</t>
  </si>
  <si>
    <t>27874</t>
  </si>
  <si>
    <t>27875</t>
  </si>
  <si>
    <t>27879</t>
  </si>
  <si>
    <t>27880</t>
  </si>
  <si>
    <t>27877</t>
  </si>
  <si>
    <t>27878</t>
  </si>
  <si>
    <t>27876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</si>
  <si>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</si>
  <si>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</si>
  <si>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</si>
  <si>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</si>
  <si>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</si>
  <si>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</si>
  <si>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</si>
  <si>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</si>
  <si>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AUTOMATICO DE TANQUE CABLE 1.5 MTS</t>
  </si>
  <si>
    <t>CAPSULADA TOMA NORAMALIZADO 10 A. KALOP</t>
  </si>
  <si>
    <t>CINTA AISLADORA 10 MTS NEGRO CANDELA</t>
  </si>
  <si>
    <t>CINTA AISLADORA 20 MTS NEGRO CANDELA</t>
  </si>
  <si>
    <t>CONVERTIDORA UNIVERSAL PERNO CHATO</t>
  </si>
  <si>
    <t>DISYUNTOR 2X25 E9 4,5 kA SCHNEIDER</t>
  </si>
  <si>
    <t>DISYUNTOR 2X40 E9 4,5 kA SCHNEIDER</t>
  </si>
  <si>
    <t>DISYUNTOR 4X25 E9 4,5 kA SCHNEIDER</t>
  </si>
  <si>
    <t>DISYUNTOR 4X40 E9 4,5 kA SCHNEIDER</t>
  </si>
  <si>
    <t>DISYUNTOR 4X63 E9 4,5 kA SCHNEIDER</t>
  </si>
  <si>
    <t>GABINETE ESTANCO 400 X 300 X 160 GABEXEL</t>
  </si>
  <si>
    <t>LLAVE 1 TOMA 20A S/TAPA BCA. KALOP.</t>
  </si>
  <si>
    <t>PORTALAMPARA GOLIATH E-40 CASQ. ALUMINIO 5/8</t>
  </si>
  <si>
    <t>SPOT REDONDO EMBUTIR DICRO BLANCO 90MM SIWAY</t>
  </si>
  <si>
    <t>TERMICA 1X10 E9 4,5 kA SCHNEIDER</t>
  </si>
  <si>
    <t>TERMICA 1X16 E9 4,5 kA SCHNEIDER</t>
  </si>
  <si>
    <t>TERMICA 1X20 E9 4,5 kA SCHNEIDER</t>
  </si>
  <si>
    <t>TERMICA 1X25 E9 4,5 kA SCHNEIDER</t>
  </si>
  <si>
    <t>TERMICA 1X32 E9 4,5 kA SCHNEIDER</t>
  </si>
  <si>
    <t>TERMICA 2X10 E9 4,5 kA SCHNEIDER</t>
  </si>
  <si>
    <t>TERMICA 2X16 E9 4,5 kA SCHNEIDER</t>
  </si>
  <si>
    <t>TERMICA 2X20 E9 4,5 kA SCHNEIDER</t>
  </si>
  <si>
    <t>TERMICA 2X25 E9 4,5 kA SCHNEIDER</t>
  </si>
  <si>
    <t>TERMICA 2X32 E9 4,5 kA SCHNEIDER</t>
  </si>
  <si>
    <t>TERMICA 2X40 E9 4,5 kA SCHNEIDER</t>
  </si>
  <si>
    <t>TERMICA 2X6 E9 4,5 kA SCHNEIDER</t>
  </si>
  <si>
    <t>TERMICA 4x10 E9 4,5 kA SCHNEIDER</t>
  </si>
  <si>
    <t>TERMICA 4x16 E9 4,5 kA SCHNEIDER</t>
  </si>
  <si>
    <t>TERMICA 4x20 E9 4,5 kA SCHNEIDER</t>
  </si>
  <si>
    <t>TERMICA 4x25 E9 4,5 kA SCHNEIDER</t>
  </si>
  <si>
    <t>TERMICA 4x32 E9 4,5 kA SCHNEIDER</t>
  </si>
  <si>
    <t>TERMICA 4x40 E9 4,5 kA SCHNEIDER</t>
  </si>
  <si>
    <t>TERMICA 4x50 E9 4,5 kA SCHNEIDER</t>
  </si>
  <si>
    <t>TERMICA 4x63 E9 4,5 kA SCHNEIDER</t>
  </si>
  <si>
    <t>TIMER ENCHUFABLE MECANICO</t>
  </si>
  <si>
    <t>COLGANTE OSTENDE C/PANT.MET. 1 L. ROSA-COBRE (OS6810-57)</t>
  </si>
  <si>
    <t>COLGANTE PANTALLA GRANDE ALUMINIO BCO (BELL03)</t>
  </si>
  <si>
    <t>COLGANTE PANTALLA GRANDE ALUMINIO NARANJA (BELL03)</t>
  </si>
  <si>
    <t>LAMPARA CLASICA LED 10W LUZ FRIA C/FOTOCELULA</t>
  </si>
  <si>
    <t>LAMPARA CLASICA LED 13W LUZ FRIA C/ SENSOR MOV. BAW</t>
  </si>
  <si>
    <t>MODULO TOMA 20 A. ARENA TECLASTAR</t>
  </si>
  <si>
    <t>MODULO TOMA 20 A. BLANCO (6915) SXXI CAMBRE</t>
  </si>
  <si>
    <t>MODULO TOMA 20 A. BLANCO TECLASTAR</t>
  </si>
  <si>
    <t>MODULO TOMA 20 A. GRIS (7915) SXXII CAMBRE</t>
  </si>
  <si>
    <t>MODULO TOMA 20 A. GRIS TECLASTAR</t>
  </si>
  <si>
    <t>MODULO TOMA C/ NEUTRO 20 A. LIFE</t>
  </si>
  <si>
    <t>MODULO TOMA TV PIN FINO BLANCO TECLASTAR</t>
  </si>
  <si>
    <t>PROTECTOR DE TENSION ENCHUFABLE DE 10A 2200 W FIJO.</t>
  </si>
  <si>
    <t>CARTEL SALIDA LED</t>
  </si>
  <si>
    <t>VOLTIMETRO P/TABLERO 22MM VERDE (ND3-22V GRN) CHINT</t>
  </si>
  <si>
    <t>PORTALAMPARA PORCELANA CON ESCUADRA</t>
  </si>
  <si>
    <t>PORTALAMPARA PORCELANA CON GRAMPA 3/8</t>
  </si>
  <si>
    <t>MODULO TOMA C/ NEUTRO BLANCO JELUZ (20067)</t>
  </si>
  <si>
    <t>MODULO TOMA C/ NEUTRO BLANCO PLATINUM JELUZ (60067)</t>
  </si>
  <si>
    <t>TUBO DE LED 9W LUZ CALIDA MACROLED **</t>
  </si>
  <si>
    <t>27881</t>
  </si>
  <si>
    <t>27882</t>
  </si>
  <si>
    <t>MODULO VERONA TOMA IRAM BLANCO JELUZ (20068)</t>
  </si>
  <si>
    <t>27883</t>
  </si>
  <si>
    <t>MODULO PLATINUM TOMA IRAM BLANCO JELUZ (60068)</t>
  </si>
  <si>
    <t>27884</t>
  </si>
  <si>
    <t>MALLA 15CM X 100MTS SUBTERRANEO NORMALIZADA C/HILO ACERO</t>
  </si>
  <si>
    <t>27885</t>
  </si>
  <si>
    <t>DESCARGADOR DE SOBRETENSIONES 65kA 4 POLOS (NU6-IIG 65kA) CHINT</t>
  </si>
  <si>
    <t>CABLE SUBTERRANEO 2 X 16 (PRECIO x MTS) IRAM</t>
  </si>
  <si>
    <t>CAJA DE EMBUTIR 96 BOCAS DIN PTA. FUME GENROD</t>
  </si>
  <si>
    <t>CURVA ALUMINIO AISLADA P/BAJADA  Monof. 2" HB</t>
  </si>
  <si>
    <t>CURVA ALUMINIO AISLADA P/BAJADA  Trifas. 2 1/2" HB</t>
  </si>
  <si>
    <t>FUENTE METALICA 10A / 120W POWERSWITCH 12V.</t>
  </si>
  <si>
    <t>FUENTE METALICA 12,5A / 150W POWERSWITCH 12V.</t>
  </si>
  <si>
    <t>FUENTE METALICA 17A / 200W POWERSWITCH 12V.</t>
  </si>
  <si>
    <t>FUENTE METALICA 29A / 350W POWERSWITCH 12V.</t>
  </si>
  <si>
    <t>FUENTE METALICA 2A / 25W POWERSWITCH 12V.</t>
  </si>
  <si>
    <t>FUENTE METALICA 3A / 35W POWERSWITCH 12V.</t>
  </si>
  <si>
    <t>FUENTE METALICA 4A / 50W POWERSWITCH 12V.</t>
  </si>
  <si>
    <t>FUENTE METALICA 5A / 60W POWERSWITCH 12V.</t>
  </si>
  <si>
    <t>FUENTE METALICA 6A / 75W POWERSWITCH 12V.</t>
  </si>
  <si>
    <t>FUENTE METALICA 8A / 100W POWERSWITCH 12V.</t>
  </si>
  <si>
    <t>FUENTE METALICA EXTERIOR IP67 5A POWERSWITCH 12V.</t>
  </si>
  <si>
    <t>PILA A23 ENERGIZER BLISTER X5 (precio unitario)</t>
  </si>
  <si>
    <t>PILA A27 ENERGIZER BLISTER X1 (precio unitario)</t>
  </si>
  <si>
    <t>PILA AA ENERGIZER BLISTER X20 (precio unitario)</t>
  </si>
  <si>
    <t>PILA AAA ENERGIZER  BLISTER X20 (precio unitario)</t>
  </si>
  <si>
    <t>PILA C MEDIANA ENERGIZER BLISTER X2 (precio unitario)</t>
  </si>
  <si>
    <t>PILA CR-2016 ENERGIZER BL X 5</t>
  </si>
  <si>
    <t>PILA CR-2025 ENERGIZER BL X 5</t>
  </si>
  <si>
    <t>PILA D GRANDE ENERGIZER BLISTER X2 (precio unitario)</t>
  </si>
  <si>
    <t>27886</t>
  </si>
  <si>
    <t>TERMINAL P/JABALINA LISA 1/2 T6</t>
  </si>
  <si>
    <t>27887</t>
  </si>
  <si>
    <t>TERMINAL P/JABALINA LISA 3/4 T8</t>
  </si>
  <si>
    <t>TERMINAL P/JABALINA LISA 3/8</t>
  </si>
  <si>
    <t>TOMACABLE P/JABALINA NORMALIZADA DE 1/2 T2</t>
  </si>
  <si>
    <t>TOMACABLE P/JABALINA NORMALIZADA DE 3/4 T3</t>
  </si>
  <si>
    <t>TOMACABLE P/JABALINA NORMALIZADA DE 5/8 T22</t>
  </si>
  <si>
    <t>TORTUGA OVAL 60W NEGRO CABRERA LH 411</t>
  </si>
  <si>
    <t>27891</t>
  </si>
  <si>
    <t>BOBINA NXC-06 380V CHINT</t>
  </si>
  <si>
    <t>CURVA ART. 450 MM. ALA 50 (3 ESL.) ESP. 0.7 ELECE</t>
  </si>
  <si>
    <t>MODULO 2 PUERTOS USB BLANCO TECLASTAR</t>
  </si>
  <si>
    <t>27889</t>
  </si>
  <si>
    <t>PANEL LED 36W 60 X 60 LUZ NEUTRA BACKLIGHT MACROLED</t>
  </si>
  <si>
    <t>27888</t>
  </si>
  <si>
    <t>PLAFON LED 6W CIRCULAR LUZ NEUTRA MACROLED</t>
  </si>
  <si>
    <t>27890</t>
  </si>
  <si>
    <t>RELE TRIF. ALTA/BAJA REG. FALTA SEC. ASIM. FASE 3P (NJYB3-8 AC380V) CHINT</t>
  </si>
  <si>
    <t>RELE TRIF. ALTA/BAJA REG. FALTA SEC. ASIM. FASE 3P+N (NJYB3-15P AC220V) CHINT</t>
  </si>
  <si>
    <t>UNION TEE 450 MM. ALA 50 ESP. 0.7 ELECE</t>
  </si>
  <si>
    <t xml:space="preserve">LISTA DE PRECIOS G-75 COMPLETA PERFIL ELECTRICIDAD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</si>
</sst>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  <numFmt numFmtId="166" formatCode="#,##0.0_);[Red]\(#,##0.0\)\,"/>
    <numFmt numFmtId="167" formatCode="#,##0.00_);[Red]\(#,##0.00\)\,"/>
    <numFmt numFmtId="168" formatCode="0.0"/>
    <numFmt numFmtId="169" formatCode="_-* #,##0.0_-;\-* #,##0.0_-;_-* &quot;-&quot;??_-;_-@_-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4"/>
      <color rgb="FFFF0000"/>
      <name val="Arial"/>
      <family val="2"/>
    </font>
    <font>
      <b/>
      <sz val="11"/>
      <color rgb="FFFF0000"/>
      <name val="Calibri"/>
      <family val="2"/>
    </font>
    <font>
      <b/>
      <sz val="8"/>
      <color rgb="FFFF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rgb="FFFF972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FF972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1"/>
    <xf numFmtId="165" fontId="7" fillId="0" borderId="0" applyFont="0" applyFill="0" applyBorder="0" applyAlignment="0" applyProtection="0"/>
    <xf numFmtId="0" fontId="4" fillId="0" borderId="1"/>
    <xf numFmtId="0" fontId="3" fillId="0" borderId="1"/>
    <xf numFmtId="0" fontId="2" fillId="0" borderId="1"/>
    <xf numFmtId="0" fontId="1" fillId="0" borderId="1"/>
    <xf numFmtId="43" fontId="18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65" fontId="8" fillId="0" borderId="1" xfId="2" applyFont="1" applyFill="1" applyBorder="1"/>
    <xf numFmtId="2" fontId="8" fillId="0" borderId="1" xfId="1" applyNumberFormat="1" applyFont="1"/>
    <xf numFmtId="10" fontId="8" fillId="0" borderId="1" xfId="1" applyNumberFormat="1" applyFont="1"/>
    <xf numFmtId="0" fontId="11" fillId="0" borderId="0" xfId="0" applyFont="1"/>
    <xf numFmtId="49" fontId="0" fillId="0" borderId="0" xfId="0" applyNumberFormat="1"/>
    <xf numFmtId="0" fontId="14" fillId="0" borderId="0" xfId="0" applyFont="1" applyAlignment="1">
      <alignment horizontal="center"/>
    </xf>
    <xf numFmtId="168" fontId="0" fillId="0" borderId="0" xfId="0" applyNumberFormat="1"/>
    <xf numFmtId="49" fontId="0" fillId="3" borderId="0" xfId="0" applyNumberFormat="1" applyFill="1"/>
    <xf numFmtId="168" fontId="0" fillId="3" borderId="0" xfId="0" applyNumberFormat="1" applyFill="1"/>
    <xf numFmtId="0" fontId="10" fillId="0" borderId="0" xfId="6" applyFont="1" applyBorder="1" applyAlignment="1">
      <alignment horizontal="center"/>
    </xf>
    <xf numFmtId="49" fontId="0" fillId="0" borderId="1" xfId="0" applyNumberFormat="1" applyBorder="1"/>
    <xf numFmtId="167" fontId="9" fillId="0" borderId="1" xfId="6" applyNumberFormat="1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0" xfId="0" applyFont="1" applyFill="1"/>
    <xf numFmtId="169" fontId="0" fillId="0" borderId="0" xfId="7" applyNumberFormat="1" applyFont="1"/>
    <xf numFmtId="166" fontId="9" fillId="0" borderId="1" xfId="6" applyNumberFormat="1" applyFont="1"/>
    <xf numFmtId="0" fontId="20" fillId="3" borderId="0" xfId="0" applyFont="1" applyFill="1"/>
    <xf numFmtId="0" fontId="11" fillId="3" borderId="0" xfId="0" applyFont="1" applyFill="1"/>
    <xf numFmtId="164" fontId="6" fillId="4" borderId="1" xfId="0" applyNumberFormat="1" applyFont="1" applyFill="1" applyBorder="1" applyAlignment="1">
      <alignment horizontal="center" vertical="center" wrapText="1"/>
    </xf>
    <xf numFmtId="164" fontId="12" fillId="4" borderId="1" xfId="0" applyNumberFormat="1" applyFont="1" applyFill="1" applyBorder="1" applyAlignment="1">
      <alignment horizontal="center" vertical="center" wrapText="1"/>
    </xf>
    <xf numFmtId="169" fontId="6" fillId="4" borderId="1" xfId="7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13" fillId="5" borderId="1" xfId="6" applyFont="1" applyFill="1" applyAlignment="1">
      <alignment horizontal="center"/>
    </xf>
    <xf numFmtId="0" fontId="10" fillId="6" borderId="1" xfId="6" applyFont="1" applyFill="1" applyAlignment="1">
      <alignment horizontal="center"/>
    </xf>
    <xf numFmtId="164" fontId="22" fillId="7" borderId="2" xfId="0" applyNumberFormat="1" applyFont="1" applyFill="1" applyBorder="1" applyAlignment="1">
      <alignment horizontal="center" vertical="center" wrapText="1"/>
    </xf>
    <xf numFmtId="165" fontId="22" fillId="3" borderId="2" xfId="2" applyFont="1" applyFill="1" applyBorder="1"/>
    <xf numFmtId="0" fontId="23" fillId="3" borderId="2" xfId="0" applyFont="1" applyFill="1" applyBorder="1"/>
    <xf numFmtId="0" fontId="21" fillId="2" borderId="1" xfId="1" applyFont="1" applyFill="1" applyAlignment="1">
      <alignment horizontal="center" vertical="center" wrapText="1"/>
    </xf>
  </cellXfs>
  <cellStyles count="8">
    <cellStyle name="Millares" xfId="7" builtinId="3"/>
    <cellStyle name="Moneda" xfId="2" builtinId="4"/>
    <cellStyle name="Normal" xfId="0" builtinId="0"/>
    <cellStyle name="Normal 2" xfId="1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</cellStyles>
  <dxfs count="0"/>
  <tableStyles count="0" defaultTableStyle="TableStyleMedium2" defaultPivotStyle="PivotStyleLight16"/>
  <colors>
    <mruColors>
      <color rgb="FFEA67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72085</xdr:colOff>
      <xdr:row>0</xdr:row>
      <xdr:rowOff>57150</xdr:rowOff>
    </xdr:from>
    <xdr:to>
      <xdr:col>1</xdr:col>
      <xdr:colOff>981076</xdr:colOff>
      <xdr:row>3</xdr:row>
      <xdr:rowOff>136581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7E16BB5-94D4-4A56-B6D0-D59D43176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85" y="57150"/>
          <a:ext cx="1585266" cy="812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77"/>
  <sheetViews>
    <sheetView tabSelected="1" zoomScaleNormal="100" zoomScaleSheetLayoutView="100" workbookViewId="0">
      <pane xSplit="4" ySplit="5" topLeftCell="E665" activePane="bottomRight" state="frozen"/>
      <selection pane="topRight" activeCell="D1" sqref="D1"/>
      <selection pane="bottomLeft" activeCell="A7" sqref="A7"/>
      <selection pane="bottomRight" activeCell="E4675" sqref="E4675"/>
    </sheetView>
  </sheetViews>
  <sheetFormatPr baseColWidth="10" defaultColWidth="14.44140625" defaultRowHeight="15" customHeight="1" x14ac:dyDescent="0.35"/>
  <cols>
    <col min="1" max="1" width="10.109375" style="1" customWidth="1"/>
    <col min="2" max="2" width="58.77734375" style="1" customWidth="1"/>
    <col min="3" max="3" width="66" bestFit="1" customWidth="1"/>
    <col min="4" max="4" width="13.88671875" bestFit="1" customWidth="1"/>
    <col min="5" max="5" width="8.88671875" style="17" bestFit="1" customWidth="1"/>
    <col min="6" max="6" width="15" customWidth="1"/>
    <col min="7" max="7" width="12.109375" bestFit="1" customWidth="1"/>
    <col min="8" max="8" width="9.6640625" bestFit="1" customWidth="1"/>
    <col min="9" max="9" width="20.109375" style="29" bestFit="1" customWidth="1"/>
  </cols>
  <sheetData>
    <row r="1" spans="1:9" ht="26.25" customHeight="1" x14ac:dyDescent="0.3">
      <c r="A1" s="30" t="s">
        <v>14028</v>
      </c>
      <c r="B1" s="30"/>
      <c r="C1" s="30"/>
      <c r="D1" s="30"/>
      <c r="E1" s="30"/>
      <c r="F1" s="30"/>
      <c r="G1" s="30"/>
      <c r="H1" s="30"/>
      <c r="I1" s="30"/>
    </row>
    <row r="2" spans="1:9" ht="15.75" customHeight="1" x14ac:dyDescent="0.3">
      <c r="A2" s="30"/>
      <c r="B2" s="30"/>
      <c r="C2" s="30"/>
      <c r="D2" s="30"/>
      <c r="E2" s="30"/>
      <c r="F2" s="30"/>
      <c r="G2" s="30"/>
      <c r="H2" s="30"/>
      <c r="I2" s="30"/>
    </row>
    <row r="3" spans="1:9" ht="15.75" customHeight="1" x14ac:dyDescent="0.3">
      <c r="A3" s="30"/>
      <c r="B3" s="30"/>
      <c r="C3" s="30"/>
      <c r="D3" s="30"/>
      <c r="E3" s="30"/>
      <c r="F3" s="30"/>
      <c r="G3" s="30"/>
      <c r="H3" s="30"/>
      <c r="I3" s="30"/>
    </row>
    <row r="4" spans="1:9" ht="15" customHeight="1" x14ac:dyDescent="0.3">
      <c r="A4" s="30"/>
      <c r="B4" s="30"/>
      <c r="C4" s="30"/>
      <c r="D4" s="30"/>
      <c r="E4" s="30"/>
      <c r="F4" s="30"/>
      <c r="G4" s="30"/>
      <c r="H4" s="30"/>
      <c r="I4" s="30"/>
    </row>
    <row r="5" spans="1:9" s="1" customFormat="1" ht="28.8" x14ac:dyDescent="0.3">
      <c r="A5" s="21" t="s">
        <v>0</v>
      </c>
      <c r="B5" s="22" t="s">
        <v>5878</v>
      </c>
      <c r="C5" s="21" t="s">
        <v>1</v>
      </c>
      <c r="D5" s="21" t="s">
        <v>1065</v>
      </c>
      <c r="E5" s="23" t="s">
        <v>845</v>
      </c>
      <c r="F5" s="21" t="s">
        <v>2</v>
      </c>
      <c r="G5" s="21" t="s">
        <v>3</v>
      </c>
      <c r="H5" s="21" t="s">
        <v>4</v>
      </c>
      <c r="I5" s="27" t="s">
        <v>5</v>
      </c>
    </row>
    <row r="6" spans="1:9" ht="18" x14ac:dyDescent="0.35">
      <c r="A6" s="26" t="s">
        <v>12807</v>
      </c>
      <c r="B6" s="25" t="s">
        <v>12808</v>
      </c>
      <c r="C6" s="6" t="s">
        <v>12808</v>
      </c>
      <c r="D6" s="13">
        <v>9383.0995543999998</v>
      </c>
      <c r="E6" s="18">
        <v>21</v>
      </c>
      <c r="F6" s="2">
        <f t="shared" ref="F6:F69" si="0">D6*E6/100+D6</f>
        <v>11353.550460824001</v>
      </c>
      <c r="G6" s="3">
        <v>0</v>
      </c>
      <c r="H6" s="4">
        <v>0.7</v>
      </c>
      <c r="I6" s="28">
        <f t="shared" ref="I6:I69" si="1">IF(G6=-1,0,F6*((100-G6)/100)*(1+H6))</f>
        <v>19301.035783400799</v>
      </c>
    </row>
    <row r="7" spans="1:9" ht="18" x14ac:dyDescent="0.35">
      <c r="A7" s="26" t="s">
        <v>2269</v>
      </c>
      <c r="B7" s="25" t="s">
        <v>6</v>
      </c>
      <c r="C7" s="6" t="s">
        <v>6</v>
      </c>
      <c r="D7" s="13">
        <v>385.87169606309999</v>
      </c>
      <c r="E7" s="18">
        <v>21</v>
      </c>
      <c r="F7" s="2">
        <f t="shared" si="0"/>
        <v>466.90475223635099</v>
      </c>
      <c r="G7" s="3">
        <v>0</v>
      </c>
      <c r="H7" s="4">
        <v>0.7</v>
      </c>
      <c r="I7" s="28">
        <f t="shared" si="1"/>
        <v>793.73807880179663</v>
      </c>
    </row>
    <row r="8" spans="1:9" ht="18" x14ac:dyDescent="0.35">
      <c r="A8" s="26" t="s">
        <v>2270</v>
      </c>
      <c r="B8" s="25" t="s">
        <v>7</v>
      </c>
      <c r="C8" s="6" t="s">
        <v>7</v>
      </c>
      <c r="D8" s="13">
        <v>317.4893701785</v>
      </c>
      <c r="E8" s="18">
        <v>21</v>
      </c>
      <c r="F8" s="2">
        <f t="shared" si="0"/>
        <v>384.162137915985</v>
      </c>
      <c r="G8" s="3">
        <v>0</v>
      </c>
      <c r="H8" s="4">
        <v>0.7</v>
      </c>
      <c r="I8" s="28">
        <f t="shared" si="1"/>
        <v>653.07563445717449</v>
      </c>
    </row>
    <row r="9" spans="1:9" ht="18" x14ac:dyDescent="0.35">
      <c r="A9" s="26" t="s">
        <v>2271</v>
      </c>
      <c r="B9" s="25" t="s">
        <v>8</v>
      </c>
      <c r="C9" s="6" t="s">
        <v>8</v>
      </c>
      <c r="D9" s="13">
        <v>178.5538509209</v>
      </c>
      <c r="E9" s="18">
        <v>21</v>
      </c>
      <c r="F9" s="2">
        <f t="shared" si="0"/>
        <v>216.05015961428902</v>
      </c>
      <c r="G9" s="3">
        <v>0</v>
      </c>
      <c r="H9" s="4">
        <v>0.7</v>
      </c>
      <c r="I9" s="28">
        <f t="shared" si="1"/>
        <v>367.28527134429129</v>
      </c>
    </row>
    <row r="10" spans="1:9" ht="18" x14ac:dyDescent="0.35">
      <c r="A10" s="26" t="s">
        <v>8811</v>
      </c>
      <c r="B10" s="25" t="s">
        <v>8812</v>
      </c>
      <c r="C10" s="6" t="s">
        <v>8812</v>
      </c>
      <c r="D10" s="13">
        <v>547.60132394890002</v>
      </c>
      <c r="E10" s="18">
        <v>21</v>
      </c>
      <c r="F10" s="2">
        <f t="shared" si="0"/>
        <v>662.597601978169</v>
      </c>
      <c r="G10" s="3">
        <v>0</v>
      </c>
      <c r="H10" s="4">
        <v>0.7</v>
      </c>
      <c r="I10" s="28">
        <f t="shared" si="1"/>
        <v>1126.4159233628873</v>
      </c>
    </row>
    <row r="11" spans="1:9" ht="18" x14ac:dyDescent="0.35">
      <c r="A11" s="26" t="s">
        <v>2272</v>
      </c>
      <c r="B11" s="25" t="s">
        <v>9981</v>
      </c>
      <c r="C11" s="6" t="s">
        <v>9981</v>
      </c>
      <c r="D11" s="13">
        <v>100.9453382106</v>
      </c>
      <c r="E11" s="18">
        <v>21</v>
      </c>
      <c r="F11" s="2">
        <f t="shared" si="0"/>
        <v>122.143859234826</v>
      </c>
      <c r="G11" s="3">
        <v>0</v>
      </c>
      <c r="H11" s="4">
        <v>0.7</v>
      </c>
      <c r="I11" s="28">
        <f t="shared" si="1"/>
        <v>207.64456069920419</v>
      </c>
    </row>
    <row r="12" spans="1:9" ht="18" x14ac:dyDescent="0.35">
      <c r="A12" s="26" t="s">
        <v>2273</v>
      </c>
      <c r="B12" s="25" t="s">
        <v>9982</v>
      </c>
      <c r="C12" s="6" t="s">
        <v>9982</v>
      </c>
      <c r="D12" s="13">
        <v>88.462850152300007</v>
      </c>
      <c r="E12" s="18">
        <v>21</v>
      </c>
      <c r="F12" s="2">
        <f t="shared" si="0"/>
        <v>107.04004868428301</v>
      </c>
      <c r="G12" s="3">
        <v>0</v>
      </c>
      <c r="H12" s="4">
        <v>0.7</v>
      </c>
      <c r="I12" s="28">
        <f t="shared" si="1"/>
        <v>181.9680827632811</v>
      </c>
    </row>
    <row r="13" spans="1:9" ht="18" x14ac:dyDescent="0.35">
      <c r="A13" s="26" t="s">
        <v>2274</v>
      </c>
      <c r="B13" s="25" t="s">
        <v>9983</v>
      </c>
      <c r="C13" s="6" t="s">
        <v>9983</v>
      </c>
      <c r="D13" s="13">
        <v>135.67921802500001</v>
      </c>
      <c r="E13" s="18">
        <v>21</v>
      </c>
      <c r="F13" s="2">
        <f t="shared" si="0"/>
        <v>164.17185381025001</v>
      </c>
      <c r="G13" s="3">
        <v>0</v>
      </c>
      <c r="H13" s="4">
        <v>0.7</v>
      </c>
      <c r="I13" s="28">
        <f t="shared" si="1"/>
        <v>279.09215147742503</v>
      </c>
    </row>
    <row r="14" spans="1:9" ht="18" x14ac:dyDescent="0.35">
      <c r="A14" s="26" t="s">
        <v>2275</v>
      </c>
      <c r="B14" s="25" t="s">
        <v>1078</v>
      </c>
      <c r="C14" s="6" t="s">
        <v>1078</v>
      </c>
      <c r="D14" s="13">
        <v>70.982730000000004</v>
      </c>
      <c r="E14" s="18">
        <v>21</v>
      </c>
      <c r="F14" s="2">
        <f t="shared" si="0"/>
        <v>85.889103300000002</v>
      </c>
      <c r="G14" s="3">
        <v>0</v>
      </c>
      <c r="H14" s="4">
        <v>0.7</v>
      </c>
      <c r="I14" s="28">
        <f t="shared" si="1"/>
        <v>146.01147560999999</v>
      </c>
    </row>
    <row r="15" spans="1:9" ht="18" x14ac:dyDescent="0.35">
      <c r="A15" s="26" t="s">
        <v>2276</v>
      </c>
      <c r="B15" s="25" t="s">
        <v>1079</v>
      </c>
      <c r="C15" s="6" t="s">
        <v>1079</v>
      </c>
      <c r="D15" s="13">
        <v>64.239370649999998</v>
      </c>
      <c r="E15" s="18">
        <v>21</v>
      </c>
      <c r="F15" s="2">
        <f t="shared" si="0"/>
        <v>77.729638486499994</v>
      </c>
      <c r="G15" s="3">
        <v>0</v>
      </c>
      <c r="H15" s="4">
        <v>0.7</v>
      </c>
      <c r="I15" s="28">
        <f t="shared" si="1"/>
        <v>132.14038542704998</v>
      </c>
    </row>
    <row r="16" spans="1:9" ht="18" x14ac:dyDescent="0.35">
      <c r="A16" s="26" t="s">
        <v>2277</v>
      </c>
      <c r="B16" s="25" t="s">
        <v>1080</v>
      </c>
      <c r="C16" s="6" t="s">
        <v>1080</v>
      </c>
      <c r="D16" s="13">
        <v>70.982730000000004</v>
      </c>
      <c r="E16" s="18">
        <v>21</v>
      </c>
      <c r="F16" s="2">
        <f t="shared" si="0"/>
        <v>85.889103300000002</v>
      </c>
      <c r="G16" s="3">
        <v>0</v>
      </c>
      <c r="H16" s="4">
        <v>0.7</v>
      </c>
      <c r="I16" s="28">
        <f t="shared" si="1"/>
        <v>146.01147560999999</v>
      </c>
    </row>
    <row r="17" spans="1:9" ht="18" x14ac:dyDescent="0.35">
      <c r="A17" s="26" t="s">
        <v>2278</v>
      </c>
      <c r="B17" s="25" t="s">
        <v>1081</v>
      </c>
      <c r="C17" s="6" t="s">
        <v>1081</v>
      </c>
      <c r="D17" s="13">
        <v>155.7597422927</v>
      </c>
      <c r="E17" s="18">
        <v>21</v>
      </c>
      <c r="F17" s="2">
        <f t="shared" si="0"/>
        <v>188.46928817416699</v>
      </c>
      <c r="G17" s="3">
        <v>0</v>
      </c>
      <c r="H17" s="4">
        <v>0.7</v>
      </c>
      <c r="I17" s="28">
        <f t="shared" si="1"/>
        <v>320.39778989608385</v>
      </c>
    </row>
    <row r="18" spans="1:9" ht="18" x14ac:dyDescent="0.35">
      <c r="A18" s="26" t="s">
        <v>2279</v>
      </c>
      <c r="B18" s="25" t="s">
        <v>9</v>
      </c>
      <c r="C18" s="6" t="s">
        <v>9</v>
      </c>
      <c r="D18" s="13">
        <v>336.484460702001</v>
      </c>
      <c r="E18" s="18">
        <v>21</v>
      </c>
      <c r="F18" s="2">
        <f t="shared" si="0"/>
        <v>407.14619744942121</v>
      </c>
      <c r="G18" s="3">
        <v>0</v>
      </c>
      <c r="H18" s="4">
        <v>0.7</v>
      </c>
      <c r="I18" s="28">
        <f t="shared" si="1"/>
        <v>692.14853566401598</v>
      </c>
    </row>
    <row r="19" spans="1:9" ht="18" x14ac:dyDescent="0.35">
      <c r="A19" s="26" t="s">
        <v>2280</v>
      </c>
      <c r="B19" s="25" t="s">
        <v>10</v>
      </c>
      <c r="C19" s="6" t="s">
        <v>10</v>
      </c>
      <c r="D19" s="13">
        <v>278.4137553873</v>
      </c>
      <c r="E19" s="18">
        <v>21</v>
      </c>
      <c r="F19" s="2">
        <f t="shared" si="0"/>
        <v>336.88064401863301</v>
      </c>
      <c r="G19" s="3">
        <v>0</v>
      </c>
      <c r="H19" s="4">
        <v>0.7</v>
      </c>
      <c r="I19" s="28">
        <f t="shared" si="1"/>
        <v>572.69709483167605</v>
      </c>
    </row>
    <row r="20" spans="1:9" ht="15.75" customHeight="1" x14ac:dyDescent="0.35">
      <c r="A20" s="26" t="s">
        <v>2281</v>
      </c>
      <c r="B20" s="25" t="s">
        <v>11</v>
      </c>
      <c r="C20" s="6" t="s">
        <v>11</v>
      </c>
      <c r="D20" s="13">
        <v>159.55876039739999</v>
      </c>
      <c r="E20" s="18">
        <v>21</v>
      </c>
      <c r="F20" s="2">
        <f t="shared" si="0"/>
        <v>193.066100080854</v>
      </c>
      <c r="G20" s="3">
        <v>0</v>
      </c>
      <c r="H20" s="4">
        <v>0.7</v>
      </c>
      <c r="I20" s="28">
        <f t="shared" si="1"/>
        <v>328.21237013745179</v>
      </c>
    </row>
    <row r="21" spans="1:9" ht="15.75" customHeight="1" x14ac:dyDescent="0.35">
      <c r="A21" s="26" t="s">
        <v>2282</v>
      </c>
      <c r="B21" s="25" t="s">
        <v>12</v>
      </c>
      <c r="C21" s="6" t="s">
        <v>12</v>
      </c>
      <c r="D21" s="13">
        <v>478.67628119220001</v>
      </c>
      <c r="E21" s="18">
        <v>21</v>
      </c>
      <c r="F21" s="2">
        <f t="shared" si="0"/>
        <v>579.19830024256203</v>
      </c>
      <c r="G21" s="3">
        <v>0</v>
      </c>
      <c r="H21" s="4">
        <v>0.7</v>
      </c>
      <c r="I21" s="28">
        <f t="shared" si="1"/>
        <v>984.63711041235547</v>
      </c>
    </row>
    <row r="22" spans="1:9" ht="15.75" customHeight="1" x14ac:dyDescent="0.35">
      <c r="A22" s="26" t="s">
        <v>2283</v>
      </c>
      <c r="B22" s="25" t="s">
        <v>13</v>
      </c>
      <c r="C22" s="6" t="s">
        <v>13</v>
      </c>
      <c r="D22" s="13">
        <v>93.890018873299994</v>
      </c>
      <c r="E22" s="18">
        <v>21</v>
      </c>
      <c r="F22" s="2">
        <f t="shared" si="0"/>
        <v>113.60692283669299</v>
      </c>
      <c r="G22" s="3">
        <v>0</v>
      </c>
      <c r="H22" s="4">
        <v>0.7</v>
      </c>
      <c r="I22" s="28">
        <f t="shared" si="1"/>
        <v>193.13176882237806</v>
      </c>
    </row>
    <row r="23" spans="1:9" ht="15.75" customHeight="1" x14ac:dyDescent="0.35">
      <c r="A23" s="26" t="s">
        <v>2284</v>
      </c>
      <c r="B23" s="25" t="s">
        <v>14</v>
      </c>
      <c r="C23" s="6" t="s">
        <v>14</v>
      </c>
      <c r="D23" s="13">
        <v>78.151229582400006</v>
      </c>
      <c r="E23" s="18">
        <v>21</v>
      </c>
      <c r="F23" s="2">
        <f t="shared" si="0"/>
        <v>94.562987794704014</v>
      </c>
      <c r="G23" s="3">
        <v>0</v>
      </c>
      <c r="H23" s="4">
        <v>0.7</v>
      </c>
      <c r="I23" s="28">
        <f t="shared" si="1"/>
        <v>160.75707925099681</v>
      </c>
    </row>
    <row r="24" spans="1:9" ht="15.75" customHeight="1" x14ac:dyDescent="0.35">
      <c r="A24" s="26" t="s">
        <v>2285</v>
      </c>
      <c r="B24" s="25" t="s">
        <v>15</v>
      </c>
      <c r="C24" s="6" t="s">
        <v>15</v>
      </c>
      <c r="D24" s="13">
        <v>124.824880583</v>
      </c>
      <c r="E24" s="18">
        <v>21</v>
      </c>
      <c r="F24" s="2">
        <f t="shared" si="0"/>
        <v>151.03810550543</v>
      </c>
      <c r="G24" s="3">
        <v>0</v>
      </c>
      <c r="H24" s="4">
        <v>0.7</v>
      </c>
      <c r="I24" s="28">
        <f t="shared" si="1"/>
        <v>256.764779359231</v>
      </c>
    </row>
    <row r="25" spans="1:9" ht="15.75" customHeight="1" x14ac:dyDescent="0.35">
      <c r="A25" s="26" t="s">
        <v>12809</v>
      </c>
      <c r="B25" s="25" t="s">
        <v>12810</v>
      </c>
      <c r="C25" s="6" t="s">
        <v>13531</v>
      </c>
      <c r="D25" s="13">
        <v>10317.196671600001</v>
      </c>
      <c r="E25" s="18">
        <v>21</v>
      </c>
      <c r="F25" s="2">
        <f t="shared" si="0"/>
        <v>12483.807972636001</v>
      </c>
      <c r="G25" s="3">
        <v>0</v>
      </c>
      <c r="H25" s="4">
        <v>0.7</v>
      </c>
      <c r="I25" s="28">
        <f t="shared" si="1"/>
        <v>21222.473553481203</v>
      </c>
    </row>
    <row r="26" spans="1:9" ht="15.75" customHeight="1" x14ac:dyDescent="0.35">
      <c r="A26" s="26" t="s">
        <v>1727</v>
      </c>
      <c r="B26" s="25" t="s">
        <v>8749</v>
      </c>
      <c r="C26" s="6" t="s">
        <v>8749</v>
      </c>
      <c r="D26" s="13">
        <v>10550.493244200001</v>
      </c>
      <c r="E26" s="18">
        <v>21</v>
      </c>
      <c r="F26" s="2">
        <f t="shared" si="0"/>
        <v>12766.096825482</v>
      </c>
      <c r="G26" s="3">
        <v>0</v>
      </c>
      <c r="H26" s="4">
        <v>0.7</v>
      </c>
      <c r="I26" s="28">
        <f t="shared" si="1"/>
        <v>21702.364603319398</v>
      </c>
    </row>
    <row r="27" spans="1:9" ht="15.75" customHeight="1" x14ac:dyDescent="0.35">
      <c r="A27" s="26" t="s">
        <v>12811</v>
      </c>
      <c r="B27" s="25" t="s">
        <v>12812</v>
      </c>
      <c r="C27" s="6" t="s">
        <v>12812</v>
      </c>
      <c r="D27" s="13">
        <v>2051.1379980000002</v>
      </c>
      <c r="E27" s="18">
        <v>21</v>
      </c>
      <c r="F27" s="2">
        <f t="shared" si="0"/>
        <v>2481.8769775800001</v>
      </c>
      <c r="G27" s="3">
        <v>0</v>
      </c>
      <c r="H27" s="4">
        <v>0.7</v>
      </c>
      <c r="I27" s="28">
        <f t="shared" si="1"/>
        <v>4219.1908618859998</v>
      </c>
    </row>
    <row r="28" spans="1:9" ht="15.75" customHeight="1" x14ac:dyDescent="0.35">
      <c r="A28" s="26" t="s">
        <v>2565</v>
      </c>
      <c r="B28" s="25" t="s">
        <v>12394</v>
      </c>
      <c r="C28" s="6" t="s">
        <v>12394</v>
      </c>
      <c r="D28" s="13">
        <v>256.5117961848</v>
      </c>
      <c r="E28" s="18">
        <v>21</v>
      </c>
      <c r="F28" s="2">
        <f t="shared" si="0"/>
        <v>310.37927338360799</v>
      </c>
      <c r="G28" s="3">
        <v>0</v>
      </c>
      <c r="H28" s="4">
        <v>0.7</v>
      </c>
      <c r="I28" s="28">
        <f t="shared" si="1"/>
        <v>527.6447647521336</v>
      </c>
    </row>
    <row r="29" spans="1:9" ht="15.75" customHeight="1" x14ac:dyDescent="0.35">
      <c r="A29" s="26" t="s">
        <v>2550</v>
      </c>
      <c r="B29" s="25" t="s">
        <v>12395</v>
      </c>
      <c r="C29" s="6" t="s">
        <v>12395</v>
      </c>
      <c r="D29" s="13">
        <v>3497.6518082382199</v>
      </c>
      <c r="E29" s="18">
        <v>21</v>
      </c>
      <c r="F29" s="2">
        <f t="shared" si="0"/>
        <v>4232.1586879682463</v>
      </c>
      <c r="G29" s="3">
        <v>0</v>
      </c>
      <c r="H29" s="4">
        <v>0.7</v>
      </c>
      <c r="I29" s="28">
        <f t="shared" si="1"/>
        <v>7194.6697695460189</v>
      </c>
    </row>
    <row r="30" spans="1:9" ht="15.75" customHeight="1" x14ac:dyDescent="0.35">
      <c r="A30" s="26" t="s">
        <v>2533</v>
      </c>
      <c r="B30" s="25" t="s">
        <v>12396</v>
      </c>
      <c r="C30" s="6" t="s">
        <v>12396</v>
      </c>
      <c r="D30" s="13">
        <v>4635.9560418600004</v>
      </c>
      <c r="E30" s="18">
        <v>21</v>
      </c>
      <c r="F30" s="2">
        <f t="shared" si="0"/>
        <v>5609.5068106506005</v>
      </c>
      <c r="G30" s="3">
        <v>0</v>
      </c>
      <c r="H30" s="4">
        <v>0.7</v>
      </c>
      <c r="I30" s="28">
        <f t="shared" si="1"/>
        <v>9536.1615781060209</v>
      </c>
    </row>
    <row r="31" spans="1:9" ht="15.75" customHeight="1" x14ac:dyDescent="0.35">
      <c r="A31" s="26" t="s">
        <v>12397</v>
      </c>
      <c r="B31" s="25" t="s">
        <v>12398</v>
      </c>
      <c r="C31" s="6" t="s">
        <v>12398</v>
      </c>
      <c r="D31" s="13">
        <v>1345.3681109076001</v>
      </c>
      <c r="E31" s="18">
        <v>21</v>
      </c>
      <c r="F31" s="2">
        <f t="shared" si="0"/>
        <v>1627.8954141981962</v>
      </c>
      <c r="G31" s="3">
        <v>0</v>
      </c>
      <c r="H31" s="4">
        <v>0.7</v>
      </c>
      <c r="I31" s="28">
        <f t="shared" si="1"/>
        <v>2767.4222041369335</v>
      </c>
    </row>
    <row r="32" spans="1:9" ht="15.75" customHeight="1" x14ac:dyDescent="0.35">
      <c r="A32" s="26" t="s">
        <v>2547</v>
      </c>
      <c r="B32" s="25" t="s">
        <v>12345</v>
      </c>
      <c r="C32" s="6" t="s">
        <v>12345</v>
      </c>
      <c r="D32" s="13">
        <v>2148.6257099283598</v>
      </c>
      <c r="E32" s="18">
        <v>21</v>
      </c>
      <c r="F32" s="2">
        <f t="shared" si="0"/>
        <v>2599.8371090133155</v>
      </c>
      <c r="G32" s="3">
        <v>0</v>
      </c>
      <c r="H32" s="4">
        <v>0.7</v>
      </c>
      <c r="I32" s="28">
        <f t="shared" si="1"/>
        <v>4419.7230853226365</v>
      </c>
    </row>
    <row r="33" spans="1:9" ht="15.75" customHeight="1" x14ac:dyDescent="0.35">
      <c r="A33" s="26" t="s">
        <v>2548</v>
      </c>
      <c r="B33" s="25" t="s">
        <v>12346</v>
      </c>
      <c r="C33" s="6" t="s">
        <v>12346</v>
      </c>
      <c r="D33" s="13">
        <v>3632.3300232367001</v>
      </c>
      <c r="E33" s="18">
        <v>21</v>
      </c>
      <c r="F33" s="2">
        <f t="shared" si="0"/>
        <v>4395.1193281164069</v>
      </c>
      <c r="G33" s="3">
        <v>0</v>
      </c>
      <c r="H33" s="4">
        <v>0.7</v>
      </c>
      <c r="I33" s="28">
        <f t="shared" si="1"/>
        <v>7471.7028577978917</v>
      </c>
    </row>
    <row r="34" spans="1:9" ht="15.75" customHeight="1" x14ac:dyDescent="0.35">
      <c r="A34" s="26" t="s">
        <v>2549</v>
      </c>
      <c r="B34" s="25" t="s">
        <v>12347</v>
      </c>
      <c r="C34" s="6" t="s">
        <v>12347</v>
      </c>
      <c r="D34" s="13">
        <v>3096.6745105576802</v>
      </c>
      <c r="E34" s="18">
        <v>21</v>
      </c>
      <c r="F34" s="2">
        <f t="shared" si="0"/>
        <v>3746.9761577747931</v>
      </c>
      <c r="G34" s="3">
        <v>0</v>
      </c>
      <c r="H34" s="4">
        <v>0.7</v>
      </c>
      <c r="I34" s="28">
        <f t="shared" si="1"/>
        <v>6369.8594682171479</v>
      </c>
    </row>
    <row r="35" spans="1:9" ht="15.75" customHeight="1" x14ac:dyDescent="0.35">
      <c r="A35" s="26" t="s">
        <v>2530</v>
      </c>
      <c r="B35" s="25" t="s">
        <v>12399</v>
      </c>
      <c r="C35" s="6" t="s">
        <v>12399</v>
      </c>
      <c r="D35" s="13">
        <v>4196.7276780000002</v>
      </c>
      <c r="E35" s="18">
        <v>21</v>
      </c>
      <c r="F35" s="2">
        <f t="shared" si="0"/>
        <v>5078.0404903799999</v>
      </c>
      <c r="G35" s="3">
        <v>0</v>
      </c>
      <c r="H35" s="4">
        <v>0.7</v>
      </c>
      <c r="I35" s="28">
        <f t="shared" si="1"/>
        <v>8632.6688336459993</v>
      </c>
    </row>
    <row r="36" spans="1:9" ht="15.75" customHeight="1" x14ac:dyDescent="0.35">
      <c r="A36" s="26" t="s">
        <v>12400</v>
      </c>
      <c r="B36" s="25" t="s">
        <v>12401</v>
      </c>
      <c r="C36" s="6" t="s">
        <v>12401</v>
      </c>
      <c r="D36" s="13">
        <v>1930.3879114260001</v>
      </c>
      <c r="E36" s="18">
        <v>21</v>
      </c>
      <c r="F36" s="2">
        <f t="shared" si="0"/>
        <v>2335.7693728254599</v>
      </c>
      <c r="G36" s="3">
        <v>0</v>
      </c>
      <c r="H36" s="4">
        <v>0.7</v>
      </c>
      <c r="I36" s="28">
        <f t="shared" si="1"/>
        <v>3970.8079338032817</v>
      </c>
    </row>
    <row r="37" spans="1:9" ht="15.75" customHeight="1" x14ac:dyDescent="0.35">
      <c r="A37" s="26" t="s">
        <v>2531</v>
      </c>
      <c r="B37" s="25" t="s">
        <v>12402</v>
      </c>
      <c r="C37" s="6" t="s">
        <v>12402</v>
      </c>
      <c r="D37" s="13">
        <v>3846.0769561500001</v>
      </c>
      <c r="E37" s="18">
        <v>21</v>
      </c>
      <c r="F37" s="2">
        <f t="shared" si="0"/>
        <v>4653.7531169414997</v>
      </c>
      <c r="G37" s="3">
        <v>0</v>
      </c>
      <c r="H37" s="4">
        <v>0.7</v>
      </c>
      <c r="I37" s="28">
        <f t="shared" si="1"/>
        <v>7911.3802988005491</v>
      </c>
    </row>
    <row r="38" spans="1:9" ht="15.75" customHeight="1" x14ac:dyDescent="0.35">
      <c r="A38" s="26" t="s">
        <v>12403</v>
      </c>
      <c r="B38" s="25" t="s">
        <v>12404</v>
      </c>
      <c r="C38" s="6" t="s">
        <v>12404</v>
      </c>
      <c r="D38" s="13">
        <v>1345.3681109076001</v>
      </c>
      <c r="E38" s="18">
        <v>21</v>
      </c>
      <c r="F38" s="2">
        <f t="shared" si="0"/>
        <v>1627.8954141981962</v>
      </c>
      <c r="G38" s="3">
        <v>0</v>
      </c>
      <c r="H38" s="4">
        <v>0.7</v>
      </c>
      <c r="I38" s="28">
        <f t="shared" si="1"/>
        <v>2767.4222041369335</v>
      </c>
    </row>
    <row r="39" spans="1:9" ht="15.75" customHeight="1" x14ac:dyDescent="0.35">
      <c r="A39" s="26" t="s">
        <v>12405</v>
      </c>
      <c r="B39" s="25" t="s">
        <v>12406</v>
      </c>
      <c r="C39" s="6" t="s">
        <v>12406</v>
      </c>
      <c r="D39" s="13">
        <v>2108.4731401499998</v>
      </c>
      <c r="E39" s="18">
        <v>21</v>
      </c>
      <c r="F39" s="2">
        <f t="shared" si="0"/>
        <v>2551.2524995814997</v>
      </c>
      <c r="G39" s="3">
        <v>0</v>
      </c>
      <c r="H39" s="4">
        <v>0.7</v>
      </c>
      <c r="I39" s="28">
        <f t="shared" si="1"/>
        <v>4337.1292492885495</v>
      </c>
    </row>
    <row r="40" spans="1:9" ht="15.75" customHeight="1" x14ac:dyDescent="0.35">
      <c r="A40" s="26" t="s">
        <v>2551</v>
      </c>
      <c r="B40" s="25" t="s">
        <v>12348</v>
      </c>
      <c r="C40" s="6" t="s">
        <v>12348</v>
      </c>
      <c r="D40" s="13">
        <v>3770.4012740222302</v>
      </c>
      <c r="E40" s="18">
        <v>21</v>
      </c>
      <c r="F40" s="2">
        <f t="shared" si="0"/>
        <v>4562.1855415668988</v>
      </c>
      <c r="G40" s="3">
        <v>0</v>
      </c>
      <c r="H40" s="4">
        <v>0.7</v>
      </c>
      <c r="I40" s="28">
        <f t="shared" si="1"/>
        <v>7755.7154206637279</v>
      </c>
    </row>
    <row r="41" spans="1:9" ht="15.75" customHeight="1" x14ac:dyDescent="0.35">
      <c r="A41" s="26" t="s">
        <v>2532</v>
      </c>
      <c r="B41" s="25" t="s">
        <v>9152</v>
      </c>
      <c r="C41" s="6" t="s">
        <v>9152</v>
      </c>
      <c r="D41" s="13">
        <v>3227.7424307699998</v>
      </c>
      <c r="E41" s="18">
        <v>21</v>
      </c>
      <c r="F41" s="2">
        <f t="shared" si="0"/>
        <v>3905.5683412316998</v>
      </c>
      <c r="G41" s="3">
        <v>0</v>
      </c>
      <c r="H41" s="4">
        <v>0.7</v>
      </c>
      <c r="I41" s="28">
        <f t="shared" si="1"/>
        <v>6639.4661800938893</v>
      </c>
    </row>
    <row r="42" spans="1:9" ht="15.75" customHeight="1" x14ac:dyDescent="0.35">
      <c r="A42" s="26" t="s">
        <v>2535</v>
      </c>
      <c r="B42" s="25" t="s">
        <v>9153</v>
      </c>
      <c r="C42" s="6" t="s">
        <v>9153</v>
      </c>
      <c r="D42" s="13">
        <v>2160.50318913</v>
      </c>
      <c r="E42" s="18">
        <v>21</v>
      </c>
      <c r="F42" s="2">
        <f t="shared" si="0"/>
        <v>2614.2088588472998</v>
      </c>
      <c r="G42" s="3">
        <v>0</v>
      </c>
      <c r="H42" s="4">
        <v>0.7</v>
      </c>
      <c r="I42" s="28">
        <f t="shared" si="1"/>
        <v>4444.1550600404098</v>
      </c>
    </row>
    <row r="43" spans="1:9" ht="15.75" customHeight="1" x14ac:dyDescent="0.35">
      <c r="A43" s="26" t="s">
        <v>12407</v>
      </c>
      <c r="B43" s="25" t="s">
        <v>12408</v>
      </c>
      <c r="C43" s="6" t="s">
        <v>12408</v>
      </c>
      <c r="D43" s="13">
        <v>724.755378471276</v>
      </c>
      <c r="E43" s="18">
        <v>21</v>
      </c>
      <c r="F43" s="2">
        <f t="shared" si="0"/>
        <v>876.95400795024398</v>
      </c>
      <c r="G43" s="3">
        <v>0</v>
      </c>
      <c r="H43" s="4">
        <v>0.7</v>
      </c>
      <c r="I43" s="28">
        <f t="shared" si="1"/>
        <v>1490.8218135154148</v>
      </c>
    </row>
    <row r="44" spans="1:9" ht="15.75" customHeight="1" x14ac:dyDescent="0.35">
      <c r="A44" s="26" t="s">
        <v>2552</v>
      </c>
      <c r="B44" s="25" t="s">
        <v>12349</v>
      </c>
      <c r="C44" s="6" t="s">
        <v>12349</v>
      </c>
      <c r="D44" s="13">
        <v>2511.0272377288802</v>
      </c>
      <c r="E44" s="18">
        <v>21</v>
      </c>
      <c r="F44" s="2">
        <f t="shared" si="0"/>
        <v>3038.3429576519452</v>
      </c>
      <c r="G44" s="3">
        <v>0</v>
      </c>
      <c r="H44" s="4">
        <v>0.7</v>
      </c>
      <c r="I44" s="28">
        <f t="shared" si="1"/>
        <v>5165.1830280083068</v>
      </c>
    </row>
    <row r="45" spans="1:9" ht="15.75" customHeight="1" x14ac:dyDescent="0.35">
      <c r="A45" s="26" t="s">
        <v>2536</v>
      </c>
      <c r="B45" s="25" t="s">
        <v>12409</v>
      </c>
      <c r="C45" s="6" t="s">
        <v>12409</v>
      </c>
      <c r="D45" s="13">
        <v>1696.3855301250001</v>
      </c>
      <c r="E45" s="18">
        <v>21</v>
      </c>
      <c r="F45" s="2">
        <f t="shared" si="0"/>
        <v>2052.6264914512503</v>
      </c>
      <c r="G45" s="3">
        <v>0</v>
      </c>
      <c r="H45" s="4">
        <v>0.7</v>
      </c>
      <c r="I45" s="28">
        <f t="shared" si="1"/>
        <v>3489.4650354671253</v>
      </c>
    </row>
    <row r="46" spans="1:9" ht="15.75" customHeight="1" x14ac:dyDescent="0.35">
      <c r="A46" s="26" t="s">
        <v>2572</v>
      </c>
      <c r="B46" s="25" t="s">
        <v>12410</v>
      </c>
      <c r="C46" s="6" t="s">
        <v>12410</v>
      </c>
      <c r="D46" s="13">
        <v>95.044283053200004</v>
      </c>
      <c r="E46" s="18">
        <v>21</v>
      </c>
      <c r="F46" s="2">
        <f t="shared" si="0"/>
        <v>115.00358249437201</v>
      </c>
      <c r="G46" s="3">
        <v>0</v>
      </c>
      <c r="H46" s="4">
        <v>0.7</v>
      </c>
      <c r="I46" s="28">
        <f t="shared" si="1"/>
        <v>195.50609024043243</v>
      </c>
    </row>
    <row r="47" spans="1:9" ht="15.75" customHeight="1" x14ac:dyDescent="0.35">
      <c r="A47" s="26" t="s">
        <v>8761</v>
      </c>
      <c r="B47" s="25" t="s">
        <v>12350</v>
      </c>
      <c r="C47" s="6" t="s">
        <v>12350</v>
      </c>
      <c r="D47" s="13">
        <v>198.04974297966001</v>
      </c>
      <c r="E47" s="18">
        <v>21</v>
      </c>
      <c r="F47" s="2">
        <f t="shared" si="0"/>
        <v>239.64018900538861</v>
      </c>
      <c r="G47" s="3">
        <v>0</v>
      </c>
      <c r="H47" s="4">
        <v>0.7</v>
      </c>
      <c r="I47" s="28">
        <f t="shared" si="1"/>
        <v>407.38832130916063</v>
      </c>
    </row>
    <row r="48" spans="1:9" ht="15.75" customHeight="1" x14ac:dyDescent="0.35">
      <c r="A48" s="26" t="s">
        <v>2580</v>
      </c>
      <c r="B48" s="25" t="s">
        <v>12411</v>
      </c>
      <c r="C48" s="6" t="s">
        <v>12411</v>
      </c>
      <c r="D48" s="13">
        <v>95.044283053200004</v>
      </c>
      <c r="E48" s="18">
        <v>21</v>
      </c>
      <c r="F48" s="2">
        <f t="shared" si="0"/>
        <v>115.00358249437201</v>
      </c>
      <c r="G48" s="3">
        <v>0</v>
      </c>
      <c r="H48" s="4">
        <v>0.7</v>
      </c>
      <c r="I48" s="28">
        <f t="shared" si="1"/>
        <v>195.50609024043243</v>
      </c>
    </row>
    <row r="49" spans="1:9" ht="15.75" customHeight="1" x14ac:dyDescent="0.35">
      <c r="A49" s="26" t="s">
        <v>2579</v>
      </c>
      <c r="B49" s="25" t="s">
        <v>12351</v>
      </c>
      <c r="C49" s="6" t="s">
        <v>12351</v>
      </c>
      <c r="D49" s="13">
        <v>198.04974297966001</v>
      </c>
      <c r="E49" s="18">
        <v>21</v>
      </c>
      <c r="F49" s="2">
        <f t="shared" si="0"/>
        <v>239.64018900538861</v>
      </c>
      <c r="G49" s="3">
        <v>0</v>
      </c>
      <c r="H49" s="4">
        <v>0.7</v>
      </c>
      <c r="I49" s="28">
        <f t="shared" si="1"/>
        <v>407.38832130916063</v>
      </c>
    </row>
    <row r="50" spans="1:9" ht="15.75" customHeight="1" x14ac:dyDescent="0.35">
      <c r="A50" s="26" t="s">
        <v>2582</v>
      </c>
      <c r="B50" s="25" t="s">
        <v>12412</v>
      </c>
      <c r="C50" s="6" t="s">
        <v>12412</v>
      </c>
      <c r="D50" s="13">
        <v>95.044283053200004</v>
      </c>
      <c r="E50" s="18">
        <v>21</v>
      </c>
      <c r="F50" s="2">
        <f t="shared" si="0"/>
        <v>115.00358249437201</v>
      </c>
      <c r="G50" s="3">
        <v>0</v>
      </c>
      <c r="H50" s="4">
        <v>0.7</v>
      </c>
      <c r="I50" s="28">
        <f t="shared" si="1"/>
        <v>195.50609024043243</v>
      </c>
    </row>
    <row r="51" spans="1:9" ht="15.75" customHeight="1" x14ac:dyDescent="0.35">
      <c r="A51" s="26" t="s">
        <v>2581</v>
      </c>
      <c r="B51" s="25" t="s">
        <v>12352</v>
      </c>
      <c r="C51" s="6" t="s">
        <v>12352</v>
      </c>
      <c r="D51" s="13">
        <v>198.04974297966001</v>
      </c>
      <c r="E51" s="18">
        <v>21</v>
      </c>
      <c r="F51" s="2">
        <f t="shared" si="0"/>
        <v>239.64018900538861</v>
      </c>
      <c r="G51" s="3">
        <v>0</v>
      </c>
      <c r="H51" s="4">
        <v>0.7</v>
      </c>
      <c r="I51" s="28">
        <f t="shared" si="1"/>
        <v>407.38832130916063</v>
      </c>
    </row>
    <row r="52" spans="1:9" ht="15.75" customHeight="1" x14ac:dyDescent="0.35">
      <c r="A52" s="26" t="s">
        <v>2584</v>
      </c>
      <c r="B52" s="25" t="s">
        <v>12413</v>
      </c>
      <c r="C52" s="6" t="s">
        <v>12413</v>
      </c>
      <c r="D52" s="13">
        <v>95.425341382799999</v>
      </c>
      <c r="E52" s="18">
        <v>21</v>
      </c>
      <c r="F52" s="2">
        <f t="shared" si="0"/>
        <v>115.46466307318801</v>
      </c>
      <c r="G52" s="3">
        <v>0</v>
      </c>
      <c r="H52" s="4">
        <v>0.7</v>
      </c>
      <c r="I52" s="28">
        <f t="shared" si="1"/>
        <v>196.28992722441961</v>
      </c>
    </row>
    <row r="53" spans="1:9" ht="15.75" customHeight="1" x14ac:dyDescent="0.35">
      <c r="A53" s="26" t="s">
        <v>12414</v>
      </c>
      <c r="B53" s="25" t="s">
        <v>12415</v>
      </c>
      <c r="C53" s="6" t="s">
        <v>12415</v>
      </c>
      <c r="D53" s="13">
        <v>95.044283053200004</v>
      </c>
      <c r="E53" s="18">
        <v>21</v>
      </c>
      <c r="F53" s="2">
        <f t="shared" si="0"/>
        <v>115.00358249437201</v>
      </c>
      <c r="G53" s="3">
        <v>0</v>
      </c>
      <c r="H53" s="4">
        <v>0.7</v>
      </c>
      <c r="I53" s="28">
        <f t="shared" si="1"/>
        <v>195.50609024043243</v>
      </c>
    </row>
    <row r="54" spans="1:9" ht="15.75" customHeight="1" x14ac:dyDescent="0.35">
      <c r="A54" s="26" t="s">
        <v>2583</v>
      </c>
      <c r="B54" s="25" t="s">
        <v>12353</v>
      </c>
      <c r="C54" s="6" t="s">
        <v>12353</v>
      </c>
      <c r="D54" s="13">
        <v>198.04974297966001</v>
      </c>
      <c r="E54" s="18">
        <v>21</v>
      </c>
      <c r="F54" s="2">
        <f t="shared" si="0"/>
        <v>239.64018900538861</v>
      </c>
      <c r="G54" s="3">
        <v>0</v>
      </c>
      <c r="H54" s="4">
        <v>0.7</v>
      </c>
      <c r="I54" s="28">
        <f t="shared" si="1"/>
        <v>407.38832130916063</v>
      </c>
    </row>
    <row r="55" spans="1:9" ht="15.75" customHeight="1" x14ac:dyDescent="0.35">
      <c r="A55" s="26" t="s">
        <v>12416</v>
      </c>
      <c r="B55" s="25" t="s">
        <v>12417</v>
      </c>
      <c r="C55" s="6" t="s">
        <v>12417</v>
      </c>
      <c r="D55" s="13">
        <v>95.044283053200004</v>
      </c>
      <c r="E55" s="18">
        <v>21</v>
      </c>
      <c r="F55" s="2">
        <f t="shared" si="0"/>
        <v>115.00358249437201</v>
      </c>
      <c r="G55" s="3">
        <v>0</v>
      </c>
      <c r="H55" s="4">
        <v>0.7</v>
      </c>
      <c r="I55" s="28">
        <f t="shared" si="1"/>
        <v>195.50609024043243</v>
      </c>
    </row>
    <row r="56" spans="1:9" ht="15.75" customHeight="1" x14ac:dyDescent="0.35">
      <c r="A56" s="26" t="s">
        <v>2543</v>
      </c>
      <c r="B56" s="25" t="s">
        <v>12354</v>
      </c>
      <c r="C56" s="6" t="s">
        <v>12354</v>
      </c>
      <c r="D56" s="13">
        <v>198.04974297966001</v>
      </c>
      <c r="E56" s="18">
        <v>21</v>
      </c>
      <c r="F56" s="2">
        <f t="shared" si="0"/>
        <v>239.64018900538861</v>
      </c>
      <c r="G56" s="3">
        <v>0</v>
      </c>
      <c r="H56" s="4">
        <v>0.7</v>
      </c>
      <c r="I56" s="28">
        <f t="shared" si="1"/>
        <v>407.38832130916063</v>
      </c>
    </row>
    <row r="57" spans="1:9" ht="15.75" customHeight="1" x14ac:dyDescent="0.35">
      <c r="A57" s="26" t="s">
        <v>8764</v>
      </c>
      <c r="B57" s="25" t="s">
        <v>10176</v>
      </c>
      <c r="C57" s="6" t="s">
        <v>10176</v>
      </c>
      <c r="D57" s="13">
        <v>357.15316000000001</v>
      </c>
      <c r="E57" s="18">
        <v>21</v>
      </c>
      <c r="F57" s="2">
        <f t="shared" si="0"/>
        <v>432.15532360000003</v>
      </c>
      <c r="G57" s="3">
        <v>0</v>
      </c>
      <c r="H57" s="4">
        <v>0.7</v>
      </c>
      <c r="I57" s="28">
        <f t="shared" si="1"/>
        <v>734.66405012000007</v>
      </c>
    </row>
    <row r="58" spans="1:9" ht="15.75" customHeight="1" x14ac:dyDescent="0.35">
      <c r="A58" s="26" t="s">
        <v>12418</v>
      </c>
      <c r="B58" s="25" t="s">
        <v>12419</v>
      </c>
      <c r="C58" s="6" t="s">
        <v>12419</v>
      </c>
      <c r="D58" s="13">
        <v>256.5117961848</v>
      </c>
      <c r="E58" s="18">
        <v>21</v>
      </c>
      <c r="F58" s="2">
        <f t="shared" si="0"/>
        <v>310.37927338360799</v>
      </c>
      <c r="G58" s="3">
        <v>0</v>
      </c>
      <c r="H58" s="4">
        <v>0.7</v>
      </c>
      <c r="I58" s="28">
        <f t="shared" si="1"/>
        <v>527.6447647521336</v>
      </c>
    </row>
    <row r="59" spans="1:9" ht="15.75" customHeight="1" x14ac:dyDescent="0.35">
      <c r="A59" s="26" t="s">
        <v>8768</v>
      </c>
      <c r="B59" s="25" t="s">
        <v>12355</v>
      </c>
      <c r="C59" s="6" t="s">
        <v>12355</v>
      </c>
      <c r="D59" s="13">
        <v>842.69426477651996</v>
      </c>
      <c r="E59" s="18">
        <v>21</v>
      </c>
      <c r="F59" s="2">
        <f t="shared" si="0"/>
        <v>1019.6600603795891</v>
      </c>
      <c r="G59" s="3">
        <v>0</v>
      </c>
      <c r="H59" s="4">
        <v>0.7</v>
      </c>
      <c r="I59" s="28">
        <f t="shared" si="1"/>
        <v>1733.4221026453015</v>
      </c>
    </row>
    <row r="60" spans="1:9" ht="15.75" customHeight="1" x14ac:dyDescent="0.35">
      <c r="A60" s="26" t="s">
        <v>2563</v>
      </c>
      <c r="B60" s="25" t="s">
        <v>12420</v>
      </c>
      <c r="C60" s="6" t="s">
        <v>12420</v>
      </c>
      <c r="D60" s="13">
        <v>256.5117961848</v>
      </c>
      <c r="E60" s="18">
        <v>21</v>
      </c>
      <c r="F60" s="2">
        <f t="shared" si="0"/>
        <v>310.37927338360799</v>
      </c>
      <c r="G60" s="3">
        <v>0</v>
      </c>
      <c r="H60" s="4">
        <v>0.7</v>
      </c>
      <c r="I60" s="28">
        <f t="shared" si="1"/>
        <v>527.6447647521336</v>
      </c>
    </row>
    <row r="61" spans="1:9" ht="15.75" customHeight="1" x14ac:dyDescent="0.35">
      <c r="A61" s="26" t="s">
        <v>8766</v>
      </c>
      <c r="B61" s="25" t="s">
        <v>12356</v>
      </c>
      <c r="C61" s="6" t="s">
        <v>12356</v>
      </c>
      <c r="D61" s="13">
        <v>842.69426477651996</v>
      </c>
      <c r="E61" s="18">
        <v>21</v>
      </c>
      <c r="F61" s="2">
        <f t="shared" si="0"/>
        <v>1019.6600603795891</v>
      </c>
      <c r="G61" s="3">
        <v>0</v>
      </c>
      <c r="H61" s="4">
        <v>0.7</v>
      </c>
      <c r="I61" s="28">
        <f t="shared" si="1"/>
        <v>1733.4221026453015</v>
      </c>
    </row>
    <row r="62" spans="1:9" ht="15.75" customHeight="1" x14ac:dyDescent="0.35">
      <c r="A62" s="26" t="s">
        <v>8767</v>
      </c>
      <c r="B62" s="25" t="s">
        <v>12357</v>
      </c>
      <c r="C62" s="6" t="s">
        <v>12357</v>
      </c>
      <c r="D62" s="13">
        <v>842.69426477651996</v>
      </c>
      <c r="E62" s="18">
        <v>21</v>
      </c>
      <c r="F62" s="2">
        <f t="shared" si="0"/>
        <v>1019.6600603795891</v>
      </c>
      <c r="G62" s="3">
        <v>0</v>
      </c>
      <c r="H62" s="4">
        <v>0.7</v>
      </c>
      <c r="I62" s="28">
        <f t="shared" si="1"/>
        <v>1733.4221026453015</v>
      </c>
    </row>
    <row r="63" spans="1:9" ht="15.75" customHeight="1" x14ac:dyDescent="0.35">
      <c r="A63" s="26" t="s">
        <v>2577</v>
      </c>
      <c r="B63" s="25" t="s">
        <v>12421</v>
      </c>
      <c r="C63" s="6" t="s">
        <v>12421</v>
      </c>
      <c r="D63" s="13">
        <v>256.5117961848</v>
      </c>
      <c r="E63" s="18">
        <v>21</v>
      </c>
      <c r="F63" s="2">
        <f t="shared" si="0"/>
        <v>310.37927338360799</v>
      </c>
      <c r="G63" s="3">
        <v>0</v>
      </c>
      <c r="H63" s="4">
        <v>0.7</v>
      </c>
      <c r="I63" s="28">
        <f t="shared" si="1"/>
        <v>527.6447647521336</v>
      </c>
    </row>
    <row r="64" spans="1:9" ht="15.75" customHeight="1" x14ac:dyDescent="0.35">
      <c r="A64" s="26" t="s">
        <v>8765</v>
      </c>
      <c r="B64" s="25" t="s">
        <v>12358</v>
      </c>
      <c r="C64" s="6" t="s">
        <v>12358</v>
      </c>
      <c r="D64" s="13">
        <v>842.69426477651996</v>
      </c>
      <c r="E64" s="18">
        <v>21</v>
      </c>
      <c r="F64" s="2">
        <f t="shared" si="0"/>
        <v>1019.6600603795891</v>
      </c>
      <c r="G64" s="3">
        <v>0</v>
      </c>
      <c r="H64" s="4">
        <v>0.7</v>
      </c>
      <c r="I64" s="28">
        <f t="shared" si="1"/>
        <v>1733.4221026453015</v>
      </c>
    </row>
    <row r="65" spans="1:9" ht="15.75" customHeight="1" x14ac:dyDescent="0.35">
      <c r="A65" s="26" t="s">
        <v>12422</v>
      </c>
      <c r="B65" s="25" t="s">
        <v>12423</v>
      </c>
      <c r="C65" s="6" t="s">
        <v>12423</v>
      </c>
      <c r="D65" s="13">
        <v>256.5117961848</v>
      </c>
      <c r="E65" s="18">
        <v>21</v>
      </c>
      <c r="F65" s="2">
        <f t="shared" si="0"/>
        <v>310.37927338360799</v>
      </c>
      <c r="G65" s="3">
        <v>0</v>
      </c>
      <c r="H65" s="4">
        <v>0.7</v>
      </c>
      <c r="I65" s="28">
        <f t="shared" si="1"/>
        <v>527.6447647521336</v>
      </c>
    </row>
    <row r="66" spans="1:9" ht="15.75" customHeight="1" x14ac:dyDescent="0.35">
      <c r="A66" s="26" t="s">
        <v>12424</v>
      </c>
      <c r="B66" s="25" t="s">
        <v>12425</v>
      </c>
      <c r="C66" s="6" t="s">
        <v>12425</v>
      </c>
      <c r="D66" s="13">
        <v>256.5117961848</v>
      </c>
      <c r="E66" s="18">
        <v>21</v>
      </c>
      <c r="F66" s="2">
        <f t="shared" si="0"/>
        <v>310.37927338360799</v>
      </c>
      <c r="G66" s="3">
        <v>0</v>
      </c>
      <c r="H66" s="4">
        <v>0.7</v>
      </c>
      <c r="I66" s="28">
        <f t="shared" si="1"/>
        <v>527.6447647521336</v>
      </c>
    </row>
    <row r="67" spans="1:9" ht="15.75" customHeight="1" x14ac:dyDescent="0.35">
      <c r="A67" s="26" t="s">
        <v>8769</v>
      </c>
      <c r="B67" s="25" t="s">
        <v>12359</v>
      </c>
      <c r="C67" s="6" t="s">
        <v>12359</v>
      </c>
      <c r="D67" s="13">
        <v>842.69426477651996</v>
      </c>
      <c r="E67" s="18">
        <v>21</v>
      </c>
      <c r="F67" s="2">
        <f t="shared" si="0"/>
        <v>1019.6600603795891</v>
      </c>
      <c r="G67" s="3">
        <v>0</v>
      </c>
      <c r="H67" s="4">
        <v>0.7</v>
      </c>
      <c r="I67" s="28">
        <f t="shared" si="1"/>
        <v>1733.4221026453015</v>
      </c>
    </row>
    <row r="68" spans="1:9" ht="15.75" customHeight="1" x14ac:dyDescent="0.35">
      <c r="A68" s="26" t="s">
        <v>12426</v>
      </c>
      <c r="B68" s="25" t="s">
        <v>12427</v>
      </c>
      <c r="C68" s="6" t="s">
        <v>12427</v>
      </c>
      <c r="D68" s="13">
        <v>154.20358872360001</v>
      </c>
      <c r="E68" s="18">
        <v>21</v>
      </c>
      <c r="F68" s="2">
        <f t="shared" si="0"/>
        <v>186.58634235555601</v>
      </c>
      <c r="G68" s="3">
        <v>0</v>
      </c>
      <c r="H68" s="4">
        <v>0.7</v>
      </c>
      <c r="I68" s="28">
        <f t="shared" si="1"/>
        <v>317.1967820044452</v>
      </c>
    </row>
    <row r="69" spans="1:9" ht="15.75" customHeight="1" x14ac:dyDescent="0.35">
      <c r="A69" s="26" t="s">
        <v>2546</v>
      </c>
      <c r="B69" s="25" t="s">
        <v>12360</v>
      </c>
      <c r="C69" s="6" t="s">
        <v>12360</v>
      </c>
      <c r="D69" s="13">
        <v>330.53048959554002</v>
      </c>
      <c r="E69" s="18">
        <v>21</v>
      </c>
      <c r="F69" s="2">
        <f t="shared" si="0"/>
        <v>399.94189241060343</v>
      </c>
      <c r="G69" s="3">
        <v>0</v>
      </c>
      <c r="H69" s="4">
        <v>0.7</v>
      </c>
      <c r="I69" s="28">
        <f t="shared" si="1"/>
        <v>679.90121709802577</v>
      </c>
    </row>
    <row r="70" spans="1:9" ht="15.75" customHeight="1" x14ac:dyDescent="0.35">
      <c r="A70" s="26" t="s">
        <v>2538</v>
      </c>
      <c r="B70" s="25" t="s">
        <v>12361</v>
      </c>
      <c r="C70" s="6" t="s">
        <v>12361</v>
      </c>
      <c r="D70" s="13">
        <v>330.53048959554002</v>
      </c>
      <c r="E70" s="18">
        <v>21</v>
      </c>
      <c r="F70" s="2">
        <f t="shared" ref="F70:F133" si="2">D70*E70/100+D70</f>
        <v>399.94189241060343</v>
      </c>
      <c r="G70" s="3">
        <v>0</v>
      </c>
      <c r="H70" s="4">
        <v>0.7</v>
      </c>
      <c r="I70" s="28">
        <f t="shared" ref="I70:I133" si="3">IF(G70=-1,0,F70*((100-G70)/100)*(1+H70))</f>
        <v>679.90121709802577</v>
      </c>
    </row>
    <row r="71" spans="1:9" ht="15.75" customHeight="1" x14ac:dyDescent="0.35">
      <c r="A71" s="26" t="s">
        <v>2587</v>
      </c>
      <c r="B71" s="25" t="s">
        <v>12428</v>
      </c>
      <c r="C71" s="6" t="s">
        <v>12428</v>
      </c>
      <c r="D71" s="13">
        <v>154.20358872360001</v>
      </c>
      <c r="E71" s="18">
        <v>21</v>
      </c>
      <c r="F71" s="2">
        <f t="shared" si="2"/>
        <v>186.58634235555601</v>
      </c>
      <c r="G71" s="3">
        <v>0</v>
      </c>
      <c r="H71" s="4">
        <v>0.7</v>
      </c>
      <c r="I71" s="28">
        <f t="shared" si="3"/>
        <v>317.1967820044452</v>
      </c>
    </row>
    <row r="72" spans="1:9" ht="15.75" customHeight="1" x14ac:dyDescent="0.35">
      <c r="A72" s="26" t="s">
        <v>2588</v>
      </c>
      <c r="B72" s="25" t="s">
        <v>12429</v>
      </c>
      <c r="C72" s="6" t="s">
        <v>12429</v>
      </c>
      <c r="D72" s="13">
        <v>154.20358872360001</v>
      </c>
      <c r="E72" s="18">
        <v>21</v>
      </c>
      <c r="F72" s="2">
        <f t="shared" si="2"/>
        <v>186.58634235555601</v>
      </c>
      <c r="G72" s="3">
        <v>0</v>
      </c>
      <c r="H72" s="4">
        <v>0.7</v>
      </c>
      <c r="I72" s="28">
        <f t="shared" si="3"/>
        <v>317.1967820044452</v>
      </c>
    </row>
    <row r="73" spans="1:9" ht="15.75" customHeight="1" x14ac:dyDescent="0.35">
      <c r="A73" s="26" t="s">
        <v>2539</v>
      </c>
      <c r="B73" s="25" t="s">
        <v>12362</v>
      </c>
      <c r="C73" s="6" t="s">
        <v>12362</v>
      </c>
      <c r="D73" s="13">
        <v>330.53048959554002</v>
      </c>
      <c r="E73" s="18">
        <v>21</v>
      </c>
      <c r="F73" s="2">
        <f t="shared" si="2"/>
        <v>399.94189241060343</v>
      </c>
      <c r="G73" s="3">
        <v>0</v>
      </c>
      <c r="H73" s="4">
        <v>0.7</v>
      </c>
      <c r="I73" s="28">
        <f t="shared" si="3"/>
        <v>679.90121709802577</v>
      </c>
    </row>
    <row r="74" spans="1:9" ht="15.75" customHeight="1" x14ac:dyDescent="0.35">
      <c r="A74" s="26" t="s">
        <v>2566</v>
      </c>
      <c r="B74" s="25" t="s">
        <v>12430</v>
      </c>
      <c r="C74" s="6" t="s">
        <v>12430</v>
      </c>
      <c r="D74" s="13">
        <v>154.20358872360001</v>
      </c>
      <c r="E74" s="18">
        <v>21</v>
      </c>
      <c r="F74" s="2">
        <f t="shared" si="2"/>
        <v>186.58634235555601</v>
      </c>
      <c r="G74" s="3">
        <v>0</v>
      </c>
      <c r="H74" s="4">
        <v>0.7</v>
      </c>
      <c r="I74" s="28">
        <f t="shared" si="3"/>
        <v>317.1967820044452</v>
      </c>
    </row>
    <row r="75" spans="1:9" ht="15.75" customHeight="1" x14ac:dyDescent="0.35">
      <c r="A75" s="26" t="s">
        <v>2540</v>
      </c>
      <c r="B75" s="25" t="s">
        <v>12519</v>
      </c>
      <c r="C75" s="6" t="s">
        <v>12519</v>
      </c>
      <c r="D75" s="13">
        <v>330.53048959554002</v>
      </c>
      <c r="E75" s="18">
        <v>21</v>
      </c>
      <c r="F75" s="2">
        <f t="shared" si="2"/>
        <v>399.94189241060343</v>
      </c>
      <c r="G75" s="3">
        <v>0</v>
      </c>
      <c r="H75" s="4">
        <v>0.7</v>
      </c>
      <c r="I75" s="28">
        <f t="shared" si="3"/>
        <v>679.90121709802577</v>
      </c>
    </row>
    <row r="76" spans="1:9" ht="15.75" customHeight="1" x14ac:dyDescent="0.35">
      <c r="A76" s="26" t="s">
        <v>12431</v>
      </c>
      <c r="B76" s="25" t="s">
        <v>12432</v>
      </c>
      <c r="C76" s="6" t="s">
        <v>12432</v>
      </c>
      <c r="D76" s="13">
        <v>154.20358872360001</v>
      </c>
      <c r="E76" s="18">
        <v>21</v>
      </c>
      <c r="F76" s="2">
        <f t="shared" si="2"/>
        <v>186.58634235555601</v>
      </c>
      <c r="G76" s="3">
        <v>0</v>
      </c>
      <c r="H76" s="4">
        <v>0.7</v>
      </c>
      <c r="I76" s="28">
        <f t="shared" si="3"/>
        <v>317.1967820044452</v>
      </c>
    </row>
    <row r="77" spans="1:9" ht="15.75" customHeight="1" x14ac:dyDescent="0.35">
      <c r="A77" s="26" t="s">
        <v>2541</v>
      </c>
      <c r="B77" s="25" t="s">
        <v>12363</v>
      </c>
      <c r="C77" s="6" t="s">
        <v>12363</v>
      </c>
      <c r="D77" s="13">
        <v>330.53048959554002</v>
      </c>
      <c r="E77" s="18">
        <v>21</v>
      </c>
      <c r="F77" s="2">
        <f t="shared" si="2"/>
        <v>399.94189241060343</v>
      </c>
      <c r="G77" s="3">
        <v>0</v>
      </c>
      <c r="H77" s="4">
        <v>0.7</v>
      </c>
      <c r="I77" s="28">
        <f t="shared" si="3"/>
        <v>679.90121709802577</v>
      </c>
    </row>
    <row r="78" spans="1:9" ht="15.75" customHeight="1" x14ac:dyDescent="0.35">
      <c r="A78" s="26" t="s">
        <v>12433</v>
      </c>
      <c r="B78" s="25" t="s">
        <v>12434</v>
      </c>
      <c r="C78" s="6" t="s">
        <v>12434</v>
      </c>
      <c r="D78" s="13">
        <v>154.20358872360001</v>
      </c>
      <c r="E78" s="18">
        <v>21</v>
      </c>
      <c r="F78" s="2">
        <f t="shared" si="2"/>
        <v>186.58634235555601</v>
      </c>
      <c r="G78" s="3">
        <v>0</v>
      </c>
      <c r="H78" s="4">
        <v>0.7</v>
      </c>
      <c r="I78" s="28">
        <f t="shared" si="3"/>
        <v>317.1967820044452</v>
      </c>
    </row>
    <row r="79" spans="1:9" ht="15.75" customHeight="1" x14ac:dyDescent="0.35">
      <c r="A79" s="26" t="s">
        <v>2544</v>
      </c>
      <c r="B79" s="25" t="s">
        <v>12364</v>
      </c>
      <c r="C79" s="6" t="s">
        <v>12364</v>
      </c>
      <c r="D79" s="13">
        <v>330.53048959554002</v>
      </c>
      <c r="E79" s="18">
        <v>21</v>
      </c>
      <c r="F79" s="2">
        <f t="shared" si="2"/>
        <v>399.94189241060343</v>
      </c>
      <c r="G79" s="3">
        <v>0</v>
      </c>
      <c r="H79" s="4">
        <v>0.7</v>
      </c>
      <c r="I79" s="28">
        <f t="shared" si="3"/>
        <v>679.90121709802577</v>
      </c>
    </row>
    <row r="80" spans="1:9" ht="15.75" customHeight="1" x14ac:dyDescent="0.35">
      <c r="A80" s="26" t="s">
        <v>2542</v>
      </c>
      <c r="B80" s="25" t="s">
        <v>9714</v>
      </c>
      <c r="C80" s="6" t="s">
        <v>9714</v>
      </c>
      <c r="D80" s="13">
        <v>153.84460000000001</v>
      </c>
      <c r="E80" s="18">
        <v>21</v>
      </c>
      <c r="F80" s="2">
        <f t="shared" si="2"/>
        <v>186.15196600000002</v>
      </c>
      <c r="G80" s="3">
        <v>0</v>
      </c>
      <c r="H80" s="4">
        <v>0.7</v>
      </c>
      <c r="I80" s="28">
        <f t="shared" si="3"/>
        <v>316.4583422</v>
      </c>
    </row>
    <row r="81" spans="1:9" ht="15.75" customHeight="1" x14ac:dyDescent="0.35">
      <c r="A81" s="26" t="s">
        <v>12435</v>
      </c>
      <c r="B81" s="25" t="s">
        <v>12436</v>
      </c>
      <c r="C81" s="6" t="s">
        <v>12436</v>
      </c>
      <c r="D81" s="13">
        <v>485.15274798119998</v>
      </c>
      <c r="E81" s="18">
        <v>21</v>
      </c>
      <c r="F81" s="2">
        <f t="shared" si="2"/>
        <v>587.03482505725196</v>
      </c>
      <c r="G81" s="3">
        <v>0</v>
      </c>
      <c r="H81" s="4">
        <v>0.7</v>
      </c>
      <c r="I81" s="28">
        <f t="shared" si="3"/>
        <v>997.95920259732827</v>
      </c>
    </row>
    <row r="82" spans="1:9" ht="15.75" customHeight="1" x14ac:dyDescent="0.35">
      <c r="A82" s="26" t="s">
        <v>2554</v>
      </c>
      <c r="B82" s="25" t="s">
        <v>12365</v>
      </c>
      <c r="C82" s="6" t="s">
        <v>12365</v>
      </c>
      <c r="D82" s="13">
        <v>870.60805233947997</v>
      </c>
      <c r="E82" s="18">
        <v>21</v>
      </c>
      <c r="F82" s="2">
        <f t="shared" si="2"/>
        <v>1053.4357433307707</v>
      </c>
      <c r="G82" s="3">
        <v>0</v>
      </c>
      <c r="H82" s="4">
        <v>0.7</v>
      </c>
      <c r="I82" s="28">
        <f t="shared" si="3"/>
        <v>1790.8407636623101</v>
      </c>
    </row>
    <row r="83" spans="1:9" ht="15.75" customHeight="1" x14ac:dyDescent="0.35">
      <c r="A83" s="26" t="s">
        <v>12437</v>
      </c>
      <c r="B83" s="25" t="s">
        <v>12438</v>
      </c>
      <c r="C83" s="6" t="s">
        <v>12438</v>
      </c>
      <c r="D83" s="13">
        <v>623.70317500919998</v>
      </c>
      <c r="E83" s="18">
        <v>21</v>
      </c>
      <c r="F83" s="2">
        <f t="shared" si="2"/>
        <v>754.680841761132</v>
      </c>
      <c r="G83" s="3">
        <v>0</v>
      </c>
      <c r="H83" s="4">
        <v>0.7</v>
      </c>
      <c r="I83" s="28">
        <f t="shared" si="3"/>
        <v>1282.9574309939244</v>
      </c>
    </row>
    <row r="84" spans="1:9" ht="15.75" customHeight="1" x14ac:dyDescent="0.35">
      <c r="A84" s="26" t="s">
        <v>2556</v>
      </c>
      <c r="B84" s="25" t="s">
        <v>12366</v>
      </c>
      <c r="C84" s="6" t="s">
        <v>12366</v>
      </c>
      <c r="D84" s="13">
        <v>870.60805233947997</v>
      </c>
      <c r="E84" s="18">
        <v>21</v>
      </c>
      <c r="F84" s="2">
        <f t="shared" si="2"/>
        <v>1053.4357433307707</v>
      </c>
      <c r="G84" s="3">
        <v>0</v>
      </c>
      <c r="H84" s="4">
        <v>0.7</v>
      </c>
      <c r="I84" s="28">
        <f t="shared" si="3"/>
        <v>1790.8407636623101</v>
      </c>
    </row>
    <row r="85" spans="1:9" ht="15.75" customHeight="1" x14ac:dyDescent="0.35">
      <c r="A85" s="26" t="s">
        <v>12439</v>
      </c>
      <c r="B85" s="25" t="s">
        <v>12440</v>
      </c>
      <c r="C85" s="6" t="s">
        <v>12440</v>
      </c>
      <c r="D85" s="13">
        <v>485.15274798119998</v>
      </c>
      <c r="E85" s="18">
        <v>21</v>
      </c>
      <c r="F85" s="2">
        <f t="shared" si="2"/>
        <v>587.03482505725196</v>
      </c>
      <c r="G85" s="3">
        <v>0</v>
      </c>
      <c r="H85" s="4">
        <v>0.7</v>
      </c>
      <c r="I85" s="28">
        <f t="shared" si="3"/>
        <v>997.95920259732827</v>
      </c>
    </row>
    <row r="86" spans="1:9" ht="15.75" customHeight="1" x14ac:dyDescent="0.35">
      <c r="A86" s="26" t="s">
        <v>2557</v>
      </c>
      <c r="B86" s="25" t="s">
        <v>12367</v>
      </c>
      <c r="C86" s="6" t="s">
        <v>12367</v>
      </c>
      <c r="D86" s="13">
        <v>870.60805233947997</v>
      </c>
      <c r="E86" s="18">
        <v>21</v>
      </c>
      <c r="F86" s="2">
        <f t="shared" si="2"/>
        <v>1053.4357433307707</v>
      </c>
      <c r="G86" s="3">
        <v>0</v>
      </c>
      <c r="H86" s="4">
        <v>0.7</v>
      </c>
      <c r="I86" s="28">
        <f t="shared" si="3"/>
        <v>1790.8407636623101</v>
      </c>
    </row>
    <row r="87" spans="1:9" ht="15.75" customHeight="1" x14ac:dyDescent="0.35">
      <c r="A87" s="26" t="s">
        <v>12441</v>
      </c>
      <c r="B87" s="25" t="s">
        <v>12442</v>
      </c>
      <c r="C87" s="6" t="s">
        <v>12442</v>
      </c>
      <c r="D87" s="13">
        <v>623.70317500919998</v>
      </c>
      <c r="E87" s="18">
        <v>21</v>
      </c>
      <c r="F87" s="2">
        <f t="shared" si="2"/>
        <v>754.680841761132</v>
      </c>
      <c r="G87" s="3">
        <v>0</v>
      </c>
      <c r="H87" s="4">
        <v>0.7</v>
      </c>
      <c r="I87" s="28">
        <f t="shared" si="3"/>
        <v>1282.9574309939244</v>
      </c>
    </row>
    <row r="88" spans="1:9" ht="15.75" customHeight="1" x14ac:dyDescent="0.35">
      <c r="A88" s="26" t="s">
        <v>2555</v>
      </c>
      <c r="B88" s="25" t="s">
        <v>12520</v>
      </c>
      <c r="C88" s="6" t="s">
        <v>12520</v>
      </c>
      <c r="D88" s="13">
        <v>870.60805233947997</v>
      </c>
      <c r="E88" s="18">
        <v>21</v>
      </c>
      <c r="F88" s="2">
        <f t="shared" si="2"/>
        <v>1053.4357433307707</v>
      </c>
      <c r="G88" s="3">
        <v>0</v>
      </c>
      <c r="H88" s="4">
        <v>0.7</v>
      </c>
      <c r="I88" s="28">
        <f t="shared" si="3"/>
        <v>1790.8407636623101</v>
      </c>
    </row>
    <row r="89" spans="1:9" ht="15.75" customHeight="1" x14ac:dyDescent="0.35">
      <c r="A89" s="26" t="s">
        <v>12443</v>
      </c>
      <c r="B89" s="25" t="s">
        <v>12444</v>
      </c>
      <c r="C89" s="6" t="s">
        <v>12444</v>
      </c>
      <c r="D89" s="13">
        <v>623.70317500919998</v>
      </c>
      <c r="E89" s="18">
        <v>21</v>
      </c>
      <c r="F89" s="2">
        <f t="shared" si="2"/>
        <v>754.680841761132</v>
      </c>
      <c r="G89" s="3">
        <v>0</v>
      </c>
      <c r="H89" s="4">
        <v>0.7</v>
      </c>
      <c r="I89" s="28">
        <f t="shared" si="3"/>
        <v>1282.9574309939244</v>
      </c>
    </row>
    <row r="90" spans="1:9" ht="15.75" customHeight="1" x14ac:dyDescent="0.35">
      <c r="A90" s="26" t="s">
        <v>2558</v>
      </c>
      <c r="B90" s="25" t="s">
        <v>12521</v>
      </c>
      <c r="C90" s="6" t="s">
        <v>12521</v>
      </c>
      <c r="D90" s="13">
        <v>870.60805233947997</v>
      </c>
      <c r="E90" s="18">
        <v>21</v>
      </c>
      <c r="F90" s="2">
        <f t="shared" si="2"/>
        <v>1053.4357433307707</v>
      </c>
      <c r="G90" s="3">
        <v>0</v>
      </c>
      <c r="H90" s="4">
        <v>0.7</v>
      </c>
      <c r="I90" s="28">
        <f t="shared" si="3"/>
        <v>1790.8407636623101</v>
      </c>
    </row>
    <row r="91" spans="1:9" ht="15.75" customHeight="1" x14ac:dyDescent="0.35">
      <c r="A91" s="26" t="s">
        <v>12445</v>
      </c>
      <c r="B91" s="25" t="s">
        <v>12446</v>
      </c>
      <c r="C91" s="6" t="s">
        <v>12446</v>
      </c>
      <c r="D91" s="13">
        <v>485.15274798119998</v>
      </c>
      <c r="E91" s="18">
        <v>21</v>
      </c>
      <c r="F91" s="2">
        <f t="shared" si="2"/>
        <v>587.03482505725196</v>
      </c>
      <c r="G91" s="3">
        <v>0</v>
      </c>
      <c r="H91" s="4">
        <v>0.7</v>
      </c>
      <c r="I91" s="28">
        <f t="shared" si="3"/>
        <v>997.95920259732827</v>
      </c>
    </row>
    <row r="92" spans="1:9" ht="15.75" customHeight="1" x14ac:dyDescent="0.35">
      <c r="A92" s="26" t="s">
        <v>2553</v>
      </c>
      <c r="B92" s="25" t="s">
        <v>12368</v>
      </c>
      <c r="C92" s="6" t="s">
        <v>12368</v>
      </c>
      <c r="D92" s="13">
        <v>870.60805233947997</v>
      </c>
      <c r="E92" s="18">
        <v>21</v>
      </c>
      <c r="F92" s="2">
        <f t="shared" si="2"/>
        <v>1053.4357433307707</v>
      </c>
      <c r="G92" s="3">
        <v>0</v>
      </c>
      <c r="H92" s="4">
        <v>0.7</v>
      </c>
      <c r="I92" s="28">
        <f t="shared" si="3"/>
        <v>1790.8407636623101</v>
      </c>
    </row>
    <row r="93" spans="1:9" ht="15.75" customHeight="1" x14ac:dyDescent="0.35">
      <c r="A93" s="26" t="s">
        <v>12447</v>
      </c>
      <c r="B93" s="25" t="s">
        <v>12448</v>
      </c>
      <c r="C93" s="6" t="s">
        <v>12448</v>
      </c>
      <c r="D93" s="13">
        <v>311.86051855919999</v>
      </c>
      <c r="E93" s="18">
        <v>21</v>
      </c>
      <c r="F93" s="2">
        <f t="shared" si="2"/>
        <v>377.35122745663199</v>
      </c>
      <c r="G93" s="3">
        <v>0</v>
      </c>
      <c r="H93" s="4">
        <v>0.7</v>
      </c>
      <c r="I93" s="28">
        <f t="shared" si="3"/>
        <v>641.49708667627442</v>
      </c>
    </row>
    <row r="94" spans="1:9" ht="15.75" customHeight="1" x14ac:dyDescent="0.35">
      <c r="A94" s="26" t="s">
        <v>12449</v>
      </c>
      <c r="B94" s="25" t="s">
        <v>12450</v>
      </c>
      <c r="C94" s="6" t="s">
        <v>12450</v>
      </c>
      <c r="D94" s="13">
        <v>419.11057623239998</v>
      </c>
      <c r="E94" s="18">
        <v>21</v>
      </c>
      <c r="F94" s="2">
        <f t="shared" si="2"/>
        <v>507.12379724120399</v>
      </c>
      <c r="G94" s="3">
        <v>0</v>
      </c>
      <c r="H94" s="4">
        <v>0.7</v>
      </c>
      <c r="I94" s="28">
        <f t="shared" si="3"/>
        <v>862.11045531004675</v>
      </c>
    </row>
    <row r="95" spans="1:9" ht="15.75" customHeight="1" x14ac:dyDescent="0.35">
      <c r="A95" s="26" t="s">
        <v>12451</v>
      </c>
      <c r="B95" s="25" t="s">
        <v>12452</v>
      </c>
      <c r="C95" s="6" t="s">
        <v>12452</v>
      </c>
      <c r="D95" s="13">
        <v>523.31812130519995</v>
      </c>
      <c r="E95" s="18">
        <v>21</v>
      </c>
      <c r="F95" s="2">
        <f t="shared" si="2"/>
        <v>633.214926779292</v>
      </c>
      <c r="G95" s="3">
        <v>0</v>
      </c>
      <c r="H95" s="4">
        <v>0.7</v>
      </c>
      <c r="I95" s="28">
        <f t="shared" si="3"/>
        <v>1076.4653755247964</v>
      </c>
    </row>
    <row r="96" spans="1:9" ht="15.75" customHeight="1" x14ac:dyDescent="0.35">
      <c r="A96" s="26" t="s">
        <v>12453</v>
      </c>
      <c r="B96" s="25" t="s">
        <v>12454</v>
      </c>
      <c r="C96" s="6" t="s">
        <v>12454</v>
      </c>
      <c r="D96" s="13">
        <v>440.10450857879999</v>
      </c>
      <c r="E96" s="18">
        <v>21</v>
      </c>
      <c r="F96" s="2">
        <f t="shared" si="2"/>
        <v>532.52645538034801</v>
      </c>
      <c r="G96" s="3">
        <v>0</v>
      </c>
      <c r="H96" s="4">
        <v>0.7</v>
      </c>
      <c r="I96" s="28">
        <f t="shared" si="3"/>
        <v>905.29497414659158</v>
      </c>
    </row>
    <row r="97" spans="1:9" ht="15.75" customHeight="1" x14ac:dyDescent="0.35">
      <c r="A97" s="26" t="s">
        <v>12455</v>
      </c>
      <c r="B97" s="25" t="s">
        <v>12454</v>
      </c>
      <c r="C97" s="6" t="s">
        <v>12454</v>
      </c>
      <c r="D97" s="13">
        <v>440.10450857879999</v>
      </c>
      <c r="E97" s="18">
        <v>21</v>
      </c>
      <c r="F97" s="2">
        <f t="shared" si="2"/>
        <v>532.52645538034801</v>
      </c>
      <c r="G97" s="3">
        <v>0</v>
      </c>
      <c r="H97" s="4">
        <v>0.7</v>
      </c>
      <c r="I97" s="28">
        <f t="shared" si="3"/>
        <v>905.29497414659158</v>
      </c>
    </row>
    <row r="98" spans="1:9" ht="15.75" customHeight="1" x14ac:dyDescent="0.35">
      <c r="A98" s="26" t="s">
        <v>12456</v>
      </c>
      <c r="B98" s="25" t="s">
        <v>12457</v>
      </c>
      <c r="C98" s="6" t="s">
        <v>12457</v>
      </c>
      <c r="D98" s="13">
        <v>523.31812130519995</v>
      </c>
      <c r="E98" s="18">
        <v>21</v>
      </c>
      <c r="F98" s="2">
        <f t="shared" si="2"/>
        <v>633.214926779292</v>
      </c>
      <c r="G98" s="3">
        <v>0</v>
      </c>
      <c r="H98" s="4">
        <v>0.7</v>
      </c>
      <c r="I98" s="28">
        <f t="shared" si="3"/>
        <v>1076.4653755247964</v>
      </c>
    </row>
    <row r="99" spans="1:9" ht="15.75" customHeight="1" x14ac:dyDescent="0.35">
      <c r="A99" s="26" t="s">
        <v>12458</v>
      </c>
      <c r="B99" s="25" t="s">
        <v>12459</v>
      </c>
      <c r="C99" s="6" t="s">
        <v>12459</v>
      </c>
      <c r="D99" s="13">
        <v>311.86051855919999</v>
      </c>
      <c r="E99" s="18">
        <v>21</v>
      </c>
      <c r="F99" s="2">
        <f t="shared" si="2"/>
        <v>377.35122745663199</v>
      </c>
      <c r="G99" s="3">
        <v>0</v>
      </c>
      <c r="H99" s="4">
        <v>0.7</v>
      </c>
      <c r="I99" s="28">
        <f t="shared" si="3"/>
        <v>641.49708667627442</v>
      </c>
    </row>
    <row r="100" spans="1:9" ht="15.75" customHeight="1" x14ac:dyDescent="0.35">
      <c r="A100" s="26" t="s">
        <v>12460</v>
      </c>
      <c r="B100" s="25" t="s">
        <v>12461</v>
      </c>
      <c r="C100" s="6" t="s">
        <v>12461</v>
      </c>
      <c r="D100" s="13">
        <v>344.79824792400001</v>
      </c>
      <c r="E100" s="18">
        <v>21</v>
      </c>
      <c r="F100" s="2">
        <f t="shared" si="2"/>
        <v>417.20587998804001</v>
      </c>
      <c r="G100" s="3">
        <v>0</v>
      </c>
      <c r="H100" s="4">
        <v>0.7</v>
      </c>
      <c r="I100" s="28">
        <f t="shared" si="3"/>
        <v>709.24999597966803</v>
      </c>
    </row>
    <row r="101" spans="1:9" ht="15.75" customHeight="1" x14ac:dyDescent="0.35">
      <c r="A101" s="26" t="s">
        <v>2560</v>
      </c>
      <c r="B101" s="25" t="s">
        <v>12369</v>
      </c>
      <c r="C101" s="6" t="s">
        <v>12369</v>
      </c>
      <c r="D101" s="13">
        <v>842.69426477651996</v>
      </c>
      <c r="E101" s="18">
        <v>21</v>
      </c>
      <c r="F101" s="2">
        <f t="shared" si="2"/>
        <v>1019.6600603795891</v>
      </c>
      <c r="G101" s="3">
        <v>0</v>
      </c>
      <c r="H101" s="4">
        <v>0.7</v>
      </c>
      <c r="I101" s="28">
        <f t="shared" si="3"/>
        <v>1733.4221026453015</v>
      </c>
    </row>
    <row r="102" spans="1:9" ht="15.75" customHeight="1" x14ac:dyDescent="0.35">
      <c r="A102" s="26" t="s">
        <v>2562</v>
      </c>
      <c r="B102" s="25" t="s">
        <v>12370</v>
      </c>
      <c r="C102" s="6" t="s">
        <v>12370</v>
      </c>
      <c r="D102" s="13">
        <v>842.69426477651996</v>
      </c>
      <c r="E102" s="18">
        <v>21</v>
      </c>
      <c r="F102" s="2">
        <f t="shared" si="2"/>
        <v>1019.6600603795891</v>
      </c>
      <c r="G102" s="3">
        <v>0</v>
      </c>
      <c r="H102" s="4">
        <v>0.7</v>
      </c>
      <c r="I102" s="28">
        <f t="shared" si="3"/>
        <v>1733.4221026453015</v>
      </c>
    </row>
    <row r="103" spans="1:9" ht="15.75" customHeight="1" x14ac:dyDescent="0.35">
      <c r="A103" s="26" t="s">
        <v>12462</v>
      </c>
      <c r="B103" s="25" t="s">
        <v>12463</v>
      </c>
      <c r="C103" s="6" t="s">
        <v>12463</v>
      </c>
      <c r="D103" s="13">
        <v>554.2433863668</v>
      </c>
      <c r="E103" s="18">
        <v>21</v>
      </c>
      <c r="F103" s="2">
        <f t="shared" si="2"/>
        <v>670.63449750382802</v>
      </c>
      <c r="G103" s="3">
        <v>0</v>
      </c>
      <c r="H103" s="4">
        <v>0.7</v>
      </c>
      <c r="I103" s="28">
        <f t="shared" si="3"/>
        <v>1140.0786457565075</v>
      </c>
    </row>
    <row r="104" spans="1:9" ht="15.75" customHeight="1" x14ac:dyDescent="0.35">
      <c r="A104" s="26" t="s">
        <v>12464</v>
      </c>
      <c r="B104" s="25" t="s">
        <v>12465</v>
      </c>
      <c r="C104" s="6" t="s">
        <v>12465</v>
      </c>
      <c r="D104" s="13">
        <v>380.93924887200001</v>
      </c>
      <c r="E104" s="18">
        <v>21</v>
      </c>
      <c r="F104" s="2">
        <f t="shared" si="2"/>
        <v>460.93649113512004</v>
      </c>
      <c r="G104" s="3">
        <v>0</v>
      </c>
      <c r="H104" s="4">
        <v>0.7</v>
      </c>
      <c r="I104" s="28">
        <f t="shared" si="3"/>
        <v>783.59203492970403</v>
      </c>
    </row>
    <row r="105" spans="1:9" ht="15.75" customHeight="1" x14ac:dyDescent="0.35">
      <c r="A105" s="26" t="s">
        <v>2564</v>
      </c>
      <c r="B105" s="25" t="s">
        <v>12371</v>
      </c>
      <c r="C105" s="6" t="s">
        <v>12371</v>
      </c>
      <c r="D105" s="13">
        <v>842.69426477651996</v>
      </c>
      <c r="E105" s="18">
        <v>21</v>
      </c>
      <c r="F105" s="2">
        <f t="shared" si="2"/>
        <v>1019.6600603795891</v>
      </c>
      <c r="G105" s="3">
        <v>0</v>
      </c>
      <c r="H105" s="4">
        <v>0.7</v>
      </c>
      <c r="I105" s="28">
        <f t="shared" si="3"/>
        <v>1733.4221026453015</v>
      </c>
    </row>
    <row r="106" spans="1:9" ht="15.75" customHeight="1" x14ac:dyDescent="0.35">
      <c r="A106" s="26" t="s">
        <v>12466</v>
      </c>
      <c r="B106" s="25" t="s">
        <v>12467</v>
      </c>
      <c r="C106" s="6" t="s">
        <v>12467</v>
      </c>
      <c r="D106" s="13">
        <v>506.1466803276</v>
      </c>
      <c r="E106" s="18">
        <v>21</v>
      </c>
      <c r="F106" s="2">
        <f t="shared" si="2"/>
        <v>612.43748319639599</v>
      </c>
      <c r="G106" s="3">
        <v>0</v>
      </c>
      <c r="H106" s="4">
        <v>0.7</v>
      </c>
      <c r="I106" s="28">
        <f t="shared" si="3"/>
        <v>1041.1437214338732</v>
      </c>
    </row>
    <row r="107" spans="1:9" ht="15.75" customHeight="1" x14ac:dyDescent="0.35">
      <c r="A107" s="26" t="s">
        <v>2561</v>
      </c>
      <c r="B107" s="25" t="s">
        <v>12372</v>
      </c>
      <c r="C107" s="6" t="s">
        <v>12372</v>
      </c>
      <c r="D107" s="13">
        <v>842.69426477651996</v>
      </c>
      <c r="E107" s="18">
        <v>21</v>
      </c>
      <c r="F107" s="2">
        <f t="shared" si="2"/>
        <v>1019.6600603795891</v>
      </c>
      <c r="G107" s="3">
        <v>0</v>
      </c>
      <c r="H107" s="4">
        <v>0.7</v>
      </c>
      <c r="I107" s="28">
        <f t="shared" si="3"/>
        <v>1733.4221026453015</v>
      </c>
    </row>
    <row r="108" spans="1:9" ht="15.75" customHeight="1" x14ac:dyDescent="0.35">
      <c r="A108" s="26" t="s">
        <v>12468</v>
      </c>
      <c r="B108" s="25" t="s">
        <v>12469</v>
      </c>
      <c r="C108" s="6" t="s">
        <v>12469</v>
      </c>
      <c r="D108" s="13">
        <v>658.44497740320003</v>
      </c>
      <c r="E108" s="18">
        <v>21</v>
      </c>
      <c r="F108" s="2">
        <f t="shared" si="2"/>
        <v>796.718422657872</v>
      </c>
      <c r="G108" s="3">
        <v>0</v>
      </c>
      <c r="H108" s="4">
        <v>0.7</v>
      </c>
      <c r="I108" s="28">
        <f t="shared" si="3"/>
        <v>1354.4213185183823</v>
      </c>
    </row>
    <row r="109" spans="1:9" ht="15.75" customHeight="1" x14ac:dyDescent="0.35">
      <c r="A109" s="26" t="s">
        <v>2567</v>
      </c>
      <c r="B109" s="25" t="s">
        <v>12373</v>
      </c>
      <c r="C109" s="6" t="s">
        <v>12373</v>
      </c>
      <c r="D109" s="13">
        <v>842.69426477651996</v>
      </c>
      <c r="E109" s="18">
        <v>21</v>
      </c>
      <c r="F109" s="2">
        <f t="shared" si="2"/>
        <v>1019.6600603795891</v>
      </c>
      <c r="G109" s="3">
        <v>0</v>
      </c>
      <c r="H109" s="4">
        <v>0.7</v>
      </c>
      <c r="I109" s="28">
        <f t="shared" si="3"/>
        <v>1733.4221026453015</v>
      </c>
    </row>
    <row r="110" spans="1:9" ht="15.75" customHeight="1" x14ac:dyDescent="0.35">
      <c r="A110" s="26" t="s">
        <v>12470</v>
      </c>
      <c r="B110" s="25" t="s">
        <v>12471</v>
      </c>
      <c r="C110" s="6" t="s">
        <v>12471</v>
      </c>
      <c r="D110" s="13">
        <v>380.93924887200001</v>
      </c>
      <c r="E110" s="18">
        <v>21</v>
      </c>
      <c r="F110" s="2">
        <f t="shared" si="2"/>
        <v>460.93649113512004</v>
      </c>
      <c r="G110" s="3">
        <v>0</v>
      </c>
      <c r="H110" s="4">
        <v>0.7</v>
      </c>
      <c r="I110" s="28">
        <f t="shared" si="3"/>
        <v>783.59203492970403</v>
      </c>
    </row>
    <row r="111" spans="1:9" ht="15.75" customHeight="1" x14ac:dyDescent="0.35">
      <c r="A111" s="26" t="s">
        <v>2559</v>
      </c>
      <c r="B111" s="25" t="s">
        <v>12374</v>
      </c>
      <c r="C111" s="6" t="s">
        <v>12374</v>
      </c>
      <c r="D111" s="13">
        <v>842.69426477651996</v>
      </c>
      <c r="E111" s="18">
        <v>21</v>
      </c>
      <c r="F111" s="2">
        <f t="shared" si="2"/>
        <v>1019.6600603795891</v>
      </c>
      <c r="G111" s="3">
        <v>0</v>
      </c>
      <c r="H111" s="4">
        <v>0.7</v>
      </c>
      <c r="I111" s="28">
        <f t="shared" si="3"/>
        <v>1733.4221026453015</v>
      </c>
    </row>
    <row r="112" spans="1:9" ht="15.75" customHeight="1" x14ac:dyDescent="0.35">
      <c r="A112" s="26" t="s">
        <v>2571</v>
      </c>
      <c r="B112" s="25" t="s">
        <v>12472</v>
      </c>
      <c r="C112" s="6" t="s">
        <v>12472</v>
      </c>
      <c r="D112" s="13">
        <v>759.48599999999999</v>
      </c>
      <c r="E112" s="18">
        <v>21</v>
      </c>
      <c r="F112" s="2">
        <f t="shared" si="2"/>
        <v>918.97806000000003</v>
      </c>
      <c r="G112" s="3">
        <v>0</v>
      </c>
      <c r="H112" s="4">
        <v>0.7</v>
      </c>
      <c r="I112" s="28">
        <f t="shared" si="3"/>
        <v>1562.262702</v>
      </c>
    </row>
    <row r="113" spans="1:9" ht="15.75" customHeight="1" x14ac:dyDescent="0.35">
      <c r="A113" s="26" t="s">
        <v>12473</v>
      </c>
      <c r="B113" s="25" t="s">
        <v>12474</v>
      </c>
      <c r="C113" s="6" t="s">
        <v>12474</v>
      </c>
      <c r="D113" s="13">
        <v>554.46963975000006</v>
      </c>
      <c r="E113" s="18">
        <v>21</v>
      </c>
      <c r="F113" s="2">
        <f t="shared" si="2"/>
        <v>670.90826409750002</v>
      </c>
      <c r="G113" s="3">
        <v>0</v>
      </c>
      <c r="H113" s="4">
        <v>0.7</v>
      </c>
      <c r="I113" s="28">
        <f t="shared" si="3"/>
        <v>1140.5440489657501</v>
      </c>
    </row>
    <row r="114" spans="1:9" ht="15.75" customHeight="1" x14ac:dyDescent="0.35">
      <c r="A114" s="26" t="s">
        <v>2573</v>
      </c>
      <c r="B114" s="25" t="s">
        <v>12475</v>
      </c>
      <c r="C114" s="6" t="s">
        <v>12475</v>
      </c>
      <c r="D114" s="13">
        <v>759.48599999999999</v>
      </c>
      <c r="E114" s="18">
        <v>21</v>
      </c>
      <c r="F114" s="2">
        <f t="shared" si="2"/>
        <v>918.97806000000003</v>
      </c>
      <c r="G114" s="3">
        <v>0</v>
      </c>
      <c r="H114" s="4">
        <v>0.7</v>
      </c>
      <c r="I114" s="28">
        <f t="shared" si="3"/>
        <v>1562.262702</v>
      </c>
    </row>
    <row r="115" spans="1:9" ht="15.75" customHeight="1" x14ac:dyDescent="0.35">
      <c r="A115" s="26" t="s">
        <v>2574</v>
      </c>
      <c r="B115" s="25" t="s">
        <v>12476</v>
      </c>
      <c r="C115" s="6" t="s">
        <v>12476</v>
      </c>
      <c r="D115" s="13">
        <v>759.48599999999999</v>
      </c>
      <c r="E115" s="18">
        <v>21</v>
      </c>
      <c r="F115" s="2">
        <f t="shared" si="2"/>
        <v>918.97806000000003</v>
      </c>
      <c r="G115" s="3">
        <v>0</v>
      </c>
      <c r="H115" s="4">
        <v>0.7</v>
      </c>
      <c r="I115" s="28">
        <f t="shared" si="3"/>
        <v>1562.262702</v>
      </c>
    </row>
    <row r="116" spans="1:9" ht="15.75" customHeight="1" x14ac:dyDescent="0.35">
      <c r="A116" s="26" t="s">
        <v>2575</v>
      </c>
      <c r="B116" s="25" t="s">
        <v>12477</v>
      </c>
      <c r="C116" s="6" t="s">
        <v>12477</v>
      </c>
      <c r="D116" s="13">
        <v>759.48599999999999</v>
      </c>
      <c r="E116" s="18">
        <v>21</v>
      </c>
      <c r="F116" s="2">
        <f t="shared" si="2"/>
        <v>918.97806000000003</v>
      </c>
      <c r="G116" s="3">
        <v>0</v>
      </c>
      <c r="H116" s="4">
        <v>0.7</v>
      </c>
      <c r="I116" s="28">
        <f t="shared" si="3"/>
        <v>1562.262702</v>
      </c>
    </row>
    <row r="117" spans="1:9" ht="15.75" customHeight="1" x14ac:dyDescent="0.35">
      <c r="A117" s="26" t="s">
        <v>12478</v>
      </c>
      <c r="B117" s="25" t="s">
        <v>12479</v>
      </c>
      <c r="C117" s="6" t="s">
        <v>12479</v>
      </c>
      <c r="D117" s="13">
        <v>727.53561578879999</v>
      </c>
      <c r="E117" s="18">
        <v>21</v>
      </c>
      <c r="F117" s="2">
        <f t="shared" si="2"/>
        <v>880.31809510444805</v>
      </c>
      <c r="G117" s="3">
        <v>0</v>
      </c>
      <c r="H117" s="4">
        <v>0.7</v>
      </c>
      <c r="I117" s="28">
        <f t="shared" si="3"/>
        <v>1496.5407616775617</v>
      </c>
    </row>
    <row r="118" spans="1:9" ht="15.75" customHeight="1" x14ac:dyDescent="0.35">
      <c r="A118" s="26" t="s">
        <v>2576</v>
      </c>
      <c r="B118" s="25" t="s">
        <v>12480</v>
      </c>
      <c r="C118" s="6" t="s">
        <v>12480</v>
      </c>
      <c r="D118" s="13">
        <v>759.48599999999999</v>
      </c>
      <c r="E118" s="18">
        <v>21</v>
      </c>
      <c r="F118" s="2">
        <f t="shared" si="2"/>
        <v>918.97806000000003</v>
      </c>
      <c r="G118" s="3">
        <v>0</v>
      </c>
      <c r="H118" s="4">
        <v>0.7</v>
      </c>
      <c r="I118" s="28">
        <f t="shared" si="3"/>
        <v>1562.262702</v>
      </c>
    </row>
    <row r="119" spans="1:9" ht="15.75" customHeight="1" x14ac:dyDescent="0.35">
      <c r="A119" s="26" t="s">
        <v>12481</v>
      </c>
      <c r="B119" s="25" t="s">
        <v>12482</v>
      </c>
      <c r="C119" s="6" t="s">
        <v>12482</v>
      </c>
      <c r="D119" s="13">
        <v>727.53561578879999</v>
      </c>
      <c r="E119" s="18">
        <v>21</v>
      </c>
      <c r="F119" s="2">
        <f t="shared" si="2"/>
        <v>880.31809510444805</v>
      </c>
      <c r="G119" s="3">
        <v>0</v>
      </c>
      <c r="H119" s="4">
        <v>0.7</v>
      </c>
      <c r="I119" s="28">
        <f t="shared" si="3"/>
        <v>1496.5407616775617</v>
      </c>
    </row>
    <row r="120" spans="1:9" ht="15.75" customHeight="1" x14ac:dyDescent="0.35">
      <c r="A120" s="26" t="s">
        <v>12483</v>
      </c>
      <c r="B120" s="25" t="s">
        <v>12484</v>
      </c>
      <c r="C120" s="6" t="s">
        <v>12484</v>
      </c>
      <c r="D120" s="13">
        <v>623.70317500919998</v>
      </c>
      <c r="E120" s="18">
        <v>21</v>
      </c>
      <c r="F120" s="2">
        <f t="shared" si="2"/>
        <v>754.680841761132</v>
      </c>
      <c r="G120" s="3">
        <v>0</v>
      </c>
      <c r="H120" s="4">
        <v>0.7</v>
      </c>
      <c r="I120" s="28">
        <f t="shared" si="3"/>
        <v>1282.9574309939244</v>
      </c>
    </row>
    <row r="121" spans="1:9" ht="15.75" customHeight="1" x14ac:dyDescent="0.35">
      <c r="A121" s="26" t="s">
        <v>12485</v>
      </c>
      <c r="B121" s="25" t="s">
        <v>12486</v>
      </c>
      <c r="C121" s="6" t="s">
        <v>12486</v>
      </c>
      <c r="D121" s="13">
        <v>859.60805121359999</v>
      </c>
      <c r="E121" s="18">
        <v>21</v>
      </c>
      <c r="F121" s="2">
        <f t="shared" si="2"/>
        <v>1040.1257419684559</v>
      </c>
      <c r="G121" s="3">
        <v>0</v>
      </c>
      <c r="H121" s="4">
        <v>0.7</v>
      </c>
      <c r="I121" s="28">
        <f t="shared" si="3"/>
        <v>1768.2137613463751</v>
      </c>
    </row>
    <row r="122" spans="1:9" ht="15.75" customHeight="1" x14ac:dyDescent="0.35">
      <c r="A122" s="26" t="s">
        <v>12487</v>
      </c>
      <c r="B122" s="25" t="s">
        <v>12488</v>
      </c>
      <c r="C122" s="6" t="s">
        <v>12488</v>
      </c>
      <c r="D122" s="13">
        <v>1022.2008772248</v>
      </c>
      <c r="E122" s="18">
        <v>21</v>
      </c>
      <c r="F122" s="2">
        <f t="shared" si="2"/>
        <v>1236.8630614420081</v>
      </c>
      <c r="G122" s="3">
        <v>0</v>
      </c>
      <c r="H122" s="4">
        <v>0.7</v>
      </c>
      <c r="I122" s="28">
        <f t="shared" si="3"/>
        <v>2102.6672044514135</v>
      </c>
    </row>
    <row r="123" spans="1:9" ht="15.75" customHeight="1" x14ac:dyDescent="0.35">
      <c r="A123" s="26" t="s">
        <v>12489</v>
      </c>
      <c r="B123" s="25" t="s">
        <v>12490</v>
      </c>
      <c r="C123" s="6" t="s">
        <v>12490</v>
      </c>
      <c r="D123" s="13">
        <v>519.12052564320004</v>
      </c>
      <c r="E123" s="18">
        <v>21</v>
      </c>
      <c r="F123" s="2">
        <f t="shared" si="2"/>
        <v>628.13583602827202</v>
      </c>
      <c r="G123" s="3">
        <v>0</v>
      </c>
      <c r="H123" s="4">
        <v>0.7</v>
      </c>
      <c r="I123" s="28">
        <f t="shared" si="3"/>
        <v>1067.8309212480624</v>
      </c>
    </row>
    <row r="124" spans="1:9" ht="15.75" customHeight="1" x14ac:dyDescent="0.35">
      <c r="A124" s="26" t="s">
        <v>12491</v>
      </c>
      <c r="B124" s="25" t="s">
        <v>12492</v>
      </c>
      <c r="C124" s="6" t="s">
        <v>12492</v>
      </c>
      <c r="D124" s="13">
        <v>727.53561578879999</v>
      </c>
      <c r="E124" s="18">
        <v>21</v>
      </c>
      <c r="F124" s="2">
        <f t="shared" si="2"/>
        <v>880.31809510444805</v>
      </c>
      <c r="G124" s="3">
        <v>0</v>
      </c>
      <c r="H124" s="4">
        <v>0.7</v>
      </c>
      <c r="I124" s="28">
        <f t="shared" si="3"/>
        <v>1496.5407616775617</v>
      </c>
    </row>
    <row r="125" spans="1:9" ht="15.75" customHeight="1" x14ac:dyDescent="0.35">
      <c r="A125" s="26" t="s">
        <v>12493</v>
      </c>
      <c r="B125" s="25" t="s">
        <v>12494</v>
      </c>
      <c r="C125" s="6" t="s">
        <v>12494</v>
      </c>
      <c r="D125" s="13">
        <v>1794.784732416</v>
      </c>
      <c r="E125" s="18">
        <v>21</v>
      </c>
      <c r="F125" s="2">
        <f t="shared" si="2"/>
        <v>2171.6895262233602</v>
      </c>
      <c r="G125" s="3">
        <v>0</v>
      </c>
      <c r="H125" s="4">
        <v>0.7</v>
      </c>
      <c r="I125" s="28">
        <f t="shared" si="3"/>
        <v>3691.8721945797124</v>
      </c>
    </row>
    <row r="126" spans="1:9" ht="15.75" customHeight="1" x14ac:dyDescent="0.35">
      <c r="A126" s="26" t="s">
        <v>12495</v>
      </c>
      <c r="B126" s="25" t="s">
        <v>12496</v>
      </c>
      <c r="C126" s="6" t="s">
        <v>12496</v>
      </c>
      <c r="D126" s="13">
        <v>1697.8232496420001</v>
      </c>
      <c r="E126" s="18">
        <v>21</v>
      </c>
      <c r="F126" s="2">
        <f t="shared" si="2"/>
        <v>2054.3661320668202</v>
      </c>
      <c r="G126" s="3">
        <v>0</v>
      </c>
      <c r="H126" s="4">
        <v>0.7</v>
      </c>
      <c r="I126" s="28">
        <f t="shared" si="3"/>
        <v>3492.4224245135943</v>
      </c>
    </row>
    <row r="127" spans="1:9" ht="15.75" customHeight="1" x14ac:dyDescent="0.35">
      <c r="A127" s="26" t="s">
        <v>12497</v>
      </c>
      <c r="B127" s="25" t="s">
        <v>12498</v>
      </c>
      <c r="C127" s="6" t="s">
        <v>12498</v>
      </c>
      <c r="D127" s="13">
        <v>580.19107699799997</v>
      </c>
      <c r="E127" s="18">
        <v>21</v>
      </c>
      <c r="F127" s="2">
        <f t="shared" si="2"/>
        <v>702.03120316757997</v>
      </c>
      <c r="G127" s="3">
        <v>0</v>
      </c>
      <c r="H127" s="4">
        <v>0.7</v>
      </c>
      <c r="I127" s="28">
        <f t="shared" si="3"/>
        <v>1193.4530453848859</v>
      </c>
    </row>
    <row r="128" spans="1:9" ht="15.75" customHeight="1" x14ac:dyDescent="0.35">
      <c r="A128" s="26" t="s">
        <v>12228</v>
      </c>
      <c r="B128" s="25" t="s">
        <v>12229</v>
      </c>
      <c r="C128" s="6" t="s">
        <v>12229</v>
      </c>
      <c r="D128" s="13">
        <v>11018.347469999999</v>
      </c>
      <c r="E128" s="18">
        <v>21</v>
      </c>
      <c r="F128" s="2">
        <f t="shared" si="2"/>
        <v>13332.200438699998</v>
      </c>
      <c r="G128" s="3">
        <v>0</v>
      </c>
      <c r="H128" s="4">
        <v>0.7</v>
      </c>
      <c r="I128" s="28">
        <f t="shared" si="3"/>
        <v>22664.740745789997</v>
      </c>
    </row>
    <row r="129" spans="1:9" ht="15.75" customHeight="1" x14ac:dyDescent="0.35">
      <c r="A129" s="26" t="s">
        <v>12230</v>
      </c>
      <c r="B129" s="25" t="s">
        <v>12231</v>
      </c>
      <c r="C129" s="6" t="s">
        <v>12231</v>
      </c>
      <c r="D129" s="13">
        <v>19252.907504999999</v>
      </c>
      <c r="E129" s="18">
        <v>21</v>
      </c>
      <c r="F129" s="2">
        <f t="shared" si="2"/>
        <v>23296.018081049999</v>
      </c>
      <c r="G129" s="3">
        <v>0</v>
      </c>
      <c r="H129" s="4">
        <v>0.7</v>
      </c>
      <c r="I129" s="28">
        <f t="shared" si="3"/>
        <v>39603.230737784994</v>
      </c>
    </row>
    <row r="130" spans="1:9" ht="15.75" customHeight="1" x14ac:dyDescent="0.35">
      <c r="A130" s="26" t="s">
        <v>2534</v>
      </c>
      <c r="B130" s="25" t="s">
        <v>9464</v>
      </c>
      <c r="C130" s="6" t="s">
        <v>9464</v>
      </c>
      <c r="D130" s="13">
        <v>1982.1344593050001</v>
      </c>
      <c r="E130" s="18">
        <v>21</v>
      </c>
      <c r="F130" s="2">
        <f t="shared" si="2"/>
        <v>2398.38269575905</v>
      </c>
      <c r="G130" s="3">
        <v>0</v>
      </c>
      <c r="H130" s="4">
        <v>0.7</v>
      </c>
      <c r="I130" s="28">
        <f t="shared" si="3"/>
        <v>4077.2505827903847</v>
      </c>
    </row>
    <row r="131" spans="1:9" ht="15.75" customHeight="1" x14ac:dyDescent="0.35">
      <c r="A131" s="26" t="s">
        <v>9673</v>
      </c>
      <c r="B131" s="25" t="s">
        <v>11678</v>
      </c>
      <c r="C131" s="6" t="s">
        <v>11678</v>
      </c>
      <c r="D131" s="13">
        <v>11120.2104</v>
      </c>
      <c r="E131" s="18">
        <v>21</v>
      </c>
      <c r="F131" s="2">
        <f t="shared" si="2"/>
        <v>13455.454583999999</v>
      </c>
      <c r="G131" s="3">
        <v>0</v>
      </c>
      <c r="H131" s="4">
        <v>0.7</v>
      </c>
      <c r="I131" s="28">
        <f t="shared" si="3"/>
        <v>22874.272792799999</v>
      </c>
    </row>
    <row r="132" spans="1:9" ht="15.75" customHeight="1" x14ac:dyDescent="0.35">
      <c r="A132" s="26" t="s">
        <v>9774</v>
      </c>
      <c r="B132" s="25" t="s">
        <v>11679</v>
      </c>
      <c r="C132" s="6" t="s">
        <v>11679</v>
      </c>
      <c r="D132" s="13">
        <v>11120.2104</v>
      </c>
      <c r="E132" s="18">
        <v>21</v>
      </c>
      <c r="F132" s="2">
        <f t="shared" si="2"/>
        <v>13455.454583999999</v>
      </c>
      <c r="G132" s="3">
        <v>0</v>
      </c>
      <c r="H132" s="4">
        <v>0.7</v>
      </c>
      <c r="I132" s="28">
        <f t="shared" si="3"/>
        <v>22874.272792799999</v>
      </c>
    </row>
    <row r="133" spans="1:9" ht="15.75" customHeight="1" x14ac:dyDescent="0.35">
      <c r="A133" s="26" t="s">
        <v>9674</v>
      </c>
      <c r="B133" s="25" t="s">
        <v>9794</v>
      </c>
      <c r="C133" s="6" t="s">
        <v>9794</v>
      </c>
      <c r="D133" s="13">
        <v>12101.7</v>
      </c>
      <c r="E133" s="18">
        <v>21</v>
      </c>
      <c r="F133" s="2">
        <f t="shared" si="2"/>
        <v>14643.057000000001</v>
      </c>
      <c r="G133" s="3">
        <v>0</v>
      </c>
      <c r="H133" s="4">
        <v>0.7</v>
      </c>
      <c r="I133" s="28">
        <f t="shared" si="3"/>
        <v>24893.196899999999</v>
      </c>
    </row>
    <row r="134" spans="1:9" ht="15.75" customHeight="1" x14ac:dyDescent="0.35">
      <c r="A134" s="26" t="s">
        <v>9675</v>
      </c>
      <c r="B134" s="25" t="s">
        <v>9795</v>
      </c>
      <c r="C134" s="6" t="s">
        <v>9795</v>
      </c>
      <c r="D134" s="13">
        <v>12101.7</v>
      </c>
      <c r="E134" s="18">
        <v>21</v>
      </c>
      <c r="F134" s="2">
        <f t="shared" ref="F134:F197" si="4">D134*E134/100+D134</f>
        <v>14643.057000000001</v>
      </c>
      <c r="G134" s="3">
        <v>0</v>
      </c>
      <c r="H134" s="4">
        <v>0.7</v>
      </c>
      <c r="I134" s="28">
        <f t="shared" ref="I134:I197" si="5">IF(G134=-1,0,F134*((100-G134)/100)*(1+H134))</f>
        <v>24893.196899999999</v>
      </c>
    </row>
    <row r="135" spans="1:9" ht="15.75" customHeight="1" x14ac:dyDescent="0.35">
      <c r="A135" s="26" t="s">
        <v>3865</v>
      </c>
      <c r="B135" s="25" t="s">
        <v>1059</v>
      </c>
      <c r="C135" s="6" t="s">
        <v>1059</v>
      </c>
      <c r="D135" s="13">
        <v>18003.434799999999</v>
      </c>
      <c r="E135" s="18">
        <v>21</v>
      </c>
      <c r="F135" s="2">
        <f t="shared" si="4"/>
        <v>21784.156107999999</v>
      </c>
      <c r="G135" s="3">
        <v>0</v>
      </c>
      <c r="H135" s="4">
        <v>0.7</v>
      </c>
      <c r="I135" s="28">
        <f t="shared" si="5"/>
        <v>37033.065383599998</v>
      </c>
    </row>
    <row r="136" spans="1:9" ht="15.75" customHeight="1" x14ac:dyDescent="0.35">
      <c r="A136" s="26" t="s">
        <v>13687</v>
      </c>
      <c r="B136" s="25" t="s">
        <v>16</v>
      </c>
      <c r="C136" s="6" t="s">
        <v>13805</v>
      </c>
      <c r="D136" s="13">
        <v>1548.4087592999999</v>
      </c>
      <c r="E136" s="18">
        <v>21</v>
      </c>
      <c r="F136" s="2">
        <f t="shared" si="4"/>
        <v>1873.5745987529999</v>
      </c>
      <c r="G136" s="3">
        <v>0</v>
      </c>
      <c r="H136" s="4">
        <v>0.7</v>
      </c>
      <c r="I136" s="28">
        <f t="shared" si="5"/>
        <v>3185.0768178801</v>
      </c>
    </row>
    <row r="137" spans="1:9" ht="15.75" customHeight="1" x14ac:dyDescent="0.35">
      <c r="A137" s="26" t="s">
        <v>5656</v>
      </c>
      <c r="B137" s="25" t="s">
        <v>17</v>
      </c>
      <c r="C137" s="6" t="s">
        <v>16</v>
      </c>
      <c r="D137" s="13">
        <v>24.420396058368699</v>
      </c>
      <c r="E137" s="18">
        <v>21</v>
      </c>
      <c r="F137" s="2">
        <f t="shared" si="4"/>
        <v>29.548679230626124</v>
      </c>
      <c r="G137" s="3">
        <v>0</v>
      </c>
      <c r="H137" s="4">
        <v>0.7</v>
      </c>
      <c r="I137" s="28">
        <f t="shared" si="5"/>
        <v>50.232754692064411</v>
      </c>
    </row>
    <row r="138" spans="1:9" ht="15.75" customHeight="1" x14ac:dyDescent="0.35">
      <c r="A138" s="26" t="s">
        <v>5657</v>
      </c>
      <c r="B138" s="25" t="s">
        <v>18</v>
      </c>
      <c r="C138" s="6" t="s">
        <v>17</v>
      </c>
      <c r="D138" s="13">
        <v>24.420396058368699</v>
      </c>
      <c r="E138" s="18">
        <v>21</v>
      </c>
      <c r="F138" s="2">
        <f t="shared" si="4"/>
        <v>29.548679230626124</v>
      </c>
      <c r="G138" s="3">
        <v>0</v>
      </c>
      <c r="H138" s="4">
        <v>0.7</v>
      </c>
      <c r="I138" s="28">
        <f t="shared" si="5"/>
        <v>50.232754692064411</v>
      </c>
    </row>
    <row r="139" spans="1:9" ht="15.75" customHeight="1" x14ac:dyDescent="0.35">
      <c r="A139" s="26" t="s">
        <v>3445</v>
      </c>
      <c r="B139" s="25" t="s">
        <v>11068</v>
      </c>
      <c r="C139" s="6" t="s">
        <v>18</v>
      </c>
      <c r="D139" s="13">
        <v>2457.5402085000001</v>
      </c>
      <c r="E139" s="18">
        <v>21</v>
      </c>
      <c r="F139" s="2">
        <f t="shared" si="4"/>
        <v>2973.6236522849999</v>
      </c>
      <c r="G139" s="3">
        <v>0</v>
      </c>
      <c r="H139" s="4">
        <v>0.7</v>
      </c>
      <c r="I139" s="28">
        <f t="shared" si="5"/>
        <v>5055.1602088845002</v>
      </c>
    </row>
    <row r="140" spans="1:9" ht="15.75" customHeight="1" x14ac:dyDescent="0.35">
      <c r="A140" s="26" t="s">
        <v>13842</v>
      </c>
      <c r="B140" s="25" t="s">
        <v>11270</v>
      </c>
      <c r="C140" s="6" t="s">
        <v>13879</v>
      </c>
      <c r="D140" s="13">
        <v>2464.5278969999999</v>
      </c>
      <c r="E140" s="18">
        <v>21</v>
      </c>
      <c r="F140" s="2">
        <f t="shared" si="4"/>
        <v>2982.0787553700002</v>
      </c>
      <c r="G140" s="3">
        <v>0</v>
      </c>
      <c r="H140" s="4">
        <v>0.7</v>
      </c>
      <c r="I140" s="28">
        <f t="shared" si="5"/>
        <v>5069.5338841290004</v>
      </c>
    </row>
    <row r="141" spans="1:9" ht="15.75" customHeight="1" x14ac:dyDescent="0.35">
      <c r="A141" s="26" t="s">
        <v>4965</v>
      </c>
      <c r="B141" s="25" t="s">
        <v>9465</v>
      </c>
      <c r="C141" s="6" t="s">
        <v>11068</v>
      </c>
      <c r="D141" s="13">
        <v>948.41506801080004</v>
      </c>
      <c r="E141" s="18">
        <v>21</v>
      </c>
      <c r="F141" s="2">
        <f t="shared" si="4"/>
        <v>1147.582232293068</v>
      </c>
      <c r="G141" s="3">
        <v>0</v>
      </c>
      <c r="H141" s="4">
        <v>0.7</v>
      </c>
      <c r="I141" s="28">
        <f t="shared" si="5"/>
        <v>1950.8897948982155</v>
      </c>
    </row>
    <row r="142" spans="1:9" ht="15.75" customHeight="1" x14ac:dyDescent="0.35">
      <c r="A142" s="26" t="s">
        <v>4966</v>
      </c>
      <c r="B142" s="25" t="s">
        <v>19</v>
      </c>
      <c r="C142" s="6" t="s">
        <v>11270</v>
      </c>
      <c r="D142" s="13">
        <v>1237.9157962704001</v>
      </c>
      <c r="E142" s="18">
        <v>21</v>
      </c>
      <c r="F142" s="2">
        <f t="shared" si="4"/>
        <v>1497.878113487184</v>
      </c>
      <c r="G142" s="3">
        <v>0</v>
      </c>
      <c r="H142" s="4">
        <v>0.7</v>
      </c>
      <c r="I142" s="28">
        <f t="shared" si="5"/>
        <v>2546.3927929282127</v>
      </c>
    </row>
    <row r="143" spans="1:9" ht="15.75" customHeight="1" x14ac:dyDescent="0.35">
      <c r="A143" s="26" t="s">
        <v>3496</v>
      </c>
      <c r="B143" s="25" t="s">
        <v>20</v>
      </c>
      <c r="C143" s="6" t="s">
        <v>9465</v>
      </c>
      <c r="D143" s="13">
        <v>2934.4535999999998</v>
      </c>
      <c r="E143" s="18">
        <v>21</v>
      </c>
      <c r="F143" s="2">
        <f t="shared" si="4"/>
        <v>3550.6888559999998</v>
      </c>
      <c r="G143" s="3">
        <v>0</v>
      </c>
      <c r="H143" s="4">
        <v>0.7</v>
      </c>
      <c r="I143" s="28">
        <f t="shared" si="5"/>
        <v>6036.1710551999995</v>
      </c>
    </row>
    <row r="144" spans="1:9" ht="15.75" customHeight="1" x14ac:dyDescent="0.35">
      <c r="A144" s="26" t="s">
        <v>5650</v>
      </c>
      <c r="B144" s="25" t="s">
        <v>10040</v>
      </c>
      <c r="C144" s="6" t="s">
        <v>20</v>
      </c>
      <c r="D144" s="13">
        <v>1530.1</v>
      </c>
      <c r="E144" s="18">
        <v>21</v>
      </c>
      <c r="F144" s="2">
        <f t="shared" si="4"/>
        <v>1851.4209999999998</v>
      </c>
      <c r="G144" s="3">
        <v>0</v>
      </c>
      <c r="H144" s="4">
        <v>0.7</v>
      </c>
      <c r="I144" s="28">
        <f t="shared" si="5"/>
        <v>3147.4156999999996</v>
      </c>
    </row>
    <row r="145" spans="1:9" ht="15.75" customHeight="1" x14ac:dyDescent="0.35">
      <c r="A145" s="26" t="s">
        <v>10039</v>
      </c>
      <c r="B145" s="25" t="s">
        <v>12010</v>
      </c>
      <c r="C145" s="6" t="s">
        <v>10040</v>
      </c>
      <c r="D145" s="13">
        <v>5007.6000000000004</v>
      </c>
      <c r="E145" s="18">
        <v>21</v>
      </c>
      <c r="F145" s="2">
        <f t="shared" si="4"/>
        <v>6059.1959999999999</v>
      </c>
      <c r="G145" s="3">
        <v>0</v>
      </c>
      <c r="H145" s="4">
        <v>0.7</v>
      </c>
      <c r="I145" s="28">
        <f t="shared" si="5"/>
        <v>10300.6332</v>
      </c>
    </row>
    <row r="146" spans="1:9" ht="15.75" customHeight="1" x14ac:dyDescent="0.35">
      <c r="A146" s="26" t="s">
        <v>9960</v>
      </c>
      <c r="B146" s="25" t="s">
        <v>12569</v>
      </c>
      <c r="C146" s="6" t="s">
        <v>12010</v>
      </c>
      <c r="D146" s="13">
        <v>18614.918399999999</v>
      </c>
      <c r="E146" s="18">
        <v>21</v>
      </c>
      <c r="F146" s="2">
        <f t="shared" si="4"/>
        <v>22524.051263999998</v>
      </c>
      <c r="G146" s="3">
        <v>0</v>
      </c>
      <c r="H146" s="4">
        <v>0.7</v>
      </c>
      <c r="I146" s="28">
        <f t="shared" si="5"/>
        <v>38290.887148799993</v>
      </c>
    </row>
    <row r="147" spans="1:9" ht="15.75" customHeight="1" x14ac:dyDescent="0.35">
      <c r="A147" s="26" t="s">
        <v>11439</v>
      </c>
      <c r="B147" s="25" t="s">
        <v>12570</v>
      </c>
      <c r="C147" s="6" t="s">
        <v>12569</v>
      </c>
      <c r="D147" s="13">
        <v>3049.51712</v>
      </c>
      <c r="E147" s="18">
        <v>21</v>
      </c>
      <c r="F147" s="2">
        <f t="shared" si="4"/>
        <v>3689.9157151999998</v>
      </c>
      <c r="G147" s="3">
        <v>0</v>
      </c>
      <c r="H147" s="4">
        <v>0.7</v>
      </c>
      <c r="I147" s="28">
        <f t="shared" si="5"/>
        <v>6272.8567158399992</v>
      </c>
    </row>
    <row r="148" spans="1:9" ht="15.75" customHeight="1" x14ac:dyDescent="0.35">
      <c r="A148" s="26" t="s">
        <v>9961</v>
      </c>
      <c r="B148" s="25" t="s">
        <v>12011</v>
      </c>
      <c r="C148" s="6" t="s">
        <v>12570</v>
      </c>
      <c r="D148" s="13">
        <v>5190.9894400000003</v>
      </c>
      <c r="E148" s="18">
        <v>21</v>
      </c>
      <c r="F148" s="2">
        <f t="shared" si="4"/>
        <v>6281.0972223999997</v>
      </c>
      <c r="G148" s="3">
        <v>0</v>
      </c>
      <c r="H148" s="4">
        <v>0.7</v>
      </c>
      <c r="I148" s="28">
        <f t="shared" si="5"/>
        <v>10677.865278079998</v>
      </c>
    </row>
    <row r="149" spans="1:9" ht="15.75" customHeight="1" x14ac:dyDescent="0.35">
      <c r="A149" s="26" t="s">
        <v>9962</v>
      </c>
      <c r="B149" s="25" t="s">
        <v>12671</v>
      </c>
      <c r="C149" s="6" t="s">
        <v>12011</v>
      </c>
      <c r="D149" s="13">
        <v>9700.9452799999999</v>
      </c>
      <c r="E149" s="18">
        <v>21</v>
      </c>
      <c r="F149" s="2">
        <f t="shared" si="4"/>
        <v>11738.1437888</v>
      </c>
      <c r="G149" s="3">
        <v>0</v>
      </c>
      <c r="H149" s="4">
        <v>0.7</v>
      </c>
      <c r="I149" s="28">
        <f t="shared" si="5"/>
        <v>19954.844440959998</v>
      </c>
    </row>
    <row r="150" spans="1:9" ht="15.75" customHeight="1" x14ac:dyDescent="0.35">
      <c r="A150" s="26" t="s">
        <v>12670</v>
      </c>
      <c r="B150" s="25" t="s">
        <v>1082</v>
      </c>
      <c r="C150" s="6" t="s">
        <v>12671</v>
      </c>
      <c r="D150" s="13">
        <v>1604.2124799999999</v>
      </c>
      <c r="E150" s="18">
        <v>21</v>
      </c>
      <c r="F150" s="2">
        <f t="shared" si="4"/>
        <v>1941.0971007999999</v>
      </c>
      <c r="G150" s="3">
        <v>0</v>
      </c>
      <c r="H150" s="4">
        <v>0.7</v>
      </c>
      <c r="I150" s="28">
        <f t="shared" si="5"/>
        <v>3299.8650713599995</v>
      </c>
    </row>
    <row r="151" spans="1:9" ht="15.75" customHeight="1" x14ac:dyDescent="0.35">
      <c r="A151" s="26" t="s">
        <v>2382</v>
      </c>
      <c r="B151" s="25" t="s">
        <v>1083</v>
      </c>
      <c r="C151" s="6" t="s">
        <v>1082</v>
      </c>
      <c r="D151" s="13">
        <v>6838.9491059135999</v>
      </c>
      <c r="E151" s="18">
        <v>21</v>
      </c>
      <c r="F151" s="2">
        <f t="shared" si="4"/>
        <v>8275.1284181554565</v>
      </c>
      <c r="G151" s="3">
        <v>0</v>
      </c>
      <c r="H151" s="4">
        <v>0.7</v>
      </c>
      <c r="I151" s="28">
        <f t="shared" si="5"/>
        <v>14067.718310864275</v>
      </c>
    </row>
    <row r="152" spans="1:9" ht="15.75" customHeight="1" x14ac:dyDescent="0.35">
      <c r="A152" s="26" t="s">
        <v>1422</v>
      </c>
      <c r="B152" s="25" t="s">
        <v>10177</v>
      </c>
      <c r="C152" s="6" t="s">
        <v>1083</v>
      </c>
      <c r="D152" s="13">
        <v>40015.592499999999</v>
      </c>
      <c r="E152" s="18">
        <v>21</v>
      </c>
      <c r="F152" s="2">
        <f t="shared" si="4"/>
        <v>48418.866924999995</v>
      </c>
      <c r="G152" s="3">
        <v>0</v>
      </c>
      <c r="H152" s="4">
        <v>0.7</v>
      </c>
      <c r="I152" s="28">
        <f t="shared" si="5"/>
        <v>82312.073772499993</v>
      </c>
    </row>
    <row r="153" spans="1:9" ht="15.75" customHeight="1" x14ac:dyDescent="0.35">
      <c r="A153" s="26" t="s">
        <v>9622</v>
      </c>
      <c r="B153" s="25" t="s">
        <v>9623</v>
      </c>
      <c r="C153" s="6" t="s">
        <v>10177</v>
      </c>
      <c r="D153" s="13">
        <v>13749.287554369301</v>
      </c>
      <c r="E153" s="18">
        <v>21</v>
      </c>
      <c r="F153" s="2">
        <f t="shared" si="4"/>
        <v>16636.637940786852</v>
      </c>
      <c r="G153" s="3">
        <v>0</v>
      </c>
      <c r="H153" s="4">
        <v>0.7</v>
      </c>
      <c r="I153" s="28">
        <f t="shared" si="5"/>
        <v>28282.284499337646</v>
      </c>
    </row>
    <row r="154" spans="1:9" ht="15.75" customHeight="1" x14ac:dyDescent="0.35">
      <c r="A154" s="26" t="s">
        <v>11639</v>
      </c>
      <c r="B154" s="25" t="s">
        <v>11825</v>
      </c>
      <c r="C154" s="6" t="s">
        <v>11825</v>
      </c>
      <c r="D154" s="13">
        <v>45187.324476970003</v>
      </c>
      <c r="E154" s="18">
        <v>21</v>
      </c>
      <c r="F154" s="2">
        <f t="shared" si="4"/>
        <v>54676.662617133705</v>
      </c>
      <c r="G154" s="3">
        <v>0</v>
      </c>
      <c r="H154" s="4">
        <v>0.7</v>
      </c>
      <c r="I154" s="28">
        <f t="shared" si="5"/>
        <v>92950.3264491273</v>
      </c>
    </row>
    <row r="155" spans="1:9" ht="15.75" customHeight="1" x14ac:dyDescent="0.35">
      <c r="A155" s="26" t="s">
        <v>11826</v>
      </c>
      <c r="B155" s="25" t="s">
        <v>11827</v>
      </c>
      <c r="C155" s="6" t="s">
        <v>11827</v>
      </c>
      <c r="D155" s="13">
        <v>15568.20631669875</v>
      </c>
      <c r="E155" s="18">
        <v>10.5</v>
      </c>
      <c r="F155" s="2">
        <f t="shared" si="4"/>
        <v>17202.86797995212</v>
      </c>
      <c r="G155" s="3">
        <v>0</v>
      </c>
      <c r="H155" s="4">
        <v>0.7</v>
      </c>
      <c r="I155" s="28">
        <f t="shared" si="5"/>
        <v>29244.875565918603</v>
      </c>
    </row>
    <row r="156" spans="1:9" ht="15.75" customHeight="1" x14ac:dyDescent="0.35">
      <c r="A156" s="26" t="s">
        <v>11828</v>
      </c>
      <c r="B156" s="25" t="s">
        <v>11829</v>
      </c>
      <c r="C156" s="6" t="s">
        <v>11829</v>
      </c>
      <c r="D156" s="13">
        <v>15568.20631669875</v>
      </c>
      <c r="E156" s="18">
        <v>10.5</v>
      </c>
      <c r="F156" s="2">
        <f t="shared" si="4"/>
        <v>17202.86797995212</v>
      </c>
      <c r="G156" s="3">
        <v>0</v>
      </c>
      <c r="H156" s="4">
        <v>0.7</v>
      </c>
      <c r="I156" s="28">
        <f t="shared" si="5"/>
        <v>29244.875565918603</v>
      </c>
    </row>
    <row r="157" spans="1:9" ht="15.75" customHeight="1" x14ac:dyDescent="0.35">
      <c r="A157" s="26" t="s">
        <v>5658</v>
      </c>
      <c r="B157" s="25" t="s">
        <v>21</v>
      </c>
      <c r="C157" s="6" t="s">
        <v>21</v>
      </c>
      <c r="D157" s="13">
        <v>0.65794299999999994</v>
      </c>
      <c r="E157" s="18">
        <v>21</v>
      </c>
      <c r="F157" s="2">
        <f t="shared" si="4"/>
        <v>0.79611102999999994</v>
      </c>
      <c r="G157" s="3">
        <v>0</v>
      </c>
      <c r="H157" s="4">
        <v>0.7</v>
      </c>
      <c r="I157" s="28">
        <f t="shared" si="5"/>
        <v>1.3533887509999998</v>
      </c>
    </row>
    <row r="158" spans="1:9" ht="15.75" customHeight="1" x14ac:dyDescent="0.35">
      <c r="A158" s="26" t="s">
        <v>5659</v>
      </c>
      <c r="B158" s="25" t="s">
        <v>22</v>
      </c>
      <c r="C158" s="6" t="s">
        <v>22</v>
      </c>
      <c r="D158" s="13">
        <v>1185.64389547119</v>
      </c>
      <c r="E158" s="18">
        <v>21</v>
      </c>
      <c r="F158" s="2">
        <f t="shared" si="4"/>
        <v>1434.62911352014</v>
      </c>
      <c r="G158" s="3">
        <v>0</v>
      </c>
      <c r="H158" s="4">
        <v>0.7</v>
      </c>
      <c r="I158" s="28">
        <f t="shared" si="5"/>
        <v>2438.8694929842377</v>
      </c>
    </row>
    <row r="159" spans="1:9" ht="15.75" customHeight="1" x14ac:dyDescent="0.35">
      <c r="A159" s="26" t="s">
        <v>5660</v>
      </c>
      <c r="B159" s="25" t="s">
        <v>23</v>
      </c>
      <c r="C159" s="6" t="s">
        <v>23</v>
      </c>
      <c r="D159" s="13">
        <v>1449.64731585083</v>
      </c>
      <c r="E159" s="18">
        <v>21</v>
      </c>
      <c r="F159" s="2">
        <f t="shared" si="4"/>
        <v>1754.0732521795044</v>
      </c>
      <c r="G159" s="3">
        <v>0</v>
      </c>
      <c r="H159" s="4">
        <v>0.7</v>
      </c>
      <c r="I159" s="28">
        <f t="shared" si="5"/>
        <v>2981.9245287051572</v>
      </c>
    </row>
    <row r="160" spans="1:9" ht="15.75" customHeight="1" x14ac:dyDescent="0.35">
      <c r="A160" s="26" t="s">
        <v>5661</v>
      </c>
      <c r="B160" s="25" t="s">
        <v>1199</v>
      </c>
      <c r="C160" s="6" t="s">
        <v>1199</v>
      </c>
      <c r="D160" s="13">
        <v>2062.011801096</v>
      </c>
      <c r="E160" s="18">
        <v>21</v>
      </c>
      <c r="F160" s="2">
        <f t="shared" si="4"/>
        <v>2495.0342793261598</v>
      </c>
      <c r="G160" s="3">
        <v>0</v>
      </c>
      <c r="H160" s="4">
        <v>0.7</v>
      </c>
      <c r="I160" s="28">
        <f t="shared" si="5"/>
        <v>4241.5582748544712</v>
      </c>
    </row>
    <row r="161" spans="1:9" ht="15.75" customHeight="1" x14ac:dyDescent="0.35">
      <c r="A161" s="26" t="s">
        <v>3947</v>
      </c>
      <c r="B161" s="25" t="s">
        <v>10041</v>
      </c>
      <c r="C161" s="6" t="s">
        <v>12074</v>
      </c>
      <c r="D161" s="13">
        <v>101212.4984</v>
      </c>
      <c r="E161" s="18">
        <v>21</v>
      </c>
      <c r="F161" s="2">
        <f t="shared" si="4"/>
        <v>122467.123064</v>
      </c>
      <c r="G161" s="3">
        <v>0</v>
      </c>
      <c r="H161" s="4">
        <v>0.7</v>
      </c>
      <c r="I161" s="28">
        <f t="shared" si="5"/>
        <v>208194.10920879999</v>
      </c>
    </row>
    <row r="162" spans="1:9" ht="15.75" customHeight="1" x14ac:dyDescent="0.35">
      <c r="A162" s="26" t="s">
        <v>3950</v>
      </c>
      <c r="B162" s="25" t="s">
        <v>9905</v>
      </c>
      <c r="C162" s="6" t="s">
        <v>12075</v>
      </c>
      <c r="D162" s="13">
        <v>128853.3376</v>
      </c>
      <c r="E162" s="18">
        <v>21</v>
      </c>
      <c r="F162" s="2">
        <f t="shared" si="4"/>
        <v>155912.53849599999</v>
      </c>
      <c r="G162" s="3">
        <v>0</v>
      </c>
      <c r="H162" s="4">
        <v>0.7</v>
      </c>
      <c r="I162" s="28">
        <f t="shared" si="5"/>
        <v>265051.3154432</v>
      </c>
    </row>
    <row r="163" spans="1:9" ht="15.75" customHeight="1" x14ac:dyDescent="0.35">
      <c r="A163" s="26" t="s">
        <v>3951</v>
      </c>
      <c r="B163" s="25" t="s">
        <v>10042</v>
      </c>
      <c r="C163" s="6" t="s">
        <v>12076</v>
      </c>
      <c r="D163" s="13">
        <v>87152.270399999994</v>
      </c>
      <c r="E163" s="18">
        <v>21</v>
      </c>
      <c r="F163" s="2">
        <f t="shared" si="4"/>
        <v>105454.24718399999</v>
      </c>
      <c r="G163" s="3">
        <v>0</v>
      </c>
      <c r="H163" s="4">
        <v>0.7</v>
      </c>
      <c r="I163" s="28">
        <f t="shared" si="5"/>
        <v>179272.22021279999</v>
      </c>
    </row>
    <row r="164" spans="1:9" ht="15.75" customHeight="1" x14ac:dyDescent="0.35">
      <c r="A164" s="26" t="s">
        <v>3975</v>
      </c>
      <c r="B164" s="25" t="s">
        <v>9906</v>
      </c>
      <c r="C164" s="6" t="s">
        <v>11680</v>
      </c>
      <c r="D164" s="13">
        <v>34461.190399999999</v>
      </c>
      <c r="E164" s="18">
        <v>21</v>
      </c>
      <c r="F164" s="2">
        <f t="shared" si="4"/>
        <v>41698.040384</v>
      </c>
      <c r="G164" s="3">
        <v>0</v>
      </c>
      <c r="H164" s="4">
        <v>0.7</v>
      </c>
      <c r="I164" s="28">
        <f t="shared" si="5"/>
        <v>70886.668652799999</v>
      </c>
    </row>
    <row r="165" spans="1:9" ht="15.75" customHeight="1" x14ac:dyDescent="0.35">
      <c r="A165" s="26" t="s">
        <v>4056</v>
      </c>
      <c r="B165" s="25" t="s">
        <v>10043</v>
      </c>
      <c r="C165" s="6" t="s">
        <v>11640</v>
      </c>
      <c r="D165" s="13">
        <v>33384</v>
      </c>
      <c r="E165" s="18">
        <v>21</v>
      </c>
      <c r="F165" s="2">
        <f t="shared" si="4"/>
        <v>40394.639999999999</v>
      </c>
      <c r="G165" s="3">
        <v>0</v>
      </c>
      <c r="H165" s="4">
        <v>0.7</v>
      </c>
      <c r="I165" s="28">
        <f t="shared" si="5"/>
        <v>68670.887999999992</v>
      </c>
    </row>
    <row r="166" spans="1:9" ht="15.75" customHeight="1" x14ac:dyDescent="0.35">
      <c r="A166" s="26" t="s">
        <v>4057</v>
      </c>
      <c r="B166" s="25" t="s">
        <v>10044</v>
      </c>
      <c r="C166" s="6" t="s">
        <v>11641</v>
      </c>
      <c r="D166" s="13">
        <v>50215.1</v>
      </c>
      <c r="E166" s="18">
        <v>21</v>
      </c>
      <c r="F166" s="2">
        <f t="shared" si="4"/>
        <v>60760.270999999993</v>
      </c>
      <c r="G166" s="3">
        <v>0</v>
      </c>
      <c r="H166" s="4">
        <v>0.7</v>
      </c>
      <c r="I166" s="28">
        <f t="shared" si="5"/>
        <v>103292.46069999998</v>
      </c>
    </row>
    <row r="167" spans="1:9" ht="15.75" customHeight="1" x14ac:dyDescent="0.35">
      <c r="A167" s="26" t="s">
        <v>8828</v>
      </c>
      <c r="B167" s="25" t="s">
        <v>12074</v>
      </c>
      <c r="C167" s="6" t="s">
        <v>8829</v>
      </c>
      <c r="D167" s="13">
        <v>18169.7984</v>
      </c>
      <c r="E167" s="18">
        <v>21</v>
      </c>
      <c r="F167" s="2">
        <f t="shared" si="4"/>
        <v>21985.456063999998</v>
      </c>
      <c r="G167" s="3">
        <v>0</v>
      </c>
      <c r="H167" s="4">
        <v>0.7</v>
      </c>
      <c r="I167" s="28">
        <f t="shared" si="5"/>
        <v>37375.275308799995</v>
      </c>
    </row>
    <row r="168" spans="1:9" ht="15.75" customHeight="1" x14ac:dyDescent="0.35">
      <c r="A168" s="26" t="s">
        <v>8830</v>
      </c>
      <c r="B168" s="25" t="s">
        <v>12075</v>
      </c>
      <c r="C168" s="6" t="s">
        <v>8831</v>
      </c>
      <c r="D168" s="13">
        <v>8481.7615999999998</v>
      </c>
      <c r="E168" s="18">
        <v>21</v>
      </c>
      <c r="F168" s="2">
        <f t="shared" si="4"/>
        <v>10262.931536</v>
      </c>
      <c r="G168" s="3">
        <v>0</v>
      </c>
      <c r="H168" s="4">
        <v>0.7</v>
      </c>
      <c r="I168" s="28">
        <f t="shared" si="5"/>
        <v>17446.983611200001</v>
      </c>
    </row>
    <row r="169" spans="1:9" ht="15.75" customHeight="1" x14ac:dyDescent="0.35">
      <c r="A169" s="26" t="s">
        <v>4067</v>
      </c>
      <c r="B169" s="25" t="s">
        <v>12076</v>
      </c>
      <c r="C169" s="6" t="s">
        <v>9303</v>
      </c>
      <c r="D169" s="13">
        <v>54844.258280499998</v>
      </c>
      <c r="E169" s="18">
        <v>21</v>
      </c>
      <c r="F169" s="2">
        <f t="shared" si="4"/>
        <v>66361.552519404999</v>
      </c>
      <c r="G169" s="3">
        <v>0</v>
      </c>
      <c r="H169" s="4">
        <v>0.7</v>
      </c>
      <c r="I169" s="28">
        <f t="shared" si="5"/>
        <v>112814.6392829885</v>
      </c>
    </row>
    <row r="170" spans="1:9" ht="15.75" customHeight="1" x14ac:dyDescent="0.35">
      <c r="A170" s="26" t="s">
        <v>4060</v>
      </c>
      <c r="B170" s="25" t="s">
        <v>11680</v>
      </c>
      <c r="C170" s="6" t="s">
        <v>24</v>
      </c>
      <c r="D170" s="13">
        <v>76533.798568500002</v>
      </c>
      <c r="E170" s="18">
        <v>21</v>
      </c>
      <c r="F170" s="2">
        <f t="shared" si="4"/>
        <v>92605.896267885008</v>
      </c>
      <c r="G170" s="3">
        <v>0</v>
      </c>
      <c r="H170" s="4">
        <v>0.7</v>
      </c>
      <c r="I170" s="28">
        <f t="shared" si="5"/>
        <v>157430.02365540451</v>
      </c>
    </row>
    <row r="171" spans="1:9" ht="15.75" customHeight="1" x14ac:dyDescent="0.35">
      <c r="A171" s="26" t="s">
        <v>3823</v>
      </c>
      <c r="B171" s="25" t="s">
        <v>11640</v>
      </c>
      <c r="C171" s="6" t="s">
        <v>11681</v>
      </c>
      <c r="D171" s="13">
        <v>22466.319200000002</v>
      </c>
      <c r="E171" s="18">
        <v>21</v>
      </c>
      <c r="F171" s="2">
        <f t="shared" si="4"/>
        <v>27184.246232000001</v>
      </c>
      <c r="G171" s="3">
        <v>0</v>
      </c>
      <c r="H171" s="4">
        <v>0.7</v>
      </c>
      <c r="I171" s="28">
        <f t="shared" si="5"/>
        <v>46213.218594400001</v>
      </c>
    </row>
    <row r="172" spans="1:9" ht="15.75" customHeight="1" x14ac:dyDescent="0.35">
      <c r="A172" s="26" t="s">
        <v>11682</v>
      </c>
      <c r="B172" s="25" t="s">
        <v>11641</v>
      </c>
      <c r="C172" s="6" t="s">
        <v>11683</v>
      </c>
      <c r="D172" s="13">
        <v>23120.712368</v>
      </c>
      <c r="E172" s="18">
        <v>21</v>
      </c>
      <c r="F172" s="2">
        <f t="shared" si="4"/>
        <v>27976.061965280001</v>
      </c>
      <c r="G172" s="3">
        <v>0</v>
      </c>
      <c r="H172" s="4">
        <v>0.7</v>
      </c>
      <c r="I172" s="28">
        <f t="shared" si="5"/>
        <v>47559.305340976003</v>
      </c>
    </row>
    <row r="173" spans="1:9" ht="15.75" customHeight="1" x14ac:dyDescent="0.35">
      <c r="A173" s="26" t="s">
        <v>11684</v>
      </c>
      <c r="B173" s="25" t="s">
        <v>8829</v>
      </c>
      <c r="C173" s="6" t="s">
        <v>11685</v>
      </c>
      <c r="D173" s="13">
        <v>23120.712368</v>
      </c>
      <c r="E173" s="18">
        <v>21</v>
      </c>
      <c r="F173" s="2">
        <f t="shared" si="4"/>
        <v>27976.061965280001</v>
      </c>
      <c r="G173" s="3">
        <v>0</v>
      </c>
      <c r="H173" s="4">
        <v>0.7</v>
      </c>
      <c r="I173" s="28">
        <f t="shared" si="5"/>
        <v>47559.305340976003</v>
      </c>
    </row>
    <row r="174" spans="1:9" ht="15.75" customHeight="1" x14ac:dyDescent="0.35">
      <c r="A174" s="26" t="s">
        <v>3953</v>
      </c>
      <c r="B174" s="25" t="s">
        <v>8831</v>
      </c>
      <c r="C174" s="6" t="s">
        <v>9160</v>
      </c>
      <c r="D174" s="13">
        <v>3121.404</v>
      </c>
      <c r="E174" s="18">
        <v>21</v>
      </c>
      <c r="F174" s="2">
        <f t="shared" si="4"/>
        <v>3776.8988399999998</v>
      </c>
      <c r="G174" s="3">
        <v>0</v>
      </c>
      <c r="H174" s="4">
        <v>0.7</v>
      </c>
      <c r="I174" s="28">
        <f t="shared" si="5"/>
        <v>6420.7280279999995</v>
      </c>
    </row>
    <row r="175" spans="1:9" ht="15.75" customHeight="1" x14ac:dyDescent="0.35">
      <c r="A175" s="26" t="s">
        <v>3954</v>
      </c>
      <c r="B175" s="25" t="s">
        <v>9303</v>
      </c>
      <c r="C175" s="6" t="s">
        <v>9161</v>
      </c>
      <c r="D175" s="13">
        <v>3442.7249999999999</v>
      </c>
      <c r="E175" s="18">
        <v>21</v>
      </c>
      <c r="F175" s="2">
        <f t="shared" si="4"/>
        <v>4165.6972500000002</v>
      </c>
      <c r="G175" s="3">
        <v>0</v>
      </c>
      <c r="H175" s="4">
        <v>0.7</v>
      </c>
      <c r="I175" s="28">
        <f t="shared" si="5"/>
        <v>7081.6853250000004</v>
      </c>
    </row>
    <row r="176" spans="1:9" ht="15.75" customHeight="1" x14ac:dyDescent="0.35">
      <c r="A176" s="26" t="s">
        <v>13025</v>
      </c>
      <c r="B176" s="25" t="s">
        <v>24</v>
      </c>
      <c r="C176" s="6" t="s">
        <v>13780</v>
      </c>
      <c r="D176" s="13">
        <v>11294.92</v>
      </c>
      <c r="E176" s="18">
        <v>21</v>
      </c>
      <c r="F176" s="2">
        <f t="shared" si="4"/>
        <v>13666.8532</v>
      </c>
      <c r="G176" s="3">
        <v>0</v>
      </c>
      <c r="H176" s="4">
        <v>0.7</v>
      </c>
      <c r="I176" s="28">
        <f t="shared" si="5"/>
        <v>23233.650439999998</v>
      </c>
    </row>
    <row r="177" spans="1:9" ht="15.75" customHeight="1" x14ac:dyDescent="0.35">
      <c r="A177" s="26" t="s">
        <v>11686</v>
      </c>
      <c r="B177" s="25" t="s">
        <v>11681</v>
      </c>
      <c r="C177" s="6" t="s">
        <v>11687</v>
      </c>
      <c r="D177" s="13">
        <v>11517.48</v>
      </c>
      <c r="E177" s="18">
        <v>21</v>
      </c>
      <c r="F177" s="2">
        <f t="shared" si="4"/>
        <v>13936.150799999999</v>
      </c>
      <c r="G177" s="3">
        <v>0</v>
      </c>
      <c r="H177" s="4">
        <v>0.7</v>
      </c>
      <c r="I177" s="28">
        <f t="shared" si="5"/>
        <v>23691.45636</v>
      </c>
    </row>
    <row r="178" spans="1:9" ht="15.75" customHeight="1" x14ac:dyDescent="0.35">
      <c r="A178" s="26" t="s">
        <v>10793</v>
      </c>
      <c r="B178" s="25" t="s">
        <v>11683</v>
      </c>
      <c r="C178" s="6" t="s">
        <v>10794</v>
      </c>
      <c r="D178" s="13">
        <v>11564.67663</v>
      </c>
      <c r="E178" s="18">
        <v>21</v>
      </c>
      <c r="F178" s="2">
        <f t="shared" si="4"/>
        <v>13993.258722300001</v>
      </c>
      <c r="G178" s="3">
        <v>0</v>
      </c>
      <c r="H178" s="4">
        <v>0.7</v>
      </c>
      <c r="I178" s="28">
        <f t="shared" si="5"/>
        <v>23788.539827910001</v>
      </c>
    </row>
    <row r="179" spans="1:9" ht="15.75" customHeight="1" x14ac:dyDescent="0.35">
      <c r="A179" s="26" t="s">
        <v>4063</v>
      </c>
      <c r="B179" s="25" t="s">
        <v>11685</v>
      </c>
      <c r="C179" s="6" t="s">
        <v>10045</v>
      </c>
      <c r="D179" s="13">
        <v>5768.7551999999996</v>
      </c>
      <c r="E179" s="18">
        <v>21</v>
      </c>
      <c r="F179" s="2">
        <f t="shared" si="4"/>
        <v>6980.193792</v>
      </c>
      <c r="G179" s="3">
        <v>0</v>
      </c>
      <c r="H179" s="4">
        <v>0.7</v>
      </c>
      <c r="I179" s="28">
        <f t="shared" si="5"/>
        <v>11866.329446399999</v>
      </c>
    </row>
    <row r="180" spans="1:9" ht="15.75" customHeight="1" x14ac:dyDescent="0.35">
      <c r="A180" s="26" t="s">
        <v>3959</v>
      </c>
      <c r="B180" s="25" t="s">
        <v>9160</v>
      </c>
      <c r="C180" s="6" t="s">
        <v>12634</v>
      </c>
      <c r="D180" s="13">
        <v>18701.994999999999</v>
      </c>
      <c r="E180" s="18">
        <v>21</v>
      </c>
      <c r="F180" s="2">
        <f t="shared" si="4"/>
        <v>22629.413949999998</v>
      </c>
      <c r="G180" s="3">
        <v>0</v>
      </c>
      <c r="H180" s="4">
        <v>0.7</v>
      </c>
      <c r="I180" s="28">
        <f t="shared" si="5"/>
        <v>38470.003714999999</v>
      </c>
    </row>
    <row r="181" spans="1:9" ht="15.75" customHeight="1" x14ac:dyDescent="0.35">
      <c r="A181" s="26" t="s">
        <v>3957</v>
      </c>
      <c r="B181" s="25" t="s">
        <v>9161</v>
      </c>
      <c r="C181" s="6" t="s">
        <v>11883</v>
      </c>
      <c r="D181" s="13">
        <v>20394.842000000001</v>
      </c>
      <c r="E181" s="18">
        <v>21</v>
      </c>
      <c r="F181" s="2">
        <f t="shared" si="4"/>
        <v>24677.758820000003</v>
      </c>
      <c r="G181" s="3">
        <v>0</v>
      </c>
      <c r="H181" s="4">
        <v>0.7</v>
      </c>
      <c r="I181" s="28">
        <f t="shared" si="5"/>
        <v>41952.189994</v>
      </c>
    </row>
    <row r="182" spans="1:9" ht="15.75" customHeight="1" x14ac:dyDescent="0.35">
      <c r="A182" s="26" t="s">
        <v>3958</v>
      </c>
      <c r="B182" s="25" t="s">
        <v>10845</v>
      </c>
      <c r="C182" s="6" t="s">
        <v>11884</v>
      </c>
      <c r="D182" s="13">
        <v>9389.25</v>
      </c>
      <c r="E182" s="18">
        <v>21</v>
      </c>
      <c r="F182" s="2">
        <f t="shared" si="4"/>
        <v>11360.9925</v>
      </c>
      <c r="G182" s="3">
        <v>0</v>
      </c>
      <c r="H182" s="4">
        <v>0.7</v>
      </c>
      <c r="I182" s="28">
        <f t="shared" si="5"/>
        <v>19313.687249999999</v>
      </c>
    </row>
    <row r="183" spans="1:9" ht="15.75" customHeight="1" x14ac:dyDescent="0.35">
      <c r="A183" s="26" t="s">
        <v>3956</v>
      </c>
      <c r="B183" s="25" t="s">
        <v>9208</v>
      </c>
      <c r="C183" s="6" t="s">
        <v>11885</v>
      </c>
      <c r="D183" s="13">
        <v>13979.55</v>
      </c>
      <c r="E183" s="18">
        <v>21</v>
      </c>
      <c r="F183" s="2">
        <f t="shared" si="4"/>
        <v>16915.255499999999</v>
      </c>
      <c r="G183" s="3">
        <v>0</v>
      </c>
      <c r="H183" s="4">
        <v>0.7</v>
      </c>
      <c r="I183" s="28">
        <f t="shared" si="5"/>
        <v>28755.93435</v>
      </c>
    </row>
    <row r="184" spans="1:9" ht="15.75" customHeight="1" x14ac:dyDescent="0.35">
      <c r="A184" s="26" t="s">
        <v>3960</v>
      </c>
      <c r="B184" s="25" t="s">
        <v>9209</v>
      </c>
      <c r="C184" s="6" t="s">
        <v>11886</v>
      </c>
      <c r="D184" s="13">
        <v>11446.539000000001</v>
      </c>
      <c r="E184" s="18">
        <v>21</v>
      </c>
      <c r="F184" s="2">
        <f t="shared" si="4"/>
        <v>13850.312190000001</v>
      </c>
      <c r="G184" s="3">
        <v>0</v>
      </c>
      <c r="H184" s="4">
        <v>0.7</v>
      </c>
      <c r="I184" s="28">
        <f t="shared" si="5"/>
        <v>23545.530723</v>
      </c>
    </row>
    <row r="185" spans="1:9" ht="15.75" customHeight="1" x14ac:dyDescent="0.35">
      <c r="A185" s="26" t="s">
        <v>3955</v>
      </c>
      <c r="B185" s="25" t="s">
        <v>11687</v>
      </c>
      <c r="C185" s="6" t="s">
        <v>9210</v>
      </c>
      <c r="D185" s="13">
        <v>11044.999001337799</v>
      </c>
      <c r="E185" s="18">
        <v>21</v>
      </c>
      <c r="F185" s="2">
        <f t="shared" si="4"/>
        <v>13364.448791618737</v>
      </c>
      <c r="G185" s="3">
        <v>0</v>
      </c>
      <c r="H185" s="4">
        <v>0.7</v>
      </c>
      <c r="I185" s="28">
        <f t="shared" si="5"/>
        <v>22719.562945751852</v>
      </c>
    </row>
    <row r="186" spans="1:9" ht="15.75" customHeight="1" x14ac:dyDescent="0.35">
      <c r="A186" s="26" t="s">
        <v>8845</v>
      </c>
      <c r="B186" s="25" t="s">
        <v>10794</v>
      </c>
      <c r="C186" s="6" t="s">
        <v>10846</v>
      </c>
      <c r="D186" s="13">
        <v>14964.41973</v>
      </c>
      <c r="E186" s="18">
        <v>21</v>
      </c>
      <c r="F186" s="2">
        <f t="shared" si="4"/>
        <v>18106.9478733</v>
      </c>
      <c r="G186" s="3">
        <v>0</v>
      </c>
      <c r="H186" s="4">
        <v>0.7</v>
      </c>
      <c r="I186" s="28">
        <f t="shared" si="5"/>
        <v>30781.811384609999</v>
      </c>
    </row>
    <row r="187" spans="1:9" ht="15.75" customHeight="1" x14ac:dyDescent="0.35">
      <c r="A187" s="26" t="s">
        <v>11688</v>
      </c>
      <c r="B187" s="25" t="s">
        <v>10045</v>
      </c>
      <c r="C187" s="6" t="s">
        <v>11689</v>
      </c>
      <c r="D187" s="13">
        <v>11043.4272</v>
      </c>
      <c r="E187" s="18">
        <v>21</v>
      </c>
      <c r="F187" s="2">
        <f t="shared" si="4"/>
        <v>13362.546912</v>
      </c>
      <c r="G187" s="3">
        <v>0</v>
      </c>
      <c r="H187" s="4">
        <v>0.7</v>
      </c>
      <c r="I187" s="28">
        <f t="shared" si="5"/>
        <v>22716.3297504</v>
      </c>
    </row>
    <row r="188" spans="1:9" ht="15.75" customHeight="1" x14ac:dyDescent="0.35">
      <c r="A188" s="26" t="s">
        <v>11690</v>
      </c>
      <c r="B188" s="25" t="s">
        <v>12634</v>
      </c>
      <c r="C188" s="6" t="s">
        <v>11691</v>
      </c>
      <c r="D188" s="13">
        <v>9881.6640000000007</v>
      </c>
      <c r="E188" s="18">
        <v>21</v>
      </c>
      <c r="F188" s="2">
        <f t="shared" si="4"/>
        <v>11956.813440000002</v>
      </c>
      <c r="G188" s="3">
        <v>0</v>
      </c>
      <c r="H188" s="4">
        <v>0.7</v>
      </c>
      <c r="I188" s="28">
        <f t="shared" si="5"/>
        <v>20326.582848000002</v>
      </c>
    </row>
    <row r="189" spans="1:9" ht="15.75" customHeight="1" x14ac:dyDescent="0.35">
      <c r="A189" s="26" t="s">
        <v>11692</v>
      </c>
      <c r="B189" s="25" t="s">
        <v>11883</v>
      </c>
      <c r="C189" s="6" t="s">
        <v>11693</v>
      </c>
      <c r="D189" s="13">
        <v>12751.575199999999</v>
      </c>
      <c r="E189" s="18">
        <v>21</v>
      </c>
      <c r="F189" s="2">
        <f t="shared" si="4"/>
        <v>15429.405992</v>
      </c>
      <c r="G189" s="3">
        <v>0</v>
      </c>
      <c r="H189" s="4">
        <v>0.7</v>
      </c>
      <c r="I189" s="28">
        <f t="shared" si="5"/>
        <v>26229.990186399998</v>
      </c>
    </row>
    <row r="190" spans="1:9" ht="15.75" customHeight="1" x14ac:dyDescent="0.35">
      <c r="A190" s="26" t="s">
        <v>4009</v>
      </c>
      <c r="B190" s="25" t="s">
        <v>11884</v>
      </c>
      <c r="C190" s="6" t="s">
        <v>12991</v>
      </c>
      <c r="D190" s="13">
        <v>29074.031707499998</v>
      </c>
      <c r="E190" s="18">
        <v>21</v>
      </c>
      <c r="F190" s="2">
        <f t="shared" si="4"/>
        <v>35179.578366074995</v>
      </c>
      <c r="G190" s="3">
        <v>0</v>
      </c>
      <c r="H190" s="4">
        <v>0.7</v>
      </c>
      <c r="I190" s="28">
        <f t="shared" si="5"/>
        <v>59805.283222327489</v>
      </c>
    </row>
    <row r="191" spans="1:9" ht="15.75" customHeight="1" x14ac:dyDescent="0.35">
      <c r="A191" s="26" t="s">
        <v>4021</v>
      </c>
      <c r="B191" s="25" t="s">
        <v>11885</v>
      </c>
      <c r="C191" s="6" t="s">
        <v>12992</v>
      </c>
      <c r="D191" s="13">
        <v>31380.876539999997</v>
      </c>
      <c r="E191" s="18">
        <v>21</v>
      </c>
      <c r="F191" s="2">
        <f t="shared" si="4"/>
        <v>37970.8606134</v>
      </c>
      <c r="G191" s="3">
        <v>0</v>
      </c>
      <c r="H191" s="4">
        <v>0.7</v>
      </c>
      <c r="I191" s="28">
        <f t="shared" si="5"/>
        <v>64550.46304278</v>
      </c>
    </row>
    <row r="192" spans="1:9" ht="15.75" customHeight="1" x14ac:dyDescent="0.35">
      <c r="A192" s="26" t="s">
        <v>4064</v>
      </c>
      <c r="B192" s="25" t="s">
        <v>11886</v>
      </c>
      <c r="C192" s="6" t="s">
        <v>25</v>
      </c>
      <c r="D192" s="13">
        <v>51606.1</v>
      </c>
      <c r="E192" s="18">
        <v>21</v>
      </c>
      <c r="F192" s="2">
        <f t="shared" si="4"/>
        <v>62443.380999999994</v>
      </c>
      <c r="G192" s="3">
        <v>0</v>
      </c>
      <c r="H192" s="4">
        <v>0.7</v>
      </c>
      <c r="I192" s="28">
        <f t="shared" si="5"/>
        <v>106153.74769999999</v>
      </c>
    </row>
    <row r="193" spans="1:9" ht="15.75" customHeight="1" x14ac:dyDescent="0.35">
      <c r="A193" s="26" t="s">
        <v>3963</v>
      </c>
      <c r="B193" s="25" t="s">
        <v>9210</v>
      </c>
      <c r="C193" s="6" t="s">
        <v>10204</v>
      </c>
      <c r="D193" s="13">
        <v>52496.466650549999</v>
      </c>
      <c r="E193" s="18">
        <v>21</v>
      </c>
      <c r="F193" s="2">
        <f t="shared" si="4"/>
        <v>63520.724647165494</v>
      </c>
      <c r="G193" s="3">
        <v>0</v>
      </c>
      <c r="H193" s="4">
        <v>0.7</v>
      </c>
      <c r="I193" s="28">
        <f t="shared" si="5"/>
        <v>107985.23190018134</v>
      </c>
    </row>
    <row r="194" spans="1:9" ht="15.75" customHeight="1" x14ac:dyDescent="0.35">
      <c r="A194" s="26" t="s">
        <v>3964</v>
      </c>
      <c r="B194" s="25" t="s">
        <v>10846</v>
      </c>
      <c r="C194" s="6" t="s">
        <v>10205</v>
      </c>
      <c r="D194" s="13">
        <v>72596.809677600002</v>
      </c>
      <c r="E194" s="18">
        <v>21</v>
      </c>
      <c r="F194" s="2">
        <f t="shared" si="4"/>
        <v>87842.139709896001</v>
      </c>
      <c r="G194" s="3">
        <v>0</v>
      </c>
      <c r="H194" s="4">
        <v>0.7</v>
      </c>
      <c r="I194" s="28">
        <f t="shared" si="5"/>
        <v>149331.6375068232</v>
      </c>
    </row>
    <row r="195" spans="1:9" ht="15.75" customHeight="1" x14ac:dyDescent="0.35">
      <c r="A195" s="26" t="s">
        <v>3965</v>
      </c>
      <c r="B195" s="25" t="s">
        <v>11689</v>
      </c>
      <c r="C195" s="6" t="s">
        <v>10206</v>
      </c>
      <c r="D195" s="13">
        <v>91248.637428000002</v>
      </c>
      <c r="E195" s="18">
        <v>21</v>
      </c>
      <c r="F195" s="2">
        <f t="shared" si="4"/>
        <v>110410.85128788001</v>
      </c>
      <c r="G195" s="3">
        <v>0</v>
      </c>
      <c r="H195" s="4">
        <v>0.7</v>
      </c>
      <c r="I195" s="28">
        <f t="shared" si="5"/>
        <v>187698.44718939601</v>
      </c>
    </row>
    <row r="196" spans="1:9" ht="15.75" customHeight="1" x14ac:dyDescent="0.35">
      <c r="A196" s="26" t="s">
        <v>3966</v>
      </c>
      <c r="B196" s="25" t="s">
        <v>11691</v>
      </c>
      <c r="C196" s="6" t="s">
        <v>10627</v>
      </c>
      <c r="D196" s="13">
        <v>27831.314394000001</v>
      </c>
      <c r="E196" s="18">
        <v>21</v>
      </c>
      <c r="F196" s="2">
        <f t="shared" si="4"/>
        <v>33675.890416740003</v>
      </c>
      <c r="G196" s="3">
        <v>0</v>
      </c>
      <c r="H196" s="4">
        <v>0.7</v>
      </c>
      <c r="I196" s="28">
        <f t="shared" si="5"/>
        <v>57249.013708458006</v>
      </c>
    </row>
    <row r="197" spans="1:9" ht="15.75" customHeight="1" x14ac:dyDescent="0.35">
      <c r="A197" s="26" t="s">
        <v>3968</v>
      </c>
      <c r="B197" s="25" t="s">
        <v>11693</v>
      </c>
      <c r="C197" s="6" t="s">
        <v>10975</v>
      </c>
      <c r="D197" s="13">
        <v>2861.2869999999998</v>
      </c>
      <c r="E197" s="18">
        <v>21</v>
      </c>
      <c r="F197" s="2">
        <f t="shared" si="4"/>
        <v>3462.1572699999997</v>
      </c>
      <c r="G197" s="3">
        <v>0</v>
      </c>
      <c r="H197" s="4">
        <v>0.7</v>
      </c>
      <c r="I197" s="28">
        <f t="shared" si="5"/>
        <v>5885.6673589999991</v>
      </c>
    </row>
    <row r="198" spans="1:9" ht="15.75" customHeight="1" x14ac:dyDescent="0.35">
      <c r="A198" s="26" t="s">
        <v>5871</v>
      </c>
      <c r="B198" s="25" t="s">
        <v>10847</v>
      </c>
      <c r="C198" s="6" t="s">
        <v>10046</v>
      </c>
      <c r="D198" s="13">
        <v>33231.973437000001</v>
      </c>
      <c r="E198" s="18">
        <v>21</v>
      </c>
      <c r="F198" s="2">
        <f t="shared" ref="F198:F261" si="6">D198*E198/100+D198</f>
        <v>40210.687858769998</v>
      </c>
      <c r="G198" s="3">
        <v>0</v>
      </c>
      <c r="H198" s="4">
        <v>0.7</v>
      </c>
      <c r="I198" s="28">
        <f t="shared" ref="I198:I261" si="7">IF(G198=-1,0,F198*((100-G198)/100)*(1+H198))</f>
        <v>68358.169359908992</v>
      </c>
    </row>
    <row r="199" spans="1:9" ht="15.75" customHeight="1" x14ac:dyDescent="0.35">
      <c r="A199" s="26" t="s">
        <v>3969</v>
      </c>
      <c r="B199" s="25" t="s">
        <v>12991</v>
      </c>
      <c r="C199" s="6" t="s">
        <v>9162</v>
      </c>
      <c r="D199" s="13">
        <v>4712.7079999999996</v>
      </c>
      <c r="E199" s="18">
        <v>21</v>
      </c>
      <c r="F199" s="2">
        <f t="shared" si="6"/>
        <v>5702.3766799999994</v>
      </c>
      <c r="G199" s="3">
        <v>0</v>
      </c>
      <c r="H199" s="4">
        <v>0.7</v>
      </c>
      <c r="I199" s="28">
        <f t="shared" si="7"/>
        <v>9694.0403559999995</v>
      </c>
    </row>
    <row r="200" spans="1:9" ht="15.75" customHeight="1" x14ac:dyDescent="0.35">
      <c r="A200" s="26" t="s">
        <v>3971</v>
      </c>
      <c r="B200" s="25" t="s">
        <v>12992</v>
      </c>
      <c r="C200" s="6" t="s">
        <v>11887</v>
      </c>
      <c r="D200" s="13">
        <v>22305.139856999998</v>
      </c>
      <c r="E200" s="18">
        <v>21</v>
      </c>
      <c r="F200" s="2">
        <f t="shared" si="6"/>
        <v>26989.219226969999</v>
      </c>
      <c r="G200" s="3">
        <v>0</v>
      </c>
      <c r="H200" s="4">
        <v>0.7</v>
      </c>
      <c r="I200" s="28">
        <f t="shared" si="7"/>
        <v>45881.672685849</v>
      </c>
    </row>
    <row r="201" spans="1:9" ht="15.75" customHeight="1" x14ac:dyDescent="0.35">
      <c r="A201" s="26" t="s">
        <v>3972</v>
      </c>
      <c r="B201" s="25" t="s">
        <v>11694</v>
      </c>
      <c r="C201" s="6" t="s">
        <v>11888</v>
      </c>
      <c r="D201" s="13">
        <v>44610.279713999997</v>
      </c>
      <c r="E201" s="18">
        <v>21</v>
      </c>
      <c r="F201" s="2">
        <f t="shared" si="6"/>
        <v>53978.438453939998</v>
      </c>
      <c r="G201" s="3">
        <v>0</v>
      </c>
      <c r="H201" s="4">
        <v>0.7</v>
      </c>
      <c r="I201" s="28">
        <f t="shared" si="7"/>
        <v>91763.345371698</v>
      </c>
    </row>
    <row r="202" spans="1:9" ht="15.75" customHeight="1" x14ac:dyDescent="0.35">
      <c r="A202" s="26" t="s">
        <v>3970</v>
      </c>
      <c r="B202" s="25" t="s">
        <v>25</v>
      </c>
      <c r="C202" s="6" t="s">
        <v>10207</v>
      </c>
      <c r="D202" s="13">
        <v>50694.401042999998</v>
      </c>
      <c r="E202" s="18">
        <v>21</v>
      </c>
      <c r="F202" s="2">
        <f t="shared" si="6"/>
        <v>61340.225262029999</v>
      </c>
      <c r="G202" s="3">
        <v>0</v>
      </c>
      <c r="H202" s="4">
        <v>0.7</v>
      </c>
      <c r="I202" s="28">
        <f t="shared" si="7"/>
        <v>104278.382945451</v>
      </c>
    </row>
    <row r="203" spans="1:9" ht="15.75" customHeight="1" x14ac:dyDescent="0.35">
      <c r="A203" s="26" t="s">
        <v>3575</v>
      </c>
      <c r="B203" s="25" t="s">
        <v>10204</v>
      </c>
      <c r="C203" s="6" t="s">
        <v>10208</v>
      </c>
      <c r="D203" s="13">
        <v>70971.462899999999</v>
      </c>
      <c r="E203" s="18">
        <v>21</v>
      </c>
      <c r="F203" s="2">
        <f t="shared" si="6"/>
        <v>85875.470109000002</v>
      </c>
      <c r="G203" s="3">
        <v>0</v>
      </c>
      <c r="H203" s="4">
        <v>0.7</v>
      </c>
      <c r="I203" s="28">
        <f t="shared" si="7"/>
        <v>145988.29918530001</v>
      </c>
    </row>
    <row r="204" spans="1:9" ht="15.75" customHeight="1" x14ac:dyDescent="0.35">
      <c r="A204" s="26" t="s">
        <v>3973</v>
      </c>
      <c r="B204" s="25" t="s">
        <v>10205</v>
      </c>
      <c r="C204" s="6" t="s">
        <v>9163</v>
      </c>
      <c r="D204" s="13">
        <v>670.62403995361501</v>
      </c>
      <c r="E204" s="18">
        <v>21</v>
      </c>
      <c r="F204" s="2">
        <f t="shared" si="6"/>
        <v>811.45508834387419</v>
      </c>
      <c r="G204" s="3">
        <v>0</v>
      </c>
      <c r="H204" s="4">
        <v>0.7</v>
      </c>
      <c r="I204" s="28">
        <f t="shared" si="7"/>
        <v>1379.4736501845862</v>
      </c>
    </row>
    <row r="205" spans="1:9" ht="15.75" customHeight="1" x14ac:dyDescent="0.35">
      <c r="A205" s="26" t="s">
        <v>5862</v>
      </c>
      <c r="B205" s="25" t="s">
        <v>10206</v>
      </c>
      <c r="C205" s="6" t="s">
        <v>1215</v>
      </c>
      <c r="D205" s="13">
        <v>1054.31538632203</v>
      </c>
      <c r="E205" s="18">
        <v>21</v>
      </c>
      <c r="F205" s="2">
        <f t="shared" si="6"/>
        <v>1275.7216174496564</v>
      </c>
      <c r="G205" s="3">
        <v>0</v>
      </c>
      <c r="H205" s="4">
        <v>0.7</v>
      </c>
      <c r="I205" s="28">
        <f t="shared" si="7"/>
        <v>2168.7267496644158</v>
      </c>
    </row>
    <row r="206" spans="1:9" ht="15.75" customHeight="1" x14ac:dyDescent="0.35">
      <c r="A206" s="26" t="s">
        <v>3974</v>
      </c>
      <c r="B206" s="25" t="s">
        <v>10627</v>
      </c>
      <c r="C206" s="6" t="s">
        <v>9164</v>
      </c>
      <c r="D206" s="13">
        <v>7537.3922259999999</v>
      </c>
      <c r="E206" s="18">
        <v>21</v>
      </c>
      <c r="F206" s="2">
        <f t="shared" si="6"/>
        <v>9120.24459346</v>
      </c>
      <c r="G206" s="3">
        <v>0</v>
      </c>
      <c r="H206" s="4">
        <v>0.7</v>
      </c>
      <c r="I206" s="28">
        <f t="shared" si="7"/>
        <v>15504.415808882</v>
      </c>
    </row>
    <row r="207" spans="1:9" ht="15.75" customHeight="1" x14ac:dyDescent="0.35">
      <c r="A207" s="26" t="s">
        <v>10209</v>
      </c>
      <c r="B207" s="25" t="s">
        <v>10975</v>
      </c>
      <c r="C207" s="6" t="s">
        <v>10210</v>
      </c>
      <c r="D207" s="13">
        <v>13385.3148</v>
      </c>
      <c r="E207" s="18">
        <v>21</v>
      </c>
      <c r="F207" s="2">
        <f t="shared" si="6"/>
        <v>16196.230908000001</v>
      </c>
      <c r="G207" s="3">
        <v>0</v>
      </c>
      <c r="H207" s="4">
        <v>0.7</v>
      </c>
      <c r="I207" s="28">
        <f t="shared" si="7"/>
        <v>27533.592543600003</v>
      </c>
    </row>
    <row r="208" spans="1:9" ht="15.75" customHeight="1" x14ac:dyDescent="0.35">
      <c r="A208" s="26" t="s">
        <v>10211</v>
      </c>
      <c r="B208" s="25" t="s">
        <v>10046</v>
      </c>
      <c r="C208" s="6" t="s">
        <v>10212</v>
      </c>
      <c r="D208" s="13">
        <v>13385.3148</v>
      </c>
      <c r="E208" s="18">
        <v>21</v>
      </c>
      <c r="F208" s="2">
        <f t="shared" si="6"/>
        <v>16196.230908000001</v>
      </c>
      <c r="G208" s="3">
        <v>0</v>
      </c>
      <c r="H208" s="4">
        <v>0.7</v>
      </c>
      <c r="I208" s="28">
        <f t="shared" si="7"/>
        <v>27533.592543600003</v>
      </c>
    </row>
    <row r="209" spans="1:9" ht="15.75" customHeight="1" x14ac:dyDescent="0.35">
      <c r="A209" s="26" t="s">
        <v>10213</v>
      </c>
      <c r="B209" s="25" t="s">
        <v>9162</v>
      </c>
      <c r="C209" s="6" t="s">
        <v>10214</v>
      </c>
      <c r="D209" s="13">
        <v>28443.793949999999</v>
      </c>
      <c r="E209" s="18">
        <v>21</v>
      </c>
      <c r="F209" s="2">
        <f t="shared" si="6"/>
        <v>34416.990679499999</v>
      </c>
      <c r="G209" s="3">
        <v>0</v>
      </c>
      <c r="H209" s="4">
        <v>0.7</v>
      </c>
      <c r="I209" s="28">
        <f t="shared" si="7"/>
        <v>58508.884155149994</v>
      </c>
    </row>
    <row r="210" spans="1:9" ht="15.75" customHeight="1" x14ac:dyDescent="0.35">
      <c r="A210" s="26" t="s">
        <v>10215</v>
      </c>
      <c r="B210" s="25" t="s">
        <v>11887</v>
      </c>
      <c r="C210" s="6" t="s">
        <v>10216</v>
      </c>
      <c r="D210" s="13">
        <v>28443.793949999999</v>
      </c>
      <c r="E210" s="18">
        <v>21</v>
      </c>
      <c r="F210" s="2">
        <f t="shared" si="6"/>
        <v>34416.990679499999</v>
      </c>
      <c r="G210" s="3">
        <v>0</v>
      </c>
      <c r="H210" s="4">
        <v>0.7</v>
      </c>
      <c r="I210" s="28">
        <f t="shared" si="7"/>
        <v>58508.884155149994</v>
      </c>
    </row>
    <row r="211" spans="1:9" ht="15.75" customHeight="1" x14ac:dyDescent="0.35">
      <c r="A211" s="26" t="s">
        <v>10217</v>
      </c>
      <c r="B211" s="25" t="s">
        <v>11888</v>
      </c>
      <c r="C211" s="6" t="s">
        <v>10218</v>
      </c>
      <c r="D211" s="13">
        <v>37903.247719999999</v>
      </c>
      <c r="E211" s="18">
        <v>21</v>
      </c>
      <c r="F211" s="2">
        <f t="shared" si="6"/>
        <v>45862.929741200001</v>
      </c>
      <c r="G211" s="3">
        <v>0</v>
      </c>
      <c r="H211" s="4">
        <v>0.7</v>
      </c>
      <c r="I211" s="28">
        <f t="shared" si="7"/>
        <v>77966.98056004</v>
      </c>
    </row>
    <row r="212" spans="1:9" ht="15.75" customHeight="1" x14ac:dyDescent="0.35">
      <c r="A212" s="26" t="s">
        <v>10219</v>
      </c>
      <c r="B212" s="25" t="s">
        <v>10207</v>
      </c>
      <c r="C212" s="6" t="s">
        <v>10220</v>
      </c>
      <c r="D212" s="13">
        <v>37903.247719999999</v>
      </c>
      <c r="E212" s="18">
        <v>21</v>
      </c>
      <c r="F212" s="2">
        <f t="shared" si="6"/>
        <v>45862.929741200001</v>
      </c>
      <c r="G212" s="3">
        <v>0</v>
      </c>
      <c r="H212" s="4">
        <v>0.7</v>
      </c>
      <c r="I212" s="28">
        <f t="shared" si="7"/>
        <v>77966.98056004</v>
      </c>
    </row>
    <row r="213" spans="1:9" ht="15.75" customHeight="1" x14ac:dyDescent="0.35">
      <c r="A213" s="26" t="s">
        <v>3977</v>
      </c>
      <c r="B213" s="25" t="s">
        <v>10208</v>
      </c>
      <c r="C213" s="6" t="s">
        <v>9970</v>
      </c>
      <c r="D213" s="13">
        <v>60369.4</v>
      </c>
      <c r="E213" s="18">
        <v>21</v>
      </c>
      <c r="F213" s="2">
        <f t="shared" si="6"/>
        <v>73046.974000000002</v>
      </c>
      <c r="G213" s="3">
        <v>0</v>
      </c>
      <c r="H213" s="4">
        <v>0.7</v>
      </c>
      <c r="I213" s="28">
        <f t="shared" si="7"/>
        <v>124179.8558</v>
      </c>
    </row>
    <row r="214" spans="1:9" ht="15.75" customHeight="1" x14ac:dyDescent="0.35">
      <c r="A214" s="26" t="s">
        <v>4078</v>
      </c>
      <c r="B214" s="25" t="s">
        <v>9163</v>
      </c>
      <c r="C214" s="6" t="s">
        <v>10628</v>
      </c>
      <c r="D214" s="13">
        <v>4770.8646584039998</v>
      </c>
      <c r="E214" s="18">
        <v>21</v>
      </c>
      <c r="F214" s="2">
        <f t="shared" si="6"/>
        <v>5772.7462366688396</v>
      </c>
      <c r="G214" s="3">
        <v>0</v>
      </c>
      <c r="H214" s="4">
        <v>0.7</v>
      </c>
      <c r="I214" s="28">
        <f t="shared" si="7"/>
        <v>9813.6686023370276</v>
      </c>
    </row>
    <row r="215" spans="1:9" ht="15.75" customHeight="1" x14ac:dyDescent="0.35">
      <c r="A215" s="26" t="s">
        <v>4079</v>
      </c>
      <c r="B215" s="25" t="s">
        <v>1215</v>
      </c>
      <c r="C215" s="6" t="s">
        <v>1167</v>
      </c>
      <c r="D215" s="13">
        <v>4544.3969999999999</v>
      </c>
      <c r="E215" s="18">
        <v>21</v>
      </c>
      <c r="F215" s="2">
        <f t="shared" si="6"/>
        <v>5498.72037</v>
      </c>
      <c r="G215" s="3">
        <v>0</v>
      </c>
      <c r="H215" s="4">
        <v>0.7</v>
      </c>
      <c r="I215" s="28">
        <f t="shared" si="7"/>
        <v>9347.8246290000006</v>
      </c>
    </row>
    <row r="216" spans="1:9" ht="15.75" customHeight="1" x14ac:dyDescent="0.35">
      <c r="A216" s="26" t="s">
        <v>4081</v>
      </c>
      <c r="B216" s="25" t="s">
        <v>9164</v>
      </c>
      <c r="C216" s="6" t="s">
        <v>10629</v>
      </c>
      <c r="D216" s="13">
        <v>11406.2</v>
      </c>
      <c r="E216" s="18">
        <v>21</v>
      </c>
      <c r="F216" s="2">
        <f t="shared" si="6"/>
        <v>13801.502</v>
      </c>
      <c r="G216" s="3">
        <v>0</v>
      </c>
      <c r="H216" s="4">
        <v>0.7</v>
      </c>
      <c r="I216" s="28">
        <f t="shared" si="7"/>
        <v>23462.553400000001</v>
      </c>
    </row>
    <row r="217" spans="1:9" ht="15.75" customHeight="1" x14ac:dyDescent="0.35">
      <c r="A217" s="26" t="s">
        <v>4082</v>
      </c>
      <c r="B217" s="25" t="s">
        <v>10210</v>
      </c>
      <c r="C217" s="6" t="s">
        <v>10630</v>
      </c>
      <c r="D217" s="13">
        <v>11406.2</v>
      </c>
      <c r="E217" s="18">
        <v>21</v>
      </c>
      <c r="F217" s="2">
        <f t="shared" si="6"/>
        <v>13801.502</v>
      </c>
      <c r="G217" s="3">
        <v>0</v>
      </c>
      <c r="H217" s="4">
        <v>0.7</v>
      </c>
      <c r="I217" s="28">
        <f t="shared" si="7"/>
        <v>23462.553400000001</v>
      </c>
    </row>
    <row r="218" spans="1:9" ht="15.75" customHeight="1" x14ac:dyDescent="0.35">
      <c r="A218" s="26" t="s">
        <v>13027</v>
      </c>
      <c r="B218" s="25" t="s">
        <v>10212</v>
      </c>
      <c r="C218" s="6" t="s">
        <v>13028</v>
      </c>
      <c r="D218" s="13">
        <v>9194.51</v>
      </c>
      <c r="E218" s="18">
        <v>21</v>
      </c>
      <c r="F218" s="2">
        <f t="shared" si="6"/>
        <v>11125.357100000001</v>
      </c>
      <c r="G218" s="3">
        <v>0</v>
      </c>
      <c r="H218" s="4">
        <v>0.7</v>
      </c>
      <c r="I218" s="28">
        <f t="shared" si="7"/>
        <v>18913.107070000002</v>
      </c>
    </row>
    <row r="219" spans="1:9" ht="15.75" customHeight="1" x14ac:dyDescent="0.35">
      <c r="A219" s="26" t="s">
        <v>3978</v>
      </c>
      <c r="B219" s="25" t="s">
        <v>10214</v>
      </c>
      <c r="C219" s="6" t="s">
        <v>11642</v>
      </c>
      <c r="D219" s="13">
        <v>8587.3492162639996</v>
      </c>
      <c r="E219" s="18">
        <v>21</v>
      </c>
      <c r="F219" s="2">
        <f t="shared" si="6"/>
        <v>10390.69255167944</v>
      </c>
      <c r="G219" s="3">
        <v>0</v>
      </c>
      <c r="H219" s="4">
        <v>0.7</v>
      </c>
      <c r="I219" s="28">
        <f t="shared" si="7"/>
        <v>17664.177337855046</v>
      </c>
    </row>
    <row r="220" spans="1:9" ht="15.75" customHeight="1" x14ac:dyDescent="0.35">
      <c r="A220" s="26" t="s">
        <v>5853</v>
      </c>
      <c r="B220" s="25" t="s">
        <v>10216</v>
      </c>
      <c r="C220" s="6" t="s">
        <v>11323</v>
      </c>
      <c r="D220" s="13">
        <v>13630.409</v>
      </c>
      <c r="E220" s="18">
        <v>21</v>
      </c>
      <c r="F220" s="2">
        <f t="shared" si="6"/>
        <v>16492.794889999997</v>
      </c>
      <c r="G220" s="3">
        <v>0</v>
      </c>
      <c r="H220" s="4">
        <v>0.7</v>
      </c>
      <c r="I220" s="28">
        <f t="shared" si="7"/>
        <v>28037.751312999993</v>
      </c>
    </row>
    <row r="221" spans="1:9" ht="15.75" customHeight="1" x14ac:dyDescent="0.35">
      <c r="A221" s="26" t="s">
        <v>9546</v>
      </c>
      <c r="B221" s="25" t="s">
        <v>10218</v>
      </c>
      <c r="C221" s="6" t="s">
        <v>10631</v>
      </c>
      <c r="D221" s="13">
        <v>17879.914000000001</v>
      </c>
      <c r="E221" s="18">
        <v>21</v>
      </c>
      <c r="F221" s="2">
        <f t="shared" si="6"/>
        <v>21634.695940000001</v>
      </c>
      <c r="G221" s="3">
        <v>0</v>
      </c>
      <c r="H221" s="4">
        <v>0.7</v>
      </c>
      <c r="I221" s="28">
        <f t="shared" si="7"/>
        <v>36778.983098000004</v>
      </c>
    </row>
    <row r="222" spans="1:9" ht="15.75" customHeight="1" x14ac:dyDescent="0.35">
      <c r="A222" s="26" t="s">
        <v>4084</v>
      </c>
      <c r="B222" s="25" t="s">
        <v>10220</v>
      </c>
      <c r="C222" s="6" t="s">
        <v>26</v>
      </c>
      <c r="D222" s="13">
        <v>10843.832609999999</v>
      </c>
      <c r="E222" s="18">
        <v>21</v>
      </c>
      <c r="F222" s="2">
        <f t="shared" si="6"/>
        <v>13121.0374581</v>
      </c>
      <c r="G222" s="3">
        <v>0</v>
      </c>
      <c r="H222" s="4">
        <v>0.7</v>
      </c>
      <c r="I222" s="28">
        <f t="shared" si="7"/>
        <v>22305.763678769999</v>
      </c>
    </row>
    <row r="223" spans="1:9" ht="15.75" customHeight="1" x14ac:dyDescent="0.35">
      <c r="A223" s="26" t="s">
        <v>4083</v>
      </c>
      <c r="B223" s="25" t="s">
        <v>9970</v>
      </c>
      <c r="C223" s="6" t="s">
        <v>8774</v>
      </c>
      <c r="D223" s="13">
        <v>18121.948</v>
      </c>
      <c r="E223" s="18">
        <v>21</v>
      </c>
      <c r="F223" s="2">
        <f t="shared" si="6"/>
        <v>21927.557079999999</v>
      </c>
      <c r="G223" s="3">
        <v>0</v>
      </c>
      <c r="H223" s="4">
        <v>0.7</v>
      </c>
      <c r="I223" s="28">
        <f t="shared" si="7"/>
        <v>37276.847035999999</v>
      </c>
    </row>
    <row r="224" spans="1:9" ht="15.75" customHeight="1" x14ac:dyDescent="0.35">
      <c r="A224" s="26" t="s">
        <v>4086</v>
      </c>
      <c r="B224" s="25" t="s">
        <v>10628</v>
      </c>
      <c r="C224" s="6" t="s">
        <v>10221</v>
      </c>
      <c r="D224" s="13">
        <v>10362.006533385</v>
      </c>
      <c r="E224" s="18">
        <v>21</v>
      </c>
      <c r="F224" s="2">
        <f t="shared" si="6"/>
        <v>12538.027905395849</v>
      </c>
      <c r="G224" s="3">
        <v>0</v>
      </c>
      <c r="H224" s="4">
        <v>0.7</v>
      </c>
      <c r="I224" s="28">
        <f t="shared" si="7"/>
        <v>21314.647439172943</v>
      </c>
    </row>
    <row r="225" spans="1:9" ht="15.75" customHeight="1" x14ac:dyDescent="0.35">
      <c r="A225" s="26" t="s">
        <v>4090</v>
      </c>
      <c r="B225" s="25" t="s">
        <v>1167</v>
      </c>
      <c r="C225" s="6" t="s">
        <v>11695</v>
      </c>
      <c r="D225" s="13">
        <v>85097.618736000004</v>
      </c>
      <c r="E225" s="18">
        <v>21</v>
      </c>
      <c r="F225" s="2">
        <f t="shared" si="6"/>
        <v>102968.11867056001</v>
      </c>
      <c r="G225" s="3">
        <v>0</v>
      </c>
      <c r="H225" s="4">
        <v>0.7</v>
      </c>
      <c r="I225" s="28">
        <f t="shared" si="7"/>
        <v>175045.801739952</v>
      </c>
    </row>
    <row r="226" spans="1:9" ht="15.75" customHeight="1" x14ac:dyDescent="0.35">
      <c r="A226" s="26" t="s">
        <v>3980</v>
      </c>
      <c r="B226" s="25" t="s">
        <v>13026</v>
      </c>
      <c r="C226" s="6" t="s">
        <v>10222</v>
      </c>
      <c r="D226" s="13">
        <v>50694.401042999998</v>
      </c>
      <c r="E226" s="18">
        <v>21</v>
      </c>
      <c r="F226" s="2">
        <f t="shared" si="6"/>
        <v>61340.225262029999</v>
      </c>
      <c r="G226" s="3">
        <v>0</v>
      </c>
      <c r="H226" s="4">
        <v>0.7</v>
      </c>
      <c r="I226" s="28">
        <f t="shared" si="7"/>
        <v>104278.382945451</v>
      </c>
    </row>
    <row r="227" spans="1:9" ht="15.75" customHeight="1" x14ac:dyDescent="0.35">
      <c r="A227" s="26" t="s">
        <v>3982</v>
      </c>
      <c r="B227" s="25" t="s">
        <v>10629</v>
      </c>
      <c r="C227" s="6" t="s">
        <v>9165</v>
      </c>
      <c r="D227" s="13">
        <v>17060.615000000002</v>
      </c>
      <c r="E227" s="18">
        <v>21</v>
      </c>
      <c r="F227" s="2">
        <f t="shared" si="6"/>
        <v>20643.344150000001</v>
      </c>
      <c r="G227" s="3">
        <v>0</v>
      </c>
      <c r="H227" s="4">
        <v>0.7</v>
      </c>
      <c r="I227" s="28">
        <f t="shared" si="7"/>
        <v>35093.685055000002</v>
      </c>
    </row>
    <row r="228" spans="1:9" ht="15.75" customHeight="1" x14ac:dyDescent="0.35">
      <c r="A228" s="26" t="s">
        <v>3983</v>
      </c>
      <c r="B228" s="25" t="s">
        <v>10630</v>
      </c>
      <c r="C228" s="6" t="s">
        <v>9166</v>
      </c>
      <c r="D228" s="13">
        <v>12852.84</v>
      </c>
      <c r="E228" s="18">
        <v>21</v>
      </c>
      <c r="F228" s="2">
        <f t="shared" si="6"/>
        <v>15551.936400000001</v>
      </c>
      <c r="G228" s="3">
        <v>0</v>
      </c>
      <c r="H228" s="4">
        <v>0.7</v>
      </c>
      <c r="I228" s="28">
        <f t="shared" si="7"/>
        <v>26438.291880000001</v>
      </c>
    </row>
    <row r="229" spans="1:9" ht="15.75" customHeight="1" x14ac:dyDescent="0.35">
      <c r="A229" s="26" t="s">
        <v>8751</v>
      </c>
      <c r="B229" s="25" t="s">
        <v>13028</v>
      </c>
      <c r="C229" s="6" t="s">
        <v>9167</v>
      </c>
      <c r="D229" s="13">
        <v>12852.84</v>
      </c>
      <c r="E229" s="18">
        <v>21</v>
      </c>
      <c r="F229" s="2">
        <f t="shared" si="6"/>
        <v>15551.936400000001</v>
      </c>
      <c r="G229" s="3">
        <v>0</v>
      </c>
      <c r="H229" s="4">
        <v>0.7</v>
      </c>
      <c r="I229" s="28">
        <f t="shared" si="7"/>
        <v>26438.291880000001</v>
      </c>
    </row>
    <row r="230" spans="1:9" ht="15.75" customHeight="1" x14ac:dyDescent="0.35">
      <c r="A230" s="26" t="s">
        <v>3984</v>
      </c>
      <c r="B230" s="25" t="s">
        <v>11642</v>
      </c>
      <c r="C230" s="6" t="s">
        <v>9168</v>
      </c>
      <c r="D230" s="13">
        <v>31426.863000000001</v>
      </c>
      <c r="E230" s="18">
        <v>21</v>
      </c>
      <c r="F230" s="2">
        <f t="shared" si="6"/>
        <v>38026.504229999999</v>
      </c>
      <c r="G230" s="3">
        <v>0</v>
      </c>
      <c r="H230" s="4">
        <v>0.7</v>
      </c>
      <c r="I230" s="28">
        <f t="shared" si="7"/>
        <v>64645.057190999993</v>
      </c>
    </row>
    <row r="231" spans="1:9" ht="15.75" customHeight="1" x14ac:dyDescent="0.35">
      <c r="A231" s="26" t="s">
        <v>3985</v>
      </c>
      <c r="B231" s="25" t="s">
        <v>11323</v>
      </c>
      <c r="C231" s="6" t="s">
        <v>9169</v>
      </c>
      <c r="D231" s="13">
        <v>33101.627</v>
      </c>
      <c r="E231" s="18">
        <v>21</v>
      </c>
      <c r="F231" s="2">
        <f t="shared" si="6"/>
        <v>40052.968670000002</v>
      </c>
      <c r="G231" s="3">
        <v>0</v>
      </c>
      <c r="H231" s="4">
        <v>0.7</v>
      </c>
      <c r="I231" s="28">
        <f t="shared" si="7"/>
        <v>68090.046738999998</v>
      </c>
    </row>
    <row r="232" spans="1:9" ht="15.75" customHeight="1" x14ac:dyDescent="0.35">
      <c r="A232" s="26" t="s">
        <v>4088</v>
      </c>
      <c r="B232" s="25" t="s">
        <v>10631</v>
      </c>
      <c r="C232" s="6" t="s">
        <v>10576</v>
      </c>
      <c r="D232" s="13">
        <v>21318.466</v>
      </c>
      <c r="E232" s="18">
        <v>21</v>
      </c>
      <c r="F232" s="2">
        <f t="shared" si="6"/>
        <v>25795.343860000001</v>
      </c>
      <c r="G232" s="3">
        <v>0</v>
      </c>
      <c r="H232" s="4">
        <v>0.7</v>
      </c>
      <c r="I232" s="28">
        <f t="shared" si="7"/>
        <v>43852.084562000004</v>
      </c>
    </row>
    <row r="233" spans="1:9" ht="15.75" customHeight="1" x14ac:dyDescent="0.35">
      <c r="A233" s="26" t="s">
        <v>3933</v>
      </c>
      <c r="B233" s="25" t="s">
        <v>26</v>
      </c>
      <c r="C233" s="6" t="s">
        <v>10577</v>
      </c>
      <c r="D233" s="13">
        <v>24313.289000000001</v>
      </c>
      <c r="E233" s="18">
        <v>21</v>
      </c>
      <c r="F233" s="2">
        <f t="shared" si="6"/>
        <v>29419.079689999999</v>
      </c>
      <c r="G233" s="3">
        <v>0</v>
      </c>
      <c r="H233" s="4">
        <v>0.7</v>
      </c>
      <c r="I233" s="28">
        <f t="shared" si="7"/>
        <v>50012.435472999998</v>
      </c>
    </row>
    <row r="234" spans="1:9" ht="15.75" customHeight="1" x14ac:dyDescent="0.35">
      <c r="A234" s="26" t="s">
        <v>3934</v>
      </c>
      <c r="B234" s="25" t="s">
        <v>8774</v>
      </c>
      <c r="C234" s="6" t="s">
        <v>9992</v>
      </c>
      <c r="D234" s="13">
        <v>24313.289000000001</v>
      </c>
      <c r="E234" s="18">
        <v>21</v>
      </c>
      <c r="F234" s="2">
        <f t="shared" si="6"/>
        <v>29419.079689999999</v>
      </c>
      <c r="G234" s="3">
        <v>0</v>
      </c>
      <c r="H234" s="4">
        <v>0.7</v>
      </c>
      <c r="I234" s="28">
        <f t="shared" si="7"/>
        <v>50012.435472999998</v>
      </c>
    </row>
    <row r="235" spans="1:9" ht="15.75" customHeight="1" x14ac:dyDescent="0.35">
      <c r="A235" s="26" t="s">
        <v>3986</v>
      </c>
      <c r="B235" s="25" t="s">
        <v>10221</v>
      </c>
      <c r="C235" s="6" t="s">
        <v>9170</v>
      </c>
      <c r="D235" s="13">
        <v>21318.466</v>
      </c>
      <c r="E235" s="18">
        <v>21</v>
      </c>
      <c r="F235" s="2">
        <f t="shared" si="6"/>
        <v>25795.343860000001</v>
      </c>
      <c r="G235" s="3">
        <v>0</v>
      </c>
      <c r="H235" s="4">
        <v>0.7</v>
      </c>
      <c r="I235" s="28">
        <f t="shared" si="7"/>
        <v>43852.084562000004</v>
      </c>
    </row>
    <row r="236" spans="1:9" ht="15.75" customHeight="1" x14ac:dyDescent="0.35">
      <c r="A236" s="26" t="s">
        <v>3987</v>
      </c>
      <c r="B236" s="25" t="s">
        <v>11695</v>
      </c>
      <c r="C236" s="6" t="s">
        <v>9171</v>
      </c>
      <c r="D236" s="13">
        <v>48477.741000000002</v>
      </c>
      <c r="E236" s="18">
        <v>21</v>
      </c>
      <c r="F236" s="2">
        <f t="shared" si="6"/>
        <v>58658.066610000002</v>
      </c>
      <c r="G236" s="3">
        <v>0</v>
      </c>
      <c r="H236" s="4">
        <v>0.7</v>
      </c>
      <c r="I236" s="28">
        <f t="shared" si="7"/>
        <v>99718.713237000004</v>
      </c>
    </row>
    <row r="237" spans="1:9" ht="15.75" customHeight="1" x14ac:dyDescent="0.35">
      <c r="A237" s="26" t="s">
        <v>3988</v>
      </c>
      <c r="B237" s="25" t="s">
        <v>10222</v>
      </c>
      <c r="C237" s="6" t="s">
        <v>9172</v>
      </c>
      <c r="D237" s="13">
        <v>32397.780999999999</v>
      </c>
      <c r="E237" s="18">
        <v>21</v>
      </c>
      <c r="F237" s="2">
        <f t="shared" si="6"/>
        <v>39201.315009999998</v>
      </c>
      <c r="G237" s="3">
        <v>0</v>
      </c>
      <c r="H237" s="4">
        <v>0.7</v>
      </c>
      <c r="I237" s="28">
        <f t="shared" si="7"/>
        <v>66642.235516999994</v>
      </c>
    </row>
    <row r="238" spans="1:9" ht="15.75" customHeight="1" x14ac:dyDescent="0.35">
      <c r="A238" s="26" t="s">
        <v>3989</v>
      </c>
      <c r="B238" s="25" t="s">
        <v>9165</v>
      </c>
      <c r="C238" s="6" t="s">
        <v>9173</v>
      </c>
      <c r="D238" s="13">
        <v>32397.780999999999</v>
      </c>
      <c r="E238" s="18">
        <v>21</v>
      </c>
      <c r="F238" s="2">
        <f t="shared" si="6"/>
        <v>39201.315009999998</v>
      </c>
      <c r="G238" s="3">
        <v>0</v>
      </c>
      <c r="H238" s="4">
        <v>0.7</v>
      </c>
      <c r="I238" s="28">
        <f t="shared" si="7"/>
        <v>66642.235516999994</v>
      </c>
    </row>
    <row r="239" spans="1:9" ht="15.75" customHeight="1" x14ac:dyDescent="0.35">
      <c r="A239" s="26" t="s">
        <v>3990</v>
      </c>
      <c r="B239" s="25" t="s">
        <v>9166</v>
      </c>
      <c r="C239" s="6" t="s">
        <v>9174</v>
      </c>
      <c r="D239" s="13">
        <v>63724.491999999998</v>
      </c>
      <c r="E239" s="18">
        <v>21</v>
      </c>
      <c r="F239" s="2">
        <f t="shared" si="6"/>
        <v>77106.635320000001</v>
      </c>
      <c r="G239" s="3">
        <v>0</v>
      </c>
      <c r="H239" s="4">
        <v>0.7</v>
      </c>
      <c r="I239" s="28">
        <f t="shared" si="7"/>
        <v>131081.28004399998</v>
      </c>
    </row>
    <row r="240" spans="1:9" ht="15.75" customHeight="1" x14ac:dyDescent="0.35">
      <c r="A240" s="26" t="s">
        <v>3991</v>
      </c>
      <c r="B240" s="25" t="s">
        <v>9167</v>
      </c>
      <c r="C240" s="6" t="s">
        <v>9175</v>
      </c>
      <c r="D240" s="13">
        <v>43595.330999999998</v>
      </c>
      <c r="E240" s="18">
        <v>21</v>
      </c>
      <c r="F240" s="2">
        <f t="shared" si="6"/>
        <v>52750.350509999997</v>
      </c>
      <c r="G240" s="3">
        <v>0</v>
      </c>
      <c r="H240" s="4">
        <v>0.7</v>
      </c>
      <c r="I240" s="28">
        <f t="shared" si="7"/>
        <v>89675.595866999996</v>
      </c>
    </row>
    <row r="241" spans="1:9" ht="15.75" customHeight="1" x14ac:dyDescent="0.35">
      <c r="A241" s="26" t="s">
        <v>3992</v>
      </c>
      <c r="B241" s="25" t="s">
        <v>9168</v>
      </c>
      <c r="C241" s="6" t="s">
        <v>9176</v>
      </c>
      <c r="D241" s="13">
        <v>43595.330999999998</v>
      </c>
      <c r="E241" s="18">
        <v>21</v>
      </c>
      <c r="F241" s="2">
        <f t="shared" si="6"/>
        <v>52750.350509999997</v>
      </c>
      <c r="G241" s="3">
        <v>0</v>
      </c>
      <c r="H241" s="4">
        <v>0.7</v>
      </c>
      <c r="I241" s="28">
        <f t="shared" si="7"/>
        <v>89675.595866999996</v>
      </c>
    </row>
    <row r="242" spans="1:9" ht="15.75" customHeight="1" x14ac:dyDescent="0.35">
      <c r="A242" s="26" t="s">
        <v>9568</v>
      </c>
      <c r="B242" s="25" t="s">
        <v>9169</v>
      </c>
      <c r="C242" s="6" t="s">
        <v>9993</v>
      </c>
      <c r="D242" s="13">
        <v>52869.127999999997</v>
      </c>
      <c r="E242" s="18">
        <v>21</v>
      </c>
      <c r="F242" s="2">
        <f t="shared" si="6"/>
        <v>63971.644879999993</v>
      </c>
      <c r="G242" s="3">
        <v>0</v>
      </c>
      <c r="H242" s="4">
        <v>0.7</v>
      </c>
      <c r="I242" s="28">
        <f t="shared" si="7"/>
        <v>108751.79629599999</v>
      </c>
    </row>
    <row r="243" spans="1:9" ht="15.75" customHeight="1" x14ac:dyDescent="0.35">
      <c r="A243" s="26" t="s">
        <v>9569</v>
      </c>
      <c r="B243" s="25" t="s">
        <v>10576</v>
      </c>
      <c r="C243" s="6" t="s">
        <v>9994</v>
      </c>
      <c r="D243" s="13">
        <v>34943.311000000002</v>
      </c>
      <c r="E243" s="18">
        <v>21</v>
      </c>
      <c r="F243" s="2">
        <f t="shared" si="6"/>
        <v>42281.406310000006</v>
      </c>
      <c r="G243" s="3">
        <v>0</v>
      </c>
      <c r="H243" s="4">
        <v>0.7</v>
      </c>
      <c r="I243" s="28">
        <f t="shared" si="7"/>
        <v>71878.390727000005</v>
      </c>
    </row>
    <row r="244" spans="1:9" ht="15.75" customHeight="1" x14ac:dyDescent="0.35">
      <c r="A244" s="26" t="s">
        <v>9570</v>
      </c>
      <c r="B244" s="25" t="s">
        <v>10577</v>
      </c>
      <c r="C244" s="6" t="s">
        <v>9995</v>
      </c>
      <c r="D244" s="13">
        <v>34943.311000000002</v>
      </c>
      <c r="E244" s="18">
        <v>21</v>
      </c>
      <c r="F244" s="2">
        <f t="shared" si="6"/>
        <v>42281.406310000006</v>
      </c>
      <c r="G244" s="3">
        <v>0</v>
      </c>
      <c r="H244" s="4">
        <v>0.7</v>
      </c>
      <c r="I244" s="28">
        <f t="shared" si="7"/>
        <v>71878.390727000005</v>
      </c>
    </row>
    <row r="245" spans="1:9" ht="15.75" customHeight="1" x14ac:dyDescent="0.35">
      <c r="A245" s="26" t="s">
        <v>13029</v>
      </c>
      <c r="B245" s="25" t="s">
        <v>9992</v>
      </c>
      <c r="C245" s="6" t="s">
        <v>13030</v>
      </c>
      <c r="D245" s="13">
        <v>67199.933319999996</v>
      </c>
      <c r="E245" s="18">
        <v>21</v>
      </c>
      <c r="F245" s="2">
        <f t="shared" si="6"/>
        <v>81311.919317199994</v>
      </c>
      <c r="G245" s="3">
        <v>0</v>
      </c>
      <c r="H245" s="4">
        <v>0.7</v>
      </c>
      <c r="I245" s="28">
        <f t="shared" si="7"/>
        <v>138230.26283923999</v>
      </c>
    </row>
    <row r="246" spans="1:9" ht="15.75" customHeight="1" x14ac:dyDescent="0.35">
      <c r="A246" s="26" t="s">
        <v>13031</v>
      </c>
      <c r="B246" s="25" t="s">
        <v>9170</v>
      </c>
      <c r="C246" s="6" t="s">
        <v>13032</v>
      </c>
      <c r="D246" s="13">
        <v>49426.472549999999</v>
      </c>
      <c r="E246" s="18">
        <v>21</v>
      </c>
      <c r="F246" s="2">
        <f t="shared" si="6"/>
        <v>59806.031785499996</v>
      </c>
      <c r="G246" s="3">
        <v>0</v>
      </c>
      <c r="H246" s="4">
        <v>0.7</v>
      </c>
      <c r="I246" s="28">
        <f t="shared" si="7"/>
        <v>101670.25403534999</v>
      </c>
    </row>
    <row r="247" spans="1:9" ht="15.75" customHeight="1" x14ac:dyDescent="0.35">
      <c r="A247" s="26" t="s">
        <v>13033</v>
      </c>
      <c r="B247" s="25" t="s">
        <v>9171</v>
      </c>
      <c r="C247" s="6" t="s">
        <v>13034</v>
      </c>
      <c r="D247" s="13">
        <v>49426.472549999999</v>
      </c>
      <c r="E247" s="18">
        <v>21</v>
      </c>
      <c r="F247" s="2">
        <f t="shared" si="6"/>
        <v>59806.031785499996</v>
      </c>
      <c r="G247" s="3">
        <v>0</v>
      </c>
      <c r="H247" s="4">
        <v>0.7</v>
      </c>
      <c r="I247" s="28">
        <f t="shared" si="7"/>
        <v>101670.25403534999</v>
      </c>
    </row>
    <row r="248" spans="1:9" ht="15.75" customHeight="1" x14ac:dyDescent="0.35">
      <c r="A248" s="26" t="s">
        <v>3994</v>
      </c>
      <c r="B248" s="25" t="s">
        <v>9172</v>
      </c>
      <c r="C248" s="6" t="s">
        <v>10632</v>
      </c>
      <c r="D248" s="13">
        <v>43207.976448000001</v>
      </c>
      <c r="E248" s="18">
        <v>21</v>
      </c>
      <c r="F248" s="2">
        <f t="shared" si="6"/>
        <v>52281.65150208</v>
      </c>
      <c r="G248" s="3">
        <v>0</v>
      </c>
      <c r="H248" s="4">
        <v>0.7</v>
      </c>
      <c r="I248" s="28">
        <f t="shared" si="7"/>
        <v>88878.807553535997</v>
      </c>
    </row>
    <row r="249" spans="1:9" ht="15.75" customHeight="1" x14ac:dyDescent="0.35">
      <c r="A249" s="26" t="s">
        <v>9677</v>
      </c>
      <c r="B249" s="25" t="s">
        <v>9173</v>
      </c>
      <c r="C249" s="6" t="s">
        <v>11696</v>
      </c>
      <c r="D249" s="13">
        <v>21661.764800000001</v>
      </c>
      <c r="E249" s="18">
        <v>21</v>
      </c>
      <c r="F249" s="2">
        <f t="shared" si="6"/>
        <v>26210.735408</v>
      </c>
      <c r="G249" s="3">
        <v>0</v>
      </c>
      <c r="H249" s="4">
        <v>0.7</v>
      </c>
      <c r="I249" s="28">
        <f t="shared" si="7"/>
        <v>44558.250193599997</v>
      </c>
    </row>
    <row r="250" spans="1:9" ht="15.75" customHeight="1" x14ac:dyDescent="0.35">
      <c r="A250" s="26" t="s">
        <v>12951</v>
      </c>
      <c r="B250" s="25" t="s">
        <v>9174</v>
      </c>
      <c r="C250" s="6" t="s">
        <v>12952</v>
      </c>
      <c r="D250" s="13">
        <v>21093.012719999999</v>
      </c>
      <c r="E250" s="18">
        <v>21</v>
      </c>
      <c r="F250" s="2">
        <f t="shared" si="6"/>
        <v>25522.545391199998</v>
      </c>
      <c r="G250" s="3">
        <v>0</v>
      </c>
      <c r="H250" s="4">
        <v>0.7</v>
      </c>
      <c r="I250" s="28">
        <f t="shared" si="7"/>
        <v>43388.327165039991</v>
      </c>
    </row>
    <row r="251" spans="1:9" ht="15.75" customHeight="1" x14ac:dyDescent="0.35">
      <c r="A251" s="26" t="s">
        <v>12953</v>
      </c>
      <c r="B251" s="25" t="s">
        <v>9175</v>
      </c>
      <c r="C251" s="6" t="s">
        <v>12954</v>
      </c>
      <c r="D251" s="13">
        <v>17693.85384</v>
      </c>
      <c r="E251" s="18">
        <v>21</v>
      </c>
      <c r="F251" s="2">
        <f t="shared" si="6"/>
        <v>21409.5631464</v>
      </c>
      <c r="G251" s="3">
        <v>0</v>
      </c>
      <c r="H251" s="4">
        <v>0.7</v>
      </c>
      <c r="I251" s="28">
        <f t="shared" si="7"/>
        <v>36396.257348879997</v>
      </c>
    </row>
    <row r="252" spans="1:9" ht="15.75" customHeight="1" x14ac:dyDescent="0.35">
      <c r="A252" s="26" t="s">
        <v>12955</v>
      </c>
      <c r="B252" s="25" t="s">
        <v>9176</v>
      </c>
      <c r="C252" s="6" t="s">
        <v>12956</v>
      </c>
      <c r="D252" s="13">
        <v>17693.85384</v>
      </c>
      <c r="E252" s="18">
        <v>21</v>
      </c>
      <c r="F252" s="2">
        <f t="shared" si="6"/>
        <v>21409.5631464</v>
      </c>
      <c r="G252" s="3">
        <v>0</v>
      </c>
      <c r="H252" s="4">
        <v>0.7</v>
      </c>
      <c r="I252" s="28">
        <f t="shared" si="7"/>
        <v>36396.257348879997</v>
      </c>
    </row>
    <row r="253" spans="1:9" ht="15.75" customHeight="1" x14ac:dyDescent="0.35">
      <c r="A253" s="26" t="s">
        <v>3997</v>
      </c>
      <c r="B253" s="25" t="s">
        <v>9993</v>
      </c>
      <c r="C253" s="6" t="s">
        <v>10787</v>
      </c>
      <c r="D253" s="13">
        <v>2251.1119665579999</v>
      </c>
      <c r="E253" s="18">
        <v>21</v>
      </c>
      <c r="F253" s="2">
        <f t="shared" si="6"/>
        <v>2723.8454795351799</v>
      </c>
      <c r="G253" s="3">
        <v>0</v>
      </c>
      <c r="H253" s="4">
        <v>0.7</v>
      </c>
      <c r="I253" s="28">
        <f t="shared" si="7"/>
        <v>4630.5373152098055</v>
      </c>
    </row>
    <row r="254" spans="1:9" ht="15.75" customHeight="1" x14ac:dyDescent="0.35">
      <c r="A254" s="26" t="s">
        <v>4001</v>
      </c>
      <c r="B254" s="25" t="s">
        <v>9994</v>
      </c>
      <c r="C254" s="6" t="s">
        <v>10795</v>
      </c>
      <c r="D254" s="13">
        <v>56057.3</v>
      </c>
      <c r="E254" s="18">
        <v>21</v>
      </c>
      <c r="F254" s="2">
        <f t="shared" si="6"/>
        <v>67829.332999999999</v>
      </c>
      <c r="G254" s="3">
        <v>0</v>
      </c>
      <c r="H254" s="4">
        <v>0.7</v>
      </c>
      <c r="I254" s="28">
        <f t="shared" si="7"/>
        <v>115309.8661</v>
      </c>
    </row>
    <row r="255" spans="1:9" ht="15.75" customHeight="1" x14ac:dyDescent="0.35">
      <c r="A255" s="26" t="s">
        <v>3998</v>
      </c>
      <c r="B255" s="25" t="s">
        <v>9995</v>
      </c>
      <c r="C255" s="6" t="s">
        <v>10633</v>
      </c>
      <c r="D255" s="13">
        <v>23307.573744000001</v>
      </c>
      <c r="E255" s="18">
        <v>21</v>
      </c>
      <c r="F255" s="2">
        <f t="shared" si="6"/>
        <v>28202.16423024</v>
      </c>
      <c r="G255" s="3">
        <v>0</v>
      </c>
      <c r="H255" s="4">
        <v>0.7</v>
      </c>
      <c r="I255" s="28">
        <f t="shared" si="7"/>
        <v>47943.679191407995</v>
      </c>
    </row>
    <row r="256" spans="1:9" ht="15.75" customHeight="1" x14ac:dyDescent="0.35">
      <c r="A256" s="26" t="s">
        <v>4002</v>
      </c>
      <c r="B256" s="25" t="s">
        <v>13030</v>
      </c>
      <c r="C256" s="6" t="s">
        <v>10634</v>
      </c>
      <c r="D256" s="13">
        <v>34961.698628999999</v>
      </c>
      <c r="E256" s="18">
        <v>21</v>
      </c>
      <c r="F256" s="2">
        <f t="shared" si="6"/>
        <v>42303.655341089994</v>
      </c>
      <c r="G256" s="3">
        <v>0</v>
      </c>
      <c r="H256" s="4">
        <v>0.7</v>
      </c>
      <c r="I256" s="28">
        <f t="shared" si="7"/>
        <v>71916.214079852987</v>
      </c>
    </row>
    <row r="257" spans="1:9" ht="15.75" customHeight="1" x14ac:dyDescent="0.35">
      <c r="A257" s="26" t="s">
        <v>5856</v>
      </c>
      <c r="B257" s="25" t="s">
        <v>13032</v>
      </c>
      <c r="C257" s="6" t="s">
        <v>10788</v>
      </c>
      <c r="D257" s="13">
        <v>5131.9049066999996</v>
      </c>
      <c r="E257" s="18">
        <v>21</v>
      </c>
      <c r="F257" s="2">
        <f t="shared" si="6"/>
        <v>6209.6049371069994</v>
      </c>
      <c r="G257" s="3">
        <v>0</v>
      </c>
      <c r="H257" s="4">
        <v>0.7</v>
      </c>
      <c r="I257" s="28">
        <f t="shared" si="7"/>
        <v>10556.328393081898</v>
      </c>
    </row>
    <row r="258" spans="1:9" ht="15.75" customHeight="1" x14ac:dyDescent="0.35">
      <c r="A258" s="26" t="s">
        <v>3345</v>
      </c>
      <c r="B258" s="25" t="s">
        <v>13034</v>
      </c>
      <c r="C258" s="6" t="s">
        <v>10635</v>
      </c>
      <c r="D258" s="13">
        <v>61163.972890019999</v>
      </c>
      <c r="E258" s="18">
        <v>21</v>
      </c>
      <c r="F258" s="2">
        <f t="shared" si="6"/>
        <v>74008.407196924192</v>
      </c>
      <c r="G258" s="3">
        <v>0</v>
      </c>
      <c r="H258" s="4">
        <v>0.7</v>
      </c>
      <c r="I258" s="28">
        <f t="shared" si="7"/>
        <v>125814.29223477113</v>
      </c>
    </row>
    <row r="259" spans="1:9" ht="15.75" customHeight="1" x14ac:dyDescent="0.35">
      <c r="A259" s="26" t="s">
        <v>4003</v>
      </c>
      <c r="B259" s="25" t="s">
        <v>10632</v>
      </c>
      <c r="C259" s="6" t="s">
        <v>10137</v>
      </c>
      <c r="D259" s="13">
        <v>47794.136831999997</v>
      </c>
      <c r="E259" s="18">
        <v>21</v>
      </c>
      <c r="F259" s="2">
        <f t="shared" si="6"/>
        <v>57830.905566719994</v>
      </c>
      <c r="G259" s="3">
        <v>0</v>
      </c>
      <c r="H259" s="4">
        <v>0.7</v>
      </c>
      <c r="I259" s="28">
        <f t="shared" si="7"/>
        <v>98312.539463423993</v>
      </c>
    </row>
    <row r="260" spans="1:9" ht="15.75" customHeight="1" x14ac:dyDescent="0.35">
      <c r="A260" s="26" t="s">
        <v>4004</v>
      </c>
      <c r="B260" s="25" t="s">
        <v>11696</v>
      </c>
      <c r="C260" s="6" t="s">
        <v>10138</v>
      </c>
      <c r="D260" s="13">
        <v>8443.7219723804992</v>
      </c>
      <c r="E260" s="18">
        <v>21</v>
      </c>
      <c r="F260" s="2">
        <f t="shared" si="6"/>
        <v>10216.903586580403</v>
      </c>
      <c r="G260" s="3">
        <v>0</v>
      </c>
      <c r="H260" s="4">
        <v>0.7</v>
      </c>
      <c r="I260" s="28">
        <f t="shared" si="7"/>
        <v>17368.736097186684</v>
      </c>
    </row>
    <row r="261" spans="1:9" ht="15.75" customHeight="1" x14ac:dyDescent="0.35">
      <c r="A261" s="26" t="s">
        <v>11545</v>
      </c>
      <c r="B261" s="25" t="s">
        <v>12952</v>
      </c>
      <c r="C261" s="6" t="s">
        <v>11546</v>
      </c>
      <c r="D261" s="13">
        <v>15479.048000000001</v>
      </c>
      <c r="E261" s="18">
        <v>21</v>
      </c>
      <c r="F261" s="2">
        <f t="shared" si="6"/>
        <v>18729.648079999999</v>
      </c>
      <c r="G261" s="3">
        <v>0</v>
      </c>
      <c r="H261" s="4">
        <v>0.7</v>
      </c>
      <c r="I261" s="28">
        <f t="shared" si="7"/>
        <v>31840.401735999996</v>
      </c>
    </row>
    <row r="262" spans="1:9" ht="15.75" customHeight="1" x14ac:dyDescent="0.35">
      <c r="A262" s="26" t="s">
        <v>3576</v>
      </c>
      <c r="B262" s="25" t="s">
        <v>12954</v>
      </c>
      <c r="C262" s="6" t="s">
        <v>10139</v>
      </c>
      <c r="D262" s="13">
        <v>79082.084835000001</v>
      </c>
      <c r="E262" s="18">
        <v>21</v>
      </c>
      <c r="F262" s="2">
        <f t="shared" ref="F262:F325" si="8">D262*E262/100+D262</f>
        <v>95689.322650350005</v>
      </c>
      <c r="G262" s="3">
        <v>0</v>
      </c>
      <c r="H262" s="4">
        <v>0.7</v>
      </c>
      <c r="I262" s="28">
        <f t="shared" ref="I262:I325" si="9">IF(G262=-1,0,F262*((100-G262)/100)*(1+H262))</f>
        <v>162671.848505595</v>
      </c>
    </row>
    <row r="263" spans="1:9" ht="15.75" customHeight="1" x14ac:dyDescent="0.35">
      <c r="A263" s="26" t="s">
        <v>5873</v>
      </c>
      <c r="B263" s="25" t="s">
        <v>12956</v>
      </c>
      <c r="C263" s="6" t="s">
        <v>10047</v>
      </c>
      <c r="D263" s="13">
        <v>37031.126885999998</v>
      </c>
      <c r="E263" s="18">
        <v>21</v>
      </c>
      <c r="F263" s="2">
        <f t="shared" si="8"/>
        <v>44807.663532059996</v>
      </c>
      <c r="G263" s="3">
        <v>0</v>
      </c>
      <c r="H263" s="4">
        <v>0.7</v>
      </c>
      <c r="I263" s="28">
        <f t="shared" si="9"/>
        <v>76173.02800450199</v>
      </c>
    </row>
    <row r="264" spans="1:9" ht="15.75" customHeight="1" x14ac:dyDescent="0.35">
      <c r="A264" s="26" t="s">
        <v>11547</v>
      </c>
      <c r="B264" s="25" t="s">
        <v>10787</v>
      </c>
      <c r="C264" s="6" t="s">
        <v>11548</v>
      </c>
      <c r="D264" s="13">
        <v>28162.186000000002</v>
      </c>
      <c r="E264" s="18">
        <v>21</v>
      </c>
      <c r="F264" s="2">
        <f t="shared" si="8"/>
        <v>34076.245060000001</v>
      </c>
      <c r="G264" s="3">
        <v>0</v>
      </c>
      <c r="H264" s="4">
        <v>0.7</v>
      </c>
      <c r="I264" s="28">
        <f t="shared" si="9"/>
        <v>57929.616602000002</v>
      </c>
    </row>
    <row r="265" spans="1:9" ht="15.75" customHeight="1" x14ac:dyDescent="0.35">
      <c r="A265" s="26" t="s">
        <v>4010</v>
      </c>
      <c r="B265" s="25" t="s">
        <v>10795</v>
      </c>
      <c r="C265" s="6" t="s">
        <v>10796</v>
      </c>
      <c r="D265" s="13">
        <v>9517.5864419999998</v>
      </c>
      <c r="E265" s="18">
        <v>21</v>
      </c>
      <c r="F265" s="2">
        <f t="shared" si="8"/>
        <v>11516.27959482</v>
      </c>
      <c r="G265" s="3">
        <v>0</v>
      </c>
      <c r="H265" s="4">
        <v>0.7</v>
      </c>
      <c r="I265" s="28">
        <f t="shared" si="9"/>
        <v>19577.675311193998</v>
      </c>
    </row>
    <row r="266" spans="1:9" ht="15.75" customHeight="1" x14ac:dyDescent="0.35">
      <c r="A266" s="26" t="s">
        <v>4011</v>
      </c>
      <c r="B266" s="25" t="s">
        <v>10633</v>
      </c>
      <c r="C266" s="6" t="s">
        <v>10797</v>
      </c>
      <c r="D266" s="13">
        <v>9517.5864419999998</v>
      </c>
      <c r="E266" s="18">
        <v>21</v>
      </c>
      <c r="F266" s="2">
        <f t="shared" si="8"/>
        <v>11516.27959482</v>
      </c>
      <c r="G266" s="3">
        <v>0</v>
      </c>
      <c r="H266" s="4">
        <v>0.7</v>
      </c>
      <c r="I266" s="28">
        <f t="shared" si="9"/>
        <v>19577.675311193998</v>
      </c>
    </row>
    <row r="267" spans="1:9" ht="15.75" customHeight="1" x14ac:dyDescent="0.35">
      <c r="A267" s="26" t="s">
        <v>4012</v>
      </c>
      <c r="B267" s="25" t="s">
        <v>10634</v>
      </c>
      <c r="C267" s="6" t="s">
        <v>10140</v>
      </c>
      <c r="D267" s="13">
        <v>84706.987335750004</v>
      </c>
      <c r="E267" s="18">
        <v>21</v>
      </c>
      <c r="F267" s="2">
        <f t="shared" si="8"/>
        <v>102495.4546762575</v>
      </c>
      <c r="G267" s="3">
        <v>0</v>
      </c>
      <c r="H267" s="4">
        <v>0.7</v>
      </c>
      <c r="I267" s="28">
        <f t="shared" si="9"/>
        <v>174242.27294963776</v>
      </c>
    </row>
    <row r="268" spans="1:9" ht="15.75" customHeight="1" x14ac:dyDescent="0.35">
      <c r="A268" s="26" t="s">
        <v>4018</v>
      </c>
      <c r="B268" s="25" t="s">
        <v>10788</v>
      </c>
      <c r="C268" s="6" t="s">
        <v>10141</v>
      </c>
      <c r="D268" s="13">
        <v>74888.808227999994</v>
      </c>
      <c r="E268" s="18">
        <v>21</v>
      </c>
      <c r="F268" s="2">
        <f t="shared" si="8"/>
        <v>90615.457955879989</v>
      </c>
      <c r="G268" s="3">
        <v>0</v>
      </c>
      <c r="H268" s="4">
        <v>0.7</v>
      </c>
      <c r="I268" s="28">
        <f t="shared" si="9"/>
        <v>154046.27852499599</v>
      </c>
    </row>
    <row r="269" spans="1:9" ht="15.75" customHeight="1" x14ac:dyDescent="0.35">
      <c r="A269" s="26" t="s">
        <v>4019</v>
      </c>
      <c r="B269" s="25" t="s">
        <v>10635</v>
      </c>
      <c r="C269" s="6" t="s">
        <v>10142</v>
      </c>
      <c r="D269" s="13">
        <v>26221.020462</v>
      </c>
      <c r="E269" s="18">
        <v>21</v>
      </c>
      <c r="F269" s="2">
        <f t="shared" si="8"/>
        <v>31727.434759020001</v>
      </c>
      <c r="G269" s="3">
        <v>0</v>
      </c>
      <c r="H269" s="4">
        <v>0.7</v>
      </c>
      <c r="I269" s="28">
        <f t="shared" si="9"/>
        <v>53936.639090334</v>
      </c>
    </row>
    <row r="270" spans="1:9" ht="15.75" customHeight="1" x14ac:dyDescent="0.35">
      <c r="A270" s="26" t="s">
        <v>3577</v>
      </c>
      <c r="B270" s="25" t="s">
        <v>10137</v>
      </c>
      <c r="C270" s="6" t="s">
        <v>10143</v>
      </c>
      <c r="D270" s="13">
        <v>34492.423913999999</v>
      </c>
      <c r="E270" s="18">
        <v>21</v>
      </c>
      <c r="F270" s="2">
        <f t="shared" si="8"/>
        <v>41735.832935940001</v>
      </c>
      <c r="G270" s="3">
        <v>0</v>
      </c>
      <c r="H270" s="4">
        <v>0.7</v>
      </c>
      <c r="I270" s="28">
        <f t="shared" si="9"/>
        <v>70950.915991097994</v>
      </c>
    </row>
    <row r="271" spans="1:9" ht="15.75" customHeight="1" x14ac:dyDescent="0.35">
      <c r="A271" s="26" t="s">
        <v>4022</v>
      </c>
      <c r="B271" s="25" t="s">
        <v>10138</v>
      </c>
      <c r="C271" s="6" t="s">
        <v>9177</v>
      </c>
      <c r="D271" s="13">
        <v>8695.5110060000006</v>
      </c>
      <c r="E271" s="18">
        <v>21</v>
      </c>
      <c r="F271" s="2">
        <f t="shared" si="8"/>
        <v>10521.56831726</v>
      </c>
      <c r="G271" s="3">
        <v>0</v>
      </c>
      <c r="H271" s="4">
        <v>0.7</v>
      </c>
      <c r="I271" s="28">
        <f t="shared" si="9"/>
        <v>17886.666139342</v>
      </c>
    </row>
    <row r="272" spans="1:9" ht="15.75" customHeight="1" x14ac:dyDescent="0.35">
      <c r="A272" s="26" t="s">
        <v>4023</v>
      </c>
      <c r="B272" s="25" t="s">
        <v>11546</v>
      </c>
      <c r="C272" s="6" t="s">
        <v>10144</v>
      </c>
      <c r="D272" s="13">
        <v>11311.06084407</v>
      </c>
      <c r="E272" s="18">
        <v>21</v>
      </c>
      <c r="F272" s="2">
        <f t="shared" si="8"/>
        <v>13686.3836213247</v>
      </c>
      <c r="G272" s="3">
        <v>0</v>
      </c>
      <c r="H272" s="4">
        <v>0.7</v>
      </c>
      <c r="I272" s="28">
        <f t="shared" si="9"/>
        <v>23266.852156251989</v>
      </c>
    </row>
    <row r="273" spans="1:9" ht="15.75" customHeight="1" x14ac:dyDescent="0.35">
      <c r="A273" s="26" t="s">
        <v>13257</v>
      </c>
      <c r="B273" s="25" t="s">
        <v>10139</v>
      </c>
      <c r="C273" s="6" t="s">
        <v>13258</v>
      </c>
      <c r="D273" s="13">
        <v>13144.95</v>
      </c>
      <c r="E273" s="18">
        <v>21</v>
      </c>
      <c r="F273" s="2">
        <f t="shared" si="8"/>
        <v>15905.389500000001</v>
      </c>
      <c r="G273" s="3">
        <v>0</v>
      </c>
      <c r="H273" s="4">
        <v>0.7</v>
      </c>
      <c r="I273" s="28">
        <f t="shared" si="9"/>
        <v>27039.16215</v>
      </c>
    </row>
    <row r="274" spans="1:9" ht="15.75" customHeight="1" x14ac:dyDescent="0.35">
      <c r="A274" s="26" t="s">
        <v>4095</v>
      </c>
      <c r="B274" s="25" t="s">
        <v>10047</v>
      </c>
      <c r="C274" s="6" t="s">
        <v>12179</v>
      </c>
      <c r="D274" s="13">
        <v>41097.095000000001</v>
      </c>
      <c r="E274" s="18">
        <v>21</v>
      </c>
      <c r="F274" s="2">
        <f t="shared" si="8"/>
        <v>49727.484949999998</v>
      </c>
      <c r="G274" s="3">
        <v>0</v>
      </c>
      <c r="H274" s="4">
        <v>0.7</v>
      </c>
      <c r="I274" s="28">
        <f t="shared" si="9"/>
        <v>84536.72441499999</v>
      </c>
    </row>
    <row r="275" spans="1:9" ht="15.75" customHeight="1" x14ac:dyDescent="0.35">
      <c r="A275" s="26" t="s">
        <v>11064</v>
      </c>
      <c r="B275" s="25" t="s">
        <v>11548</v>
      </c>
      <c r="C275" s="6" t="s">
        <v>11065</v>
      </c>
      <c r="D275" s="13">
        <v>30209.1816</v>
      </c>
      <c r="E275" s="18">
        <v>21</v>
      </c>
      <c r="F275" s="2">
        <f t="shared" si="8"/>
        <v>36553.109735999999</v>
      </c>
      <c r="G275" s="3">
        <v>0</v>
      </c>
      <c r="H275" s="4">
        <v>0.7</v>
      </c>
      <c r="I275" s="28">
        <f t="shared" si="9"/>
        <v>62140.286551199999</v>
      </c>
    </row>
    <row r="276" spans="1:9" ht="15.75" customHeight="1" x14ac:dyDescent="0.35">
      <c r="A276" s="26" t="s">
        <v>9676</v>
      </c>
      <c r="B276" s="25" t="s">
        <v>10796</v>
      </c>
      <c r="C276" s="6" t="s">
        <v>11697</v>
      </c>
      <c r="D276" s="13">
        <v>30558.6008</v>
      </c>
      <c r="E276" s="18">
        <v>21</v>
      </c>
      <c r="F276" s="2">
        <f t="shared" si="8"/>
        <v>36975.906967999996</v>
      </c>
      <c r="G276" s="3">
        <v>0</v>
      </c>
      <c r="H276" s="4">
        <v>0.7</v>
      </c>
      <c r="I276" s="28">
        <f t="shared" si="9"/>
        <v>62859.04184559999</v>
      </c>
    </row>
    <row r="277" spans="1:9" ht="15.75" customHeight="1" x14ac:dyDescent="0.35">
      <c r="A277" s="26" t="s">
        <v>9750</v>
      </c>
      <c r="B277" s="25" t="s">
        <v>10797</v>
      </c>
      <c r="C277" s="6" t="s">
        <v>11698</v>
      </c>
      <c r="D277" s="13">
        <v>30558.6008</v>
      </c>
      <c r="E277" s="18">
        <v>21</v>
      </c>
      <c r="F277" s="2">
        <f t="shared" si="8"/>
        <v>36975.906967999996</v>
      </c>
      <c r="G277" s="3">
        <v>0</v>
      </c>
      <c r="H277" s="4">
        <v>0.7</v>
      </c>
      <c r="I277" s="28">
        <f t="shared" si="9"/>
        <v>62859.04184559999</v>
      </c>
    </row>
    <row r="278" spans="1:9" ht="15.75" customHeight="1" x14ac:dyDescent="0.35">
      <c r="A278" s="26" t="s">
        <v>4014</v>
      </c>
      <c r="B278" s="25" t="s">
        <v>10140</v>
      </c>
      <c r="C278" s="6" t="s">
        <v>10145</v>
      </c>
      <c r="D278" s="13">
        <v>24333.217857</v>
      </c>
      <c r="E278" s="18">
        <v>21</v>
      </c>
      <c r="F278" s="2">
        <f t="shared" si="8"/>
        <v>29443.193606969999</v>
      </c>
      <c r="G278" s="3">
        <v>0</v>
      </c>
      <c r="H278" s="4">
        <v>0.7</v>
      </c>
      <c r="I278" s="28">
        <f t="shared" si="9"/>
        <v>50053.429131849</v>
      </c>
    </row>
    <row r="279" spans="1:9" ht="15.75" customHeight="1" x14ac:dyDescent="0.35">
      <c r="A279" s="26" t="s">
        <v>4015</v>
      </c>
      <c r="B279" s="25" t="s">
        <v>10141</v>
      </c>
      <c r="C279" s="6" t="s">
        <v>10146</v>
      </c>
      <c r="D279" s="13">
        <v>48666.323042999997</v>
      </c>
      <c r="E279" s="18">
        <v>21</v>
      </c>
      <c r="F279" s="2">
        <f t="shared" si="8"/>
        <v>58886.250882029999</v>
      </c>
      <c r="G279" s="3">
        <v>0</v>
      </c>
      <c r="H279" s="4">
        <v>0.7</v>
      </c>
      <c r="I279" s="28">
        <f t="shared" si="9"/>
        <v>100106.626499451</v>
      </c>
    </row>
    <row r="280" spans="1:9" ht="15.75" customHeight="1" x14ac:dyDescent="0.35">
      <c r="A280" s="26" t="s">
        <v>4097</v>
      </c>
      <c r="B280" s="25" t="s">
        <v>10142</v>
      </c>
      <c r="C280" s="6" t="s">
        <v>11699</v>
      </c>
      <c r="D280" s="13">
        <v>30209.1816</v>
      </c>
      <c r="E280" s="18">
        <v>21</v>
      </c>
      <c r="F280" s="2">
        <f t="shared" si="8"/>
        <v>36553.109735999999</v>
      </c>
      <c r="G280" s="3">
        <v>0</v>
      </c>
      <c r="H280" s="4">
        <v>0.7</v>
      </c>
      <c r="I280" s="28">
        <f t="shared" si="9"/>
        <v>62140.286551199999</v>
      </c>
    </row>
    <row r="281" spans="1:9" ht="15.75" customHeight="1" x14ac:dyDescent="0.35">
      <c r="A281" s="26" t="s">
        <v>4098</v>
      </c>
      <c r="B281" s="25" t="s">
        <v>10143</v>
      </c>
      <c r="C281" s="6" t="s">
        <v>11700</v>
      </c>
      <c r="D281" s="13">
        <v>30209.1816</v>
      </c>
      <c r="E281" s="18">
        <v>21</v>
      </c>
      <c r="F281" s="2">
        <f t="shared" si="8"/>
        <v>36553.109735999999</v>
      </c>
      <c r="G281" s="3">
        <v>0</v>
      </c>
      <c r="H281" s="4">
        <v>0.7</v>
      </c>
      <c r="I281" s="28">
        <f t="shared" si="9"/>
        <v>62140.286551199999</v>
      </c>
    </row>
    <row r="282" spans="1:9" ht="15.75" customHeight="1" x14ac:dyDescent="0.35">
      <c r="A282" s="26" t="s">
        <v>10798</v>
      </c>
      <c r="B282" s="25" t="s">
        <v>9177</v>
      </c>
      <c r="C282" s="6" t="s">
        <v>10799</v>
      </c>
      <c r="D282" s="13">
        <v>15586.47493</v>
      </c>
      <c r="E282" s="18">
        <v>21</v>
      </c>
      <c r="F282" s="2">
        <f t="shared" si="8"/>
        <v>18859.6346653</v>
      </c>
      <c r="G282" s="3">
        <v>0</v>
      </c>
      <c r="H282" s="4">
        <v>0.7</v>
      </c>
      <c r="I282" s="28">
        <f t="shared" si="9"/>
        <v>32061.37893101</v>
      </c>
    </row>
    <row r="283" spans="1:9" ht="15.75" customHeight="1" x14ac:dyDescent="0.35">
      <c r="A283" s="26" t="s">
        <v>4099</v>
      </c>
      <c r="B283" s="25" t="s">
        <v>10144</v>
      </c>
      <c r="C283" s="6" t="s">
        <v>27</v>
      </c>
      <c r="D283" s="13">
        <v>19183.62875</v>
      </c>
      <c r="E283" s="18">
        <v>21</v>
      </c>
      <c r="F283" s="2">
        <f t="shared" si="8"/>
        <v>23212.1907875</v>
      </c>
      <c r="G283" s="3">
        <v>0</v>
      </c>
      <c r="H283" s="4">
        <v>0.7</v>
      </c>
      <c r="I283" s="28">
        <f t="shared" si="9"/>
        <v>39460.724338749998</v>
      </c>
    </row>
    <row r="284" spans="1:9" ht="15.75" customHeight="1" x14ac:dyDescent="0.35">
      <c r="A284" s="26" t="s">
        <v>3946</v>
      </c>
      <c r="B284" s="25" t="s">
        <v>13258</v>
      </c>
      <c r="C284" s="6" t="s">
        <v>11701</v>
      </c>
      <c r="D284" s="13">
        <v>42285.153663999998</v>
      </c>
      <c r="E284" s="18">
        <v>21</v>
      </c>
      <c r="F284" s="2">
        <f t="shared" si="8"/>
        <v>51165.035933439998</v>
      </c>
      <c r="G284" s="3">
        <v>0</v>
      </c>
      <c r="H284" s="4">
        <v>0.7</v>
      </c>
      <c r="I284" s="28">
        <f t="shared" si="9"/>
        <v>86980.561086848</v>
      </c>
    </row>
    <row r="285" spans="1:9" ht="15.75" customHeight="1" x14ac:dyDescent="0.35">
      <c r="A285" s="26" t="s">
        <v>3949</v>
      </c>
      <c r="B285" s="25" t="s">
        <v>12179</v>
      </c>
      <c r="C285" s="6" t="s">
        <v>11702</v>
      </c>
      <c r="D285" s="13">
        <v>62312.3488</v>
      </c>
      <c r="E285" s="18">
        <v>21</v>
      </c>
      <c r="F285" s="2">
        <f t="shared" si="8"/>
        <v>75397.942047999997</v>
      </c>
      <c r="G285" s="3">
        <v>0</v>
      </c>
      <c r="H285" s="4">
        <v>0.7</v>
      </c>
      <c r="I285" s="28">
        <f t="shared" si="9"/>
        <v>128176.50148159999</v>
      </c>
    </row>
    <row r="286" spans="1:9" ht="15.75" customHeight="1" x14ac:dyDescent="0.35">
      <c r="A286" s="26" t="s">
        <v>4027</v>
      </c>
      <c r="B286" s="25" t="s">
        <v>9754</v>
      </c>
      <c r="C286" s="6" t="s">
        <v>10147</v>
      </c>
      <c r="D286" s="13">
        <v>12813.594541605</v>
      </c>
      <c r="E286" s="18">
        <v>21</v>
      </c>
      <c r="F286" s="2">
        <f t="shared" si="8"/>
        <v>15504.44939534205</v>
      </c>
      <c r="G286" s="3">
        <v>0</v>
      </c>
      <c r="H286" s="4">
        <v>0.7</v>
      </c>
      <c r="I286" s="28">
        <f t="shared" si="9"/>
        <v>26357.563972081483</v>
      </c>
    </row>
    <row r="287" spans="1:9" ht="15.75" customHeight="1" x14ac:dyDescent="0.35">
      <c r="A287" s="26" t="s">
        <v>4101</v>
      </c>
      <c r="B287" s="25" t="s">
        <v>11065</v>
      </c>
      <c r="C287" s="6" t="s">
        <v>28</v>
      </c>
      <c r="D287" s="13">
        <v>2877.7566138749899</v>
      </c>
      <c r="E287" s="18">
        <v>21</v>
      </c>
      <c r="F287" s="2">
        <f t="shared" si="8"/>
        <v>3482.0855027887378</v>
      </c>
      <c r="G287" s="3">
        <v>0</v>
      </c>
      <c r="H287" s="4">
        <v>0.7</v>
      </c>
      <c r="I287" s="28">
        <f t="shared" si="9"/>
        <v>5919.5453547408542</v>
      </c>
    </row>
    <row r="288" spans="1:9" ht="15.75" customHeight="1" x14ac:dyDescent="0.35">
      <c r="A288" s="26" t="s">
        <v>4028</v>
      </c>
      <c r="B288" s="25" t="s">
        <v>11697</v>
      </c>
      <c r="C288" s="6" t="s">
        <v>9178</v>
      </c>
      <c r="D288" s="13">
        <v>6284.1040080000002</v>
      </c>
      <c r="E288" s="18">
        <v>21</v>
      </c>
      <c r="F288" s="2">
        <f t="shared" si="8"/>
        <v>7603.7658496800004</v>
      </c>
      <c r="G288" s="3">
        <v>0</v>
      </c>
      <c r="H288" s="4">
        <v>0.7</v>
      </c>
      <c r="I288" s="28">
        <f t="shared" si="9"/>
        <v>12926.401944456</v>
      </c>
    </row>
    <row r="289" spans="1:9" ht="15.75" customHeight="1" x14ac:dyDescent="0.35">
      <c r="A289" s="26" t="s">
        <v>4030</v>
      </c>
      <c r="B289" s="25" t="s">
        <v>11698</v>
      </c>
      <c r="C289" s="6" t="s">
        <v>10148</v>
      </c>
      <c r="D289" s="13">
        <v>26269.807004999999</v>
      </c>
      <c r="E289" s="18">
        <v>21</v>
      </c>
      <c r="F289" s="2">
        <f t="shared" si="8"/>
        <v>31786.466476049998</v>
      </c>
      <c r="G289" s="3">
        <v>0</v>
      </c>
      <c r="H289" s="4">
        <v>0.7</v>
      </c>
      <c r="I289" s="28">
        <f t="shared" si="9"/>
        <v>54036.993009284997</v>
      </c>
    </row>
    <row r="290" spans="1:9" ht="15.75" customHeight="1" x14ac:dyDescent="0.35">
      <c r="A290" s="26" t="s">
        <v>4116</v>
      </c>
      <c r="B290" s="25" t="s">
        <v>10145</v>
      </c>
      <c r="C290" s="6" t="s">
        <v>10149</v>
      </c>
      <c r="D290" s="13">
        <v>8308.0625955795003</v>
      </c>
      <c r="E290" s="18">
        <v>21</v>
      </c>
      <c r="F290" s="2">
        <f t="shared" si="8"/>
        <v>10052.755740651195</v>
      </c>
      <c r="G290" s="3">
        <v>0</v>
      </c>
      <c r="H290" s="4">
        <v>0.7</v>
      </c>
      <c r="I290" s="28">
        <f t="shared" si="9"/>
        <v>17089.684759107033</v>
      </c>
    </row>
    <row r="291" spans="1:9" ht="15.75" customHeight="1" x14ac:dyDescent="0.35">
      <c r="A291" s="26" t="s">
        <v>4118</v>
      </c>
      <c r="B291" s="25" t="s">
        <v>10146</v>
      </c>
      <c r="C291" s="6" t="s">
        <v>10150</v>
      </c>
      <c r="D291" s="13">
        <v>22814.300105999999</v>
      </c>
      <c r="E291" s="18">
        <v>21</v>
      </c>
      <c r="F291" s="2">
        <f t="shared" si="8"/>
        <v>27605.303128259999</v>
      </c>
      <c r="G291" s="3">
        <v>0</v>
      </c>
      <c r="H291" s="4">
        <v>0.7</v>
      </c>
      <c r="I291" s="28">
        <f t="shared" si="9"/>
        <v>46929.015318041995</v>
      </c>
    </row>
    <row r="292" spans="1:9" ht="15.75" customHeight="1" x14ac:dyDescent="0.35">
      <c r="A292" s="26" t="s">
        <v>4119</v>
      </c>
      <c r="B292" s="25" t="s">
        <v>11699</v>
      </c>
      <c r="C292" s="6" t="s">
        <v>10151</v>
      </c>
      <c r="D292" s="13">
        <v>29522.731446000002</v>
      </c>
      <c r="E292" s="18">
        <v>21</v>
      </c>
      <c r="F292" s="2">
        <f t="shared" si="8"/>
        <v>35722.505049660002</v>
      </c>
      <c r="G292" s="3">
        <v>0</v>
      </c>
      <c r="H292" s="4">
        <v>0.7</v>
      </c>
      <c r="I292" s="28">
        <f t="shared" si="9"/>
        <v>60728.258584422001</v>
      </c>
    </row>
    <row r="293" spans="1:9" ht="15.75" customHeight="1" x14ac:dyDescent="0.35">
      <c r="A293" s="26" t="s">
        <v>4120</v>
      </c>
      <c r="B293" s="25" t="s">
        <v>11700</v>
      </c>
      <c r="C293" s="6" t="s">
        <v>10152</v>
      </c>
      <c r="D293" s="13">
        <v>13986.346419044999</v>
      </c>
      <c r="E293" s="18">
        <v>21</v>
      </c>
      <c r="F293" s="2">
        <f t="shared" si="8"/>
        <v>16923.47916704445</v>
      </c>
      <c r="G293" s="3">
        <v>0</v>
      </c>
      <c r="H293" s="4">
        <v>0.7</v>
      </c>
      <c r="I293" s="28">
        <f t="shared" si="9"/>
        <v>28769.914583975566</v>
      </c>
    </row>
    <row r="294" spans="1:9" ht="15.75" customHeight="1" x14ac:dyDescent="0.35">
      <c r="A294" s="26" t="s">
        <v>4036</v>
      </c>
      <c r="B294" s="25" t="s">
        <v>10799</v>
      </c>
      <c r="C294" s="6" t="s">
        <v>10153</v>
      </c>
      <c r="D294" s="13">
        <v>30415.664470965199</v>
      </c>
      <c r="E294" s="18">
        <v>21</v>
      </c>
      <c r="F294" s="2">
        <f t="shared" si="8"/>
        <v>36802.954009867892</v>
      </c>
      <c r="G294" s="3">
        <v>0</v>
      </c>
      <c r="H294" s="4">
        <v>0.7</v>
      </c>
      <c r="I294" s="28">
        <f t="shared" si="9"/>
        <v>62565.021816775414</v>
      </c>
    </row>
    <row r="295" spans="1:9" ht="15.75" customHeight="1" x14ac:dyDescent="0.35">
      <c r="A295" s="26" t="s">
        <v>4038</v>
      </c>
      <c r="B295" s="25" t="s">
        <v>27</v>
      </c>
      <c r="C295" s="6" t="s">
        <v>10154</v>
      </c>
      <c r="D295" s="13">
        <v>85080.576203999997</v>
      </c>
      <c r="E295" s="18">
        <v>21</v>
      </c>
      <c r="F295" s="2">
        <f t="shared" si="8"/>
        <v>102947.49720683999</v>
      </c>
      <c r="G295" s="3">
        <v>0</v>
      </c>
      <c r="H295" s="4">
        <v>0.7</v>
      </c>
      <c r="I295" s="28">
        <f t="shared" si="9"/>
        <v>175010.74525162799</v>
      </c>
    </row>
    <row r="296" spans="1:9" ht="15.75" customHeight="1" x14ac:dyDescent="0.35">
      <c r="A296" s="26" t="s">
        <v>11549</v>
      </c>
      <c r="B296" s="25" t="s">
        <v>11701</v>
      </c>
      <c r="C296" s="6" t="s">
        <v>11550</v>
      </c>
      <c r="D296" s="13">
        <v>17045.313999999998</v>
      </c>
      <c r="E296" s="18">
        <v>21</v>
      </c>
      <c r="F296" s="2">
        <f t="shared" si="8"/>
        <v>20624.82994</v>
      </c>
      <c r="G296" s="3">
        <v>0</v>
      </c>
      <c r="H296" s="4">
        <v>0.7</v>
      </c>
      <c r="I296" s="28">
        <f t="shared" si="9"/>
        <v>35062.210897999998</v>
      </c>
    </row>
    <row r="297" spans="1:9" ht="15.75" customHeight="1" x14ac:dyDescent="0.35">
      <c r="A297" s="26" t="s">
        <v>11551</v>
      </c>
      <c r="B297" s="25" t="s">
        <v>11702</v>
      </c>
      <c r="C297" s="6" t="s">
        <v>11552</v>
      </c>
      <c r="D297" s="13">
        <v>33030.686000000002</v>
      </c>
      <c r="E297" s="18">
        <v>21</v>
      </c>
      <c r="F297" s="2">
        <f t="shared" si="8"/>
        <v>39967.130060000003</v>
      </c>
      <c r="G297" s="3">
        <v>0</v>
      </c>
      <c r="H297" s="4">
        <v>0.7</v>
      </c>
      <c r="I297" s="28">
        <f t="shared" si="9"/>
        <v>67944.121102000005</v>
      </c>
    </row>
    <row r="298" spans="1:9" ht="15.75" customHeight="1" x14ac:dyDescent="0.35">
      <c r="A298" s="26" t="s">
        <v>4044</v>
      </c>
      <c r="B298" s="25" t="s">
        <v>10147</v>
      </c>
      <c r="C298" s="6" t="s">
        <v>10155</v>
      </c>
      <c r="D298" s="13">
        <v>50694.401042999998</v>
      </c>
      <c r="E298" s="18">
        <v>21</v>
      </c>
      <c r="F298" s="2">
        <f t="shared" si="8"/>
        <v>61340.225262029999</v>
      </c>
      <c r="G298" s="3">
        <v>0</v>
      </c>
      <c r="H298" s="4">
        <v>0.7</v>
      </c>
      <c r="I298" s="28">
        <f t="shared" si="9"/>
        <v>104278.382945451</v>
      </c>
    </row>
    <row r="299" spans="1:9" ht="15.75" customHeight="1" x14ac:dyDescent="0.35">
      <c r="A299" s="26" t="s">
        <v>4046</v>
      </c>
      <c r="B299" s="25" t="s">
        <v>28</v>
      </c>
      <c r="C299" s="6" t="s">
        <v>10156</v>
      </c>
      <c r="D299" s="13">
        <v>46507.112336295002</v>
      </c>
      <c r="E299" s="18">
        <v>21</v>
      </c>
      <c r="F299" s="2">
        <f t="shared" si="8"/>
        <v>56273.605926916949</v>
      </c>
      <c r="G299" s="3">
        <v>0</v>
      </c>
      <c r="H299" s="4">
        <v>0.7</v>
      </c>
      <c r="I299" s="28">
        <f t="shared" si="9"/>
        <v>95665.130075758818</v>
      </c>
    </row>
    <row r="300" spans="1:9" ht="15.75" customHeight="1" x14ac:dyDescent="0.35">
      <c r="A300" s="26" t="s">
        <v>4048</v>
      </c>
      <c r="B300" s="25" t="s">
        <v>9178</v>
      </c>
      <c r="C300" s="6" t="s">
        <v>9547</v>
      </c>
      <c r="D300" s="13">
        <v>13754.208000000001</v>
      </c>
      <c r="E300" s="18">
        <v>21</v>
      </c>
      <c r="F300" s="2">
        <f t="shared" si="8"/>
        <v>16642.591680000001</v>
      </c>
      <c r="G300" s="3">
        <v>0</v>
      </c>
      <c r="H300" s="4">
        <v>0.7</v>
      </c>
      <c r="I300" s="28">
        <f t="shared" si="9"/>
        <v>28292.405856000001</v>
      </c>
    </row>
    <row r="301" spans="1:9" ht="15.75" customHeight="1" x14ac:dyDescent="0.35">
      <c r="A301" s="26" t="s">
        <v>8846</v>
      </c>
      <c r="B301" s="25" t="s">
        <v>10148</v>
      </c>
      <c r="C301" s="6" t="s">
        <v>8847</v>
      </c>
      <c r="D301" s="13">
        <v>10022.25237</v>
      </c>
      <c r="E301" s="18">
        <v>21</v>
      </c>
      <c r="F301" s="2">
        <f t="shared" si="8"/>
        <v>12126.9253677</v>
      </c>
      <c r="G301" s="3">
        <v>0</v>
      </c>
      <c r="H301" s="4">
        <v>0.7</v>
      </c>
      <c r="I301" s="28">
        <f t="shared" si="9"/>
        <v>20615.77312509</v>
      </c>
    </row>
    <row r="302" spans="1:9" ht="15.75" customHeight="1" x14ac:dyDescent="0.35">
      <c r="A302" s="26" t="s">
        <v>3573</v>
      </c>
      <c r="B302" s="25" t="s">
        <v>10149</v>
      </c>
      <c r="C302" s="6" t="s">
        <v>9755</v>
      </c>
      <c r="D302" s="13">
        <v>77327.428750000006</v>
      </c>
      <c r="E302" s="18">
        <v>21</v>
      </c>
      <c r="F302" s="2">
        <f t="shared" si="8"/>
        <v>93566.18878750001</v>
      </c>
      <c r="G302" s="3">
        <v>0</v>
      </c>
      <c r="H302" s="4">
        <v>0.7</v>
      </c>
      <c r="I302" s="28">
        <f t="shared" si="9"/>
        <v>159062.52093875001</v>
      </c>
    </row>
    <row r="303" spans="1:9" ht="15.75" customHeight="1" x14ac:dyDescent="0.35">
      <c r="A303" s="26" t="s">
        <v>4047</v>
      </c>
      <c r="B303" s="25" t="s">
        <v>10150</v>
      </c>
      <c r="C303" s="6" t="s">
        <v>11643</v>
      </c>
      <c r="D303" s="13">
        <v>9983.0543210579999</v>
      </c>
      <c r="E303" s="18">
        <v>21</v>
      </c>
      <c r="F303" s="2">
        <f t="shared" si="8"/>
        <v>12079.49572848018</v>
      </c>
      <c r="G303" s="3">
        <v>0</v>
      </c>
      <c r="H303" s="4">
        <v>0.7</v>
      </c>
      <c r="I303" s="28">
        <f t="shared" si="9"/>
        <v>20535.142738416307</v>
      </c>
    </row>
    <row r="304" spans="1:9" ht="15.75" customHeight="1" x14ac:dyDescent="0.35">
      <c r="A304" s="26" t="s">
        <v>4049</v>
      </c>
      <c r="B304" s="25" t="s">
        <v>10151</v>
      </c>
      <c r="C304" s="6" t="s">
        <v>11889</v>
      </c>
      <c r="D304" s="13">
        <v>16125.862999999999</v>
      </c>
      <c r="E304" s="18">
        <v>21</v>
      </c>
      <c r="F304" s="2">
        <f t="shared" si="8"/>
        <v>19512.29423</v>
      </c>
      <c r="G304" s="3">
        <v>0</v>
      </c>
      <c r="H304" s="4">
        <v>0.7</v>
      </c>
      <c r="I304" s="28">
        <f t="shared" si="9"/>
        <v>33170.900191000001</v>
      </c>
    </row>
    <row r="305" spans="1:9" ht="15.75" customHeight="1" x14ac:dyDescent="0.35">
      <c r="A305" s="26" t="s">
        <v>4050</v>
      </c>
      <c r="B305" s="25" t="s">
        <v>10152</v>
      </c>
      <c r="C305" s="6" t="s">
        <v>11890</v>
      </c>
      <c r="D305" s="13">
        <v>8186.0349999999999</v>
      </c>
      <c r="E305" s="18">
        <v>21</v>
      </c>
      <c r="F305" s="2">
        <f t="shared" si="8"/>
        <v>9905.1023499999992</v>
      </c>
      <c r="G305" s="3">
        <v>0</v>
      </c>
      <c r="H305" s="4">
        <v>0.7</v>
      </c>
      <c r="I305" s="28">
        <f t="shared" si="9"/>
        <v>16838.673994999997</v>
      </c>
    </row>
    <row r="306" spans="1:9" ht="15.75" customHeight="1" x14ac:dyDescent="0.35">
      <c r="A306" s="26" t="s">
        <v>8848</v>
      </c>
      <c r="B306" s="25" t="s">
        <v>10153</v>
      </c>
      <c r="C306" s="6" t="s">
        <v>10848</v>
      </c>
      <c r="D306" s="13">
        <v>11462.869339999999</v>
      </c>
      <c r="E306" s="18">
        <v>21</v>
      </c>
      <c r="F306" s="2">
        <f t="shared" si="8"/>
        <v>13870.071901399999</v>
      </c>
      <c r="G306" s="3">
        <v>0</v>
      </c>
      <c r="H306" s="4">
        <v>0.7</v>
      </c>
      <c r="I306" s="28">
        <f t="shared" si="9"/>
        <v>23579.122232379996</v>
      </c>
    </row>
    <row r="307" spans="1:9" ht="15.75" customHeight="1" x14ac:dyDescent="0.35">
      <c r="A307" s="26" t="s">
        <v>4051</v>
      </c>
      <c r="B307" s="25" t="s">
        <v>10154</v>
      </c>
      <c r="C307" s="6" t="s">
        <v>11644</v>
      </c>
      <c r="D307" s="13">
        <v>63657.237150000008</v>
      </c>
      <c r="E307" s="18">
        <v>21</v>
      </c>
      <c r="F307" s="2">
        <f t="shared" si="8"/>
        <v>77025.256951500007</v>
      </c>
      <c r="G307" s="3">
        <v>0</v>
      </c>
      <c r="H307" s="4">
        <v>0.7</v>
      </c>
      <c r="I307" s="28">
        <f t="shared" si="9"/>
        <v>130942.93681755001</v>
      </c>
    </row>
    <row r="308" spans="1:9" ht="15.75" customHeight="1" x14ac:dyDescent="0.35">
      <c r="A308" s="26" t="s">
        <v>8849</v>
      </c>
      <c r="B308" s="25" t="s">
        <v>11550</v>
      </c>
      <c r="C308" s="6" t="s">
        <v>8850</v>
      </c>
      <c r="D308" s="13">
        <v>5387.60205984</v>
      </c>
      <c r="E308" s="18">
        <v>21</v>
      </c>
      <c r="F308" s="2">
        <f t="shared" si="8"/>
        <v>6518.9984924064001</v>
      </c>
      <c r="G308" s="3">
        <v>0</v>
      </c>
      <c r="H308" s="4">
        <v>0.7</v>
      </c>
      <c r="I308" s="28">
        <f t="shared" si="9"/>
        <v>11082.29743709088</v>
      </c>
    </row>
    <row r="309" spans="1:9" ht="15.75" customHeight="1" x14ac:dyDescent="0.35">
      <c r="A309" s="26" t="s">
        <v>4008</v>
      </c>
      <c r="B309" s="25" t="s">
        <v>11552</v>
      </c>
      <c r="C309" s="6" t="s">
        <v>12993</v>
      </c>
      <c r="D309" s="13">
        <v>21851.758012499999</v>
      </c>
      <c r="E309" s="18">
        <v>21</v>
      </c>
      <c r="F309" s="2">
        <f t="shared" si="8"/>
        <v>26440.627195124998</v>
      </c>
      <c r="G309" s="3">
        <v>0</v>
      </c>
      <c r="H309" s="4">
        <v>0.7</v>
      </c>
      <c r="I309" s="28">
        <f t="shared" si="9"/>
        <v>44949.066231712495</v>
      </c>
    </row>
    <row r="310" spans="1:9" ht="15.75" customHeight="1" x14ac:dyDescent="0.35">
      <c r="A310" s="26" t="s">
        <v>4020</v>
      </c>
      <c r="B310" s="25" t="s">
        <v>10155</v>
      </c>
      <c r="C310" s="6" t="s">
        <v>12994</v>
      </c>
      <c r="D310" s="13">
        <v>23165.78355</v>
      </c>
      <c r="E310" s="18">
        <v>21</v>
      </c>
      <c r="F310" s="2">
        <f t="shared" si="8"/>
        <v>28030.598095500001</v>
      </c>
      <c r="G310" s="3">
        <v>0</v>
      </c>
      <c r="H310" s="4">
        <v>0.7</v>
      </c>
      <c r="I310" s="28">
        <f t="shared" si="9"/>
        <v>47652.016762350002</v>
      </c>
    </row>
    <row r="311" spans="1:9" ht="15.75" customHeight="1" x14ac:dyDescent="0.35">
      <c r="A311" s="26" t="s">
        <v>4121</v>
      </c>
      <c r="B311" s="25" t="s">
        <v>10156</v>
      </c>
      <c r="C311" s="6" t="s">
        <v>29</v>
      </c>
      <c r="D311" s="13">
        <v>36722.400000000001</v>
      </c>
      <c r="E311" s="18">
        <v>21</v>
      </c>
      <c r="F311" s="2">
        <f t="shared" si="8"/>
        <v>44434.103999999999</v>
      </c>
      <c r="G311" s="3">
        <v>0</v>
      </c>
      <c r="H311" s="4">
        <v>0.7</v>
      </c>
      <c r="I311" s="28">
        <f t="shared" si="9"/>
        <v>75537.976800000004</v>
      </c>
    </row>
    <row r="312" spans="1:9" ht="15.75" customHeight="1" x14ac:dyDescent="0.35">
      <c r="A312" s="26" t="s">
        <v>13844</v>
      </c>
      <c r="B312" s="25" t="s">
        <v>9547</v>
      </c>
      <c r="C312" s="6" t="s">
        <v>13845</v>
      </c>
      <c r="D312" s="13">
        <v>31164.347915999999</v>
      </c>
      <c r="E312" s="18">
        <v>21</v>
      </c>
      <c r="F312" s="2">
        <f t="shared" si="8"/>
        <v>37708.860978359997</v>
      </c>
      <c r="G312" s="3">
        <v>0</v>
      </c>
      <c r="H312" s="4">
        <v>0.7</v>
      </c>
      <c r="I312" s="28">
        <f t="shared" si="9"/>
        <v>64105.063663211993</v>
      </c>
    </row>
    <row r="313" spans="1:9" ht="15.75" customHeight="1" x14ac:dyDescent="0.35">
      <c r="A313" s="26" t="s">
        <v>13846</v>
      </c>
      <c r="B313" s="25" t="s">
        <v>8847</v>
      </c>
      <c r="C313" s="6" t="s">
        <v>13847</v>
      </c>
      <c r="D313" s="13">
        <v>43931.887623000002</v>
      </c>
      <c r="E313" s="18">
        <v>21</v>
      </c>
      <c r="F313" s="2">
        <f t="shared" si="8"/>
        <v>53157.584023830001</v>
      </c>
      <c r="G313" s="3">
        <v>0</v>
      </c>
      <c r="H313" s="4">
        <v>0.7</v>
      </c>
      <c r="I313" s="28">
        <f t="shared" si="9"/>
        <v>90367.892840511005</v>
      </c>
    </row>
    <row r="314" spans="1:9" ht="15.75" customHeight="1" x14ac:dyDescent="0.35">
      <c r="A314" s="26" t="s">
        <v>4093</v>
      </c>
      <c r="B314" s="25" t="s">
        <v>9755</v>
      </c>
      <c r="C314" s="6" t="s">
        <v>11704</v>
      </c>
      <c r="D314" s="13">
        <v>18025.134399999999</v>
      </c>
      <c r="E314" s="18">
        <v>21</v>
      </c>
      <c r="F314" s="2">
        <f t="shared" si="8"/>
        <v>21810.412624000001</v>
      </c>
      <c r="G314" s="3">
        <v>0</v>
      </c>
      <c r="H314" s="4">
        <v>0.7</v>
      </c>
      <c r="I314" s="28">
        <f t="shared" si="9"/>
        <v>37077.701460800003</v>
      </c>
    </row>
    <row r="315" spans="1:9" ht="15.75" customHeight="1" x14ac:dyDescent="0.35">
      <c r="A315" s="26" t="s">
        <v>4092</v>
      </c>
      <c r="B315" s="25" t="s">
        <v>11643</v>
      </c>
      <c r="C315" s="6" t="s">
        <v>11705</v>
      </c>
      <c r="D315" s="13">
        <v>18025.134399999999</v>
      </c>
      <c r="E315" s="18">
        <v>21</v>
      </c>
      <c r="F315" s="2">
        <f t="shared" si="8"/>
        <v>21810.412624000001</v>
      </c>
      <c r="G315" s="3">
        <v>0</v>
      </c>
      <c r="H315" s="4">
        <v>0.7</v>
      </c>
      <c r="I315" s="28">
        <f t="shared" si="9"/>
        <v>37077.701460800003</v>
      </c>
    </row>
    <row r="316" spans="1:9" ht="15.75" customHeight="1" x14ac:dyDescent="0.35">
      <c r="A316" s="26" t="s">
        <v>4094</v>
      </c>
      <c r="B316" s="25" t="s">
        <v>11889</v>
      </c>
      <c r="C316" s="6" t="s">
        <v>11706</v>
      </c>
      <c r="D316" s="13">
        <v>23616.954399999999</v>
      </c>
      <c r="E316" s="18">
        <v>21</v>
      </c>
      <c r="F316" s="2">
        <f t="shared" si="8"/>
        <v>28576.514823999998</v>
      </c>
      <c r="G316" s="3">
        <v>0</v>
      </c>
      <c r="H316" s="4">
        <v>0.7</v>
      </c>
      <c r="I316" s="28">
        <f t="shared" si="9"/>
        <v>48580.075200799998</v>
      </c>
    </row>
    <row r="317" spans="1:9" ht="15.75" customHeight="1" x14ac:dyDescent="0.35">
      <c r="A317" s="26" t="s">
        <v>12232</v>
      </c>
      <c r="B317" s="25" t="s">
        <v>11890</v>
      </c>
      <c r="C317" s="6" t="s">
        <v>12233</v>
      </c>
      <c r="D317" s="13">
        <v>96556.5432</v>
      </c>
      <c r="E317" s="18">
        <v>21</v>
      </c>
      <c r="F317" s="2">
        <f t="shared" si="8"/>
        <v>116833.41727199999</v>
      </c>
      <c r="G317" s="3">
        <v>0</v>
      </c>
      <c r="H317" s="4">
        <v>0.7</v>
      </c>
      <c r="I317" s="28">
        <f t="shared" si="9"/>
        <v>198616.80936239997</v>
      </c>
    </row>
    <row r="318" spans="1:9" ht="15.75" customHeight="1" x14ac:dyDescent="0.35">
      <c r="A318" s="26" t="s">
        <v>12234</v>
      </c>
      <c r="B318" s="25" t="s">
        <v>10848</v>
      </c>
      <c r="C318" s="6" t="s">
        <v>12235</v>
      </c>
      <c r="D318" s="13">
        <v>209913.14623499999</v>
      </c>
      <c r="E318" s="18">
        <v>21</v>
      </c>
      <c r="F318" s="2">
        <f t="shared" si="8"/>
        <v>253994.90694434999</v>
      </c>
      <c r="G318" s="3">
        <v>0</v>
      </c>
      <c r="H318" s="4">
        <v>0.7</v>
      </c>
      <c r="I318" s="28">
        <f t="shared" si="9"/>
        <v>431791.34180539497</v>
      </c>
    </row>
    <row r="319" spans="1:9" ht="15.75" customHeight="1" x14ac:dyDescent="0.35">
      <c r="A319" s="26" t="s">
        <v>3446</v>
      </c>
      <c r="B319" s="25" t="s">
        <v>11703</v>
      </c>
      <c r="C319" s="6" t="s">
        <v>846</v>
      </c>
      <c r="D319" s="13">
        <v>270.21009600000002</v>
      </c>
      <c r="E319" s="18">
        <v>21</v>
      </c>
      <c r="F319" s="2">
        <f t="shared" si="8"/>
        <v>326.95421616000004</v>
      </c>
      <c r="G319" s="3">
        <v>0</v>
      </c>
      <c r="H319" s="4">
        <v>0.7</v>
      </c>
      <c r="I319" s="28">
        <f t="shared" si="9"/>
        <v>555.82216747200005</v>
      </c>
    </row>
    <row r="320" spans="1:9" ht="15.75" customHeight="1" x14ac:dyDescent="0.35">
      <c r="A320" s="26" t="s">
        <v>3447</v>
      </c>
      <c r="B320" s="25" t="s">
        <v>11644</v>
      </c>
      <c r="C320" s="6" t="s">
        <v>11553</v>
      </c>
      <c r="D320" s="13">
        <v>254.553</v>
      </c>
      <c r="E320" s="18">
        <v>21</v>
      </c>
      <c r="F320" s="2">
        <f t="shared" si="8"/>
        <v>308.00913000000003</v>
      </c>
      <c r="G320" s="3">
        <v>0</v>
      </c>
      <c r="H320" s="4">
        <v>0.7</v>
      </c>
      <c r="I320" s="28">
        <f t="shared" si="9"/>
        <v>523.61552100000006</v>
      </c>
    </row>
    <row r="321" spans="1:9" ht="15.75" customHeight="1" x14ac:dyDescent="0.35">
      <c r="A321" s="26" t="s">
        <v>3498</v>
      </c>
      <c r="B321" s="25" t="s">
        <v>8850</v>
      </c>
      <c r="C321" s="6" t="s">
        <v>30</v>
      </c>
      <c r="D321" s="13">
        <v>37402.682460000004</v>
      </c>
      <c r="E321" s="18">
        <v>21</v>
      </c>
      <c r="F321" s="2">
        <f t="shared" si="8"/>
        <v>45257.245776600001</v>
      </c>
      <c r="G321" s="3">
        <v>0</v>
      </c>
      <c r="H321" s="4">
        <v>0.7</v>
      </c>
      <c r="I321" s="28">
        <f t="shared" si="9"/>
        <v>76937.317820219992</v>
      </c>
    </row>
    <row r="322" spans="1:9" ht="15.75" customHeight="1" x14ac:dyDescent="0.35">
      <c r="A322" s="26" t="s">
        <v>3499</v>
      </c>
      <c r="B322" s="25" t="s">
        <v>12993</v>
      </c>
      <c r="C322" s="6" t="s">
        <v>31</v>
      </c>
      <c r="D322" s="13">
        <v>37402.682460000004</v>
      </c>
      <c r="E322" s="18">
        <v>21</v>
      </c>
      <c r="F322" s="2">
        <f t="shared" si="8"/>
        <v>45257.245776600001</v>
      </c>
      <c r="G322" s="3">
        <v>0</v>
      </c>
      <c r="H322" s="4">
        <v>0.7</v>
      </c>
      <c r="I322" s="28">
        <f t="shared" si="9"/>
        <v>76937.317820219992</v>
      </c>
    </row>
    <row r="323" spans="1:9" ht="15.75" customHeight="1" x14ac:dyDescent="0.35">
      <c r="A323" s="26" t="s">
        <v>3500</v>
      </c>
      <c r="B323" s="25" t="s">
        <v>12994</v>
      </c>
      <c r="C323" s="6" t="s">
        <v>32</v>
      </c>
      <c r="D323" s="13">
        <v>44040.945349579662</v>
      </c>
      <c r="E323" s="18">
        <v>21</v>
      </c>
      <c r="F323" s="2">
        <f t="shared" si="8"/>
        <v>53289.543872991388</v>
      </c>
      <c r="G323" s="3">
        <v>0</v>
      </c>
      <c r="H323" s="4">
        <v>0.7</v>
      </c>
      <c r="I323" s="28">
        <f t="shared" si="9"/>
        <v>90592.224584085357</v>
      </c>
    </row>
    <row r="324" spans="1:9" ht="15.75" customHeight="1" x14ac:dyDescent="0.35">
      <c r="A324" s="26" t="s">
        <v>11437</v>
      </c>
      <c r="B324" s="25" t="s">
        <v>29</v>
      </c>
      <c r="C324" s="6" t="s">
        <v>13920</v>
      </c>
      <c r="D324" s="13">
        <v>6872.8113739999999</v>
      </c>
      <c r="E324" s="18">
        <v>10.5</v>
      </c>
      <c r="F324" s="2">
        <f t="shared" si="8"/>
        <v>7594.4565682699995</v>
      </c>
      <c r="G324" s="3">
        <v>0</v>
      </c>
      <c r="H324" s="4">
        <v>0.7</v>
      </c>
      <c r="I324" s="28">
        <f t="shared" si="9"/>
        <v>12910.576166059</v>
      </c>
    </row>
    <row r="325" spans="1:9" ht="15.75" customHeight="1" x14ac:dyDescent="0.35">
      <c r="A325" s="26" t="s">
        <v>3629</v>
      </c>
      <c r="B325" s="25" t="s">
        <v>11704</v>
      </c>
      <c r="C325" s="6" t="s">
        <v>11554</v>
      </c>
      <c r="D325" s="13">
        <v>6752.9016099999999</v>
      </c>
      <c r="E325" s="18">
        <v>21</v>
      </c>
      <c r="F325" s="2">
        <f t="shared" si="8"/>
        <v>8171.0109481</v>
      </c>
      <c r="G325" s="3">
        <v>0</v>
      </c>
      <c r="H325" s="4">
        <v>0.7</v>
      </c>
      <c r="I325" s="28">
        <f t="shared" si="9"/>
        <v>13890.71861177</v>
      </c>
    </row>
    <row r="326" spans="1:9" ht="15.75" customHeight="1" x14ac:dyDescent="0.35">
      <c r="A326" s="26" t="s">
        <v>3633</v>
      </c>
      <c r="B326" s="25" t="s">
        <v>11705</v>
      </c>
      <c r="C326" s="6" t="s">
        <v>10017</v>
      </c>
      <c r="D326" s="13">
        <v>5191.2120000000004</v>
      </c>
      <c r="E326" s="18">
        <v>21</v>
      </c>
      <c r="F326" s="2">
        <f t="shared" ref="F326:F389" si="10">D326*E326/100+D326</f>
        <v>6281.3665200000005</v>
      </c>
      <c r="G326" s="3">
        <v>0</v>
      </c>
      <c r="H326" s="4">
        <v>0.7</v>
      </c>
      <c r="I326" s="28">
        <f t="shared" ref="I326:I389" si="11">IF(G326=-1,0,F326*((100-G326)/100)*(1+H326))</f>
        <v>10678.323084</v>
      </c>
    </row>
    <row r="327" spans="1:9" ht="15.75" customHeight="1" x14ac:dyDescent="0.35">
      <c r="A327" s="26" t="s">
        <v>12180</v>
      </c>
      <c r="B327" s="25" t="s">
        <v>11706</v>
      </c>
      <c r="C327" s="6" t="s">
        <v>12587</v>
      </c>
      <c r="D327" s="13">
        <v>22095.096075000001</v>
      </c>
      <c r="E327" s="18">
        <v>21</v>
      </c>
      <c r="F327" s="2">
        <f t="shared" si="10"/>
        <v>26735.066250750002</v>
      </c>
      <c r="G327" s="3">
        <v>0</v>
      </c>
      <c r="H327" s="4">
        <v>0.7</v>
      </c>
      <c r="I327" s="28">
        <f t="shared" si="11"/>
        <v>45449.612626275004</v>
      </c>
    </row>
    <row r="328" spans="1:9" ht="15.75" customHeight="1" x14ac:dyDescent="0.35">
      <c r="A328" s="26" t="s">
        <v>12588</v>
      </c>
      <c r="B328" s="25" t="s">
        <v>12233</v>
      </c>
      <c r="C328" s="6" t="s">
        <v>12589</v>
      </c>
      <c r="D328" s="13">
        <v>26523.8488125</v>
      </c>
      <c r="E328" s="18">
        <v>21</v>
      </c>
      <c r="F328" s="2">
        <f t="shared" si="10"/>
        <v>32093.857063125</v>
      </c>
      <c r="G328" s="3">
        <v>0</v>
      </c>
      <c r="H328" s="4">
        <v>0.7</v>
      </c>
      <c r="I328" s="28">
        <f t="shared" si="11"/>
        <v>54559.557007312498</v>
      </c>
    </row>
    <row r="329" spans="1:9" ht="15.75" customHeight="1" x14ac:dyDescent="0.35">
      <c r="A329" s="26" t="s">
        <v>5576</v>
      </c>
      <c r="B329" s="25" t="s">
        <v>12235</v>
      </c>
      <c r="C329" s="6" t="s">
        <v>9796</v>
      </c>
      <c r="D329" s="13">
        <v>6976.9889279999998</v>
      </c>
      <c r="E329" s="18">
        <v>21</v>
      </c>
      <c r="F329" s="2">
        <f t="shared" si="10"/>
        <v>8442.1566028799989</v>
      </c>
      <c r="G329" s="3">
        <v>0</v>
      </c>
      <c r="H329" s="4">
        <v>0.7</v>
      </c>
      <c r="I329" s="28">
        <f t="shared" si="11"/>
        <v>14351.666224895998</v>
      </c>
    </row>
    <row r="330" spans="1:9" ht="15.75" customHeight="1" x14ac:dyDescent="0.35">
      <c r="A330" s="26" t="s">
        <v>5577</v>
      </c>
      <c r="B330" s="25" t="s">
        <v>846</v>
      </c>
      <c r="C330" s="6" t="s">
        <v>10048</v>
      </c>
      <c r="D330" s="13">
        <v>700.81362000000001</v>
      </c>
      <c r="E330" s="18">
        <v>21</v>
      </c>
      <c r="F330" s="2">
        <f t="shared" si="10"/>
        <v>847.98448020000001</v>
      </c>
      <c r="G330" s="3">
        <v>0</v>
      </c>
      <c r="H330" s="4">
        <v>0.7</v>
      </c>
      <c r="I330" s="28">
        <f t="shared" si="11"/>
        <v>1441.5736163399999</v>
      </c>
    </row>
    <row r="331" spans="1:9" ht="15.75" customHeight="1" x14ac:dyDescent="0.35">
      <c r="A331" s="26" t="s">
        <v>5580</v>
      </c>
      <c r="B331" s="25" t="s">
        <v>11553</v>
      </c>
      <c r="C331" s="6" t="s">
        <v>9797</v>
      </c>
      <c r="D331" s="13">
        <v>6976.9889279999998</v>
      </c>
      <c r="E331" s="18">
        <v>21</v>
      </c>
      <c r="F331" s="2">
        <f t="shared" si="10"/>
        <v>8442.1566028799989</v>
      </c>
      <c r="G331" s="3">
        <v>0</v>
      </c>
      <c r="H331" s="4">
        <v>0.7</v>
      </c>
      <c r="I331" s="28">
        <f t="shared" si="11"/>
        <v>14351.666224895998</v>
      </c>
    </row>
    <row r="332" spans="1:9" ht="15.75" customHeight="1" x14ac:dyDescent="0.35">
      <c r="A332" s="26" t="s">
        <v>5581</v>
      </c>
      <c r="B332" s="25" t="s">
        <v>30</v>
      </c>
      <c r="C332" s="6" t="s">
        <v>10049</v>
      </c>
      <c r="D332" s="13">
        <v>6416.3380319999997</v>
      </c>
      <c r="E332" s="18">
        <v>21</v>
      </c>
      <c r="F332" s="2">
        <f t="shared" si="10"/>
        <v>7763.7690187199996</v>
      </c>
      <c r="G332" s="3">
        <v>0</v>
      </c>
      <c r="H332" s="4">
        <v>0.7</v>
      </c>
      <c r="I332" s="28">
        <f t="shared" si="11"/>
        <v>13198.407331823999</v>
      </c>
    </row>
    <row r="333" spans="1:9" ht="15.75" customHeight="1" x14ac:dyDescent="0.35">
      <c r="A333" s="26" t="s">
        <v>4274</v>
      </c>
      <c r="B333" s="25" t="s">
        <v>31</v>
      </c>
      <c r="C333" s="6" t="s">
        <v>36</v>
      </c>
      <c r="D333" s="13">
        <v>261794.98126057567</v>
      </c>
      <c r="E333" s="18">
        <v>21</v>
      </c>
      <c r="F333" s="2">
        <f t="shared" si="10"/>
        <v>316771.92732529656</v>
      </c>
      <c r="G333" s="3">
        <v>0</v>
      </c>
      <c r="H333" s="4">
        <v>0.7</v>
      </c>
      <c r="I333" s="28">
        <f t="shared" si="11"/>
        <v>538512.2764530041</v>
      </c>
    </row>
    <row r="334" spans="1:9" ht="15.75" customHeight="1" x14ac:dyDescent="0.35">
      <c r="A334" s="26" t="s">
        <v>4275</v>
      </c>
      <c r="B334" s="25" t="s">
        <v>32</v>
      </c>
      <c r="C334" s="6" t="s">
        <v>37</v>
      </c>
      <c r="D334" s="13">
        <v>67310.554773319265</v>
      </c>
      <c r="E334" s="18">
        <v>21</v>
      </c>
      <c r="F334" s="2">
        <f t="shared" si="10"/>
        <v>81445.77127571631</v>
      </c>
      <c r="G334" s="3">
        <v>0</v>
      </c>
      <c r="H334" s="4">
        <v>0.7</v>
      </c>
      <c r="I334" s="28">
        <f t="shared" si="11"/>
        <v>138457.81116871772</v>
      </c>
    </row>
    <row r="335" spans="1:9" ht="15.75" customHeight="1" x14ac:dyDescent="0.35">
      <c r="A335" s="26" t="s">
        <v>2399</v>
      </c>
      <c r="B335" s="25" t="s">
        <v>11438</v>
      </c>
      <c r="C335" s="6" t="s">
        <v>11458</v>
      </c>
      <c r="D335" s="13">
        <v>54151.667835200002</v>
      </c>
      <c r="E335" s="18">
        <v>21</v>
      </c>
      <c r="F335" s="2">
        <f t="shared" si="10"/>
        <v>65523.518080592003</v>
      </c>
      <c r="G335" s="3">
        <v>0</v>
      </c>
      <c r="H335" s="4">
        <v>0.7</v>
      </c>
      <c r="I335" s="28">
        <f t="shared" si="11"/>
        <v>111389.98073700641</v>
      </c>
    </row>
    <row r="336" spans="1:9" ht="15.75" customHeight="1" x14ac:dyDescent="0.35">
      <c r="A336" s="26" t="s">
        <v>2400</v>
      </c>
      <c r="B336" s="25" t="s">
        <v>33</v>
      </c>
      <c r="C336" s="6" t="s">
        <v>11459</v>
      </c>
      <c r="D336" s="13">
        <v>56876.180587199997</v>
      </c>
      <c r="E336" s="18">
        <v>21</v>
      </c>
      <c r="F336" s="2">
        <f t="shared" si="10"/>
        <v>68820.178510511992</v>
      </c>
      <c r="G336" s="3">
        <v>0</v>
      </c>
      <c r="H336" s="4">
        <v>0.7</v>
      </c>
      <c r="I336" s="28">
        <f t="shared" si="11"/>
        <v>116994.30346787038</v>
      </c>
    </row>
    <row r="337" spans="1:9" ht="15.75" customHeight="1" x14ac:dyDescent="0.35">
      <c r="A337" s="26" t="s">
        <v>2401</v>
      </c>
      <c r="B337" s="25" t="s">
        <v>34</v>
      </c>
      <c r="C337" s="6" t="s">
        <v>11555</v>
      </c>
      <c r="D337" s="13">
        <v>63702.558711999998</v>
      </c>
      <c r="E337" s="18">
        <v>21</v>
      </c>
      <c r="F337" s="2">
        <f t="shared" si="10"/>
        <v>77080.096041519995</v>
      </c>
      <c r="G337" s="3">
        <v>0</v>
      </c>
      <c r="H337" s="4">
        <v>0.7</v>
      </c>
      <c r="I337" s="28">
        <f t="shared" si="11"/>
        <v>131036.16327058399</v>
      </c>
    </row>
    <row r="338" spans="1:9" ht="15.75" customHeight="1" x14ac:dyDescent="0.35">
      <c r="A338" s="26" t="s">
        <v>2402</v>
      </c>
      <c r="B338" s="25" t="s">
        <v>11554</v>
      </c>
      <c r="C338" s="6" t="s">
        <v>11556</v>
      </c>
      <c r="D338" s="13">
        <v>72231.937023999999</v>
      </c>
      <c r="E338" s="18">
        <v>21</v>
      </c>
      <c r="F338" s="2">
        <f t="shared" si="10"/>
        <v>87400.643799040001</v>
      </c>
      <c r="G338" s="3">
        <v>0</v>
      </c>
      <c r="H338" s="4">
        <v>0.7</v>
      </c>
      <c r="I338" s="28">
        <f t="shared" si="11"/>
        <v>148581.094458368</v>
      </c>
    </row>
    <row r="339" spans="1:9" ht="15.75" customHeight="1" x14ac:dyDescent="0.35">
      <c r="A339" s="26" t="s">
        <v>2405</v>
      </c>
      <c r="B339" s="25" t="s">
        <v>35</v>
      </c>
      <c r="C339" s="6" t="s">
        <v>11460</v>
      </c>
      <c r="D339" s="13">
        <v>13887.8712765</v>
      </c>
      <c r="E339" s="18">
        <v>21</v>
      </c>
      <c r="F339" s="2">
        <f t="shared" si="10"/>
        <v>16804.324244564999</v>
      </c>
      <c r="G339" s="3">
        <v>0</v>
      </c>
      <c r="H339" s="4">
        <v>0.7</v>
      </c>
      <c r="I339" s="28">
        <f t="shared" si="11"/>
        <v>28567.351215760496</v>
      </c>
    </row>
    <row r="340" spans="1:9" ht="15.75" customHeight="1" x14ac:dyDescent="0.35">
      <c r="A340" s="26" t="s">
        <v>2406</v>
      </c>
      <c r="B340" s="25" t="s">
        <v>10017</v>
      </c>
      <c r="C340" s="6" t="s">
        <v>11461</v>
      </c>
      <c r="D340" s="13">
        <v>16950.926304000001</v>
      </c>
      <c r="E340" s="18">
        <v>21</v>
      </c>
      <c r="F340" s="2">
        <f t="shared" si="10"/>
        <v>20510.620827840001</v>
      </c>
      <c r="G340" s="3">
        <v>0</v>
      </c>
      <c r="H340" s="4">
        <v>0.7</v>
      </c>
      <c r="I340" s="28">
        <f t="shared" si="11"/>
        <v>34868.055407328</v>
      </c>
    </row>
    <row r="341" spans="1:9" ht="15.75" customHeight="1" x14ac:dyDescent="0.35">
      <c r="A341" s="26" t="s">
        <v>2407</v>
      </c>
      <c r="B341" s="25" t="s">
        <v>12587</v>
      </c>
      <c r="C341" s="6" t="s">
        <v>11462</v>
      </c>
      <c r="D341" s="13">
        <v>19596.1388415</v>
      </c>
      <c r="E341" s="18">
        <v>21</v>
      </c>
      <c r="F341" s="2">
        <f t="shared" si="10"/>
        <v>23711.327998215002</v>
      </c>
      <c r="G341" s="3">
        <v>0</v>
      </c>
      <c r="H341" s="4">
        <v>0.7</v>
      </c>
      <c r="I341" s="28">
        <f t="shared" si="11"/>
        <v>40309.257596965501</v>
      </c>
    </row>
    <row r="342" spans="1:9" ht="15.75" customHeight="1" x14ac:dyDescent="0.35">
      <c r="A342" s="26" t="s">
        <v>2408</v>
      </c>
      <c r="B342" s="25" t="s">
        <v>12589</v>
      </c>
      <c r="C342" s="6" t="s">
        <v>11463</v>
      </c>
      <c r="D342" s="13">
        <v>25597.570089000001</v>
      </c>
      <c r="E342" s="18">
        <v>21</v>
      </c>
      <c r="F342" s="2">
        <f t="shared" si="10"/>
        <v>30973.059807689999</v>
      </c>
      <c r="G342" s="3">
        <v>0</v>
      </c>
      <c r="H342" s="4">
        <v>0.7</v>
      </c>
      <c r="I342" s="28">
        <f t="shared" si="11"/>
        <v>52654.201673072996</v>
      </c>
    </row>
    <row r="343" spans="1:9" ht="15.75" customHeight="1" x14ac:dyDescent="0.35">
      <c r="A343" s="26" t="s">
        <v>13898</v>
      </c>
      <c r="B343" s="25" t="s">
        <v>9796</v>
      </c>
      <c r="C343" s="6" t="s">
        <v>13899</v>
      </c>
      <c r="D343" s="13">
        <v>41569.936239000002</v>
      </c>
      <c r="E343" s="18">
        <v>21</v>
      </c>
      <c r="F343" s="2">
        <f t="shared" si="10"/>
        <v>50299.622849190004</v>
      </c>
      <c r="G343" s="3">
        <v>0</v>
      </c>
      <c r="H343" s="4">
        <v>0.7</v>
      </c>
      <c r="I343" s="28">
        <f t="shared" si="11"/>
        <v>85509.358843623006</v>
      </c>
    </row>
    <row r="344" spans="1:9" ht="15.75" customHeight="1" x14ac:dyDescent="0.35">
      <c r="A344" s="26" t="s">
        <v>2409</v>
      </c>
      <c r="B344" s="25" t="s">
        <v>10048</v>
      </c>
      <c r="C344" s="6" t="s">
        <v>11464</v>
      </c>
      <c r="D344" s="13">
        <v>10892.8841385</v>
      </c>
      <c r="E344" s="18">
        <v>21</v>
      </c>
      <c r="F344" s="2">
        <f t="shared" si="10"/>
        <v>13180.389807584999</v>
      </c>
      <c r="G344" s="3">
        <v>0</v>
      </c>
      <c r="H344" s="4">
        <v>0.7</v>
      </c>
      <c r="I344" s="28">
        <f t="shared" si="11"/>
        <v>22406.662672894498</v>
      </c>
    </row>
    <row r="345" spans="1:9" ht="15.75" customHeight="1" x14ac:dyDescent="0.35">
      <c r="A345" s="26" t="s">
        <v>13737</v>
      </c>
      <c r="B345" s="25" t="s">
        <v>9797</v>
      </c>
      <c r="C345" s="6" t="s">
        <v>13738</v>
      </c>
      <c r="D345" s="13">
        <v>51902.102713499997</v>
      </c>
      <c r="E345" s="18">
        <v>21</v>
      </c>
      <c r="F345" s="2">
        <f t="shared" si="10"/>
        <v>62801.544283334995</v>
      </c>
      <c r="G345" s="3">
        <v>0</v>
      </c>
      <c r="H345" s="4">
        <v>0.7</v>
      </c>
      <c r="I345" s="28">
        <f t="shared" si="11"/>
        <v>106762.62528166949</v>
      </c>
    </row>
    <row r="346" spans="1:9" ht="15.75" customHeight="1" x14ac:dyDescent="0.35">
      <c r="A346" s="26" t="s">
        <v>3578</v>
      </c>
      <c r="B346" s="25" t="s">
        <v>10049</v>
      </c>
      <c r="C346" s="6" t="s">
        <v>38</v>
      </c>
      <c r="D346" s="13">
        <v>24250.245054749899</v>
      </c>
      <c r="E346" s="18">
        <v>21</v>
      </c>
      <c r="F346" s="2">
        <f t="shared" si="10"/>
        <v>29342.796516247377</v>
      </c>
      <c r="G346" s="3">
        <v>0</v>
      </c>
      <c r="H346" s="4">
        <v>0.7</v>
      </c>
      <c r="I346" s="28">
        <f t="shared" si="11"/>
        <v>49882.754077620542</v>
      </c>
    </row>
    <row r="347" spans="1:9" ht="15.75" customHeight="1" x14ac:dyDescent="0.35">
      <c r="A347" s="26" t="s">
        <v>3579</v>
      </c>
      <c r="B347" s="25" t="s">
        <v>36</v>
      </c>
      <c r="C347" s="6" t="s">
        <v>39</v>
      </c>
      <c r="D347" s="13">
        <v>106309.74904549999</v>
      </c>
      <c r="E347" s="18">
        <v>21</v>
      </c>
      <c r="F347" s="2">
        <f t="shared" si="10"/>
        <v>128634.79634505499</v>
      </c>
      <c r="G347" s="3">
        <v>0</v>
      </c>
      <c r="H347" s="4">
        <v>0.7</v>
      </c>
      <c r="I347" s="28">
        <f t="shared" si="11"/>
        <v>218679.15378659347</v>
      </c>
    </row>
    <row r="348" spans="1:9" ht="15.75" customHeight="1" x14ac:dyDescent="0.35">
      <c r="A348" s="26" t="s">
        <v>3321</v>
      </c>
      <c r="B348" s="25" t="s">
        <v>37</v>
      </c>
      <c r="C348" s="6" t="s">
        <v>1200</v>
      </c>
      <c r="D348" s="13">
        <v>2076.4848000000002</v>
      </c>
      <c r="E348" s="18">
        <v>21</v>
      </c>
      <c r="F348" s="2">
        <f t="shared" si="10"/>
        <v>2512.5466080000001</v>
      </c>
      <c r="G348" s="3">
        <v>0</v>
      </c>
      <c r="H348" s="4">
        <v>0.7</v>
      </c>
      <c r="I348" s="28">
        <f t="shared" si="11"/>
        <v>4271.3292336000004</v>
      </c>
    </row>
    <row r="349" spans="1:9" ht="15.75" customHeight="1" x14ac:dyDescent="0.35">
      <c r="A349" s="26" t="s">
        <v>1520</v>
      </c>
      <c r="B349" s="25" t="s">
        <v>11458</v>
      </c>
      <c r="C349" s="6" t="s">
        <v>9038</v>
      </c>
      <c r="D349" s="13">
        <v>2528.8380000000002</v>
      </c>
      <c r="E349" s="18">
        <v>21</v>
      </c>
      <c r="F349" s="2">
        <f t="shared" si="10"/>
        <v>3059.8939800000003</v>
      </c>
      <c r="G349" s="3">
        <v>0</v>
      </c>
      <c r="H349" s="4">
        <v>0.7</v>
      </c>
      <c r="I349" s="28">
        <f t="shared" si="11"/>
        <v>5201.8197660000005</v>
      </c>
    </row>
    <row r="350" spans="1:9" ht="15.75" customHeight="1" x14ac:dyDescent="0.35">
      <c r="A350" s="26" t="s">
        <v>1521</v>
      </c>
      <c r="B350" s="25" t="s">
        <v>11459</v>
      </c>
      <c r="C350" s="6" t="s">
        <v>9039</v>
      </c>
      <c r="D350" s="13">
        <v>1547.3484000000001</v>
      </c>
      <c r="E350" s="18">
        <v>21</v>
      </c>
      <c r="F350" s="2">
        <f t="shared" si="10"/>
        <v>1872.2915640000001</v>
      </c>
      <c r="G350" s="3">
        <v>0</v>
      </c>
      <c r="H350" s="4">
        <v>0.7</v>
      </c>
      <c r="I350" s="28">
        <f t="shared" si="11"/>
        <v>3182.8956588000001</v>
      </c>
    </row>
    <row r="351" spans="1:9" ht="15.75" customHeight="1" x14ac:dyDescent="0.35">
      <c r="A351" s="26" t="s">
        <v>2807</v>
      </c>
      <c r="B351" s="25" t="s">
        <v>11555</v>
      </c>
      <c r="C351" s="6" t="s">
        <v>847</v>
      </c>
      <c r="D351" s="13">
        <v>3817.7038250000001</v>
      </c>
      <c r="E351" s="18">
        <v>21</v>
      </c>
      <c r="F351" s="2">
        <f t="shared" si="10"/>
        <v>4619.4216282500001</v>
      </c>
      <c r="G351" s="3">
        <v>0</v>
      </c>
      <c r="H351" s="4">
        <v>0.7</v>
      </c>
      <c r="I351" s="28">
        <f t="shared" si="11"/>
        <v>7853.0167680249997</v>
      </c>
    </row>
    <row r="352" spans="1:9" ht="15.75" customHeight="1" x14ac:dyDescent="0.35">
      <c r="A352" s="26" t="s">
        <v>5703</v>
      </c>
      <c r="B352" s="25" t="s">
        <v>11556</v>
      </c>
      <c r="C352" s="6" t="s">
        <v>1216</v>
      </c>
      <c r="D352" s="13">
        <v>1.5301</v>
      </c>
      <c r="E352" s="18">
        <v>21</v>
      </c>
      <c r="F352" s="2">
        <f t="shared" si="10"/>
        <v>1.851421</v>
      </c>
      <c r="G352" s="3">
        <v>0</v>
      </c>
      <c r="H352" s="4">
        <v>0.7</v>
      </c>
      <c r="I352" s="28">
        <f t="shared" si="11"/>
        <v>3.1474156999999998</v>
      </c>
    </row>
    <row r="353" spans="1:9" ht="15.75" customHeight="1" x14ac:dyDescent="0.35">
      <c r="A353" s="26" t="s">
        <v>5704</v>
      </c>
      <c r="B353" s="25" t="s">
        <v>11460</v>
      </c>
      <c r="C353" s="6" t="s">
        <v>1217</v>
      </c>
      <c r="D353" s="13">
        <v>1.5301</v>
      </c>
      <c r="E353" s="18">
        <v>21</v>
      </c>
      <c r="F353" s="2">
        <f t="shared" si="10"/>
        <v>1.851421</v>
      </c>
      <c r="G353" s="3">
        <v>0</v>
      </c>
      <c r="H353" s="4">
        <v>0.7</v>
      </c>
      <c r="I353" s="28">
        <f t="shared" si="11"/>
        <v>3.1474156999999998</v>
      </c>
    </row>
    <row r="354" spans="1:9" ht="15.75" customHeight="1" x14ac:dyDescent="0.35">
      <c r="A354" s="26" t="s">
        <v>5705</v>
      </c>
      <c r="B354" s="25" t="s">
        <v>11461</v>
      </c>
      <c r="C354" s="6" t="s">
        <v>40</v>
      </c>
      <c r="D354" s="13">
        <v>6775.0359854112003</v>
      </c>
      <c r="E354" s="18">
        <v>21</v>
      </c>
      <c r="F354" s="2">
        <f t="shared" si="10"/>
        <v>8197.7935423475519</v>
      </c>
      <c r="G354" s="3">
        <v>0</v>
      </c>
      <c r="H354" s="4">
        <v>0.7</v>
      </c>
      <c r="I354" s="28">
        <f t="shared" si="11"/>
        <v>13936.249021990838</v>
      </c>
    </row>
    <row r="355" spans="1:9" ht="15.75" customHeight="1" x14ac:dyDescent="0.35">
      <c r="A355" s="26" t="s">
        <v>5706</v>
      </c>
      <c r="B355" s="25" t="s">
        <v>11462</v>
      </c>
      <c r="C355" s="6" t="s">
        <v>41</v>
      </c>
      <c r="D355" s="13">
        <v>5878.67202</v>
      </c>
      <c r="E355" s="18">
        <v>21</v>
      </c>
      <c r="F355" s="2">
        <f t="shared" si="10"/>
        <v>7113.1931442000005</v>
      </c>
      <c r="G355" s="3">
        <v>0</v>
      </c>
      <c r="H355" s="4">
        <v>0.7</v>
      </c>
      <c r="I355" s="28">
        <f t="shared" si="11"/>
        <v>12092.428345140001</v>
      </c>
    </row>
    <row r="356" spans="1:9" ht="15.75" customHeight="1" x14ac:dyDescent="0.35">
      <c r="A356" s="26" t="s">
        <v>5707</v>
      </c>
      <c r="B356" s="25" t="s">
        <v>11463</v>
      </c>
      <c r="C356" s="6" t="s">
        <v>42</v>
      </c>
      <c r="D356" s="13">
        <v>4370.3828999999996</v>
      </c>
      <c r="E356" s="18">
        <v>21</v>
      </c>
      <c r="F356" s="2">
        <f t="shared" si="10"/>
        <v>5288.1633089999996</v>
      </c>
      <c r="G356" s="3">
        <v>0</v>
      </c>
      <c r="H356" s="4">
        <v>0.7</v>
      </c>
      <c r="I356" s="28">
        <f t="shared" si="11"/>
        <v>8989.8776252999996</v>
      </c>
    </row>
    <row r="357" spans="1:9" ht="15.75" customHeight="1" x14ac:dyDescent="0.35">
      <c r="A357" s="26" t="s">
        <v>5708</v>
      </c>
      <c r="B357" s="25" t="s">
        <v>11464</v>
      </c>
      <c r="C357" s="6" t="s">
        <v>43</v>
      </c>
      <c r="D357" s="13">
        <v>83.543459999999996</v>
      </c>
      <c r="E357" s="18">
        <v>21</v>
      </c>
      <c r="F357" s="2">
        <f t="shared" si="10"/>
        <v>101.08758659999999</v>
      </c>
      <c r="G357" s="3">
        <v>0</v>
      </c>
      <c r="H357" s="4">
        <v>0.7</v>
      </c>
      <c r="I357" s="28">
        <f t="shared" si="11"/>
        <v>171.84889722</v>
      </c>
    </row>
    <row r="358" spans="1:9" ht="15.75" customHeight="1" x14ac:dyDescent="0.35">
      <c r="A358" s="26" t="s">
        <v>5709</v>
      </c>
      <c r="B358" s="25" t="s">
        <v>38</v>
      </c>
      <c r="C358" s="6" t="s">
        <v>44</v>
      </c>
      <c r="D358" s="13">
        <v>5168.5152199200002</v>
      </c>
      <c r="E358" s="18">
        <v>21</v>
      </c>
      <c r="F358" s="2">
        <f t="shared" si="10"/>
        <v>6253.9034161032005</v>
      </c>
      <c r="G358" s="3">
        <v>0</v>
      </c>
      <c r="H358" s="4">
        <v>0.7</v>
      </c>
      <c r="I358" s="28">
        <f t="shared" si="11"/>
        <v>10631.63580737544</v>
      </c>
    </row>
    <row r="359" spans="1:9" ht="15.75" customHeight="1" x14ac:dyDescent="0.35">
      <c r="A359" s="26" t="s">
        <v>5710</v>
      </c>
      <c r="B359" s="25" t="s">
        <v>39</v>
      </c>
      <c r="C359" s="6" t="s">
        <v>45</v>
      </c>
      <c r="D359" s="13">
        <v>61.999651999999998</v>
      </c>
      <c r="E359" s="18">
        <v>21</v>
      </c>
      <c r="F359" s="2">
        <f t="shared" si="10"/>
        <v>75.019578920000001</v>
      </c>
      <c r="G359" s="3">
        <v>0</v>
      </c>
      <c r="H359" s="4">
        <v>0.7</v>
      </c>
      <c r="I359" s="28">
        <f t="shared" si="11"/>
        <v>127.53328416399999</v>
      </c>
    </row>
    <row r="360" spans="1:9" ht="15.75" customHeight="1" x14ac:dyDescent="0.35">
      <c r="A360" s="26" t="s">
        <v>5711</v>
      </c>
      <c r="B360" s="25" t="s">
        <v>1200</v>
      </c>
      <c r="C360" s="6" t="s">
        <v>1218</v>
      </c>
      <c r="D360" s="13">
        <v>1.5301</v>
      </c>
      <c r="E360" s="18">
        <v>21</v>
      </c>
      <c r="F360" s="2">
        <f t="shared" si="10"/>
        <v>1.851421</v>
      </c>
      <c r="G360" s="3">
        <v>0</v>
      </c>
      <c r="H360" s="4">
        <v>0.7</v>
      </c>
      <c r="I360" s="28">
        <f t="shared" si="11"/>
        <v>3.1474156999999998</v>
      </c>
    </row>
    <row r="361" spans="1:9" ht="15.75" customHeight="1" x14ac:dyDescent="0.35">
      <c r="A361" s="26" t="s">
        <v>5712</v>
      </c>
      <c r="B361" s="25" t="s">
        <v>9038</v>
      </c>
      <c r="C361" s="6" t="s">
        <v>1219</v>
      </c>
      <c r="D361" s="13">
        <v>1.5301</v>
      </c>
      <c r="E361" s="18">
        <v>21</v>
      </c>
      <c r="F361" s="2">
        <f t="shared" si="10"/>
        <v>1.851421</v>
      </c>
      <c r="G361" s="3">
        <v>0</v>
      </c>
      <c r="H361" s="4">
        <v>0.7</v>
      </c>
      <c r="I361" s="28">
        <f t="shared" si="11"/>
        <v>3.1474156999999998</v>
      </c>
    </row>
    <row r="362" spans="1:9" ht="15.75" customHeight="1" x14ac:dyDescent="0.35">
      <c r="A362" s="26" t="s">
        <v>5713</v>
      </c>
      <c r="B362" s="25" t="s">
        <v>9039</v>
      </c>
      <c r="C362" s="6" t="s">
        <v>46</v>
      </c>
      <c r="D362" s="13">
        <v>9522.5509950012001</v>
      </c>
      <c r="E362" s="18">
        <v>21</v>
      </c>
      <c r="F362" s="2">
        <f t="shared" si="10"/>
        <v>11522.286703951453</v>
      </c>
      <c r="G362" s="3">
        <v>0</v>
      </c>
      <c r="H362" s="4">
        <v>0.7</v>
      </c>
      <c r="I362" s="28">
        <f t="shared" si="11"/>
        <v>19587.88739671747</v>
      </c>
    </row>
    <row r="363" spans="1:9" ht="15.75" customHeight="1" x14ac:dyDescent="0.35">
      <c r="A363" s="26" t="s">
        <v>5714</v>
      </c>
      <c r="B363" s="25" t="s">
        <v>847</v>
      </c>
      <c r="C363" s="6" t="s">
        <v>47</v>
      </c>
      <c r="D363" s="13">
        <v>5192.6057819999996</v>
      </c>
      <c r="E363" s="18">
        <v>21</v>
      </c>
      <c r="F363" s="2">
        <f t="shared" si="10"/>
        <v>6283.0529962199998</v>
      </c>
      <c r="G363" s="3">
        <v>0</v>
      </c>
      <c r="H363" s="4">
        <v>0.7</v>
      </c>
      <c r="I363" s="28">
        <f t="shared" si="11"/>
        <v>10681.190093574</v>
      </c>
    </row>
    <row r="364" spans="1:9" ht="15.75" customHeight="1" x14ac:dyDescent="0.35">
      <c r="A364" s="26" t="s">
        <v>5715</v>
      </c>
      <c r="B364" s="25" t="s">
        <v>1216</v>
      </c>
      <c r="C364" s="6" t="s">
        <v>48</v>
      </c>
      <c r="D364" s="13">
        <v>4054.6912769999999</v>
      </c>
      <c r="E364" s="18">
        <v>21</v>
      </c>
      <c r="F364" s="2">
        <f t="shared" si="10"/>
        <v>4906.1764451700001</v>
      </c>
      <c r="G364" s="3">
        <v>0</v>
      </c>
      <c r="H364" s="4">
        <v>0.7</v>
      </c>
      <c r="I364" s="28">
        <f t="shared" si="11"/>
        <v>8340.499956788999</v>
      </c>
    </row>
    <row r="365" spans="1:9" ht="15.75" customHeight="1" x14ac:dyDescent="0.35">
      <c r="A365" s="26" t="s">
        <v>5716</v>
      </c>
      <c r="B365" s="25" t="s">
        <v>1217</v>
      </c>
      <c r="C365" s="6" t="s">
        <v>49</v>
      </c>
      <c r="D365" s="13">
        <v>7085.6361611568</v>
      </c>
      <c r="E365" s="18">
        <v>21</v>
      </c>
      <c r="F365" s="2">
        <f t="shared" si="10"/>
        <v>8573.6197549997287</v>
      </c>
      <c r="G365" s="3">
        <v>0</v>
      </c>
      <c r="H365" s="4">
        <v>0.7</v>
      </c>
      <c r="I365" s="28">
        <f t="shared" si="11"/>
        <v>14575.153583499537</v>
      </c>
    </row>
    <row r="366" spans="1:9" ht="15.75" customHeight="1" x14ac:dyDescent="0.35">
      <c r="A366" s="26" t="s">
        <v>5717</v>
      </c>
      <c r="B366" s="25" t="s">
        <v>40</v>
      </c>
      <c r="C366" s="6" t="s">
        <v>1220</v>
      </c>
      <c r="D366" s="13">
        <v>1.5301</v>
      </c>
      <c r="E366" s="18">
        <v>21</v>
      </c>
      <c r="F366" s="2">
        <f t="shared" si="10"/>
        <v>1.851421</v>
      </c>
      <c r="G366" s="3">
        <v>0</v>
      </c>
      <c r="H366" s="4">
        <v>0.7</v>
      </c>
      <c r="I366" s="28">
        <f t="shared" si="11"/>
        <v>3.1474156999999998</v>
      </c>
    </row>
    <row r="367" spans="1:9" ht="15.75" customHeight="1" x14ac:dyDescent="0.35">
      <c r="A367" s="26" t="s">
        <v>5719</v>
      </c>
      <c r="B367" s="25" t="s">
        <v>41</v>
      </c>
      <c r="C367" s="6" t="s">
        <v>50</v>
      </c>
      <c r="D367" s="13">
        <v>7419.3336064692003</v>
      </c>
      <c r="E367" s="18">
        <v>21</v>
      </c>
      <c r="F367" s="2">
        <f t="shared" si="10"/>
        <v>8977.3936638277319</v>
      </c>
      <c r="G367" s="3">
        <v>0</v>
      </c>
      <c r="H367" s="4">
        <v>0.7</v>
      </c>
      <c r="I367" s="28">
        <f t="shared" si="11"/>
        <v>15261.569228507144</v>
      </c>
    </row>
    <row r="368" spans="1:9" ht="15.75" customHeight="1" x14ac:dyDescent="0.35">
      <c r="A368" s="26" t="s">
        <v>5720</v>
      </c>
      <c r="B368" s="25" t="s">
        <v>42</v>
      </c>
      <c r="C368" s="6" t="s">
        <v>51</v>
      </c>
      <c r="D368" s="13">
        <v>6354.6444000000001</v>
      </c>
      <c r="E368" s="18">
        <v>21</v>
      </c>
      <c r="F368" s="2">
        <f t="shared" si="10"/>
        <v>7689.1197240000001</v>
      </c>
      <c r="G368" s="3">
        <v>0</v>
      </c>
      <c r="H368" s="4">
        <v>0.7</v>
      </c>
      <c r="I368" s="28">
        <f t="shared" si="11"/>
        <v>13071.503530800001</v>
      </c>
    </row>
    <row r="369" spans="1:9" ht="15.75" customHeight="1" x14ac:dyDescent="0.35">
      <c r="A369" s="26" t="s">
        <v>5721</v>
      </c>
      <c r="B369" s="25" t="s">
        <v>43</v>
      </c>
      <c r="C369" s="6" t="s">
        <v>52</v>
      </c>
      <c r="D369" s="13">
        <v>5468.6246940000001</v>
      </c>
      <c r="E369" s="18">
        <v>21</v>
      </c>
      <c r="F369" s="2">
        <f t="shared" si="10"/>
        <v>6617.0358797400004</v>
      </c>
      <c r="G369" s="3">
        <v>0</v>
      </c>
      <c r="H369" s="4">
        <v>0.7</v>
      </c>
      <c r="I369" s="28">
        <f t="shared" si="11"/>
        <v>11248.960995558</v>
      </c>
    </row>
    <row r="370" spans="1:9" ht="15.75" customHeight="1" x14ac:dyDescent="0.35">
      <c r="A370" s="26" t="s">
        <v>5722</v>
      </c>
      <c r="B370" s="25" t="s">
        <v>44</v>
      </c>
      <c r="C370" s="6" t="s">
        <v>53</v>
      </c>
      <c r="D370" s="13">
        <v>96.212688</v>
      </c>
      <c r="E370" s="18">
        <v>21</v>
      </c>
      <c r="F370" s="2">
        <f t="shared" si="10"/>
        <v>116.41735248000001</v>
      </c>
      <c r="G370" s="3">
        <v>0</v>
      </c>
      <c r="H370" s="4">
        <v>0.7</v>
      </c>
      <c r="I370" s="28">
        <f t="shared" si="11"/>
        <v>197.909499216</v>
      </c>
    </row>
    <row r="371" spans="1:9" ht="15.75" customHeight="1" x14ac:dyDescent="0.35">
      <c r="A371" s="26" t="s">
        <v>5723</v>
      </c>
      <c r="B371" s="25" t="s">
        <v>45</v>
      </c>
      <c r="C371" s="6" t="s">
        <v>54</v>
      </c>
      <c r="D371" s="13">
        <v>5650.7038492787997</v>
      </c>
      <c r="E371" s="18">
        <v>21</v>
      </c>
      <c r="F371" s="2">
        <f t="shared" si="10"/>
        <v>6837.3516576273478</v>
      </c>
      <c r="G371" s="3">
        <v>0</v>
      </c>
      <c r="H371" s="4">
        <v>0.7</v>
      </c>
      <c r="I371" s="28">
        <f t="shared" si="11"/>
        <v>11623.49781796649</v>
      </c>
    </row>
    <row r="372" spans="1:9" ht="15.75" customHeight="1" x14ac:dyDescent="0.35">
      <c r="A372" s="26" t="s">
        <v>5724</v>
      </c>
      <c r="B372" s="25" t="s">
        <v>1218</v>
      </c>
      <c r="C372" s="6" t="s">
        <v>55</v>
      </c>
      <c r="D372" s="13">
        <v>77.683177000000001</v>
      </c>
      <c r="E372" s="18">
        <v>21</v>
      </c>
      <c r="F372" s="2">
        <f t="shared" si="10"/>
        <v>93.996644169999996</v>
      </c>
      <c r="G372" s="3">
        <v>0</v>
      </c>
      <c r="H372" s="4">
        <v>0.7</v>
      </c>
      <c r="I372" s="28">
        <f t="shared" si="11"/>
        <v>159.794295089</v>
      </c>
    </row>
    <row r="373" spans="1:9" ht="15.75" customHeight="1" x14ac:dyDescent="0.35">
      <c r="A373" s="26" t="s">
        <v>5725</v>
      </c>
      <c r="B373" s="25" t="s">
        <v>1219</v>
      </c>
      <c r="C373" s="6" t="s">
        <v>1221</v>
      </c>
      <c r="D373" s="13">
        <v>1.5301</v>
      </c>
      <c r="E373" s="18">
        <v>21</v>
      </c>
      <c r="F373" s="2">
        <f t="shared" si="10"/>
        <v>1.851421</v>
      </c>
      <c r="G373" s="3">
        <v>0</v>
      </c>
      <c r="H373" s="4">
        <v>0.7</v>
      </c>
      <c r="I373" s="28">
        <f t="shared" si="11"/>
        <v>3.1474156999999998</v>
      </c>
    </row>
    <row r="374" spans="1:9" ht="15.75" customHeight="1" x14ac:dyDescent="0.35">
      <c r="A374" s="26" t="s">
        <v>5726</v>
      </c>
      <c r="B374" s="25" t="s">
        <v>46</v>
      </c>
      <c r="C374" s="6" t="s">
        <v>56</v>
      </c>
      <c r="D374" s="13">
        <v>10057.8721782708</v>
      </c>
      <c r="E374" s="18">
        <v>21</v>
      </c>
      <c r="F374" s="2">
        <f t="shared" si="10"/>
        <v>12170.025335707669</v>
      </c>
      <c r="G374" s="3">
        <v>0</v>
      </c>
      <c r="H374" s="4">
        <v>0.7</v>
      </c>
      <c r="I374" s="28">
        <f t="shared" si="11"/>
        <v>20689.043070703035</v>
      </c>
    </row>
    <row r="375" spans="1:9" ht="15.75" customHeight="1" x14ac:dyDescent="0.35">
      <c r="A375" s="26" t="s">
        <v>5727</v>
      </c>
      <c r="B375" s="25" t="s">
        <v>47</v>
      </c>
      <c r="C375" s="6" t="s">
        <v>57</v>
      </c>
      <c r="D375" s="13">
        <v>6976.2127499999997</v>
      </c>
      <c r="E375" s="18">
        <v>21</v>
      </c>
      <c r="F375" s="2">
        <f t="shared" si="10"/>
        <v>8441.2174274999998</v>
      </c>
      <c r="G375" s="3">
        <v>0</v>
      </c>
      <c r="H375" s="4">
        <v>0.7</v>
      </c>
      <c r="I375" s="28">
        <f t="shared" si="11"/>
        <v>14350.069626749999</v>
      </c>
    </row>
    <row r="376" spans="1:9" ht="15.75" customHeight="1" x14ac:dyDescent="0.35">
      <c r="A376" s="26" t="s">
        <v>5728</v>
      </c>
      <c r="B376" s="25" t="s">
        <v>48</v>
      </c>
      <c r="C376" s="6" t="s">
        <v>58</v>
      </c>
      <c r="D376" s="13">
        <v>5192.6057819999996</v>
      </c>
      <c r="E376" s="18">
        <v>21</v>
      </c>
      <c r="F376" s="2">
        <f t="shared" si="10"/>
        <v>6283.0529962199998</v>
      </c>
      <c r="G376" s="3">
        <v>0</v>
      </c>
      <c r="H376" s="4">
        <v>0.7</v>
      </c>
      <c r="I376" s="28">
        <f t="shared" si="11"/>
        <v>10681.190093574</v>
      </c>
    </row>
    <row r="377" spans="1:9" ht="15.75" customHeight="1" x14ac:dyDescent="0.35">
      <c r="A377" s="26" t="s">
        <v>5729</v>
      </c>
      <c r="B377" s="25" t="s">
        <v>49</v>
      </c>
      <c r="C377" s="6" t="s">
        <v>59</v>
      </c>
      <c r="D377" s="13">
        <v>133.89905099999999</v>
      </c>
      <c r="E377" s="18">
        <v>21</v>
      </c>
      <c r="F377" s="2">
        <f t="shared" si="10"/>
        <v>162.01785170999997</v>
      </c>
      <c r="G377" s="3">
        <v>0</v>
      </c>
      <c r="H377" s="4">
        <v>0.7</v>
      </c>
      <c r="I377" s="28">
        <f t="shared" si="11"/>
        <v>275.43034790699994</v>
      </c>
    </row>
    <row r="378" spans="1:9" ht="15.75" customHeight="1" x14ac:dyDescent="0.35">
      <c r="A378" s="26" t="s">
        <v>5730</v>
      </c>
      <c r="B378" s="25" t="s">
        <v>1220</v>
      </c>
      <c r="C378" s="6" t="s">
        <v>60</v>
      </c>
      <c r="D378" s="13">
        <v>8257.4539459307998</v>
      </c>
      <c r="E378" s="18">
        <v>21</v>
      </c>
      <c r="F378" s="2">
        <f t="shared" si="10"/>
        <v>9991.5192745762688</v>
      </c>
      <c r="G378" s="3">
        <v>0</v>
      </c>
      <c r="H378" s="4">
        <v>0.7</v>
      </c>
      <c r="I378" s="28">
        <f t="shared" si="11"/>
        <v>16985.582766779655</v>
      </c>
    </row>
    <row r="379" spans="1:9" ht="15.75" customHeight="1" x14ac:dyDescent="0.35">
      <c r="A379" s="26" t="s">
        <v>5731</v>
      </c>
      <c r="B379" s="25" t="s">
        <v>50</v>
      </c>
      <c r="C379" s="6" t="s">
        <v>61</v>
      </c>
      <c r="D379" s="13">
        <v>111.559591</v>
      </c>
      <c r="E379" s="18">
        <v>21</v>
      </c>
      <c r="F379" s="2">
        <f t="shared" si="10"/>
        <v>134.98710510999999</v>
      </c>
      <c r="G379" s="3">
        <v>0</v>
      </c>
      <c r="H379" s="4">
        <v>0.7</v>
      </c>
      <c r="I379" s="28">
        <f t="shared" si="11"/>
        <v>229.47807868699996</v>
      </c>
    </row>
    <row r="380" spans="1:9" ht="15.75" customHeight="1" x14ac:dyDescent="0.35">
      <c r="A380" s="26" t="s">
        <v>5732</v>
      </c>
      <c r="B380" s="25" t="s">
        <v>51</v>
      </c>
      <c r="C380" s="6" t="s">
        <v>62</v>
      </c>
      <c r="D380" s="13">
        <v>354.937297</v>
      </c>
      <c r="E380" s="18">
        <v>21</v>
      </c>
      <c r="F380" s="2">
        <f t="shared" si="10"/>
        <v>429.47412937000001</v>
      </c>
      <c r="G380" s="3">
        <v>0</v>
      </c>
      <c r="H380" s="4">
        <v>0.7</v>
      </c>
      <c r="I380" s="28">
        <f t="shared" si="11"/>
        <v>730.10601992900001</v>
      </c>
    </row>
    <row r="381" spans="1:9" ht="15.75" customHeight="1" x14ac:dyDescent="0.35">
      <c r="A381" s="26" t="s">
        <v>4612</v>
      </c>
      <c r="B381" s="25" t="s">
        <v>52</v>
      </c>
      <c r="C381" s="6" t="s">
        <v>63</v>
      </c>
      <c r="D381" s="13">
        <v>220.088871807998</v>
      </c>
      <c r="E381" s="18">
        <v>21</v>
      </c>
      <c r="F381" s="2">
        <f t="shared" si="10"/>
        <v>266.3075348876776</v>
      </c>
      <c r="G381" s="3">
        <v>0</v>
      </c>
      <c r="H381" s="4">
        <v>0.7</v>
      </c>
      <c r="I381" s="28">
        <f t="shared" si="11"/>
        <v>452.72280930905191</v>
      </c>
    </row>
    <row r="382" spans="1:9" ht="15.75" customHeight="1" x14ac:dyDescent="0.35">
      <c r="A382" s="26" t="s">
        <v>4613</v>
      </c>
      <c r="B382" s="25" t="s">
        <v>53</v>
      </c>
      <c r="C382" s="6" t="s">
        <v>64</v>
      </c>
      <c r="D382" s="13">
        <v>368.46339212800001</v>
      </c>
      <c r="E382" s="18">
        <v>21</v>
      </c>
      <c r="F382" s="2">
        <f t="shared" si="10"/>
        <v>445.84070447488</v>
      </c>
      <c r="G382" s="3">
        <v>0</v>
      </c>
      <c r="H382" s="4">
        <v>0.7</v>
      </c>
      <c r="I382" s="28">
        <f t="shared" si="11"/>
        <v>757.92919760729603</v>
      </c>
    </row>
    <row r="383" spans="1:9" ht="15.75" customHeight="1" x14ac:dyDescent="0.35">
      <c r="A383" s="26" t="s">
        <v>4614</v>
      </c>
      <c r="B383" s="25" t="s">
        <v>54</v>
      </c>
      <c r="C383" s="6" t="s">
        <v>65</v>
      </c>
      <c r="D383" s="13">
        <v>734.45387558399898</v>
      </c>
      <c r="E383" s="18">
        <v>21</v>
      </c>
      <c r="F383" s="2">
        <f t="shared" si="10"/>
        <v>888.68918945663881</v>
      </c>
      <c r="G383" s="3">
        <v>0</v>
      </c>
      <c r="H383" s="4">
        <v>0.7</v>
      </c>
      <c r="I383" s="28">
        <f t="shared" si="11"/>
        <v>1510.7716220762859</v>
      </c>
    </row>
    <row r="384" spans="1:9" ht="15.75" customHeight="1" x14ac:dyDescent="0.35">
      <c r="A384" s="26" t="s">
        <v>4615</v>
      </c>
      <c r="B384" s="25" t="s">
        <v>55</v>
      </c>
      <c r="C384" s="6" t="s">
        <v>66</v>
      </c>
      <c r="D384" s="13">
        <v>981.74474278400498</v>
      </c>
      <c r="E384" s="18">
        <v>21</v>
      </c>
      <c r="F384" s="2">
        <f t="shared" si="10"/>
        <v>1187.911138768646</v>
      </c>
      <c r="G384" s="3">
        <v>0</v>
      </c>
      <c r="H384" s="4">
        <v>0.7</v>
      </c>
      <c r="I384" s="28">
        <f t="shared" si="11"/>
        <v>2019.4489359066981</v>
      </c>
    </row>
    <row r="385" spans="1:9" ht="15.75" customHeight="1" x14ac:dyDescent="0.35">
      <c r="A385" s="26" t="s">
        <v>4616</v>
      </c>
      <c r="B385" s="25" t="s">
        <v>1221</v>
      </c>
      <c r="C385" s="6" t="s">
        <v>67</v>
      </c>
      <c r="D385" s="13">
        <v>1179.577436544</v>
      </c>
      <c r="E385" s="18">
        <v>21</v>
      </c>
      <c r="F385" s="2">
        <f t="shared" si="10"/>
        <v>1427.2886982182399</v>
      </c>
      <c r="G385" s="3">
        <v>0</v>
      </c>
      <c r="H385" s="4">
        <v>0.7</v>
      </c>
      <c r="I385" s="28">
        <f t="shared" si="11"/>
        <v>2426.3907869710079</v>
      </c>
    </row>
    <row r="386" spans="1:9" ht="15.75" customHeight="1" x14ac:dyDescent="0.35">
      <c r="A386" s="26" t="s">
        <v>9878</v>
      </c>
      <c r="B386" s="25" t="s">
        <v>56</v>
      </c>
      <c r="C386" s="6" t="s">
        <v>9950</v>
      </c>
      <c r="D386" s="13">
        <v>7014.4212788207997</v>
      </c>
      <c r="E386" s="18">
        <v>10.5</v>
      </c>
      <c r="F386" s="2">
        <f t="shared" si="10"/>
        <v>7750.9355130969834</v>
      </c>
      <c r="G386" s="3">
        <v>0</v>
      </c>
      <c r="H386" s="4">
        <v>0.7</v>
      </c>
      <c r="I386" s="28">
        <f t="shared" si="11"/>
        <v>13176.590372264871</v>
      </c>
    </row>
    <row r="387" spans="1:9" ht="15.75" customHeight="1" x14ac:dyDescent="0.35">
      <c r="A387" s="26" t="s">
        <v>10934</v>
      </c>
      <c r="B387" s="25" t="s">
        <v>57</v>
      </c>
      <c r="C387" s="6" t="s">
        <v>13124</v>
      </c>
      <c r="D387" s="13">
        <v>5603.598</v>
      </c>
      <c r="E387" s="18">
        <v>21</v>
      </c>
      <c r="F387" s="2">
        <f t="shared" si="10"/>
        <v>6780.35358</v>
      </c>
      <c r="G387" s="3">
        <v>0</v>
      </c>
      <c r="H387" s="4">
        <v>0.7</v>
      </c>
      <c r="I387" s="28">
        <f t="shared" si="11"/>
        <v>11526.601085999999</v>
      </c>
    </row>
    <row r="388" spans="1:9" ht="15.75" customHeight="1" x14ac:dyDescent="0.35">
      <c r="A388" s="26" t="s">
        <v>3097</v>
      </c>
      <c r="B388" s="25" t="s">
        <v>58</v>
      </c>
      <c r="C388" s="6" t="s">
        <v>13125</v>
      </c>
      <c r="D388" s="13">
        <v>22877.671284</v>
      </c>
      <c r="E388" s="18">
        <v>21</v>
      </c>
      <c r="F388" s="2">
        <f t="shared" si="10"/>
        <v>27681.982253640002</v>
      </c>
      <c r="G388" s="3">
        <v>0</v>
      </c>
      <c r="H388" s="4">
        <v>0.7</v>
      </c>
      <c r="I388" s="28">
        <f t="shared" si="11"/>
        <v>47059.369831188</v>
      </c>
    </row>
    <row r="389" spans="1:9" ht="15.75" customHeight="1" x14ac:dyDescent="0.35">
      <c r="A389" s="26" t="s">
        <v>3098</v>
      </c>
      <c r="B389" s="25" t="s">
        <v>59</v>
      </c>
      <c r="C389" s="6" t="s">
        <v>13126</v>
      </c>
      <c r="D389" s="13">
        <v>40491.453600000001</v>
      </c>
      <c r="E389" s="18">
        <v>21</v>
      </c>
      <c r="F389" s="2">
        <f t="shared" si="10"/>
        <v>48994.658856000002</v>
      </c>
      <c r="G389" s="3">
        <v>0</v>
      </c>
      <c r="H389" s="4">
        <v>0.7</v>
      </c>
      <c r="I389" s="28">
        <f t="shared" si="11"/>
        <v>83290.920055199997</v>
      </c>
    </row>
    <row r="390" spans="1:9" ht="15.75" customHeight="1" x14ac:dyDescent="0.35">
      <c r="A390" s="26" t="s">
        <v>5651</v>
      </c>
      <c r="B390" s="25" t="s">
        <v>60</v>
      </c>
      <c r="C390" s="6" t="s">
        <v>68</v>
      </c>
      <c r="D390" s="13">
        <v>116.66538546295099</v>
      </c>
      <c r="E390" s="18">
        <v>21</v>
      </c>
      <c r="F390" s="2">
        <f t="shared" ref="F390:F453" si="12">D390*E390/100+D390</f>
        <v>141.1651164101707</v>
      </c>
      <c r="G390" s="3">
        <v>0</v>
      </c>
      <c r="H390" s="4">
        <v>0.7</v>
      </c>
      <c r="I390" s="28">
        <f t="shared" ref="I390:I453" si="13">IF(G390=-1,0,F390*((100-G390)/100)*(1+H390))</f>
        <v>239.98069789729018</v>
      </c>
    </row>
    <row r="391" spans="1:9" ht="15.75" customHeight="1" x14ac:dyDescent="0.35">
      <c r="A391" s="26" t="s">
        <v>5652</v>
      </c>
      <c r="B391" s="25" t="s">
        <v>61</v>
      </c>
      <c r="C391" s="6" t="s">
        <v>69</v>
      </c>
      <c r="D391" s="13">
        <v>76.532386585998495</v>
      </c>
      <c r="E391" s="18">
        <v>21</v>
      </c>
      <c r="F391" s="2">
        <f t="shared" si="12"/>
        <v>92.604187769058171</v>
      </c>
      <c r="G391" s="3">
        <v>0</v>
      </c>
      <c r="H391" s="4">
        <v>0.7</v>
      </c>
      <c r="I391" s="28">
        <f t="shared" si="13"/>
        <v>157.42711920739887</v>
      </c>
    </row>
    <row r="392" spans="1:9" ht="15.75" customHeight="1" x14ac:dyDescent="0.35">
      <c r="A392" s="26" t="s">
        <v>13848</v>
      </c>
      <c r="B392" s="25" t="s">
        <v>62</v>
      </c>
      <c r="C392" s="6" t="s">
        <v>13849</v>
      </c>
      <c r="D392" s="13">
        <v>7428.1736879999999</v>
      </c>
      <c r="E392" s="18">
        <v>21</v>
      </c>
      <c r="F392" s="2">
        <f t="shared" si="12"/>
        <v>8988.090162479999</v>
      </c>
      <c r="G392" s="3">
        <v>0</v>
      </c>
      <c r="H392" s="4">
        <v>0.7</v>
      </c>
      <c r="I392" s="28">
        <f t="shared" si="13"/>
        <v>15279.753276215997</v>
      </c>
    </row>
    <row r="393" spans="1:9" ht="15.75" customHeight="1" x14ac:dyDescent="0.35">
      <c r="A393" s="26" t="s">
        <v>13850</v>
      </c>
      <c r="B393" s="25" t="s">
        <v>63</v>
      </c>
      <c r="C393" s="6" t="s">
        <v>13851</v>
      </c>
      <c r="D393" s="13">
        <v>11392.277480999999</v>
      </c>
      <c r="E393" s="18">
        <v>21</v>
      </c>
      <c r="F393" s="2">
        <f t="shared" si="12"/>
        <v>13784.65575201</v>
      </c>
      <c r="G393" s="3">
        <v>0</v>
      </c>
      <c r="H393" s="4">
        <v>0.7</v>
      </c>
      <c r="I393" s="28">
        <f t="shared" si="13"/>
        <v>23433.914778416998</v>
      </c>
    </row>
    <row r="394" spans="1:9" ht="15.75" customHeight="1" x14ac:dyDescent="0.35">
      <c r="A394" s="26" t="s">
        <v>13852</v>
      </c>
      <c r="B394" s="25" t="s">
        <v>64</v>
      </c>
      <c r="C394" s="6" t="s">
        <v>13853</v>
      </c>
      <c r="D394" s="13">
        <v>14792.800932</v>
      </c>
      <c r="E394" s="18">
        <v>21</v>
      </c>
      <c r="F394" s="2">
        <f t="shared" si="12"/>
        <v>17899.28912772</v>
      </c>
      <c r="G394" s="3">
        <v>0</v>
      </c>
      <c r="H394" s="4">
        <v>0.7</v>
      </c>
      <c r="I394" s="28">
        <f t="shared" si="13"/>
        <v>30428.791517123998</v>
      </c>
    </row>
    <row r="395" spans="1:9" ht="15.75" customHeight="1" x14ac:dyDescent="0.35">
      <c r="A395" s="26" t="s">
        <v>4703</v>
      </c>
      <c r="B395" s="25" t="s">
        <v>65</v>
      </c>
      <c r="C395" s="6" t="s">
        <v>70</v>
      </c>
      <c r="D395" s="13">
        <v>478.35327124000099</v>
      </c>
      <c r="E395" s="18">
        <v>21</v>
      </c>
      <c r="F395" s="2">
        <f t="shared" si="12"/>
        <v>578.80745820040124</v>
      </c>
      <c r="G395" s="3">
        <v>0</v>
      </c>
      <c r="H395" s="4">
        <v>0.7</v>
      </c>
      <c r="I395" s="28">
        <f t="shared" si="13"/>
        <v>983.97267894068204</v>
      </c>
    </row>
    <row r="396" spans="1:9" ht="15.75" customHeight="1" x14ac:dyDescent="0.35">
      <c r="A396" s="26" t="s">
        <v>4704</v>
      </c>
      <c r="B396" s="25" t="s">
        <v>66</v>
      </c>
      <c r="C396" s="6" t="s">
        <v>71</v>
      </c>
      <c r="D396" s="13">
        <v>1285.4584988634999</v>
      </c>
      <c r="E396" s="18">
        <v>21</v>
      </c>
      <c r="F396" s="2">
        <f t="shared" si="12"/>
        <v>1555.4047836248349</v>
      </c>
      <c r="G396" s="3">
        <v>0</v>
      </c>
      <c r="H396" s="4">
        <v>0.7</v>
      </c>
      <c r="I396" s="28">
        <f t="shared" si="13"/>
        <v>2644.1881321622191</v>
      </c>
    </row>
    <row r="397" spans="1:9" ht="15.75" customHeight="1" x14ac:dyDescent="0.35">
      <c r="A397" s="26" t="s">
        <v>4702</v>
      </c>
      <c r="B397" s="25" t="s">
        <v>67</v>
      </c>
      <c r="C397" s="6" t="s">
        <v>9921</v>
      </c>
      <c r="D397" s="13">
        <v>478.35327124000099</v>
      </c>
      <c r="E397" s="18">
        <v>21</v>
      </c>
      <c r="F397" s="2">
        <f t="shared" si="12"/>
        <v>578.80745820040124</v>
      </c>
      <c r="G397" s="3">
        <v>0</v>
      </c>
      <c r="H397" s="4">
        <v>0.7</v>
      </c>
      <c r="I397" s="28">
        <f t="shared" si="13"/>
        <v>983.97267894068204</v>
      </c>
    </row>
    <row r="398" spans="1:9" ht="15.75" customHeight="1" x14ac:dyDescent="0.35">
      <c r="A398" s="26" t="s">
        <v>4956</v>
      </c>
      <c r="B398" s="25" t="s">
        <v>9950</v>
      </c>
      <c r="C398" s="6" t="s">
        <v>9922</v>
      </c>
      <c r="D398" s="13">
        <v>538.12617983355005</v>
      </c>
      <c r="E398" s="18">
        <v>21</v>
      </c>
      <c r="F398" s="2">
        <f t="shared" si="12"/>
        <v>651.13267759859559</v>
      </c>
      <c r="G398" s="3">
        <v>0</v>
      </c>
      <c r="H398" s="4">
        <v>0.7</v>
      </c>
      <c r="I398" s="28">
        <f t="shared" si="13"/>
        <v>1106.9255519176124</v>
      </c>
    </row>
    <row r="399" spans="1:9" ht="15.75" customHeight="1" x14ac:dyDescent="0.35">
      <c r="A399" s="26" t="s">
        <v>5214</v>
      </c>
      <c r="B399" s="25" t="s">
        <v>13123</v>
      </c>
      <c r="C399" s="6" t="s">
        <v>1201</v>
      </c>
      <c r="D399" s="13">
        <v>488.52267749999999</v>
      </c>
      <c r="E399" s="18">
        <v>21</v>
      </c>
      <c r="F399" s="2">
        <f t="shared" si="12"/>
        <v>591.11243977499998</v>
      </c>
      <c r="G399" s="3">
        <v>0</v>
      </c>
      <c r="H399" s="4">
        <v>0.7</v>
      </c>
      <c r="I399" s="28">
        <f t="shared" si="13"/>
        <v>1004.8911476175</v>
      </c>
    </row>
    <row r="400" spans="1:9" ht="15.75" customHeight="1" x14ac:dyDescent="0.35">
      <c r="A400" s="26" t="s">
        <v>5215</v>
      </c>
      <c r="B400" s="25" t="s">
        <v>13124</v>
      </c>
      <c r="C400" s="6" t="s">
        <v>1222</v>
      </c>
      <c r="D400" s="13">
        <v>530.74467419999996</v>
      </c>
      <c r="E400" s="18">
        <v>21</v>
      </c>
      <c r="F400" s="2">
        <f t="shared" si="12"/>
        <v>642.20105578199991</v>
      </c>
      <c r="G400" s="3">
        <v>0</v>
      </c>
      <c r="H400" s="4">
        <v>0.7</v>
      </c>
      <c r="I400" s="28">
        <f t="shared" si="13"/>
        <v>1091.7417948293999</v>
      </c>
    </row>
    <row r="401" spans="1:9" ht="15.75" customHeight="1" x14ac:dyDescent="0.35">
      <c r="A401" s="26" t="s">
        <v>4705</v>
      </c>
      <c r="B401" s="25" t="s">
        <v>13125</v>
      </c>
      <c r="C401" s="6" t="s">
        <v>72</v>
      </c>
      <c r="D401" s="13">
        <v>378.35502681600201</v>
      </c>
      <c r="E401" s="18">
        <v>21</v>
      </c>
      <c r="F401" s="2">
        <f t="shared" si="12"/>
        <v>457.80958244736246</v>
      </c>
      <c r="G401" s="3">
        <v>0</v>
      </c>
      <c r="H401" s="4">
        <v>0.7</v>
      </c>
      <c r="I401" s="28">
        <f t="shared" si="13"/>
        <v>778.27629016051617</v>
      </c>
    </row>
    <row r="402" spans="1:9" ht="15.75" customHeight="1" x14ac:dyDescent="0.35">
      <c r="A402" s="26" t="s">
        <v>9040</v>
      </c>
      <c r="B402" s="25" t="s">
        <v>13126</v>
      </c>
      <c r="C402" s="6" t="s">
        <v>9041</v>
      </c>
      <c r="D402" s="13">
        <v>977.0513363</v>
      </c>
      <c r="E402" s="18">
        <v>21</v>
      </c>
      <c r="F402" s="2">
        <f t="shared" si="12"/>
        <v>1182.2321169229999</v>
      </c>
      <c r="G402" s="3">
        <v>0</v>
      </c>
      <c r="H402" s="4">
        <v>0.7</v>
      </c>
      <c r="I402" s="28">
        <f t="shared" si="13"/>
        <v>2009.7945987690998</v>
      </c>
    </row>
    <row r="403" spans="1:9" ht="15.75" customHeight="1" x14ac:dyDescent="0.35">
      <c r="A403" s="26" t="s">
        <v>4706</v>
      </c>
      <c r="B403" s="25" t="s">
        <v>68</v>
      </c>
      <c r="C403" s="6" t="s">
        <v>73</v>
      </c>
      <c r="D403" s="13">
        <v>477.27137369599899</v>
      </c>
      <c r="E403" s="18">
        <v>21</v>
      </c>
      <c r="F403" s="2">
        <f t="shared" si="12"/>
        <v>577.49836217215875</v>
      </c>
      <c r="G403" s="3">
        <v>0</v>
      </c>
      <c r="H403" s="4">
        <v>0.7</v>
      </c>
      <c r="I403" s="28">
        <f t="shared" si="13"/>
        <v>981.7472156926699</v>
      </c>
    </row>
    <row r="404" spans="1:9" ht="15.75" customHeight="1" x14ac:dyDescent="0.35">
      <c r="A404" s="26" t="s">
        <v>4957</v>
      </c>
      <c r="B404" s="25" t="s">
        <v>69</v>
      </c>
      <c r="C404" s="6" t="s">
        <v>848</v>
      </c>
      <c r="D404" s="13">
        <v>3965.5274931874601</v>
      </c>
      <c r="E404" s="18">
        <v>21</v>
      </c>
      <c r="F404" s="2">
        <f t="shared" si="12"/>
        <v>4798.2882667568265</v>
      </c>
      <c r="G404" s="3">
        <v>0</v>
      </c>
      <c r="H404" s="4">
        <v>0.7</v>
      </c>
      <c r="I404" s="28">
        <f t="shared" si="13"/>
        <v>8157.090053486605</v>
      </c>
    </row>
    <row r="405" spans="1:9" ht="15.75" customHeight="1" x14ac:dyDescent="0.35">
      <c r="A405" s="26" t="s">
        <v>4958</v>
      </c>
      <c r="B405" s="25" t="s">
        <v>70</v>
      </c>
      <c r="C405" s="6" t="s">
        <v>1223</v>
      </c>
      <c r="D405" s="13">
        <v>2937.9622920677798</v>
      </c>
      <c r="E405" s="18">
        <v>21</v>
      </c>
      <c r="F405" s="2">
        <f t="shared" si="12"/>
        <v>3554.9343734020135</v>
      </c>
      <c r="G405" s="3">
        <v>0</v>
      </c>
      <c r="H405" s="4">
        <v>0.7</v>
      </c>
      <c r="I405" s="28">
        <f t="shared" si="13"/>
        <v>6043.3884347834228</v>
      </c>
    </row>
    <row r="406" spans="1:9" ht="15.75" customHeight="1" x14ac:dyDescent="0.35">
      <c r="A406" s="26" t="s">
        <v>4959</v>
      </c>
      <c r="B406" s="25" t="s">
        <v>71</v>
      </c>
      <c r="C406" s="6" t="s">
        <v>74</v>
      </c>
      <c r="D406" s="13">
        <v>2937.9622920677798</v>
      </c>
      <c r="E406" s="18">
        <v>21</v>
      </c>
      <c r="F406" s="2">
        <f t="shared" si="12"/>
        <v>3554.9343734020135</v>
      </c>
      <c r="G406" s="3">
        <v>0</v>
      </c>
      <c r="H406" s="4">
        <v>0.7</v>
      </c>
      <c r="I406" s="28">
        <f t="shared" si="13"/>
        <v>6043.3884347834228</v>
      </c>
    </row>
    <row r="407" spans="1:9" ht="15.75" customHeight="1" x14ac:dyDescent="0.35">
      <c r="A407" s="26" t="s">
        <v>4960</v>
      </c>
      <c r="B407" s="25" t="s">
        <v>9921</v>
      </c>
      <c r="C407" s="6" t="s">
        <v>1224</v>
      </c>
      <c r="D407" s="13">
        <v>2937.9622920677798</v>
      </c>
      <c r="E407" s="18">
        <v>21</v>
      </c>
      <c r="F407" s="2">
        <f t="shared" si="12"/>
        <v>3554.9343734020135</v>
      </c>
      <c r="G407" s="3">
        <v>0</v>
      </c>
      <c r="H407" s="4">
        <v>0.7</v>
      </c>
      <c r="I407" s="28">
        <f t="shared" si="13"/>
        <v>6043.3884347834228</v>
      </c>
    </row>
    <row r="408" spans="1:9" ht="15.75" customHeight="1" x14ac:dyDescent="0.35">
      <c r="A408" s="26" t="s">
        <v>4961</v>
      </c>
      <c r="B408" s="25" t="s">
        <v>9922</v>
      </c>
      <c r="C408" s="6" t="s">
        <v>9923</v>
      </c>
      <c r="D408" s="13">
        <v>1886.8300172102099</v>
      </c>
      <c r="E408" s="18">
        <v>21</v>
      </c>
      <c r="F408" s="2">
        <f t="shared" si="12"/>
        <v>2283.0643208243541</v>
      </c>
      <c r="G408" s="3">
        <v>0</v>
      </c>
      <c r="H408" s="4">
        <v>0.7</v>
      </c>
      <c r="I408" s="28">
        <f t="shared" si="13"/>
        <v>3881.2093454014021</v>
      </c>
    </row>
    <row r="409" spans="1:9" ht="15.75" customHeight="1" x14ac:dyDescent="0.35">
      <c r="A409" s="26" t="s">
        <v>4707</v>
      </c>
      <c r="B409" s="25" t="s">
        <v>1201</v>
      </c>
      <c r="C409" s="6" t="s">
        <v>75</v>
      </c>
      <c r="D409" s="13">
        <v>299.22194931199903</v>
      </c>
      <c r="E409" s="18">
        <v>21</v>
      </c>
      <c r="F409" s="2">
        <f t="shared" si="12"/>
        <v>362.05855866751881</v>
      </c>
      <c r="G409" s="3">
        <v>0</v>
      </c>
      <c r="H409" s="4">
        <v>0.7</v>
      </c>
      <c r="I409" s="28">
        <f t="shared" si="13"/>
        <v>615.49954973478191</v>
      </c>
    </row>
    <row r="410" spans="1:9" ht="15.75" customHeight="1" x14ac:dyDescent="0.35">
      <c r="A410" s="26" t="s">
        <v>4849</v>
      </c>
      <c r="B410" s="25" t="s">
        <v>1222</v>
      </c>
      <c r="C410" s="6" t="s">
        <v>76</v>
      </c>
      <c r="D410" s="13">
        <v>296.95902599999999</v>
      </c>
      <c r="E410" s="18">
        <v>21</v>
      </c>
      <c r="F410" s="2">
        <f t="shared" si="12"/>
        <v>359.32042145999998</v>
      </c>
      <c r="G410" s="3">
        <v>0</v>
      </c>
      <c r="H410" s="4">
        <v>0.7</v>
      </c>
      <c r="I410" s="28">
        <f t="shared" si="13"/>
        <v>610.84471648199997</v>
      </c>
    </row>
    <row r="411" spans="1:9" ht="15.75" customHeight="1" x14ac:dyDescent="0.35">
      <c r="A411" s="26" t="s">
        <v>4850</v>
      </c>
      <c r="B411" s="25" t="s">
        <v>72</v>
      </c>
      <c r="C411" s="6" t="s">
        <v>77</v>
      </c>
      <c r="D411" s="13">
        <v>296.95902599999999</v>
      </c>
      <c r="E411" s="18">
        <v>21</v>
      </c>
      <c r="F411" s="2">
        <f t="shared" si="12"/>
        <v>359.32042145999998</v>
      </c>
      <c r="G411" s="3">
        <v>0</v>
      </c>
      <c r="H411" s="4">
        <v>0.7</v>
      </c>
      <c r="I411" s="28">
        <f t="shared" si="13"/>
        <v>610.84471648199997</v>
      </c>
    </row>
    <row r="412" spans="1:9" ht="15.75" customHeight="1" x14ac:dyDescent="0.35">
      <c r="A412" s="26" t="s">
        <v>11061</v>
      </c>
      <c r="B412" s="25" t="s">
        <v>9041</v>
      </c>
      <c r="C412" s="6" t="s">
        <v>11058</v>
      </c>
      <c r="D412" s="13">
        <v>418.5508968108</v>
      </c>
      <c r="E412" s="18">
        <v>21</v>
      </c>
      <c r="F412" s="2">
        <f t="shared" si="12"/>
        <v>506.446585141068</v>
      </c>
      <c r="G412" s="3">
        <v>0</v>
      </c>
      <c r="H412" s="4">
        <v>0.7</v>
      </c>
      <c r="I412" s="28">
        <f t="shared" si="13"/>
        <v>860.95919473981553</v>
      </c>
    </row>
    <row r="413" spans="1:9" ht="15.75" customHeight="1" x14ac:dyDescent="0.35">
      <c r="A413" s="26" t="s">
        <v>5138</v>
      </c>
      <c r="B413" s="25" t="s">
        <v>73</v>
      </c>
      <c r="C413" s="6" t="s">
        <v>10976</v>
      </c>
      <c r="D413" s="13">
        <v>418.5508968108</v>
      </c>
      <c r="E413" s="18">
        <v>21</v>
      </c>
      <c r="F413" s="2">
        <f t="shared" si="12"/>
        <v>506.446585141068</v>
      </c>
      <c r="G413" s="3">
        <v>0</v>
      </c>
      <c r="H413" s="4">
        <v>0.7</v>
      </c>
      <c r="I413" s="28">
        <f t="shared" si="13"/>
        <v>860.95919473981553</v>
      </c>
    </row>
    <row r="414" spans="1:9" ht="15.75" customHeight="1" x14ac:dyDescent="0.35">
      <c r="A414" s="26" t="s">
        <v>4708</v>
      </c>
      <c r="B414" s="25" t="s">
        <v>848</v>
      </c>
      <c r="C414" s="6" t="s">
        <v>78</v>
      </c>
      <c r="D414" s="13">
        <v>309.113584</v>
      </c>
      <c r="E414" s="18">
        <v>21</v>
      </c>
      <c r="F414" s="2">
        <f t="shared" si="12"/>
        <v>374.02743664000002</v>
      </c>
      <c r="G414" s="3">
        <v>0</v>
      </c>
      <c r="H414" s="4">
        <v>0.7</v>
      </c>
      <c r="I414" s="28">
        <f t="shared" si="13"/>
        <v>635.846642288</v>
      </c>
    </row>
    <row r="415" spans="1:9" ht="15.75" customHeight="1" x14ac:dyDescent="0.35">
      <c r="A415" s="26" t="s">
        <v>11062</v>
      </c>
      <c r="B415" s="25" t="s">
        <v>1223</v>
      </c>
      <c r="C415" s="6" t="s">
        <v>11934</v>
      </c>
      <c r="D415" s="13">
        <v>478.615216014</v>
      </c>
      <c r="E415" s="18">
        <v>21</v>
      </c>
      <c r="F415" s="2">
        <f t="shared" si="12"/>
        <v>579.12441137693997</v>
      </c>
      <c r="G415" s="3">
        <v>0</v>
      </c>
      <c r="H415" s="4">
        <v>0.7</v>
      </c>
      <c r="I415" s="28">
        <f t="shared" si="13"/>
        <v>984.51149934079797</v>
      </c>
    </row>
    <row r="416" spans="1:9" ht="15.75" customHeight="1" x14ac:dyDescent="0.35">
      <c r="A416" s="26" t="s">
        <v>4962</v>
      </c>
      <c r="B416" s="25" t="s">
        <v>74</v>
      </c>
      <c r="C416" s="6" t="s">
        <v>9924</v>
      </c>
      <c r="D416" s="13">
        <v>708.80052791508604</v>
      </c>
      <c r="E416" s="18">
        <v>21</v>
      </c>
      <c r="F416" s="2">
        <f t="shared" si="12"/>
        <v>857.64863877725406</v>
      </c>
      <c r="G416" s="3">
        <v>0</v>
      </c>
      <c r="H416" s="4">
        <v>0.7</v>
      </c>
      <c r="I416" s="28">
        <f t="shared" si="13"/>
        <v>1458.0026859213319</v>
      </c>
    </row>
    <row r="417" spans="1:9" ht="15.75" customHeight="1" x14ac:dyDescent="0.35">
      <c r="A417" s="26" t="s">
        <v>4963</v>
      </c>
      <c r="B417" s="25" t="s">
        <v>1224</v>
      </c>
      <c r="C417" s="6" t="s">
        <v>9925</v>
      </c>
      <c r="D417" s="13">
        <v>2544.51190459695</v>
      </c>
      <c r="E417" s="18">
        <v>21</v>
      </c>
      <c r="F417" s="2">
        <f t="shared" si="12"/>
        <v>3078.8594045623095</v>
      </c>
      <c r="G417" s="3">
        <v>0</v>
      </c>
      <c r="H417" s="4">
        <v>0.7</v>
      </c>
      <c r="I417" s="28">
        <f t="shared" si="13"/>
        <v>5234.0609877559264</v>
      </c>
    </row>
    <row r="418" spans="1:9" ht="15.75" customHeight="1" x14ac:dyDescent="0.35">
      <c r="A418" s="26" t="s">
        <v>5279</v>
      </c>
      <c r="B418" s="25" t="s">
        <v>9923</v>
      </c>
      <c r="C418" s="6" t="s">
        <v>1225</v>
      </c>
      <c r="D418" s="13">
        <v>20981.148499999999</v>
      </c>
      <c r="E418" s="18">
        <v>21</v>
      </c>
      <c r="F418" s="2">
        <f t="shared" si="12"/>
        <v>25387.189684999998</v>
      </c>
      <c r="G418" s="3">
        <v>0</v>
      </c>
      <c r="H418" s="4">
        <v>0.7</v>
      </c>
      <c r="I418" s="28">
        <f t="shared" si="13"/>
        <v>43158.222464499995</v>
      </c>
    </row>
    <row r="419" spans="1:9" ht="15.75" customHeight="1" x14ac:dyDescent="0.35">
      <c r="A419" s="26" t="s">
        <v>5281</v>
      </c>
      <c r="B419" s="25" t="s">
        <v>75</v>
      </c>
      <c r="C419" s="6" t="s">
        <v>1226</v>
      </c>
      <c r="D419" s="13">
        <v>21013.27345026</v>
      </c>
      <c r="E419" s="18">
        <v>21</v>
      </c>
      <c r="F419" s="2">
        <f t="shared" si="12"/>
        <v>25426.060874814601</v>
      </c>
      <c r="G419" s="3">
        <v>0</v>
      </c>
      <c r="H419" s="4">
        <v>0.7</v>
      </c>
      <c r="I419" s="28">
        <f t="shared" si="13"/>
        <v>43224.303487184821</v>
      </c>
    </row>
    <row r="420" spans="1:9" ht="15.75" customHeight="1" x14ac:dyDescent="0.35">
      <c r="A420" s="26" t="s">
        <v>13755</v>
      </c>
      <c r="B420" s="25" t="s">
        <v>76</v>
      </c>
      <c r="C420" s="6" t="s">
        <v>13756</v>
      </c>
      <c r="D420" s="13">
        <v>1961.7491249999998</v>
      </c>
      <c r="E420" s="18">
        <v>21</v>
      </c>
      <c r="F420" s="2">
        <f t="shared" si="12"/>
        <v>2373.7164412499997</v>
      </c>
      <c r="G420" s="3">
        <v>0</v>
      </c>
      <c r="H420" s="4">
        <v>0.7</v>
      </c>
      <c r="I420" s="28">
        <f t="shared" si="13"/>
        <v>4035.3179501249992</v>
      </c>
    </row>
    <row r="421" spans="1:9" ht="15.75" customHeight="1" x14ac:dyDescent="0.35">
      <c r="A421" s="26" t="s">
        <v>1536</v>
      </c>
      <c r="B421" s="25" t="s">
        <v>77</v>
      </c>
      <c r="C421" s="6" t="s">
        <v>1067</v>
      </c>
      <c r="D421" s="13">
        <v>7018.9859999999999</v>
      </c>
      <c r="E421" s="18">
        <v>21</v>
      </c>
      <c r="F421" s="2">
        <f t="shared" si="12"/>
        <v>8492.9730600000003</v>
      </c>
      <c r="G421" s="3">
        <v>0</v>
      </c>
      <c r="H421" s="4">
        <v>0.7</v>
      </c>
      <c r="I421" s="28">
        <f t="shared" si="13"/>
        <v>14438.054201999999</v>
      </c>
    </row>
    <row r="422" spans="1:9" ht="15.75" customHeight="1" x14ac:dyDescent="0.35">
      <c r="A422" s="26" t="s">
        <v>2850</v>
      </c>
      <c r="B422" s="25" t="s">
        <v>11058</v>
      </c>
      <c r="C422" s="6" t="s">
        <v>849</v>
      </c>
      <c r="D422" s="13">
        <v>11906.044722000001</v>
      </c>
      <c r="E422" s="18">
        <v>21</v>
      </c>
      <c r="F422" s="2">
        <f t="shared" si="12"/>
        <v>14406.314113620001</v>
      </c>
      <c r="G422" s="3">
        <v>0</v>
      </c>
      <c r="H422" s="4">
        <v>0.7</v>
      </c>
      <c r="I422" s="28">
        <f t="shared" si="13"/>
        <v>24490.733993154001</v>
      </c>
    </row>
    <row r="423" spans="1:9" ht="15.75" customHeight="1" x14ac:dyDescent="0.35">
      <c r="A423" s="26" t="s">
        <v>2851</v>
      </c>
      <c r="B423" s="25" t="s">
        <v>10976</v>
      </c>
      <c r="C423" s="6" t="s">
        <v>850</v>
      </c>
      <c r="D423" s="13">
        <v>11906.044722000001</v>
      </c>
      <c r="E423" s="18">
        <v>21</v>
      </c>
      <c r="F423" s="2">
        <f t="shared" si="12"/>
        <v>14406.314113620001</v>
      </c>
      <c r="G423" s="3">
        <v>0</v>
      </c>
      <c r="H423" s="4">
        <v>0.7</v>
      </c>
      <c r="I423" s="28">
        <f t="shared" si="13"/>
        <v>24490.733993154001</v>
      </c>
    </row>
    <row r="424" spans="1:9" ht="15.75" customHeight="1" x14ac:dyDescent="0.35">
      <c r="A424" s="26" t="s">
        <v>10223</v>
      </c>
      <c r="B424" s="25" t="s">
        <v>78</v>
      </c>
      <c r="C424" s="6" t="s">
        <v>10224</v>
      </c>
      <c r="D424" s="13">
        <v>2451.5741250000001</v>
      </c>
      <c r="E424" s="18">
        <v>21</v>
      </c>
      <c r="F424" s="2">
        <f t="shared" si="12"/>
        <v>2966.4046912500003</v>
      </c>
      <c r="G424" s="3">
        <v>0</v>
      </c>
      <c r="H424" s="4">
        <v>0.7</v>
      </c>
      <c r="I424" s="28">
        <f t="shared" si="13"/>
        <v>5042.8879751250006</v>
      </c>
    </row>
    <row r="425" spans="1:9" ht="15.75" customHeight="1" x14ac:dyDescent="0.35">
      <c r="A425" s="26" t="s">
        <v>10225</v>
      </c>
      <c r="B425" s="25" t="s">
        <v>11934</v>
      </c>
      <c r="C425" s="6" t="s">
        <v>10226</v>
      </c>
      <c r="D425" s="13">
        <v>2451.5741250000001</v>
      </c>
      <c r="E425" s="18">
        <v>21</v>
      </c>
      <c r="F425" s="2">
        <f t="shared" si="12"/>
        <v>2966.4046912500003</v>
      </c>
      <c r="G425" s="3">
        <v>0</v>
      </c>
      <c r="H425" s="4">
        <v>0.7</v>
      </c>
      <c r="I425" s="28">
        <f t="shared" si="13"/>
        <v>5042.8879751250006</v>
      </c>
    </row>
    <row r="426" spans="1:9" ht="15.75" customHeight="1" x14ac:dyDescent="0.35">
      <c r="A426" s="26" t="s">
        <v>2969</v>
      </c>
      <c r="B426" s="25" t="s">
        <v>9924</v>
      </c>
      <c r="C426" s="6" t="s">
        <v>79</v>
      </c>
      <c r="D426" s="13">
        <v>11080.642013999999</v>
      </c>
      <c r="E426" s="18">
        <v>21</v>
      </c>
      <c r="F426" s="2">
        <f t="shared" si="12"/>
        <v>13407.576836939999</v>
      </c>
      <c r="G426" s="3">
        <v>0</v>
      </c>
      <c r="H426" s="4">
        <v>0.7</v>
      </c>
      <c r="I426" s="28">
        <f t="shared" si="13"/>
        <v>22792.880622797999</v>
      </c>
    </row>
    <row r="427" spans="1:9" ht="15.75" customHeight="1" x14ac:dyDescent="0.35">
      <c r="A427" s="26" t="s">
        <v>2970</v>
      </c>
      <c r="B427" s="25" t="s">
        <v>9925</v>
      </c>
      <c r="C427" s="6" t="s">
        <v>80</v>
      </c>
      <c r="D427" s="13">
        <v>11080.642013999999</v>
      </c>
      <c r="E427" s="18">
        <v>21</v>
      </c>
      <c r="F427" s="2">
        <f t="shared" si="12"/>
        <v>13407.576836939999</v>
      </c>
      <c r="G427" s="3">
        <v>0</v>
      </c>
      <c r="H427" s="4">
        <v>0.7</v>
      </c>
      <c r="I427" s="28">
        <f t="shared" si="13"/>
        <v>22792.880622797999</v>
      </c>
    </row>
    <row r="428" spans="1:9" ht="15.75" customHeight="1" x14ac:dyDescent="0.35">
      <c r="A428" s="26" t="s">
        <v>2971</v>
      </c>
      <c r="B428" s="25" t="s">
        <v>1225</v>
      </c>
      <c r="C428" s="6" t="s">
        <v>1227</v>
      </c>
      <c r="D428" s="13">
        <v>28289.509794000001</v>
      </c>
      <c r="E428" s="18">
        <v>21</v>
      </c>
      <c r="F428" s="2">
        <f t="shared" si="12"/>
        <v>34230.306850740002</v>
      </c>
      <c r="G428" s="3">
        <v>0</v>
      </c>
      <c r="H428" s="4">
        <v>0.7</v>
      </c>
      <c r="I428" s="28">
        <f t="shared" si="13"/>
        <v>58191.521646257999</v>
      </c>
    </row>
    <row r="429" spans="1:9" ht="15.75" customHeight="1" x14ac:dyDescent="0.35">
      <c r="A429" s="26" t="s">
        <v>2972</v>
      </c>
      <c r="B429" s="25" t="s">
        <v>1226</v>
      </c>
      <c r="C429" s="6" t="s">
        <v>1228</v>
      </c>
      <c r="D429" s="13">
        <v>28289.509794000001</v>
      </c>
      <c r="E429" s="18">
        <v>21</v>
      </c>
      <c r="F429" s="2">
        <f t="shared" si="12"/>
        <v>34230.306850740002</v>
      </c>
      <c r="G429" s="3">
        <v>0</v>
      </c>
      <c r="H429" s="4">
        <v>0.7</v>
      </c>
      <c r="I429" s="28">
        <f t="shared" si="13"/>
        <v>58191.521646257999</v>
      </c>
    </row>
    <row r="430" spans="1:9" ht="15.75" customHeight="1" x14ac:dyDescent="0.35">
      <c r="A430" s="26" t="s">
        <v>2973</v>
      </c>
      <c r="B430" s="25" t="s">
        <v>1067</v>
      </c>
      <c r="C430" s="6" t="s">
        <v>81</v>
      </c>
      <c r="D430" s="13">
        <v>28289.509794000001</v>
      </c>
      <c r="E430" s="18">
        <v>21</v>
      </c>
      <c r="F430" s="2">
        <f t="shared" si="12"/>
        <v>34230.306850740002</v>
      </c>
      <c r="G430" s="3">
        <v>0</v>
      </c>
      <c r="H430" s="4">
        <v>0.7</v>
      </c>
      <c r="I430" s="28">
        <f t="shared" si="13"/>
        <v>58191.521646257999</v>
      </c>
    </row>
    <row r="431" spans="1:9" ht="15.75" customHeight="1" x14ac:dyDescent="0.35">
      <c r="A431" s="26" t="s">
        <v>2852</v>
      </c>
      <c r="B431" s="25" t="s">
        <v>849</v>
      </c>
      <c r="C431" s="6" t="s">
        <v>851</v>
      </c>
      <c r="D431" s="13">
        <v>9250.7397839999994</v>
      </c>
      <c r="E431" s="18">
        <v>21</v>
      </c>
      <c r="F431" s="2">
        <f t="shared" si="12"/>
        <v>11193.395138639999</v>
      </c>
      <c r="G431" s="3">
        <v>0</v>
      </c>
      <c r="H431" s="4">
        <v>0.7</v>
      </c>
      <c r="I431" s="28">
        <f t="shared" si="13"/>
        <v>19028.771735687998</v>
      </c>
    </row>
    <row r="432" spans="1:9" ht="15.75" customHeight="1" x14ac:dyDescent="0.35">
      <c r="A432" s="26" t="s">
        <v>2986</v>
      </c>
      <c r="B432" s="25" t="s">
        <v>850</v>
      </c>
      <c r="C432" s="6" t="s">
        <v>11386</v>
      </c>
      <c r="D432" s="13">
        <v>5291.4050953562501</v>
      </c>
      <c r="E432" s="18">
        <v>21</v>
      </c>
      <c r="F432" s="2">
        <f t="shared" si="12"/>
        <v>6402.6001653810627</v>
      </c>
      <c r="G432" s="3">
        <v>0</v>
      </c>
      <c r="H432" s="4">
        <v>0.7</v>
      </c>
      <c r="I432" s="28">
        <f t="shared" si="13"/>
        <v>10884.420281147806</v>
      </c>
    </row>
    <row r="433" spans="1:9" ht="15.75" customHeight="1" x14ac:dyDescent="0.35">
      <c r="A433" s="26" t="s">
        <v>2987</v>
      </c>
      <c r="B433" s="25" t="s">
        <v>10224</v>
      </c>
      <c r="C433" s="6" t="s">
        <v>11387</v>
      </c>
      <c r="D433" s="13">
        <v>5291.4050953562501</v>
      </c>
      <c r="E433" s="18">
        <v>21</v>
      </c>
      <c r="F433" s="2">
        <f t="shared" si="12"/>
        <v>6402.6001653810627</v>
      </c>
      <c r="G433" s="3">
        <v>0</v>
      </c>
      <c r="H433" s="4">
        <v>0.7</v>
      </c>
      <c r="I433" s="28">
        <f t="shared" si="13"/>
        <v>10884.420281147806</v>
      </c>
    </row>
    <row r="434" spans="1:9" ht="15.75" customHeight="1" x14ac:dyDescent="0.35">
      <c r="A434" s="26" t="s">
        <v>2988</v>
      </c>
      <c r="B434" s="25" t="s">
        <v>10226</v>
      </c>
      <c r="C434" s="6" t="s">
        <v>11388</v>
      </c>
      <c r="D434" s="13">
        <v>5291.4050953562501</v>
      </c>
      <c r="E434" s="18">
        <v>21</v>
      </c>
      <c r="F434" s="2">
        <f t="shared" si="12"/>
        <v>6402.6001653810627</v>
      </c>
      <c r="G434" s="3">
        <v>0</v>
      </c>
      <c r="H434" s="4">
        <v>0.7</v>
      </c>
      <c r="I434" s="28">
        <f t="shared" si="13"/>
        <v>10884.420281147806</v>
      </c>
    </row>
    <row r="435" spans="1:9" ht="15.75" customHeight="1" x14ac:dyDescent="0.35">
      <c r="A435" s="26" t="s">
        <v>2989</v>
      </c>
      <c r="B435" s="25" t="s">
        <v>79</v>
      </c>
      <c r="C435" s="6" t="s">
        <v>11389</v>
      </c>
      <c r="D435" s="13">
        <v>6349.6861144274999</v>
      </c>
      <c r="E435" s="18">
        <v>21</v>
      </c>
      <c r="F435" s="2">
        <f t="shared" si="12"/>
        <v>7683.1201984572745</v>
      </c>
      <c r="G435" s="3">
        <v>0</v>
      </c>
      <c r="H435" s="4">
        <v>0.7</v>
      </c>
      <c r="I435" s="28">
        <f t="shared" si="13"/>
        <v>13061.304337377367</v>
      </c>
    </row>
    <row r="436" spans="1:9" ht="15.75" customHeight="1" x14ac:dyDescent="0.35">
      <c r="A436" s="26" t="s">
        <v>2990</v>
      </c>
      <c r="B436" s="25" t="s">
        <v>80</v>
      </c>
      <c r="C436" s="6" t="s">
        <v>11390</v>
      </c>
      <c r="D436" s="13">
        <v>6349.6861144274999</v>
      </c>
      <c r="E436" s="18">
        <v>21</v>
      </c>
      <c r="F436" s="2">
        <f t="shared" si="12"/>
        <v>7683.1201984572745</v>
      </c>
      <c r="G436" s="3">
        <v>0</v>
      </c>
      <c r="H436" s="4">
        <v>0.7</v>
      </c>
      <c r="I436" s="28">
        <f t="shared" si="13"/>
        <v>13061.304337377367</v>
      </c>
    </row>
    <row r="437" spans="1:9" ht="15.75" customHeight="1" x14ac:dyDescent="0.35">
      <c r="A437" s="26" t="s">
        <v>2991</v>
      </c>
      <c r="B437" s="25" t="s">
        <v>1227</v>
      </c>
      <c r="C437" s="6" t="s">
        <v>11391</v>
      </c>
      <c r="D437" s="13">
        <v>6349.6861144274999</v>
      </c>
      <c r="E437" s="18">
        <v>21</v>
      </c>
      <c r="F437" s="2">
        <f t="shared" si="12"/>
        <v>7683.1201984572745</v>
      </c>
      <c r="G437" s="3">
        <v>0</v>
      </c>
      <c r="H437" s="4">
        <v>0.7</v>
      </c>
      <c r="I437" s="28">
        <f t="shared" si="13"/>
        <v>13061.304337377367</v>
      </c>
    </row>
    <row r="438" spans="1:9" ht="15.75" customHeight="1" x14ac:dyDescent="0.35">
      <c r="A438" s="26" t="s">
        <v>2992</v>
      </c>
      <c r="B438" s="25" t="s">
        <v>1228</v>
      </c>
      <c r="C438" s="6" t="s">
        <v>11392</v>
      </c>
      <c r="D438" s="13">
        <v>12723.852946404601</v>
      </c>
      <c r="E438" s="18">
        <v>21</v>
      </c>
      <c r="F438" s="2">
        <f t="shared" si="12"/>
        <v>15395.862065149566</v>
      </c>
      <c r="G438" s="3">
        <v>0</v>
      </c>
      <c r="H438" s="4">
        <v>0.7</v>
      </c>
      <c r="I438" s="28">
        <f t="shared" si="13"/>
        <v>26172.96551075426</v>
      </c>
    </row>
    <row r="439" spans="1:9" ht="15.75" customHeight="1" x14ac:dyDescent="0.35">
      <c r="A439" s="26" t="s">
        <v>9678</v>
      </c>
      <c r="B439" s="25" t="s">
        <v>81</v>
      </c>
      <c r="C439" s="6" t="s">
        <v>11393</v>
      </c>
      <c r="D439" s="13">
        <v>8478.9985262937498</v>
      </c>
      <c r="E439" s="18">
        <v>21</v>
      </c>
      <c r="F439" s="2">
        <f t="shared" si="12"/>
        <v>10259.588216815437</v>
      </c>
      <c r="G439" s="3">
        <v>0</v>
      </c>
      <c r="H439" s="4">
        <v>0.7</v>
      </c>
      <c r="I439" s="28">
        <f t="shared" si="13"/>
        <v>17441.299968586241</v>
      </c>
    </row>
    <row r="440" spans="1:9" ht="15.75" customHeight="1" x14ac:dyDescent="0.35">
      <c r="A440" s="26" t="s">
        <v>2993</v>
      </c>
      <c r="B440" s="25" t="s">
        <v>851</v>
      </c>
      <c r="C440" s="6" t="s">
        <v>11394</v>
      </c>
      <c r="D440" s="13">
        <v>8576.9213964921491</v>
      </c>
      <c r="E440" s="18">
        <v>21</v>
      </c>
      <c r="F440" s="2">
        <f t="shared" si="12"/>
        <v>10378.0748897555</v>
      </c>
      <c r="G440" s="3">
        <v>0</v>
      </c>
      <c r="H440" s="4">
        <v>0.7</v>
      </c>
      <c r="I440" s="28">
        <f t="shared" si="13"/>
        <v>17642.727312584349</v>
      </c>
    </row>
    <row r="441" spans="1:9" ht="15.75" customHeight="1" x14ac:dyDescent="0.35">
      <c r="A441" s="26" t="s">
        <v>2994</v>
      </c>
      <c r="B441" s="25" t="s">
        <v>11386</v>
      </c>
      <c r="C441" s="6" t="s">
        <v>11395</v>
      </c>
      <c r="D441" s="13">
        <v>16728.49032556</v>
      </c>
      <c r="E441" s="18">
        <v>21</v>
      </c>
      <c r="F441" s="2">
        <f t="shared" si="12"/>
        <v>20241.4732939276</v>
      </c>
      <c r="G441" s="3">
        <v>0</v>
      </c>
      <c r="H441" s="4">
        <v>0.7</v>
      </c>
      <c r="I441" s="28">
        <f t="shared" si="13"/>
        <v>34410.504599676919</v>
      </c>
    </row>
    <row r="442" spans="1:9" ht="15.75" customHeight="1" x14ac:dyDescent="0.35">
      <c r="A442" s="26" t="s">
        <v>2974</v>
      </c>
      <c r="B442" s="25" t="s">
        <v>11387</v>
      </c>
      <c r="C442" s="6" t="s">
        <v>9191</v>
      </c>
      <c r="D442" s="13">
        <v>27417.386177999997</v>
      </c>
      <c r="E442" s="18">
        <v>21</v>
      </c>
      <c r="F442" s="2">
        <f t="shared" si="12"/>
        <v>33175.037275379997</v>
      </c>
      <c r="G442" s="3">
        <v>0</v>
      </c>
      <c r="H442" s="4">
        <v>0.7</v>
      </c>
      <c r="I442" s="28">
        <f t="shared" si="13"/>
        <v>56397.563368145995</v>
      </c>
    </row>
    <row r="443" spans="1:9" ht="15.75" customHeight="1" x14ac:dyDescent="0.35">
      <c r="A443" s="26" t="s">
        <v>2975</v>
      </c>
      <c r="B443" s="25" t="s">
        <v>11388</v>
      </c>
      <c r="C443" s="6" t="s">
        <v>9192</v>
      </c>
      <c r="D443" s="13">
        <v>27417.386177999997</v>
      </c>
      <c r="E443" s="18">
        <v>21</v>
      </c>
      <c r="F443" s="2">
        <f t="shared" si="12"/>
        <v>33175.037275379997</v>
      </c>
      <c r="G443" s="3">
        <v>0</v>
      </c>
      <c r="H443" s="4">
        <v>0.7</v>
      </c>
      <c r="I443" s="28">
        <f t="shared" si="13"/>
        <v>56397.563368145995</v>
      </c>
    </row>
    <row r="444" spans="1:9" ht="15.75" customHeight="1" x14ac:dyDescent="0.35">
      <c r="A444" s="26" t="s">
        <v>2976</v>
      </c>
      <c r="B444" s="25" t="s">
        <v>11389</v>
      </c>
      <c r="C444" s="6" t="s">
        <v>9211</v>
      </c>
      <c r="D444" s="13">
        <v>27417.386177999997</v>
      </c>
      <c r="E444" s="18">
        <v>21</v>
      </c>
      <c r="F444" s="2">
        <f t="shared" si="12"/>
        <v>33175.037275379997</v>
      </c>
      <c r="G444" s="3">
        <v>0</v>
      </c>
      <c r="H444" s="4">
        <v>0.7</v>
      </c>
      <c r="I444" s="28">
        <f t="shared" si="13"/>
        <v>56397.563368145995</v>
      </c>
    </row>
    <row r="445" spans="1:9" ht="15.75" customHeight="1" x14ac:dyDescent="0.35">
      <c r="A445" s="26" t="s">
        <v>2977</v>
      </c>
      <c r="B445" s="25" t="s">
        <v>11390</v>
      </c>
      <c r="C445" s="6" t="s">
        <v>9212</v>
      </c>
      <c r="D445" s="13">
        <v>27417.386177999997</v>
      </c>
      <c r="E445" s="18">
        <v>21</v>
      </c>
      <c r="F445" s="2">
        <f t="shared" si="12"/>
        <v>33175.037275379997</v>
      </c>
      <c r="G445" s="3">
        <v>0</v>
      </c>
      <c r="H445" s="4">
        <v>0.7</v>
      </c>
      <c r="I445" s="28">
        <f t="shared" si="13"/>
        <v>56397.563368145995</v>
      </c>
    </row>
    <row r="446" spans="1:9" ht="15.75" customHeight="1" x14ac:dyDescent="0.35">
      <c r="A446" s="26" t="s">
        <v>2978</v>
      </c>
      <c r="B446" s="25" t="s">
        <v>11391</v>
      </c>
      <c r="C446" s="6" t="s">
        <v>9213</v>
      </c>
      <c r="D446" s="13">
        <v>38817.287730000004</v>
      </c>
      <c r="E446" s="18">
        <v>21</v>
      </c>
      <c r="F446" s="2">
        <f t="shared" si="12"/>
        <v>46968.918153300008</v>
      </c>
      <c r="G446" s="3">
        <v>0</v>
      </c>
      <c r="H446" s="4">
        <v>0.7</v>
      </c>
      <c r="I446" s="28">
        <f t="shared" si="13"/>
        <v>79847.160860610005</v>
      </c>
    </row>
    <row r="447" spans="1:9" ht="15.75" customHeight="1" x14ac:dyDescent="0.35">
      <c r="A447" s="26" t="s">
        <v>2979</v>
      </c>
      <c r="B447" s="25" t="s">
        <v>11392</v>
      </c>
      <c r="C447" s="6" t="s">
        <v>9214</v>
      </c>
      <c r="D447" s="13">
        <v>38817.287730000004</v>
      </c>
      <c r="E447" s="18">
        <v>21</v>
      </c>
      <c r="F447" s="2">
        <f t="shared" si="12"/>
        <v>46968.918153300008</v>
      </c>
      <c r="G447" s="3">
        <v>0</v>
      </c>
      <c r="H447" s="4">
        <v>0.7</v>
      </c>
      <c r="I447" s="28">
        <f t="shared" si="13"/>
        <v>79847.160860610005</v>
      </c>
    </row>
    <row r="448" spans="1:9" ht="15.75" customHeight="1" x14ac:dyDescent="0.35">
      <c r="A448" s="26" t="s">
        <v>2980</v>
      </c>
      <c r="B448" s="25" t="s">
        <v>11393</v>
      </c>
      <c r="C448" s="6" t="s">
        <v>9215</v>
      </c>
      <c r="D448" s="13">
        <v>38817.287730000004</v>
      </c>
      <c r="E448" s="18">
        <v>21</v>
      </c>
      <c r="F448" s="2">
        <f t="shared" si="12"/>
        <v>46968.918153300008</v>
      </c>
      <c r="G448" s="3">
        <v>0</v>
      </c>
      <c r="H448" s="4">
        <v>0.7</v>
      </c>
      <c r="I448" s="28">
        <f t="shared" si="13"/>
        <v>79847.160860610005</v>
      </c>
    </row>
    <row r="449" spans="1:9" ht="15.75" customHeight="1" x14ac:dyDescent="0.35">
      <c r="A449" s="26" t="s">
        <v>2981</v>
      </c>
      <c r="B449" s="25" t="s">
        <v>11394</v>
      </c>
      <c r="C449" s="6" t="s">
        <v>9216</v>
      </c>
      <c r="D449" s="13">
        <v>38817.287730000004</v>
      </c>
      <c r="E449" s="18">
        <v>21</v>
      </c>
      <c r="F449" s="2">
        <f t="shared" si="12"/>
        <v>46968.918153300008</v>
      </c>
      <c r="G449" s="3">
        <v>0</v>
      </c>
      <c r="H449" s="4">
        <v>0.7</v>
      </c>
      <c r="I449" s="28">
        <f t="shared" si="13"/>
        <v>79847.160860610005</v>
      </c>
    </row>
    <row r="450" spans="1:9" ht="15.75" customHeight="1" x14ac:dyDescent="0.35">
      <c r="A450" s="26" t="s">
        <v>2982</v>
      </c>
      <c r="B450" s="25" t="s">
        <v>11395</v>
      </c>
      <c r="C450" s="6" t="s">
        <v>9217</v>
      </c>
      <c r="D450" s="13">
        <v>45685.261206000003</v>
      </c>
      <c r="E450" s="18">
        <v>21</v>
      </c>
      <c r="F450" s="2">
        <f t="shared" si="12"/>
        <v>55279.166059260002</v>
      </c>
      <c r="G450" s="3">
        <v>0</v>
      </c>
      <c r="H450" s="4">
        <v>0.7</v>
      </c>
      <c r="I450" s="28">
        <f t="shared" si="13"/>
        <v>93974.582300741997</v>
      </c>
    </row>
    <row r="451" spans="1:9" ht="15.75" customHeight="1" x14ac:dyDescent="0.35">
      <c r="A451" s="26" t="s">
        <v>2983</v>
      </c>
      <c r="B451" s="25" t="s">
        <v>9191</v>
      </c>
      <c r="C451" s="6" t="s">
        <v>9218</v>
      </c>
      <c r="D451" s="13">
        <v>45685.261206000003</v>
      </c>
      <c r="E451" s="18">
        <v>21</v>
      </c>
      <c r="F451" s="2">
        <f t="shared" si="12"/>
        <v>55279.166059260002</v>
      </c>
      <c r="G451" s="3">
        <v>0</v>
      </c>
      <c r="H451" s="4">
        <v>0.7</v>
      </c>
      <c r="I451" s="28">
        <f t="shared" si="13"/>
        <v>93974.582300741997</v>
      </c>
    </row>
    <row r="452" spans="1:9" ht="15.75" customHeight="1" x14ac:dyDescent="0.35">
      <c r="A452" s="26" t="s">
        <v>2984</v>
      </c>
      <c r="B452" s="25" t="s">
        <v>9192</v>
      </c>
      <c r="C452" s="6" t="s">
        <v>9219</v>
      </c>
      <c r="D452" s="13">
        <v>45685.261206000003</v>
      </c>
      <c r="E452" s="18">
        <v>21</v>
      </c>
      <c r="F452" s="2">
        <f t="shared" si="12"/>
        <v>55279.166059260002</v>
      </c>
      <c r="G452" s="3">
        <v>0</v>
      </c>
      <c r="H452" s="4">
        <v>0.7</v>
      </c>
      <c r="I452" s="28">
        <f t="shared" si="13"/>
        <v>93974.582300741997</v>
      </c>
    </row>
    <row r="453" spans="1:9" ht="15.75" customHeight="1" x14ac:dyDescent="0.35">
      <c r="A453" s="26" t="s">
        <v>2985</v>
      </c>
      <c r="B453" s="25" t="s">
        <v>9211</v>
      </c>
      <c r="C453" s="6" t="s">
        <v>9220</v>
      </c>
      <c r="D453" s="13">
        <v>45685.261206000003</v>
      </c>
      <c r="E453" s="18">
        <v>21</v>
      </c>
      <c r="F453" s="2">
        <f t="shared" si="12"/>
        <v>55279.166059260002</v>
      </c>
      <c r="G453" s="3">
        <v>0</v>
      </c>
      <c r="H453" s="4">
        <v>0.7</v>
      </c>
      <c r="I453" s="28">
        <f t="shared" si="13"/>
        <v>93974.582300741997</v>
      </c>
    </row>
    <row r="454" spans="1:9" ht="15.75" customHeight="1" x14ac:dyDescent="0.35">
      <c r="A454" s="26" t="s">
        <v>11396</v>
      </c>
      <c r="B454" s="25" t="s">
        <v>9212</v>
      </c>
      <c r="C454" s="6" t="s">
        <v>11397</v>
      </c>
      <c r="D454" s="13">
        <v>9180.1368750000001</v>
      </c>
      <c r="E454" s="18">
        <v>21</v>
      </c>
      <c r="F454" s="2">
        <f t="shared" ref="F454:F517" si="14">D454*E454/100+D454</f>
        <v>11107.96561875</v>
      </c>
      <c r="G454" s="3">
        <v>0</v>
      </c>
      <c r="H454" s="4">
        <v>0.7</v>
      </c>
      <c r="I454" s="28">
        <f t="shared" ref="I454:I517" si="15">IF(G454=-1,0,F454*((100-G454)/100)*(1+H454))</f>
        <v>18883.541551875001</v>
      </c>
    </row>
    <row r="455" spans="1:9" ht="15.75" customHeight="1" x14ac:dyDescent="0.35">
      <c r="A455" s="26" t="s">
        <v>10935</v>
      </c>
      <c r="B455" s="25" t="s">
        <v>9213</v>
      </c>
      <c r="C455" s="6" t="s">
        <v>11398</v>
      </c>
      <c r="D455" s="13">
        <v>9180.1368750000001</v>
      </c>
      <c r="E455" s="18">
        <v>21</v>
      </c>
      <c r="F455" s="2">
        <f t="shared" si="14"/>
        <v>11107.96561875</v>
      </c>
      <c r="G455" s="3">
        <v>0</v>
      </c>
      <c r="H455" s="4">
        <v>0.7</v>
      </c>
      <c r="I455" s="28">
        <f t="shared" si="15"/>
        <v>18883.541551875001</v>
      </c>
    </row>
    <row r="456" spans="1:9" ht="15.75" customHeight="1" x14ac:dyDescent="0.35">
      <c r="A456" s="26" t="s">
        <v>14016</v>
      </c>
      <c r="B456" s="25" t="s">
        <v>9214</v>
      </c>
      <c r="C456" s="6" t="s">
        <v>14017</v>
      </c>
      <c r="D456" s="13">
        <v>9180.1368750000001</v>
      </c>
      <c r="E456" s="18">
        <v>21</v>
      </c>
      <c r="F456" s="2">
        <f t="shared" si="14"/>
        <v>11107.96561875</v>
      </c>
      <c r="G456" s="3">
        <v>0</v>
      </c>
      <c r="H456" s="4">
        <v>0.7</v>
      </c>
      <c r="I456" s="28">
        <f t="shared" si="15"/>
        <v>18883.541551875001</v>
      </c>
    </row>
    <row r="457" spans="1:9" ht="15.75" customHeight="1" x14ac:dyDescent="0.35">
      <c r="A457" s="26" t="s">
        <v>10936</v>
      </c>
      <c r="B457" s="25" t="s">
        <v>9215</v>
      </c>
      <c r="C457" s="6" t="s">
        <v>11399</v>
      </c>
      <c r="D457" s="13">
        <v>14709.444750000001</v>
      </c>
      <c r="E457" s="18">
        <v>21</v>
      </c>
      <c r="F457" s="2">
        <f t="shared" si="14"/>
        <v>17798.428147499999</v>
      </c>
      <c r="G457" s="3">
        <v>0</v>
      </c>
      <c r="H457" s="4">
        <v>0.7</v>
      </c>
      <c r="I457" s="28">
        <f t="shared" si="15"/>
        <v>30257.327850749996</v>
      </c>
    </row>
    <row r="458" spans="1:9" ht="15.75" customHeight="1" x14ac:dyDescent="0.35">
      <c r="A458" s="26" t="s">
        <v>10937</v>
      </c>
      <c r="B458" s="25" t="s">
        <v>9216</v>
      </c>
      <c r="C458" s="6" t="s">
        <v>11400</v>
      </c>
      <c r="D458" s="13">
        <v>21607.8135</v>
      </c>
      <c r="E458" s="18">
        <v>21</v>
      </c>
      <c r="F458" s="2">
        <f t="shared" si="14"/>
        <v>26145.454335000002</v>
      </c>
      <c r="G458" s="3">
        <v>0</v>
      </c>
      <c r="H458" s="4">
        <v>0.7</v>
      </c>
      <c r="I458" s="28">
        <f t="shared" si="15"/>
        <v>44447.272369500002</v>
      </c>
    </row>
    <row r="459" spans="1:9" ht="15.75" customHeight="1" x14ac:dyDescent="0.35">
      <c r="A459" s="26" t="s">
        <v>2995</v>
      </c>
      <c r="B459" s="25" t="s">
        <v>9217</v>
      </c>
      <c r="C459" s="6" t="s">
        <v>11401</v>
      </c>
      <c r="D459" s="13">
        <v>8425.3370759999998</v>
      </c>
      <c r="E459" s="18">
        <v>21</v>
      </c>
      <c r="F459" s="2">
        <f t="shared" si="14"/>
        <v>10194.65786196</v>
      </c>
      <c r="G459" s="3">
        <v>0</v>
      </c>
      <c r="H459" s="4">
        <v>0.7</v>
      </c>
      <c r="I459" s="28">
        <f t="shared" si="15"/>
        <v>17330.918365332</v>
      </c>
    </row>
    <row r="460" spans="1:9" ht="15.75" customHeight="1" x14ac:dyDescent="0.35">
      <c r="A460" s="26" t="s">
        <v>2996</v>
      </c>
      <c r="B460" s="25" t="s">
        <v>9218</v>
      </c>
      <c r="C460" s="6" t="s">
        <v>11402</v>
      </c>
      <c r="D460" s="13">
        <v>8425.3370759999998</v>
      </c>
      <c r="E460" s="18">
        <v>21</v>
      </c>
      <c r="F460" s="2">
        <f t="shared" si="14"/>
        <v>10194.65786196</v>
      </c>
      <c r="G460" s="3">
        <v>0</v>
      </c>
      <c r="H460" s="4">
        <v>0.7</v>
      </c>
      <c r="I460" s="28">
        <f t="shared" si="15"/>
        <v>17330.918365332</v>
      </c>
    </row>
    <row r="461" spans="1:9" ht="15.75" customHeight="1" x14ac:dyDescent="0.35">
      <c r="A461" s="26" t="s">
        <v>2997</v>
      </c>
      <c r="B461" s="25" t="s">
        <v>9219</v>
      </c>
      <c r="C461" s="6" t="s">
        <v>11403</v>
      </c>
      <c r="D461" s="13">
        <v>8425.3370759999998</v>
      </c>
      <c r="E461" s="18">
        <v>21</v>
      </c>
      <c r="F461" s="2">
        <f t="shared" si="14"/>
        <v>10194.65786196</v>
      </c>
      <c r="G461" s="3">
        <v>0</v>
      </c>
      <c r="H461" s="4">
        <v>0.7</v>
      </c>
      <c r="I461" s="28">
        <f t="shared" si="15"/>
        <v>17330.918365332</v>
      </c>
    </row>
    <row r="462" spans="1:9" ht="15.75" customHeight="1" x14ac:dyDescent="0.35">
      <c r="A462" s="26" t="s">
        <v>2998</v>
      </c>
      <c r="B462" s="25" t="s">
        <v>9220</v>
      </c>
      <c r="C462" s="6" t="s">
        <v>11404</v>
      </c>
      <c r="D462" s="13">
        <v>8425.3370759999998</v>
      </c>
      <c r="E462" s="18">
        <v>21</v>
      </c>
      <c r="F462" s="2">
        <f t="shared" si="14"/>
        <v>10194.65786196</v>
      </c>
      <c r="G462" s="3">
        <v>0</v>
      </c>
      <c r="H462" s="4">
        <v>0.7</v>
      </c>
      <c r="I462" s="28">
        <f t="shared" si="15"/>
        <v>17330.918365332</v>
      </c>
    </row>
    <row r="463" spans="1:9" ht="15.75" customHeight="1" x14ac:dyDescent="0.35">
      <c r="A463" s="26" t="s">
        <v>2286</v>
      </c>
      <c r="B463" s="25" t="s">
        <v>11397</v>
      </c>
      <c r="C463" s="6" t="s">
        <v>82</v>
      </c>
      <c r="D463" s="13">
        <v>1115.8943072962627</v>
      </c>
      <c r="E463" s="18">
        <v>21</v>
      </c>
      <c r="F463" s="2">
        <f t="shared" si="14"/>
        <v>1350.2321118284779</v>
      </c>
      <c r="G463" s="3">
        <v>0</v>
      </c>
      <c r="H463" s="4">
        <v>0.7</v>
      </c>
      <c r="I463" s="28">
        <f t="shared" si="15"/>
        <v>2295.3945901084121</v>
      </c>
    </row>
    <row r="464" spans="1:9" ht="15.75" customHeight="1" x14ac:dyDescent="0.35">
      <c r="A464" s="26" t="s">
        <v>2287</v>
      </c>
      <c r="B464" s="25" t="s">
        <v>11398</v>
      </c>
      <c r="C464" s="6" t="s">
        <v>83</v>
      </c>
      <c r="D464" s="13">
        <v>732.82609002910533</v>
      </c>
      <c r="E464" s="18">
        <v>21</v>
      </c>
      <c r="F464" s="2">
        <f t="shared" si="14"/>
        <v>886.71956893521747</v>
      </c>
      <c r="G464" s="3">
        <v>0</v>
      </c>
      <c r="H464" s="4">
        <v>0.7</v>
      </c>
      <c r="I464" s="28">
        <f t="shared" si="15"/>
        <v>1507.4232671898696</v>
      </c>
    </row>
    <row r="465" spans="1:9" ht="15.75" customHeight="1" x14ac:dyDescent="0.35">
      <c r="A465" s="26" t="s">
        <v>2288</v>
      </c>
      <c r="B465" s="25" t="s">
        <v>11399</v>
      </c>
      <c r="C465" s="6" t="s">
        <v>84</v>
      </c>
      <c r="D465" s="13">
        <v>899.37751473805031</v>
      </c>
      <c r="E465" s="18">
        <v>21</v>
      </c>
      <c r="F465" s="2">
        <f t="shared" si="14"/>
        <v>1088.2467928330409</v>
      </c>
      <c r="G465" s="3">
        <v>0</v>
      </c>
      <c r="H465" s="4">
        <v>0.7</v>
      </c>
      <c r="I465" s="28">
        <f t="shared" si="15"/>
        <v>1850.0195478161695</v>
      </c>
    </row>
    <row r="466" spans="1:9" ht="15.75" customHeight="1" x14ac:dyDescent="0.35">
      <c r="A466" s="26" t="s">
        <v>3402</v>
      </c>
      <c r="B466" s="25" t="s">
        <v>11400</v>
      </c>
      <c r="C466" s="6" t="s">
        <v>1084</v>
      </c>
      <c r="D466" s="13">
        <v>56989.116990000002</v>
      </c>
      <c r="E466" s="18">
        <v>21</v>
      </c>
      <c r="F466" s="2">
        <f t="shared" si="14"/>
        <v>68956.831557900005</v>
      </c>
      <c r="G466" s="3">
        <v>0</v>
      </c>
      <c r="H466" s="4">
        <v>0.7</v>
      </c>
      <c r="I466" s="28">
        <f t="shared" si="15"/>
        <v>117226.61364843001</v>
      </c>
    </row>
    <row r="467" spans="1:9" ht="15.75" customHeight="1" x14ac:dyDescent="0.35">
      <c r="A467" s="26" t="s">
        <v>2829</v>
      </c>
      <c r="B467" s="25" t="s">
        <v>11401</v>
      </c>
      <c r="C467" s="6" t="s">
        <v>852</v>
      </c>
      <c r="D467" s="13">
        <v>2336.0454</v>
      </c>
      <c r="E467" s="18">
        <v>21</v>
      </c>
      <c r="F467" s="2">
        <f t="shared" si="14"/>
        <v>2826.6149340000002</v>
      </c>
      <c r="G467" s="3">
        <v>0</v>
      </c>
      <c r="H467" s="4">
        <v>0.7</v>
      </c>
      <c r="I467" s="28">
        <f t="shared" si="15"/>
        <v>4805.2453878000006</v>
      </c>
    </row>
    <row r="468" spans="1:9" ht="15.75" customHeight="1" x14ac:dyDescent="0.35">
      <c r="A468" s="26" t="s">
        <v>2830</v>
      </c>
      <c r="B468" s="25" t="s">
        <v>11402</v>
      </c>
      <c r="C468" s="6" t="s">
        <v>853</v>
      </c>
      <c r="D468" s="13">
        <v>4347.64005</v>
      </c>
      <c r="E468" s="18">
        <v>21</v>
      </c>
      <c r="F468" s="2">
        <f t="shared" si="14"/>
        <v>5260.6444604999997</v>
      </c>
      <c r="G468" s="3">
        <v>0</v>
      </c>
      <c r="H468" s="4">
        <v>0.7</v>
      </c>
      <c r="I468" s="28">
        <f t="shared" si="15"/>
        <v>8943.0955828499991</v>
      </c>
    </row>
    <row r="469" spans="1:9" ht="15.75" customHeight="1" x14ac:dyDescent="0.35">
      <c r="A469" s="26" t="s">
        <v>13093</v>
      </c>
      <c r="B469" s="25" t="s">
        <v>11403</v>
      </c>
      <c r="C469" s="6" t="s">
        <v>13094</v>
      </c>
      <c r="D469" s="13">
        <v>1427.5833</v>
      </c>
      <c r="E469" s="18">
        <v>21</v>
      </c>
      <c r="F469" s="2">
        <f t="shared" si="14"/>
        <v>1727.3757929999999</v>
      </c>
      <c r="G469" s="3">
        <v>0</v>
      </c>
      <c r="H469" s="4">
        <v>0.7</v>
      </c>
      <c r="I469" s="28">
        <f t="shared" si="15"/>
        <v>2936.5388481</v>
      </c>
    </row>
    <row r="470" spans="1:9" ht="15.75" customHeight="1" x14ac:dyDescent="0.35">
      <c r="A470" s="26" t="s">
        <v>2831</v>
      </c>
      <c r="B470" s="25" t="s">
        <v>11404</v>
      </c>
      <c r="C470" s="6" t="s">
        <v>854</v>
      </c>
      <c r="D470" s="13">
        <v>1254.5429000000001</v>
      </c>
      <c r="E470" s="18">
        <v>21</v>
      </c>
      <c r="F470" s="2">
        <f t="shared" si="14"/>
        <v>1517.9969090000002</v>
      </c>
      <c r="G470" s="3">
        <v>0</v>
      </c>
      <c r="H470" s="4">
        <v>0.7</v>
      </c>
      <c r="I470" s="28">
        <f t="shared" si="15"/>
        <v>2580.5947453000003</v>
      </c>
    </row>
    <row r="471" spans="1:9" ht="15.75" customHeight="1" x14ac:dyDescent="0.35">
      <c r="A471" s="26" t="s">
        <v>2832</v>
      </c>
      <c r="B471" s="25" t="s">
        <v>10578</v>
      </c>
      <c r="C471" s="6" t="s">
        <v>855</v>
      </c>
      <c r="D471" s="13">
        <v>9279.2914500000006</v>
      </c>
      <c r="E471" s="18">
        <v>21</v>
      </c>
      <c r="F471" s="2">
        <f t="shared" si="14"/>
        <v>11227.942654500001</v>
      </c>
      <c r="G471" s="3">
        <v>0</v>
      </c>
      <c r="H471" s="4">
        <v>0.7</v>
      </c>
      <c r="I471" s="28">
        <f t="shared" si="15"/>
        <v>19087.50251265</v>
      </c>
    </row>
    <row r="472" spans="1:9" ht="15.75" customHeight="1" x14ac:dyDescent="0.35">
      <c r="A472" s="26" t="s">
        <v>13095</v>
      </c>
      <c r="B472" s="25" t="s">
        <v>10579</v>
      </c>
      <c r="C472" s="6" t="s">
        <v>13096</v>
      </c>
      <c r="D472" s="13">
        <v>1492.47345</v>
      </c>
      <c r="E472" s="18">
        <v>21</v>
      </c>
      <c r="F472" s="2">
        <f t="shared" si="14"/>
        <v>1805.8928744999998</v>
      </c>
      <c r="G472" s="3">
        <v>0</v>
      </c>
      <c r="H472" s="4">
        <v>0.7</v>
      </c>
      <c r="I472" s="28">
        <f t="shared" si="15"/>
        <v>3070.0178866499996</v>
      </c>
    </row>
    <row r="473" spans="1:9" ht="15.75" customHeight="1" x14ac:dyDescent="0.35">
      <c r="A473" s="26" t="s">
        <v>2833</v>
      </c>
      <c r="B473" s="25" t="s">
        <v>82</v>
      </c>
      <c r="C473" s="6" t="s">
        <v>856</v>
      </c>
      <c r="D473" s="13">
        <v>1492.47345</v>
      </c>
      <c r="E473" s="18">
        <v>21</v>
      </c>
      <c r="F473" s="2">
        <f t="shared" si="14"/>
        <v>1805.8928744999998</v>
      </c>
      <c r="G473" s="3">
        <v>0</v>
      </c>
      <c r="H473" s="4">
        <v>0.7</v>
      </c>
      <c r="I473" s="28">
        <f t="shared" si="15"/>
        <v>3070.0178866499996</v>
      </c>
    </row>
    <row r="474" spans="1:9" ht="15.75" customHeight="1" x14ac:dyDescent="0.35">
      <c r="A474" s="26" t="s">
        <v>13097</v>
      </c>
      <c r="B474" s="25" t="s">
        <v>83</v>
      </c>
      <c r="C474" s="6" t="s">
        <v>13098</v>
      </c>
      <c r="D474" s="13">
        <v>2033.2247</v>
      </c>
      <c r="E474" s="18">
        <v>21</v>
      </c>
      <c r="F474" s="2">
        <f t="shared" si="14"/>
        <v>2460.2018870000002</v>
      </c>
      <c r="G474" s="3">
        <v>0</v>
      </c>
      <c r="H474" s="4">
        <v>0.7</v>
      </c>
      <c r="I474" s="28">
        <f t="shared" si="15"/>
        <v>4182.3432079000004</v>
      </c>
    </row>
    <row r="475" spans="1:9" ht="15.75" customHeight="1" x14ac:dyDescent="0.35">
      <c r="A475" s="26" t="s">
        <v>2834</v>
      </c>
      <c r="B475" s="25" t="s">
        <v>84</v>
      </c>
      <c r="C475" s="6" t="s">
        <v>857</v>
      </c>
      <c r="D475" s="13">
        <v>2033.2247</v>
      </c>
      <c r="E475" s="18">
        <v>21</v>
      </c>
      <c r="F475" s="2">
        <f t="shared" si="14"/>
        <v>2460.2018870000002</v>
      </c>
      <c r="G475" s="3">
        <v>0</v>
      </c>
      <c r="H475" s="4">
        <v>0.7</v>
      </c>
      <c r="I475" s="28">
        <f t="shared" si="15"/>
        <v>4182.3432079000004</v>
      </c>
    </row>
    <row r="476" spans="1:9" ht="15.75" customHeight="1" x14ac:dyDescent="0.35">
      <c r="A476" s="26" t="s">
        <v>2835</v>
      </c>
      <c r="B476" s="25" t="s">
        <v>1084</v>
      </c>
      <c r="C476" s="6" t="s">
        <v>858</v>
      </c>
      <c r="D476" s="13">
        <v>9755.1525500000007</v>
      </c>
      <c r="E476" s="18">
        <v>21</v>
      </c>
      <c r="F476" s="2">
        <f t="shared" si="14"/>
        <v>11803.7345855</v>
      </c>
      <c r="G476" s="3">
        <v>0</v>
      </c>
      <c r="H476" s="4">
        <v>0.7</v>
      </c>
      <c r="I476" s="28">
        <f t="shared" si="15"/>
        <v>20066.348795350001</v>
      </c>
    </row>
    <row r="477" spans="1:9" ht="15.75" customHeight="1" x14ac:dyDescent="0.35">
      <c r="A477" s="26" t="s">
        <v>2836</v>
      </c>
      <c r="B477" s="25" t="s">
        <v>852</v>
      </c>
      <c r="C477" s="6" t="s">
        <v>859</v>
      </c>
      <c r="D477" s="13">
        <v>18688.3632</v>
      </c>
      <c r="E477" s="18">
        <v>21</v>
      </c>
      <c r="F477" s="2">
        <f t="shared" si="14"/>
        <v>22612.919472000001</v>
      </c>
      <c r="G477" s="3">
        <v>0</v>
      </c>
      <c r="H477" s="4">
        <v>0.7</v>
      </c>
      <c r="I477" s="28">
        <f t="shared" si="15"/>
        <v>38441.963102400005</v>
      </c>
    </row>
    <row r="478" spans="1:9" ht="15.75" customHeight="1" x14ac:dyDescent="0.35">
      <c r="A478" s="26" t="s">
        <v>2837</v>
      </c>
      <c r="B478" s="25" t="s">
        <v>853</v>
      </c>
      <c r="C478" s="6" t="s">
        <v>860</v>
      </c>
      <c r="D478" s="13">
        <v>28386.845018999997</v>
      </c>
      <c r="E478" s="18">
        <v>21</v>
      </c>
      <c r="F478" s="2">
        <f t="shared" si="14"/>
        <v>34348.082472989998</v>
      </c>
      <c r="G478" s="3">
        <v>0</v>
      </c>
      <c r="H478" s="4">
        <v>0.7</v>
      </c>
      <c r="I478" s="28">
        <f t="shared" si="15"/>
        <v>58391.740204082991</v>
      </c>
    </row>
    <row r="479" spans="1:9" ht="15.75" customHeight="1" x14ac:dyDescent="0.35">
      <c r="A479" s="26" t="s">
        <v>2838</v>
      </c>
      <c r="B479" s="25" t="s">
        <v>13094</v>
      </c>
      <c r="C479" s="6" t="s">
        <v>861</v>
      </c>
      <c r="D479" s="13">
        <v>7700.2977999999994</v>
      </c>
      <c r="E479" s="18">
        <v>21</v>
      </c>
      <c r="F479" s="2">
        <f t="shared" si="14"/>
        <v>9317.3603379999986</v>
      </c>
      <c r="G479" s="3">
        <v>0</v>
      </c>
      <c r="H479" s="4">
        <v>0.7</v>
      </c>
      <c r="I479" s="28">
        <f t="shared" si="15"/>
        <v>15839.512574599998</v>
      </c>
    </row>
    <row r="480" spans="1:9" ht="15.75" customHeight="1" x14ac:dyDescent="0.35">
      <c r="A480" s="26" t="s">
        <v>2839</v>
      </c>
      <c r="B480" s="25" t="s">
        <v>854</v>
      </c>
      <c r="C480" s="6" t="s">
        <v>862</v>
      </c>
      <c r="D480" s="13">
        <v>9062.9909499999994</v>
      </c>
      <c r="E480" s="18">
        <v>21</v>
      </c>
      <c r="F480" s="2">
        <f t="shared" si="14"/>
        <v>10966.2190495</v>
      </c>
      <c r="G480" s="3">
        <v>0</v>
      </c>
      <c r="H480" s="4">
        <v>0.7</v>
      </c>
      <c r="I480" s="28">
        <f t="shared" si="15"/>
        <v>18642.57238415</v>
      </c>
    </row>
    <row r="481" spans="1:9" ht="15.75" customHeight="1" x14ac:dyDescent="0.35">
      <c r="A481" s="26" t="s">
        <v>8813</v>
      </c>
      <c r="B481" s="25" t="s">
        <v>855</v>
      </c>
      <c r="C481" s="6" t="s">
        <v>12012</v>
      </c>
      <c r="D481" s="13">
        <v>2098.1148499999999</v>
      </c>
      <c r="E481" s="18">
        <v>21</v>
      </c>
      <c r="F481" s="2">
        <f t="shared" si="14"/>
        <v>2538.7189684999998</v>
      </c>
      <c r="G481" s="3">
        <v>0</v>
      </c>
      <c r="H481" s="4">
        <v>0.7</v>
      </c>
      <c r="I481" s="28">
        <f t="shared" si="15"/>
        <v>4315.8222464499995</v>
      </c>
    </row>
    <row r="482" spans="1:9" ht="15.75" customHeight="1" x14ac:dyDescent="0.35">
      <c r="A482" s="26" t="s">
        <v>8814</v>
      </c>
      <c r="B482" s="25" t="s">
        <v>13096</v>
      </c>
      <c r="C482" s="6" t="s">
        <v>9244</v>
      </c>
      <c r="D482" s="13">
        <v>2509.0858000000003</v>
      </c>
      <c r="E482" s="18">
        <v>21</v>
      </c>
      <c r="F482" s="2">
        <f t="shared" si="14"/>
        <v>3035.9938180000004</v>
      </c>
      <c r="G482" s="3">
        <v>0</v>
      </c>
      <c r="H482" s="4">
        <v>0.7</v>
      </c>
      <c r="I482" s="28">
        <f t="shared" si="15"/>
        <v>5161.1894906000007</v>
      </c>
    </row>
    <row r="483" spans="1:9" ht="15.75" customHeight="1" x14ac:dyDescent="0.35">
      <c r="A483" s="26" t="s">
        <v>8815</v>
      </c>
      <c r="B483" s="25" t="s">
        <v>856</v>
      </c>
      <c r="C483" s="6" t="s">
        <v>9245</v>
      </c>
      <c r="D483" s="13">
        <v>3244.5075000000002</v>
      </c>
      <c r="E483" s="18">
        <v>21</v>
      </c>
      <c r="F483" s="2">
        <f t="shared" si="14"/>
        <v>3925.8540750000002</v>
      </c>
      <c r="G483" s="3">
        <v>0</v>
      </c>
      <c r="H483" s="4">
        <v>0.7</v>
      </c>
      <c r="I483" s="28">
        <f t="shared" si="15"/>
        <v>6673.9519275000002</v>
      </c>
    </row>
    <row r="484" spans="1:9" ht="15.75" customHeight="1" x14ac:dyDescent="0.35">
      <c r="A484" s="26" t="s">
        <v>2810</v>
      </c>
      <c r="B484" s="25" t="s">
        <v>13098</v>
      </c>
      <c r="C484" s="6" t="s">
        <v>85</v>
      </c>
      <c r="D484" s="13">
        <v>2378.4597720000002</v>
      </c>
      <c r="E484" s="18">
        <v>21</v>
      </c>
      <c r="F484" s="2">
        <f t="shared" si="14"/>
        <v>2877.9363241200003</v>
      </c>
      <c r="G484" s="3">
        <v>0</v>
      </c>
      <c r="H484" s="4">
        <v>0.7</v>
      </c>
      <c r="I484" s="28">
        <f t="shared" si="15"/>
        <v>4892.4917510040004</v>
      </c>
    </row>
    <row r="485" spans="1:9" ht="15.75" customHeight="1" x14ac:dyDescent="0.35">
      <c r="A485" s="26" t="s">
        <v>2811</v>
      </c>
      <c r="B485" s="25" t="s">
        <v>857</v>
      </c>
      <c r="C485" s="6" t="s">
        <v>86</v>
      </c>
      <c r="D485" s="13">
        <v>17319.137774899998</v>
      </c>
      <c r="E485" s="18">
        <v>21</v>
      </c>
      <c r="F485" s="2">
        <f t="shared" si="14"/>
        <v>20956.156707628998</v>
      </c>
      <c r="G485" s="3">
        <v>0</v>
      </c>
      <c r="H485" s="4">
        <v>0.7</v>
      </c>
      <c r="I485" s="28">
        <f t="shared" si="15"/>
        <v>35625.466402969294</v>
      </c>
    </row>
    <row r="486" spans="1:9" ht="15.75" customHeight="1" x14ac:dyDescent="0.35">
      <c r="A486" s="26" t="s">
        <v>2812</v>
      </c>
      <c r="B486" s="25" t="s">
        <v>858</v>
      </c>
      <c r="C486" s="6" t="s">
        <v>87</v>
      </c>
      <c r="D486" s="13">
        <v>913.62031816005003</v>
      </c>
      <c r="E486" s="18">
        <v>21</v>
      </c>
      <c r="F486" s="2">
        <f t="shared" si="14"/>
        <v>1105.4805849736606</v>
      </c>
      <c r="G486" s="3">
        <v>0</v>
      </c>
      <c r="H486" s="4">
        <v>0.7</v>
      </c>
      <c r="I486" s="28">
        <f t="shared" si="15"/>
        <v>1879.316994455223</v>
      </c>
    </row>
    <row r="487" spans="1:9" ht="15.75" customHeight="1" x14ac:dyDescent="0.35">
      <c r="A487" s="26" t="s">
        <v>2813</v>
      </c>
      <c r="B487" s="25" t="s">
        <v>859</v>
      </c>
      <c r="C487" s="6" t="s">
        <v>88</v>
      </c>
      <c r="D487" s="13">
        <v>1557.2699391235001</v>
      </c>
      <c r="E487" s="18">
        <v>21</v>
      </c>
      <c r="F487" s="2">
        <f t="shared" si="14"/>
        <v>1884.2966263394351</v>
      </c>
      <c r="G487" s="3">
        <v>0</v>
      </c>
      <c r="H487" s="4">
        <v>0.7</v>
      </c>
      <c r="I487" s="28">
        <f t="shared" si="15"/>
        <v>3203.3042647770394</v>
      </c>
    </row>
    <row r="488" spans="1:9" ht="15.75" customHeight="1" x14ac:dyDescent="0.35">
      <c r="A488" s="26" t="s">
        <v>2814</v>
      </c>
      <c r="B488" s="25" t="s">
        <v>860</v>
      </c>
      <c r="C488" s="6" t="s">
        <v>89</v>
      </c>
      <c r="D488" s="13">
        <v>3446.5307760000001</v>
      </c>
      <c r="E488" s="18">
        <v>21</v>
      </c>
      <c r="F488" s="2">
        <f t="shared" si="14"/>
        <v>4170.3022389600001</v>
      </c>
      <c r="G488" s="3">
        <v>0</v>
      </c>
      <c r="H488" s="4">
        <v>0.7</v>
      </c>
      <c r="I488" s="28">
        <f t="shared" si="15"/>
        <v>7089.5138062320002</v>
      </c>
    </row>
    <row r="489" spans="1:9" ht="15.75" customHeight="1" x14ac:dyDescent="0.35">
      <c r="A489" s="26" t="s">
        <v>10938</v>
      </c>
      <c r="B489" s="25" t="s">
        <v>861</v>
      </c>
      <c r="C489" s="6" t="s">
        <v>10969</v>
      </c>
      <c r="D489" s="13">
        <v>1078.6370400000001</v>
      </c>
      <c r="E489" s="18">
        <v>21</v>
      </c>
      <c r="F489" s="2">
        <f t="shared" si="14"/>
        <v>1305.1508184000002</v>
      </c>
      <c r="G489" s="3">
        <v>0</v>
      </c>
      <c r="H489" s="4">
        <v>0.7</v>
      </c>
      <c r="I489" s="28">
        <f t="shared" si="15"/>
        <v>2218.7563912800001</v>
      </c>
    </row>
    <row r="490" spans="1:9" ht="15.75" customHeight="1" x14ac:dyDescent="0.35">
      <c r="A490" s="26" t="s">
        <v>2815</v>
      </c>
      <c r="B490" s="25" t="s">
        <v>862</v>
      </c>
      <c r="C490" s="6" t="s">
        <v>90</v>
      </c>
      <c r="D490" s="13">
        <v>71959.127496750007</v>
      </c>
      <c r="E490" s="18">
        <v>21</v>
      </c>
      <c r="F490" s="2">
        <f t="shared" si="14"/>
        <v>87070.544271067512</v>
      </c>
      <c r="G490" s="3">
        <v>0</v>
      </c>
      <c r="H490" s="4">
        <v>0.7</v>
      </c>
      <c r="I490" s="28">
        <f t="shared" si="15"/>
        <v>148019.92526081478</v>
      </c>
    </row>
    <row r="491" spans="1:9" ht="15.75" customHeight="1" x14ac:dyDescent="0.35">
      <c r="A491" s="26" t="s">
        <v>2816</v>
      </c>
      <c r="B491" s="25" t="s">
        <v>12012</v>
      </c>
      <c r="C491" s="6" t="s">
        <v>10970</v>
      </c>
      <c r="D491" s="13">
        <v>1523.374515</v>
      </c>
      <c r="E491" s="18">
        <v>21</v>
      </c>
      <c r="F491" s="2">
        <f t="shared" si="14"/>
        <v>1843.2831631500001</v>
      </c>
      <c r="G491" s="3">
        <v>0</v>
      </c>
      <c r="H491" s="4">
        <v>0.7</v>
      </c>
      <c r="I491" s="28">
        <f t="shared" si="15"/>
        <v>3133.5813773549999</v>
      </c>
    </row>
    <row r="492" spans="1:9" ht="15.75" customHeight="1" x14ac:dyDescent="0.35">
      <c r="A492" s="26" t="s">
        <v>2817</v>
      </c>
      <c r="B492" s="25" t="s">
        <v>9244</v>
      </c>
      <c r="C492" s="6" t="s">
        <v>91</v>
      </c>
      <c r="D492" s="13">
        <v>49021.4368579</v>
      </c>
      <c r="E492" s="18">
        <v>21</v>
      </c>
      <c r="F492" s="2">
        <f t="shared" si="14"/>
        <v>59315.938598059001</v>
      </c>
      <c r="G492" s="3">
        <v>0</v>
      </c>
      <c r="H492" s="4">
        <v>0.7</v>
      </c>
      <c r="I492" s="28">
        <f t="shared" si="15"/>
        <v>100837.0956167003</v>
      </c>
    </row>
    <row r="493" spans="1:9" ht="15.75" customHeight="1" x14ac:dyDescent="0.35">
      <c r="A493" s="26" t="s">
        <v>2818</v>
      </c>
      <c r="B493" s="25" t="s">
        <v>9245</v>
      </c>
      <c r="C493" s="6" t="s">
        <v>92</v>
      </c>
      <c r="D493" s="13">
        <v>2153.5934940000002</v>
      </c>
      <c r="E493" s="18">
        <v>21</v>
      </c>
      <c r="F493" s="2">
        <f t="shared" si="14"/>
        <v>2605.8481277400001</v>
      </c>
      <c r="G493" s="3">
        <v>0</v>
      </c>
      <c r="H493" s="4">
        <v>0.7</v>
      </c>
      <c r="I493" s="28">
        <f t="shared" si="15"/>
        <v>4429.941817158</v>
      </c>
    </row>
    <row r="494" spans="1:9" ht="15.75" customHeight="1" x14ac:dyDescent="0.35">
      <c r="A494" s="26" t="s">
        <v>2819</v>
      </c>
      <c r="B494" s="25" t="s">
        <v>85</v>
      </c>
      <c r="C494" s="6" t="s">
        <v>93</v>
      </c>
      <c r="D494" s="13">
        <v>2698.7208300000002</v>
      </c>
      <c r="E494" s="18">
        <v>21</v>
      </c>
      <c r="F494" s="2">
        <f t="shared" si="14"/>
        <v>3265.4522043000002</v>
      </c>
      <c r="G494" s="3">
        <v>0</v>
      </c>
      <c r="H494" s="4">
        <v>0.7</v>
      </c>
      <c r="I494" s="28">
        <f t="shared" si="15"/>
        <v>5551.2687473100004</v>
      </c>
    </row>
    <row r="495" spans="1:9" ht="15.75" customHeight="1" x14ac:dyDescent="0.35">
      <c r="A495" s="26" t="s">
        <v>2820</v>
      </c>
      <c r="B495" s="25" t="s">
        <v>86</v>
      </c>
      <c r="C495" s="6" t="s">
        <v>94</v>
      </c>
      <c r="D495" s="13">
        <v>53420.653936000002</v>
      </c>
      <c r="E495" s="18">
        <v>21</v>
      </c>
      <c r="F495" s="2">
        <f t="shared" si="14"/>
        <v>64638.991262560005</v>
      </c>
      <c r="G495" s="3">
        <v>0</v>
      </c>
      <c r="H495" s="4">
        <v>0.7</v>
      </c>
      <c r="I495" s="28">
        <f t="shared" si="15"/>
        <v>109886.28514635201</v>
      </c>
    </row>
    <row r="496" spans="1:9" ht="15.75" customHeight="1" x14ac:dyDescent="0.35">
      <c r="A496" s="26" t="s">
        <v>2821</v>
      </c>
      <c r="B496" s="25" t="s">
        <v>87</v>
      </c>
      <c r="C496" s="6" t="s">
        <v>95</v>
      </c>
      <c r="D496" s="13">
        <v>1188.8292779999999</v>
      </c>
      <c r="E496" s="18">
        <v>21</v>
      </c>
      <c r="F496" s="2">
        <f t="shared" si="14"/>
        <v>1438.4834263799999</v>
      </c>
      <c r="G496" s="3">
        <v>0</v>
      </c>
      <c r="H496" s="4">
        <v>0.7</v>
      </c>
      <c r="I496" s="28">
        <f t="shared" si="15"/>
        <v>2445.4218248459997</v>
      </c>
    </row>
    <row r="497" spans="1:9" ht="15.75" customHeight="1" x14ac:dyDescent="0.35">
      <c r="A497" s="26" t="s">
        <v>2822</v>
      </c>
      <c r="B497" s="25" t="s">
        <v>88</v>
      </c>
      <c r="C497" s="6" t="s">
        <v>96</v>
      </c>
      <c r="D497" s="13">
        <v>1749.092085</v>
      </c>
      <c r="E497" s="18">
        <v>21</v>
      </c>
      <c r="F497" s="2">
        <f t="shared" si="14"/>
        <v>2116.40142285</v>
      </c>
      <c r="G497" s="3">
        <v>0</v>
      </c>
      <c r="H497" s="4">
        <v>0.7</v>
      </c>
      <c r="I497" s="28">
        <f t="shared" si="15"/>
        <v>3597.8824188449998</v>
      </c>
    </row>
    <row r="498" spans="1:9" ht="15.75" customHeight="1" x14ac:dyDescent="0.35">
      <c r="A498" s="26" t="s">
        <v>2823</v>
      </c>
      <c r="B498" s="25" t="s">
        <v>89</v>
      </c>
      <c r="C498" s="6" t="s">
        <v>97</v>
      </c>
      <c r="D498" s="13">
        <v>10931.82727</v>
      </c>
      <c r="E498" s="18">
        <v>21</v>
      </c>
      <c r="F498" s="2">
        <f t="shared" si="14"/>
        <v>13227.510996699999</v>
      </c>
      <c r="G498" s="3">
        <v>0</v>
      </c>
      <c r="H498" s="4">
        <v>0.7</v>
      </c>
      <c r="I498" s="28">
        <f t="shared" si="15"/>
        <v>22486.768694389997</v>
      </c>
    </row>
    <row r="499" spans="1:9" ht="15.75" customHeight="1" x14ac:dyDescent="0.35">
      <c r="A499" s="26" t="s">
        <v>2824</v>
      </c>
      <c r="B499" s="25" t="s">
        <v>10969</v>
      </c>
      <c r="C499" s="6" t="s">
        <v>98</v>
      </c>
      <c r="D499" s="13">
        <v>1196.04863066027</v>
      </c>
      <c r="E499" s="18">
        <v>21</v>
      </c>
      <c r="F499" s="2">
        <f t="shared" si="14"/>
        <v>1447.2188430989268</v>
      </c>
      <c r="G499" s="3">
        <v>0</v>
      </c>
      <c r="H499" s="4">
        <v>0.7</v>
      </c>
      <c r="I499" s="28">
        <f t="shared" si="15"/>
        <v>2460.2720332681756</v>
      </c>
    </row>
    <row r="500" spans="1:9" ht="15.75" customHeight="1" x14ac:dyDescent="0.35">
      <c r="A500" s="26" t="s">
        <v>2825</v>
      </c>
      <c r="B500" s="25" t="s">
        <v>90</v>
      </c>
      <c r="C500" s="6" t="s">
        <v>99</v>
      </c>
      <c r="D500" s="13">
        <v>544.32611999999995</v>
      </c>
      <c r="E500" s="18">
        <v>21</v>
      </c>
      <c r="F500" s="2">
        <f t="shared" si="14"/>
        <v>658.6346051999999</v>
      </c>
      <c r="G500" s="3">
        <v>0</v>
      </c>
      <c r="H500" s="4">
        <v>0.7</v>
      </c>
      <c r="I500" s="28">
        <f t="shared" si="15"/>
        <v>1119.6788288399998</v>
      </c>
    </row>
    <row r="501" spans="1:9" ht="15.75" customHeight="1" x14ac:dyDescent="0.35">
      <c r="A501" s="26" t="s">
        <v>2826</v>
      </c>
      <c r="B501" s="25" t="s">
        <v>10970</v>
      </c>
      <c r="C501" s="6" t="s">
        <v>100</v>
      </c>
      <c r="D501" s="13">
        <v>9089.0335302000003</v>
      </c>
      <c r="E501" s="18">
        <v>21</v>
      </c>
      <c r="F501" s="2">
        <f t="shared" si="14"/>
        <v>10997.730571542001</v>
      </c>
      <c r="G501" s="3">
        <v>0</v>
      </c>
      <c r="H501" s="4">
        <v>0.7</v>
      </c>
      <c r="I501" s="28">
        <f t="shared" si="15"/>
        <v>18696.1419716214</v>
      </c>
    </row>
    <row r="502" spans="1:9" ht="15.75" customHeight="1" x14ac:dyDescent="0.35">
      <c r="A502" s="26" t="s">
        <v>2827</v>
      </c>
      <c r="B502" s="25" t="s">
        <v>91</v>
      </c>
      <c r="C502" s="6" t="s">
        <v>101</v>
      </c>
      <c r="D502" s="13">
        <v>569.83984199999998</v>
      </c>
      <c r="E502" s="18">
        <v>21</v>
      </c>
      <c r="F502" s="2">
        <f t="shared" si="14"/>
        <v>689.50620881999998</v>
      </c>
      <c r="G502" s="3">
        <v>0</v>
      </c>
      <c r="H502" s="4">
        <v>0.7</v>
      </c>
      <c r="I502" s="28">
        <f t="shared" si="15"/>
        <v>1172.160554994</v>
      </c>
    </row>
    <row r="503" spans="1:9" ht="15.75" customHeight="1" x14ac:dyDescent="0.35">
      <c r="A503" s="26" t="s">
        <v>2828</v>
      </c>
      <c r="B503" s="25" t="s">
        <v>92</v>
      </c>
      <c r="C503" s="6" t="s">
        <v>102</v>
      </c>
      <c r="D503" s="13">
        <v>1070.7125129999999</v>
      </c>
      <c r="E503" s="18">
        <v>21</v>
      </c>
      <c r="F503" s="2">
        <f t="shared" si="14"/>
        <v>1295.56214073</v>
      </c>
      <c r="G503" s="3">
        <v>0</v>
      </c>
      <c r="H503" s="4">
        <v>0.7</v>
      </c>
      <c r="I503" s="28">
        <f t="shared" si="15"/>
        <v>2202.455639241</v>
      </c>
    </row>
    <row r="504" spans="1:9" ht="15.75" customHeight="1" x14ac:dyDescent="0.35">
      <c r="A504" s="26" t="s">
        <v>3398</v>
      </c>
      <c r="B504" s="25" t="s">
        <v>93</v>
      </c>
      <c r="C504" s="6" t="s">
        <v>10636</v>
      </c>
      <c r="D504" s="13">
        <v>25217.209999670002</v>
      </c>
      <c r="E504" s="18">
        <v>21</v>
      </c>
      <c r="F504" s="2">
        <f t="shared" si="14"/>
        <v>30512.824099600701</v>
      </c>
      <c r="G504" s="3">
        <v>0</v>
      </c>
      <c r="H504" s="4">
        <v>0.7</v>
      </c>
      <c r="I504" s="28">
        <f t="shared" si="15"/>
        <v>51871.800969321193</v>
      </c>
    </row>
    <row r="505" spans="1:9" ht="15.75" customHeight="1" x14ac:dyDescent="0.35">
      <c r="A505" s="26" t="s">
        <v>2296</v>
      </c>
      <c r="B505" s="25" t="s">
        <v>94</v>
      </c>
      <c r="C505" s="6" t="s">
        <v>11645</v>
      </c>
      <c r="D505" s="13">
        <v>1501.765156125</v>
      </c>
      <c r="E505" s="18">
        <v>21</v>
      </c>
      <c r="F505" s="2">
        <f t="shared" si="14"/>
        <v>1817.1358389112499</v>
      </c>
      <c r="G505" s="3">
        <v>0</v>
      </c>
      <c r="H505" s="4">
        <v>0.7</v>
      </c>
      <c r="I505" s="28">
        <f t="shared" si="15"/>
        <v>3089.1309261491247</v>
      </c>
    </row>
    <row r="506" spans="1:9" ht="15.75" customHeight="1" x14ac:dyDescent="0.35">
      <c r="A506" s="26" t="s">
        <v>10789</v>
      </c>
      <c r="B506" s="25" t="s">
        <v>95</v>
      </c>
      <c r="C506" s="6" t="s">
        <v>10790</v>
      </c>
      <c r="D506" s="13">
        <v>995.26049999999998</v>
      </c>
      <c r="E506" s="18">
        <v>21</v>
      </c>
      <c r="F506" s="2">
        <f t="shared" si="14"/>
        <v>1204.2652049999999</v>
      </c>
      <c r="G506" s="3">
        <v>0</v>
      </c>
      <c r="H506" s="4">
        <v>0.7</v>
      </c>
      <c r="I506" s="28">
        <f t="shared" si="15"/>
        <v>2047.2508484999998</v>
      </c>
    </row>
    <row r="507" spans="1:9" ht="15.75" customHeight="1" x14ac:dyDescent="0.35">
      <c r="A507" s="26" t="s">
        <v>3310</v>
      </c>
      <c r="B507" s="25" t="s">
        <v>96</v>
      </c>
      <c r="C507" s="6" t="s">
        <v>103</v>
      </c>
      <c r="D507" s="13">
        <v>1448.348148</v>
      </c>
      <c r="E507" s="18">
        <v>21</v>
      </c>
      <c r="F507" s="2">
        <f t="shared" si="14"/>
        <v>1752.5012590800002</v>
      </c>
      <c r="G507" s="3">
        <v>0</v>
      </c>
      <c r="H507" s="4">
        <v>0.7</v>
      </c>
      <c r="I507" s="28">
        <f t="shared" si="15"/>
        <v>2979.2521404360004</v>
      </c>
    </row>
    <row r="508" spans="1:9" ht="15.75" customHeight="1" x14ac:dyDescent="0.35">
      <c r="A508" s="26" t="s">
        <v>3312</v>
      </c>
      <c r="B508" s="25" t="s">
        <v>97</v>
      </c>
      <c r="C508" s="6" t="s">
        <v>13880</v>
      </c>
      <c r="D508" s="13">
        <v>6015.3169049999997</v>
      </c>
      <c r="E508" s="18">
        <v>21</v>
      </c>
      <c r="F508" s="2">
        <f t="shared" si="14"/>
        <v>7278.5334550499992</v>
      </c>
      <c r="G508" s="3">
        <v>0</v>
      </c>
      <c r="H508" s="4">
        <v>0.7</v>
      </c>
      <c r="I508" s="28">
        <f t="shared" si="15"/>
        <v>12373.506873584998</v>
      </c>
    </row>
    <row r="509" spans="1:9" ht="15.75" customHeight="1" x14ac:dyDescent="0.35">
      <c r="A509" s="26" t="s">
        <v>3311</v>
      </c>
      <c r="B509" s="25" t="s">
        <v>98</v>
      </c>
      <c r="C509" s="6" t="s">
        <v>104</v>
      </c>
      <c r="D509" s="13">
        <v>934.41816000000006</v>
      </c>
      <c r="E509" s="18">
        <v>21</v>
      </c>
      <c r="F509" s="2">
        <f t="shared" si="14"/>
        <v>1130.6459736000002</v>
      </c>
      <c r="G509" s="3">
        <v>0</v>
      </c>
      <c r="H509" s="4">
        <v>0.7</v>
      </c>
      <c r="I509" s="28">
        <f t="shared" si="15"/>
        <v>1922.0981551200002</v>
      </c>
    </row>
    <row r="510" spans="1:9" ht="15.75" customHeight="1" x14ac:dyDescent="0.35">
      <c r="A510" s="26" t="s">
        <v>12236</v>
      </c>
      <c r="B510" s="25" t="s">
        <v>99</v>
      </c>
      <c r="C510" s="6" t="s">
        <v>12237</v>
      </c>
      <c r="D510" s="13">
        <v>18649.429110000001</v>
      </c>
      <c r="E510" s="18">
        <v>21</v>
      </c>
      <c r="F510" s="2">
        <f t="shared" si="14"/>
        <v>22565.809223100001</v>
      </c>
      <c r="G510" s="3">
        <v>0</v>
      </c>
      <c r="H510" s="4">
        <v>0.7</v>
      </c>
      <c r="I510" s="28">
        <f t="shared" si="15"/>
        <v>38361.875679270001</v>
      </c>
    </row>
    <row r="511" spans="1:9" ht="15.75" customHeight="1" x14ac:dyDescent="0.35">
      <c r="A511" s="26" t="s">
        <v>12238</v>
      </c>
      <c r="B511" s="25" t="s">
        <v>100</v>
      </c>
      <c r="C511" s="6" t="s">
        <v>12239</v>
      </c>
      <c r="D511" s="13">
        <v>18649.429110000001</v>
      </c>
      <c r="E511" s="18">
        <v>21</v>
      </c>
      <c r="F511" s="2">
        <f t="shared" si="14"/>
        <v>22565.809223100001</v>
      </c>
      <c r="G511" s="3">
        <v>0</v>
      </c>
      <c r="H511" s="4">
        <v>0.7</v>
      </c>
      <c r="I511" s="28">
        <f t="shared" si="15"/>
        <v>38361.875679270001</v>
      </c>
    </row>
    <row r="512" spans="1:9" ht="15.75" customHeight="1" x14ac:dyDescent="0.35">
      <c r="A512" s="26" t="s">
        <v>13854</v>
      </c>
      <c r="B512" s="25" t="s">
        <v>101</v>
      </c>
      <c r="C512" s="6" t="s">
        <v>13855</v>
      </c>
      <c r="D512" s="13">
        <v>8908.3326149999994</v>
      </c>
      <c r="E512" s="18">
        <v>21</v>
      </c>
      <c r="F512" s="2">
        <f t="shared" si="14"/>
        <v>10779.082464149998</v>
      </c>
      <c r="G512" s="3">
        <v>0</v>
      </c>
      <c r="H512" s="4">
        <v>0.7</v>
      </c>
      <c r="I512" s="28">
        <f t="shared" si="15"/>
        <v>18324.440189054996</v>
      </c>
    </row>
    <row r="513" spans="1:9" ht="15.75" customHeight="1" x14ac:dyDescent="0.35">
      <c r="A513" s="26" t="s">
        <v>3870</v>
      </c>
      <c r="B513" s="25" t="s">
        <v>102</v>
      </c>
      <c r="C513" s="6" t="s">
        <v>105</v>
      </c>
      <c r="D513" s="13">
        <v>2339.04446555</v>
      </c>
      <c r="E513" s="18">
        <v>21</v>
      </c>
      <c r="F513" s="2">
        <f t="shared" si="14"/>
        <v>2830.2438033154999</v>
      </c>
      <c r="G513" s="3">
        <v>0</v>
      </c>
      <c r="H513" s="4">
        <v>0.7</v>
      </c>
      <c r="I513" s="28">
        <f t="shared" si="15"/>
        <v>4811.4144656363496</v>
      </c>
    </row>
    <row r="514" spans="1:9" ht="15.75" customHeight="1" x14ac:dyDescent="0.35">
      <c r="A514" s="26" t="s">
        <v>3871</v>
      </c>
      <c r="B514" s="25" t="s">
        <v>10636</v>
      </c>
      <c r="C514" s="6" t="s">
        <v>106</v>
      </c>
      <c r="D514" s="13">
        <v>2339.04446555</v>
      </c>
      <c r="E514" s="18">
        <v>21</v>
      </c>
      <c r="F514" s="2">
        <f t="shared" si="14"/>
        <v>2830.2438033154999</v>
      </c>
      <c r="G514" s="3">
        <v>0</v>
      </c>
      <c r="H514" s="4">
        <v>0.7</v>
      </c>
      <c r="I514" s="28">
        <f t="shared" si="15"/>
        <v>4811.4144656363496</v>
      </c>
    </row>
    <row r="515" spans="1:9" ht="15.75" customHeight="1" x14ac:dyDescent="0.35">
      <c r="A515" s="26" t="s">
        <v>3872</v>
      </c>
      <c r="B515" s="25" t="s">
        <v>11645</v>
      </c>
      <c r="C515" s="6" t="s">
        <v>107</v>
      </c>
      <c r="D515" s="13">
        <v>8000.2697319999997</v>
      </c>
      <c r="E515" s="18">
        <v>21</v>
      </c>
      <c r="F515" s="2">
        <f t="shared" si="14"/>
        <v>9680.3263757200002</v>
      </c>
      <c r="G515" s="3">
        <v>0</v>
      </c>
      <c r="H515" s="4">
        <v>0.7</v>
      </c>
      <c r="I515" s="28">
        <f t="shared" si="15"/>
        <v>16456.554838724001</v>
      </c>
    </row>
    <row r="516" spans="1:9" ht="15.75" customHeight="1" x14ac:dyDescent="0.35">
      <c r="A516" s="26" t="s">
        <v>3874</v>
      </c>
      <c r="B516" s="25" t="s">
        <v>10790</v>
      </c>
      <c r="C516" s="6" t="s">
        <v>108</v>
      </c>
      <c r="D516" s="13">
        <v>4299.8925840000002</v>
      </c>
      <c r="E516" s="18">
        <v>21</v>
      </c>
      <c r="F516" s="2">
        <f t="shared" si="14"/>
        <v>5202.8700266400001</v>
      </c>
      <c r="G516" s="3">
        <v>0</v>
      </c>
      <c r="H516" s="4">
        <v>0.7</v>
      </c>
      <c r="I516" s="28">
        <f t="shared" si="15"/>
        <v>8844.8790452880003</v>
      </c>
    </row>
    <row r="517" spans="1:9" ht="15.75" customHeight="1" x14ac:dyDescent="0.35">
      <c r="A517" s="26" t="s">
        <v>3878</v>
      </c>
      <c r="B517" s="25" t="s">
        <v>103</v>
      </c>
      <c r="C517" s="6" t="s">
        <v>1168</v>
      </c>
      <c r="D517" s="13">
        <v>10215.6938715</v>
      </c>
      <c r="E517" s="18">
        <v>21</v>
      </c>
      <c r="F517" s="2">
        <f t="shared" si="14"/>
        <v>12360.989584514999</v>
      </c>
      <c r="G517" s="3">
        <v>0</v>
      </c>
      <c r="H517" s="4">
        <v>0.7</v>
      </c>
      <c r="I517" s="28">
        <f t="shared" si="15"/>
        <v>21013.682293675498</v>
      </c>
    </row>
    <row r="518" spans="1:9" ht="15.75" customHeight="1" x14ac:dyDescent="0.35">
      <c r="A518" s="26" t="s">
        <v>3879</v>
      </c>
      <c r="B518" s="25" t="s">
        <v>9530</v>
      </c>
      <c r="C518" s="6" t="s">
        <v>109</v>
      </c>
      <c r="D518" s="13">
        <v>6344.0964469999999</v>
      </c>
      <c r="E518" s="18">
        <v>21</v>
      </c>
      <c r="F518" s="2">
        <f t="shared" ref="F518:F581" si="16">D518*E518/100+D518</f>
        <v>7676.3567008700002</v>
      </c>
      <c r="G518" s="3">
        <v>0</v>
      </c>
      <c r="H518" s="4">
        <v>0.7</v>
      </c>
      <c r="I518" s="28">
        <f t="shared" ref="I518:I581" si="17">IF(G518=-1,0,F518*((100-G518)/100)*(1+H518))</f>
        <v>13049.806391479</v>
      </c>
    </row>
    <row r="519" spans="1:9" ht="15.75" customHeight="1" x14ac:dyDescent="0.35">
      <c r="A519" s="26" t="s">
        <v>3880</v>
      </c>
      <c r="B519" s="25" t="s">
        <v>104</v>
      </c>
      <c r="C519" s="6" t="s">
        <v>1169</v>
      </c>
      <c r="D519" s="13">
        <v>6344.0964469999999</v>
      </c>
      <c r="E519" s="18">
        <v>21</v>
      </c>
      <c r="F519" s="2">
        <f t="shared" si="16"/>
        <v>7676.3567008700002</v>
      </c>
      <c r="G519" s="3">
        <v>0</v>
      </c>
      <c r="H519" s="4">
        <v>0.7</v>
      </c>
      <c r="I519" s="28">
        <f t="shared" si="17"/>
        <v>13049.806391479</v>
      </c>
    </row>
    <row r="520" spans="1:9" ht="15.75" customHeight="1" x14ac:dyDescent="0.35">
      <c r="A520" s="26" t="s">
        <v>3888</v>
      </c>
      <c r="B520" s="25" t="s">
        <v>12237</v>
      </c>
      <c r="C520" s="6" t="s">
        <v>11707</v>
      </c>
      <c r="D520" s="13">
        <v>11537.510399999999</v>
      </c>
      <c r="E520" s="18">
        <v>21</v>
      </c>
      <c r="F520" s="2">
        <f t="shared" si="16"/>
        <v>13960.387584</v>
      </c>
      <c r="G520" s="3">
        <v>0</v>
      </c>
      <c r="H520" s="4">
        <v>0.7</v>
      </c>
      <c r="I520" s="28">
        <f t="shared" si="17"/>
        <v>23732.658892799998</v>
      </c>
    </row>
    <row r="521" spans="1:9" ht="15.75" customHeight="1" x14ac:dyDescent="0.35">
      <c r="A521" s="26" t="s">
        <v>9548</v>
      </c>
      <c r="B521" s="25" t="s">
        <v>12239</v>
      </c>
      <c r="C521" s="6" t="s">
        <v>9549</v>
      </c>
      <c r="D521" s="13">
        <v>25017.9696</v>
      </c>
      <c r="E521" s="18">
        <v>21</v>
      </c>
      <c r="F521" s="2">
        <f t="shared" si="16"/>
        <v>30271.743216000003</v>
      </c>
      <c r="G521" s="3">
        <v>0</v>
      </c>
      <c r="H521" s="4">
        <v>0.7</v>
      </c>
      <c r="I521" s="28">
        <f t="shared" si="17"/>
        <v>51461.963467200003</v>
      </c>
    </row>
    <row r="522" spans="1:9" ht="15.75" customHeight="1" x14ac:dyDescent="0.35">
      <c r="A522" s="26" t="s">
        <v>9506</v>
      </c>
      <c r="B522" s="25" t="s">
        <v>105</v>
      </c>
      <c r="C522" s="6" t="s">
        <v>9550</v>
      </c>
      <c r="D522" s="13">
        <v>25017.9696</v>
      </c>
      <c r="E522" s="18">
        <v>21</v>
      </c>
      <c r="F522" s="2">
        <f t="shared" si="16"/>
        <v>30271.743216000003</v>
      </c>
      <c r="G522" s="3">
        <v>0</v>
      </c>
      <c r="H522" s="4">
        <v>0.7</v>
      </c>
      <c r="I522" s="28">
        <f t="shared" si="17"/>
        <v>51461.963467200003</v>
      </c>
    </row>
    <row r="523" spans="1:9" ht="15.75" customHeight="1" x14ac:dyDescent="0.35">
      <c r="A523" s="26" t="s">
        <v>3881</v>
      </c>
      <c r="B523" s="25" t="s">
        <v>106</v>
      </c>
      <c r="C523" s="6" t="s">
        <v>110</v>
      </c>
      <c r="D523" s="13">
        <v>13372.1886285</v>
      </c>
      <c r="E523" s="18">
        <v>21</v>
      </c>
      <c r="F523" s="2">
        <f t="shared" si="16"/>
        <v>16180.348240485</v>
      </c>
      <c r="G523" s="3">
        <v>0</v>
      </c>
      <c r="H523" s="4">
        <v>0.7</v>
      </c>
      <c r="I523" s="28">
        <f t="shared" si="17"/>
        <v>27506.5920088245</v>
      </c>
    </row>
    <row r="524" spans="1:9" ht="15.75" customHeight="1" x14ac:dyDescent="0.35">
      <c r="A524" s="26" t="s">
        <v>3882</v>
      </c>
      <c r="B524" s="25" t="s">
        <v>107</v>
      </c>
      <c r="C524" s="6" t="s">
        <v>111</v>
      </c>
      <c r="D524" s="13">
        <v>6744.2447215000002</v>
      </c>
      <c r="E524" s="18">
        <v>21</v>
      </c>
      <c r="F524" s="2">
        <f t="shared" si="16"/>
        <v>8160.5361130150004</v>
      </c>
      <c r="G524" s="3">
        <v>0</v>
      </c>
      <c r="H524" s="4">
        <v>0.7</v>
      </c>
      <c r="I524" s="28">
        <f t="shared" si="17"/>
        <v>13872.911392125501</v>
      </c>
    </row>
    <row r="525" spans="1:9" ht="15.75" customHeight="1" x14ac:dyDescent="0.35">
      <c r="A525" s="26" t="s">
        <v>3883</v>
      </c>
      <c r="B525" s="25" t="s">
        <v>108</v>
      </c>
      <c r="C525" s="6" t="s">
        <v>112</v>
      </c>
      <c r="D525" s="13">
        <v>6744.2447215000002</v>
      </c>
      <c r="E525" s="18">
        <v>21</v>
      </c>
      <c r="F525" s="2">
        <f t="shared" si="16"/>
        <v>8160.5361130150004</v>
      </c>
      <c r="G525" s="3">
        <v>0</v>
      </c>
      <c r="H525" s="4">
        <v>0.7</v>
      </c>
      <c r="I525" s="28">
        <f t="shared" si="17"/>
        <v>13872.911392125501</v>
      </c>
    </row>
    <row r="526" spans="1:9" ht="15.75" customHeight="1" x14ac:dyDescent="0.35">
      <c r="A526" s="26" t="s">
        <v>9679</v>
      </c>
      <c r="B526" s="25" t="s">
        <v>1168</v>
      </c>
      <c r="C526" s="6" t="s">
        <v>9680</v>
      </c>
      <c r="D526" s="13">
        <v>8398.1680639999995</v>
      </c>
      <c r="E526" s="18">
        <v>21</v>
      </c>
      <c r="F526" s="2">
        <f t="shared" si="16"/>
        <v>10161.783357439999</v>
      </c>
      <c r="G526" s="3">
        <v>0</v>
      </c>
      <c r="H526" s="4">
        <v>0.7</v>
      </c>
      <c r="I526" s="28">
        <f t="shared" si="17"/>
        <v>17275.031707647999</v>
      </c>
    </row>
    <row r="527" spans="1:9" ht="15.75" customHeight="1" x14ac:dyDescent="0.35">
      <c r="A527" s="26" t="s">
        <v>3890</v>
      </c>
      <c r="B527" s="25" t="s">
        <v>109</v>
      </c>
      <c r="C527" s="6" t="s">
        <v>10227</v>
      </c>
      <c r="D527" s="13">
        <v>10751.873600000001</v>
      </c>
      <c r="E527" s="18">
        <v>21</v>
      </c>
      <c r="F527" s="2">
        <f t="shared" si="16"/>
        <v>13009.767056000001</v>
      </c>
      <c r="G527" s="3">
        <v>0</v>
      </c>
      <c r="H527" s="4">
        <v>0.7</v>
      </c>
      <c r="I527" s="28">
        <f t="shared" si="17"/>
        <v>22116.603995199999</v>
      </c>
    </row>
    <row r="528" spans="1:9" ht="15.75" customHeight="1" x14ac:dyDescent="0.35">
      <c r="A528" s="26" t="s">
        <v>3891</v>
      </c>
      <c r="B528" s="25" t="s">
        <v>1169</v>
      </c>
      <c r="C528" s="6" t="s">
        <v>10228</v>
      </c>
      <c r="D528" s="13">
        <v>7069.6184000000003</v>
      </c>
      <c r="E528" s="18">
        <v>21</v>
      </c>
      <c r="F528" s="2">
        <f t="shared" si="16"/>
        <v>8554.2382639999996</v>
      </c>
      <c r="G528" s="3">
        <v>0</v>
      </c>
      <c r="H528" s="4">
        <v>0.7</v>
      </c>
      <c r="I528" s="28">
        <f t="shared" si="17"/>
        <v>14542.205048799999</v>
      </c>
    </row>
    <row r="529" spans="1:9" ht="15.75" customHeight="1" x14ac:dyDescent="0.35">
      <c r="A529" s="26" t="s">
        <v>3892</v>
      </c>
      <c r="B529" s="25" t="s">
        <v>11707</v>
      </c>
      <c r="C529" s="6" t="s">
        <v>10229</v>
      </c>
      <c r="D529" s="13">
        <v>7069.6184000000003</v>
      </c>
      <c r="E529" s="18">
        <v>21</v>
      </c>
      <c r="F529" s="2">
        <f t="shared" si="16"/>
        <v>8554.2382639999996</v>
      </c>
      <c r="G529" s="3">
        <v>0</v>
      </c>
      <c r="H529" s="4">
        <v>0.7</v>
      </c>
      <c r="I529" s="28">
        <f t="shared" si="17"/>
        <v>14542.205048799999</v>
      </c>
    </row>
    <row r="530" spans="1:9" ht="15.75" customHeight="1" x14ac:dyDescent="0.35">
      <c r="A530" s="26" t="s">
        <v>3896</v>
      </c>
      <c r="B530" s="25" t="s">
        <v>9549</v>
      </c>
      <c r="C530" s="6" t="s">
        <v>113</v>
      </c>
      <c r="D530" s="13">
        <v>16821.648850500002</v>
      </c>
      <c r="E530" s="18">
        <v>21</v>
      </c>
      <c r="F530" s="2">
        <f t="shared" si="16"/>
        <v>20354.195109105003</v>
      </c>
      <c r="G530" s="3">
        <v>0</v>
      </c>
      <c r="H530" s="4">
        <v>0.7</v>
      </c>
      <c r="I530" s="28">
        <f t="shared" si="17"/>
        <v>34602.131685478504</v>
      </c>
    </row>
    <row r="531" spans="1:9" ht="15.75" customHeight="1" x14ac:dyDescent="0.35">
      <c r="A531" s="26" t="s">
        <v>3897</v>
      </c>
      <c r="B531" s="25" t="s">
        <v>9550</v>
      </c>
      <c r="C531" s="6" t="s">
        <v>114</v>
      </c>
      <c r="D531" s="13">
        <v>10716.0741285</v>
      </c>
      <c r="E531" s="18">
        <v>21</v>
      </c>
      <c r="F531" s="2">
        <f t="shared" si="16"/>
        <v>12966.449695485</v>
      </c>
      <c r="G531" s="3">
        <v>0</v>
      </c>
      <c r="H531" s="4">
        <v>0.7</v>
      </c>
      <c r="I531" s="28">
        <f t="shared" si="17"/>
        <v>22042.9644823245</v>
      </c>
    </row>
    <row r="532" spans="1:9" ht="15.75" customHeight="1" x14ac:dyDescent="0.35">
      <c r="A532" s="26" t="s">
        <v>3898</v>
      </c>
      <c r="B532" s="25" t="s">
        <v>110</v>
      </c>
      <c r="C532" s="6" t="s">
        <v>115</v>
      </c>
      <c r="D532" s="13">
        <v>10716.0741285</v>
      </c>
      <c r="E532" s="18">
        <v>21</v>
      </c>
      <c r="F532" s="2">
        <f t="shared" si="16"/>
        <v>12966.449695485</v>
      </c>
      <c r="G532" s="3">
        <v>0</v>
      </c>
      <c r="H532" s="4">
        <v>0.7</v>
      </c>
      <c r="I532" s="28">
        <f t="shared" si="17"/>
        <v>22042.9644823245</v>
      </c>
    </row>
    <row r="533" spans="1:9" ht="15.75" customHeight="1" x14ac:dyDescent="0.35">
      <c r="A533" s="26" t="s">
        <v>2243</v>
      </c>
      <c r="B533" s="25" t="s">
        <v>111</v>
      </c>
      <c r="C533" s="6" t="s">
        <v>9926</v>
      </c>
      <c r="D533" s="13">
        <v>854.71388751455402</v>
      </c>
      <c r="E533" s="18">
        <v>21</v>
      </c>
      <c r="F533" s="2">
        <f t="shared" si="16"/>
        <v>1034.2038038926103</v>
      </c>
      <c r="G533" s="3">
        <v>0</v>
      </c>
      <c r="H533" s="4">
        <v>0.7</v>
      </c>
      <c r="I533" s="28">
        <f t="shared" si="17"/>
        <v>1758.1464666174375</v>
      </c>
    </row>
    <row r="534" spans="1:9" ht="15.75" customHeight="1" x14ac:dyDescent="0.35">
      <c r="A534" s="26" t="s">
        <v>5662</v>
      </c>
      <c r="B534" s="25" t="s">
        <v>112</v>
      </c>
      <c r="C534" s="6" t="s">
        <v>116</v>
      </c>
      <c r="D534" s="13">
        <v>113.163743114471</v>
      </c>
      <c r="E534" s="18">
        <v>21</v>
      </c>
      <c r="F534" s="2">
        <f t="shared" si="16"/>
        <v>136.92812916850991</v>
      </c>
      <c r="G534" s="3">
        <v>0</v>
      </c>
      <c r="H534" s="4">
        <v>0.7</v>
      </c>
      <c r="I534" s="28">
        <f t="shared" si="17"/>
        <v>232.77781958646685</v>
      </c>
    </row>
    <row r="535" spans="1:9" ht="15.75" customHeight="1" x14ac:dyDescent="0.35">
      <c r="A535" s="26" t="s">
        <v>5663</v>
      </c>
      <c r="B535" s="25" t="s">
        <v>9680</v>
      </c>
      <c r="C535" s="6" t="s">
        <v>9221</v>
      </c>
      <c r="D535" s="13">
        <v>40.982199007034197</v>
      </c>
      <c r="E535" s="18">
        <v>21</v>
      </c>
      <c r="F535" s="2">
        <f t="shared" si="16"/>
        <v>49.588460798511377</v>
      </c>
      <c r="G535" s="3">
        <v>0</v>
      </c>
      <c r="H535" s="4">
        <v>0.7</v>
      </c>
      <c r="I535" s="28">
        <f t="shared" si="17"/>
        <v>84.300383357469343</v>
      </c>
    </row>
    <row r="536" spans="1:9" ht="15.75" customHeight="1" x14ac:dyDescent="0.35">
      <c r="A536" s="26" t="s">
        <v>5664</v>
      </c>
      <c r="B536" s="25" t="s">
        <v>10227</v>
      </c>
      <c r="C536" s="6" t="s">
        <v>9222</v>
      </c>
      <c r="D536" s="13">
        <v>13.2410013718606</v>
      </c>
      <c r="E536" s="18">
        <v>21</v>
      </c>
      <c r="F536" s="2">
        <f t="shared" si="16"/>
        <v>16.021611659951326</v>
      </c>
      <c r="G536" s="3">
        <v>0</v>
      </c>
      <c r="H536" s="4">
        <v>0.7</v>
      </c>
      <c r="I536" s="28">
        <f t="shared" si="17"/>
        <v>27.236739821917254</v>
      </c>
    </row>
    <row r="537" spans="1:9" ht="15.75" customHeight="1" x14ac:dyDescent="0.35">
      <c r="A537" s="26" t="s">
        <v>5665</v>
      </c>
      <c r="B537" s="25" t="s">
        <v>10228</v>
      </c>
      <c r="C537" s="6" t="s">
        <v>9223</v>
      </c>
      <c r="D537" s="13">
        <v>16.920996526908901</v>
      </c>
      <c r="E537" s="18">
        <v>21</v>
      </c>
      <c r="F537" s="2">
        <f t="shared" si="16"/>
        <v>20.474405797559768</v>
      </c>
      <c r="G537" s="3">
        <v>0</v>
      </c>
      <c r="H537" s="4">
        <v>0.7</v>
      </c>
      <c r="I537" s="28">
        <f t="shared" si="17"/>
        <v>34.806489855851602</v>
      </c>
    </row>
    <row r="538" spans="1:9" ht="15.75" customHeight="1" x14ac:dyDescent="0.35">
      <c r="A538" s="26" t="s">
        <v>5666</v>
      </c>
      <c r="B538" s="25" t="s">
        <v>10229</v>
      </c>
      <c r="C538" s="6" t="s">
        <v>9224</v>
      </c>
      <c r="D538" s="13">
        <v>75.134030540084794</v>
      </c>
      <c r="E538" s="18">
        <v>21</v>
      </c>
      <c r="F538" s="2">
        <f t="shared" si="16"/>
        <v>90.912176953502609</v>
      </c>
      <c r="G538" s="3">
        <v>0</v>
      </c>
      <c r="H538" s="4">
        <v>0.7</v>
      </c>
      <c r="I538" s="28">
        <f t="shared" si="17"/>
        <v>154.55070082095443</v>
      </c>
    </row>
    <row r="539" spans="1:9" ht="15.75" customHeight="1" x14ac:dyDescent="0.35">
      <c r="A539" s="26" t="s">
        <v>9986</v>
      </c>
      <c r="B539" s="25" t="s">
        <v>113</v>
      </c>
      <c r="C539" s="6" t="s">
        <v>11069</v>
      </c>
      <c r="D539" s="13">
        <v>328.74693696000003</v>
      </c>
      <c r="E539" s="18">
        <v>21</v>
      </c>
      <c r="F539" s="2">
        <f t="shared" si="16"/>
        <v>397.78379372160003</v>
      </c>
      <c r="G539" s="3">
        <v>0</v>
      </c>
      <c r="H539" s="4">
        <v>0.7</v>
      </c>
      <c r="I539" s="28">
        <f t="shared" si="17"/>
        <v>676.23244932672003</v>
      </c>
    </row>
    <row r="540" spans="1:9" ht="15.75" customHeight="1" x14ac:dyDescent="0.35">
      <c r="A540" s="26" t="s">
        <v>13719</v>
      </c>
      <c r="B540" s="25" t="s">
        <v>114</v>
      </c>
      <c r="C540" s="6" t="s">
        <v>11070</v>
      </c>
      <c r="D540" s="13">
        <v>447.09583426559999</v>
      </c>
      <c r="E540" s="18">
        <v>21</v>
      </c>
      <c r="F540" s="2">
        <f t="shared" si="16"/>
        <v>540.98595946137596</v>
      </c>
      <c r="G540" s="3">
        <v>0</v>
      </c>
      <c r="H540" s="4">
        <v>0.7</v>
      </c>
      <c r="I540" s="28">
        <f t="shared" si="17"/>
        <v>919.67613108433909</v>
      </c>
    </row>
    <row r="541" spans="1:9" ht="15.75" customHeight="1" x14ac:dyDescent="0.35">
      <c r="A541" s="26" t="s">
        <v>10580</v>
      </c>
      <c r="B541" s="25" t="s">
        <v>115</v>
      </c>
      <c r="C541" s="6" t="s">
        <v>13757</v>
      </c>
      <c r="D541" s="13">
        <v>555.71840999999995</v>
      </c>
      <c r="E541" s="18">
        <v>21</v>
      </c>
      <c r="F541" s="2">
        <f t="shared" si="16"/>
        <v>672.41927609999993</v>
      </c>
      <c r="G541" s="3">
        <v>0</v>
      </c>
      <c r="H541" s="4">
        <v>0.7</v>
      </c>
      <c r="I541" s="28">
        <f t="shared" si="17"/>
        <v>1143.1127693699998</v>
      </c>
    </row>
    <row r="542" spans="1:9" ht="15.75" customHeight="1" x14ac:dyDescent="0.35">
      <c r="A542" s="26" t="s">
        <v>8898</v>
      </c>
      <c r="B542" s="25" t="s">
        <v>9926</v>
      </c>
      <c r="C542" s="6" t="s">
        <v>12858</v>
      </c>
      <c r="D542" s="13">
        <v>536.95333036800002</v>
      </c>
      <c r="E542" s="18">
        <v>21</v>
      </c>
      <c r="F542" s="2">
        <f t="shared" si="16"/>
        <v>649.71352974528008</v>
      </c>
      <c r="G542" s="3">
        <v>0</v>
      </c>
      <c r="H542" s="4">
        <v>0.7</v>
      </c>
      <c r="I542" s="28">
        <f t="shared" si="17"/>
        <v>1104.5130005669762</v>
      </c>
    </row>
    <row r="543" spans="1:9" ht="15.75" customHeight="1" x14ac:dyDescent="0.35">
      <c r="A543" s="26" t="s">
        <v>10230</v>
      </c>
      <c r="B543" s="25" t="s">
        <v>116</v>
      </c>
      <c r="C543" s="6" t="s">
        <v>12859</v>
      </c>
      <c r="D543" s="13">
        <v>385.7297393664</v>
      </c>
      <c r="E543" s="18">
        <v>21</v>
      </c>
      <c r="F543" s="2">
        <f t="shared" si="16"/>
        <v>466.73298463334402</v>
      </c>
      <c r="G543" s="3">
        <v>0</v>
      </c>
      <c r="H543" s="4">
        <v>0.7</v>
      </c>
      <c r="I543" s="28">
        <f t="shared" si="17"/>
        <v>793.44607387668486</v>
      </c>
    </row>
    <row r="544" spans="1:9" ht="15.75" customHeight="1" x14ac:dyDescent="0.35">
      <c r="A544" s="26" t="s">
        <v>9582</v>
      </c>
      <c r="B544" s="25" t="s">
        <v>9221</v>
      </c>
      <c r="C544" s="6" t="s">
        <v>13806</v>
      </c>
      <c r="D544" s="13">
        <v>629.01865727999996</v>
      </c>
      <c r="E544" s="18">
        <v>21</v>
      </c>
      <c r="F544" s="2">
        <f t="shared" si="16"/>
        <v>761.11257530879993</v>
      </c>
      <c r="G544" s="3">
        <v>0</v>
      </c>
      <c r="H544" s="4">
        <v>0.7</v>
      </c>
      <c r="I544" s="28">
        <f t="shared" si="17"/>
        <v>1293.8913780249597</v>
      </c>
    </row>
    <row r="545" spans="1:9" ht="15.75" customHeight="1" x14ac:dyDescent="0.35">
      <c r="A545" s="26" t="s">
        <v>2185</v>
      </c>
      <c r="B545" s="25" t="s">
        <v>9222</v>
      </c>
      <c r="C545" s="6" t="s">
        <v>11324</v>
      </c>
      <c r="D545" s="13">
        <v>440.13914999999997</v>
      </c>
      <c r="E545" s="18">
        <v>21</v>
      </c>
      <c r="F545" s="2">
        <f t="shared" si="16"/>
        <v>532.56837150000001</v>
      </c>
      <c r="G545" s="3">
        <v>0</v>
      </c>
      <c r="H545" s="4">
        <v>0.7</v>
      </c>
      <c r="I545" s="28">
        <f t="shared" si="17"/>
        <v>905.36623154999995</v>
      </c>
    </row>
    <row r="546" spans="1:9" ht="15.75" customHeight="1" x14ac:dyDescent="0.35">
      <c r="A546" s="26" t="s">
        <v>8734</v>
      </c>
      <c r="B546" s="25" t="s">
        <v>9223</v>
      </c>
      <c r="C546" s="6" t="s">
        <v>13807</v>
      </c>
      <c r="D546" s="13">
        <v>792.81925632000002</v>
      </c>
      <c r="E546" s="18">
        <v>21</v>
      </c>
      <c r="F546" s="2">
        <f t="shared" si="16"/>
        <v>959.31130014719997</v>
      </c>
      <c r="G546" s="3">
        <v>0</v>
      </c>
      <c r="H546" s="4">
        <v>0.7</v>
      </c>
      <c r="I546" s="28">
        <f t="shared" si="17"/>
        <v>1630.8292102502398</v>
      </c>
    </row>
    <row r="547" spans="1:9" ht="15.75" customHeight="1" x14ac:dyDescent="0.35">
      <c r="A547" s="26" t="s">
        <v>2203</v>
      </c>
      <c r="B547" s="25" t="s">
        <v>9224</v>
      </c>
      <c r="C547" s="6" t="s">
        <v>11325</v>
      </c>
      <c r="D547" s="13">
        <v>561.56381999999996</v>
      </c>
      <c r="E547" s="18">
        <v>21</v>
      </c>
      <c r="F547" s="2">
        <f t="shared" si="16"/>
        <v>679.49222220000001</v>
      </c>
      <c r="G547" s="3">
        <v>0</v>
      </c>
      <c r="H547" s="4">
        <v>0.7</v>
      </c>
      <c r="I547" s="28">
        <f t="shared" si="17"/>
        <v>1155.1367777400001</v>
      </c>
    </row>
    <row r="548" spans="1:9" ht="15.75" customHeight="1" x14ac:dyDescent="0.35">
      <c r="A548" s="26" t="s">
        <v>8736</v>
      </c>
      <c r="B548" s="25" t="s">
        <v>11069</v>
      </c>
      <c r="C548" s="6" t="s">
        <v>13808</v>
      </c>
      <c r="D548" s="13">
        <v>1831.03494912</v>
      </c>
      <c r="E548" s="18">
        <v>21</v>
      </c>
      <c r="F548" s="2">
        <f t="shared" si="16"/>
        <v>2215.5522884351999</v>
      </c>
      <c r="G548" s="3">
        <v>0</v>
      </c>
      <c r="H548" s="4">
        <v>0.7</v>
      </c>
      <c r="I548" s="28">
        <f t="shared" si="17"/>
        <v>3766.4388903398399</v>
      </c>
    </row>
    <row r="549" spans="1:9" ht="15.75" customHeight="1" x14ac:dyDescent="0.35">
      <c r="A549" s="26" t="s">
        <v>2188</v>
      </c>
      <c r="B549" s="25" t="s">
        <v>11070</v>
      </c>
      <c r="C549" s="6" t="s">
        <v>11326</v>
      </c>
      <c r="D549" s="13">
        <v>951.98328000000004</v>
      </c>
      <c r="E549" s="18">
        <v>21</v>
      </c>
      <c r="F549" s="2">
        <f t="shared" si="16"/>
        <v>1151.8997687999999</v>
      </c>
      <c r="G549" s="3">
        <v>0</v>
      </c>
      <c r="H549" s="4">
        <v>0.7</v>
      </c>
      <c r="I549" s="28">
        <f t="shared" si="17"/>
        <v>1958.22960696</v>
      </c>
    </row>
    <row r="550" spans="1:9" ht="15.75" customHeight="1" x14ac:dyDescent="0.35">
      <c r="A550" s="26" t="s">
        <v>2194</v>
      </c>
      <c r="B550" s="25" t="s">
        <v>11071</v>
      </c>
      <c r="C550" s="6" t="s">
        <v>13442</v>
      </c>
      <c r="D550" s="13">
        <v>437.20754688</v>
      </c>
      <c r="E550" s="18">
        <v>21</v>
      </c>
      <c r="F550" s="2">
        <f t="shared" si="16"/>
        <v>529.02113172479994</v>
      </c>
      <c r="G550" s="3">
        <v>0</v>
      </c>
      <c r="H550" s="4">
        <v>0.7</v>
      </c>
      <c r="I550" s="28">
        <f t="shared" si="17"/>
        <v>899.33592393215986</v>
      </c>
    </row>
    <row r="551" spans="1:9" ht="15.75" customHeight="1" x14ac:dyDescent="0.35">
      <c r="A551" s="26" t="s">
        <v>2195</v>
      </c>
      <c r="B551" s="25" t="s">
        <v>12858</v>
      </c>
      <c r="C551" s="6" t="s">
        <v>13443</v>
      </c>
      <c r="D551" s="13">
        <v>629.01865727999996</v>
      </c>
      <c r="E551" s="18">
        <v>21</v>
      </c>
      <c r="F551" s="2">
        <f t="shared" si="16"/>
        <v>761.11257530879993</v>
      </c>
      <c r="G551" s="3">
        <v>0</v>
      </c>
      <c r="H551" s="4">
        <v>0.7</v>
      </c>
      <c r="I551" s="28">
        <f t="shared" si="17"/>
        <v>1293.8913780249597</v>
      </c>
    </row>
    <row r="552" spans="1:9" ht="15.75" customHeight="1" x14ac:dyDescent="0.35">
      <c r="A552" s="26" t="s">
        <v>2196</v>
      </c>
      <c r="B552" s="25" t="s">
        <v>12859</v>
      </c>
      <c r="C552" s="6" t="s">
        <v>13444</v>
      </c>
      <c r="D552" s="13">
        <v>792.81925632000002</v>
      </c>
      <c r="E552" s="18">
        <v>21</v>
      </c>
      <c r="F552" s="2">
        <f t="shared" si="16"/>
        <v>959.31130014719997</v>
      </c>
      <c r="G552" s="3">
        <v>0</v>
      </c>
      <c r="H552" s="4">
        <v>0.7</v>
      </c>
      <c r="I552" s="28">
        <f t="shared" si="17"/>
        <v>1630.8292102502398</v>
      </c>
    </row>
    <row r="553" spans="1:9" ht="15.75" customHeight="1" x14ac:dyDescent="0.35">
      <c r="A553" s="26" t="s">
        <v>2197</v>
      </c>
      <c r="B553" s="25" t="s">
        <v>12860</v>
      </c>
      <c r="C553" s="6" t="s">
        <v>13445</v>
      </c>
      <c r="D553" s="13">
        <v>1111.8955161599999</v>
      </c>
      <c r="E553" s="18">
        <v>21</v>
      </c>
      <c r="F553" s="2">
        <f t="shared" si="16"/>
        <v>1345.3935745536</v>
      </c>
      <c r="G553" s="3">
        <v>0</v>
      </c>
      <c r="H553" s="4">
        <v>0.7</v>
      </c>
      <c r="I553" s="28">
        <f t="shared" si="17"/>
        <v>2287.1690767411201</v>
      </c>
    </row>
    <row r="554" spans="1:9" ht="15.75" customHeight="1" x14ac:dyDescent="0.35">
      <c r="A554" s="26" t="s">
        <v>2198</v>
      </c>
      <c r="B554" s="25" t="s">
        <v>11324</v>
      </c>
      <c r="C554" s="6" t="s">
        <v>13446</v>
      </c>
      <c r="D554" s="13">
        <v>1831.03494912</v>
      </c>
      <c r="E554" s="18">
        <v>21</v>
      </c>
      <c r="F554" s="2">
        <f t="shared" si="16"/>
        <v>2215.5522884351999</v>
      </c>
      <c r="G554" s="3">
        <v>0</v>
      </c>
      <c r="H554" s="4">
        <v>0.7</v>
      </c>
      <c r="I554" s="28">
        <f t="shared" si="17"/>
        <v>3766.4388903398399</v>
      </c>
    </row>
    <row r="555" spans="1:9" ht="15.75" customHeight="1" x14ac:dyDescent="0.35">
      <c r="A555" s="26" t="s">
        <v>9987</v>
      </c>
      <c r="B555" s="25" t="s">
        <v>12861</v>
      </c>
      <c r="C555" s="6" t="s">
        <v>11405</v>
      </c>
      <c r="D555" s="13">
        <v>302.4471820032</v>
      </c>
      <c r="E555" s="18">
        <v>21</v>
      </c>
      <c r="F555" s="2">
        <f t="shared" si="16"/>
        <v>365.96109022387202</v>
      </c>
      <c r="G555" s="3">
        <v>0</v>
      </c>
      <c r="H555" s="4">
        <v>0.7</v>
      </c>
      <c r="I555" s="28">
        <f t="shared" si="17"/>
        <v>622.13385338058242</v>
      </c>
    </row>
    <row r="556" spans="1:9" ht="15.75" customHeight="1" x14ac:dyDescent="0.35">
      <c r="A556" s="26" t="s">
        <v>9988</v>
      </c>
      <c r="B556" s="25" t="s">
        <v>11325</v>
      </c>
      <c r="C556" s="6" t="s">
        <v>11407</v>
      </c>
      <c r="D556" s="13">
        <v>407.6462018304</v>
      </c>
      <c r="E556" s="18">
        <v>21</v>
      </c>
      <c r="F556" s="2">
        <f t="shared" si="16"/>
        <v>493.25190421478402</v>
      </c>
      <c r="G556" s="3">
        <v>0</v>
      </c>
      <c r="H556" s="4">
        <v>0.7</v>
      </c>
      <c r="I556" s="28">
        <f t="shared" si="17"/>
        <v>838.52823716513285</v>
      </c>
    </row>
    <row r="557" spans="1:9" ht="15.75" customHeight="1" x14ac:dyDescent="0.35">
      <c r="A557" s="26" t="s">
        <v>2244</v>
      </c>
      <c r="B557" s="25" t="s">
        <v>12862</v>
      </c>
      <c r="C557" s="6" t="s">
        <v>13758</v>
      </c>
      <c r="D557" s="13">
        <v>442.9455888</v>
      </c>
      <c r="E557" s="18">
        <v>21</v>
      </c>
      <c r="F557" s="2">
        <f t="shared" si="16"/>
        <v>535.96416244800002</v>
      </c>
      <c r="G557" s="3">
        <v>0</v>
      </c>
      <c r="H557" s="4">
        <v>0.7</v>
      </c>
      <c r="I557" s="28">
        <f t="shared" si="17"/>
        <v>911.13907616159997</v>
      </c>
    </row>
    <row r="558" spans="1:9" ht="15.75" customHeight="1" x14ac:dyDescent="0.35">
      <c r="A558" s="26" t="s">
        <v>2245</v>
      </c>
      <c r="B558" s="25" t="s">
        <v>11326</v>
      </c>
      <c r="C558" s="6" t="s">
        <v>13759</v>
      </c>
      <c r="D558" s="13">
        <v>463.00826000000001</v>
      </c>
      <c r="E558" s="18">
        <v>21</v>
      </c>
      <c r="F558" s="2">
        <f t="shared" si="16"/>
        <v>560.23999460000005</v>
      </c>
      <c r="G558" s="3">
        <v>0</v>
      </c>
      <c r="H558" s="4">
        <v>0.7</v>
      </c>
      <c r="I558" s="28">
        <f t="shared" si="17"/>
        <v>952.40799082000001</v>
      </c>
    </row>
    <row r="559" spans="1:9" ht="15.75" customHeight="1" x14ac:dyDescent="0.35">
      <c r="A559" s="26" t="s">
        <v>9789</v>
      </c>
      <c r="B559" s="25" t="s">
        <v>12863</v>
      </c>
      <c r="C559" s="6" t="s">
        <v>12868</v>
      </c>
      <c r="D559" s="13">
        <v>385.7297393664</v>
      </c>
      <c r="E559" s="18">
        <v>21</v>
      </c>
      <c r="F559" s="2">
        <f t="shared" si="16"/>
        <v>466.73298463334402</v>
      </c>
      <c r="G559" s="3">
        <v>0</v>
      </c>
      <c r="H559" s="4">
        <v>0.7</v>
      </c>
      <c r="I559" s="28">
        <f t="shared" si="17"/>
        <v>793.44607387668486</v>
      </c>
    </row>
    <row r="560" spans="1:9" ht="15.75" customHeight="1" x14ac:dyDescent="0.35">
      <c r="A560" s="26" t="s">
        <v>2191</v>
      </c>
      <c r="B560" s="25" t="s">
        <v>12864</v>
      </c>
      <c r="C560" s="6" t="s">
        <v>13809</v>
      </c>
      <c r="D560" s="13">
        <v>629.01865727999996</v>
      </c>
      <c r="E560" s="18">
        <v>21</v>
      </c>
      <c r="F560" s="2">
        <f t="shared" si="16"/>
        <v>761.11257530879993</v>
      </c>
      <c r="G560" s="3">
        <v>0</v>
      </c>
      <c r="H560" s="4">
        <v>0.7</v>
      </c>
      <c r="I560" s="28">
        <f t="shared" si="17"/>
        <v>1293.8913780249597</v>
      </c>
    </row>
    <row r="561" spans="1:9" ht="15.75" customHeight="1" x14ac:dyDescent="0.35">
      <c r="A561" s="26" t="s">
        <v>2193</v>
      </c>
      <c r="B561" s="25" t="s">
        <v>12865</v>
      </c>
      <c r="C561" s="6" t="s">
        <v>13447</v>
      </c>
      <c r="D561" s="13">
        <v>792.81925632000002</v>
      </c>
      <c r="E561" s="18">
        <v>21</v>
      </c>
      <c r="F561" s="2">
        <f t="shared" si="16"/>
        <v>959.31130014719997</v>
      </c>
      <c r="G561" s="3">
        <v>0</v>
      </c>
      <c r="H561" s="4">
        <v>0.7</v>
      </c>
      <c r="I561" s="28">
        <f t="shared" si="17"/>
        <v>1630.8292102502398</v>
      </c>
    </row>
    <row r="562" spans="1:9" ht="15.75" customHeight="1" x14ac:dyDescent="0.35">
      <c r="A562" s="26" t="s">
        <v>9315</v>
      </c>
      <c r="B562" s="25" t="s">
        <v>12866</v>
      </c>
      <c r="C562" s="6" t="s">
        <v>12872</v>
      </c>
      <c r="D562" s="13">
        <v>536.95333036800002</v>
      </c>
      <c r="E562" s="18">
        <v>21</v>
      </c>
      <c r="F562" s="2">
        <f t="shared" si="16"/>
        <v>649.71352974528008</v>
      </c>
      <c r="G562" s="3">
        <v>0</v>
      </c>
      <c r="H562" s="4">
        <v>0.7</v>
      </c>
      <c r="I562" s="28">
        <f t="shared" si="17"/>
        <v>1104.5130005669762</v>
      </c>
    </row>
    <row r="563" spans="1:9" ht="15.75" customHeight="1" x14ac:dyDescent="0.35">
      <c r="A563" s="26" t="s">
        <v>2190</v>
      </c>
      <c r="B563" s="25" t="s">
        <v>12867</v>
      </c>
      <c r="C563" s="6" t="s">
        <v>13810</v>
      </c>
      <c r="D563" s="13">
        <v>1111.8955161599999</v>
      </c>
      <c r="E563" s="18">
        <v>21</v>
      </c>
      <c r="F563" s="2">
        <f t="shared" si="16"/>
        <v>1345.3935745536</v>
      </c>
      <c r="G563" s="3">
        <v>0</v>
      </c>
      <c r="H563" s="4">
        <v>0.7</v>
      </c>
      <c r="I563" s="28">
        <f t="shared" si="17"/>
        <v>2287.1690767411201</v>
      </c>
    </row>
    <row r="564" spans="1:9" ht="15.75" customHeight="1" x14ac:dyDescent="0.35">
      <c r="A564" s="26" t="s">
        <v>2202</v>
      </c>
      <c r="B564" s="25" t="s">
        <v>11405</v>
      </c>
      <c r="C564" s="6" t="s">
        <v>10231</v>
      </c>
      <c r="D564" s="13">
        <v>1672.83051</v>
      </c>
      <c r="E564" s="18">
        <v>21</v>
      </c>
      <c r="F564" s="2">
        <f t="shared" si="16"/>
        <v>2024.1249170999999</v>
      </c>
      <c r="G564" s="3">
        <v>0</v>
      </c>
      <c r="H564" s="4">
        <v>0.7</v>
      </c>
      <c r="I564" s="28">
        <f t="shared" si="17"/>
        <v>3441.01235907</v>
      </c>
    </row>
    <row r="565" spans="1:9" ht="15.75" customHeight="1" x14ac:dyDescent="0.35">
      <c r="A565" s="26" t="s">
        <v>10232</v>
      </c>
      <c r="B565" s="25" t="s">
        <v>11406</v>
      </c>
      <c r="C565" s="6" t="s">
        <v>11072</v>
      </c>
      <c r="D565" s="13">
        <v>8176.7152999999998</v>
      </c>
      <c r="E565" s="18">
        <v>21</v>
      </c>
      <c r="F565" s="2">
        <f t="shared" si="16"/>
        <v>9893.8255129999998</v>
      </c>
      <c r="G565" s="3">
        <v>0</v>
      </c>
      <c r="H565" s="4">
        <v>0.7</v>
      </c>
      <c r="I565" s="28">
        <f t="shared" si="17"/>
        <v>16819.5033721</v>
      </c>
    </row>
    <row r="566" spans="1:9" ht="15.75" customHeight="1" x14ac:dyDescent="0.35">
      <c r="A566" s="26" t="s">
        <v>10233</v>
      </c>
      <c r="B566" s="25" t="s">
        <v>11407</v>
      </c>
      <c r="C566" s="6" t="s">
        <v>11073</v>
      </c>
      <c r="D566" s="13">
        <v>13266.07828</v>
      </c>
      <c r="E566" s="18">
        <v>21</v>
      </c>
      <c r="F566" s="2">
        <f t="shared" si="16"/>
        <v>16051.9547188</v>
      </c>
      <c r="G566" s="3">
        <v>0</v>
      </c>
      <c r="H566" s="4">
        <v>0.7</v>
      </c>
      <c r="I566" s="28">
        <f t="shared" si="17"/>
        <v>27288.323021959997</v>
      </c>
    </row>
    <row r="567" spans="1:9" ht="15.75" customHeight="1" x14ac:dyDescent="0.35">
      <c r="A567" s="26" t="s">
        <v>10570</v>
      </c>
      <c r="B567" s="25" t="s">
        <v>11408</v>
      </c>
      <c r="C567" s="6" t="s">
        <v>11074</v>
      </c>
      <c r="D567" s="13">
        <v>2404.5104200000001</v>
      </c>
      <c r="E567" s="18">
        <v>21</v>
      </c>
      <c r="F567" s="2">
        <f t="shared" si="16"/>
        <v>2909.4576082000003</v>
      </c>
      <c r="G567" s="3">
        <v>0</v>
      </c>
      <c r="H567" s="4">
        <v>0.7</v>
      </c>
      <c r="I567" s="28">
        <f t="shared" si="17"/>
        <v>4946.0779339400005</v>
      </c>
    </row>
    <row r="568" spans="1:9" ht="15.75" customHeight="1" x14ac:dyDescent="0.35">
      <c r="A568" s="26" t="s">
        <v>10800</v>
      </c>
      <c r="B568" s="25" t="s">
        <v>12868</v>
      </c>
      <c r="C568" s="6" t="s">
        <v>11075</v>
      </c>
      <c r="D568" s="13">
        <v>23753.119390000102</v>
      </c>
      <c r="E568" s="18">
        <v>21</v>
      </c>
      <c r="F568" s="2">
        <f t="shared" si="16"/>
        <v>28741.274461900124</v>
      </c>
      <c r="G568" s="3">
        <v>0</v>
      </c>
      <c r="H568" s="4">
        <v>0.7</v>
      </c>
      <c r="I568" s="28">
        <f t="shared" si="17"/>
        <v>48860.16658523021</v>
      </c>
    </row>
    <row r="569" spans="1:9" ht="15.75" customHeight="1" x14ac:dyDescent="0.35">
      <c r="A569" s="26" t="s">
        <v>2515</v>
      </c>
      <c r="B569" s="25" t="s">
        <v>12869</v>
      </c>
      <c r="C569" s="6" t="s">
        <v>12507</v>
      </c>
      <c r="D569" s="13">
        <v>7501.3356554135999</v>
      </c>
      <c r="E569" s="18">
        <v>21</v>
      </c>
      <c r="F569" s="2">
        <f t="shared" si="16"/>
        <v>9076.6161430504562</v>
      </c>
      <c r="G569" s="3">
        <v>0</v>
      </c>
      <c r="H569" s="4">
        <v>0.7</v>
      </c>
      <c r="I569" s="28">
        <f t="shared" si="17"/>
        <v>15430.247443185775</v>
      </c>
    </row>
    <row r="570" spans="1:9" ht="15.75" customHeight="1" x14ac:dyDescent="0.35">
      <c r="A570" s="26" t="s">
        <v>2517</v>
      </c>
      <c r="B570" s="25" t="s">
        <v>12870</v>
      </c>
      <c r="C570" s="6" t="s">
        <v>9466</v>
      </c>
      <c r="D570" s="13">
        <v>10353.562077793</v>
      </c>
      <c r="E570" s="18">
        <v>21</v>
      </c>
      <c r="F570" s="2">
        <f t="shared" si="16"/>
        <v>12527.81011412953</v>
      </c>
      <c r="G570" s="3">
        <v>0</v>
      </c>
      <c r="H570" s="4">
        <v>0.7</v>
      </c>
      <c r="I570" s="28">
        <f t="shared" si="17"/>
        <v>21297.2771940202</v>
      </c>
    </row>
    <row r="571" spans="1:9" ht="15.75" customHeight="1" x14ac:dyDescent="0.35">
      <c r="A571" s="26" t="s">
        <v>2503</v>
      </c>
      <c r="B571" s="25" t="s">
        <v>12871</v>
      </c>
      <c r="C571" s="6" t="s">
        <v>9963</v>
      </c>
      <c r="D571" s="13">
        <v>537.45959872799995</v>
      </c>
      <c r="E571" s="18">
        <v>21</v>
      </c>
      <c r="F571" s="2">
        <f t="shared" si="16"/>
        <v>650.32611446087992</v>
      </c>
      <c r="G571" s="3">
        <v>0</v>
      </c>
      <c r="H571" s="4">
        <v>0.7</v>
      </c>
      <c r="I571" s="28">
        <f t="shared" si="17"/>
        <v>1105.5543945834959</v>
      </c>
    </row>
    <row r="572" spans="1:9" ht="15.75" customHeight="1" x14ac:dyDescent="0.35">
      <c r="A572" s="26" t="s">
        <v>2502</v>
      </c>
      <c r="B572" s="25" t="s">
        <v>12872</v>
      </c>
      <c r="C572" s="6" t="s">
        <v>12508</v>
      </c>
      <c r="D572" s="13">
        <v>465.81999179040002</v>
      </c>
      <c r="E572" s="18">
        <v>21</v>
      </c>
      <c r="F572" s="2">
        <f t="shared" si="16"/>
        <v>563.64219006638405</v>
      </c>
      <c r="G572" s="3">
        <v>0</v>
      </c>
      <c r="H572" s="4">
        <v>0.7</v>
      </c>
      <c r="I572" s="28">
        <f t="shared" si="17"/>
        <v>958.19172311285286</v>
      </c>
    </row>
    <row r="573" spans="1:9" ht="15.75" customHeight="1" x14ac:dyDescent="0.35">
      <c r="A573" s="26" t="s">
        <v>2518</v>
      </c>
      <c r="B573" s="25" t="s">
        <v>12873</v>
      </c>
      <c r="C573" s="6" t="s">
        <v>9964</v>
      </c>
      <c r="D573" s="13">
        <v>450.33006283200001</v>
      </c>
      <c r="E573" s="18">
        <v>21</v>
      </c>
      <c r="F573" s="2">
        <f t="shared" si="16"/>
        <v>544.89937602672001</v>
      </c>
      <c r="G573" s="3">
        <v>0</v>
      </c>
      <c r="H573" s="4">
        <v>0.7</v>
      </c>
      <c r="I573" s="28">
        <f t="shared" si="17"/>
        <v>926.32893924542395</v>
      </c>
    </row>
    <row r="574" spans="1:9" ht="15.75" customHeight="1" x14ac:dyDescent="0.35">
      <c r="A574" s="26" t="s">
        <v>2505</v>
      </c>
      <c r="B574" s="25" t="s">
        <v>13225</v>
      </c>
      <c r="C574" s="6" t="s">
        <v>12509</v>
      </c>
      <c r="D574" s="13">
        <v>967.08436227000004</v>
      </c>
      <c r="E574" s="18">
        <v>21</v>
      </c>
      <c r="F574" s="2">
        <f t="shared" si="16"/>
        <v>1170.1720783467001</v>
      </c>
      <c r="G574" s="3">
        <v>0</v>
      </c>
      <c r="H574" s="4">
        <v>0.7</v>
      </c>
      <c r="I574" s="28">
        <f t="shared" si="17"/>
        <v>1989.29253318939</v>
      </c>
    </row>
    <row r="575" spans="1:9" ht="15.75" customHeight="1" x14ac:dyDescent="0.35">
      <c r="A575" s="26" t="s">
        <v>2507</v>
      </c>
      <c r="B575" s="25" t="s">
        <v>10231</v>
      </c>
      <c r="C575" s="6" t="s">
        <v>9468</v>
      </c>
      <c r="D575" s="13">
        <v>1481.67727138079</v>
      </c>
      <c r="E575" s="18">
        <v>21</v>
      </c>
      <c r="F575" s="2">
        <f t="shared" si="16"/>
        <v>1792.8294983707558</v>
      </c>
      <c r="G575" s="3">
        <v>0</v>
      </c>
      <c r="H575" s="4">
        <v>0.7</v>
      </c>
      <c r="I575" s="28">
        <f t="shared" si="17"/>
        <v>3047.8101472302847</v>
      </c>
    </row>
    <row r="576" spans="1:9" ht="15.75" customHeight="1" x14ac:dyDescent="0.35">
      <c r="A576" s="26" t="s">
        <v>2520</v>
      </c>
      <c r="B576" s="25" t="s">
        <v>11072</v>
      </c>
      <c r="C576" s="6" t="s">
        <v>9965</v>
      </c>
      <c r="D576" s="13">
        <v>884.03259016799996</v>
      </c>
      <c r="E576" s="18">
        <v>21</v>
      </c>
      <c r="F576" s="2">
        <f t="shared" si="16"/>
        <v>1069.6794341032798</v>
      </c>
      <c r="G576" s="3">
        <v>0</v>
      </c>
      <c r="H576" s="4">
        <v>0.7</v>
      </c>
      <c r="I576" s="28">
        <f t="shared" si="17"/>
        <v>1818.4550379755756</v>
      </c>
    </row>
    <row r="577" spans="1:9" ht="15.75" customHeight="1" x14ac:dyDescent="0.35">
      <c r="A577" s="26" t="s">
        <v>12522</v>
      </c>
      <c r="B577" s="25" t="s">
        <v>11073</v>
      </c>
      <c r="C577" s="6" t="s">
        <v>12523</v>
      </c>
      <c r="D577" s="13">
        <v>604.09653314399998</v>
      </c>
      <c r="E577" s="18">
        <v>21</v>
      </c>
      <c r="F577" s="2">
        <f t="shared" si="16"/>
        <v>730.95680510423995</v>
      </c>
      <c r="G577" s="3">
        <v>0</v>
      </c>
      <c r="H577" s="4">
        <v>0.7</v>
      </c>
      <c r="I577" s="28">
        <f t="shared" si="17"/>
        <v>1242.6265686772078</v>
      </c>
    </row>
    <row r="578" spans="1:9" ht="15.75" customHeight="1" x14ac:dyDescent="0.35">
      <c r="A578" s="26" t="s">
        <v>13532</v>
      </c>
      <c r="B578" s="25" t="s">
        <v>11074</v>
      </c>
      <c r="C578" s="6" t="s">
        <v>13533</v>
      </c>
      <c r="D578" s="13">
        <v>664.50618645839995</v>
      </c>
      <c r="E578" s="18">
        <v>21</v>
      </c>
      <c r="F578" s="2">
        <f t="shared" si="16"/>
        <v>804.05248561466396</v>
      </c>
      <c r="G578" s="3">
        <v>0</v>
      </c>
      <c r="H578" s="4">
        <v>0.7</v>
      </c>
      <c r="I578" s="28">
        <f t="shared" si="17"/>
        <v>1366.8892255449286</v>
      </c>
    </row>
    <row r="579" spans="1:9" ht="15.75" customHeight="1" x14ac:dyDescent="0.35">
      <c r="A579" s="26" t="s">
        <v>2522</v>
      </c>
      <c r="B579" s="25" t="s">
        <v>11075</v>
      </c>
      <c r="C579" s="6" t="s">
        <v>9967</v>
      </c>
      <c r="D579" s="13">
        <v>531.68273121599998</v>
      </c>
      <c r="E579" s="18">
        <v>21</v>
      </c>
      <c r="F579" s="2">
        <f t="shared" si="16"/>
        <v>643.33610477135994</v>
      </c>
      <c r="G579" s="3">
        <v>0</v>
      </c>
      <c r="H579" s="4">
        <v>0.7</v>
      </c>
      <c r="I579" s="28">
        <f t="shared" si="17"/>
        <v>1093.6713781113119</v>
      </c>
    </row>
    <row r="580" spans="1:9" ht="15.75" customHeight="1" x14ac:dyDescent="0.35">
      <c r="A580" s="26" t="s">
        <v>2511</v>
      </c>
      <c r="B580" s="25" t="s">
        <v>12507</v>
      </c>
      <c r="C580" s="6" t="s">
        <v>9968</v>
      </c>
      <c r="D580" s="13">
        <v>1979.735230512</v>
      </c>
      <c r="E580" s="18">
        <v>21</v>
      </c>
      <c r="F580" s="2">
        <f t="shared" si="16"/>
        <v>2395.4796289195201</v>
      </c>
      <c r="G580" s="3">
        <v>0</v>
      </c>
      <c r="H580" s="4">
        <v>0.7</v>
      </c>
      <c r="I580" s="28">
        <f t="shared" si="17"/>
        <v>4072.3153691631842</v>
      </c>
    </row>
    <row r="581" spans="1:9" ht="15.75" customHeight="1" x14ac:dyDescent="0.35">
      <c r="A581" s="26" t="s">
        <v>12510</v>
      </c>
      <c r="B581" s="25" t="s">
        <v>9466</v>
      </c>
      <c r="C581" s="6" t="s">
        <v>12511</v>
      </c>
      <c r="D581" s="13">
        <v>2299.9609048103998</v>
      </c>
      <c r="E581" s="18">
        <v>21</v>
      </c>
      <c r="F581" s="2">
        <f t="shared" si="16"/>
        <v>2782.9526948205839</v>
      </c>
      <c r="G581" s="3">
        <v>0</v>
      </c>
      <c r="H581" s="4">
        <v>0.7</v>
      </c>
      <c r="I581" s="28">
        <f t="shared" si="17"/>
        <v>4731.0195811949925</v>
      </c>
    </row>
    <row r="582" spans="1:9" ht="15.75" customHeight="1" x14ac:dyDescent="0.35">
      <c r="A582" s="26" t="s">
        <v>2524</v>
      </c>
      <c r="B582" s="25" t="s">
        <v>9963</v>
      </c>
      <c r="C582" s="6" t="s">
        <v>9969</v>
      </c>
      <c r="D582" s="13">
        <v>1744.5475878479999</v>
      </c>
      <c r="E582" s="18">
        <v>21</v>
      </c>
      <c r="F582" s="2">
        <f t="shared" ref="F582:F645" si="18">D582*E582/100+D582</f>
        <v>2110.9025812960799</v>
      </c>
      <c r="G582" s="3">
        <v>0</v>
      </c>
      <c r="H582" s="4">
        <v>0.7</v>
      </c>
      <c r="I582" s="28">
        <f t="shared" ref="I582:I645" si="19">IF(G582=-1,0,F582*((100-G582)/100)*(1+H582))</f>
        <v>3588.5343882033358</v>
      </c>
    </row>
    <row r="583" spans="1:9" ht="15.75" customHeight="1" x14ac:dyDescent="0.35">
      <c r="A583" s="26" t="s">
        <v>2512</v>
      </c>
      <c r="B583" s="25" t="s">
        <v>12508</v>
      </c>
      <c r="C583" s="6" t="s">
        <v>9470</v>
      </c>
      <c r="D583" s="13">
        <v>2019.76006993488</v>
      </c>
      <c r="E583" s="18">
        <v>21</v>
      </c>
      <c r="F583" s="2">
        <f t="shared" si="18"/>
        <v>2443.9096846212046</v>
      </c>
      <c r="G583" s="3">
        <v>0</v>
      </c>
      <c r="H583" s="4">
        <v>0.7</v>
      </c>
      <c r="I583" s="28">
        <f t="shared" si="19"/>
        <v>4154.6464638560474</v>
      </c>
    </row>
    <row r="584" spans="1:9" ht="15.75" customHeight="1" x14ac:dyDescent="0.35">
      <c r="A584" s="26" t="s">
        <v>12512</v>
      </c>
      <c r="B584" s="25" t="s">
        <v>9467</v>
      </c>
      <c r="C584" s="6" t="s">
        <v>12513</v>
      </c>
      <c r="D584" s="13">
        <v>1890.3112924176</v>
      </c>
      <c r="E584" s="18">
        <v>21</v>
      </c>
      <c r="F584" s="2">
        <f t="shared" si="18"/>
        <v>2287.2766638252961</v>
      </c>
      <c r="G584" s="3">
        <v>0</v>
      </c>
      <c r="H584" s="4">
        <v>0.7</v>
      </c>
      <c r="I584" s="28">
        <f t="shared" si="19"/>
        <v>3888.3703285030033</v>
      </c>
    </row>
    <row r="585" spans="1:9" ht="15.75" customHeight="1" x14ac:dyDescent="0.35">
      <c r="A585" s="26" t="s">
        <v>2526</v>
      </c>
      <c r="B585" s="25" t="s">
        <v>9964</v>
      </c>
      <c r="C585" s="6" t="s">
        <v>12514</v>
      </c>
      <c r="D585" s="13">
        <v>2350.8560079576</v>
      </c>
      <c r="E585" s="18">
        <v>21</v>
      </c>
      <c r="F585" s="2">
        <f t="shared" si="18"/>
        <v>2844.535769628696</v>
      </c>
      <c r="G585" s="3">
        <v>0</v>
      </c>
      <c r="H585" s="4">
        <v>0.7</v>
      </c>
      <c r="I585" s="28">
        <f t="shared" si="19"/>
        <v>4835.7108083687835</v>
      </c>
    </row>
    <row r="586" spans="1:9" ht="15.75" customHeight="1" x14ac:dyDescent="0.35">
      <c r="A586" s="26" t="s">
        <v>2528</v>
      </c>
      <c r="B586" s="25" t="s">
        <v>12509</v>
      </c>
      <c r="C586" s="6" t="s">
        <v>9471</v>
      </c>
      <c r="D586" s="13">
        <v>2134.8495714780001</v>
      </c>
      <c r="E586" s="18">
        <v>21</v>
      </c>
      <c r="F586" s="2">
        <f t="shared" si="18"/>
        <v>2583.1679814883801</v>
      </c>
      <c r="G586" s="3">
        <v>0</v>
      </c>
      <c r="H586" s="4">
        <v>0.7</v>
      </c>
      <c r="I586" s="28">
        <f t="shared" si="19"/>
        <v>4391.385568530246</v>
      </c>
    </row>
    <row r="587" spans="1:9" ht="15.75" customHeight="1" x14ac:dyDescent="0.35">
      <c r="A587" s="26" t="s">
        <v>2514</v>
      </c>
      <c r="B587" s="25" t="s">
        <v>9468</v>
      </c>
      <c r="C587" s="6" t="s">
        <v>9472</v>
      </c>
      <c r="D587" s="13">
        <v>3090.0369500000002</v>
      </c>
      <c r="E587" s="18">
        <v>21</v>
      </c>
      <c r="F587" s="2">
        <f t="shared" si="18"/>
        <v>3738.9447095</v>
      </c>
      <c r="G587" s="3">
        <v>0</v>
      </c>
      <c r="H587" s="4">
        <v>0.7</v>
      </c>
      <c r="I587" s="28">
        <f t="shared" si="19"/>
        <v>6356.2060061499997</v>
      </c>
    </row>
    <row r="588" spans="1:9" ht="15.75" customHeight="1" x14ac:dyDescent="0.35">
      <c r="A588" s="26" t="s">
        <v>10977</v>
      </c>
      <c r="B588" s="25" t="s">
        <v>9965</v>
      </c>
      <c r="C588" s="6" t="s">
        <v>10978</v>
      </c>
      <c r="D588" s="13">
        <v>3206.3219855245802</v>
      </c>
      <c r="E588" s="18">
        <v>21</v>
      </c>
      <c r="F588" s="2">
        <f t="shared" si="18"/>
        <v>3879.649602484742</v>
      </c>
      <c r="G588" s="3">
        <v>0</v>
      </c>
      <c r="H588" s="4">
        <v>0.7</v>
      </c>
      <c r="I588" s="28">
        <f t="shared" si="19"/>
        <v>6595.4043242240614</v>
      </c>
    </row>
    <row r="589" spans="1:9" ht="15.75" customHeight="1" x14ac:dyDescent="0.35">
      <c r="A589" s="26" t="s">
        <v>12318</v>
      </c>
      <c r="B589" s="25" t="s">
        <v>9966</v>
      </c>
      <c r="C589" s="6" t="s">
        <v>12319</v>
      </c>
      <c r="D589" s="13">
        <v>5362.8299189992804</v>
      </c>
      <c r="E589" s="18">
        <v>21</v>
      </c>
      <c r="F589" s="2">
        <f t="shared" si="18"/>
        <v>6489.0242019891293</v>
      </c>
      <c r="G589" s="3">
        <v>0</v>
      </c>
      <c r="H589" s="4">
        <v>0.7</v>
      </c>
      <c r="I589" s="28">
        <f t="shared" si="19"/>
        <v>11031.34114338152</v>
      </c>
    </row>
    <row r="590" spans="1:9" ht="15.75" customHeight="1" x14ac:dyDescent="0.35">
      <c r="A590" s="26" t="s">
        <v>2529</v>
      </c>
      <c r="B590" s="25" t="s">
        <v>12523</v>
      </c>
      <c r="C590" s="6" t="s">
        <v>9473</v>
      </c>
      <c r="D590" s="13">
        <v>6389.0299199999999</v>
      </c>
      <c r="E590" s="18">
        <v>21</v>
      </c>
      <c r="F590" s="2">
        <f t="shared" si="18"/>
        <v>7730.7262031999999</v>
      </c>
      <c r="G590" s="3">
        <v>0</v>
      </c>
      <c r="H590" s="4">
        <v>0.7</v>
      </c>
      <c r="I590" s="28">
        <f t="shared" si="19"/>
        <v>13142.23454544</v>
      </c>
    </row>
    <row r="591" spans="1:9" ht="15.75" customHeight="1" x14ac:dyDescent="0.35">
      <c r="A591" s="26" t="s">
        <v>2595</v>
      </c>
      <c r="B591" s="25" t="s">
        <v>9469</v>
      </c>
      <c r="C591" s="6" t="s">
        <v>12892</v>
      </c>
      <c r="D591" s="13">
        <v>5840.1135000000004</v>
      </c>
      <c r="E591" s="18">
        <v>21</v>
      </c>
      <c r="F591" s="2">
        <f t="shared" si="18"/>
        <v>7066.5373350000009</v>
      </c>
      <c r="G591" s="3">
        <v>0</v>
      </c>
      <c r="H591" s="4">
        <v>0.7</v>
      </c>
      <c r="I591" s="28">
        <f t="shared" si="19"/>
        <v>12013.113469500002</v>
      </c>
    </row>
    <row r="592" spans="1:9" ht="15.75" customHeight="1" x14ac:dyDescent="0.35">
      <c r="A592" s="26" t="s">
        <v>2596</v>
      </c>
      <c r="B592" s="25" t="s">
        <v>9967</v>
      </c>
      <c r="C592" s="6" t="s">
        <v>12893</v>
      </c>
      <c r="D592" s="13">
        <v>6186.1943000000001</v>
      </c>
      <c r="E592" s="18">
        <v>21</v>
      </c>
      <c r="F592" s="2">
        <f t="shared" si="18"/>
        <v>7485.2951030000004</v>
      </c>
      <c r="G592" s="3">
        <v>0</v>
      </c>
      <c r="H592" s="4">
        <v>0.7</v>
      </c>
      <c r="I592" s="28">
        <f t="shared" si="19"/>
        <v>12725.0016751</v>
      </c>
    </row>
    <row r="593" spans="1:9" ht="15.75" customHeight="1" x14ac:dyDescent="0.35">
      <c r="A593" s="26" t="s">
        <v>2597</v>
      </c>
      <c r="B593" s="25" t="s">
        <v>9968</v>
      </c>
      <c r="C593" s="6" t="s">
        <v>12894</v>
      </c>
      <c r="D593" s="13">
        <v>7440.7372000000005</v>
      </c>
      <c r="E593" s="18">
        <v>21</v>
      </c>
      <c r="F593" s="2">
        <f t="shared" si="18"/>
        <v>9003.2920119999999</v>
      </c>
      <c r="G593" s="3">
        <v>0</v>
      </c>
      <c r="H593" s="4">
        <v>0.7</v>
      </c>
      <c r="I593" s="28">
        <f t="shared" si="19"/>
        <v>15305.596420399999</v>
      </c>
    </row>
    <row r="594" spans="1:9" ht="15.75" customHeight="1" x14ac:dyDescent="0.35">
      <c r="A594" s="26" t="s">
        <v>2598</v>
      </c>
      <c r="B594" s="25" t="s">
        <v>12511</v>
      </c>
      <c r="C594" s="6" t="s">
        <v>12895</v>
      </c>
      <c r="D594" s="13">
        <v>9884.9328499999992</v>
      </c>
      <c r="E594" s="18">
        <v>21</v>
      </c>
      <c r="F594" s="2">
        <f t="shared" si="18"/>
        <v>11960.768748499999</v>
      </c>
      <c r="G594" s="3">
        <v>0</v>
      </c>
      <c r="H594" s="4">
        <v>0.7</v>
      </c>
      <c r="I594" s="28">
        <f t="shared" si="19"/>
        <v>20333.306872449997</v>
      </c>
    </row>
    <row r="595" spans="1:9" ht="15.75" customHeight="1" x14ac:dyDescent="0.35">
      <c r="A595" s="26" t="s">
        <v>2204</v>
      </c>
      <c r="B595" s="25" t="s">
        <v>9969</v>
      </c>
      <c r="C595" s="6" t="s">
        <v>9942</v>
      </c>
      <c r="D595" s="13">
        <v>239.63869800000001</v>
      </c>
      <c r="E595" s="18">
        <v>21</v>
      </c>
      <c r="F595" s="2">
        <f t="shared" si="18"/>
        <v>289.96282458000002</v>
      </c>
      <c r="G595" s="3">
        <v>0</v>
      </c>
      <c r="H595" s="4">
        <v>0.7</v>
      </c>
      <c r="I595" s="28">
        <f t="shared" si="19"/>
        <v>492.93680178599999</v>
      </c>
    </row>
    <row r="596" spans="1:9" ht="15.75" customHeight="1" x14ac:dyDescent="0.35">
      <c r="A596" s="26" t="s">
        <v>2205</v>
      </c>
      <c r="B596" s="25" t="s">
        <v>9470</v>
      </c>
      <c r="C596" s="6" t="s">
        <v>9927</v>
      </c>
      <c r="D596" s="13">
        <v>419.72868599999998</v>
      </c>
      <c r="E596" s="18">
        <v>21</v>
      </c>
      <c r="F596" s="2">
        <f t="shared" si="18"/>
        <v>507.87171005999994</v>
      </c>
      <c r="G596" s="3">
        <v>0</v>
      </c>
      <c r="H596" s="4">
        <v>0.7</v>
      </c>
      <c r="I596" s="28">
        <f t="shared" si="19"/>
        <v>863.3819071019999</v>
      </c>
    </row>
    <row r="597" spans="1:9" ht="15.75" customHeight="1" x14ac:dyDescent="0.35">
      <c r="A597" s="26" t="s">
        <v>10878</v>
      </c>
      <c r="B597" s="25" t="s">
        <v>12513</v>
      </c>
      <c r="C597" s="6" t="s">
        <v>13448</v>
      </c>
      <c r="D597" s="13">
        <v>3229.1248204799999</v>
      </c>
      <c r="E597" s="18">
        <v>21</v>
      </c>
      <c r="F597" s="2">
        <f t="shared" si="18"/>
        <v>3907.2410327807997</v>
      </c>
      <c r="G597" s="3">
        <v>0</v>
      </c>
      <c r="H597" s="4">
        <v>0.7</v>
      </c>
      <c r="I597" s="28">
        <f t="shared" si="19"/>
        <v>6642.3097557273595</v>
      </c>
    </row>
    <row r="598" spans="1:9" ht="15.75" customHeight="1" x14ac:dyDescent="0.35">
      <c r="A598" s="26" t="s">
        <v>10581</v>
      </c>
      <c r="B598" s="25" t="s">
        <v>12514</v>
      </c>
      <c r="C598" s="6" t="s">
        <v>13449</v>
      </c>
      <c r="D598" s="13">
        <v>5120.4432614400002</v>
      </c>
      <c r="E598" s="18">
        <v>21</v>
      </c>
      <c r="F598" s="2">
        <f t="shared" si="18"/>
        <v>6195.7363463424008</v>
      </c>
      <c r="G598" s="3">
        <v>0</v>
      </c>
      <c r="H598" s="4">
        <v>0.7</v>
      </c>
      <c r="I598" s="28">
        <f t="shared" si="19"/>
        <v>10532.751788782081</v>
      </c>
    </row>
    <row r="599" spans="1:9" ht="15.75" customHeight="1" x14ac:dyDescent="0.35">
      <c r="A599" s="26" t="s">
        <v>9715</v>
      </c>
      <c r="B599" s="25" t="s">
        <v>9471</v>
      </c>
      <c r="C599" s="6" t="s">
        <v>13450</v>
      </c>
      <c r="D599" s="13">
        <v>8309.3790873599992</v>
      </c>
      <c r="E599" s="18">
        <v>21</v>
      </c>
      <c r="F599" s="2">
        <f t="shared" si="18"/>
        <v>10054.348695705599</v>
      </c>
      <c r="G599" s="3">
        <v>0</v>
      </c>
      <c r="H599" s="4">
        <v>0.7</v>
      </c>
      <c r="I599" s="28">
        <f t="shared" si="19"/>
        <v>17092.392782699517</v>
      </c>
    </row>
    <row r="600" spans="1:9" ht="15.75" customHeight="1" x14ac:dyDescent="0.35">
      <c r="A600" s="26" t="s">
        <v>2246</v>
      </c>
      <c r="B600" s="25" t="s">
        <v>9472</v>
      </c>
      <c r="C600" s="6" t="s">
        <v>13451</v>
      </c>
      <c r="D600" s="13">
        <v>11248.65600768</v>
      </c>
      <c r="E600" s="18">
        <v>21</v>
      </c>
      <c r="F600" s="2">
        <f t="shared" si="18"/>
        <v>13610.873769292801</v>
      </c>
      <c r="G600" s="3">
        <v>0</v>
      </c>
      <c r="H600" s="4">
        <v>0.7</v>
      </c>
      <c r="I600" s="28">
        <f t="shared" si="19"/>
        <v>23138.485407797762</v>
      </c>
    </row>
    <row r="601" spans="1:9" ht="15.75" customHeight="1" x14ac:dyDescent="0.35">
      <c r="A601" s="26" t="s">
        <v>9507</v>
      </c>
      <c r="B601" s="25" t="s">
        <v>10978</v>
      </c>
      <c r="C601" s="6" t="s">
        <v>13452</v>
      </c>
      <c r="D601" s="13">
        <v>16535.944488960002</v>
      </c>
      <c r="E601" s="18">
        <v>21</v>
      </c>
      <c r="F601" s="2">
        <f t="shared" si="18"/>
        <v>20008.492831641601</v>
      </c>
      <c r="G601" s="3">
        <v>0</v>
      </c>
      <c r="H601" s="4">
        <v>0.7</v>
      </c>
      <c r="I601" s="28">
        <f t="shared" si="19"/>
        <v>34014.437813790719</v>
      </c>
    </row>
    <row r="602" spans="1:9" ht="15.75" customHeight="1" x14ac:dyDescent="0.35">
      <c r="A602" s="26" t="s">
        <v>12054</v>
      </c>
      <c r="B602" s="25" t="s">
        <v>12319</v>
      </c>
      <c r="C602" s="6" t="s">
        <v>13453</v>
      </c>
      <c r="D602" s="13">
        <v>1953.42870528</v>
      </c>
      <c r="E602" s="18">
        <v>21</v>
      </c>
      <c r="F602" s="2">
        <f t="shared" si="18"/>
        <v>2363.6487333887999</v>
      </c>
      <c r="G602" s="3">
        <v>0</v>
      </c>
      <c r="H602" s="4">
        <v>0.7</v>
      </c>
      <c r="I602" s="28">
        <f t="shared" si="19"/>
        <v>4018.2028467609598</v>
      </c>
    </row>
    <row r="603" spans="1:9" ht="15.75" customHeight="1" x14ac:dyDescent="0.35">
      <c r="A603" s="26" t="s">
        <v>9508</v>
      </c>
      <c r="B603" s="25" t="s">
        <v>9473</v>
      </c>
      <c r="C603" s="6" t="s">
        <v>13454</v>
      </c>
      <c r="D603" s="13">
        <v>22225.73184</v>
      </c>
      <c r="E603" s="18">
        <v>21</v>
      </c>
      <c r="F603" s="2">
        <f t="shared" si="18"/>
        <v>26893.135526400001</v>
      </c>
      <c r="G603" s="3">
        <v>0</v>
      </c>
      <c r="H603" s="4">
        <v>0.7</v>
      </c>
      <c r="I603" s="28">
        <f t="shared" si="19"/>
        <v>45718.330394880002</v>
      </c>
    </row>
    <row r="604" spans="1:9" ht="15.75" customHeight="1" x14ac:dyDescent="0.35">
      <c r="A604" s="26" t="s">
        <v>13248</v>
      </c>
      <c r="B604" s="25" t="s">
        <v>12892</v>
      </c>
      <c r="C604" s="6" t="s">
        <v>13455</v>
      </c>
      <c r="D604" s="13">
        <v>30531.4573824</v>
      </c>
      <c r="E604" s="18">
        <v>21</v>
      </c>
      <c r="F604" s="2">
        <f t="shared" si="18"/>
        <v>36943.063432704002</v>
      </c>
      <c r="G604" s="3">
        <v>0</v>
      </c>
      <c r="H604" s="4">
        <v>0.7</v>
      </c>
      <c r="I604" s="28">
        <f t="shared" si="19"/>
        <v>62803.207835596804</v>
      </c>
    </row>
    <row r="605" spans="1:9" ht="15.75" customHeight="1" x14ac:dyDescent="0.35">
      <c r="A605" s="26" t="s">
        <v>2206</v>
      </c>
      <c r="B605" s="25" t="s">
        <v>12893</v>
      </c>
      <c r="C605" s="6" t="s">
        <v>9928</v>
      </c>
      <c r="D605" s="13">
        <v>2739.6894411397502</v>
      </c>
      <c r="E605" s="18">
        <v>21</v>
      </c>
      <c r="F605" s="2">
        <f t="shared" si="18"/>
        <v>3315.0242237790976</v>
      </c>
      <c r="G605" s="3">
        <v>0</v>
      </c>
      <c r="H605" s="4">
        <v>0.7</v>
      </c>
      <c r="I605" s="28">
        <f t="shared" si="19"/>
        <v>5635.5411804244659</v>
      </c>
    </row>
    <row r="606" spans="1:9" ht="15.75" customHeight="1" x14ac:dyDescent="0.35">
      <c r="A606" s="26" t="s">
        <v>2207</v>
      </c>
      <c r="B606" s="25" t="s">
        <v>12894</v>
      </c>
      <c r="C606" s="6" t="s">
        <v>9929</v>
      </c>
      <c r="D606" s="13">
        <v>4705.9338299999999</v>
      </c>
      <c r="E606" s="18">
        <v>21</v>
      </c>
      <c r="F606" s="2">
        <f t="shared" si="18"/>
        <v>5694.1799343000002</v>
      </c>
      <c r="G606" s="3">
        <v>0</v>
      </c>
      <c r="H606" s="4">
        <v>0.7</v>
      </c>
      <c r="I606" s="28">
        <f t="shared" si="19"/>
        <v>9680.1058883099995</v>
      </c>
    </row>
    <row r="607" spans="1:9" ht="15.75" customHeight="1" x14ac:dyDescent="0.35">
      <c r="A607" s="26" t="s">
        <v>2208</v>
      </c>
      <c r="B607" s="25" t="s">
        <v>12895</v>
      </c>
      <c r="C607" s="6" t="s">
        <v>9930</v>
      </c>
      <c r="D607" s="13">
        <v>6493.7443999999996</v>
      </c>
      <c r="E607" s="18">
        <v>21</v>
      </c>
      <c r="F607" s="2">
        <f t="shared" si="18"/>
        <v>7857.4307239999998</v>
      </c>
      <c r="G607" s="3">
        <v>0</v>
      </c>
      <c r="H607" s="4">
        <v>0.7</v>
      </c>
      <c r="I607" s="28">
        <f t="shared" si="19"/>
        <v>13357.6322308</v>
      </c>
    </row>
    <row r="608" spans="1:9" ht="15.75" customHeight="1" x14ac:dyDescent="0.35">
      <c r="A608" s="26" t="s">
        <v>10050</v>
      </c>
      <c r="B608" s="25" t="s">
        <v>9942</v>
      </c>
      <c r="C608" s="6" t="s">
        <v>10051</v>
      </c>
      <c r="D608" s="13">
        <v>11266.419801</v>
      </c>
      <c r="E608" s="18">
        <v>21</v>
      </c>
      <c r="F608" s="2">
        <f t="shared" si="18"/>
        <v>13632.36795921</v>
      </c>
      <c r="G608" s="3">
        <v>0</v>
      </c>
      <c r="H608" s="4">
        <v>0.7</v>
      </c>
      <c r="I608" s="28">
        <f t="shared" si="19"/>
        <v>23175.025530657</v>
      </c>
    </row>
    <row r="609" spans="1:9" ht="15.75" customHeight="1" x14ac:dyDescent="0.35">
      <c r="A609" s="26" t="s">
        <v>2209</v>
      </c>
      <c r="B609" s="25" t="s">
        <v>9927</v>
      </c>
      <c r="C609" s="6" t="s">
        <v>9931</v>
      </c>
      <c r="D609" s="13">
        <v>11067.4915</v>
      </c>
      <c r="E609" s="18">
        <v>21</v>
      </c>
      <c r="F609" s="2">
        <f t="shared" si="18"/>
        <v>13391.664714999999</v>
      </c>
      <c r="G609" s="3">
        <v>0</v>
      </c>
      <c r="H609" s="4">
        <v>0.7</v>
      </c>
      <c r="I609" s="28">
        <f t="shared" si="19"/>
        <v>22765.830015499996</v>
      </c>
    </row>
    <row r="610" spans="1:9" ht="15.75" customHeight="1" x14ac:dyDescent="0.35">
      <c r="A610" s="26" t="s">
        <v>11980</v>
      </c>
      <c r="B610" s="25" t="s">
        <v>11076</v>
      </c>
      <c r="C610" s="6" t="s">
        <v>11981</v>
      </c>
      <c r="D610" s="13">
        <v>15851.5682325</v>
      </c>
      <c r="E610" s="18">
        <v>21</v>
      </c>
      <c r="F610" s="2">
        <f t="shared" si="18"/>
        <v>19180.397561325</v>
      </c>
      <c r="G610" s="3">
        <v>0</v>
      </c>
      <c r="H610" s="4">
        <v>0.7</v>
      </c>
      <c r="I610" s="28">
        <f t="shared" si="19"/>
        <v>32606.675854252499</v>
      </c>
    </row>
    <row r="611" spans="1:9" ht="15.75" customHeight="1" x14ac:dyDescent="0.35">
      <c r="A611" s="26" t="s">
        <v>2210</v>
      </c>
      <c r="B611" s="25" t="s">
        <v>11077</v>
      </c>
      <c r="C611" s="6" t="s">
        <v>9932</v>
      </c>
      <c r="D611" s="13">
        <v>15520.17987</v>
      </c>
      <c r="E611" s="18">
        <v>21</v>
      </c>
      <c r="F611" s="2">
        <f t="shared" si="18"/>
        <v>18779.417642699998</v>
      </c>
      <c r="G611" s="3">
        <v>0</v>
      </c>
      <c r="H611" s="4">
        <v>0.7</v>
      </c>
      <c r="I611" s="28">
        <f t="shared" si="19"/>
        <v>31925.009992589996</v>
      </c>
    </row>
    <row r="612" spans="1:9" ht="15.75" customHeight="1" x14ac:dyDescent="0.35">
      <c r="A612" s="26" t="s">
        <v>2199</v>
      </c>
      <c r="B612" s="25" t="s">
        <v>10582</v>
      </c>
      <c r="C612" s="6" t="s">
        <v>13811</v>
      </c>
      <c r="D612" s="13">
        <v>792.81925632000002</v>
      </c>
      <c r="E612" s="18">
        <v>21</v>
      </c>
      <c r="F612" s="2">
        <f t="shared" si="18"/>
        <v>959.31130014719997</v>
      </c>
      <c r="G612" s="3">
        <v>0</v>
      </c>
      <c r="H612" s="4">
        <v>0.7</v>
      </c>
      <c r="I612" s="28">
        <f t="shared" si="19"/>
        <v>1630.8292102502398</v>
      </c>
    </row>
    <row r="613" spans="1:9" ht="15.75" customHeight="1" x14ac:dyDescent="0.35">
      <c r="A613" s="26" t="s">
        <v>2201</v>
      </c>
      <c r="B613" s="25" t="s">
        <v>10583</v>
      </c>
      <c r="C613" s="6" t="s">
        <v>13812</v>
      </c>
      <c r="D613" s="13">
        <v>1111.8955161599999</v>
      </c>
      <c r="E613" s="18">
        <v>21</v>
      </c>
      <c r="F613" s="2">
        <f t="shared" si="18"/>
        <v>1345.3935745536</v>
      </c>
      <c r="G613" s="3">
        <v>0</v>
      </c>
      <c r="H613" s="4">
        <v>0.7</v>
      </c>
      <c r="I613" s="28">
        <f t="shared" si="19"/>
        <v>2287.1690767411201</v>
      </c>
    </row>
    <row r="614" spans="1:9" ht="15.75" customHeight="1" x14ac:dyDescent="0.35">
      <c r="A614" s="26" t="s">
        <v>2211</v>
      </c>
      <c r="B614" s="25" t="s">
        <v>10584</v>
      </c>
      <c r="C614" s="6" t="s">
        <v>8832</v>
      </c>
      <c r="D614" s="13">
        <v>138.117954</v>
      </c>
      <c r="E614" s="18">
        <v>21</v>
      </c>
      <c r="F614" s="2">
        <f t="shared" si="18"/>
        <v>167.12272433999999</v>
      </c>
      <c r="G614" s="3">
        <v>0</v>
      </c>
      <c r="H614" s="4">
        <v>0.7</v>
      </c>
      <c r="I614" s="28">
        <f t="shared" si="19"/>
        <v>284.10863137799998</v>
      </c>
    </row>
    <row r="615" spans="1:9" ht="15.75" customHeight="1" x14ac:dyDescent="0.35">
      <c r="A615" s="26" t="s">
        <v>2212</v>
      </c>
      <c r="B615" s="25" t="s">
        <v>12055</v>
      </c>
      <c r="C615" s="6" t="s">
        <v>8833</v>
      </c>
      <c r="D615" s="13">
        <v>453.09599400000002</v>
      </c>
      <c r="E615" s="18">
        <v>21</v>
      </c>
      <c r="F615" s="2">
        <f t="shared" si="18"/>
        <v>548.24615274000007</v>
      </c>
      <c r="G615" s="3">
        <v>0</v>
      </c>
      <c r="H615" s="4">
        <v>0.7</v>
      </c>
      <c r="I615" s="28">
        <f t="shared" si="19"/>
        <v>932.0184596580001</v>
      </c>
    </row>
    <row r="616" spans="1:9" ht="15.75" customHeight="1" x14ac:dyDescent="0.35">
      <c r="A616" s="26" t="s">
        <v>2213</v>
      </c>
      <c r="B616" s="25" t="s">
        <v>10585</v>
      </c>
      <c r="C616" s="6" t="s">
        <v>8834</v>
      </c>
      <c r="D616" s="13">
        <v>724.30760999999995</v>
      </c>
      <c r="E616" s="18">
        <v>21</v>
      </c>
      <c r="F616" s="2">
        <f t="shared" si="18"/>
        <v>876.41220809999993</v>
      </c>
      <c r="G616" s="3">
        <v>0</v>
      </c>
      <c r="H616" s="4">
        <v>0.7</v>
      </c>
      <c r="I616" s="28">
        <f t="shared" si="19"/>
        <v>1489.9007537699999</v>
      </c>
    </row>
    <row r="617" spans="1:9" ht="15.75" customHeight="1" x14ac:dyDescent="0.35">
      <c r="A617" s="26" t="s">
        <v>2214</v>
      </c>
      <c r="B617" s="25" t="s">
        <v>13249</v>
      </c>
      <c r="C617" s="6" t="s">
        <v>8835</v>
      </c>
      <c r="D617" s="13">
        <v>953.99787600000002</v>
      </c>
      <c r="E617" s="18">
        <v>21</v>
      </c>
      <c r="F617" s="2">
        <f t="shared" si="18"/>
        <v>1154.33742996</v>
      </c>
      <c r="G617" s="3">
        <v>0</v>
      </c>
      <c r="H617" s="4">
        <v>0.7</v>
      </c>
      <c r="I617" s="28">
        <f t="shared" si="19"/>
        <v>1962.373630932</v>
      </c>
    </row>
    <row r="618" spans="1:9" ht="15.75" customHeight="1" x14ac:dyDescent="0.35">
      <c r="A618" s="26" t="s">
        <v>1859</v>
      </c>
      <c r="B618" s="25" t="s">
        <v>9928</v>
      </c>
      <c r="C618" s="6" t="s">
        <v>13127</v>
      </c>
      <c r="D618" s="13">
        <v>7882.4893749999992</v>
      </c>
      <c r="E618" s="18">
        <v>21</v>
      </c>
      <c r="F618" s="2">
        <f t="shared" si="18"/>
        <v>9537.8121437499994</v>
      </c>
      <c r="G618" s="3">
        <v>0</v>
      </c>
      <c r="H618" s="4">
        <v>0.7</v>
      </c>
      <c r="I618" s="28">
        <f t="shared" si="19"/>
        <v>16214.280644374998</v>
      </c>
    </row>
    <row r="619" spans="1:9" ht="15.75" customHeight="1" x14ac:dyDescent="0.35">
      <c r="A619" s="26" t="s">
        <v>13128</v>
      </c>
      <c r="B619" s="25" t="s">
        <v>9929</v>
      </c>
      <c r="C619" s="6" t="s">
        <v>13129</v>
      </c>
      <c r="D619" s="13">
        <v>12978.03</v>
      </c>
      <c r="E619" s="18">
        <v>21</v>
      </c>
      <c r="F619" s="2">
        <f t="shared" si="18"/>
        <v>15703.416300000001</v>
      </c>
      <c r="G619" s="3">
        <v>0</v>
      </c>
      <c r="H619" s="4">
        <v>0.7</v>
      </c>
      <c r="I619" s="28">
        <f t="shared" si="19"/>
        <v>26695.807710000001</v>
      </c>
    </row>
    <row r="620" spans="1:9" ht="15.75" customHeight="1" x14ac:dyDescent="0.35">
      <c r="A620" s="26" t="s">
        <v>1848</v>
      </c>
      <c r="B620" s="25" t="s">
        <v>9930</v>
      </c>
      <c r="C620" s="6" t="s">
        <v>13456</v>
      </c>
      <c r="D620" s="13">
        <v>12032.341401600001</v>
      </c>
      <c r="E620" s="18">
        <v>21</v>
      </c>
      <c r="F620" s="2">
        <f t="shared" si="18"/>
        <v>14559.133095936</v>
      </c>
      <c r="G620" s="3">
        <v>0</v>
      </c>
      <c r="H620" s="4">
        <v>0.7</v>
      </c>
      <c r="I620" s="28">
        <f t="shared" si="19"/>
        <v>24750.5262630912</v>
      </c>
    </row>
    <row r="621" spans="1:9" ht="15.75" customHeight="1" x14ac:dyDescent="0.35">
      <c r="A621" s="26" t="s">
        <v>1850</v>
      </c>
      <c r="B621" s="25" t="s">
        <v>10051</v>
      </c>
      <c r="C621" s="6" t="s">
        <v>13457</v>
      </c>
      <c r="D621" s="13">
        <v>4512.7369497600002</v>
      </c>
      <c r="E621" s="18">
        <v>21</v>
      </c>
      <c r="F621" s="2">
        <f t="shared" si="18"/>
        <v>5460.4117092096003</v>
      </c>
      <c r="G621" s="3">
        <v>0</v>
      </c>
      <c r="H621" s="4">
        <v>0.7</v>
      </c>
      <c r="I621" s="28">
        <f t="shared" si="19"/>
        <v>9282.69990565632</v>
      </c>
    </row>
    <row r="622" spans="1:9" ht="15.75" customHeight="1" x14ac:dyDescent="0.35">
      <c r="A622" s="26" t="s">
        <v>1851</v>
      </c>
      <c r="B622" s="25" t="s">
        <v>9931</v>
      </c>
      <c r="C622" s="6" t="s">
        <v>13458</v>
      </c>
      <c r="D622" s="13">
        <v>3198.0696883199998</v>
      </c>
      <c r="E622" s="18">
        <v>21</v>
      </c>
      <c r="F622" s="2">
        <f t="shared" si="18"/>
        <v>3869.6643228671996</v>
      </c>
      <c r="G622" s="3">
        <v>0</v>
      </c>
      <c r="H622" s="4">
        <v>0.7</v>
      </c>
      <c r="I622" s="28">
        <f t="shared" si="19"/>
        <v>6578.4293488742396</v>
      </c>
    </row>
    <row r="623" spans="1:9" ht="15.75" customHeight="1" x14ac:dyDescent="0.35">
      <c r="A623" s="26" t="s">
        <v>1854</v>
      </c>
      <c r="B623" s="25" t="s">
        <v>11981</v>
      </c>
      <c r="C623" s="6" t="s">
        <v>13459</v>
      </c>
      <c r="D623" s="13">
        <v>14953.350597119999</v>
      </c>
      <c r="E623" s="18">
        <v>21</v>
      </c>
      <c r="F623" s="2">
        <f t="shared" si="18"/>
        <v>18093.554222515198</v>
      </c>
      <c r="G623" s="3">
        <v>0</v>
      </c>
      <c r="H623" s="4">
        <v>0.7</v>
      </c>
      <c r="I623" s="28">
        <f t="shared" si="19"/>
        <v>30759.042178275835</v>
      </c>
    </row>
    <row r="624" spans="1:9" ht="15.75" customHeight="1" x14ac:dyDescent="0.35">
      <c r="A624" s="26" t="s">
        <v>1855</v>
      </c>
      <c r="B624" s="25" t="s">
        <v>9932</v>
      </c>
      <c r="C624" s="6" t="s">
        <v>13460</v>
      </c>
      <c r="D624" s="13">
        <v>24034.845519359998</v>
      </c>
      <c r="E624" s="18">
        <v>21</v>
      </c>
      <c r="F624" s="2">
        <f t="shared" si="18"/>
        <v>29082.163078425598</v>
      </c>
      <c r="G624" s="3">
        <v>0</v>
      </c>
      <c r="H624" s="4">
        <v>0.7</v>
      </c>
      <c r="I624" s="28">
        <f t="shared" si="19"/>
        <v>49439.677233323513</v>
      </c>
    </row>
    <row r="625" spans="1:9" ht="15.75" customHeight="1" x14ac:dyDescent="0.35">
      <c r="A625" s="26" t="s">
        <v>1856</v>
      </c>
      <c r="B625" s="25" t="s">
        <v>9933</v>
      </c>
      <c r="C625" s="6" t="s">
        <v>13461</v>
      </c>
      <c r="D625" s="13">
        <v>6376.6538035200001</v>
      </c>
      <c r="E625" s="18">
        <v>21</v>
      </c>
      <c r="F625" s="2">
        <f t="shared" si="18"/>
        <v>7715.7511022592007</v>
      </c>
      <c r="G625" s="3">
        <v>0</v>
      </c>
      <c r="H625" s="4">
        <v>0.7</v>
      </c>
      <c r="I625" s="28">
        <f t="shared" si="19"/>
        <v>13116.776873840641</v>
      </c>
    </row>
    <row r="626" spans="1:9" ht="15.75" customHeight="1" x14ac:dyDescent="0.35">
      <c r="A626" s="26" t="s">
        <v>1858</v>
      </c>
      <c r="B626" s="25" t="s">
        <v>9934</v>
      </c>
      <c r="C626" s="6" t="s">
        <v>13462</v>
      </c>
      <c r="D626" s="13">
        <v>9730.6080767999993</v>
      </c>
      <c r="E626" s="18">
        <v>21</v>
      </c>
      <c r="F626" s="2">
        <f t="shared" si="18"/>
        <v>11774.035772927999</v>
      </c>
      <c r="G626" s="3">
        <v>0</v>
      </c>
      <c r="H626" s="4">
        <v>0.7</v>
      </c>
      <c r="I626" s="28">
        <f t="shared" si="19"/>
        <v>20015.860813977597</v>
      </c>
    </row>
    <row r="627" spans="1:9" ht="15.75" customHeight="1" x14ac:dyDescent="0.35">
      <c r="A627" s="26" t="s">
        <v>1774</v>
      </c>
      <c r="B627" s="25" t="s">
        <v>9935</v>
      </c>
      <c r="C627" s="6" t="s">
        <v>13463</v>
      </c>
      <c r="D627" s="13">
        <v>3534.19582464</v>
      </c>
      <c r="E627" s="18">
        <v>21</v>
      </c>
      <c r="F627" s="2">
        <f t="shared" si="18"/>
        <v>4276.3769478144004</v>
      </c>
      <c r="G627" s="3">
        <v>0</v>
      </c>
      <c r="H627" s="4">
        <v>0.7</v>
      </c>
      <c r="I627" s="28">
        <f t="shared" si="19"/>
        <v>7269.8408112844809</v>
      </c>
    </row>
    <row r="628" spans="1:9" ht="15.75" customHeight="1" x14ac:dyDescent="0.35">
      <c r="A628" s="26" t="s">
        <v>9304</v>
      </c>
      <c r="B628" s="25" t="s">
        <v>8832</v>
      </c>
      <c r="C628" s="6" t="s">
        <v>13464</v>
      </c>
      <c r="D628" s="13">
        <v>47560.0215168</v>
      </c>
      <c r="E628" s="18">
        <v>21</v>
      </c>
      <c r="F628" s="2">
        <f t="shared" si="18"/>
        <v>57547.626035328001</v>
      </c>
      <c r="G628" s="3">
        <v>0</v>
      </c>
      <c r="H628" s="4">
        <v>0.7</v>
      </c>
      <c r="I628" s="28">
        <f t="shared" si="19"/>
        <v>97830.964260057604</v>
      </c>
    </row>
    <row r="629" spans="1:9" ht="15.75" customHeight="1" x14ac:dyDescent="0.35">
      <c r="A629" s="26" t="s">
        <v>1775</v>
      </c>
      <c r="B629" s="25" t="s">
        <v>8833</v>
      </c>
      <c r="C629" s="6" t="s">
        <v>13465</v>
      </c>
      <c r="D629" s="13">
        <v>5387.7609676800002</v>
      </c>
      <c r="E629" s="18">
        <v>21</v>
      </c>
      <c r="F629" s="2">
        <f t="shared" si="18"/>
        <v>6519.1907708928002</v>
      </c>
      <c r="G629" s="3">
        <v>0</v>
      </c>
      <c r="H629" s="4">
        <v>0.7</v>
      </c>
      <c r="I629" s="28">
        <f t="shared" si="19"/>
        <v>11082.62431051776</v>
      </c>
    </row>
    <row r="630" spans="1:9" ht="15.75" customHeight="1" x14ac:dyDescent="0.35">
      <c r="A630" s="26" t="s">
        <v>1776</v>
      </c>
      <c r="B630" s="25" t="s">
        <v>8834</v>
      </c>
      <c r="C630" s="6" t="s">
        <v>13466</v>
      </c>
      <c r="D630" s="13">
        <v>16015.92325632</v>
      </c>
      <c r="E630" s="18">
        <v>21</v>
      </c>
      <c r="F630" s="2">
        <f t="shared" si="18"/>
        <v>19379.2671401472</v>
      </c>
      <c r="G630" s="3">
        <v>0</v>
      </c>
      <c r="H630" s="4">
        <v>0.7</v>
      </c>
      <c r="I630" s="28">
        <f t="shared" si="19"/>
        <v>32944.754138250239</v>
      </c>
    </row>
    <row r="631" spans="1:9" ht="15.75" customHeight="1" x14ac:dyDescent="0.35">
      <c r="A631" s="26" t="s">
        <v>1777</v>
      </c>
      <c r="B631" s="25" t="s">
        <v>8835</v>
      </c>
      <c r="C631" s="6" t="s">
        <v>13467</v>
      </c>
      <c r="D631" s="13">
        <v>23017.333247999999</v>
      </c>
      <c r="E631" s="18">
        <v>21</v>
      </c>
      <c r="F631" s="2">
        <f t="shared" si="18"/>
        <v>27850.973230079999</v>
      </c>
      <c r="G631" s="3">
        <v>0</v>
      </c>
      <c r="H631" s="4">
        <v>0.7</v>
      </c>
      <c r="I631" s="28">
        <f t="shared" si="19"/>
        <v>47346.654491135996</v>
      </c>
    </row>
    <row r="632" spans="1:9" ht="15.75" customHeight="1" x14ac:dyDescent="0.35">
      <c r="A632" s="26" t="s">
        <v>13570</v>
      </c>
      <c r="B632" s="25" t="s">
        <v>13127</v>
      </c>
      <c r="C632" s="6" t="s">
        <v>13571</v>
      </c>
      <c r="D632" s="13">
        <v>31055.132160000001</v>
      </c>
      <c r="E632" s="18">
        <v>21</v>
      </c>
      <c r="F632" s="2">
        <f t="shared" si="18"/>
        <v>37576.709913600003</v>
      </c>
      <c r="G632" s="3">
        <v>0</v>
      </c>
      <c r="H632" s="4">
        <v>0.7</v>
      </c>
      <c r="I632" s="28">
        <f t="shared" si="19"/>
        <v>63880.406853120003</v>
      </c>
    </row>
    <row r="633" spans="1:9" ht="15.75" customHeight="1" x14ac:dyDescent="0.35">
      <c r="A633" s="26" t="s">
        <v>1778</v>
      </c>
      <c r="B633" s="25" t="s">
        <v>13129</v>
      </c>
      <c r="C633" s="6" t="s">
        <v>11084</v>
      </c>
      <c r="D633" s="13">
        <v>1661.5235847208</v>
      </c>
      <c r="E633" s="18">
        <v>21</v>
      </c>
      <c r="F633" s="2">
        <f t="shared" si="18"/>
        <v>2010.4435375121679</v>
      </c>
      <c r="G633" s="3">
        <v>0</v>
      </c>
      <c r="H633" s="4">
        <v>0.7</v>
      </c>
      <c r="I633" s="28">
        <f t="shared" si="19"/>
        <v>3417.7540137706856</v>
      </c>
    </row>
    <row r="634" spans="1:9" ht="15.75" customHeight="1" x14ac:dyDescent="0.35">
      <c r="A634" s="26" t="s">
        <v>1779</v>
      </c>
      <c r="B634" s="25" t="s">
        <v>12672</v>
      </c>
      <c r="C634" s="6" t="s">
        <v>13468</v>
      </c>
      <c r="D634" s="13">
        <v>1576.50465024</v>
      </c>
      <c r="E634" s="18">
        <v>21</v>
      </c>
      <c r="F634" s="2">
        <f t="shared" si="18"/>
        <v>1907.5706267904002</v>
      </c>
      <c r="G634" s="3">
        <v>0</v>
      </c>
      <c r="H634" s="4">
        <v>0.7</v>
      </c>
      <c r="I634" s="28">
        <f t="shared" si="19"/>
        <v>3242.8700655436801</v>
      </c>
    </row>
    <row r="635" spans="1:9" ht="15.75" customHeight="1" x14ac:dyDescent="0.35">
      <c r="A635" s="26" t="s">
        <v>9316</v>
      </c>
      <c r="B635" s="25" t="s">
        <v>12673</v>
      </c>
      <c r="C635" s="6" t="s">
        <v>11087</v>
      </c>
      <c r="D635" s="13">
        <v>1249.2383604480001</v>
      </c>
      <c r="E635" s="18">
        <v>21</v>
      </c>
      <c r="F635" s="2">
        <f t="shared" si="18"/>
        <v>1511.5784161420802</v>
      </c>
      <c r="G635" s="3">
        <v>0</v>
      </c>
      <c r="H635" s="4">
        <v>0.7</v>
      </c>
      <c r="I635" s="28">
        <f t="shared" si="19"/>
        <v>2569.6833074415363</v>
      </c>
    </row>
    <row r="636" spans="1:9" ht="15.75" customHeight="1" x14ac:dyDescent="0.35">
      <c r="A636" s="26" t="s">
        <v>9989</v>
      </c>
      <c r="B636" s="25" t="s">
        <v>11078</v>
      </c>
      <c r="C636" s="6" t="s">
        <v>11327</v>
      </c>
      <c r="D636" s="13">
        <v>994.81270500000005</v>
      </c>
      <c r="E636" s="18">
        <v>21</v>
      </c>
      <c r="F636" s="2">
        <f t="shared" si="18"/>
        <v>1203.7233730500002</v>
      </c>
      <c r="G636" s="3">
        <v>0</v>
      </c>
      <c r="H636" s="4">
        <v>0.7</v>
      </c>
      <c r="I636" s="28">
        <f t="shared" si="19"/>
        <v>2046.3297341850002</v>
      </c>
    </row>
    <row r="637" spans="1:9" ht="15.75" customHeight="1" x14ac:dyDescent="0.35">
      <c r="A637" s="26" t="s">
        <v>1781</v>
      </c>
      <c r="B637" s="25" t="s">
        <v>11079</v>
      </c>
      <c r="C637" s="6" t="s">
        <v>13469</v>
      </c>
      <c r="D637" s="13">
        <v>7765.6098124800001</v>
      </c>
      <c r="E637" s="18">
        <v>21</v>
      </c>
      <c r="F637" s="2">
        <f t="shared" si="18"/>
        <v>9396.3878731008008</v>
      </c>
      <c r="G637" s="3">
        <v>0</v>
      </c>
      <c r="H637" s="4">
        <v>0.7</v>
      </c>
      <c r="I637" s="28">
        <f t="shared" si="19"/>
        <v>15973.859384271362</v>
      </c>
    </row>
    <row r="638" spans="1:9" ht="15.75" customHeight="1" x14ac:dyDescent="0.35">
      <c r="A638" s="26" t="s">
        <v>9198</v>
      </c>
      <c r="B638" s="25" t="s">
        <v>11080</v>
      </c>
      <c r="C638" s="6" t="s">
        <v>11088</v>
      </c>
      <c r="D638" s="13">
        <v>8038.1184289687199</v>
      </c>
      <c r="E638" s="18">
        <v>21</v>
      </c>
      <c r="F638" s="2">
        <f t="shared" si="18"/>
        <v>9726.1232990521512</v>
      </c>
      <c r="G638" s="3">
        <v>0</v>
      </c>
      <c r="H638" s="4">
        <v>0.7</v>
      </c>
      <c r="I638" s="28">
        <f t="shared" si="19"/>
        <v>16534.409608388658</v>
      </c>
    </row>
    <row r="639" spans="1:9" ht="15.75" customHeight="1" x14ac:dyDescent="0.35">
      <c r="A639" s="26" t="s">
        <v>1782</v>
      </c>
      <c r="B639" s="25" t="s">
        <v>11081</v>
      </c>
      <c r="C639" s="6" t="s">
        <v>13984</v>
      </c>
      <c r="D639" s="13">
        <v>12069.485775360001</v>
      </c>
      <c r="E639" s="18">
        <v>21</v>
      </c>
      <c r="F639" s="2">
        <f t="shared" si="18"/>
        <v>14604.077788185601</v>
      </c>
      <c r="G639" s="3">
        <v>0</v>
      </c>
      <c r="H639" s="4">
        <v>0.7</v>
      </c>
      <c r="I639" s="28">
        <f t="shared" si="19"/>
        <v>24826.932239915521</v>
      </c>
    </row>
    <row r="640" spans="1:9" ht="15.75" customHeight="1" x14ac:dyDescent="0.35">
      <c r="A640" s="26" t="s">
        <v>1784</v>
      </c>
      <c r="B640" s="25" t="s">
        <v>12674</v>
      </c>
      <c r="C640" s="6" t="s">
        <v>12375</v>
      </c>
      <c r="D640" s="13">
        <v>2310.2582630400002</v>
      </c>
      <c r="E640" s="18">
        <v>21</v>
      </c>
      <c r="F640" s="2">
        <f t="shared" si="18"/>
        <v>2795.4124982784001</v>
      </c>
      <c r="G640" s="3">
        <v>0</v>
      </c>
      <c r="H640" s="4">
        <v>0.7</v>
      </c>
      <c r="I640" s="28">
        <f t="shared" si="19"/>
        <v>4752.2012470732798</v>
      </c>
    </row>
    <row r="641" spans="1:9" ht="15.75" customHeight="1" x14ac:dyDescent="0.35">
      <c r="A641" s="26" t="s">
        <v>1783</v>
      </c>
      <c r="B641" s="25" t="s">
        <v>11082</v>
      </c>
      <c r="C641" s="6" t="s">
        <v>11091</v>
      </c>
      <c r="D641" s="13">
        <v>2398.8935317913802</v>
      </c>
      <c r="E641" s="18">
        <v>21</v>
      </c>
      <c r="F641" s="2">
        <f t="shared" si="18"/>
        <v>2902.6611734675698</v>
      </c>
      <c r="G641" s="3">
        <v>0</v>
      </c>
      <c r="H641" s="4">
        <v>0.7</v>
      </c>
      <c r="I641" s="28">
        <f t="shared" si="19"/>
        <v>4934.5239948948683</v>
      </c>
    </row>
    <row r="642" spans="1:9" ht="15.75" customHeight="1" x14ac:dyDescent="0.35">
      <c r="A642" s="26" t="s">
        <v>9317</v>
      </c>
      <c r="B642" s="25" t="s">
        <v>12181</v>
      </c>
      <c r="C642" s="6" t="s">
        <v>11094</v>
      </c>
      <c r="D642" s="13">
        <v>1753.31699712</v>
      </c>
      <c r="E642" s="18">
        <v>21</v>
      </c>
      <c r="F642" s="2">
        <f t="shared" si="18"/>
        <v>2121.5135665152002</v>
      </c>
      <c r="G642" s="3">
        <v>0</v>
      </c>
      <c r="H642" s="4">
        <v>0.7</v>
      </c>
      <c r="I642" s="28">
        <f t="shared" si="19"/>
        <v>3606.5730630758403</v>
      </c>
    </row>
    <row r="643" spans="1:9" ht="15.75" customHeight="1" x14ac:dyDescent="0.35">
      <c r="A643" s="26" t="s">
        <v>9984</v>
      </c>
      <c r="B643" s="25" t="s">
        <v>11083</v>
      </c>
      <c r="C643" s="6" t="s">
        <v>11328</v>
      </c>
      <c r="D643" s="13">
        <v>1589.75892</v>
      </c>
      <c r="E643" s="18">
        <v>21</v>
      </c>
      <c r="F643" s="2">
        <f t="shared" si="18"/>
        <v>1923.6082931999999</v>
      </c>
      <c r="G643" s="3">
        <v>0</v>
      </c>
      <c r="H643" s="4">
        <v>0.7</v>
      </c>
      <c r="I643" s="28">
        <f t="shared" si="19"/>
        <v>3270.1340984399999</v>
      </c>
    </row>
    <row r="644" spans="1:9" ht="15.75" customHeight="1" x14ac:dyDescent="0.35">
      <c r="A644" s="26" t="s">
        <v>12976</v>
      </c>
      <c r="B644" s="25" t="s">
        <v>11848</v>
      </c>
      <c r="C644" s="6" t="s">
        <v>13470</v>
      </c>
      <c r="D644" s="13">
        <v>18514.94800896</v>
      </c>
      <c r="E644" s="18">
        <v>21</v>
      </c>
      <c r="F644" s="2">
        <f t="shared" si="18"/>
        <v>22403.0870908416</v>
      </c>
      <c r="G644" s="3">
        <v>0</v>
      </c>
      <c r="H644" s="4">
        <v>0.7</v>
      </c>
      <c r="I644" s="28">
        <f t="shared" si="19"/>
        <v>38085.248054430718</v>
      </c>
    </row>
    <row r="645" spans="1:9" ht="15.75" customHeight="1" x14ac:dyDescent="0.35">
      <c r="A645" s="26" t="s">
        <v>1786</v>
      </c>
      <c r="B645" s="25" t="s">
        <v>11849</v>
      </c>
      <c r="C645" s="6" t="s">
        <v>13471</v>
      </c>
      <c r="D645" s="13">
        <v>3396.5789644800002</v>
      </c>
      <c r="E645" s="18">
        <v>21</v>
      </c>
      <c r="F645" s="2">
        <f t="shared" si="18"/>
        <v>4109.8605470208004</v>
      </c>
      <c r="G645" s="3">
        <v>0</v>
      </c>
      <c r="H645" s="4">
        <v>0.7</v>
      </c>
      <c r="I645" s="28">
        <f t="shared" si="19"/>
        <v>6986.7629299353603</v>
      </c>
    </row>
    <row r="646" spans="1:9" ht="15.75" customHeight="1" x14ac:dyDescent="0.35">
      <c r="A646" s="26" t="s">
        <v>1789</v>
      </c>
      <c r="B646" s="25" t="s">
        <v>11084</v>
      </c>
      <c r="C646" s="6" t="s">
        <v>11095</v>
      </c>
      <c r="D646" s="13">
        <v>3549.8660146493498</v>
      </c>
      <c r="E646" s="18">
        <v>21</v>
      </c>
      <c r="F646" s="2">
        <f t="shared" ref="F646:F709" si="20">D646*E646/100+D646</f>
        <v>4295.337877725713</v>
      </c>
      <c r="G646" s="3">
        <v>0</v>
      </c>
      <c r="H646" s="4">
        <v>0.7</v>
      </c>
      <c r="I646" s="28">
        <f t="shared" ref="I646:I709" si="21">IF(G646=-1,0,F646*((100-G646)/100)*(1+H646))</f>
        <v>7302.0743921337116</v>
      </c>
    </row>
    <row r="647" spans="1:9" ht="15.75" customHeight="1" x14ac:dyDescent="0.35">
      <c r="A647" s="26" t="s">
        <v>1790</v>
      </c>
      <c r="B647" s="25" t="s">
        <v>11085</v>
      </c>
      <c r="C647" s="6" t="s">
        <v>13472</v>
      </c>
      <c r="D647" s="13">
        <v>4924.9786060799997</v>
      </c>
      <c r="E647" s="18">
        <v>21</v>
      </c>
      <c r="F647" s="2">
        <f t="shared" si="20"/>
        <v>5959.2241133567995</v>
      </c>
      <c r="G647" s="3">
        <v>0</v>
      </c>
      <c r="H647" s="4">
        <v>0.7</v>
      </c>
      <c r="I647" s="28">
        <f t="shared" si="21"/>
        <v>10130.680992706559</v>
      </c>
    </row>
    <row r="648" spans="1:9" ht="15.75" customHeight="1" x14ac:dyDescent="0.35">
      <c r="A648" s="26" t="s">
        <v>1793</v>
      </c>
      <c r="B648" s="25" t="s">
        <v>11086</v>
      </c>
      <c r="C648" s="6" t="s">
        <v>11099</v>
      </c>
      <c r="D648" s="13">
        <v>5076.1930573753298</v>
      </c>
      <c r="E648" s="18">
        <v>21</v>
      </c>
      <c r="F648" s="2">
        <f t="shared" si="20"/>
        <v>6142.1935994241485</v>
      </c>
      <c r="G648" s="3">
        <v>0</v>
      </c>
      <c r="H648" s="4">
        <v>0.7</v>
      </c>
      <c r="I648" s="28">
        <f t="shared" si="21"/>
        <v>10441.729119021053</v>
      </c>
    </row>
    <row r="649" spans="1:9" ht="15.75" customHeight="1" x14ac:dyDescent="0.35">
      <c r="A649" s="26" t="s">
        <v>1796</v>
      </c>
      <c r="B649" s="25" t="s">
        <v>11087</v>
      </c>
      <c r="C649" s="6" t="s">
        <v>11102</v>
      </c>
      <c r="D649" s="13">
        <v>2198.7647896690601</v>
      </c>
      <c r="E649" s="18">
        <v>21</v>
      </c>
      <c r="F649" s="2">
        <f t="shared" si="20"/>
        <v>2660.5053954995628</v>
      </c>
      <c r="G649" s="3">
        <v>0</v>
      </c>
      <c r="H649" s="4">
        <v>0.7</v>
      </c>
      <c r="I649" s="28">
        <f t="shared" si="21"/>
        <v>4522.8591723492564</v>
      </c>
    </row>
    <row r="650" spans="1:9" ht="15.75" customHeight="1" x14ac:dyDescent="0.35">
      <c r="A650" s="26" t="s">
        <v>1794</v>
      </c>
      <c r="B650" s="25" t="s">
        <v>11327</v>
      </c>
      <c r="C650" s="6" t="s">
        <v>12376</v>
      </c>
      <c r="D650" s="13">
        <v>2204.3054591999999</v>
      </c>
      <c r="E650" s="18">
        <v>21</v>
      </c>
      <c r="F650" s="2">
        <f t="shared" si="20"/>
        <v>2667.2096056319997</v>
      </c>
      <c r="G650" s="3">
        <v>0</v>
      </c>
      <c r="H650" s="4">
        <v>0.7</v>
      </c>
      <c r="I650" s="28">
        <f t="shared" si="21"/>
        <v>4534.2563295743994</v>
      </c>
    </row>
    <row r="651" spans="1:9" ht="15.75" customHeight="1" x14ac:dyDescent="0.35">
      <c r="A651" s="26" t="s">
        <v>9318</v>
      </c>
      <c r="B651" s="25" t="s">
        <v>11088</v>
      </c>
      <c r="C651" s="6" t="s">
        <v>11105</v>
      </c>
      <c r="D651" s="13">
        <v>1742.3587658880001</v>
      </c>
      <c r="E651" s="18">
        <v>21</v>
      </c>
      <c r="F651" s="2">
        <f t="shared" si="20"/>
        <v>2108.2541067244802</v>
      </c>
      <c r="G651" s="3">
        <v>0</v>
      </c>
      <c r="H651" s="4">
        <v>0.7</v>
      </c>
      <c r="I651" s="28">
        <f t="shared" si="21"/>
        <v>3584.0319814316163</v>
      </c>
    </row>
    <row r="652" spans="1:9" ht="15.75" customHeight="1" x14ac:dyDescent="0.35">
      <c r="A652" s="26" t="s">
        <v>1798</v>
      </c>
      <c r="B652" s="25" t="s">
        <v>11089</v>
      </c>
      <c r="C652" s="6" t="s">
        <v>13473</v>
      </c>
      <c r="D652" s="13">
        <v>11077.548318720001</v>
      </c>
      <c r="E652" s="18">
        <v>21</v>
      </c>
      <c r="F652" s="2">
        <f t="shared" si="20"/>
        <v>13403.833465651202</v>
      </c>
      <c r="G652" s="3">
        <v>0</v>
      </c>
      <c r="H652" s="4">
        <v>0.7</v>
      </c>
      <c r="I652" s="28">
        <f t="shared" si="21"/>
        <v>22786.516891607043</v>
      </c>
    </row>
    <row r="653" spans="1:9" ht="15.75" customHeight="1" x14ac:dyDescent="0.35">
      <c r="A653" s="26" t="s">
        <v>11830</v>
      </c>
      <c r="B653" s="25" t="s">
        <v>11090</v>
      </c>
      <c r="C653" s="6" t="s">
        <v>11831</v>
      </c>
      <c r="D653" s="13">
        <v>11313.1410494884</v>
      </c>
      <c r="E653" s="18">
        <v>21</v>
      </c>
      <c r="F653" s="2">
        <f t="shared" si="20"/>
        <v>13688.900669880964</v>
      </c>
      <c r="G653" s="3">
        <v>0</v>
      </c>
      <c r="H653" s="4">
        <v>0.7</v>
      </c>
      <c r="I653" s="28">
        <f t="shared" si="21"/>
        <v>23271.131138797638</v>
      </c>
    </row>
    <row r="654" spans="1:9" ht="15.75" customHeight="1" x14ac:dyDescent="0.35">
      <c r="A654" s="26" t="s">
        <v>8966</v>
      </c>
      <c r="B654" s="25" t="s">
        <v>12375</v>
      </c>
      <c r="C654" s="6" t="s">
        <v>13474</v>
      </c>
      <c r="D654" s="13">
        <v>148631.68929024</v>
      </c>
      <c r="E654" s="18">
        <v>21</v>
      </c>
      <c r="F654" s="2">
        <f t="shared" si="20"/>
        <v>179844.3440411904</v>
      </c>
      <c r="G654" s="3">
        <v>0</v>
      </c>
      <c r="H654" s="4">
        <v>0.7</v>
      </c>
      <c r="I654" s="28">
        <f t="shared" si="21"/>
        <v>305735.3848700237</v>
      </c>
    </row>
    <row r="655" spans="1:9" ht="15.75" customHeight="1" x14ac:dyDescent="0.35">
      <c r="A655" s="26" t="s">
        <v>1800</v>
      </c>
      <c r="B655" s="25" t="s">
        <v>11091</v>
      </c>
      <c r="C655" s="6" t="s">
        <v>12377</v>
      </c>
      <c r="D655" s="13">
        <v>17277.00519168</v>
      </c>
      <c r="E655" s="18">
        <v>21</v>
      </c>
      <c r="F655" s="2">
        <f t="shared" si="20"/>
        <v>20905.1762819328</v>
      </c>
      <c r="G655" s="3">
        <v>0</v>
      </c>
      <c r="H655" s="4">
        <v>0.7</v>
      </c>
      <c r="I655" s="28">
        <f t="shared" si="21"/>
        <v>35538.799679285759</v>
      </c>
    </row>
    <row r="656" spans="1:9" ht="15.75" customHeight="1" x14ac:dyDescent="0.35">
      <c r="A656" s="26" t="s">
        <v>9246</v>
      </c>
      <c r="B656" s="25" t="s">
        <v>11092</v>
      </c>
      <c r="C656" s="6" t="s">
        <v>11108</v>
      </c>
      <c r="D656" s="13">
        <v>17518.954507253198</v>
      </c>
      <c r="E656" s="18">
        <v>21</v>
      </c>
      <c r="F656" s="2">
        <f t="shared" si="20"/>
        <v>21197.93495377637</v>
      </c>
      <c r="G656" s="3">
        <v>0</v>
      </c>
      <c r="H656" s="4">
        <v>0.7</v>
      </c>
      <c r="I656" s="28">
        <f t="shared" si="21"/>
        <v>36036.489421419828</v>
      </c>
    </row>
    <row r="657" spans="1:9" ht="15.75" customHeight="1" x14ac:dyDescent="0.35">
      <c r="A657" s="26" t="s">
        <v>1802</v>
      </c>
      <c r="B657" s="25" t="s">
        <v>11093</v>
      </c>
      <c r="C657" s="6" t="s">
        <v>13475</v>
      </c>
      <c r="D657" s="13">
        <v>3199.2875366399999</v>
      </c>
      <c r="E657" s="18">
        <v>21</v>
      </c>
      <c r="F657" s="2">
        <f t="shared" si="20"/>
        <v>3871.1379193344001</v>
      </c>
      <c r="G657" s="3">
        <v>0</v>
      </c>
      <c r="H657" s="4">
        <v>0.7</v>
      </c>
      <c r="I657" s="28">
        <f t="shared" si="21"/>
        <v>6580.9344628684803</v>
      </c>
    </row>
    <row r="658" spans="1:9" ht="15.75" customHeight="1" x14ac:dyDescent="0.35">
      <c r="A658" s="26" t="s">
        <v>1804</v>
      </c>
      <c r="B658" s="25" t="s">
        <v>11094</v>
      </c>
      <c r="C658" s="6" t="s">
        <v>11111</v>
      </c>
      <c r="D658" s="13">
        <v>3284.8050723995202</v>
      </c>
      <c r="E658" s="18">
        <v>21</v>
      </c>
      <c r="F658" s="2">
        <f t="shared" si="20"/>
        <v>3974.6141376034193</v>
      </c>
      <c r="G658" s="3">
        <v>0</v>
      </c>
      <c r="H658" s="4">
        <v>0.7</v>
      </c>
      <c r="I658" s="28">
        <f t="shared" si="21"/>
        <v>6756.8440339258123</v>
      </c>
    </row>
    <row r="659" spans="1:9" ht="15.75" customHeight="1" x14ac:dyDescent="0.35">
      <c r="A659" s="26" t="s">
        <v>5848</v>
      </c>
      <c r="B659" s="25" t="s">
        <v>11328</v>
      </c>
      <c r="C659" s="6" t="s">
        <v>13476</v>
      </c>
      <c r="D659" s="13">
        <v>26928.453127680001</v>
      </c>
      <c r="E659" s="18">
        <v>21</v>
      </c>
      <c r="F659" s="2">
        <f t="shared" si="20"/>
        <v>32583.428284492802</v>
      </c>
      <c r="G659" s="3">
        <v>0</v>
      </c>
      <c r="H659" s="4">
        <v>0.7</v>
      </c>
      <c r="I659" s="28">
        <f t="shared" si="21"/>
        <v>55391.82808363776</v>
      </c>
    </row>
    <row r="660" spans="1:9" ht="15.75" customHeight="1" x14ac:dyDescent="0.35">
      <c r="A660" s="26" t="s">
        <v>1806</v>
      </c>
      <c r="B660" s="25" t="s">
        <v>12977</v>
      </c>
      <c r="C660" s="6" t="s">
        <v>13477</v>
      </c>
      <c r="D660" s="13">
        <v>32032.455436799999</v>
      </c>
      <c r="E660" s="18">
        <v>21</v>
      </c>
      <c r="F660" s="2">
        <f t="shared" si="20"/>
        <v>38759.271078528</v>
      </c>
      <c r="G660" s="3">
        <v>0</v>
      </c>
      <c r="H660" s="4">
        <v>0.7</v>
      </c>
      <c r="I660" s="28">
        <f t="shared" si="21"/>
        <v>65890.760833497596</v>
      </c>
    </row>
    <row r="661" spans="1:9" ht="15.75" customHeight="1" x14ac:dyDescent="0.35">
      <c r="A661" s="26" t="s">
        <v>1971</v>
      </c>
      <c r="B661" s="25" t="s">
        <v>11095</v>
      </c>
      <c r="C661" s="6" t="s">
        <v>13478</v>
      </c>
      <c r="D661" s="13">
        <v>35608.05810432</v>
      </c>
      <c r="E661" s="18">
        <v>21</v>
      </c>
      <c r="F661" s="2">
        <f t="shared" si="20"/>
        <v>43085.750306227201</v>
      </c>
      <c r="G661" s="3">
        <v>0</v>
      </c>
      <c r="H661" s="4">
        <v>0.7</v>
      </c>
      <c r="I661" s="28">
        <f t="shared" si="21"/>
        <v>73245.775520586234</v>
      </c>
    </row>
    <row r="662" spans="1:9" ht="15.75" customHeight="1" x14ac:dyDescent="0.35">
      <c r="A662" s="26" t="s">
        <v>1809</v>
      </c>
      <c r="B662" s="25" t="s">
        <v>11096</v>
      </c>
      <c r="C662" s="6" t="s">
        <v>13479</v>
      </c>
      <c r="D662" s="13">
        <v>42333.01652736</v>
      </c>
      <c r="E662" s="18">
        <v>21</v>
      </c>
      <c r="F662" s="2">
        <f t="shared" si="20"/>
        <v>51222.9499981056</v>
      </c>
      <c r="G662" s="3">
        <v>0</v>
      </c>
      <c r="H662" s="4">
        <v>0.7</v>
      </c>
      <c r="I662" s="28">
        <f t="shared" si="21"/>
        <v>87079.014996779515</v>
      </c>
    </row>
    <row r="663" spans="1:9" ht="15.75" customHeight="1" x14ac:dyDescent="0.35">
      <c r="A663" s="26" t="s">
        <v>1811</v>
      </c>
      <c r="B663" s="25" t="s">
        <v>11097</v>
      </c>
      <c r="C663" s="6" t="s">
        <v>12379</v>
      </c>
      <c r="D663" s="13">
        <v>4829.9864371200001</v>
      </c>
      <c r="E663" s="18">
        <v>21</v>
      </c>
      <c r="F663" s="2">
        <f t="shared" si="20"/>
        <v>5844.2835889152002</v>
      </c>
      <c r="G663" s="3">
        <v>0</v>
      </c>
      <c r="H663" s="4">
        <v>0.7</v>
      </c>
      <c r="I663" s="28">
        <f t="shared" si="21"/>
        <v>9935.2821011558408</v>
      </c>
    </row>
    <row r="664" spans="1:9" ht="15.75" customHeight="1" x14ac:dyDescent="0.35">
      <c r="A664" s="26" t="s">
        <v>9299</v>
      </c>
      <c r="B664" s="25" t="s">
        <v>11098</v>
      </c>
      <c r="C664" s="6" t="s">
        <v>11120</v>
      </c>
      <c r="D664" s="13">
        <v>4994.3590849194698</v>
      </c>
      <c r="E664" s="18">
        <v>21</v>
      </c>
      <c r="F664" s="2">
        <f t="shared" si="20"/>
        <v>6043.1744927525588</v>
      </c>
      <c r="G664" s="3">
        <v>0</v>
      </c>
      <c r="H664" s="4">
        <v>0.7</v>
      </c>
      <c r="I664" s="28">
        <f t="shared" si="21"/>
        <v>10273.396637679351</v>
      </c>
    </row>
    <row r="665" spans="1:9" ht="15.75" customHeight="1" x14ac:dyDescent="0.35">
      <c r="A665" s="26" t="s">
        <v>1814</v>
      </c>
      <c r="B665" s="25" t="s">
        <v>11099</v>
      </c>
      <c r="C665" s="6" t="s">
        <v>13480</v>
      </c>
      <c r="D665" s="13">
        <v>50024.946516479999</v>
      </c>
      <c r="E665" s="18">
        <v>21</v>
      </c>
      <c r="F665" s="2">
        <f t="shared" si="20"/>
        <v>60530.185284940802</v>
      </c>
      <c r="G665" s="3">
        <v>0</v>
      </c>
      <c r="H665" s="4">
        <v>0.7</v>
      </c>
      <c r="I665" s="28">
        <f t="shared" si="21"/>
        <v>102901.31498439936</v>
      </c>
    </row>
    <row r="666" spans="1:9" ht="15.75" customHeight="1" x14ac:dyDescent="0.35">
      <c r="A666" s="26" t="s">
        <v>1815</v>
      </c>
      <c r="B666" s="25" t="s">
        <v>11100</v>
      </c>
      <c r="C666" s="6" t="s">
        <v>13481</v>
      </c>
      <c r="D666" s="13">
        <v>58440.278407680002</v>
      </c>
      <c r="E666" s="18">
        <v>21</v>
      </c>
      <c r="F666" s="2">
        <f t="shared" si="20"/>
        <v>70712.736873292801</v>
      </c>
      <c r="G666" s="3">
        <v>0</v>
      </c>
      <c r="H666" s="4">
        <v>0.7</v>
      </c>
      <c r="I666" s="28">
        <f t="shared" si="21"/>
        <v>120211.65268459776</v>
      </c>
    </row>
    <row r="667" spans="1:9" ht="15.75" customHeight="1" x14ac:dyDescent="0.35">
      <c r="A667" s="26" t="s">
        <v>1816</v>
      </c>
      <c r="B667" s="25" t="s">
        <v>11101</v>
      </c>
      <c r="C667" s="6" t="s">
        <v>12380</v>
      </c>
      <c r="D667" s="13">
        <v>6865.6199040000001</v>
      </c>
      <c r="E667" s="18">
        <v>21</v>
      </c>
      <c r="F667" s="2">
        <f t="shared" si="20"/>
        <v>8307.4000838400007</v>
      </c>
      <c r="G667" s="3">
        <v>0</v>
      </c>
      <c r="H667" s="4">
        <v>0.7</v>
      </c>
      <c r="I667" s="28">
        <f t="shared" si="21"/>
        <v>14122.580142528001</v>
      </c>
    </row>
    <row r="668" spans="1:9" ht="15.75" customHeight="1" x14ac:dyDescent="0.35">
      <c r="A668" s="26" t="s">
        <v>1818</v>
      </c>
      <c r="B668" s="25" t="s">
        <v>11102</v>
      </c>
      <c r="C668" s="6" t="s">
        <v>11126</v>
      </c>
      <c r="D668" s="13">
        <v>6923.61850107597</v>
      </c>
      <c r="E668" s="18">
        <v>21</v>
      </c>
      <c r="F668" s="2">
        <f t="shared" si="20"/>
        <v>8377.5783863019242</v>
      </c>
      <c r="G668" s="3">
        <v>0</v>
      </c>
      <c r="H668" s="4">
        <v>0.7</v>
      </c>
      <c r="I668" s="28">
        <f t="shared" si="21"/>
        <v>14241.88325671327</v>
      </c>
    </row>
    <row r="669" spans="1:9" ht="15.75" customHeight="1" x14ac:dyDescent="0.35">
      <c r="A669" s="26" t="s">
        <v>1819</v>
      </c>
      <c r="B669" s="25" t="s">
        <v>12376</v>
      </c>
      <c r="C669" s="6" t="s">
        <v>13482</v>
      </c>
      <c r="D669" s="13">
        <v>2705.4500428800002</v>
      </c>
      <c r="E669" s="18">
        <v>21</v>
      </c>
      <c r="F669" s="2">
        <f t="shared" si="20"/>
        <v>3273.5945518848002</v>
      </c>
      <c r="G669" s="3">
        <v>0</v>
      </c>
      <c r="H669" s="4">
        <v>0.7</v>
      </c>
      <c r="I669" s="28">
        <f t="shared" si="21"/>
        <v>5565.11073820416</v>
      </c>
    </row>
    <row r="670" spans="1:9" ht="15.75" customHeight="1" x14ac:dyDescent="0.35">
      <c r="A670" s="26" t="s">
        <v>1821</v>
      </c>
      <c r="B670" s="25" t="s">
        <v>11103</v>
      </c>
      <c r="C670" s="6" t="s">
        <v>13483</v>
      </c>
      <c r="D670" s="13">
        <v>14309.108835839999</v>
      </c>
      <c r="E670" s="18">
        <v>21</v>
      </c>
      <c r="F670" s="2">
        <f t="shared" si="20"/>
        <v>17314.021691366397</v>
      </c>
      <c r="G670" s="3">
        <v>0</v>
      </c>
      <c r="H670" s="4">
        <v>0.7</v>
      </c>
      <c r="I670" s="28">
        <f t="shared" si="21"/>
        <v>29433.836875322875</v>
      </c>
    </row>
    <row r="671" spans="1:9" ht="15.75" customHeight="1" x14ac:dyDescent="0.35">
      <c r="A671" s="26" t="s">
        <v>9199</v>
      </c>
      <c r="B671" s="25" t="s">
        <v>11104</v>
      </c>
      <c r="C671" s="6" t="s">
        <v>11131</v>
      </c>
      <c r="D671" s="13">
        <v>14249.269907350699</v>
      </c>
      <c r="E671" s="18">
        <v>21</v>
      </c>
      <c r="F671" s="2">
        <f t="shared" si="20"/>
        <v>17241.616587894347</v>
      </c>
      <c r="G671" s="3">
        <v>0</v>
      </c>
      <c r="H671" s="4">
        <v>0.7</v>
      </c>
      <c r="I671" s="28">
        <f t="shared" si="21"/>
        <v>29310.748199420388</v>
      </c>
    </row>
    <row r="672" spans="1:9" ht="15.75" customHeight="1" x14ac:dyDescent="0.35">
      <c r="A672" s="26" t="s">
        <v>1823</v>
      </c>
      <c r="B672" s="25" t="s">
        <v>11105</v>
      </c>
      <c r="C672" s="6" t="s">
        <v>13484</v>
      </c>
      <c r="D672" s="13">
        <v>22460.167641600001</v>
      </c>
      <c r="E672" s="18">
        <v>21</v>
      </c>
      <c r="F672" s="2">
        <f t="shared" si="20"/>
        <v>27176.802846336002</v>
      </c>
      <c r="G672" s="3">
        <v>0</v>
      </c>
      <c r="H672" s="4">
        <v>0.7</v>
      </c>
      <c r="I672" s="28">
        <f t="shared" si="21"/>
        <v>46200.564838771206</v>
      </c>
    </row>
    <row r="673" spans="1:9" ht="15.75" customHeight="1" x14ac:dyDescent="0.35">
      <c r="A673" s="26" t="s">
        <v>8784</v>
      </c>
      <c r="B673" s="25" t="s">
        <v>11831</v>
      </c>
      <c r="C673" s="6" t="s">
        <v>11134</v>
      </c>
      <c r="D673" s="13">
        <v>22388.793091412299</v>
      </c>
      <c r="E673" s="18">
        <v>21</v>
      </c>
      <c r="F673" s="2">
        <f t="shared" si="20"/>
        <v>27090.439640608882</v>
      </c>
      <c r="G673" s="3">
        <v>0</v>
      </c>
      <c r="H673" s="4">
        <v>0.7</v>
      </c>
      <c r="I673" s="28">
        <f t="shared" si="21"/>
        <v>46053.747389035096</v>
      </c>
    </row>
    <row r="674" spans="1:9" ht="15.75" customHeight="1" x14ac:dyDescent="0.35">
      <c r="A674" s="26" t="s">
        <v>1825</v>
      </c>
      <c r="B674" s="25" t="s">
        <v>11106</v>
      </c>
      <c r="C674" s="6" t="s">
        <v>13485</v>
      </c>
      <c r="D674" s="13">
        <v>4140.0753638400001</v>
      </c>
      <c r="E674" s="18">
        <v>21</v>
      </c>
      <c r="F674" s="2">
        <f t="shared" si="20"/>
        <v>5009.4911902464</v>
      </c>
      <c r="G674" s="3">
        <v>0</v>
      </c>
      <c r="H674" s="4">
        <v>0.7</v>
      </c>
      <c r="I674" s="28">
        <f t="shared" si="21"/>
        <v>8516.1350234188794</v>
      </c>
    </row>
    <row r="675" spans="1:9" ht="15.75" customHeight="1" x14ac:dyDescent="0.35">
      <c r="A675" s="26" t="s">
        <v>1827</v>
      </c>
      <c r="B675" s="25" t="s">
        <v>11107</v>
      </c>
      <c r="C675" s="6" t="s">
        <v>11137</v>
      </c>
      <c r="D675" s="13">
        <v>4201.8452684784597</v>
      </c>
      <c r="E675" s="18">
        <v>21</v>
      </c>
      <c r="F675" s="2">
        <f t="shared" si="20"/>
        <v>5084.232774858936</v>
      </c>
      <c r="G675" s="3">
        <v>0</v>
      </c>
      <c r="H675" s="4">
        <v>0.7</v>
      </c>
      <c r="I675" s="28">
        <f t="shared" si="21"/>
        <v>8643.1957172601906</v>
      </c>
    </row>
    <row r="676" spans="1:9" ht="15.75" customHeight="1" x14ac:dyDescent="0.35">
      <c r="A676" s="26" t="s">
        <v>1828</v>
      </c>
      <c r="B676" s="25" t="s">
        <v>12077</v>
      </c>
      <c r="C676" s="6" t="s">
        <v>13486</v>
      </c>
      <c r="D676" s="13">
        <v>42333.01652736</v>
      </c>
      <c r="E676" s="18">
        <v>21</v>
      </c>
      <c r="F676" s="2">
        <f t="shared" si="20"/>
        <v>51222.9499981056</v>
      </c>
      <c r="G676" s="3">
        <v>0</v>
      </c>
      <c r="H676" s="4">
        <v>0.7</v>
      </c>
      <c r="I676" s="28">
        <f t="shared" si="21"/>
        <v>87079.014996779515</v>
      </c>
    </row>
    <row r="677" spans="1:9" ht="15.75" customHeight="1" x14ac:dyDescent="0.35">
      <c r="A677" s="26" t="s">
        <v>1829</v>
      </c>
      <c r="B677" s="25" t="s">
        <v>12377</v>
      </c>
      <c r="C677" s="6" t="s">
        <v>13487</v>
      </c>
      <c r="D677" s="13">
        <v>6230.5120051200001</v>
      </c>
      <c r="E677" s="18">
        <v>21</v>
      </c>
      <c r="F677" s="2">
        <f t="shared" si="20"/>
        <v>7538.9195261952</v>
      </c>
      <c r="G677" s="3">
        <v>0</v>
      </c>
      <c r="H677" s="4">
        <v>0.7</v>
      </c>
      <c r="I677" s="28">
        <f t="shared" si="21"/>
        <v>12816.16319453184</v>
      </c>
    </row>
    <row r="678" spans="1:9" ht="15.75" customHeight="1" x14ac:dyDescent="0.35">
      <c r="A678" s="26" t="s">
        <v>1832</v>
      </c>
      <c r="B678" s="25" t="s">
        <v>11108</v>
      </c>
      <c r="C678" s="6" t="s">
        <v>11141</v>
      </c>
      <c r="D678" s="13">
        <v>6446.8591861151999</v>
      </c>
      <c r="E678" s="18">
        <v>21</v>
      </c>
      <c r="F678" s="2">
        <f t="shared" si="20"/>
        <v>7800.6996151993917</v>
      </c>
      <c r="G678" s="3">
        <v>0</v>
      </c>
      <c r="H678" s="4">
        <v>0.7</v>
      </c>
      <c r="I678" s="28">
        <f t="shared" si="21"/>
        <v>13261.189345838966</v>
      </c>
    </row>
    <row r="679" spans="1:9" ht="15.75" customHeight="1" x14ac:dyDescent="0.35">
      <c r="A679" s="26" t="s">
        <v>1833</v>
      </c>
      <c r="B679" s="25" t="s">
        <v>11109</v>
      </c>
      <c r="C679" s="6" t="s">
        <v>12381</v>
      </c>
      <c r="D679" s="13">
        <v>8940.2245171199993</v>
      </c>
      <c r="E679" s="18">
        <v>21</v>
      </c>
      <c r="F679" s="2">
        <f t="shared" si="20"/>
        <v>10817.671665715199</v>
      </c>
      <c r="G679" s="3">
        <v>0</v>
      </c>
      <c r="H679" s="4">
        <v>0.7</v>
      </c>
      <c r="I679" s="28">
        <f t="shared" si="21"/>
        <v>18390.041831715836</v>
      </c>
    </row>
    <row r="680" spans="1:9" ht="15.75" customHeight="1" x14ac:dyDescent="0.35">
      <c r="A680" s="26" t="s">
        <v>1836</v>
      </c>
      <c r="B680" s="25" t="s">
        <v>11110</v>
      </c>
      <c r="C680" s="6" t="s">
        <v>11143</v>
      </c>
      <c r="D680" s="13">
        <v>8739.0216999513905</v>
      </c>
      <c r="E680" s="18">
        <v>21</v>
      </c>
      <c r="F680" s="2">
        <f t="shared" si="20"/>
        <v>10574.216256941183</v>
      </c>
      <c r="G680" s="3">
        <v>0</v>
      </c>
      <c r="H680" s="4">
        <v>0.7</v>
      </c>
      <c r="I680" s="28">
        <f t="shared" si="21"/>
        <v>17976.167636800012</v>
      </c>
    </row>
    <row r="681" spans="1:9" ht="15.75" customHeight="1" x14ac:dyDescent="0.35">
      <c r="A681" s="26" t="s">
        <v>1837</v>
      </c>
      <c r="B681" s="25" t="s">
        <v>12378</v>
      </c>
      <c r="C681" s="6" t="s">
        <v>13488</v>
      </c>
      <c r="D681" s="13">
        <v>3538.4582937599998</v>
      </c>
      <c r="E681" s="18">
        <v>21</v>
      </c>
      <c r="F681" s="2">
        <f t="shared" si="20"/>
        <v>4281.5345354496003</v>
      </c>
      <c r="G681" s="3">
        <v>0</v>
      </c>
      <c r="H681" s="4">
        <v>0.7</v>
      </c>
      <c r="I681" s="28">
        <f t="shared" si="21"/>
        <v>7278.6087102643205</v>
      </c>
    </row>
    <row r="682" spans="1:9" ht="15.75" customHeight="1" x14ac:dyDescent="0.35">
      <c r="A682" s="26" t="s">
        <v>1838</v>
      </c>
      <c r="B682" s="25" t="s">
        <v>11111</v>
      </c>
      <c r="C682" s="6" t="s">
        <v>13489</v>
      </c>
      <c r="D682" s="13">
        <v>18103.924200959998</v>
      </c>
      <c r="E682" s="18">
        <v>21</v>
      </c>
      <c r="F682" s="2">
        <f t="shared" si="20"/>
        <v>21905.7482831616</v>
      </c>
      <c r="G682" s="3">
        <v>0</v>
      </c>
      <c r="H682" s="4">
        <v>0.7</v>
      </c>
      <c r="I682" s="28">
        <f t="shared" si="21"/>
        <v>37239.772081374722</v>
      </c>
    </row>
    <row r="683" spans="1:9" ht="15.75" customHeight="1" x14ac:dyDescent="0.35">
      <c r="A683" s="26" t="s">
        <v>11487</v>
      </c>
      <c r="B683" s="25" t="s">
        <v>11112</v>
      </c>
      <c r="C683" s="6" t="s">
        <v>13490</v>
      </c>
      <c r="D683" s="13">
        <v>28276.611217919999</v>
      </c>
      <c r="E683" s="18">
        <v>21</v>
      </c>
      <c r="F683" s="2">
        <f t="shared" si="20"/>
        <v>34214.699573683196</v>
      </c>
      <c r="G683" s="3">
        <v>0</v>
      </c>
      <c r="H683" s="4">
        <v>0.7</v>
      </c>
      <c r="I683" s="28">
        <f t="shared" si="21"/>
        <v>58164.989275261432</v>
      </c>
    </row>
    <row r="684" spans="1:9" ht="15.75" customHeight="1" x14ac:dyDescent="0.35">
      <c r="A684" s="26" t="s">
        <v>1839</v>
      </c>
      <c r="B684" s="25" t="s">
        <v>12078</v>
      </c>
      <c r="C684" s="6" t="s">
        <v>13491</v>
      </c>
      <c r="D684" s="13">
        <v>5328.0864000000001</v>
      </c>
      <c r="E684" s="18">
        <v>21</v>
      </c>
      <c r="F684" s="2">
        <f t="shared" si="20"/>
        <v>6446.9845439999999</v>
      </c>
      <c r="G684" s="3">
        <v>0</v>
      </c>
      <c r="H684" s="4">
        <v>0.7</v>
      </c>
      <c r="I684" s="28">
        <f t="shared" si="21"/>
        <v>10959.8737248</v>
      </c>
    </row>
    <row r="685" spans="1:9" ht="15.75" customHeight="1" x14ac:dyDescent="0.35">
      <c r="A685" s="26" t="s">
        <v>1841</v>
      </c>
      <c r="B685" s="25" t="s">
        <v>11113</v>
      </c>
      <c r="C685" s="6" t="s">
        <v>13492</v>
      </c>
      <c r="D685" s="13">
        <v>7953.7673779200004</v>
      </c>
      <c r="E685" s="18">
        <v>21</v>
      </c>
      <c r="F685" s="2">
        <f t="shared" si="20"/>
        <v>9624.0585272831995</v>
      </c>
      <c r="G685" s="3">
        <v>0</v>
      </c>
      <c r="H685" s="4">
        <v>0.7</v>
      </c>
      <c r="I685" s="28">
        <f t="shared" si="21"/>
        <v>16360.899496381438</v>
      </c>
    </row>
    <row r="686" spans="1:9" ht="15.75" customHeight="1" x14ac:dyDescent="0.35">
      <c r="A686" s="26" t="s">
        <v>1844</v>
      </c>
      <c r="B686" s="25" t="s">
        <v>11114</v>
      </c>
      <c r="C686" s="6" t="s">
        <v>13493</v>
      </c>
      <c r="D686" s="13">
        <v>11178.629729280001</v>
      </c>
      <c r="E686" s="18">
        <v>21</v>
      </c>
      <c r="F686" s="2">
        <f t="shared" si="20"/>
        <v>13526.141972428801</v>
      </c>
      <c r="G686" s="3">
        <v>0</v>
      </c>
      <c r="H686" s="4">
        <v>0.7</v>
      </c>
      <c r="I686" s="28">
        <f t="shared" si="21"/>
        <v>22994.441353128961</v>
      </c>
    </row>
    <row r="687" spans="1:9" ht="15.75" customHeight="1" x14ac:dyDescent="0.35">
      <c r="A687" s="26" t="s">
        <v>12645</v>
      </c>
      <c r="B687" s="25" t="s">
        <v>11115</v>
      </c>
      <c r="C687" s="6" t="s">
        <v>12646</v>
      </c>
      <c r="D687" s="13">
        <v>11520.383233181999</v>
      </c>
      <c r="E687" s="18">
        <v>21</v>
      </c>
      <c r="F687" s="2">
        <f t="shared" si="20"/>
        <v>13939.663712150219</v>
      </c>
      <c r="G687" s="3">
        <v>0</v>
      </c>
      <c r="H687" s="4">
        <v>0.7</v>
      </c>
      <c r="I687" s="28">
        <f t="shared" si="21"/>
        <v>23697.42831065537</v>
      </c>
    </row>
    <row r="688" spans="1:9" ht="15.75" customHeight="1" x14ac:dyDescent="0.35">
      <c r="A688" s="26" t="s">
        <v>12582</v>
      </c>
      <c r="B688" s="25" t="s">
        <v>11116</v>
      </c>
      <c r="C688" s="6" t="s">
        <v>12583</v>
      </c>
      <c r="D688" s="13">
        <v>2681.4772985</v>
      </c>
      <c r="E688" s="18">
        <v>21</v>
      </c>
      <c r="F688" s="2">
        <f t="shared" si="20"/>
        <v>3244.587531185</v>
      </c>
      <c r="G688" s="3">
        <v>0</v>
      </c>
      <c r="H688" s="4">
        <v>0.7</v>
      </c>
      <c r="I688" s="28">
        <f t="shared" si="21"/>
        <v>5515.7988030144998</v>
      </c>
    </row>
    <row r="689" spans="1:9" ht="15.75" customHeight="1" x14ac:dyDescent="0.35">
      <c r="A689" s="26" t="s">
        <v>12584</v>
      </c>
      <c r="B689" s="25" t="s">
        <v>11117</v>
      </c>
      <c r="C689" s="6" t="s">
        <v>12828</v>
      </c>
      <c r="D689" s="13">
        <v>3547.5445005000001</v>
      </c>
      <c r="E689" s="18">
        <v>21</v>
      </c>
      <c r="F689" s="2">
        <f t="shared" si="20"/>
        <v>4292.5288456050002</v>
      </c>
      <c r="G689" s="3">
        <v>0</v>
      </c>
      <c r="H689" s="4">
        <v>0.7</v>
      </c>
      <c r="I689" s="28">
        <f t="shared" si="21"/>
        <v>7297.2990375284999</v>
      </c>
    </row>
    <row r="690" spans="1:9" ht="15.75" customHeight="1" x14ac:dyDescent="0.35">
      <c r="A690" s="26" t="s">
        <v>12675</v>
      </c>
      <c r="B690" s="25" t="s">
        <v>11118</v>
      </c>
      <c r="C690" s="6" t="s">
        <v>13494</v>
      </c>
      <c r="D690" s="13">
        <v>51192.254131200003</v>
      </c>
      <c r="E690" s="18">
        <v>21</v>
      </c>
      <c r="F690" s="2">
        <f t="shared" si="20"/>
        <v>61942.627498752001</v>
      </c>
      <c r="G690" s="3">
        <v>0</v>
      </c>
      <c r="H690" s="4">
        <v>0.7</v>
      </c>
      <c r="I690" s="28">
        <f t="shared" si="21"/>
        <v>105302.4667478784</v>
      </c>
    </row>
    <row r="691" spans="1:9" ht="15.75" customHeight="1" x14ac:dyDescent="0.35">
      <c r="A691" s="26" t="s">
        <v>2217</v>
      </c>
      <c r="B691" s="25" t="s">
        <v>11119</v>
      </c>
      <c r="C691" s="6" t="s">
        <v>9936</v>
      </c>
      <c r="D691" s="13">
        <v>255.420984</v>
      </c>
      <c r="E691" s="18">
        <v>21</v>
      </c>
      <c r="F691" s="2">
        <f t="shared" si="20"/>
        <v>309.05939064</v>
      </c>
      <c r="G691" s="3">
        <v>0</v>
      </c>
      <c r="H691" s="4">
        <v>0.7</v>
      </c>
      <c r="I691" s="28">
        <f t="shared" si="21"/>
        <v>525.40096408800002</v>
      </c>
    </row>
    <row r="692" spans="1:9" ht="15.75" customHeight="1" x14ac:dyDescent="0.35">
      <c r="A692" s="26" t="s">
        <v>2218</v>
      </c>
      <c r="B692" s="25" t="s">
        <v>12379</v>
      </c>
      <c r="C692" s="6" t="s">
        <v>9937</v>
      </c>
      <c r="D692" s="13">
        <v>360.48043200000001</v>
      </c>
      <c r="E692" s="18">
        <v>21</v>
      </c>
      <c r="F692" s="2">
        <f t="shared" si="20"/>
        <v>436.18132272000003</v>
      </c>
      <c r="G692" s="3">
        <v>0</v>
      </c>
      <c r="H692" s="4">
        <v>0.7</v>
      </c>
      <c r="I692" s="28">
        <f t="shared" si="21"/>
        <v>741.50824862399998</v>
      </c>
    </row>
    <row r="693" spans="1:9" ht="15.75" customHeight="1" x14ac:dyDescent="0.35">
      <c r="A693" s="26" t="s">
        <v>2219</v>
      </c>
      <c r="B693" s="25" t="s">
        <v>11120</v>
      </c>
      <c r="C693" s="6" t="s">
        <v>9938</v>
      </c>
      <c r="D693" s="13">
        <v>494.13327600000002</v>
      </c>
      <c r="E693" s="18">
        <v>21</v>
      </c>
      <c r="F693" s="2">
        <f t="shared" si="20"/>
        <v>597.90126396000005</v>
      </c>
      <c r="G693" s="3">
        <v>0</v>
      </c>
      <c r="H693" s="4">
        <v>0.7</v>
      </c>
      <c r="I693" s="28">
        <f t="shared" si="21"/>
        <v>1016.4321487320001</v>
      </c>
    </row>
    <row r="694" spans="1:9" ht="15.75" customHeight="1" x14ac:dyDescent="0.35">
      <c r="A694" s="26" t="s">
        <v>2221</v>
      </c>
      <c r="B694" s="25" t="s">
        <v>11121</v>
      </c>
      <c r="C694" s="6" t="s">
        <v>9939</v>
      </c>
      <c r="D694" s="13">
        <v>601.02049799999998</v>
      </c>
      <c r="E694" s="18">
        <v>21</v>
      </c>
      <c r="F694" s="2">
        <f t="shared" si="20"/>
        <v>727.23480257999995</v>
      </c>
      <c r="G694" s="3">
        <v>0</v>
      </c>
      <c r="H694" s="4">
        <v>0.7</v>
      </c>
      <c r="I694" s="28">
        <f t="shared" si="21"/>
        <v>1236.2991643859998</v>
      </c>
    </row>
    <row r="695" spans="1:9" ht="15.75" customHeight="1" x14ac:dyDescent="0.35">
      <c r="A695" s="26" t="s">
        <v>2223</v>
      </c>
      <c r="B695" s="25" t="s">
        <v>11122</v>
      </c>
      <c r="C695" s="6" t="s">
        <v>9940</v>
      </c>
      <c r="D695" s="13">
        <v>743.00265000000002</v>
      </c>
      <c r="E695" s="18">
        <v>21</v>
      </c>
      <c r="F695" s="2">
        <f t="shared" si="20"/>
        <v>899.03320650000001</v>
      </c>
      <c r="G695" s="3">
        <v>0</v>
      </c>
      <c r="H695" s="4">
        <v>0.7</v>
      </c>
      <c r="I695" s="28">
        <f t="shared" si="21"/>
        <v>1528.35645105</v>
      </c>
    </row>
    <row r="696" spans="1:9" ht="15.75" customHeight="1" x14ac:dyDescent="0.35">
      <c r="A696" s="26" t="s">
        <v>2224</v>
      </c>
      <c r="B696" s="25" t="s">
        <v>11123</v>
      </c>
      <c r="C696" s="6" t="s">
        <v>9941</v>
      </c>
      <c r="D696" s="13">
        <v>838.130358</v>
      </c>
      <c r="E696" s="18">
        <v>21</v>
      </c>
      <c r="F696" s="2">
        <f t="shared" si="20"/>
        <v>1014.1377331800001</v>
      </c>
      <c r="G696" s="3">
        <v>0</v>
      </c>
      <c r="H696" s="4">
        <v>0.7</v>
      </c>
      <c r="I696" s="28">
        <f t="shared" si="21"/>
        <v>1724.034146406</v>
      </c>
    </row>
    <row r="697" spans="1:9" ht="15.75" customHeight="1" x14ac:dyDescent="0.35">
      <c r="A697" s="26" t="s">
        <v>2226</v>
      </c>
      <c r="B697" s="25" t="s">
        <v>11124</v>
      </c>
      <c r="C697" s="6" t="s">
        <v>117</v>
      </c>
      <c r="D697" s="13">
        <v>55.999363776016203</v>
      </c>
      <c r="E697" s="18">
        <v>21</v>
      </c>
      <c r="F697" s="2">
        <f t="shared" si="20"/>
        <v>67.759230168979599</v>
      </c>
      <c r="G697" s="3">
        <v>0</v>
      </c>
      <c r="H697" s="4">
        <v>0.7</v>
      </c>
      <c r="I697" s="28">
        <f t="shared" si="21"/>
        <v>115.19069128726531</v>
      </c>
    </row>
    <row r="698" spans="1:9" ht="15.75" customHeight="1" x14ac:dyDescent="0.35">
      <c r="A698" s="26" t="s">
        <v>2220</v>
      </c>
      <c r="B698" s="25" t="s">
        <v>11125</v>
      </c>
      <c r="C698" s="6" t="s">
        <v>12035</v>
      </c>
      <c r="D698" s="13">
        <v>527.55900599999995</v>
      </c>
      <c r="E698" s="18">
        <v>21</v>
      </c>
      <c r="F698" s="2">
        <f t="shared" si="20"/>
        <v>638.34639726</v>
      </c>
      <c r="G698" s="3">
        <v>0</v>
      </c>
      <c r="H698" s="4">
        <v>0.7</v>
      </c>
      <c r="I698" s="28">
        <f t="shared" si="21"/>
        <v>1085.1888753420001</v>
      </c>
    </row>
    <row r="699" spans="1:9" ht="15.75" customHeight="1" x14ac:dyDescent="0.35">
      <c r="A699" s="26" t="s">
        <v>2222</v>
      </c>
      <c r="B699" s="25" t="s">
        <v>12380</v>
      </c>
      <c r="C699" s="6" t="s">
        <v>12036</v>
      </c>
      <c r="D699" s="13">
        <v>622.47430829999996</v>
      </c>
      <c r="E699" s="18">
        <v>21</v>
      </c>
      <c r="F699" s="2">
        <f t="shared" si="20"/>
        <v>753.19391304299995</v>
      </c>
      <c r="G699" s="3">
        <v>0</v>
      </c>
      <c r="H699" s="4">
        <v>0.7</v>
      </c>
      <c r="I699" s="28">
        <f t="shared" si="21"/>
        <v>1280.4296521730998</v>
      </c>
    </row>
    <row r="700" spans="1:9" ht="15.75" customHeight="1" x14ac:dyDescent="0.35">
      <c r="A700" s="26" t="s">
        <v>2225</v>
      </c>
      <c r="B700" s="25" t="s">
        <v>11126</v>
      </c>
      <c r="C700" s="6" t="s">
        <v>12037</v>
      </c>
      <c r="D700" s="13">
        <v>859.97184000000004</v>
      </c>
      <c r="E700" s="18">
        <v>21</v>
      </c>
      <c r="F700" s="2">
        <f t="shared" si="20"/>
        <v>1040.5659264000001</v>
      </c>
      <c r="G700" s="3">
        <v>0</v>
      </c>
      <c r="H700" s="4">
        <v>0.7</v>
      </c>
      <c r="I700" s="28">
        <f t="shared" si="21"/>
        <v>1768.96207488</v>
      </c>
    </row>
    <row r="701" spans="1:9" ht="15.75" customHeight="1" x14ac:dyDescent="0.35">
      <c r="A701" s="26" t="s">
        <v>2215</v>
      </c>
      <c r="B701" s="25" t="s">
        <v>11127</v>
      </c>
      <c r="C701" s="6" t="s">
        <v>12038</v>
      </c>
      <c r="D701" s="13">
        <v>859.97184000000004</v>
      </c>
      <c r="E701" s="18">
        <v>21</v>
      </c>
      <c r="F701" s="2">
        <f t="shared" si="20"/>
        <v>1040.5659264000001</v>
      </c>
      <c r="G701" s="3">
        <v>0</v>
      </c>
      <c r="H701" s="4">
        <v>0.7</v>
      </c>
      <c r="I701" s="28">
        <f t="shared" si="21"/>
        <v>1768.96207488</v>
      </c>
    </row>
    <row r="702" spans="1:9" ht="15.75" customHeight="1" x14ac:dyDescent="0.35">
      <c r="A702" s="26" t="s">
        <v>2216</v>
      </c>
      <c r="B702" s="25" t="s">
        <v>11128</v>
      </c>
      <c r="C702" s="6" t="s">
        <v>12039</v>
      </c>
      <c r="D702" s="13">
        <v>1140.4141320000001</v>
      </c>
      <c r="E702" s="18">
        <v>21</v>
      </c>
      <c r="F702" s="2">
        <f t="shared" si="20"/>
        <v>1379.90109972</v>
      </c>
      <c r="G702" s="3">
        <v>0</v>
      </c>
      <c r="H702" s="4">
        <v>0.7</v>
      </c>
      <c r="I702" s="28">
        <f t="shared" si="21"/>
        <v>2345.831869524</v>
      </c>
    </row>
    <row r="703" spans="1:9" ht="15.75" customHeight="1" x14ac:dyDescent="0.35">
      <c r="A703" s="26" t="s">
        <v>1873</v>
      </c>
      <c r="B703" s="25" t="s">
        <v>11129</v>
      </c>
      <c r="C703" s="6" t="s">
        <v>13495</v>
      </c>
      <c r="D703" s="13">
        <v>602.22599423999998</v>
      </c>
      <c r="E703" s="18">
        <v>21</v>
      </c>
      <c r="F703" s="2">
        <f t="shared" si="20"/>
        <v>728.69345303039995</v>
      </c>
      <c r="G703" s="3">
        <v>0</v>
      </c>
      <c r="H703" s="4">
        <v>0.7</v>
      </c>
      <c r="I703" s="28">
        <f t="shared" si="21"/>
        <v>1238.7788701516799</v>
      </c>
    </row>
    <row r="704" spans="1:9" ht="15.75" customHeight="1" x14ac:dyDescent="0.35">
      <c r="A704" s="26" t="s">
        <v>1874</v>
      </c>
      <c r="B704" s="25" t="s">
        <v>11130</v>
      </c>
      <c r="C704" s="6" t="s">
        <v>13346</v>
      </c>
      <c r="D704" s="13">
        <v>769.07121408</v>
      </c>
      <c r="E704" s="18">
        <v>21</v>
      </c>
      <c r="F704" s="2">
        <f t="shared" si="20"/>
        <v>930.57616903680002</v>
      </c>
      <c r="G704" s="3">
        <v>0</v>
      </c>
      <c r="H704" s="4">
        <v>0.7</v>
      </c>
      <c r="I704" s="28">
        <f t="shared" si="21"/>
        <v>1581.9794873625599</v>
      </c>
    </row>
    <row r="705" spans="1:9" ht="15.75" customHeight="1" x14ac:dyDescent="0.35">
      <c r="A705" s="26" t="s">
        <v>1875</v>
      </c>
      <c r="B705" s="25" t="s">
        <v>11131</v>
      </c>
      <c r="C705" s="6" t="s">
        <v>13347</v>
      </c>
      <c r="D705" s="13">
        <v>890.85604608000006</v>
      </c>
      <c r="E705" s="18">
        <v>21</v>
      </c>
      <c r="F705" s="2">
        <f t="shared" si="20"/>
        <v>1077.9358157568001</v>
      </c>
      <c r="G705" s="3">
        <v>0</v>
      </c>
      <c r="H705" s="4">
        <v>0.7</v>
      </c>
      <c r="I705" s="28">
        <f t="shared" si="21"/>
        <v>1832.4908867865602</v>
      </c>
    </row>
    <row r="706" spans="1:9" ht="15.75" customHeight="1" x14ac:dyDescent="0.35">
      <c r="A706" s="26" t="s">
        <v>1860</v>
      </c>
      <c r="B706" s="25" t="s">
        <v>11132</v>
      </c>
      <c r="C706" s="6" t="s">
        <v>11329</v>
      </c>
      <c r="D706" s="13">
        <v>765.49833000000001</v>
      </c>
      <c r="E706" s="18">
        <v>21</v>
      </c>
      <c r="F706" s="2">
        <f t="shared" si="20"/>
        <v>926.25297929999999</v>
      </c>
      <c r="G706" s="3">
        <v>0</v>
      </c>
      <c r="H706" s="4">
        <v>0.7</v>
      </c>
      <c r="I706" s="28">
        <f t="shared" si="21"/>
        <v>1574.63006481</v>
      </c>
    </row>
    <row r="707" spans="1:9" ht="15.75" customHeight="1" x14ac:dyDescent="0.35">
      <c r="A707" s="26" t="s">
        <v>1893</v>
      </c>
      <c r="B707" s="25" t="s">
        <v>11133</v>
      </c>
      <c r="C707" s="6" t="s">
        <v>13813</v>
      </c>
      <c r="D707" s="13">
        <v>890.85604608000006</v>
      </c>
      <c r="E707" s="18">
        <v>21</v>
      </c>
      <c r="F707" s="2">
        <f t="shared" si="20"/>
        <v>1077.9358157568001</v>
      </c>
      <c r="G707" s="3">
        <v>0</v>
      </c>
      <c r="H707" s="4">
        <v>0.7</v>
      </c>
      <c r="I707" s="28">
        <f t="shared" si="21"/>
        <v>1832.4908867865602</v>
      </c>
    </row>
    <row r="708" spans="1:9" ht="15.75" customHeight="1" x14ac:dyDescent="0.35">
      <c r="A708" s="26" t="s">
        <v>1878</v>
      </c>
      <c r="B708" s="25" t="s">
        <v>11134</v>
      </c>
      <c r="C708" s="6" t="s">
        <v>12382</v>
      </c>
      <c r="D708" s="13">
        <v>1302.4887782400001</v>
      </c>
      <c r="E708" s="18">
        <v>21</v>
      </c>
      <c r="F708" s="2">
        <f t="shared" si="20"/>
        <v>1576.0114216704001</v>
      </c>
      <c r="G708" s="3">
        <v>0</v>
      </c>
      <c r="H708" s="4">
        <v>0.7</v>
      </c>
      <c r="I708" s="28">
        <f t="shared" si="21"/>
        <v>2679.21941683968</v>
      </c>
    </row>
    <row r="709" spans="1:9" ht="15.75" customHeight="1" x14ac:dyDescent="0.35">
      <c r="A709" s="26" t="s">
        <v>1862</v>
      </c>
      <c r="B709" s="25" t="s">
        <v>11135</v>
      </c>
      <c r="C709" s="6" t="s">
        <v>11330</v>
      </c>
      <c r="D709" s="13">
        <v>876.94150500000001</v>
      </c>
      <c r="E709" s="18">
        <v>21</v>
      </c>
      <c r="F709" s="2">
        <f t="shared" si="20"/>
        <v>1061.0992210500001</v>
      </c>
      <c r="G709" s="3">
        <v>0</v>
      </c>
      <c r="H709" s="4">
        <v>0.7</v>
      </c>
      <c r="I709" s="28">
        <f t="shared" si="21"/>
        <v>1803.8686757850001</v>
      </c>
    </row>
    <row r="710" spans="1:9" ht="15.75" customHeight="1" x14ac:dyDescent="0.35">
      <c r="A710" s="26" t="s">
        <v>1879</v>
      </c>
      <c r="B710" s="25" t="s">
        <v>11136</v>
      </c>
      <c r="C710" s="6" t="s">
        <v>13814</v>
      </c>
      <c r="D710" s="13">
        <v>1302.4887782400001</v>
      </c>
      <c r="E710" s="18">
        <v>21</v>
      </c>
      <c r="F710" s="2">
        <f t="shared" ref="F710:F773" si="22">D710*E710/100+D710</f>
        <v>1576.0114216704001</v>
      </c>
      <c r="G710" s="3">
        <v>0</v>
      </c>
      <c r="H710" s="4">
        <v>0.7</v>
      </c>
      <c r="I710" s="28">
        <f t="shared" ref="I710:I773" si="23">IF(G710=-1,0,F710*((100-G710)/100)*(1+H710))</f>
        <v>2679.21941683968</v>
      </c>
    </row>
    <row r="711" spans="1:9" ht="15.75" customHeight="1" x14ac:dyDescent="0.35">
      <c r="A711" s="26" t="s">
        <v>1882</v>
      </c>
      <c r="B711" s="25" t="s">
        <v>12524</v>
      </c>
      <c r="C711" s="6" t="s">
        <v>13348</v>
      </c>
      <c r="D711" s="13">
        <v>2077.0403097600001</v>
      </c>
      <c r="E711" s="18">
        <v>21</v>
      </c>
      <c r="F711" s="2">
        <f t="shared" si="22"/>
        <v>2513.2187748096003</v>
      </c>
      <c r="G711" s="3">
        <v>0</v>
      </c>
      <c r="H711" s="4">
        <v>0.7</v>
      </c>
      <c r="I711" s="28">
        <f t="shared" si="23"/>
        <v>4272.4719171763199</v>
      </c>
    </row>
    <row r="712" spans="1:9" ht="15.75" customHeight="1" x14ac:dyDescent="0.35">
      <c r="A712" s="26" t="s">
        <v>1885</v>
      </c>
      <c r="B712" s="25" t="s">
        <v>11137</v>
      </c>
      <c r="C712" s="6" t="s">
        <v>12525</v>
      </c>
      <c r="D712" s="13">
        <v>1313.45496</v>
      </c>
      <c r="E712" s="18">
        <v>21</v>
      </c>
      <c r="F712" s="2">
        <f t="shared" si="22"/>
        <v>1589.2805016</v>
      </c>
      <c r="G712" s="3">
        <v>0</v>
      </c>
      <c r="H712" s="4">
        <v>0.7</v>
      </c>
      <c r="I712" s="28">
        <f t="shared" si="23"/>
        <v>2701.7768527200001</v>
      </c>
    </row>
    <row r="713" spans="1:9" ht="15.75" customHeight="1" x14ac:dyDescent="0.35">
      <c r="A713" s="26" t="s">
        <v>1883</v>
      </c>
      <c r="B713" s="25" t="s">
        <v>11138</v>
      </c>
      <c r="C713" s="6" t="s">
        <v>13815</v>
      </c>
      <c r="D713" s="13">
        <v>2077.0403097600001</v>
      </c>
      <c r="E713" s="18">
        <v>21</v>
      </c>
      <c r="F713" s="2">
        <f t="shared" si="22"/>
        <v>2513.2187748096003</v>
      </c>
      <c r="G713" s="3">
        <v>0</v>
      </c>
      <c r="H713" s="4">
        <v>0.7</v>
      </c>
      <c r="I713" s="28">
        <f t="shared" si="23"/>
        <v>4272.4719171763199</v>
      </c>
    </row>
    <row r="714" spans="1:9" ht="15.75" customHeight="1" x14ac:dyDescent="0.35">
      <c r="A714" s="26" t="s">
        <v>1888</v>
      </c>
      <c r="B714" s="25" t="s">
        <v>11139</v>
      </c>
      <c r="C714" s="6" t="s">
        <v>12887</v>
      </c>
      <c r="D714" s="13">
        <v>3101.8596710400002</v>
      </c>
      <c r="E714" s="18">
        <v>21</v>
      </c>
      <c r="F714" s="2">
        <f t="shared" si="22"/>
        <v>3753.2502019584003</v>
      </c>
      <c r="G714" s="3">
        <v>0</v>
      </c>
      <c r="H714" s="4">
        <v>0.7</v>
      </c>
      <c r="I714" s="28">
        <f t="shared" si="23"/>
        <v>6380.5253433292801</v>
      </c>
    </row>
    <row r="715" spans="1:9" ht="15.75" customHeight="1" x14ac:dyDescent="0.35">
      <c r="A715" s="26" t="s">
        <v>1890</v>
      </c>
      <c r="B715" s="25" t="s">
        <v>11140</v>
      </c>
      <c r="C715" s="6" t="s">
        <v>11160</v>
      </c>
      <c r="D715" s="13">
        <v>3022.4131404581899</v>
      </c>
      <c r="E715" s="18">
        <v>21</v>
      </c>
      <c r="F715" s="2">
        <f t="shared" si="22"/>
        <v>3657.1198999544099</v>
      </c>
      <c r="G715" s="3">
        <v>0</v>
      </c>
      <c r="H715" s="4">
        <v>0.7</v>
      </c>
      <c r="I715" s="28">
        <f t="shared" si="23"/>
        <v>6217.1038299224965</v>
      </c>
    </row>
    <row r="716" spans="1:9" ht="15.75" customHeight="1" x14ac:dyDescent="0.35">
      <c r="A716" s="26" t="s">
        <v>1865</v>
      </c>
      <c r="B716" s="25" t="s">
        <v>12813</v>
      </c>
      <c r="C716" s="6" t="s">
        <v>11331</v>
      </c>
      <c r="D716" s="13">
        <v>2112.3790199999999</v>
      </c>
      <c r="E716" s="18">
        <v>21</v>
      </c>
      <c r="F716" s="2">
        <f t="shared" si="22"/>
        <v>2555.9786141999998</v>
      </c>
      <c r="G716" s="3">
        <v>0</v>
      </c>
      <c r="H716" s="4">
        <v>0.7</v>
      </c>
      <c r="I716" s="28">
        <f t="shared" si="23"/>
        <v>4345.1636441399996</v>
      </c>
    </row>
    <row r="717" spans="1:9" ht="15.75" customHeight="1" x14ac:dyDescent="0.35">
      <c r="A717" s="26" t="s">
        <v>1891</v>
      </c>
      <c r="B717" s="25" t="s">
        <v>11141</v>
      </c>
      <c r="C717" s="6" t="s">
        <v>13349</v>
      </c>
      <c r="D717" s="13">
        <v>4650.9627340799998</v>
      </c>
      <c r="E717" s="18">
        <v>21</v>
      </c>
      <c r="F717" s="2">
        <f t="shared" si="22"/>
        <v>5627.6649082368003</v>
      </c>
      <c r="G717" s="3">
        <v>0</v>
      </c>
      <c r="H717" s="4">
        <v>0.7</v>
      </c>
      <c r="I717" s="28">
        <f t="shared" si="23"/>
        <v>9567.03034400256</v>
      </c>
    </row>
    <row r="718" spans="1:9" ht="15.75" customHeight="1" x14ac:dyDescent="0.35">
      <c r="A718" s="26" t="s">
        <v>1864</v>
      </c>
      <c r="B718" s="25" t="s">
        <v>11142</v>
      </c>
      <c r="C718" s="6" t="s">
        <v>11332</v>
      </c>
      <c r="D718" s="13">
        <v>3031.57215</v>
      </c>
      <c r="E718" s="18">
        <v>21</v>
      </c>
      <c r="F718" s="2">
        <f t="shared" si="22"/>
        <v>3668.2023015</v>
      </c>
      <c r="G718" s="3">
        <v>0</v>
      </c>
      <c r="H718" s="4">
        <v>0.7</v>
      </c>
      <c r="I718" s="28">
        <f t="shared" si="23"/>
        <v>6235.9439125499994</v>
      </c>
    </row>
    <row r="719" spans="1:9" ht="15.75" customHeight="1" x14ac:dyDescent="0.35">
      <c r="A719" s="26" t="s">
        <v>11617</v>
      </c>
      <c r="B719" s="25" t="s">
        <v>12381</v>
      </c>
      <c r="C719" s="6" t="s">
        <v>13496</v>
      </c>
      <c r="D719" s="13">
        <v>973.66973184000005</v>
      </c>
      <c r="E719" s="18">
        <v>21</v>
      </c>
      <c r="F719" s="2">
        <f t="shared" si="22"/>
        <v>1178.1403755264</v>
      </c>
      <c r="G719" s="3">
        <v>0</v>
      </c>
      <c r="H719" s="4">
        <v>0.7</v>
      </c>
      <c r="I719" s="28">
        <f t="shared" si="23"/>
        <v>2002.83863839488</v>
      </c>
    </row>
    <row r="720" spans="1:9" ht="15.75" customHeight="1" x14ac:dyDescent="0.35">
      <c r="A720" s="26" t="s">
        <v>1899</v>
      </c>
      <c r="B720" s="25" t="s">
        <v>11143</v>
      </c>
      <c r="C720" s="6" t="s">
        <v>13350</v>
      </c>
      <c r="D720" s="13">
        <v>1230.0268031999999</v>
      </c>
      <c r="E720" s="18">
        <v>21</v>
      </c>
      <c r="F720" s="2">
        <f t="shared" si="22"/>
        <v>1488.3324318719999</v>
      </c>
      <c r="G720" s="3">
        <v>0</v>
      </c>
      <c r="H720" s="4">
        <v>0.7</v>
      </c>
      <c r="I720" s="28">
        <f t="shared" si="23"/>
        <v>2530.1651341823999</v>
      </c>
    </row>
    <row r="721" spans="1:9" ht="15.75" customHeight="1" x14ac:dyDescent="0.35">
      <c r="A721" s="26" t="s">
        <v>1870</v>
      </c>
      <c r="B721" s="25" t="s">
        <v>11144</v>
      </c>
      <c r="C721" s="6" t="s">
        <v>11333</v>
      </c>
      <c r="D721" s="13">
        <v>1032.6730500000001</v>
      </c>
      <c r="E721" s="18">
        <v>21</v>
      </c>
      <c r="F721" s="2">
        <f t="shared" si="22"/>
        <v>1249.5343905000002</v>
      </c>
      <c r="G721" s="3">
        <v>0</v>
      </c>
      <c r="H721" s="4">
        <v>0.7</v>
      </c>
      <c r="I721" s="28">
        <f t="shared" si="23"/>
        <v>2124.2084638500005</v>
      </c>
    </row>
    <row r="722" spans="1:9" ht="15.75" customHeight="1" x14ac:dyDescent="0.35">
      <c r="A722" s="26" t="s">
        <v>1901</v>
      </c>
      <c r="B722" s="25" t="s">
        <v>11145</v>
      </c>
      <c r="C722" s="6" t="s">
        <v>13351</v>
      </c>
      <c r="D722" s="13">
        <v>1834.6884940800001</v>
      </c>
      <c r="E722" s="18">
        <v>21</v>
      </c>
      <c r="F722" s="2">
        <f t="shared" si="22"/>
        <v>2219.9730778368003</v>
      </c>
      <c r="G722" s="3">
        <v>0</v>
      </c>
      <c r="H722" s="4">
        <v>0.7</v>
      </c>
      <c r="I722" s="28">
        <f t="shared" si="23"/>
        <v>3773.9542323225605</v>
      </c>
    </row>
    <row r="723" spans="1:9" ht="15.75" customHeight="1" x14ac:dyDescent="0.35">
      <c r="A723" s="26" t="s">
        <v>1866</v>
      </c>
      <c r="B723" s="25" t="s">
        <v>11146</v>
      </c>
      <c r="C723" s="6" t="s">
        <v>11334</v>
      </c>
      <c r="D723" s="13">
        <v>1231.9707149999999</v>
      </c>
      <c r="E723" s="18">
        <v>21</v>
      </c>
      <c r="F723" s="2">
        <f t="shared" si="22"/>
        <v>1490.6845651499998</v>
      </c>
      <c r="G723" s="3">
        <v>0</v>
      </c>
      <c r="H723" s="4">
        <v>0.7</v>
      </c>
      <c r="I723" s="28">
        <f t="shared" si="23"/>
        <v>2534.1637607549997</v>
      </c>
    </row>
    <row r="724" spans="1:9" ht="15.75" customHeight="1" x14ac:dyDescent="0.35">
      <c r="A724" s="26" t="s">
        <v>1905</v>
      </c>
      <c r="B724" s="25" t="s">
        <v>11832</v>
      </c>
      <c r="C724" s="6" t="s">
        <v>13352</v>
      </c>
      <c r="D724" s="13">
        <v>2962.4160384000002</v>
      </c>
      <c r="E724" s="18">
        <v>21</v>
      </c>
      <c r="F724" s="2">
        <f t="shared" si="22"/>
        <v>3584.5234064640003</v>
      </c>
      <c r="G724" s="3">
        <v>0</v>
      </c>
      <c r="H724" s="4">
        <v>0.7</v>
      </c>
      <c r="I724" s="28">
        <f t="shared" si="23"/>
        <v>6093.6897909888003</v>
      </c>
    </row>
    <row r="725" spans="1:9" ht="15.75" customHeight="1" x14ac:dyDescent="0.35">
      <c r="A725" s="26" t="s">
        <v>1907</v>
      </c>
      <c r="B725" s="25" t="s">
        <v>11147</v>
      </c>
      <c r="C725" s="6" t="s">
        <v>11165</v>
      </c>
      <c r="D725" s="13">
        <v>2892.5487402031799</v>
      </c>
      <c r="E725" s="18">
        <v>21</v>
      </c>
      <c r="F725" s="2">
        <f t="shared" si="22"/>
        <v>3499.9839756458477</v>
      </c>
      <c r="G725" s="3">
        <v>0</v>
      </c>
      <c r="H725" s="4">
        <v>0.7</v>
      </c>
      <c r="I725" s="28">
        <f t="shared" si="23"/>
        <v>5949.9727585979408</v>
      </c>
    </row>
    <row r="726" spans="1:9" ht="15.75" customHeight="1" x14ac:dyDescent="0.35">
      <c r="A726" s="26" t="s">
        <v>1867</v>
      </c>
      <c r="B726" s="25" t="s">
        <v>11148</v>
      </c>
      <c r="C726" s="6" t="s">
        <v>11335</v>
      </c>
      <c r="D726" s="13">
        <v>1813.4253000000001</v>
      </c>
      <c r="E726" s="18">
        <v>21</v>
      </c>
      <c r="F726" s="2">
        <f t="shared" si="22"/>
        <v>2194.2446130000003</v>
      </c>
      <c r="G726" s="3">
        <v>0</v>
      </c>
      <c r="H726" s="4">
        <v>0.7</v>
      </c>
      <c r="I726" s="28">
        <f t="shared" si="23"/>
        <v>3730.2158421000004</v>
      </c>
    </row>
    <row r="727" spans="1:9" ht="15.75" customHeight="1" x14ac:dyDescent="0.35">
      <c r="A727" s="26" t="s">
        <v>1909</v>
      </c>
      <c r="B727" s="25" t="s">
        <v>11488</v>
      </c>
      <c r="C727" s="6" t="s">
        <v>13353</v>
      </c>
      <c r="D727" s="13">
        <v>4467.0676377600003</v>
      </c>
      <c r="E727" s="18">
        <v>21</v>
      </c>
      <c r="F727" s="2">
        <f t="shared" si="22"/>
        <v>5405.1518416896006</v>
      </c>
      <c r="G727" s="3">
        <v>0</v>
      </c>
      <c r="H727" s="4">
        <v>0.7</v>
      </c>
      <c r="I727" s="28">
        <f t="shared" si="23"/>
        <v>9188.7581308723202</v>
      </c>
    </row>
    <row r="728" spans="1:9" ht="15.75" customHeight="1" x14ac:dyDescent="0.35">
      <c r="A728" s="26" t="s">
        <v>1911</v>
      </c>
      <c r="B728" s="25" t="s">
        <v>11149</v>
      </c>
      <c r="C728" s="6" t="s">
        <v>11167</v>
      </c>
      <c r="D728" s="13">
        <v>4337.0418104732598</v>
      </c>
      <c r="E728" s="18">
        <v>21</v>
      </c>
      <c r="F728" s="2">
        <f t="shared" si="22"/>
        <v>5247.8205906726444</v>
      </c>
      <c r="G728" s="3">
        <v>0</v>
      </c>
      <c r="H728" s="4">
        <v>0.7</v>
      </c>
      <c r="I728" s="28">
        <f t="shared" si="23"/>
        <v>8921.295004143496</v>
      </c>
    </row>
    <row r="729" spans="1:9" ht="15.75" customHeight="1" x14ac:dyDescent="0.35">
      <c r="A729" s="26" t="s">
        <v>1868</v>
      </c>
      <c r="B729" s="25" t="s">
        <v>11150</v>
      </c>
      <c r="C729" s="6" t="s">
        <v>11336</v>
      </c>
      <c r="D729" s="13">
        <v>2998.66644</v>
      </c>
      <c r="E729" s="18">
        <v>21</v>
      </c>
      <c r="F729" s="2">
        <f t="shared" si="22"/>
        <v>3628.3863923999997</v>
      </c>
      <c r="G729" s="3">
        <v>0</v>
      </c>
      <c r="H729" s="4">
        <v>0.7</v>
      </c>
      <c r="I729" s="28">
        <f t="shared" si="23"/>
        <v>6168.2568670799992</v>
      </c>
    </row>
    <row r="730" spans="1:9" ht="15.75" customHeight="1" x14ac:dyDescent="0.35">
      <c r="A730" s="26" t="s">
        <v>1912</v>
      </c>
      <c r="B730" s="25" t="s">
        <v>12814</v>
      </c>
      <c r="C730" s="6" t="s">
        <v>13354</v>
      </c>
      <c r="D730" s="13">
        <v>6731.6565887999996</v>
      </c>
      <c r="E730" s="18">
        <v>21</v>
      </c>
      <c r="F730" s="2">
        <f t="shared" si="22"/>
        <v>8145.3044724479996</v>
      </c>
      <c r="G730" s="3">
        <v>0</v>
      </c>
      <c r="H730" s="4">
        <v>0.7</v>
      </c>
      <c r="I730" s="28">
        <f t="shared" si="23"/>
        <v>13847.017603161599</v>
      </c>
    </row>
    <row r="731" spans="1:9" ht="15.75" customHeight="1" x14ac:dyDescent="0.35">
      <c r="A731" s="26" t="s">
        <v>9200</v>
      </c>
      <c r="B731" s="25" t="s">
        <v>11151</v>
      </c>
      <c r="C731" s="6" t="s">
        <v>11170</v>
      </c>
      <c r="D731" s="13">
        <v>6258.2941957041103</v>
      </c>
      <c r="E731" s="18">
        <v>21</v>
      </c>
      <c r="F731" s="2">
        <f t="shared" si="22"/>
        <v>7572.5359768019734</v>
      </c>
      <c r="G731" s="3">
        <v>0</v>
      </c>
      <c r="H731" s="4">
        <v>0.7</v>
      </c>
      <c r="I731" s="28">
        <f t="shared" si="23"/>
        <v>12873.311160563355</v>
      </c>
    </row>
    <row r="732" spans="1:9" ht="15.75" customHeight="1" x14ac:dyDescent="0.35">
      <c r="A732" s="26" t="s">
        <v>1869</v>
      </c>
      <c r="B732" s="25" t="s">
        <v>11152</v>
      </c>
      <c r="C732" s="6" t="s">
        <v>11337</v>
      </c>
      <c r="D732" s="13">
        <v>4454.3179799999998</v>
      </c>
      <c r="E732" s="18">
        <v>21</v>
      </c>
      <c r="F732" s="2">
        <f t="shared" si="22"/>
        <v>5389.7247557999999</v>
      </c>
      <c r="G732" s="3">
        <v>0</v>
      </c>
      <c r="H732" s="4">
        <v>0.7</v>
      </c>
      <c r="I732" s="28">
        <f t="shared" si="23"/>
        <v>9162.5320848600004</v>
      </c>
    </row>
    <row r="733" spans="1:9" ht="15.75" customHeight="1" x14ac:dyDescent="0.35">
      <c r="A733" s="26" t="s">
        <v>1917</v>
      </c>
      <c r="B733" s="25" t="s">
        <v>12646</v>
      </c>
      <c r="C733" s="6" t="s">
        <v>13355</v>
      </c>
      <c r="D733" s="13">
        <v>1594.16345088</v>
      </c>
      <c r="E733" s="18">
        <v>21</v>
      </c>
      <c r="F733" s="2">
        <f t="shared" si="22"/>
        <v>1928.9377755648002</v>
      </c>
      <c r="G733" s="3">
        <v>0</v>
      </c>
      <c r="H733" s="4">
        <v>0.7</v>
      </c>
      <c r="I733" s="28">
        <f t="shared" si="23"/>
        <v>3279.1942184601603</v>
      </c>
    </row>
    <row r="734" spans="1:9" ht="15.75" customHeight="1" x14ac:dyDescent="0.35">
      <c r="A734" s="26" t="s">
        <v>1919</v>
      </c>
      <c r="B734" s="25" t="s">
        <v>11153</v>
      </c>
      <c r="C734" s="6" t="s">
        <v>11172</v>
      </c>
      <c r="D734" s="13">
        <v>1697.9961396860299</v>
      </c>
      <c r="E734" s="18">
        <v>21</v>
      </c>
      <c r="F734" s="2">
        <f t="shared" si="22"/>
        <v>2054.575329020096</v>
      </c>
      <c r="G734" s="3">
        <v>0</v>
      </c>
      <c r="H734" s="4">
        <v>0.7</v>
      </c>
      <c r="I734" s="28">
        <f t="shared" si="23"/>
        <v>3492.7780593341631</v>
      </c>
    </row>
    <row r="735" spans="1:9" ht="15.75" customHeight="1" x14ac:dyDescent="0.35">
      <c r="A735" s="26" t="s">
        <v>1920</v>
      </c>
      <c r="B735" s="25" t="s">
        <v>11154</v>
      </c>
      <c r="C735" s="6" t="s">
        <v>13356</v>
      </c>
      <c r="D735" s="13">
        <v>2399.7701145599999</v>
      </c>
      <c r="E735" s="18">
        <v>21</v>
      </c>
      <c r="F735" s="2">
        <f t="shared" si="22"/>
        <v>2903.7218386176</v>
      </c>
      <c r="G735" s="3">
        <v>0</v>
      </c>
      <c r="H735" s="4">
        <v>0.7</v>
      </c>
      <c r="I735" s="28">
        <f t="shared" si="23"/>
        <v>4936.3271256499202</v>
      </c>
    </row>
    <row r="736" spans="1:9" ht="15.75" customHeight="1" x14ac:dyDescent="0.35">
      <c r="A736" s="26" t="s">
        <v>1922</v>
      </c>
      <c r="B736" s="25" t="s">
        <v>12583</v>
      </c>
      <c r="C736" s="6" t="s">
        <v>11173</v>
      </c>
      <c r="D736" s="13">
        <v>2383.7730592944999</v>
      </c>
      <c r="E736" s="18">
        <v>21</v>
      </c>
      <c r="F736" s="2">
        <f t="shared" si="22"/>
        <v>2884.365401746345</v>
      </c>
      <c r="G736" s="3">
        <v>0</v>
      </c>
      <c r="H736" s="4">
        <v>0.7</v>
      </c>
      <c r="I736" s="28">
        <f t="shared" si="23"/>
        <v>4903.4211829687865</v>
      </c>
    </row>
    <row r="737" spans="1:9" ht="15.75" customHeight="1" x14ac:dyDescent="0.35">
      <c r="A737" s="26" t="s">
        <v>1923</v>
      </c>
      <c r="B737" s="25" t="s">
        <v>12828</v>
      </c>
      <c r="C737" s="6" t="s">
        <v>13357</v>
      </c>
      <c r="D737" s="13">
        <v>3858.75240192</v>
      </c>
      <c r="E737" s="18">
        <v>21</v>
      </c>
      <c r="F737" s="2">
        <f t="shared" si="22"/>
        <v>4669.0904063232001</v>
      </c>
      <c r="G737" s="3">
        <v>0</v>
      </c>
      <c r="H737" s="4">
        <v>0.7</v>
      </c>
      <c r="I737" s="28">
        <f t="shared" si="23"/>
        <v>7937.4536907494403</v>
      </c>
    </row>
    <row r="738" spans="1:9" ht="15.75" customHeight="1" x14ac:dyDescent="0.35">
      <c r="A738" s="26" t="s">
        <v>1925</v>
      </c>
      <c r="B738" s="25" t="s">
        <v>12676</v>
      </c>
      <c r="C738" s="6" t="s">
        <v>13358</v>
      </c>
      <c r="D738" s="13">
        <v>5946.1444223999997</v>
      </c>
      <c r="E738" s="18">
        <v>21</v>
      </c>
      <c r="F738" s="2">
        <f t="shared" si="22"/>
        <v>7194.8347511039992</v>
      </c>
      <c r="G738" s="3">
        <v>0</v>
      </c>
      <c r="H738" s="4">
        <v>0.7</v>
      </c>
      <c r="I738" s="28">
        <f t="shared" si="23"/>
        <v>12231.219076876798</v>
      </c>
    </row>
    <row r="739" spans="1:9" ht="15.75" customHeight="1" x14ac:dyDescent="0.35">
      <c r="A739" s="26" t="s">
        <v>9201</v>
      </c>
      <c r="B739" s="25" t="s">
        <v>9936</v>
      </c>
      <c r="C739" s="6" t="s">
        <v>11175</v>
      </c>
      <c r="D739" s="13">
        <v>5682.8108937138104</v>
      </c>
      <c r="E739" s="18">
        <v>21</v>
      </c>
      <c r="F739" s="2">
        <f t="shared" si="22"/>
        <v>6876.2011813937106</v>
      </c>
      <c r="G739" s="3">
        <v>0</v>
      </c>
      <c r="H739" s="4">
        <v>0.7</v>
      </c>
      <c r="I739" s="28">
        <f t="shared" si="23"/>
        <v>11689.542008369308</v>
      </c>
    </row>
    <row r="740" spans="1:9" ht="15.75" customHeight="1" x14ac:dyDescent="0.35">
      <c r="A740" s="26" t="s">
        <v>1871</v>
      </c>
      <c r="B740" s="25" t="s">
        <v>9937</v>
      </c>
      <c r="C740" s="6" t="s">
        <v>11897</v>
      </c>
      <c r="D740" s="13">
        <v>4018.3967699999998</v>
      </c>
      <c r="E740" s="18">
        <v>21</v>
      </c>
      <c r="F740" s="2">
        <f t="shared" si="22"/>
        <v>4862.2600917</v>
      </c>
      <c r="G740" s="3">
        <v>0</v>
      </c>
      <c r="H740" s="4">
        <v>0.7</v>
      </c>
      <c r="I740" s="28">
        <f t="shared" si="23"/>
        <v>8265.842155889999</v>
      </c>
    </row>
    <row r="741" spans="1:9" ht="15.75" customHeight="1" x14ac:dyDescent="0.35">
      <c r="A741" s="26" t="s">
        <v>1927</v>
      </c>
      <c r="B741" s="25" t="s">
        <v>9938</v>
      </c>
      <c r="C741" s="6" t="s">
        <v>13359</v>
      </c>
      <c r="D741" s="13">
        <v>8746.5866342400004</v>
      </c>
      <c r="E741" s="18">
        <v>21</v>
      </c>
      <c r="F741" s="2">
        <f t="shared" si="22"/>
        <v>10583.369827430401</v>
      </c>
      <c r="G741" s="3">
        <v>0</v>
      </c>
      <c r="H741" s="4">
        <v>0.7</v>
      </c>
      <c r="I741" s="28">
        <f t="shared" si="23"/>
        <v>17991.728706631682</v>
      </c>
    </row>
    <row r="742" spans="1:9" ht="15.75" customHeight="1" x14ac:dyDescent="0.35">
      <c r="A742" s="26" t="s">
        <v>9202</v>
      </c>
      <c r="B742" s="25" t="s">
        <v>9939</v>
      </c>
      <c r="C742" s="6" t="s">
        <v>11176</v>
      </c>
      <c r="D742" s="13">
        <v>8332.5326057352104</v>
      </c>
      <c r="E742" s="18">
        <v>21</v>
      </c>
      <c r="F742" s="2">
        <f t="shared" si="22"/>
        <v>10082.364452939604</v>
      </c>
      <c r="G742" s="3">
        <v>0</v>
      </c>
      <c r="H742" s="4">
        <v>0.7</v>
      </c>
      <c r="I742" s="28">
        <f t="shared" si="23"/>
        <v>17140.019569997326</v>
      </c>
    </row>
    <row r="743" spans="1:9" ht="15.75" customHeight="1" x14ac:dyDescent="0.35">
      <c r="A743" s="26" t="s">
        <v>1929</v>
      </c>
      <c r="B743" s="25" t="s">
        <v>9940</v>
      </c>
      <c r="C743" s="6" t="s">
        <v>13360</v>
      </c>
      <c r="D743" s="13">
        <v>2059.9904332800002</v>
      </c>
      <c r="E743" s="18">
        <v>21</v>
      </c>
      <c r="F743" s="2">
        <f t="shared" si="22"/>
        <v>2492.5884242688003</v>
      </c>
      <c r="G743" s="3">
        <v>0</v>
      </c>
      <c r="H743" s="4">
        <v>0.7</v>
      </c>
      <c r="I743" s="28">
        <f t="shared" si="23"/>
        <v>4237.4003212569605</v>
      </c>
    </row>
    <row r="744" spans="1:9" ht="15.75" customHeight="1" x14ac:dyDescent="0.35">
      <c r="A744" s="26" t="s">
        <v>1931</v>
      </c>
      <c r="B744" s="25" t="s">
        <v>9941</v>
      </c>
      <c r="C744" s="6" t="s">
        <v>13361</v>
      </c>
      <c r="D744" s="13">
        <v>3116.4738508800001</v>
      </c>
      <c r="E744" s="18">
        <v>21</v>
      </c>
      <c r="F744" s="2">
        <f t="shared" si="22"/>
        <v>3770.9333595648</v>
      </c>
      <c r="G744" s="3">
        <v>0</v>
      </c>
      <c r="H744" s="4">
        <v>0.7</v>
      </c>
      <c r="I744" s="28">
        <f t="shared" si="23"/>
        <v>6410.58671126016</v>
      </c>
    </row>
    <row r="745" spans="1:9" ht="15.75" customHeight="1" x14ac:dyDescent="0.35">
      <c r="A745" s="26" t="s">
        <v>1934</v>
      </c>
      <c r="B745" s="25" t="s">
        <v>117</v>
      </c>
      <c r="C745" s="6" t="s">
        <v>13362</v>
      </c>
      <c r="D745" s="13">
        <v>4959.0783590399997</v>
      </c>
      <c r="E745" s="18">
        <v>21</v>
      </c>
      <c r="F745" s="2">
        <f t="shared" si="22"/>
        <v>6000.4848144383996</v>
      </c>
      <c r="G745" s="3">
        <v>0</v>
      </c>
      <c r="H745" s="4">
        <v>0.7</v>
      </c>
      <c r="I745" s="28">
        <f t="shared" si="23"/>
        <v>10200.824184545279</v>
      </c>
    </row>
    <row r="746" spans="1:9" ht="15.75" customHeight="1" x14ac:dyDescent="0.35">
      <c r="A746" s="26" t="s">
        <v>1872</v>
      </c>
      <c r="B746" s="25" t="s">
        <v>12035</v>
      </c>
      <c r="C746" s="6" t="s">
        <v>11338</v>
      </c>
      <c r="D746" s="13">
        <v>3068.4213450000002</v>
      </c>
      <c r="E746" s="18">
        <v>21</v>
      </c>
      <c r="F746" s="2">
        <f t="shared" si="22"/>
        <v>3712.7898274500003</v>
      </c>
      <c r="G746" s="3">
        <v>0</v>
      </c>
      <c r="H746" s="4">
        <v>0.7</v>
      </c>
      <c r="I746" s="28">
        <f t="shared" si="23"/>
        <v>6311.7427066650007</v>
      </c>
    </row>
    <row r="747" spans="1:9" ht="15.75" customHeight="1" x14ac:dyDescent="0.35">
      <c r="A747" s="26" t="s">
        <v>1937</v>
      </c>
      <c r="B747" s="25" t="s">
        <v>12036</v>
      </c>
      <c r="C747" s="6" t="s">
        <v>13363</v>
      </c>
      <c r="D747" s="13">
        <v>7617.6412416000003</v>
      </c>
      <c r="E747" s="18">
        <v>21</v>
      </c>
      <c r="F747" s="2">
        <f t="shared" si="22"/>
        <v>9217.345902336001</v>
      </c>
      <c r="G747" s="3">
        <v>0</v>
      </c>
      <c r="H747" s="4">
        <v>0.7</v>
      </c>
      <c r="I747" s="28">
        <f t="shared" si="23"/>
        <v>15669.488033971202</v>
      </c>
    </row>
    <row r="748" spans="1:9" ht="15.75" customHeight="1" x14ac:dyDescent="0.35">
      <c r="A748" s="26" t="s">
        <v>1938</v>
      </c>
      <c r="B748" s="25" t="s">
        <v>12037</v>
      </c>
      <c r="C748" s="6" t="s">
        <v>11177</v>
      </c>
      <c r="D748" s="13">
        <v>7272.28883673582</v>
      </c>
      <c r="E748" s="18">
        <v>21</v>
      </c>
      <c r="F748" s="2">
        <f t="shared" si="22"/>
        <v>8799.4694924503419</v>
      </c>
      <c r="G748" s="3">
        <v>0</v>
      </c>
      <c r="H748" s="4">
        <v>0.7</v>
      </c>
      <c r="I748" s="28">
        <f t="shared" si="23"/>
        <v>14959.098137165582</v>
      </c>
    </row>
    <row r="749" spans="1:9" ht="15.75" customHeight="1" x14ac:dyDescent="0.35">
      <c r="A749" s="26" t="s">
        <v>1939</v>
      </c>
      <c r="B749" s="25" t="s">
        <v>12038</v>
      </c>
      <c r="C749" s="6" t="s">
        <v>13497</v>
      </c>
      <c r="D749" s="13">
        <v>11223.690117120001</v>
      </c>
      <c r="E749" s="18">
        <v>21</v>
      </c>
      <c r="F749" s="2">
        <f t="shared" si="22"/>
        <v>13580.665041715201</v>
      </c>
      <c r="G749" s="3">
        <v>0</v>
      </c>
      <c r="H749" s="4">
        <v>0.7</v>
      </c>
      <c r="I749" s="28">
        <f t="shared" si="23"/>
        <v>23087.130570915841</v>
      </c>
    </row>
    <row r="750" spans="1:9" ht="15.75" customHeight="1" x14ac:dyDescent="0.35">
      <c r="A750" s="26" t="s">
        <v>13226</v>
      </c>
      <c r="B750" s="25" t="s">
        <v>12039</v>
      </c>
      <c r="C750" s="6" t="s">
        <v>13364</v>
      </c>
      <c r="D750" s="13">
        <v>2131.4050587647998</v>
      </c>
      <c r="E750" s="18">
        <v>21</v>
      </c>
      <c r="F750" s="2">
        <f t="shared" si="22"/>
        <v>2579.0001211054077</v>
      </c>
      <c r="G750" s="3">
        <v>0</v>
      </c>
      <c r="H750" s="4">
        <v>0.7</v>
      </c>
      <c r="I750" s="28">
        <f t="shared" si="23"/>
        <v>4384.3002058791926</v>
      </c>
    </row>
    <row r="751" spans="1:9" ht="15.75" customHeight="1" x14ac:dyDescent="0.35">
      <c r="A751" s="26" t="s">
        <v>12815</v>
      </c>
      <c r="B751" s="25" t="s">
        <v>11155</v>
      </c>
      <c r="C751" s="6" t="s">
        <v>13365</v>
      </c>
      <c r="D751" s="13">
        <v>4188.1803724800002</v>
      </c>
      <c r="E751" s="18">
        <v>21</v>
      </c>
      <c r="F751" s="2">
        <f t="shared" si="22"/>
        <v>5067.6982507008006</v>
      </c>
      <c r="G751" s="3">
        <v>0</v>
      </c>
      <c r="H751" s="4">
        <v>0.7</v>
      </c>
      <c r="I751" s="28">
        <f t="shared" si="23"/>
        <v>8615.0870261913606</v>
      </c>
    </row>
    <row r="752" spans="1:9" ht="15.75" customHeight="1" x14ac:dyDescent="0.35">
      <c r="A752" s="26" t="s">
        <v>1976</v>
      </c>
      <c r="B752" s="25" t="s">
        <v>13346</v>
      </c>
      <c r="C752" s="6" t="s">
        <v>10408</v>
      </c>
      <c r="D752" s="13">
        <v>549.24959232000003</v>
      </c>
      <c r="E752" s="18">
        <v>21</v>
      </c>
      <c r="F752" s="2">
        <f t="shared" si="22"/>
        <v>664.59200670720008</v>
      </c>
      <c r="G752" s="3">
        <v>0</v>
      </c>
      <c r="H752" s="4">
        <v>0.7</v>
      </c>
      <c r="I752" s="28">
        <f t="shared" si="23"/>
        <v>1129.8064114022402</v>
      </c>
    </row>
    <row r="753" spans="1:9" ht="15.75" customHeight="1" x14ac:dyDescent="0.35">
      <c r="A753" s="26" t="s">
        <v>1977</v>
      </c>
      <c r="B753" s="25" t="s">
        <v>13347</v>
      </c>
      <c r="C753" s="6" t="s">
        <v>10409</v>
      </c>
      <c r="D753" s="13">
        <v>549.24959232000003</v>
      </c>
      <c r="E753" s="18">
        <v>21</v>
      </c>
      <c r="F753" s="2">
        <f t="shared" si="22"/>
        <v>664.59200670720008</v>
      </c>
      <c r="G753" s="3">
        <v>0</v>
      </c>
      <c r="H753" s="4">
        <v>0.7</v>
      </c>
      <c r="I753" s="28">
        <f t="shared" si="23"/>
        <v>1129.8064114022402</v>
      </c>
    </row>
    <row r="754" spans="1:9" ht="15.75" customHeight="1" x14ac:dyDescent="0.35">
      <c r="A754" s="26" t="s">
        <v>1975</v>
      </c>
      <c r="B754" s="25" t="s">
        <v>11329</v>
      </c>
      <c r="C754" s="6" t="s">
        <v>11935</v>
      </c>
      <c r="D754" s="13">
        <v>549.24959232000003</v>
      </c>
      <c r="E754" s="18">
        <v>21</v>
      </c>
      <c r="F754" s="2">
        <f t="shared" si="22"/>
        <v>664.59200670720008</v>
      </c>
      <c r="G754" s="3">
        <v>0</v>
      </c>
      <c r="H754" s="4">
        <v>0.7</v>
      </c>
      <c r="I754" s="28">
        <f t="shared" si="23"/>
        <v>1129.8064114022402</v>
      </c>
    </row>
    <row r="755" spans="1:9" ht="15.75" customHeight="1" x14ac:dyDescent="0.35">
      <c r="A755" s="26" t="s">
        <v>1979</v>
      </c>
      <c r="B755" s="25" t="s">
        <v>11156</v>
      </c>
      <c r="C755" s="6" t="s">
        <v>13549</v>
      </c>
      <c r="D755" s="13">
        <v>876.24186624000004</v>
      </c>
      <c r="E755" s="18">
        <v>21</v>
      </c>
      <c r="F755" s="2">
        <f t="shared" si="22"/>
        <v>1060.2526581504001</v>
      </c>
      <c r="G755" s="3">
        <v>0</v>
      </c>
      <c r="H755" s="4">
        <v>0.7</v>
      </c>
      <c r="I755" s="28">
        <f t="shared" si="23"/>
        <v>1802.42951885568</v>
      </c>
    </row>
    <row r="756" spans="1:9" ht="15.75" customHeight="1" x14ac:dyDescent="0.35">
      <c r="A756" s="26" t="s">
        <v>1980</v>
      </c>
      <c r="B756" s="25" t="s">
        <v>12382</v>
      </c>
      <c r="C756" s="6" t="s">
        <v>13550</v>
      </c>
      <c r="D756" s="13">
        <v>876.24186624000004</v>
      </c>
      <c r="E756" s="18">
        <v>21</v>
      </c>
      <c r="F756" s="2">
        <f t="shared" si="22"/>
        <v>1060.2526581504001</v>
      </c>
      <c r="G756" s="3">
        <v>0</v>
      </c>
      <c r="H756" s="4">
        <v>0.7</v>
      </c>
      <c r="I756" s="28">
        <f t="shared" si="23"/>
        <v>1802.42951885568</v>
      </c>
    </row>
    <row r="757" spans="1:9" ht="15.75" customHeight="1" x14ac:dyDescent="0.35">
      <c r="A757" s="26" t="s">
        <v>1978</v>
      </c>
      <c r="B757" s="25" t="s">
        <v>11157</v>
      </c>
      <c r="C757" s="6" t="s">
        <v>11938</v>
      </c>
      <c r="D757" s="13">
        <v>876.24186624000004</v>
      </c>
      <c r="E757" s="18">
        <v>21</v>
      </c>
      <c r="F757" s="2">
        <f t="shared" si="22"/>
        <v>1060.2526581504001</v>
      </c>
      <c r="G757" s="3">
        <v>0</v>
      </c>
      <c r="H757" s="4">
        <v>0.7</v>
      </c>
      <c r="I757" s="28">
        <f t="shared" si="23"/>
        <v>1802.42951885568</v>
      </c>
    </row>
    <row r="758" spans="1:9" ht="15.75" customHeight="1" x14ac:dyDescent="0.35">
      <c r="A758" s="26" t="s">
        <v>1974</v>
      </c>
      <c r="B758" s="25" t="s">
        <v>11330</v>
      </c>
      <c r="C758" s="6" t="s">
        <v>13551</v>
      </c>
      <c r="D758" s="13">
        <v>876.24186624000004</v>
      </c>
      <c r="E758" s="18">
        <v>21</v>
      </c>
      <c r="F758" s="2">
        <f t="shared" si="22"/>
        <v>1060.2526581504001</v>
      </c>
      <c r="G758" s="3">
        <v>0</v>
      </c>
      <c r="H758" s="4">
        <v>0.7</v>
      </c>
      <c r="I758" s="28">
        <f t="shared" si="23"/>
        <v>1802.42951885568</v>
      </c>
    </row>
    <row r="759" spans="1:9" ht="15.75" customHeight="1" x14ac:dyDescent="0.35">
      <c r="A759" s="26" t="s">
        <v>11833</v>
      </c>
      <c r="B759" s="25" t="s">
        <v>11158</v>
      </c>
      <c r="C759" s="6" t="s">
        <v>13281</v>
      </c>
      <c r="D759" s="13">
        <v>307.50670079999998</v>
      </c>
      <c r="E759" s="18">
        <v>21</v>
      </c>
      <c r="F759" s="2">
        <f t="shared" si="22"/>
        <v>372.08310796799998</v>
      </c>
      <c r="G759" s="3">
        <v>0</v>
      </c>
      <c r="H759" s="4">
        <v>0.7</v>
      </c>
      <c r="I759" s="28">
        <f t="shared" si="23"/>
        <v>632.54128354559998</v>
      </c>
    </row>
    <row r="760" spans="1:9" ht="15.75" customHeight="1" x14ac:dyDescent="0.35">
      <c r="A760" s="26" t="s">
        <v>11972</v>
      </c>
      <c r="B760" s="25" t="s">
        <v>13348</v>
      </c>
      <c r="C760" s="6" t="s">
        <v>13282</v>
      </c>
      <c r="D760" s="13">
        <v>307.50670079999998</v>
      </c>
      <c r="E760" s="18">
        <v>21</v>
      </c>
      <c r="F760" s="2">
        <f t="shared" si="22"/>
        <v>372.08310796799998</v>
      </c>
      <c r="G760" s="3">
        <v>0</v>
      </c>
      <c r="H760" s="4">
        <v>0.7</v>
      </c>
      <c r="I760" s="28">
        <f t="shared" si="23"/>
        <v>632.54128354559998</v>
      </c>
    </row>
    <row r="761" spans="1:9" ht="15.75" customHeight="1" x14ac:dyDescent="0.35">
      <c r="A761" s="26" t="s">
        <v>11834</v>
      </c>
      <c r="B761" s="25" t="s">
        <v>12525</v>
      </c>
      <c r="C761" s="6" t="s">
        <v>13283</v>
      </c>
      <c r="D761" s="13">
        <v>307.50670079999998</v>
      </c>
      <c r="E761" s="18">
        <v>21</v>
      </c>
      <c r="F761" s="2">
        <f t="shared" si="22"/>
        <v>372.08310796799998</v>
      </c>
      <c r="G761" s="3">
        <v>0</v>
      </c>
      <c r="H761" s="4">
        <v>0.7</v>
      </c>
      <c r="I761" s="28">
        <f t="shared" si="23"/>
        <v>632.54128354559998</v>
      </c>
    </row>
    <row r="762" spans="1:9" ht="15.75" customHeight="1" x14ac:dyDescent="0.35">
      <c r="A762" s="26" t="s">
        <v>1981</v>
      </c>
      <c r="B762" s="25" t="s">
        <v>11159</v>
      </c>
      <c r="C762" s="6" t="s">
        <v>13284</v>
      </c>
      <c r="D762" s="13">
        <v>307.50670079999998</v>
      </c>
      <c r="E762" s="18">
        <v>21</v>
      </c>
      <c r="F762" s="2">
        <f t="shared" si="22"/>
        <v>372.08310796799998</v>
      </c>
      <c r="G762" s="3">
        <v>0</v>
      </c>
      <c r="H762" s="4">
        <v>0.7</v>
      </c>
      <c r="I762" s="28">
        <f t="shared" si="23"/>
        <v>632.54128354559998</v>
      </c>
    </row>
    <row r="763" spans="1:9" ht="15.75" customHeight="1" x14ac:dyDescent="0.35">
      <c r="A763" s="26" t="s">
        <v>11835</v>
      </c>
      <c r="B763" s="25" t="s">
        <v>12887</v>
      </c>
      <c r="C763" s="6" t="s">
        <v>13285</v>
      </c>
      <c r="D763" s="13">
        <v>307.50670079999998</v>
      </c>
      <c r="E763" s="18">
        <v>21</v>
      </c>
      <c r="F763" s="2">
        <f t="shared" si="22"/>
        <v>372.08310796799998</v>
      </c>
      <c r="G763" s="3">
        <v>0</v>
      </c>
      <c r="H763" s="4">
        <v>0.7</v>
      </c>
      <c r="I763" s="28">
        <f t="shared" si="23"/>
        <v>632.54128354559998</v>
      </c>
    </row>
    <row r="764" spans="1:9" ht="15.75" customHeight="1" x14ac:dyDescent="0.35">
      <c r="A764" s="26" t="s">
        <v>1941</v>
      </c>
      <c r="B764" s="25" t="s">
        <v>11160</v>
      </c>
      <c r="C764" s="6" t="s">
        <v>11339</v>
      </c>
      <c r="D764" s="13">
        <v>277.04181060000002</v>
      </c>
      <c r="E764" s="18">
        <v>21</v>
      </c>
      <c r="F764" s="2">
        <f t="shared" si="22"/>
        <v>335.22059082600003</v>
      </c>
      <c r="G764" s="3">
        <v>0</v>
      </c>
      <c r="H764" s="4">
        <v>0.7</v>
      </c>
      <c r="I764" s="28">
        <f t="shared" si="23"/>
        <v>569.87500440420001</v>
      </c>
    </row>
    <row r="765" spans="1:9" ht="15.75" customHeight="1" x14ac:dyDescent="0.35">
      <c r="A765" s="26" t="s">
        <v>1984</v>
      </c>
      <c r="B765" s="25" t="s">
        <v>11331</v>
      </c>
      <c r="C765" s="6" t="s">
        <v>13286</v>
      </c>
      <c r="D765" s="13">
        <v>375.09728256</v>
      </c>
      <c r="E765" s="18">
        <v>21</v>
      </c>
      <c r="F765" s="2">
        <f t="shared" si="22"/>
        <v>453.86771189759997</v>
      </c>
      <c r="G765" s="3">
        <v>0</v>
      </c>
      <c r="H765" s="4">
        <v>0.7</v>
      </c>
      <c r="I765" s="28">
        <f t="shared" si="23"/>
        <v>771.57511022591996</v>
      </c>
    </row>
    <row r="766" spans="1:9" ht="15.75" customHeight="1" x14ac:dyDescent="0.35">
      <c r="A766" s="26" t="s">
        <v>1942</v>
      </c>
      <c r="B766" s="25" t="s">
        <v>13349</v>
      </c>
      <c r="C766" s="6" t="s">
        <v>11340</v>
      </c>
      <c r="D766" s="13">
        <v>277.04181060000002</v>
      </c>
      <c r="E766" s="18">
        <v>21</v>
      </c>
      <c r="F766" s="2">
        <f t="shared" si="22"/>
        <v>335.22059082600003</v>
      </c>
      <c r="G766" s="3">
        <v>0</v>
      </c>
      <c r="H766" s="4">
        <v>0.7</v>
      </c>
      <c r="I766" s="28">
        <f t="shared" si="23"/>
        <v>569.87500440420001</v>
      </c>
    </row>
    <row r="767" spans="1:9" ht="15.75" customHeight="1" x14ac:dyDescent="0.35">
      <c r="A767" s="26" t="s">
        <v>1945</v>
      </c>
      <c r="B767" s="25" t="s">
        <v>11161</v>
      </c>
      <c r="C767" s="6" t="s">
        <v>11341</v>
      </c>
      <c r="D767" s="13">
        <v>277.04181060000002</v>
      </c>
      <c r="E767" s="18">
        <v>21</v>
      </c>
      <c r="F767" s="2">
        <f t="shared" si="22"/>
        <v>335.22059082600003</v>
      </c>
      <c r="G767" s="3">
        <v>0</v>
      </c>
      <c r="H767" s="4">
        <v>0.7</v>
      </c>
      <c r="I767" s="28">
        <f t="shared" si="23"/>
        <v>569.87500440420001</v>
      </c>
    </row>
    <row r="768" spans="1:9" ht="15.75" customHeight="1" x14ac:dyDescent="0.35">
      <c r="A768" s="26" t="s">
        <v>1992</v>
      </c>
      <c r="B768" s="25" t="s">
        <v>11332</v>
      </c>
      <c r="C768" s="6" t="s">
        <v>13287</v>
      </c>
      <c r="D768" s="13">
        <v>375.09728256</v>
      </c>
      <c r="E768" s="18">
        <v>21</v>
      </c>
      <c r="F768" s="2">
        <f t="shared" si="22"/>
        <v>453.86771189759997</v>
      </c>
      <c r="G768" s="3">
        <v>0</v>
      </c>
      <c r="H768" s="4">
        <v>0.7</v>
      </c>
      <c r="I768" s="28">
        <f t="shared" si="23"/>
        <v>771.57511022591996</v>
      </c>
    </row>
    <row r="769" spans="1:9" ht="15.75" customHeight="1" x14ac:dyDescent="0.35">
      <c r="A769" s="26" t="s">
        <v>1982</v>
      </c>
      <c r="B769" s="25" t="s">
        <v>11618</v>
      </c>
      <c r="C769" s="6" t="s">
        <v>12383</v>
      </c>
      <c r="D769" s="13">
        <v>375.09728256</v>
      </c>
      <c r="E769" s="18">
        <v>21</v>
      </c>
      <c r="F769" s="2">
        <f t="shared" si="22"/>
        <v>453.86771189759997</v>
      </c>
      <c r="G769" s="3">
        <v>0</v>
      </c>
      <c r="H769" s="4">
        <v>0.7</v>
      </c>
      <c r="I769" s="28">
        <f t="shared" si="23"/>
        <v>771.57511022591996</v>
      </c>
    </row>
    <row r="770" spans="1:9" ht="15.75" customHeight="1" x14ac:dyDescent="0.35">
      <c r="A770" s="26" t="s">
        <v>2091</v>
      </c>
      <c r="B770" s="25" t="s">
        <v>13350</v>
      </c>
      <c r="C770" s="6" t="s">
        <v>11181</v>
      </c>
      <c r="D770" s="13">
        <v>368.91131031256498</v>
      </c>
      <c r="E770" s="18">
        <v>21</v>
      </c>
      <c r="F770" s="2">
        <f t="shared" si="22"/>
        <v>446.3826854782036</v>
      </c>
      <c r="G770" s="3">
        <v>0</v>
      </c>
      <c r="H770" s="4">
        <v>0.7</v>
      </c>
      <c r="I770" s="28">
        <f t="shared" si="23"/>
        <v>758.85056531294606</v>
      </c>
    </row>
    <row r="771" spans="1:9" ht="15.75" customHeight="1" x14ac:dyDescent="0.35">
      <c r="A771" s="26" t="s">
        <v>9319</v>
      </c>
      <c r="B771" s="25" t="s">
        <v>11162</v>
      </c>
      <c r="C771" s="6" t="s">
        <v>11183</v>
      </c>
      <c r="D771" s="13">
        <v>241.08108710400001</v>
      </c>
      <c r="E771" s="18">
        <v>21</v>
      </c>
      <c r="F771" s="2">
        <f t="shared" si="22"/>
        <v>291.70811539584003</v>
      </c>
      <c r="G771" s="3">
        <v>0</v>
      </c>
      <c r="H771" s="4">
        <v>0.7</v>
      </c>
      <c r="I771" s="28">
        <f t="shared" si="23"/>
        <v>495.90379617292803</v>
      </c>
    </row>
    <row r="772" spans="1:9" ht="15.75" customHeight="1" x14ac:dyDescent="0.35">
      <c r="A772" s="26" t="s">
        <v>2092</v>
      </c>
      <c r="B772" s="25" t="s">
        <v>11333</v>
      </c>
      <c r="C772" s="6" t="s">
        <v>11184</v>
      </c>
      <c r="D772" s="13">
        <v>368.91131031256498</v>
      </c>
      <c r="E772" s="18">
        <v>21</v>
      </c>
      <c r="F772" s="2">
        <f t="shared" si="22"/>
        <v>446.3826854782036</v>
      </c>
      <c r="G772" s="3">
        <v>0</v>
      </c>
      <c r="H772" s="4">
        <v>0.7</v>
      </c>
      <c r="I772" s="28">
        <f t="shared" si="23"/>
        <v>758.85056531294606</v>
      </c>
    </row>
    <row r="773" spans="1:9" ht="15.75" customHeight="1" x14ac:dyDescent="0.35">
      <c r="A773" s="26" t="s">
        <v>9320</v>
      </c>
      <c r="B773" s="25" t="s">
        <v>11163</v>
      </c>
      <c r="C773" s="6" t="s">
        <v>11186</v>
      </c>
      <c r="D773" s="13">
        <v>241.08108710400001</v>
      </c>
      <c r="E773" s="18">
        <v>21</v>
      </c>
      <c r="F773" s="2">
        <f t="shared" si="22"/>
        <v>291.70811539584003</v>
      </c>
      <c r="G773" s="3">
        <v>0</v>
      </c>
      <c r="H773" s="4">
        <v>0.7</v>
      </c>
      <c r="I773" s="28">
        <f t="shared" si="23"/>
        <v>495.90379617292803</v>
      </c>
    </row>
    <row r="774" spans="1:9" ht="15.75" customHeight="1" x14ac:dyDescent="0.35">
      <c r="A774" s="26" t="s">
        <v>1986</v>
      </c>
      <c r="B774" s="25" t="s">
        <v>13351</v>
      </c>
      <c r="C774" s="6" t="s">
        <v>13288</v>
      </c>
      <c r="D774" s="13">
        <v>375.09728256</v>
      </c>
      <c r="E774" s="18">
        <v>21</v>
      </c>
      <c r="F774" s="2">
        <f t="shared" ref="F774:F837" si="24">D774*E774/100+D774</f>
        <v>453.86771189759997</v>
      </c>
      <c r="G774" s="3">
        <v>0</v>
      </c>
      <c r="H774" s="4">
        <v>0.7</v>
      </c>
      <c r="I774" s="28">
        <f t="shared" ref="I774:I837" si="25">IF(G774=-1,0,F774*((100-G774)/100)*(1+H774))</f>
        <v>771.57511022591996</v>
      </c>
    </row>
    <row r="775" spans="1:9" ht="15.75" customHeight="1" x14ac:dyDescent="0.35">
      <c r="A775" s="26" t="s">
        <v>2093</v>
      </c>
      <c r="B775" s="25" t="s">
        <v>11164</v>
      </c>
      <c r="C775" s="6" t="s">
        <v>11187</v>
      </c>
      <c r="D775" s="13">
        <v>368.91131031256498</v>
      </c>
      <c r="E775" s="18">
        <v>21</v>
      </c>
      <c r="F775" s="2">
        <f t="shared" si="24"/>
        <v>446.3826854782036</v>
      </c>
      <c r="G775" s="3">
        <v>0</v>
      </c>
      <c r="H775" s="4">
        <v>0.7</v>
      </c>
      <c r="I775" s="28">
        <f t="shared" si="25"/>
        <v>758.85056531294606</v>
      </c>
    </row>
    <row r="776" spans="1:9" ht="15.75" customHeight="1" x14ac:dyDescent="0.35">
      <c r="A776" s="26" t="s">
        <v>9624</v>
      </c>
      <c r="B776" s="25" t="s">
        <v>11334</v>
      </c>
      <c r="C776" s="6" t="s">
        <v>11188</v>
      </c>
      <c r="D776" s="13">
        <v>241.08108710400001</v>
      </c>
      <c r="E776" s="18">
        <v>21</v>
      </c>
      <c r="F776" s="2">
        <f t="shared" si="24"/>
        <v>291.70811539584003</v>
      </c>
      <c r="G776" s="3">
        <v>0</v>
      </c>
      <c r="H776" s="4">
        <v>0.7</v>
      </c>
      <c r="I776" s="28">
        <f t="shared" si="25"/>
        <v>495.90379617292803</v>
      </c>
    </row>
    <row r="777" spans="1:9" ht="15.75" customHeight="1" x14ac:dyDescent="0.35">
      <c r="A777" s="26" t="s">
        <v>1943</v>
      </c>
      <c r="B777" s="25" t="s">
        <v>13352</v>
      </c>
      <c r="C777" s="6" t="s">
        <v>11342</v>
      </c>
      <c r="D777" s="13">
        <v>277.04181060000002</v>
      </c>
      <c r="E777" s="18">
        <v>21</v>
      </c>
      <c r="F777" s="2">
        <f t="shared" si="24"/>
        <v>335.22059082600003</v>
      </c>
      <c r="G777" s="3">
        <v>0</v>
      </c>
      <c r="H777" s="4">
        <v>0.7</v>
      </c>
      <c r="I777" s="28">
        <f t="shared" si="25"/>
        <v>569.87500440420001</v>
      </c>
    </row>
    <row r="778" spans="1:9" ht="15.75" customHeight="1" x14ac:dyDescent="0.35">
      <c r="A778" s="26" t="s">
        <v>1988</v>
      </c>
      <c r="B778" s="25" t="s">
        <v>11165</v>
      </c>
      <c r="C778" s="6" t="s">
        <v>12384</v>
      </c>
      <c r="D778" s="13">
        <v>375.09728256</v>
      </c>
      <c r="E778" s="18">
        <v>21</v>
      </c>
      <c r="F778" s="2">
        <f t="shared" si="24"/>
        <v>453.86771189759997</v>
      </c>
      <c r="G778" s="3">
        <v>0</v>
      </c>
      <c r="H778" s="4">
        <v>0.7</v>
      </c>
      <c r="I778" s="28">
        <f t="shared" si="25"/>
        <v>771.57511022591996</v>
      </c>
    </row>
    <row r="779" spans="1:9" ht="15.75" customHeight="1" x14ac:dyDescent="0.35">
      <c r="A779" s="26" t="s">
        <v>2094</v>
      </c>
      <c r="B779" s="25" t="s">
        <v>11166</v>
      </c>
      <c r="C779" s="6" t="s">
        <v>11189</v>
      </c>
      <c r="D779" s="13">
        <v>368.91131031256498</v>
      </c>
      <c r="E779" s="18">
        <v>21</v>
      </c>
      <c r="F779" s="2">
        <f t="shared" si="24"/>
        <v>446.3826854782036</v>
      </c>
      <c r="G779" s="3">
        <v>0</v>
      </c>
      <c r="H779" s="4">
        <v>0.7</v>
      </c>
      <c r="I779" s="28">
        <f t="shared" si="25"/>
        <v>758.85056531294606</v>
      </c>
    </row>
    <row r="780" spans="1:9" ht="15.75" customHeight="1" x14ac:dyDescent="0.35">
      <c r="A780" s="26" t="s">
        <v>9625</v>
      </c>
      <c r="B780" s="25" t="s">
        <v>11335</v>
      </c>
      <c r="C780" s="6" t="s">
        <v>11190</v>
      </c>
      <c r="D780" s="13">
        <v>241.08108710400001</v>
      </c>
      <c r="E780" s="18">
        <v>21</v>
      </c>
      <c r="F780" s="2">
        <f t="shared" si="24"/>
        <v>291.70811539584003</v>
      </c>
      <c r="G780" s="3">
        <v>0</v>
      </c>
      <c r="H780" s="4">
        <v>0.7</v>
      </c>
      <c r="I780" s="28">
        <f t="shared" si="25"/>
        <v>495.90379617292803</v>
      </c>
    </row>
    <row r="781" spans="1:9" ht="15.75" customHeight="1" x14ac:dyDescent="0.35">
      <c r="A781" s="26" t="s">
        <v>1944</v>
      </c>
      <c r="B781" s="25" t="s">
        <v>13353</v>
      </c>
      <c r="C781" s="6" t="s">
        <v>11343</v>
      </c>
      <c r="D781" s="13">
        <v>277.04181060000002</v>
      </c>
      <c r="E781" s="18">
        <v>21</v>
      </c>
      <c r="F781" s="2">
        <f t="shared" si="24"/>
        <v>335.22059082600003</v>
      </c>
      <c r="G781" s="3">
        <v>0</v>
      </c>
      <c r="H781" s="4">
        <v>0.7</v>
      </c>
      <c r="I781" s="28">
        <f t="shared" si="25"/>
        <v>569.87500440420001</v>
      </c>
    </row>
    <row r="782" spans="1:9" ht="15.75" customHeight="1" x14ac:dyDescent="0.35">
      <c r="A782" s="26" t="s">
        <v>1990</v>
      </c>
      <c r="B782" s="25" t="s">
        <v>11167</v>
      </c>
      <c r="C782" s="6" t="s">
        <v>12385</v>
      </c>
      <c r="D782" s="13">
        <v>375.09728256</v>
      </c>
      <c r="E782" s="18">
        <v>21</v>
      </c>
      <c r="F782" s="2">
        <f t="shared" si="24"/>
        <v>453.86771189759997</v>
      </c>
      <c r="G782" s="3">
        <v>0</v>
      </c>
      <c r="H782" s="4">
        <v>0.7</v>
      </c>
      <c r="I782" s="28">
        <f t="shared" si="25"/>
        <v>771.57511022591996</v>
      </c>
    </row>
    <row r="783" spans="1:9" ht="15.75" customHeight="1" x14ac:dyDescent="0.35">
      <c r="A783" s="26" t="s">
        <v>2095</v>
      </c>
      <c r="B783" s="25" t="s">
        <v>11168</v>
      </c>
      <c r="C783" s="6" t="s">
        <v>11191</v>
      </c>
      <c r="D783" s="13">
        <v>368.91131031256498</v>
      </c>
      <c r="E783" s="18">
        <v>21</v>
      </c>
      <c r="F783" s="2">
        <f t="shared" si="24"/>
        <v>446.3826854782036</v>
      </c>
      <c r="G783" s="3">
        <v>0</v>
      </c>
      <c r="H783" s="4">
        <v>0.7</v>
      </c>
      <c r="I783" s="28">
        <f t="shared" si="25"/>
        <v>758.85056531294606</v>
      </c>
    </row>
    <row r="784" spans="1:9" ht="15.75" customHeight="1" x14ac:dyDescent="0.35">
      <c r="A784" s="26" t="s">
        <v>9321</v>
      </c>
      <c r="B784" s="25" t="s">
        <v>11169</v>
      </c>
      <c r="C784" s="6" t="s">
        <v>11192</v>
      </c>
      <c r="D784" s="13">
        <v>241.08108710400001</v>
      </c>
      <c r="E784" s="18">
        <v>21</v>
      </c>
      <c r="F784" s="2">
        <f t="shared" si="24"/>
        <v>291.70811539584003</v>
      </c>
      <c r="G784" s="3">
        <v>0</v>
      </c>
      <c r="H784" s="4">
        <v>0.7</v>
      </c>
      <c r="I784" s="28">
        <f t="shared" si="25"/>
        <v>495.90379617292803</v>
      </c>
    </row>
    <row r="785" spans="1:9" ht="15.75" customHeight="1" x14ac:dyDescent="0.35">
      <c r="A785" s="26" t="s">
        <v>2096</v>
      </c>
      <c r="B785" s="25" t="s">
        <v>11336</v>
      </c>
      <c r="C785" s="6" t="s">
        <v>11465</v>
      </c>
      <c r="D785" s="13">
        <v>368.91131031256498</v>
      </c>
      <c r="E785" s="18">
        <v>21</v>
      </c>
      <c r="F785" s="2">
        <f t="shared" si="24"/>
        <v>446.3826854782036</v>
      </c>
      <c r="G785" s="3">
        <v>0</v>
      </c>
      <c r="H785" s="4">
        <v>0.7</v>
      </c>
      <c r="I785" s="28">
        <f t="shared" si="25"/>
        <v>758.85056531294606</v>
      </c>
    </row>
    <row r="786" spans="1:9" ht="15.75" customHeight="1" x14ac:dyDescent="0.35">
      <c r="A786" s="26" t="s">
        <v>9626</v>
      </c>
      <c r="B786" s="25" t="s">
        <v>13354</v>
      </c>
      <c r="C786" s="6" t="s">
        <v>11194</v>
      </c>
      <c r="D786" s="13">
        <v>241.08108710400001</v>
      </c>
      <c r="E786" s="18">
        <v>21</v>
      </c>
      <c r="F786" s="2">
        <f t="shared" si="24"/>
        <v>291.70811539584003</v>
      </c>
      <c r="G786" s="3">
        <v>0</v>
      </c>
      <c r="H786" s="4">
        <v>0.7</v>
      </c>
      <c r="I786" s="28">
        <f t="shared" si="25"/>
        <v>495.90379617292803</v>
      </c>
    </row>
    <row r="787" spans="1:9" ht="15.75" customHeight="1" x14ac:dyDescent="0.35">
      <c r="A787" s="26" t="s">
        <v>1946</v>
      </c>
      <c r="B787" s="25" t="s">
        <v>11170</v>
      </c>
      <c r="C787" s="6" t="s">
        <v>11344</v>
      </c>
      <c r="D787" s="13">
        <v>277.04181060000002</v>
      </c>
      <c r="E787" s="18">
        <v>21</v>
      </c>
      <c r="F787" s="2">
        <f t="shared" si="24"/>
        <v>335.22059082600003</v>
      </c>
      <c r="G787" s="3">
        <v>0</v>
      </c>
      <c r="H787" s="4">
        <v>0.7</v>
      </c>
      <c r="I787" s="28">
        <f t="shared" si="25"/>
        <v>569.87500440420001</v>
      </c>
    </row>
    <row r="788" spans="1:9" ht="15.75" customHeight="1" x14ac:dyDescent="0.35">
      <c r="A788" s="26" t="s">
        <v>8899</v>
      </c>
      <c r="B788" s="25" t="s">
        <v>11171</v>
      </c>
      <c r="C788" s="6" t="s">
        <v>11196</v>
      </c>
      <c r="D788" s="13">
        <v>328.74693696000003</v>
      </c>
      <c r="E788" s="18">
        <v>21</v>
      </c>
      <c r="F788" s="2">
        <f t="shared" si="24"/>
        <v>397.78379372160003</v>
      </c>
      <c r="G788" s="3">
        <v>0</v>
      </c>
      <c r="H788" s="4">
        <v>0.7</v>
      </c>
      <c r="I788" s="28">
        <f t="shared" si="25"/>
        <v>676.23244932672003</v>
      </c>
    </row>
    <row r="789" spans="1:9" ht="15.75" customHeight="1" x14ac:dyDescent="0.35">
      <c r="A789" s="26" t="s">
        <v>1996</v>
      </c>
      <c r="B789" s="25" t="s">
        <v>11337</v>
      </c>
      <c r="C789" s="6" t="s">
        <v>12386</v>
      </c>
      <c r="D789" s="13">
        <v>511.49629440000001</v>
      </c>
      <c r="E789" s="18">
        <v>21</v>
      </c>
      <c r="F789" s="2">
        <f t="shared" si="24"/>
        <v>618.91051622400005</v>
      </c>
      <c r="G789" s="3">
        <v>0</v>
      </c>
      <c r="H789" s="4">
        <v>0.7</v>
      </c>
      <c r="I789" s="28">
        <f t="shared" si="25"/>
        <v>1052.1478775808</v>
      </c>
    </row>
    <row r="790" spans="1:9" ht="15.75" customHeight="1" x14ac:dyDescent="0.35">
      <c r="A790" s="26" t="s">
        <v>8900</v>
      </c>
      <c r="B790" s="25" t="s">
        <v>13355</v>
      </c>
      <c r="C790" s="6" t="s">
        <v>11198</v>
      </c>
      <c r="D790" s="13">
        <v>328.74693696000003</v>
      </c>
      <c r="E790" s="18">
        <v>21</v>
      </c>
      <c r="F790" s="2">
        <f t="shared" si="24"/>
        <v>397.78379372160003</v>
      </c>
      <c r="G790" s="3">
        <v>0</v>
      </c>
      <c r="H790" s="4">
        <v>0.7</v>
      </c>
      <c r="I790" s="28">
        <f t="shared" si="25"/>
        <v>676.23244932672003</v>
      </c>
    </row>
    <row r="791" spans="1:9" ht="15.75" customHeight="1" x14ac:dyDescent="0.35">
      <c r="A791" s="26" t="s">
        <v>1947</v>
      </c>
      <c r="B791" s="25" t="s">
        <v>11172</v>
      </c>
      <c r="C791" s="6" t="s">
        <v>11345</v>
      </c>
      <c r="D791" s="13">
        <v>280.78190999999998</v>
      </c>
      <c r="E791" s="18">
        <v>21</v>
      </c>
      <c r="F791" s="2">
        <f t="shared" si="24"/>
        <v>339.74611110000001</v>
      </c>
      <c r="G791" s="3">
        <v>0</v>
      </c>
      <c r="H791" s="4">
        <v>0.7</v>
      </c>
      <c r="I791" s="28">
        <f t="shared" si="25"/>
        <v>577.56838887000004</v>
      </c>
    </row>
    <row r="792" spans="1:9" ht="15.75" customHeight="1" x14ac:dyDescent="0.35">
      <c r="A792" s="26" t="s">
        <v>1998</v>
      </c>
      <c r="B792" s="25" t="s">
        <v>13356</v>
      </c>
      <c r="C792" s="6" t="s">
        <v>12387</v>
      </c>
      <c r="D792" s="13">
        <v>511.49629440000001</v>
      </c>
      <c r="E792" s="18">
        <v>21</v>
      </c>
      <c r="F792" s="2">
        <f t="shared" si="24"/>
        <v>618.91051622400005</v>
      </c>
      <c r="G792" s="3">
        <v>0</v>
      </c>
      <c r="H792" s="4">
        <v>0.7</v>
      </c>
      <c r="I792" s="28">
        <f t="shared" si="25"/>
        <v>1052.1478775808</v>
      </c>
    </row>
    <row r="793" spans="1:9" ht="15.75" customHeight="1" x14ac:dyDescent="0.35">
      <c r="A793" s="26" t="s">
        <v>2000</v>
      </c>
      <c r="B793" s="25" t="s">
        <v>11173</v>
      </c>
      <c r="C793" s="6" t="s">
        <v>12388</v>
      </c>
      <c r="D793" s="13">
        <v>511.49629440000001</v>
      </c>
      <c r="E793" s="18">
        <v>21</v>
      </c>
      <c r="F793" s="2">
        <f t="shared" si="24"/>
        <v>618.91051622400005</v>
      </c>
      <c r="G793" s="3">
        <v>0</v>
      </c>
      <c r="H793" s="4">
        <v>0.7</v>
      </c>
      <c r="I793" s="28">
        <f t="shared" si="25"/>
        <v>1052.1478775808</v>
      </c>
    </row>
    <row r="794" spans="1:9" ht="15.75" customHeight="1" x14ac:dyDescent="0.35">
      <c r="A794" s="26" t="s">
        <v>8902</v>
      </c>
      <c r="B794" s="25" t="s">
        <v>13357</v>
      </c>
      <c r="C794" s="6" t="s">
        <v>11200</v>
      </c>
      <c r="D794" s="13">
        <v>328.74693696000003</v>
      </c>
      <c r="E794" s="18">
        <v>21</v>
      </c>
      <c r="F794" s="2">
        <f t="shared" si="24"/>
        <v>397.78379372160003</v>
      </c>
      <c r="G794" s="3">
        <v>0</v>
      </c>
      <c r="H794" s="4">
        <v>0.7</v>
      </c>
      <c r="I794" s="28">
        <f t="shared" si="25"/>
        <v>676.23244932672003</v>
      </c>
    </row>
    <row r="795" spans="1:9" ht="15.75" customHeight="1" x14ac:dyDescent="0.35">
      <c r="A795" s="26" t="s">
        <v>1949</v>
      </c>
      <c r="B795" s="25" t="s">
        <v>11174</v>
      </c>
      <c r="C795" s="6" t="s">
        <v>11346</v>
      </c>
      <c r="D795" s="13">
        <v>280.78190999999998</v>
      </c>
      <c r="E795" s="18">
        <v>21</v>
      </c>
      <c r="F795" s="2">
        <f t="shared" si="24"/>
        <v>339.74611110000001</v>
      </c>
      <c r="G795" s="3">
        <v>0</v>
      </c>
      <c r="H795" s="4">
        <v>0.7</v>
      </c>
      <c r="I795" s="28">
        <f t="shared" si="25"/>
        <v>577.56838887000004</v>
      </c>
    </row>
    <row r="796" spans="1:9" ht="15.75" customHeight="1" x14ac:dyDescent="0.35">
      <c r="A796" s="26" t="s">
        <v>2014</v>
      </c>
      <c r="B796" s="25" t="s">
        <v>13358</v>
      </c>
      <c r="C796" s="6" t="s">
        <v>12389</v>
      </c>
      <c r="D796" s="13">
        <v>511.49629440000001</v>
      </c>
      <c r="E796" s="18">
        <v>21</v>
      </c>
      <c r="F796" s="2">
        <f t="shared" si="24"/>
        <v>618.91051622400005</v>
      </c>
      <c r="G796" s="3">
        <v>0</v>
      </c>
      <c r="H796" s="4">
        <v>0.7</v>
      </c>
      <c r="I796" s="28">
        <f t="shared" si="25"/>
        <v>1052.1478775808</v>
      </c>
    </row>
    <row r="797" spans="1:9" ht="15.75" customHeight="1" x14ac:dyDescent="0.35">
      <c r="A797" s="26" t="s">
        <v>8903</v>
      </c>
      <c r="B797" s="25" t="s">
        <v>11175</v>
      </c>
      <c r="C797" s="6" t="s">
        <v>11202</v>
      </c>
      <c r="D797" s="13">
        <v>328.74693696000003</v>
      </c>
      <c r="E797" s="18">
        <v>21</v>
      </c>
      <c r="F797" s="2">
        <f t="shared" si="24"/>
        <v>397.78379372160003</v>
      </c>
      <c r="G797" s="3">
        <v>0</v>
      </c>
      <c r="H797" s="4">
        <v>0.7</v>
      </c>
      <c r="I797" s="28">
        <f t="shared" si="25"/>
        <v>676.23244932672003</v>
      </c>
    </row>
    <row r="798" spans="1:9" ht="15.75" customHeight="1" x14ac:dyDescent="0.35">
      <c r="A798" s="26" t="s">
        <v>1950</v>
      </c>
      <c r="B798" s="25" t="s">
        <v>11897</v>
      </c>
      <c r="C798" s="6" t="s">
        <v>11347</v>
      </c>
      <c r="D798" s="13">
        <v>280.78190999999998</v>
      </c>
      <c r="E798" s="18">
        <v>21</v>
      </c>
      <c r="F798" s="2">
        <f t="shared" si="24"/>
        <v>339.74611110000001</v>
      </c>
      <c r="G798" s="3">
        <v>0</v>
      </c>
      <c r="H798" s="4">
        <v>0.7</v>
      </c>
      <c r="I798" s="28">
        <f t="shared" si="25"/>
        <v>577.56838887000004</v>
      </c>
    </row>
    <row r="799" spans="1:9" ht="15.75" customHeight="1" x14ac:dyDescent="0.35">
      <c r="A799" s="26" t="s">
        <v>2002</v>
      </c>
      <c r="B799" s="25" t="s">
        <v>13359</v>
      </c>
      <c r="C799" s="6" t="s">
        <v>12390</v>
      </c>
      <c r="D799" s="13">
        <v>511.49629440000001</v>
      </c>
      <c r="E799" s="18">
        <v>21</v>
      </c>
      <c r="F799" s="2">
        <f t="shared" si="24"/>
        <v>618.91051622400005</v>
      </c>
      <c r="G799" s="3">
        <v>0</v>
      </c>
      <c r="H799" s="4">
        <v>0.7</v>
      </c>
      <c r="I799" s="28">
        <f t="shared" si="25"/>
        <v>1052.1478775808</v>
      </c>
    </row>
    <row r="800" spans="1:9" ht="15.75" customHeight="1" x14ac:dyDescent="0.35">
      <c r="A800" s="26" t="s">
        <v>8904</v>
      </c>
      <c r="B800" s="25" t="s">
        <v>11176</v>
      </c>
      <c r="C800" s="6" t="s">
        <v>11203</v>
      </c>
      <c r="D800" s="13">
        <v>328.74693696000003</v>
      </c>
      <c r="E800" s="18">
        <v>21</v>
      </c>
      <c r="F800" s="2">
        <f t="shared" si="24"/>
        <v>397.78379372160003</v>
      </c>
      <c r="G800" s="3">
        <v>0</v>
      </c>
      <c r="H800" s="4">
        <v>0.7</v>
      </c>
      <c r="I800" s="28">
        <f t="shared" si="25"/>
        <v>676.23244932672003</v>
      </c>
    </row>
    <row r="801" spans="1:9" ht="15.75" customHeight="1" x14ac:dyDescent="0.35">
      <c r="A801" s="26" t="s">
        <v>1951</v>
      </c>
      <c r="B801" s="25" t="s">
        <v>13360</v>
      </c>
      <c r="C801" s="6" t="s">
        <v>11348</v>
      </c>
      <c r="D801" s="13">
        <v>280.78190999999998</v>
      </c>
      <c r="E801" s="18">
        <v>21</v>
      </c>
      <c r="F801" s="2">
        <f t="shared" si="24"/>
        <v>339.74611110000001</v>
      </c>
      <c r="G801" s="3">
        <v>0</v>
      </c>
      <c r="H801" s="4">
        <v>0.7</v>
      </c>
      <c r="I801" s="28">
        <f t="shared" si="25"/>
        <v>577.56838887000004</v>
      </c>
    </row>
    <row r="802" spans="1:9" ht="15.75" customHeight="1" x14ac:dyDescent="0.35">
      <c r="A802" s="26" t="s">
        <v>1994</v>
      </c>
      <c r="B802" s="25" t="s">
        <v>13361</v>
      </c>
      <c r="C802" s="6" t="s">
        <v>13289</v>
      </c>
      <c r="D802" s="13">
        <v>511.49629440000001</v>
      </c>
      <c r="E802" s="18">
        <v>21</v>
      </c>
      <c r="F802" s="2">
        <f t="shared" si="24"/>
        <v>618.91051622400005</v>
      </c>
      <c r="G802" s="3">
        <v>0</v>
      </c>
      <c r="H802" s="4">
        <v>0.7</v>
      </c>
      <c r="I802" s="28">
        <f t="shared" si="25"/>
        <v>1052.1478775808</v>
      </c>
    </row>
    <row r="803" spans="1:9" ht="15.75" customHeight="1" x14ac:dyDescent="0.35">
      <c r="A803" s="26" t="s">
        <v>2106</v>
      </c>
      <c r="B803" s="25" t="s">
        <v>13362</v>
      </c>
      <c r="C803" s="6" t="s">
        <v>11204</v>
      </c>
      <c r="D803" s="13">
        <v>507.83506053560302</v>
      </c>
      <c r="E803" s="18">
        <v>21</v>
      </c>
      <c r="F803" s="2">
        <f t="shared" si="24"/>
        <v>614.48042324807966</v>
      </c>
      <c r="G803" s="3">
        <v>0</v>
      </c>
      <c r="H803" s="4">
        <v>0.7</v>
      </c>
      <c r="I803" s="28">
        <f t="shared" si="25"/>
        <v>1044.6167195217354</v>
      </c>
    </row>
    <row r="804" spans="1:9" ht="15.75" customHeight="1" x14ac:dyDescent="0.35">
      <c r="A804" s="26" t="s">
        <v>1952</v>
      </c>
      <c r="B804" s="25" t="s">
        <v>11338</v>
      </c>
      <c r="C804" s="6" t="s">
        <v>11349</v>
      </c>
      <c r="D804" s="13">
        <v>280.78190999999998</v>
      </c>
      <c r="E804" s="18">
        <v>21</v>
      </c>
      <c r="F804" s="2">
        <f t="shared" si="24"/>
        <v>339.74611110000001</v>
      </c>
      <c r="G804" s="3">
        <v>0</v>
      </c>
      <c r="H804" s="4">
        <v>0.7</v>
      </c>
      <c r="I804" s="28">
        <f t="shared" si="25"/>
        <v>577.56838887000004</v>
      </c>
    </row>
    <row r="805" spans="1:9" ht="15.75" customHeight="1" x14ac:dyDescent="0.35">
      <c r="A805" s="26" t="s">
        <v>2183</v>
      </c>
      <c r="B805" s="25" t="s">
        <v>13363</v>
      </c>
      <c r="C805" s="6" t="s">
        <v>11350</v>
      </c>
      <c r="D805" s="13">
        <v>280.78190999999998</v>
      </c>
      <c r="E805" s="18">
        <v>21</v>
      </c>
      <c r="F805" s="2">
        <f t="shared" si="24"/>
        <v>339.74611110000001</v>
      </c>
      <c r="G805" s="3">
        <v>0</v>
      </c>
      <c r="H805" s="4">
        <v>0.7</v>
      </c>
      <c r="I805" s="28">
        <f t="shared" si="25"/>
        <v>577.56838887000004</v>
      </c>
    </row>
    <row r="806" spans="1:9" ht="15.75" customHeight="1" x14ac:dyDescent="0.35">
      <c r="A806" s="26" t="s">
        <v>2107</v>
      </c>
      <c r="B806" s="25" t="s">
        <v>11177</v>
      </c>
      <c r="C806" s="6" t="s">
        <v>11205</v>
      </c>
      <c r="D806" s="13">
        <v>507.83506053560302</v>
      </c>
      <c r="E806" s="18">
        <v>21</v>
      </c>
      <c r="F806" s="2">
        <f t="shared" si="24"/>
        <v>614.48042324807966</v>
      </c>
      <c r="G806" s="3">
        <v>0</v>
      </c>
      <c r="H806" s="4">
        <v>0.7</v>
      </c>
      <c r="I806" s="28">
        <f t="shared" si="25"/>
        <v>1044.6167195217354</v>
      </c>
    </row>
    <row r="807" spans="1:9" ht="15.75" customHeight="1" x14ac:dyDescent="0.35">
      <c r="A807" s="26" t="s">
        <v>2108</v>
      </c>
      <c r="B807" s="25" t="s">
        <v>11178</v>
      </c>
      <c r="C807" s="6" t="s">
        <v>11206</v>
      </c>
      <c r="D807" s="13">
        <v>507.83506053560302</v>
      </c>
      <c r="E807" s="18">
        <v>21</v>
      </c>
      <c r="F807" s="2">
        <f t="shared" si="24"/>
        <v>614.48042324807966</v>
      </c>
      <c r="G807" s="3">
        <v>0</v>
      </c>
      <c r="H807" s="4">
        <v>0.7</v>
      </c>
      <c r="I807" s="28">
        <f t="shared" si="25"/>
        <v>1044.6167195217354</v>
      </c>
    </row>
    <row r="808" spans="1:9" ht="15.75" customHeight="1" x14ac:dyDescent="0.35">
      <c r="A808" s="26" t="s">
        <v>8901</v>
      </c>
      <c r="B808" s="25" t="s">
        <v>13364</v>
      </c>
      <c r="C808" s="6" t="s">
        <v>11207</v>
      </c>
      <c r="D808" s="13">
        <v>328.74693696000003</v>
      </c>
      <c r="E808" s="18">
        <v>21</v>
      </c>
      <c r="F808" s="2">
        <f t="shared" si="24"/>
        <v>397.78379372160003</v>
      </c>
      <c r="G808" s="3">
        <v>0</v>
      </c>
      <c r="H808" s="4">
        <v>0.7</v>
      </c>
      <c r="I808" s="28">
        <f t="shared" si="25"/>
        <v>676.23244932672003</v>
      </c>
    </row>
    <row r="809" spans="1:9" ht="15.75" customHeight="1" x14ac:dyDescent="0.35">
      <c r="A809" s="26" t="s">
        <v>1948</v>
      </c>
      <c r="B809" s="25" t="s">
        <v>13365</v>
      </c>
      <c r="C809" s="6" t="s">
        <v>11351</v>
      </c>
      <c r="D809" s="13">
        <v>280.78190999999998</v>
      </c>
      <c r="E809" s="18">
        <v>21</v>
      </c>
      <c r="F809" s="2">
        <f t="shared" si="24"/>
        <v>339.74611110000001</v>
      </c>
      <c r="G809" s="3">
        <v>0</v>
      </c>
      <c r="H809" s="4">
        <v>0.7</v>
      </c>
      <c r="I809" s="28">
        <f t="shared" si="25"/>
        <v>577.56838887000004</v>
      </c>
    </row>
    <row r="810" spans="1:9" ht="15.75" customHeight="1" x14ac:dyDescent="0.35">
      <c r="A810" s="26" t="s">
        <v>2109</v>
      </c>
      <c r="B810" s="25" t="s">
        <v>10408</v>
      </c>
      <c r="C810" s="6" t="s">
        <v>11208</v>
      </c>
      <c r="D810" s="13">
        <v>507.83506053560302</v>
      </c>
      <c r="E810" s="18">
        <v>21</v>
      </c>
      <c r="F810" s="2">
        <f t="shared" si="24"/>
        <v>614.48042324807966</v>
      </c>
      <c r="G810" s="3">
        <v>0</v>
      </c>
      <c r="H810" s="4">
        <v>0.7</v>
      </c>
      <c r="I810" s="28">
        <f t="shared" si="25"/>
        <v>1044.6167195217354</v>
      </c>
    </row>
    <row r="811" spans="1:9" ht="15.75" customHeight="1" x14ac:dyDescent="0.35">
      <c r="A811" s="26" t="s">
        <v>2110</v>
      </c>
      <c r="B811" s="25" t="s">
        <v>10409</v>
      </c>
      <c r="C811" s="6" t="s">
        <v>11210</v>
      </c>
      <c r="D811" s="13">
        <v>507.83506053560302</v>
      </c>
      <c r="E811" s="18">
        <v>21</v>
      </c>
      <c r="F811" s="2">
        <f t="shared" si="24"/>
        <v>614.48042324807966</v>
      </c>
      <c r="G811" s="3">
        <v>0</v>
      </c>
      <c r="H811" s="4">
        <v>0.7</v>
      </c>
      <c r="I811" s="28">
        <f t="shared" si="25"/>
        <v>1044.6167195217354</v>
      </c>
    </row>
    <row r="812" spans="1:9" ht="15.75" customHeight="1" x14ac:dyDescent="0.35">
      <c r="A812" s="26" t="s">
        <v>2111</v>
      </c>
      <c r="B812" s="25" t="s">
        <v>11935</v>
      </c>
      <c r="C812" s="6" t="s">
        <v>11211</v>
      </c>
      <c r="D812" s="13">
        <v>507.83506053560302</v>
      </c>
      <c r="E812" s="18">
        <v>21</v>
      </c>
      <c r="F812" s="2">
        <f t="shared" si="24"/>
        <v>614.48042324807966</v>
      </c>
      <c r="G812" s="3">
        <v>0</v>
      </c>
      <c r="H812" s="4">
        <v>0.7</v>
      </c>
      <c r="I812" s="28">
        <f t="shared" si="25"/>
        <v>1044.6167195217354</v>
      </c>
    </row>
    <row r="813" spans="1:9" ht="15.75" customHeight="1" x14ac:dyDescent="0.35">
      <c r="A813" s="26" t="s">
        <v>2015</v>
      </c>
      <c r="B813" s="25" t="s">
        <v>11936</v>
      </c>
      <c r="C813" s="6" t="s">
        <v>13290</v>
      </c>
      <c r="D813" s="13">
        <v>3137.1772723200002</v>
      </c>
      <c r="E813" s="18">
        <v>21</v>
      </c>
      <c r="F813" s="2">
        <f t="shared" si="24"/>
        <v>3795.9844995072003</v>
      </c>
      <c r="G813" s="3">
        <v>0</v>
      </c>
      <c r="H813" s="4">
        <v>0.7</v>
      </c>
      <c r="I813" s="28">
        <f t="shared" si="25"/>
        <v>6453.1736491622405</v>
      </c>
    </row>
    <row r="814" spans="1:9" ht="15.75" customHeight="1" x14ac:dyDescent="0.35">
      <c r="A814" s="26" t="s">
        <v>2016</v>
      </c>
      <c r="B814" s="25" t="s">
        <v>11937</v>
      </c>
      <c r="C814" s="6" t="s">
        <v>12888</v>
      </c>
      <c r="D814" s="13">
        <v>3137.1772723200002</v>
      </c>
      <c r="E814" s="18">
        <v>21</v>
      </c>
      <c r="F814" s="2">
        <f t="shared" si="24"/>
        <v>3795.9844995072003</v>
      </c>
      <c r="G814" s="3">
        <v>0</v>
      </c>
      <c r="H814" s="4">
        <v>0.7</v>
      </c>
      <c r="I814" s="28">
        <f t="shared" si="25"/>
        <v>6453.1736491622405</v>
      </c>
    </row>
    <row r="815" spans="1:9" ht="15.75" customHeight="1" x14ac:dyDescent="0.35">
      <c r="A815" s="26" t="s">
        <v>2017</v>
      </c>
      <c r="B815" s="25" t="s">
        <v>11938</v>
      </c>
      <c r="C815" s="6" t="s">
        <v>12889</v>
      </c>
      <c r="D815" s="13">
        <v>3137.1772723200002</v>
      </c>
      <c r="E815" s="18">
        <v>21</v>
      </c>
      <c r="F815" s="2">
        <f t="shared" si="24"/>
        <v>3795.9844995072003</v>
      </c>
      <c r="G815" s="3">
        <v>0</v>
      </c>
      <c r="H815" s="4">
        <v>0.7</v>
      </c>
      <c r="I815" s="28">
        <f t="shared" si="25"/>
        <v>6453.1736491622405</v>
      </c>
    </row>
    <row r="816" spans="1:9" ht="15.75" customHeight="1" x14ac:dyDescent="0.35">
      <c r="A816" s="26" t="s">
        <v>2018</v>
      </c>
      <c r="B816" s="25" t="s">
        <v>11939</v>
      </c>
      <c r="C816" s="6" t="s">
        <v>12903</v>
      </c>
      <c r="D816" s="13">
        <v>3137.1772723200002</v>
      </c>
      <c r="E816" s="18">
        <v>21</v>
      </c>
      <c r="F816" s="2">
        <f t="shared" si="24"/>
        <v>3795.9844995072003</v>
      </c>
      <c r="G816" s="3">
        <v>0</v>
      </c>
      <c r="H816" s="4">
        <v>0.7</v>
      </c>
      <c r="I816" s="28">
        <f t="shared" si="25"/>
        <v>6453.1736491622405</v>
      </c>
    </row>
    <row r="817" spans="1:9" ht="15.75" customHeight="1" x14ac:dyDescent="0.35">
      <c r="A817" s="26" t="s">
        <v>2020</v>
      </c>
      <c r="B817" s="25" t="s">
        <v>13281</v>
      </c>
      <c r="C817" s="6" t="s">
        <v>12904</v>
      </c>
      <c r="D817" s="13">
        <v>3137.1772723200002</v>
      </c>
      <c r="E817" s="18">
        <v>21</v>
      </c>
      <c r="F817" s="2">
        <f t="shared" si="24"/>
        <v>3795.9844995072003</v>
      </c>
      <c r="G817" s="3">
        <v>0</v>
      </c>
      <c r="H817" s="4">
        <v>0.7</v>
      </c>
      <c r="I817" s="28">
        <f t="shared" si="25"/>
        <v>6453.1736491622405</v>
      </c>
    </row>
    <row r="818" spans="1:9" ht="15.75" customHeight="1" x14ac:dyDescent="0.35">
      <c r="A818" s="26" t="s">
        <v>2021</v>
      </c>
      <c r="B818" s="25" t="s">
        <v>13282</v>
      </c>
      <c r="C818" s="6" t="s">
        <v>13291</v>
      </c>
      <c r="D818" s="13">
        <v>3582.30083328</v>
      </c>
      <c r="E818" s="18">
        <v>21</v>
      </c>
      <c r="F818" s="2">
        <f t="shared" si="24"/>
        <v>4334.5840082688001</v>
      </c>
      <c r="G818" s="3">
        <v>0</v>
      </c>
      <c r="H818" s="4">
        <v>0.7</v>
      </c>
      <c r="I818" s="28">
        <f t="shared" si="25"/>
        <v>7368.7928140569602</v>
      </c>
    </row>
    <row r="819" spans="1:9" ht="15.75" customHeight="1" x14ac:dyDescent="0.35">
      <c r="A819" s="26" t="s">
        <v>2112</v>
      </c>
      <c r="B819" s="25" t="s">
        <v>13283</v>
      </c>
      <c r="C819" s="6" t="s">
        <v>11213</v>
      </c>
      <c r="D819" s="13">
        <v>3261.0426502251998</v>
      </c>
      <c r="E819" s="18">
        <v>21</v>
      </c>
      <c r="F819" s="2">
        <f t="shared" si="24"/>
        <v>3945.861606772492</v>
      </c>
      <c r="G819" s="3">
        <v>0</v>
      </c>
      <c r="H819" s="4">
        <v>0.7</v>
      </c>
      <c r="I819" s="28">
        <f t="shared" si="25"/>
        <v>6707.9647315132361</v>
      </c>
    </row>
    <row r="820" spans="1:9" ht="15.75" customHeight="1" x14ac:dyDescent="0.35">
      <c r="A820" s="26" t="s">
        <v>2113</v>
      </c>
      <c r="B820" s="25" t="s">
        <v>13284</v>
      </c>
      <c r="C820" s="6" t="s">
        <v>11214</v>
      </c>
      <c r="D820" s="13">
        <v>3261.0426502251998</v>
      </c>
      <c r="E820" s="18">
        <v>21</v>
      </c>
      <c r="F820" s="2">
        <f t="shared" si="24"/>
        <v>3945.861606772492</v>
      </c>
      <c r="G820" s="3">
        <v>0</v>
      </c>
      <c r="H820" s="4">
        <v>0.7</v>
      </c>
      <c r="I820" s="28">
        <f t="shared" si="25"/>
        <v>6707.9647315132361</v>
      </c>
    </row>
    <row r="821" spans="1:9" ht="15.75" customHeight="1" x14ac:dyDescent="0.35">
      <c r="A821" s="26" t="s">
        <v>2019</v>
      </c>
      <c r="B821" s="25" t="s">
        <v>13285</v>
      </c>
      <c r="C821" s="6" t="s">
        <v>13292</v>
      </c>
      <c r="D821" s="13">
        <v>3137.1772723200002</v>
      </c>
      <c r="E821" s="18">
        <v>21</v>
      </c>
      <c r="F821" s="2">
        <f t="shared" si="24"/>
        <v>3795.9844995072003</v>
      </c>
      <c r="G821" s="3">
        <v>0</v>
      </c>
      <c r="H821" s="4">
        <v>0.7</v>
      </c>
      <c r="I821" s="28">
        <f t="shared" si="25"/>
        <v>6453.1736491622405</v>
      </c>
    </row>
    <row r="822" spans="1:9" ht="15.75" customHeight="1" x14ac:dyDescent="0.35">
      <c r="A822" s="26" t="s">
        <v>2114</v>
      </c>
      <c r="B822" s="25" t="s">
        <v>11339</v>
      </c>
      <c r="C822" s="6" t="s">
        <v>11215</v>
      </c>
      <c r="D822" s="13">
        <v>3261.0426502251998</v>
      </c>
      <c r="E822" s="18">
        <v>21</v>
      </c>
      <c r="F822" s="2">
        <f t="shared" si="24"/>
        <v>3945.861606772492</v>
      </c>
      <c r="G822" s="3">
        <v>0</v>
      </c>
      <c r="H822" s="4">
        <v>0.7</v>
      </c>
      <c r="I822" s="28">
        <f t="shared" si="25"/>
        <v>6707.9647315132361</v>
      </c>
    </row>
    <row r="823" spans="1:9" ht="15.75" customHeight="1" x14ac:dyDescent="0.35">
      <c r="A823" s="26" t="s">
        <v>2104</v>
      </c>
      <c r="B823" s="25" t="s">
        <v>13286</v>
      </c>
      <c r="C823" s="6" t="s">
        <v>11216</v>
      </c>
      <c r="D823" s="13">
        <v>3261.0426502251998</v>
      </c>
      <c r="E823" s="18">
        <v>21</v>
      </c>
      <c r="F823" s="2">
        <f t="shared" si="24"/>
        <v>3945.861606772492</v>
      </c>
      <c r="G823" s="3">
        <v>0</v>
      </c>
      <c r="H823" s="4">
        <v>0.7</v>
      </c>
      <c r="I823" s="28">
        <f t="shared" si="25"/>
        <v>6707.9647315132361</v>
      </c>
    </row>
    <row r="824" spans="1:9" ht="15.75" customHeight="1" x14ac:dyDescent="0.35">
      <c r="A824" s="26" t="s">
        <v>2022</v>
      </c>
      <c r="B824" s="25" t="s">
        <v>11340</v>
      </c>
      <c r="C824" s="6" t="s">
        <v>13293</v>
      </c>
      <c r="D824" s="13">
        <v>4812.9365606399997</v>
      </c>
      <c r="E824" s="18">
        <v>21</v>
      </c>
      <c r="F824" s="2">
        <f t="shared" si="24"/>
        <v>5823.6532383743997</v>
      </c>
      <c r="G824" s="3">
        <v>0</v>
      </c>
      <c r="H824" s="4">
        <v>0.7</v>
      </c>
      <c r="I824" s="28">
        <f t="shared" si="25"/>
        <v>9900.2105052364786</v>
      </c>
    </row>
    <row r="825" spans="1:9" ht="15.75" customHeight="1" x14ac:dyDescent="0.35">
      <c r="A825" s="26" t="s">
        <v>2024</v>
      </c>
      <c r="B825" s="25" t="s">
        <v>11179</v>
      </c>
      <c r="C825" s="6" t="s">
        <v>13294</v>
      </c>
      <c r="D825" s="13">
        <v>4812.9365606399997</v>
      </c>
      <c r="E825" s="18">
        <v>21</v>
      </c>
      <c r="F825" s="2">
        <f t="shared" si="24"/>
        <v>5823.6532383743997</v>
      </c>
      <c r="G825" s="3">
        <v>0</v>
      </c>
      <c r="H825" s="4">
        <v>0.7</v>
      </c>
      <c r="I825" s="28">
        <f t="shared" si="25"/>
        <v>9900.2105052364786</v>
      </c>
    </row>
    <row r="826" spans="1:9" ht="15.75" customHeight="1" x14ac:dyDescent="0.35">
      <c r="A826" s="26" t="s">
        <v>2025</v>
      </c>
      <c r="B826" s="25" t="s">
        <v>11180</v>
      </c>
      <c r="C826" s="6" t="s">
        <v>13295</v>
      </c>
      <c r="D826" s="13">
        <v>4812.9365606399997</v>
      </c>
      <c r="E826" s="18">
        <v>21</v>
      </c>
      <c r="F826" s="2">
        <f t="shared" si="24"/>
        <v>5823.6532383743997</v>
      </c>
      <c r="G826" s="3">
        <v>0</v>
      </c>
      <c r="H826" s="4">
        <v>0.7</v>
      </c>
      <c r="I826" s="28">
        <f t="shared" si="25"/>
        <v>9900.2105052364786</v>
      </c>
    </row>
    <row r="827" spans="1:9" ht="15.75" customHeight="1" x14ac:dyDescent="0.35">
      <c r="A827" s="26" t="s">
        <v>2023</v>
      </c>
      <c r="B827" s="25" t="s">
        <v>11341</v>
      </c>
      <c r="C827" s="6" t="s">
        <v>13296</v>
      </c>
      <c r="D827" s="13">
        <v>4812.9365606399997</v>
      </c>
      <c r="E827" s="18">
        <v>21</v>
      </c>
      <c r="F827" s="2">
        <f t="shared" si="24"/>
        <v>5823.6532383743997</v>
      </c>
      <c r="G827" s="3">
        <v>0</v>
      </c>
      <c r="H827" s="4">
        <v>0.7</v>
      </c>
      <c r="I827" s="28">
        <f t="shared" si="25"/>
        <v>9900.2105052364786</v>
      </c>
    </row>
    <row r="828" spans="1:9" ht="15.75" customHeight="1" x14ac:dyDescent="0.35">
      <c r="A828" s="26" t="s">
        <v>2115</v>
      </c>
      <c r="B828" s="25" t="s">
        <v>13287</v>
      </c>
      <c r="C828" s="6" t="s">
        <v>13297</v>
      </c>
      <c r="D828" s="13">
        <v>4812.9365606399997</v>
      </c>
      <c r="E828" s="18">
        <v>21</v>
      </c>
      <c r="F828" s="2">
        <f t="shared" si="24"/>
        <v>5823.6532383743997</v>
      </c>
      <c r="G828" s="3">
        <v>0</v>
      </c>
      <c r="H828" s="4">
        <v>0.7</v>
      </c>
      <c r="I828" s="28">
        <f t="shared" si="25"/>
        <v>9900.2105052364786</v>
      </c>
    </row>
    <row r="829" spans="1:9" ht="15.75" customHeight="1" x14ac:dyDescent="0.35">
      <c r="A829" s="26" t="s">
        <v>2116</v>
      </c>
      <c r="B829" s="25" t="s">
        <v>12383</v>
      </c>
      <c r="C829" s="6" t="s">
        <v>11217</v>
      </c>
      <c r="D829" s="13">
        <v>5273.6116370477903</v>
      </c>
      <c r="E829" s="18">
        <v>21</v>
      </c>
      <c r="F829" s="2">
        <f t="shared" si="24"/>
        <v>6381.0700808278261</v>
      </c>
      <c r="G829" s="3">
        <v>0</v>
      </c>
      <c r="H829" s="4">
        <v>0.7</v>
      </c>
      <c r="I829" s="28">
        <f t="shared" si="25"/>
        <v>10847.819137407305</v>
      </c>
    </row>
    <row r="830" spans="1:9" ht="15.75" customHeight="1" x14ac:dyDescent="0.35">
      <c r="A830" s="26" t="s">
        <v>2026</v>
      </c>
      <c r="B830" s="25" t="s">
        <v>11181</v>
      </c>
      <c r="C830" s="6" t="s">
        <v>13298</v>
      </c>
      <c r="D830" s="13">
        <v>842.14211327999999</v>
      </c>
      <c r="E830" s="18">
        <v>21</v>
      </c>
      <c r="F830" s="2">
        <f t="shared" si="24"/>
        <v>1018.9919570688</v>
      </c>
      <c r="G830" s="3">
        <v>0</v>
      </c>
      <c r="H830" s="4">
        <v>0.7</v>
      </c>
      <c r="I830" s="28">
        <f t="shared" si="25"/>
        <v>1732.2863270169601</v>
      </c>
    </row>
    <row r="831" spans="1:9" ht="15.75" customHeight="1" x14ac:dyDescent="0.35">
      <c r="A831" s="26" t="s">
        <v>8905</v>
      </c>
      <c r="B831" s="25" t="s">
        <v>11182</v>
      </c>
      <c r="C831" s="6" t="s">
        <v>11219</v>
      </c>
      <c r="D831" s="13">
        <v>488.73711294719999</v>
      </c>
      <c r="E831" s="18">
        <v>21</v>
      </c>
      <c r="F831" s="2">
        <f t="shared" si="24"/>
        <v>591.37190666611195</v>
      </c>
      <c r="G831" s="3">
        <v>0</v>
      </c>
      <c r="H831" s="4">
        <v>0.7</v>
      </c>
      <c r="I831" s="28">
        <f t="shared" si="25"/>
        <v>1005.3322413323903</v>
      </c>
    </row>
    <row r="832" spans="1:9" ht="15.75" customHeight="1" x14ac:dyDescent="0.35">
      <c r="A832" s="26" t="s">
        <v>1953</v>
      </c>
      <c r="B832" s="25" t="s">
        <v>11183</v>
      </c>
      <c r="C832" s="6" t="s">
        <v>11352</v>
      </c>
      <c r="D832" s="13">
        <v>475.99164000000002</v>
      </c>
      <c r="E832" s="18">
        <v>21</v>
      </c>
      <c r="F832" s="2">
        <f t="shared" si="24"/>
        <v>575.94988439999997</v>
      </c>
      <c r="G832" s="3">
        <v>0</v>
      </c>
      <c r="H832" s="4">
        <v>0.7</v>
      </c>
      <c r="I832" s="28">
        <f t="shared" si="25"/>
        <v>979.11480347999998</v>
      </c>
    </row>
    <row r="833" spans="1:9" ht="15.75" customHeight="1" x14ac:dyDescent="0.35">
      <c r="A833" s="26" t="s">
        <v>1954</v>
      </c>
      <c r="B833" s="25" t="s">
        <v>11184</v>
      </c>
      <c r="C833" s="6" t="s">
        <v>11353</v>
      </c>
      <c r="D833" s="13">
        <v>475.99164000000002</v>
      </c>
      <c r="E833" s="18">
        <v>21</v>
      </c>
      <c r="F833" s="2">
        <f t="shared" si="24"/>
        <v>575.94988439999997</v>
      </c>
      <c r="G833" s="3">
        <v>0</v>
      </c>
      <c r="H833" s="4">
        <v>0.7</v>
      </c>
      <c r="I833" s="28">
        <f t="shared" si="25"/>
        <v>979.11480347999998</v>
      </c>
    </row>
    <row r="834" spans="1:9" ht="15.75" customHeight="1" x14ac:dyDescent="0.35">
      <c r="A834" s="26" t="s">
        <v>8906</v>
      </c>
      <c r="B834" s="25" t="s">
        <v>11185</v>
      </c>
      <c r="C834" s="6" t="s">
        <v>11221</v>
      </c>
      <c r="D834" s="13">
        <v>488.73711294719999</v>
      </c>
      <c r="E834" s="18">
        <v>21</v>
      </c>
      <c r="F834" s="2">
        <f t="shared" si="24"/>
        <v>591.37190666611195</v>
      </c>
      <c r="G834" s="3">
        <v>0</v>
      </c>
      <c r="H834" s="4">
        <v>0.7</v>
      </c>
      <c r="I834" s="28">
        <f t="shared" si="25"/>
        <v>1005.3322413323903</v>
      </c>
    </row>
    <row r="835" spans="1:9" ht="15.75" customHeight="1" x14ac:dyDescent="0.35">
      <c r="A835" s="26" t="s">
        <v>1955</v>
      </c>
      <c r="B835" s="25" t="s">
        <v>11186</v>
      </c>
      <c r="C835" s="6" t="s">
        <v>11354</v>
      </c>
      <c r="D835" s="13">
        <v>475.99164000000002</v>
      </c>
      <c r="E835" s="18">
        <v>21</v>
      </c>
      <c r="F835" s="2">
        <f t="shared" si="24"/>
        <v>575.94988439999997</v>
      </c>
      <c r="G835" s="3">
        <v>0</v>
      </c>
      <c r="H835" s="4">
        <v>0.7</v>
      </c>
      <c r="I835" s="28">
        <f t="shared" si="25"/>
        <v>979.11480347999998</v>
      </c>
    </row>
    <row r="836" spans="1:9" ht="15.75" customHeight="1" x14ac:dyDescent="0.35">
      <c r="A836" s="26" t="s">
        <v>2030</v>
      </c>
      <c r="B836" s="25" t="s">
        <v>13288</v>
      </c>
      <c r="C836" s="6" t="s">
        <v>13299</v>
      </c>
      <c r="D836" s="13">
        <v>842.14211327999999</v>
      </c>
      <c r="E836" s="18">
        <v>21</v>
      </c>
      <c r="F836" s="2">
        <f t="shared" si="24"/>
        <v>1018.9919570688</v>
      </c>
      <c r="G836" s="3">
        <v>0</v>
      </c>
      <c r="H836" s="4">
        <v>0.7</v>
      </c>
      <c r="I836" s="28">
        <f t="shared" si="25"/>
        <v>1732.2863270169601</v>
      </c>
    </row>
    <row r="837" spans="1:9" ht="15.75" customHeight="1" x14ac:dyDescent="0.35">
      <c r="A837" s="26" t="s">
        <v>1956</v>
      </c>
      <c r="B837" s="25" t="s">
        <v>11187</v>
      </c>
      <c r="C837" s="6" t="s">
        <v>11355</v>
      </c>
      <c r="D837" s="13">
        <v>475.99164000000002</v>
      </c>
      <c r="E837" s="18">
        <v>21</v>
      </c>
      <c r="F837" s="2">
        <f t="shared" si="24"/>
        <v>575.94988439999997</v>
      </c>
      <c r="G837" s="3">
        <v>0</v>
      </c>
      <c r="H837" s="4">
        <v>0.7</v>
      </c>
      <c r="I837" s="28">
        <f t="shared" si="25"/>
        <v>979.11480347999998</v>
      </c>
    </row>
    <row r="838" spans="1:9" ht="15.75" customHeight="1" x14ac:dyDescent="0.35">
      <c r="A838" s="26" t="s">
        <v>1957</v>
      </c>
      <c r="B838" s="25" t="s">
        <v>11188</v>
      </c>
      <c r="C838" s="6" t="s">
        <v>11356</v>
      </c>
      <c r="D838" s="13">
        <v>475.99164000000002</v>
      </c>
      <c r="E838" s="18">
        <v>21</v>
      </c>
      <c r="F838" s="2">
        <f t="shared" ref="F838:F901" si="26">D838*E838/100+D838</f>
        <v>575.94988439999997</v>
      </c>
      <c r="G838" s="3">
        <v>0</v>
      </c>
      <c r="H838" s="4">
        <v>0.7</v>
      </c>
      <c r="I838" s="28">
        <f t="shared" ref="I838:I901" si="27">IF(G838=-1,0,F838*((100-G838)/100)*(1+H838))</f>
        <v>979.11480347999998</v>
      </c>
    </row>
    <row r="839" spans="1:9" ht="15.75" customHeight="1" x14ac:dyDescent="0.35">
      <c r="A839" s="26" t="s">
        <v>1958</v>
      </c>
      <c r="B839" s="25" t="s">
        <v>11342</v>
      </c>
      <c r="C839" s="6" t="s">
        <v>11357</v>
      </c>
      <c r="D839" s="13">
        <v>475.99164000000002</v>
      </c>
      <c r="E839" s="18">
        <v>21</v>
      </c>
      <c r="F839" s="2">
        <f t="shared" si="26"/>
        <v>575.94988439999997</v>
      </c>
      <c r="G839" s="3">
        <v>0</v>
      </c>
      <c r="H839" s="4">
        <v>0.7</v>
      </c>
      <c r="I839" s="28">
        <f t="shared" si="27"/>
        <v>979.11480347999998</v>
      </c>
    </row>
    <row r="840" spans="1:9" ht="15.75" customHeight="1" x14ac:dyDescent="0.35">
      <c r="A840" s="26" t="s">
        <v>2036</v>
      </c>
      <c r="B840" s="25" t="s">
        <v>12384</v>
      </c>
      <c r="C840" s="6" t="s">
        <v>12391</v>
      </c>
      <c r="D840" s="13">
        <v>842.14211327999999</v>
      </c>
      <c r="E840" s="18">
        <v>21</v>
      </c>
      <c r="F840" s="2">
        <f t="shared" si="26"/>
        <v>1018.9919570688</v>
      </c>
      <c r="G840" s="3">
        <v>0</v>
      </c>
      <c r="H840" s="4">
        <v>0.7</v>
      </c>
      <c r="I840" s="28">
        <f t="shared" si="27"/>
        <v>1732.2863270169601</v>
      </c>
    </row>
    <row r="841" spans="1:9" ht="15.75" customHeight="1" x14ac:dyDescent="0.35">
      <c r="A841" s="26" t="s">
        <v>2122</v>
      </c>
      <c r="B841" s="25" t="s">
        <v>11189</v>
      </c>
      <c r="C841" s="6" t="s">
        <v>11223</v>
      </c>
      <c r="D841" s="13">
        <v>818.54548526532699</v>
      </c>
      <c r="E841" s="18">
        <v>21</v>
      </c>
      <c r="F841" s="2">
        <f t="shared" si="26"/>
        <v>990.44003717104567</v>
      </c>
      <c r="G841" s="3">
        <v>0</v>
      </c>
      <c r="H841" s="4">
        <v>0.7</v>
      </c>
      <c r="I841" s="28">
        <f t="shared" si="27"/>
        <v>1683.7480631907777</v>
      </c>
    </row>
    <row r="842" spans="1:9" ht="15.75" customHeight="1" x14ac:dyDescent="0.35">
      <c r="A842" s="26" t="s">
        <v>2028</v>
      </c>
      <c r="B842" s="25" t="s">
        <v>11190</v>
      </c>
      <c r="C842" s="6" t="s">
        <v>13300</v>
      </c>
      <c r="D842" s="13">
        <v>842.14211327999999</v>
      </c>
      <c r="E842" s="18">
        <v>21</v>
      </c>
      <c r="F842" s="2">
        <f t="shared" si="26"/>
        <v>1018.9919570688</v>
      </c>
      <c r="G842" s="3">
        <v>0</v>
      </c>
      <c r="H842" s="4">
        <v>0.7</v>
      </c>
      <c r="I842" s="28">
        <f t="shared" si="27"/>
        <v>1732.2863270169601</v>
      </c>
    </row>
    <row r="843" spans="1:9" ht="15.75" customHeight="1" x14ac:dyDescent="0.35">
      <c r="A843" s="26" t="s">
        <v>1973</v>
      </c>
      <c r="B843" s="25" t="s">
        <v>11343</v>
      </c>
      <c r="C843" s="6" t="s">
        <v>11224</v>
      </c>
      <c r="D843" s="13">
        <v>818.54548526532699</v>
      </c>
      <c r="E843" s="18">
        <v>21</v>
      </c>
      <c r="F843" s="2">
        <f t="shared" si="26"/>
        <v>990.44003717104567</v>
      </c>
      <c r="G843" s="3">
        <v>0</v>
      </c>
      <c r="H843" s="4">
        <v>0.7</v>
      </c>
      <c r="I843" s="28">
        <f t="shared" si="27"/>
        <v>1683.7480631907777</v>
      </c>
    </row>
    <row r="844" spans="1:9" ht="15.75" customHeight="1" x14ac:dyDescent="0.35">
      <c r="A844" s="26" t="s">
        <v>2123</v>
      </c>
      <c r="B844" s="25" t="s">
        <v>12385</v>
      </c>
      <c r="C844" s="6" t="s">
        <v>11225</v>
      </c>
      <c r="D844" s="13">
        <v>818.54548526532699</v>
      </c>
      <c r="E844" s="18">
        <v>21</v>
      </c>
      <c r="F844" s="2">
        <f t="shared" si="26"/>
        <v>990.44003717104567</v>
      </c>
      <c r="G844" s="3">
        <v>0</v>
      </c>
      <c r="H844" s="4">
        <v>0.7</v>
      </c>
      <c r="I844" s="28">
        <f t="shared" si="27"/>
        <v>1683.7480631907777</v>
      </c>
    </row>
    <row r="845" spans="1:9" ht="15.75" customHeight="1" x14ac:dyDescent="0.35">
      <c r="A845" s="26" t="s">
        <v>2032</v>
      </c>
      <c r="B845" s="25" t="s">
        <v>11191</v>
      </c>
      <c r="C845" s="6" t="s">
        <v>12392</v>
      </c>
      <c r="D845" s="13">
        <v>842.14211327999999</v>
      </c>
      <c r="E845" s="18">
        <v>21</v>
      </c>
      <c r="F845" s="2">
        <f t="shared" si="26"/>
        <v>1018.9919570688</v>
      </c>
      <c r="G845" s="3">
        <v>0</v>
      </c>
      <c r="H845" s="4">
        <v>0.7</v>
      </c>
      <c r="I845" s="28">
        <f t="shared" si="27"/>
        <v>1732.2863270169601</v>
      </c>
    </row>
    <row r="846" spans="1:9" ht="15.75" customHeight="1" x14ac:dyDescent="0.35">
      <c r="A846" s="26" t="s">
        <v>2124</v>
      </c>
      <c r="B846" s="25" t="s">
        <v>11192</v>
      </c>
      <c r="C846" s="6" t="s">
        <v>11226</v>
      </c>
      <c r="D846" s="13">
        <v>818.54548526532699</v>
      </c>
      <c r="E846" s="18">
        <v>21</v>
      </c>
      <c r="F846" s="2">
        <f t="shared" si="26"/>
        <v>990.44003717104567</v>
      </c>
      <c r="G846" s="3">
        <v>0</v>
      </c>
      <c r="H846" s="4">
        <v>0.7</v>
      </c>
      <c r="I846" s="28">
        <f t="shared" si="27"/>
        <v>1683.7480631907777</v>
      </c>
    </row>
    <row r="847" spans="1:9" ht="15.75" customHeight="1" x14ac:dyDescent="0.35">
      <c r="A847" s="26" t="s">
        <v>2048</v>
      </c>
      <c r="B847" s="25" t="s">
        <v>11465</v>
      </c>
      <c r="C847" s="6" t="s">
        <v>13301</v>
      </c>
      <c r="D847" s="13">
        <v>842.14211327999999</v>
      </c>
      <c r="E847" s="18">
        <v>21</v>
      </c>
      <c r="F847" s="2">
        <f t="shared" si="26"/>
        <v>1018.9919570688</v>
      </c>
      <c r="G847" s="3">
        <v>0</v>
      </c>
      <c r="H847" s="4">
        <v>0.7</v>
      </c>
      <c r="I847" s="28">
        <f t="shared" si="27"/>
        <v>1732.2863270169601</v>
      </c>
    </row>
    <row r="848" spans="1:9" ht="15.75" customHeight="1" x14ac:dyDescent="0.35">
      <c r="A848" s="26" t="s">
        <v>2125</v>
      </c>
      <c r="B848" s="25" t="s">
        <v>11193</v>
      </c>
      <c r="C848" s="6" t="s">
        <v>11227</v>
      </c>
      <c r="D848" s="13">
        <v>818.54548526532699</v>
      </c>
      <c r="E848" s="18">
        <v>21</v>
      </c>
      <c r="F848" s="2">
        <f t="shared" si="26"/>
        <v>990.44003717104567</v>
      </c>
      <c r="G848" s="3">
        <v>0</v>
      </c>
      <c r="H848" s="4">
        <v>0.7</v>
      </c>
      <c r="I848" s="28">
        <f t="shared" si="27"/>
        <v>1683.7480631907777</v>
      </c>
    </row>
    <row r="849" spans="1:9" ht="15.75" customHeight="1" x14ac:dyDescent="0.35">
      <c r="A849" s="26" t="s">
        <v>2126</v>
      </c>
      <c r="B849" s="25" t="s">
        <v>11194</v>
      </c>
      <c r="C849" s="6" t="s">
        <v>11228</v>
      </c>
      <c r="D849" s="13">
        <v>818.54548526532699</v>
      </c>
      <c r="E849" s="18">
        <v>21</v>
      </c>
      <c r="F849" s="2">
        <f t="shared" si="26"/>
        <v>990.44003717104567</v>
      </c>
      <c r="G849" s="3">
        <v>0</v>
      </c>
      <c r="H849" s="4">
        <v>0.7</v>
      </c>
      <c r="I849" s="28">
        <f t="shared" si="27"/>
        <v>1683.7480631907777</v>
      </c>
    </row>
    <row r="850" spans="1:9" ht="15.75" customHeight="1" x14ac:dyDescent="0.35">
      <c r="A850" s="26" t="s">
        <v>2050</v>
      </c>
      <c r="B850" s="25" t="s">
        <v>11344</v>
      </c>
      <c r="C850" s="6" t="s">
        <v>13302</v>
      </c>
      <c r="D850" s="13">
        <v>7572.5808537599996</v>
      </c>
      <c r="E850" s="18">
        <v>21</v>
      </c>
      <c r="F850" s="2">
        <f t="shared" si="26"/>
        <v>9162.8228330496004</v>
      </c>
      <c r="G850" s="3">
        <v>0</v>
      </c>
      <c r="H850" s="4">
        <v>0.7</v>
      </c>
      <c r="I850" s="28">
        <f t="shared" si="27"/>
        <v>15576.79881618432</v>
      </c>
    </row>
    <row r="851" spans="1:9" ht="15.75" customHeight="1" x14ac:dyDescent="0.35">
      <c r="A851" s="26" t="s">
        <v>2051</v>
      </c>
      <c r="B851" s="25" t="s">
        <v>11195</v>
      </c>
      <c r="C851" s="6" t="s">
        <v>13303</v>
      </c>
      <c r="D851" s="13">
        <v>7572.5808537599996</v>
      </c>
      <c r="E851" s="18">
        <v>21</v>
      </c>
      <c r="F851" s="2">
        <f t="shared" si="26"/>
        <v>9162.8228330496004</v>
      </c>
      <c r="G851" s="3">
        <v>0</v>
      </c>
      <c r="H851" s="4">
        <v>0.7</v>
      </c>
      <c r="I851" s="28">
        <f t="shared" si="27"/>
        <v>15576.79881618432</v>
      </c>
    </row>
    <row r="852" spans="1:9" ht="15.75" customHeight="1" x14ac:dyDescent="0.35">
      <c r="A852" s="26" t="s">
        <v>2052</v>
      </c>
      <c r="B852" s="25" t="s">
        <v>11196</v>
      </c>
      <c r="C852" s="6" t="s">
        <v>13304</v>
      </c>
      <c r="D852" s="13">
        <v>7572.5808537599996</v>
      </c>
      <c r="E852" s="18">
        <v>21</v>
      </c>
      <c r="F852" s="2">
        <f t="shared" si="26"/>
        <v>9162.8228330496004</v>
      </c>
      <c r="G852" s="3">
        <v>0</v>
      </c>
      <c r="H852" s="4">
        <v>0.7</v>
      </c>
      <c r="I852" s="28">
        <f t="shared" si="27"/>
        <v>15576.79881618432</v>
      </c>
    </row>
    <row r="853" spans="1:9" ht="15.75" customHeight="1" x14ac:dyDescent="0.35">
      <c r="A853" s="26" t="s">
        <v>2053</v>
      </c>
      <c r="B853" s="25" t="s">
        <v>12386</v>
      </c>
      <c r="C853" s="6" t="s">
        <v>13305</v>
      </c>
      <c r="D853" s="13">
        <v>7572.5808537599996</v>
      </c>
      <c r="E853" s="18">
        <v>21</v>
      </c>
      <c r="F853" s="2">
        <f t="shared" si="26"/>
        <v>9162.8228330496004</v>
      </c>
      <c r="G853" s="3">
        <v>0</v>
      </c>
      <c r="H853" s="4">
        <v>0.7</v>
      </c>
      <c r="I853" s="28">
        <f t="shared" si="27"/>
        <v>15576.79881618432</v>
      </c>
    </row>
    <row r="854" spans="1:9" ht="15.75" customHeight="1" x14ac:dyDescent="0.35">
      <c r="A854" s="26" t="s">
        <v>2054</v>
      </c>
      <c r="B854" s="25" t="s">
        <v>11197</v>
      </c>
      <c r="C854" s="6" t="s">
        <v>13306</v>
      </c>
      <c r="D854" s="13">
        <v>7572.5808537599996</v>
      </c>
      <c r="E854" s="18">
        <v>21</v>
      </c>
      <c r="F854" s="2">
        <f t="shared" si="26"/>
        <v>9162.8228330496004</v>
      </c>
      <c r="G854" s="3">
        <v>0</v>
      </c>
      <c r="H854" s="4">
        <v>0.7</v>
      </c>
      <c r="I854" s="28">
        <f t="shared" si="27"/>
        <v>15576.79881618432</v>
      </c>
    </row>
    <row r="855" spans="1:9" ht="15.75" customHeight="1" x14ac:dyDescent="0.35">
      <c r="A855" s="26" t="s">
        <v>2055</v>
      </c>
      <c r="B855" s="25" t="s">
        <v>11198</v>
      </c>
      <c r="C855" s="6" t="s">
        <v>13307</v>
      </c>
      <c r="D855" s="13">
        <v>7572.5808537599996</v>
      </c>
      <c r="E855" s="18">
        <v>21</v>
      </c>
      <c r="F855" s="2">
        <f t="shared" si="26"/>
        <v>9162.8228330496004</v>
      </c>
      <c r="G855" s="3">
        <v>0</v>
      </c>
      <c r="H855" s="4">
        <v>0.7</v>
      </c>
      <c r="I855" s="28">
        <f t="shared" si="27"/>
        <v>15576.79881618432</v>
      </c>
    </row>
    <row r="856" spans="1:9" ht="15.75" customHeight="1" x14ac:dyDescent="0.35">
      <c r="A856" s="26" t="s">
        <v>2056</v>
      </c>
      <c r="B856" s="25" t="s">
        <v>11345</v>
      </c>
      <c r="C856" s="6" t="s">
        <v>11229</v>
      </c>
      <c r="D856" s="13">
        <v>8310.3045705444601</v>
      </c>
      <c r="E856" s="18">
        <v>21</v>
      </c>
      <c r="F856" s="2">
        <f t="shared" si="26"/>
        <v>10055.468530358798</v>
      </c>
      <c r="G856" s="3">
        <v>0</v>
      </c>
      <c r="H856" s="4">
        <v>0.7</v>
      </c>
      <c r="I856" s="28">
        <f t="shared" si="27"/>
        <v>17094.296501609955</v>
      </c>
    </row>
    <row r="857" spans="1:9" ht="15.75" customHeight="1" x14ac:dyDescent="0.35">
      <c r="A857" s="26" t="s">
        <v>12677</v>
      </c>
      <c r="B857" s="25" t="s">
        <v>12387</v>
      </c>
      <c r="C857" s="6" t="s">
        <v>13308</v>
      </c>
      <c r="D857" s="13">
        <v>10396.16218368</v>
      </c>
      <c r="E857" s="18">
        <v>21</v>
      </c>
      <c r="F857" s="2">
        <f t="shared" si="26"/>
        <v>12579.356242252801</v>
      </c>
      <c r="G857" s="3">
        <v>0</v>
      </c>
      <c r="H857" s="4">
        <v>0.7</v>
      </c>
      <c r="I857" s="28">
        <f t="shared" si="27"/>
        <v>21384.905611829763</v>
      </c>
    </row>
    <row r="858" spans="1:9" ht="15.75" customHeight="1" x14ac:dyDescent="0.35">
      <c r="A858" s="26" t="s">
        <v>12883</v>
      </c>
      <c r="B858" s="25" t="s">
        <v>11199</v>
      </c>
      <c r="C858" s="6" t="s">
        <v>13309</v>
      </c>
      <c r="D858" s="13">
        <v>10396.16218368</v>
      </c>
      <c r="E858" s="18">
        <v>21</v>
      </c>
      <c r="F858" s="2">
        <f t="shared" si="26"/>
        <v>12579.356242252801</v>
      </c>
      <c r="G858" s="3">
        <v>0</v>
      </c>
      <c r="H858" s="4">
        <v>0.7</v>
      </c>
      <c r="I858" s="28">
        <f t="shared" si="27"/>
        <v>21384.905611829763</v>
      </c>
    </row>
    <row r="859" spans="1:9" ht="15.75" customHeight="1" x14ac:dyDescent="0.35">
      <c r="A859" s="26" t="s">
        <v>2057</v>
      </c>
      <c r="B859" s="25" t="s">
        <v>12388</v>
      </c>
      <c r="C859" s="6" t="s">
        <v>13310</v>
      </c>
      <c r="D859" s="13">
        <v>10396.16218368</v>
      </c>
      <c r="E859" s="18">
        <v>21</v>
      </c>
      <c r="F859" s="2">
        <f t="shared" si="26"/>
        <v>12579.356242252801</v>
      </c>
      <c r="G859" s="3">
        <v>0</v>
      </c>
      <c r="H859" s="4">
        <v>0.7</v>
      </c>
      <c r="I859" s="28">
        <f t="shared" si="27"/>
        <v>21384.905611829763</v>
      </c>
    </row>
    <row r="860" spans="1:9" ht="15.75" customHeight="1" x14ac:dyDescent="0.35">
      <c r="A860" s="26" t="s">
        <v>2058</v>
      </c>
      <c r="B860" s="25" t="s">
        <v>11200</v>
      </c>
      <c r="C860" s="6" t="s">
        <v>13311</v>
      </c>
      <c r="D860" s="13">
        <v>10396.16218368</v>
      </c>
      <c r="E860" s="18">
        <v>21</v>
      </c>
      <c r="F860" s="2">
        <f t="shared" si="26"/>
        <v>12579.356242252801</v>
      </c>
      <c r="G860" s="3">
        <v>0</v>
      </c>
      <c r="H860" s="4">
        <v>0.7</v>
      </c>
      <c r="I860" s="28">
        <f t="shared" si="27"/>
        <v>21384.905611829763</v>
      </c>
    </row>
    <row r="861" spans="1:9" ht="15.75" customHeight="1" x14ac:dyDescent="0.35">
      <c r="A861" s="26" t="s">
        <v>2059</v>
      </c>
      <c r="B861" s="25" t="s">
        <v>11346</v>
      </c>
      <c r="C861" s="6" t="s">
        <v>13312</v>
      </c>
      <c r="D861" s="13">
        <v>10396.16218368</v>
      </c>
      <c r="E861" s="18">
        <v>21</v>
      </c>
      <c r="F861" s="2">
        <f t="shared" si="26"/>
        <v>12579.356242252801</v>
      </c>
      <c r="G861" s="3">
        <v>0</v>
      </c>
      <c r="H861" s="4">
        <v>0.7</v>
      </c>
      <c r="I861" s="28">
        <f t="shared" si="27"/>
        <v>21384.905611829763</v>
      </c>
    </row>
    <row r="862" spans="1:9" ht="15.75" customHeight="1" x14ac:dyDescent="0.35">
      <c r="A862" s="26" t="s">
        <v>1962</v>
      </c>
      <c r="B862" s="25" t="s">
        <v>12389</v>
      </c>
      <c r="C862" s="6" t="s">
        <v>11360</v>
      </c>
      <c r="D862" s="13">
        <v>829.95191999999997</v>
      </c>
      <c r="E862" s="18">
        <v>21</v>
      </c>
      <c r="F862" s="2">
        <f t="shared" si="26"/>
        <v>1004.2418232</v>
      </c>
      <c r="G862" s="3">
        <v>0</v>
      </c>
      <c r="H862" s="4">
        <v>0.7</v>
      </c>
      <c r="I862" s="28">
        <f t="shared" si="27"/>
        <v>1707.21109944</v>
      </c>
    </row>
    <row r="863" spans="1:9" ht="15.75" customHeight="1" x14ac:dyDescent="0.35">
      <c r="A863" s="26" t="s">
        <v>1963</v>
      </c>
      <c r="B863" s="25" t="s">
        <v>11201</v>
      </c>
      <c r="C863" s="6" t="s">
        <v>11361</v>
      </c>
      <c r="D863" s="13">
        <v>829.95191999999997</v>
      </c>
      <c r="E863" s="18">
        <v>21</v>
      </c>
      <c r="F863" s="2">
        <f t="shared" si="26"/>
        <v>1004.2418232</v>
      </c>
      <c r="G863" s="3">
        <v>0</v>
      </c>
      <c r="H863" s="4">
        <v>0.7</v>
      </c>
      <c r="I863" s="28">
        <f t="shared" si="27"/>
        <v>1707.21109944</v>
      </c>
    </row>
    <row r="864" spans="1:9" ht="15.75" customHeight="1" x14ac:dyDescent="0.35">
      <c r="A864" s="26" t="s">
        <v>2071</v>
      </c>
      <c r="B864" s="25" t="s">
        <v>11202</v>
      </c>
      <c r="C864" s="6" t="s">
        <v>13313</v>
      </c>
      <c r="D864" s="13">
        <v>1359.7276492799999</v>
      </c>
      <c r="E864" s="18">
        <v>21</v>
      </c>
      <c r="F864" s="2">
        <f t="shared" si="26"/>
        <v>1645.2704556287999</v>
      </c>
      <c r="G864" s="3">
        <v>0</v>
      </c>
      <c r="H864" s="4">
        <v>0.7</v>
      </c>
      <c r="I864" s="28">
        <f t="shared" si="27"/>
        <v>2796.9597745689598</v>
      </c>
    </row>
    <row r="865" spans="1:9" ht="15.75" customHeight="1" x14ac:dyDescent="0.35">
      <c r="A865" s="26" t="s">
        <v>8909</v>
      </c>
      <c r="B865" s="25" t="s">
        <v>11347</v>
      </c>
      <c r="C865" s="6" t="s">
        <v>11233</v>
      </c>
      <c r="D865" s="13">
        <v>848.16709735680001</v>
      </c>
      <c r="E865" s="18">
        <v>21</v>
      </c>
      <c r="F865" s="2">
        <f t="shared" si="26"/>
        <v>1026.282187801728</v>
      </c>
      <c r="G865" s="3">
        <v>0</v>
      </c>
      <c r="H865" s="4">
        <v>0.7</v>
      </c>
      <c r="I865" s="28">
        <f t="shared" si="27"/>
        <v>1744.6797192629376</v>
      </c>
    </row>
    <row r="866" spans="1:9" ht="15.75" customHeight="1" x14ac:dyDescent="0.35">
      <c r="A866" s="26" t="s">
        <v>1964</v>
      </c>
      <c r="B866" s="25" t="s">
        <v>12390</v>
      </c>
      <c r="C866" s="6" t="s">
        <v>11362</v>
      </c>
      <c r="D866" s="13">
        <v>829.95191999999997</v>
      </c>
      <c r="E866" s="18">
        <v>21</v>
      </c>
      <c r="F866" s="2">
        <f t="shared" si="26"/>
        <v>1004.2418232</v>
      </c>
      <c r="G866" s="3">
        <v>0</v>
      </c>
      <c r="H866" s="4">
        <v>0.7</v>
      </c>
      <c r="I866" s="28">
        <f t="shared" si="27"/>
        <v>1707.21109944</v>
      </c>
    </row>
    <row r="867" spans="1:9" ht="15.75" customHeight="1" x14ac:dyDescent="0.35">
      <c r="A867" s="26" t="s">
        <v>2067</v>
      </c>
      <c r="B867" s="25" t="s">
        <v>11203</v>
      </c>
      <c r="C867" s="6" t="s">
        <v>13314</v>
      </c>
      <c r="D867" s="13">
        <v>1359.7276492799999</v>
      </c>
      <c r="E867" s="18">
        <v>21</v>
      </c>
      <c r="F867" s="2">
        <f t="shared" si="26"/>
        <v>1645.2704556287999</v>
      </c>
      <c r="G867" s="3">
        <v>0</v>
      </c>
      <c r="H867" s="4">
        <v>0.7</v>
      </c>
      <c r="I867" s="28">
        <f t="shared" si="27"/>
        <v>2796.9597745689598</v>
      </c>
    </row>
    <row r="868" spans="1:9" ht="15.75" customHeight="1" x14ac:dyDescent="0.35">
      <c r="A868" s="26" t="s">
        <v>2130</v>
      </c>
      <c r="B868" s="25" t="s">
        <v>11348</v>
      </c>
      <c r="C868" s="6" t="s">
        <v>11234</v>
      </c>
      <c r="D868" s="13">
        <v>1318.8732194484701</v>
      </c>
      <c r="E868" s="18">
        <v>21</v>
      </c>
      <c r="F868" s="2">
        <f t="shared" si="26"/>
        <v>1595.8365955326487</v>
      </c>
      <c r="G868" s="3">
        <v>0</v>
      </c>
      <c r="H868" s="4">
        <v>0.7</v>
      </c>
      <c r="I868" s="28">
        <f t="shared" si="27"/>
        <v>2712.9222124055027</v>
      </c>
    </row>
    <row r="869" spans="1:9" ht="15.75" customHeight="1" x14ac:dyDescent="0.35">
      <c r="A869" s="26" t="s">
        <v>8907</v>
      </c>
      <c r="B869" s="25" t="s">
        <v>13289</v>
      </c>
      <c r="C869" s="6" t="s">
        <v>11235</v>
      </c>
      <c r="D869" s="13">
        <v>848.16709735680001</v>
      </c>
      <c r="E869" s="18">
        <v>21</v>
      </c>
      <c r="F869" s="2">
        <f t="shared" si="26"/>
        <v>1026.282187801728</v>
      </c>
      <c r="G869" s="3">
        <v>0</v>
      </c>
      <c r="H869" s="4">
        <v>0.7</v>
      </c>
      <c r="I869" s="28">
        <f t="shared" si="27"/>
        <v>1744.6797192629376</v>
      </c>
    </row>
    <row r="870" spans="1:9" ht="15.75" customHeight="1" x14ac:dyDescent="0.35">
      <c r="A870" s="26" t="s">
        <v>1959</v>
      </c>
      <c r="B870" s="25" t="s">
        <v>11204</v>
      </c>
      <c r="C870" s="6" t="s">
        <v>11363</v>
      </c>
      <c r="D870" s="13">
        <v>829.95191999999997</v>
      </c>
      <c r="E870" s="18">
        <v>21</v>
      </c>
      <c r="F870" s="2">
        <f t="shared" si="26"/>
        <v>1004.2418232</v>
      </c>
      <c r="G870" s="3">
        <v>0</v>
      </c>
      <c r="H870" s="4">
        <v>0.7</v>
      </c>
      <c r="I870" s="28">
        <f t="shared" si="27"/>
        <v>1707.21109944</v>
      </c>
    </row>
    <row r="871" spans="1:9" ht="15.75" customHeight="1" x14ac:dyDescent="0.35">
      <c r="A871" s="26" t="s">
        <v>2068</v>
      </c>
      <c r="B871" s="25" t="s">
        <v>11349</v>
      </c>
      <c r="C871" s="6" t="s">
        <v>13315</v>
      </c>
      <c r="D871" s="13">
        <v>1359.7276492799999</v>
      </c>
      <c r="E871" s="18">
        <v>21</v>
      </c>
      <c r="F871" s="2">
        <f t="shared" si="26"/>
        <v>1645.2704556287999</v>
      </c>
      <c r="G871" s="3">
        <v>0</v>
      </c>
      <c r="H871" s="4">
        <v>0.7</v>
      </c>
      <c r="I871" s="28">
        <f t="shared" si="27"/>
        <v>2796.9597745689598</v>
      </c>
    </row>
    <row r="872" spans="1:9" ht="15.75" customHeight="1" x14ac:dyDescent="0.35">
      <c r="A872" s="26" t="s">
        <v>2132</v>
      </c>
      <c r="B872" s="25" t="s">
        <v>11350</v>
      </c>
      <c r="C872" s="6" t="s">
        <v>11236</v>
      </c>
      <c r="D872" s="13">
        <v>1318.8732194484701</v>
      </c>
      <c r="E872" s="18">
        <v>21</v>
      </c>
      <c r="F872" s="2">
        <f t="shared" si="26"/>
        <v>1595.8365955326487</v>
      </c>
      <c r="G872" s="3">
        <v>0</v>
      </c>
      <c r="H872" s="4">
        <v>0.7</v>
      </c>
      <c r="I872" s="28">
        <f t="shared" si="27"/>
        <v>2712.9222124055027</v>
      </c>
    </row>
    <row r="873" spans="1:9" ht="15.75" customHeight="1" x14ac:dyDescent="0.35">
      <c r="A873" s="26" t="s">
        <v>1960</v>
      </c>
      <c r="B873" s="25" t="s">
        <v>11205</v>
      </c>
      <c r="C873" s="6" t="s">
        <v>11364</v>
      </c>
      <c r="D873" s="13">
        <v>829.96279154572505</v>
      </c>
      <c r="E873" s="18">
        <v>21</v>
      </c>
      <c r="F873" s="2">
        <f t="shared" si="26"/>
        <v>1004.2549777703273</v>
      </c>
      <c r="G873" s="3">
        <v>0</v>
      </c>
      <c r="H873" s="4">
        <v>0.7</v>
      </c>
      <c r="I873" s="28">
        <f t="shared" si="27"/>
        <v>1707.2334622095564</v>
      </c>
    </row>
    <row r="874" spans="1:9" ht="15.75" customHeight="1" x14ac:dyDescent="0.35">
      <c r="A874" s="26" t="s">
        <v>2069</v>
      </c>
      <c r="B874" s="25" t="s">
        <v>11206</v>
      </c>
      <c r="C874" s="6" t="s">
        <v>13316</v>
      </c>
      <c r="D874" s="13">
        <v>1359.7276492799999</v>
      </c>
      <c r="E874" s="18">
        <v>21</v>
      </c>
      <c r="F874" s="2">
        <f t="shared" si="26"/>
        <v>1645.2704556287999</v>
      </c>
      <c r="G874" s="3">
        <v>0</v>
      </c>
      <c r="H874" s="4">
        <v>0.7</v>
      </c>
      <c r="I874" s="28">
        <f t="shared" si="27"/>
        <v>2796.9597745689598</v>
      </c>
    </row>
    <row r="875" spans="1:9" ht="15.75" customHeight="1" x14ac:dyDescent="0.35">
      <c r="A875" s="26" t="s">
        <v>2134</v>
      </c>
      <c r="B875" s="25" t="s">
        <v>11207</v>
      </c>
      <c r="C875" s="6" t="s">
        <v>11237</v>
      </c>
      <c r="D875" s="13">
        <v>1318.8732194484701</v>
      </c>
      <c r="E875" s="18">
        <v>21</v>
      </c>
      <c r="F875" s="2">
        <f t="shared" si="26"/>
        <v>1595.8365955326487</v>
      </c>
      <c r="G875" s="3">
        <v>0</v>
      </c>
      <c r="H875" s="4">
        <v>0.7</v>
      </c>
      <c r="I875" s="28">
        <f t="shared" si="27"/>
        <v>2712.9222124055027</v>
      </c>
    </row>
    <row r="876" spans="1:9" ht="15.75" customHeight="1" x14ac:dyDescent="0.35">
      <c r="A876" s="26" t="s">
        <v>8908</v>
      </c>
      <c r="B876" s="25" t="s">
        <v>11351</v>
      </c>
      <c r="C876" s="6" t="s">
        <v>11239</v>
      </c>
      <c r="D876" s="13">
        <v>848.16709735680001</v>
      </c>
      <c r="E876" s="18">
        <v>21</v>
      </c>
      <c r="F876" s="2">
        <f t="shared" si="26"/>
        <v>1026.282187801728</v>
      </c>
      <c r="G876" s="3">
        <v>0</v>
      </c>
      <c r="H876" s="4">
        <v>0.7</v>
      </c>
      <c r="I876" s="28">
        <f t="shared" si="27"/>
        <v>1744.6797192629376</v>
      </c>
    </row>
    <row r="877" spans="1:9" ht="15.75" customHeight="1" x14ac:dyDescent="0.35">
      <c r="A877" s="26" t="s">
        <v>1961</v>
      </c>
      <c r="B877" s="25" t="s">
        <v>11208</v>
      </c>
      <c r="C877" s="6" t="s">
        <v>11365</v>
      </c>
      <c r="D877" s="13">
        <v>829.95191999999997</v>
      </c>
      <c r="E877" s="18">
        <v>21</v>
      </c>
      <c r="F877" s="2">
        <f t="shared" si="26"/>
        <v>1004.2418232</v>
      </c>
      <c r="G877" s="3">
        <v>0</v>
      </c>
      <c r="H877" s="4">
        <v>0.7</v>
      </c>
      <c r="I877" s="28">
        <f t="shared" si="27"/>
        <v>1707.21109944</v>
      </c>
    </row>
    <row r="878" spans="1:9" ht="15.75" customHeight="1" x14ac:dyDescent="0.35">
      <c r="A878" s="26" t="s">
        <v>2066</v>
      </c>
      <c r="B878" s="25" t="s">
        <v>11209</v>
      </c>
      <c r="C878" s="6" t="s">
        <v>13317</v>
      </c>
      <c r="D878" s="13">
        <v>1359.7276492799999</v>
      </c>
      <c r="E878" s="18">
        <v>21</v>
      </c>
      <c r="F878" s="2">
        <f t="shared" si="26"/>
        <v>1645.2704556287999</v>
      </c>
      <c r="G878" s="3">
        <v>0</v>
      </c>
      <c r="H878" s="4">
        <v>0.7</v>
      </c>
      <c r="I878" s="28">
        <f t="shared" si="27"/>
        <v>2796.9597745689598</v>
      </c>
    </row>
    <row r="879" spans="1:9" ht="15.75" customHeight="1" x14ac:dyDescent="0.35">
      <c r="A879" s="26" t="s">
        <v>2135</v>
      </c>
      <c r="B879" s="25" t="s">
        <v>11210</v>
      </c>
      <c r="C879" s="6" t="s">
        <v>11240</v>
      </c>
      <c r="D879" s="13">
        <v>1318.8732194484701</v>
      </c>
      <c r="E879" s="18">
        <v>21</v>
      </c>
      <c r="F879" s="2">
        <f t="shared" si="26"/>
        <v>1595.8365955326487</v>
      </c>
      <c r="G879" s="3">
        <v>0</v>
      </c>
      <c r="H879" s="4">
        <v>0.7</v>
      </c>
      <c r="I879" s="28">
        <f t="shared" si="27"/>
        <v>2712.9222124055027</v>
      </c>
    </row>
    <row r="880" spans="1:9" ht="15.75" customHeight="1" x14ac:dyDescent="0.35">
      <c r="A880" s="26" t="s">
        <v>2070</v>
      </c>
      <c r="B880" s="25" t="s">
        <v>11211</v>
      </c>
      <c r="C880" s="6" t="s">
        <v>13318</v>
      </c>
      <c r="D880" s="13">
        <v>1359.7276492799999</v>
      </c>
      <c r="E880" s="18">
        <v>21</v>
      </c>
      <c r="F880" s="2">
        <f t="shared" si="26"/>
        <v>1645.2704556287999</v>
      </c>
      <c r="G880" s="3">
        <v>0</v>
      </c>
      <c r="H880" s="4">
        <v>0.7</v>
      </c>
      <c r="I880" s="28">
        <f t="shared" si="27"/>
        <v>2796.9597745689598</v>
      </c>
    </row>
    <row r="881" spans="1:9" ht="15.75" customHeight="1" x14ac:dyDescent="0.35">
      <c r="A881" s="26" t="s">
        <v>2137</v>
      </c>
      <c r="B881" s="25" t="s">
        <v>11212</v>
      </c>
      <c r="C881" s="6" t="s">
        <v>11242</v>
      </c>
      <c r="D881" s="13">
        <v>1318.8732194484701</v>
      </c>
      <c r="E881" s="18">
        <v>21</v>
      </c>
      <c r="F881" s="2">
        <f t="shared" si="26"/>
        <v>1595.8365955326487</v>
      </c>
      <c r="G881" s="3">
        <v>0</v>
      </c>
      <c r="H881" s="4">
        <v>0.7</v>
      </c>
      <c r="I881" s="28">
        <f t="shared" si="27"/>
        <v>2712.9222124055027</v>
      </c>
    </row>
    <row r="882" spans="1:9" ht="15.75" customHeight="1" x14ac:dyDescent="0.35">
      <c r="A882" s="26" t="s">
        <v>2139</v>
      </c>
      <c r="B882" s="25" t="s">
        <v>13290</v>
      </c>
      <c r="C882" s="6" t="s">
        <v>11243</v>
      </c>
      <c r="D882" s="13">
        <v>1318.8732194484701</v>
      </c>
      <c r="E882" s="18">
        <v>21</v>
      </c>
      <c r="F882" s="2">
        <f t="shared" si="26"/>
        <v>1595.8365955326487</v>
      </c>
      <c r="G882" s="3">
        <v>0</v>
      </c>
      <c r="H882" s="4">
        <v>0.7</v>
      </c>
      <c r="I882" s="28">
        <f t="shared" si="27"/>
        <v>2712.9222124055027</v>
      </c>
    </row>
    <row r="883" spans="1:9" ht="15.75" customHeight="1" x14ac:dyDescent="0.35">
      <c r="A883" s="26" t="s">
        <v>12040</v>
      </c>
      <c r="B883" s="25" t="s">
        <v>11265</v>
      </c>
      <c r="C883" s="6" t="s">
        <v>13319</v>
      </c>
      <c r="D883" s="13">
        <v>15374.117191679999</v>
      </c>
      <c r="E883" s="18">
        <v>21</v>
      </c>
      <c r="F883" s="2">
        <f t="shared" si="26"/>
        <v>18602.681801932798</v>
      </c>
      <c r="G883" s="3">
        <v>0</v>
      </c>
      <c r="H883" s="4">
        <v>0.7</v>
      </c>
      <c r="I883" s="28">
        <f t="shared" si="27"/>
        <v>31624.559063285757</v>
      </c>
    </row>
    <row r="884" spans="1:9" ht="15.75" customHeight="1" x14ac:dyDescent="0.35">
      <c r="A884" s="26" t="s">
        <v>12041</v>
      </c>
      <c r="B884" s="25" t="s">
        <v>12888</v>
      </c>
      <c r="C884" s="6" t="s">
        <v>13320</v>
      </c>
      <c r="D884" s="13">
        <v>15374.117191679999</v>
      </c>
      <c r="E884" s="18">
        <v>21</v>
      </c>
      <c r="F884" s="2">
        <f t="shared" si="26"/>
        <v>18602.681801932798</v>
      </c>
      <c r="G884" s="3">
        <v>0</v>
      </c>
      <c r="H884" s="4">
        <v>0.7</v>
      </c>
      <c r="I884" s="28">
        <f t="shared" si="27"/>
        <v>31624.559063285757</v>
      </c>
    </row>
    <row r="885" spans="1:9" ht="15.75" customHeight="1" x14ac:dyDescent="0.35">
      <c r="A885" s="26" t="s">
        <v>2074</v>
      </c>
      <c r="B885" s="25" t="s">
        <v>12889</v>
      </c>
      <c r="C885" s="6" t="s">
        <v>13321</v>
      </c>
      <c r="D885" s="13">
        <v>15374.117191679999</v>
      </c>
      <c r="E885" s="18">
        <v>21</v>
      </c>
      <c r="F885" s="2">
        <f t="shared" si="26"/>
        <v>18602.681801932798</v>
      </c>
      <c r="G885" s="3">
        <v>0</v>
      </c>
      <c r="H885" s="4">
        <v>0.7</v>
      </c>
      <c r="I885" s="28">
        <f t="shared" si="27"/>
        <v>31624.559063285757</v>
      </c>
    </row>
    <row r="886" spans="1:9" ht="15.75" customHeight="1" x14ac:dyDescent="0.35">
      <c r="A886" s="26" t="s">
        <v>2075</v>
      </c>
      <c r="B886" s="25" t="s">
        <v>12903</v>
      </c>
      <c r="C886" s="6" t="s">
        <v>13322</v>
      </c>
      <c r="D886" s="13">
        <v>15374.117191679999</v>
      </c>
      <c r="E886" s="18">
        <v>21</v>
      </c>
      <c r="F886" s="2">
        <f t="shared" si="26"/>
        <v>18602.681801932798</v>
      </c>
      <c r="G886" s="3">
        <v>0</v>
      </c>
      <c r="H886" s="4">
        <v>0.7</v>
      </c>
      <c r="I886" s="28">
        <f t="shared" si="27"/>
        <v>31624.559063285757</v>
      </c>
    </row>
    <row r="887" spans="1:9" ht="15.75" customHeight="1" x14ac:dyDescent="0.35">
      <c r="A887" s="26" t="s">
        <v>12042</v>
      </c>
      <c r="B887" s="25" t="s">
        <v>12904</v>
      </c>
      <c r="C887" s="6" t="s">
        <v>13323</v>
      </c>
      <c r="D887" s="13">
        <v>15374.117191679999</v>
      </c>
      <c r="E887" s="18">
        <v>21</v>
      </c>
      <c r="F887" s="2">
        <f t="shared" si="26"/>
        <v>18602.681801932798</v>
      </c>
      <c r="G887" s="3">
        <v>0</v>
      </c>
      <c r="H887" s="4">
        <v>0.7</v>
      </c>
      <c r="I887" s="28">
        <f t="shared" si="27"/>
        <v>31624.559063285757</v>
      </c>
    </row>
    <row r="888" spans="1:9" ht="15.75" customHeight="1" x14ac:dyDescent="0.35">
      <c r="A888" s="26" t="s">
        <v>8910</v>
      </c>
      <c r="B888" s="25" t="s">
        <v>13291</v>
      </c>
      <c r="C888" s="6" t="s">
        <v>11245</v>
      </c>
      <c r="D888" s="13">
        <v>1271.1548229120001</v>
      </c>
      <c r="E888" s="18">
        <v>21</v>
      </c>
      <c r="F888" s="2">
        <f t="shared" si="26"/>
        <v>1538.0973357235202</v>
      </c>
      <c r="G888" s="3">
        <v>0</v>
      </c>
      <c r="H888" s="4">
        <v>0.7</v>
      </c>
      <c r="I888" s="28">
        <f t="shared" si="27"/>
        <v>2614.7654707299844</v>
      </c>
    </row>
    <row r="889" spans="1:9" ht="15.75" customHeight="1" x14ac:dyDescent="0.35">
      <c r="A889" s="26" t="s">
        <v>2083</v>
      </c>
      <c r="B889" s="25" t="s">
        <v>11213</v>
      </c>
      <c r="C889" s="6" t="s">
        <v>12776</v>
      </c>
      <c r="D889" s="13">
        <v>2002.1426380800001</v>
      </c>
      <c r="E889" s="18">
        <v>21</v>
      </c>
      <c r="F889" s="2">
        <f t="shared" si="26"/>
        <v>2422.5925920768</v>
      </c>
      <c r="G889" s="3">
        <v>0</v>
      </c>
      <c r="H889" s="4">
        <v>0.7</v>
      </c>
      <c r="I889" s="28">
        <f t="shared" si="27"/>
        <v>4118.4074065305595</v>
      </c>
    </row>
    <row r="890" spans="1:9" ht="15.75" customHeight="1" x14ac:dyDescent="0.35">
      <c r="A890" s="26" t="s">
        <v>2084</v>
      </c>
      <c r="B890" s="25" t="s">
        <v>11214</v>
      </c>
      <c r="C890" s="6" t="s">
        <v>12777</v>
      </c>
      <c r="D890" s="13">
        <v>2002.1426380800001</v>
      </c>
      <c r="E890" s="18">
        <v>21</v>
      </c>
      <c r="F890" s="2">
        <f t="shared" si="26"/>
        <v>2422.5925920768</v>
      </c>
      <c r="G890" s="3">
        <v>0</v>
      </c>
      <c r="H890" s="4">
        <v>0.7</v>
      </c>
      <c r="I890" s="28">
        <f t="shared" si="27"/>
        <v>4118.4074065305595</v>
      </c>
    </row>
    <row r="891" spans="1:9" ht="15.75" customHeight="1" x14ac:dyDescent="0.35">
      <c r="A891" s="26" t="s">
        <v>1968</v>
      </c>
      <c r="B891" s="25" t="s">
        <v>13292</v>
      </c>
      <c r="C891" s="6" t="s">
        <v>11366</v>
      </c>
      <c r="D891" s="13">
        <v>1271.3333399999999</v>
      </c>
      <c r="E891" s="18">
        <v>21</v>
      </c>
      <c r="F891" s="2">
        <f t="shared" si="26"/>
        <v>1538.3133413999999</v>
      </c>
      <c r="G891" s="3">
        <v>0</v>
      </c>
      <c r="H891" s="4">
        <v>0.7</v>
      </c>
      <c r="I891" s="28">
        <f t="shared" si="27"/>
        <v>2615.1326803799998</v>
      </c>
    </row>
    <row r="892" spans="1:9" ht="15.75" customHeight="1" x14ac:dyDescent="0.35">
      <c r="A892" s="26" t="s">
        <v>2086</v>
      </c>
      <c r="B892" s="25" t="s">
        <v>11215</v>
      </c>
      <c r="C892" s="6" t="s">
        <v>12625</v>
      </c>
      <c r="D892" s="13">
        <v>2002.1426380800001</v>
      </c>
      <c r="E892" s="18">
        <v>21</v>
      </c>
      <c r="F892" s="2">
        <f t="shared" si="26"/>
        <v>2422.5925920768</v>
      </c>
      <c r="G892" s="3">
        <v>0</v>
      </c>
      <c r="H892" s="4">
        <v>0.7</v>
      </c>
      <c r="I892" s="28">
        <f t="shared" si="27"/>
        <v>4118.4074065305595</v>
      </c>
    </row>
    <row r="893" spans="1:9" ht="15.75" customHeight="1" x14ac:dyDescent="0.35">
      <c r="A893" s="26" t="s">
        <v>8913</v>
      </c>
      <c r="B893" s="25" t="s">
        <v>11216</v>
      </c>
      <c r="C893" s="6" t="s">
        <v>11247</v>
      </c>
      <c r="D893" s="13">
        <v>1271.1548229120001</v>
      </c>
      <c r="E893" s="18">
        <v>21</v>
      </c>
      <c r="F893" s="2">
        <f t="shared" si="26"/>
        <v>1538.0973357235202</v>
      </c>
      <c r="G893" s="3">
        <v>0</v>
      </c>
      <c r="H893" s="4">
        <v>0.7</v>
      </c>
      <c r="I893" s="28">
        <f t="shared" si="27"/>
        <v>2614.7654707299844</v>
      </c>
    </row>
    <row r="894" spans="1:9" ht="15.75" customHeight="1" x14ac:dyDescent="0.35">
      <c r="A894" s="26" t="s">
        <v>1970</v>
      </c>
      <c r="B894" s="25" t="s">
        <v>13293</v>
      </c>
      <c r="C894" s="6" t="s">
        <v>11367</v>
      </c>
      <c r="D894" s="13">
        <v>1271.3333399999999</v>
      </c>
      <c r="E894" s="18">
        <v>21</v>
      </c>
      <c r="F894" s="2">
        <f t="shared" si="26"/>
        <v>1538.3133413999999</v>
      </c>
      <c r="G894" s="3">
        <v>0</v>
      </c>
      <c r="H894" s="4">
        <v>0.7</v>
      </c>
      <c r="I894" s="28">
        <f t="shared" si="27"/>
        <v>2615.1326803799998</v>
      </c>
    </row>
    <row r="895" spans="1:9" ht="15.75" customHeight="1" x14ac:dyDescent="0.35">
      <c r="A895" s="26" t="s">
        <v>2082</v>
      </c>
      <c r="B895" s="25" t="s">
        <v>13294</v>
      </c>
      <c r="C895" s="6" t="s">
        <v>12778</v>
      </c>
      <c r="D895" s="13">
        <v>2002.1426380800001</v>
      </c>
      <c r="E895" s="18">
        <v>21</v>
      </c>
      <c r="F895" s="2">
        <f t="shared" si="26"/>
        <v>2422.5925920768</v>
      </c>
      <c r="G895" s="3">
        <v>0</v>
      </c>
      <c r="H895" s="4">
        <v>0.7</v>
      </c>
      <c r="I895" s="28">
        <f t="shared" si="27"/>
        <v>4118.4074065305595</v>
      </c>
    </row>
    <row r="896" spans="1:9" ht="15.75" customHeight="1" x14ac:dyDescent="0.35">
      <c r="A896" s="26" t="s">
        <v>2142</v>
      </c>
      <c r="B896" s="25" t="s">
        <v>13295</v>
      </c>
      <c r="C896" s="6" t="s">
        <v>11249</v>
      </c>
      <c r="D896" s="13">
        <v>1949.67675712914</v>
      </c>
      <c r="E896" s="18">
        <v>21</v>
      </c>
      <c r="F896" s="2">
        <f t="shared" si="26"/>
        <v>2359.1088761262595</v>
      </c>
      <c r="G896" s="3">
        <v>0</v>
      </c>
      <c r="H896" s="4">
        <v>0.7</v>
      </c>
      <c r="I896" s="28">
        <f t="shared" si="27"/>
        <v>4010.4850894146412</v>
      </c>
    </row>
    <row r="897" spans="1:9" ht="15.75" customHeight="1" x14ac:dyDescent="0.35">
      <c r="A897" s="26" t="s">
        <v>1965</v>
      </c>
      <c r="B897" s="25" t="s">
        <v>13296</v>
      </c>
      <c r="C897" s="6" t="s">
        <v>11368</v>
      </c>
      <c r="D897" s="13">
        <v>1271.3333399999999</v>
      </c>
      <c r="E897" s="18">
        <v>21</v>
      </c>
      <c r="F897" s="2">
        <f t="shared" si="26"/>
        <v>1538.3133413999999</v>
      </c>
      <c r="G897" s="3">
        <v>0</v>
      </c>
      <c r="H897" s="4">
        <v>0.7</v>
      </c>
      <c r="I897" s="28">
        <f t="shared" si="27"/>
        <v>2615.1326803799998</v>
      </c>
    </row>
    <row r="898" spans="1:9" ht="15.75" customHeight="1" x14ac:dyDescent="0.35">
      <c r="A898" s="26" t="s">
        <v>2143</v>
      </c>
      <c r="B898" s="25" t="s">
        <v>13297</v>
      </c>
      <c r="C898" s="6" t="s">
        <v>11250</v>
      </c>
      <c r="D898" s="13">
        <v>1949.67675712914</v>
      </c>
      <c r="E898" s="18">
        <v>21</v>
      </c>
      <c r="F898" s="2">
        <f t="shared" si="26"/>
        <v>2359.1088761262595</v>
      </c>
      <c r="G898" s="3">
        <v>0</v>
      </c>
      <c r="H898" s="4">
        <v>0.7</v>
      </c>
      <c r="I898" s="28">
        <f t="shared" si="27"/>
        <v>4010.4850894146412</v>
      </c>
    </row>
    <row r="899" spans="1:9" ht="15.75" customHeight="1" x14ac:dyDescent="0.35">
      <c r="A899" s="26" t="s">
        <v>8911</v>
      </c>
      <c r="B899" s="25" t="s">
        <v>11217</v>
      </c>
      <c r="C899" s="6" t="s">
        <v>11252</v>
      </c>
      <c r="D899" s="13">
        <v>1271.1548229120001</v>
      </c>
      <c r="E899" s="18">
        <v>21</v>
      </c>
      <c r="F899" s="2">
        <f t="shared" si="26"/>
        <v>1538.0973357235202</v>
      </c>
      <c r="G899" s="3">
        <v>0</v>
      </c>
      <c r="H899" s="4">
        <v>0.7</v>
      </c>
      <c r="I899" s="28">
        <f t="shared" si="27"/>
        <v>2614.7654707299844</v>
      </c>
    </row>
    <row r="900" spans="1:9" ht="15.75" customHeight="1" x14ac:dyDescent="0.35">
      <c r="A900" s="26" t="s">
        <v>1966</v>
      </c>
      <c r="B900" s="25" t="s">
        <v>11619</v>
      </c>
      <c r="C900" s="6" t="s">
        <v>11369</v>
      </c>
      <c r="D900" s="13">
        <v>1271.3333399999999</v>
      </c>
      <c r="E900" s="18">
        <v>21</v>
      </c>
      <c r="F900" s="2">
        <f t="shared" si="26"/>
        <v>1538.3133413999999</v>
      </c>
      <c r="G900" s="3">
        <v>0</v>
      </c>
      <c r="H900" s="4">
        <v>0.7</v>
      </c>
      <c r="I900" s="28">
        <f t="shared" si="27"/>
        <v>2615.1326803799998</v>
      </c>
    </row>
    <row r="901" spans="1:9" ht="15.75" customHeight="1" x14ac:dyDescent="0.35">
      <c r="A901" s="26" t="s">
        <v>2144</v>
      </c>
      <c r="B901" s="25" t="s">
        <v>11620</v>
      </c>
      <c r="C901" s="6" t="s">
        <v>11253</v>
      </c>
      <c r="D901" s="13">
        <v>1949.67675712914</v>
      </c>
      <c r="E901" s="18">
        <v>21</v>
      </c>
      <c r="F901" s="2">
        <f t="shared" si="26"/>
        <v>2359.1088761262595</v>
      </c>
      <c r="G901" s="3">
        <v>0</v>
      </c>
      <c r="H901" s="4">
        <v>0.7</v>
      </c>
      <c r="I901" s="28">
        <f t="shared" si="27"/>
        <v>4010.4850894146412</v>
      </c>
    </row>
    <row r="902" spans="1:9" ht="15.75" customHeight="1" x14ac:dyDescent="0.35">
      <c r="A902" s="26" t="s">
        <v>8912</v>
      </c>
      <c r="B902" s="25" t="s">
        <v>11621</v>
      </c>
      <c r="C902" s="6" t="s">
        <v>11255</v>
      </c>
      <c r="D902" s="13">
        <v>1271.1548229120001</v>
      </c>
      <c r="E902" s="18">
        <v>21</v>
      </c>
      <c r="F902" s="2">
        <f t="shared" ref="F902:F965" si="28">D902*E902/100+D902</f>
        <v>1538.0973357235202</v>
      </c>
      <c r="G902" s="3">
        <v>0</v>
      </c>
      <c r="H902" s="4">
        <v>0.7</v>
      </c>
      <c r="I902" s="28">
        <f t="shared" ref="I902:I965" si="29">IF(G902=-1,0,F902*((100-G902)/100)*(1+H902))</f>
        <v>2614.7654707299844</v>
      </c>
    </row>
    <row r="903" spans="1:9" ht="15.75" customHeight="1" x14ac:dyDescent="0.35">
      <c r="A903" s="26" t="s">
        <v>1967</v>
      </c>
      <c r="B903" s="25" t="s">
        <v>13298</v>
      </c>
      <c r="C903" s="6" t="s">
        <v>11370</v>
      </c>
      <c r="D903" s="13">
        <v>1271.3333399999999</v>
      </c>
      <c r="E903" s="18">
        <v>21</v>
      </c>
      <c r="F903" s="2">
        <f t="shared" si="28"/>
        <v>1538.3133413999999</v>
      </c>
      <c r="G903" s="3">
        <v>0</v>
      </c>
      <c r="H903" s="4">
        <v>0.7</v>
      </c>
      <c r="I903" s="28">
        <f t="shared" si="29"/>
        <v>2615.1326803799998</v>
      </c>
    </row>
    <row r="904" spans="1:9" ht="15.75" customHeight="1" x14ac:dyDescent="0.35">
      <c r="A904" s="26" t="s">
        <v>2085</v>
      </c>
      <c r="B904" s="25" t="s">
        <v>11218</v>
      </c>
      <c r="C904" s="6" t="s">
        <v>13324</v>
      </c>
      <c r="D904" s="13">
        <v>2002.1426380800001</v>
      </c>
      <c r="E904" s="18">
        <v>21</v>
      </c>
      <c r="F904" s="2">
        <f t="shared" si="28"/>
        <v>2422.5925920768</v>
      </c>
      <c r="G904" s="3">
        <v>0</v>
      </c>
      <c r="H904" s="4">
        <v>0.7</v>
      </c>
      <c r="I904" s="28">
        <f t="shared" si="29"/>
        <v>4118.4074065305595</v>
      </c>
    </row>
    <row r="905" spans="1:9" ht="15.75" customHeight="1" x14ac:dyDescent="0.35">
      <c r="A905" s="26" t="s">
        <v>2146</v>
      </c>
      <c r="B905" s="25" t="s">
        <v>11219</v>
      </c>
      <c r="C905" s="6" t="s">
        <v>11256</v>
      </c>
      <c r="D905" s="13">
        <v>1949.67675712914</v>
      </c>
      <c r="E905" s="18">
        <v>21</v>
      </c>
      <c r="F905" s="2">
        <f t="shared" si="28"/>
        <v>2359.1088761262595</v>
      </c>
      <c r="G905" s="3">
        <v>0</v>
      </c>
      <c r="H905" s="4">
        <v>0.7</v>
      </c>
      <c r="I905" s="28">
        <f t="shared" si="29"/>
        <v>4010.4850894146412</v>
      </c>
    </row>
    <row r="906" spans="1:9" ht="15.75" customHeight="1" x14ac:dyDescent="0.35">
      <c r="A906" s="26" t="s">
        <v>2148</v>
      </c>
      <c r="B906" s="25" t="s">
        <v>11352</v>
      </c>
      <c r="C906" s="6" t="s">
        <v>11258</v>
      </c>
      <c r="D906" s="13">
        <v>1949.67675712914</v>
      </c>
      <c r="E906" s="18">
        <v>21</v>
      </c>
      <c r="F906" s="2">
        <f t="shared" si="28"/>
        <v>2359.1088761262595</v>
      </c>
      <c r="G906" s="3">
        <v>0</v>
      </c>
      <c r="H906" s="4">
        <v>0.7</v>
      </c>
      <c r="I906" s="28">
        <f t="shared" si="29"/>
        <v>4010.4850894146412</v>
      </c>
    </row>
    <row r="907" spans="1:9" ht="15.75" customHeight="1" x14ac:dyDescent="0.35">
      <c r="A907" s="26" t="s">
        <v>1969</v>
      </c>
      <c r="B907" s="25" t="s">
        <v>11353</v>
      </c>
      <c r="C907" s="6" t="s">
        <v>11371</v>
      </c>
      <c r="D907" s="13">
        <v>1271.3333399999999</v>
      </c>
      <c r="E907" s="18">
        <v>21</v>
      </c>
      <c r="F907" s="2">
        <f t="shared" si="28"/>
        <v>1538.3133413999999</v>
      </c>
      <c r="G907" s="3">
        <v>0</v>
      </c>
      <c r="H907" s="4">
        <v>0.7</v>
      </c>
      <c r="I907" s="28">
        <f t="shared" si="29"/>
        <v>2615.1326803799998</v>
      </c>
    </row>
    <row r="908" spans="1:9" ht="15.75" customHeight="1" x14ac:dyDescent="0.35">
      <c r="A908" s="26" t="s">
        <v>2087</v>
      </c>
      <c r="B908" s="25" t="s">
        <v>11220</v>
      </c>
      <c r="C908" s="6" t="s">
        <v>12779</v>
      </c>
      <c r="D908" s="13">
        <v>2002.1426380800001</v>
      </c>
      <c r="E908" s="18">
        <v>21</v>
      </c>
      <c r="F908" s="2">
        <f t="shared" si="28"/>
        <v>2422.5925920768</v>
      </c>
      <c r="G908" s="3">
        <v>0</v>
      </c>
      <c r="H908" s="4">
        <v>0.7</v>
      </c>
      <c r="I908" s="28">
        <f t="shared" si="29"/>
        <v>4118.4074065305595</v>
      </c>
    </row>
    <row r="909" spans="1:9" ht="15.75" customHeight="1" x14ac:dyDescent="0.35">
      <c r="A909" s="26" t="s">
        <v>2149</v>
      </c>
      <c r="B909" s="25" t="s">
        <v>11221</v>
      </c>
      <c r="C909" s="6" t="s">
        <v>11260</v>
      </c>
      <c r="D909" s="13">
        <v>1949.67675712914</v>
      </c>
      <c r="E909" s="18">
        <v>21</v>
      </c>
      <c r="F909" s="2">
        <f t="shared" si="28"/>
        <v>2359.1088761262595</v>
      </c>
      <c r="G909" s="3">
        <v>0</v>
      </c>
      <c r="H909" s="4">
        <v>0.7</v>
      </c>
      <c r="I909" s="28">
        <f t="shared" si="29"/>
        <v>4010.4850894146412</v>
      </c>
    </row>
    <row r="910" spans="1:9" ht="15.75" customHeight="1" x14ac:dyDescent="0.35">
      <c r="A910" s="26" t="s">
        <v>8914</v>
      </c>
      <c r="B910" s="25" t="s">
        <v>11354</v>
      </c>
      <c r="C910" s="6" t="s">
        <v>11261</v>
      </c>
      <c r="D910" s="13">
        <v>1271.1548229120001</v>
      </c>
      <c r="E910" s="18">
        <v>21</v>
      </c>
      <c r="F910" s="2">
        <f t="shared" si="28"/>
        <v>1538.0973357235202</v>
      </c>
      <c r="G910" s="3">
        <v>0</v>
      </c>
      <c r="H910" s="4">
        <v>0.7</v>
      </c>
      <c r="I910" s="28">
        <f t="shared" si="29"/>
        <v>2614.7654707299844</v>
      </c>
    </row>
    <row r="911" spans="1:9" ht="15.75" customHeight="1" x14ac:dyDescent="0.35">
      <c r="A911" s="26" t="s">
        <v>2174</v>
      </c>
      <c r="B911" s="25" t="s">
        <v>13299</v>
      </c>
      <c r="C911" s="6" t="s">
        <v>13552</v>
      </c>
      <c r="D911" s="13">
        <v>549.24959232000003</v>
      </c>
      <c r="E911" s="18">
        <v>21</v>
      </c>
      <c r="F911" s="2">
        <f t="shared" si="28"/>
        <v>664.59200670720008</v>
      </c>
      <c r="G911" s="3">
        <v>0</v>
      </c>
      <c r="H911" s="4">
        <v>0.7</v>
      </c>
      <c r="I911" s="28">
        <f t="shared" si="29"/>
        <v>1129.8064114022402</v>
      </c>
    </row>
    <row r="912" spans="1:9" ht="15.75" customHeight="1" x14ac:dyDescent="0.35">
      <c r="A912" s="26" t="s">
        <v>2176</v>
      </c>
      <c r="B912" s="25" t="s">
        <v>11222</v>
      </c>
      <c r="C912" s="6" t="s">
        <v>13553</v>
      </c>
      <c r="D912" s="13">
        <v>549.24959232000003</v>
      </c>
      <c r="E912" s="18">
        <v>21</v>
      </c>
      <c r="F912" s="2">
        <f t="shared" si="28"/>
        <v>664.59200670720008</v>
      </c>
      <c r="G912" s="3">
        <v>0</v>
      </c>
      <c r="H912" s="4">
        <v>0.7</v>
      </c>
      <c r="I912" s="28">
        <f t="shared" si="29"/>
        <v>1129.8064114022402</v>
      </c>
    </row>
    <row r="913" spans="1:9" ht="15.75" customHeight="1" x14ac:dyDescent="0.35">
      <c r="A913" s="26" t="s">
        <v>2175</v>
      </c>
      <c r="B913" s="25" t="s">
        <v>11355</v>
      </c>
      <c r="C913" s="6" t="s">
        <v>13554</v>
      </c>
      <c r="D913" s="13">
        <v>549.24959232000003</v>
      </c>
      <c r="E913" s="18">
        <v>21</v>
      </c>
      <c r="F913" s="2">
        <f t="shared" si="28"/>
        <v>664.59200670720008</v>
      </c>
      <c r="G913" s="3">
        <v>0</v>
      </c>
      <c r="H913" s="4">
        <v>0.7</v>
      </c>
      <c r="I913" s="28">
        <f t="shared" si="29"/>
        <v>1129.8064114022402</v>
      </c>
    </row>
    <row r="914" spans="1:9" ht="15.75" customHeight="1" x14ac:dyDescent="0.35">
      <c r="A914" s="26" t="s">
        <v>2177</v>
      </c>
      <c r="B914" s="25" t="s">
        <v>11356</v>
      </c>
      <c r="C914" s="6" t="s">
        <v>13555</v>
      </c>
      <c r="D914" s="13">
        <v>876.24186624000004</v>
      </c>
      <c r="E914" s="18">
        <v>21</v>
      </c>
      <c r="F914" s="2">
        <f t="shared" si="28"/>
        <v>1060.2526581504001</v>
      </c>
      <c r="G914" s="3">
        <v>0</v>
      </c>
      <c r="H914" s="4">
        <v>0.7</v>
      </c>
      <c r="I914" s="28">
        <f t="shared" si="29"/>
        <v>1802.42951885568</v>
      </c>
    </row>
    <row r="915" spans="1:9" ht="15.75" customHeight="1" x14ac:dyDescent="0.35">
      <c r="A915" s="26" t="s">
        <v>2178</v>
      </c>
      <c r="B915" s="25" t="s">
        <v>11357</v>
      </c>
      <c r="C915" s="6" t="s">
        <v>13556</v>
      </c>
      <c r="D915" s="13">
        <v>876.24186624000004</v>
      </c>
      <c r="E915" s="18">
        <v>21</v>
      </c>
      <c r="F915" s="2">
        <f t="shared" si="28"/>
        <v>1060.2526581504001</v>
      </c>
      <c r="G915" s="3">
        <v>0</v>
      </c>
      <c r="H915" s="4">
        <v>0.7</v>
      </c>
      <c r="I915" s="28">
        <f t="shared" si="29"/>
        <v>1802.42951885568</v>
      </c>
    </row>
    <row r="916" spans="1:9" ht="15.75" customHeight="1" x14ac:dyDescent="0.35">
      <c r="A916" s="26" t="s">
        <v>2179</v>
      </c>
      <c r="B916" s="25" t="s">
        <v>12391</v>
      </c>
      <c r="C916" s="6" t="s">
        <v>13557</v>
      </c>
      <c r="D916" s="13">
        <v>1389.56493312</v>
      </c>
      <c r="E916" s="18">
        <v>21</v>
      </c>
      <c r="F916" s="2">
        <f t="shared" si="28"/>
        <v>1681.3735690752001</v>
      </c>
      <c r="G916" s="3">
        <v>0</v>
      </c>
      <c r="H916" s="4">
        <v>0.7</v>
      </c>
      <c r="I916" s="28">
        <f t="shared" si="29"/>
        <v>2858.3350674278399</v>
      </c>
    </row>
    <row r="917" spans="1:9" ht="15.75" customHeight="1" x14ac:dyDescent="0.35">
      <c r="A917" s="26" t="s">
        <v>2180</v>
      </c>
      <c r="B917" s="25" t="s">
        <v>11223</v>
      </c>
      <c r="C917" s="6" t="s">
        <v>13558</v>
      </c>
      <c r="D917" s="13">
        <v>1389.56493312</v>
      </c>
      <c r="E917" s="18">
        <v>21</v>
      </c>
      <c r="F917" s="2">
        <f t="shared" si="28"/>
        <v>1681.3735690752001</v>
      </c>
      <c r="G917" s="3">
        <v>0</v>
      </c>
      <c r="H917" s="4">
        <v>0.7</v>
      </c>
      <c r="I917" s="28">
        <f t="shared" si="29"/>
        <v>2858.3350674278399</v>
      </c>
    </row>
    <row r="918" spans="1:9" ht="15.75" customHeight="1" x14ac:dyDescent="0.35">
      <c r="A918" s="26" t="s">
        <v>2181</v>
      </c>
      <c r="B918" s="25" t="s">
        <v>13300</v>
      </c>
      <c r="C918" s="6" t="s">
        <v>13559</v>
      </c>
      <c r="D918" s="13">
        <v>1389.56493312</v>
      </c>
      <c r="E918" s="18">
        <v>21</v>
      </c>
      <c r="F918" s="2">
        <f t="shared" si="28"/>
        <v>1681.3735690752001</v>
      </c>
      <c r="G918" s="3">
        <v>0</v>
      </c>
      <c r="H918" s="4">
        <v>0.7</v>
      </c>
      <c r="I918" s="28">
        <f t="shared" si="29"/>
        <v>2858.3350674278399</v>
      </c>
    </row>
    <row r="919" spans="1:9" ht="15.75" customHeight="1" x14ac:dyDescent="0.35">
      <c r="A919" s="26" t="s">
        <v>2227</v>
      </c>
      <c r="B919" s="25" t="s">
        <v>11224</v>
      </c>
      <c r="C919" s="6" t="s">
        <v>9551</v>
      </c>
      <c r="D919" s="13">
        <v>793.82283499999994</v>
      </c>
      <c r="E919" s="18">
        <v>21</v>
      </c>
      <c r="F919" s="2">
        <f t="shared" si="28"/>
        <v>960.52563034999991</v>
      </c>
      <c r="G919" s="3">
        <v>0</v>
      </c>
      <c r="H919" s="4">
        <v>0.7</v>
      </c>
      <c r="I919" s="28">
        <f t="shared" si="29"/>
        <v>1632.8935715949999</v>
      </c>
    </row>
    <row r="920" spans="1:9" ht="15.75" customHeight="1" x14ac:dyDescent="0.35">
      <c r="A920" s="26" t="s">
        <v>9552</v>
      </c>
      <c r="B920" s="25" t="s">
        <v>11225</v>
      </c>
      <c r="C920" s="6" t="s">
        <v>9553</v>
      </c>
      <c r="D920" s="13">
        <v>389.34089999999998</v>
      </c>
      <c r="E920" s="18">
        <v>21</v>
      </c>
      <c r="F920" s="2">
        <f t="shared" si="28"/>
        <v>471.10248899999999</v>
      </c>
      <c r="G920" s="3">
        <v>0</v>
      </c>
      <c r="H920" s="4">
        <v>0.7</v>
      </c>
      <c r="I920" s="28">
        <f t="shared" si="29"/>
        <v>800.87423130000002</v>
      </c>
    </row>
    <row r="921" spans="1:9" ht="15.75" customHeight="1" x14ac:dyDescent="0.35">
      <c r="A921" s="26" t="s">
        <v>2228</v>
      </c>
      <c r="B921" s="25" t="s">
        <v>12392</v>
      </c>
      <c r="C921" s="6" t="s">
        <v>9554</v>
      </c>
      <c r="D921" s="13">
        <v>800.31184999999994</v>
      </c>
      <c r="E921" s="18">
        <v>21</v>
      </c>
      <c r="F921" s="2">
        <f t="shared" si="28"/>
        <v>968.37733849999995</v>
      </c>
      <c r="G921" s="3">
        <v>0</v>
      </c>
      <c r="H921" s="4">
        <v>0.7</v>
      </c>
      <c r="I921" s="28">
        <f t="shared" si="29"/>
        <v>1646.2414754499998</v>
      </c>
    </row>
    <row r="922" spans="1:9" ht="15.75" customHeight="1" x14ac:dyDescent="0.35">
      <c r="A922" s="26" t="s">
        <v>9555</v>
      </c>
      <c r="B922" s="25" t="s">
        <v>11226</v>
      </c>
      <c r="C922" s="6" t="s">
        <v>9556</v>
      </c>
      <c r="D922" s="13">
        <v>410.97095000000002</v>
      </c>
      <c r="E922" s="18">
        <v>21</v>
      </c>
      <c r="F922" s="2">
        <f t="shared" si="28"/>
        <v>497.27484950000002</v>
      </c>
      <c r="G922" s="3">
        <v>0</v>
      </c>
      <c r="H922" s="4">
        <v>0.7</v>
      </c>
      <c r="I922" s="28">
        <f t="shared" si="29"/>
        <v>845.36724415000003</v>
      </c>
    </row>
    <row r="923" spans="1:9" ht="15.75" customHeight="1" x14ac:dyDescent="0.35">
      <c r="A923" s="26" t="s">
        <v>2232</v>
      </c>
      <c r="B923" s="25" t="s">
        <v>13301</v>
      </c>
      <c r="C923" s="6" t="s">
        <v>13498</v>
      </c>
      <c r="D923" s="13">
        <v>828.74578176</v>
      </c>
      <c r="E923" s="18">
        <v>21</v>
      </c>
      <c r="F923" s="2">
        <f t="shared" si="28"/>
        <v>1002.7823959295999</v>
      </c>
      <c r="G923" s="3">
        <v>0</v>
      </c>
      <c r="H923" s="4">
        <v>0.7</v>
      </c>
      <c r="I923" s="28">
        <f t="shared" si="29"/>
        <v>1704.7300730803199</v>
      </c>
    </row>
    <row r="924" spans="1:9" ht="15.75" customHeight="1" x14ac:dyDescent="0.35">
      <c r="A924" s="26" t="s">
        <v>2235</v>
      </c>
      <c r="B924" s="25" t="s">
        <v>11227</v>
      </c>
      <c r="C924" s="6" t="s">
        <v>13366</v>
      </c>
      <c r="D924" s="13">
        <v>1150.25773824</v>
      </c>
      <c r="E924" s="18">
        <v>21</v>
      </c>
      <c r="F924" s="2">
        <f t="shared" si="28"/>
        <v>1391.8118632704</v>
      </c>
      <c r="G924" s="3">
        <v>0</v>
      </c>
      <c r="H924" s="4">
        <v>0.7</v>
      </c>
      <c r="I924" s="28">
        <f t="shared" si="29"/>
        <v>2366.0801675596799</v>
      </c>
    </row>
    <row r="925" spans="1:9" ht="15.75" customHeight="1" x14ac:dyDescent="0.35">
      <c r="A925" s="26" t="s">
        <v>2236</v>
      </c>
      <c r="B925" s="25" t="s">
        <v>11228</v>
      </c>
      <c r="C925" s="6" t="s">
        <v>13499</v>
      </c>
      <c r="D925" s="13">
        <v>1890.1005926400001</v>
      </c>
      <c r="E925" s="18">
        <v>21</v>
      </c>
      <c r="F925" s="2">
        <f t="shared" si="28"/>
        <v>2287.0217170944002</v>
      </c>
      <c r="G925" s="3">
        <v>0</v>
      </c>
      <c r="H925" s="4">
        <v>0.7</v>
      </c>
      <c r="I925" s="28">
        <f t="shared" si="29"/>
        <v>3887.9369190604802</v>
      </c>
    </row>
    <row r="926" spans="1:9" ht="15.75" customHeight="1" x14ac:dyDescent="0.35">
      <c r="A926" s="26" t="s">
        <v>2237</v>
      </c>
      <c r="B926" s="25" t="s">
        <v>11622</v>
      </c>
      <c r="C926" s="6" t="s">
        <v>13500</v>
      </c>
      <c r="D926" s="13">
        <v>2987.3819289600001</v>
      </c>
      <c r="E926" s="18">
        <v>21</v>
      </c>
      <c r="F926" s="2">
        <f t="shared" si="28"/>
        <v>3614.7321340416001</v>
      </c>
      <c r="G926" s="3">
        <v>0</v>
      </c>
      <c r="H926" s="4">
        <v>0.7</v>
      </c>
      <c r="I926" s="28">
        <f t="shared" si="29"/>
        <v>6145.0446278707204</v>
      </c>
    </row>
    <row r="927" spans="1:9" ht="15.75" customHeight="1" x14ac:dyDescent="0.35">
      <c r="A927" s="26" t="s">
        <v>2238</v>
      </c>
      <c r="B927" s="25" t="s">
        <v>11358</v>
      </c>
      <c r="C927" s="6" t="s">
        <v>13501</v>
      </c>
      <c r="D927" s="13">
        <v>1025.5378917887999</v>
      </c>
      <c r="E927" s="18">
        <v>21</v>
      </c>
      <c r="F927" s="2">
        <f t="shared" si="28"/>
        <v>1240.9008490644478</v>
      </c>
      <c r="G927" s="3">
        <v>0</v>
      </c>
      <c r="H927" s="4">
        <v>0.7</v>
      </c>
      <c r="I927" s="28">
        <f t="shared" si="29"/>
        <v>2109.5314434095612</v>
      </c>
    </row>
    <row r="928" spans="1:9" ht="15.75" customHeight="1" x14ac:dyDescent="0.35">
      <c r="A928" s="26" t="s">
        <v>2239</v>
      </c>
      <c r="B928" s="25" t="s">
        <v>13302</v>
      </c>
      <c r="C928" s="6" t="s">
        <v>13502</v>
      </c>
      <c r="D928" s="13">
        <v>1253.16592128</v>
      </c>
      <c r="E928" s="18">
        <v>21</v>
      </c>
      <c r="F928" s="2">
        <f t="shared" si="28"/>
        <v>1516.3307647488</v>
      </c>
      <c r="G928" s="3">
        <v>0</v>
      </c>
      <c r="H928" s="4">
        <v>0.7</v>
      </c>
      <c r="I928" s="28">
        <f t="shared" si="29"/>
        <v>2577.76230007296</v>
      </c>
    </row>
    <row r="929" spans="1:9" ht="15.75" customHeight="1" x14ac:dyDescent="0.35">
      <c r="A929" s="26" t="s">
        <v>8972</v>
      </c>
      <c r="B929" s="25" t="s">
        <v>11359</v>
      </c>
      <c r="C929" s="6" t="s">
        <v>13367</v>
      </c>
      <c r="D929" s="13">
        <v>1754.9194291199999</v>
      </c>
      <c r="E929" s="18">
        <v>21</v>
      </c>
      <c r="F929" s="2">
        <f t="shared" si="28"/>
        <v>2123.4525092352001</v>
      </c>
      <c r="G929" s="3">
        <v>0</v>
      </c>
      <c r="H929" s="4">
        <v>0.7</v>
      </c>
      <c r="I929" s="28">
        <f t="shared" si="29"/>
        <v>3609.8692656998401</v>
      </c>
    </row>
    <row r="930" spans="1:9" ht="15.75" customHeight="1" x14ac:dyDescent="0.35">
      <c r="A930" s="26" t="s">
        <v>2240</v>
      </c>
      <c r="B930" s="25" t="s">
        <v>13303</v>
      </c>
      <c r="C930" s="6" t="s">
        <v>11262</v>
      </c>
      <c r="D930" s="13">
        <v>733.43395093959305</v>
      </c>
      <c r="E930" s="18">
        <v>21</v>
      </c>
      <c r="F930" s="2">
        <f t="shared" si="28"/>
        <v>887.45508063690761</v>
      </c>
      <c r="G930" s="3">
        <v>0</v>
      </c>
      <c r="H930" s="4">
        <v>0.7</v>
      </c>
      <c r="I930" s="28">
        <f t="shared" si="29"/>
        <v>1508.673637082743</v>
      </c>
    </row>
    <row r="931" spans="1:9" ht="15.75" customHeight="1" x14ac:dyDescent="0.35">
      <c r="A931" s="26" t="s">
        <v>2242</v>
      </c>
      <c r="B931" s="25" t="s">
        <v>13304</v>
      </c>
      <c r="C931" s="6" t="s">
        <v>13503</v>
      </c>
      <c r="D931" s="13">
        <v>4470.7211827199999</v>
      </c>
      <c r="E931" s="18">
        <v>21</v>
      </c>
      <c r="F931" s="2">
        <f t="shared" si="28"/>
        <v>5409.5726310911996</v>
      </c>
      <c r="G931" s="3">
        <v>0</v>
      </c>
      <c r="H931" s="4">
        <v>0.7</v>
      </c>
      <c r="I931" s="28">
        <f t="shared" si="29"/>
        <v>9196.2734728550386</v>
      </c>
    </row>
    <row r="932" spans="1:9" ht="15.75" customHeight="1" x14ac:dyDescent="0.35">
      <c r="A932" s="26" t="s">
        <v>3450</v>
      </c>
      <c r="B932" s="25" t="s">
        <v>13305</v>
      </c>
      <c r="C932" s="6" t="s">
        <v>118</v>
      </c>
      <c r="D932" s="13">
        <v>9491.0712000000003</v>
      </c>
      <c r="E932" s="18">
        <v>21</v>
      </c>
      <c r="F932" s="2">
        <f t="shared" si="28"/>
        <v>11484.196152</v>
      </c>
      <c r="G932" s="3">
        <v>0</v>
      </c>
      <c r="H932" s="4">
        <v>0.7</v>
      </c>
      <c r="I932" s="28">
        <f t="shared" si="29"/>
        <v>19523.1334584</v>
      </c>
    </row>
    <row r="933" spans="1:9" ht="15.75" customHeight="1" x14ac:dyDescent="0.35">
      <c r="A933" s="26" t="s">
        <v>12182</v>
      </c>
      <c r="B933" s="25" t="s">
        <v>13306</v>
      </c>
      <c r="C933" s="6" t="s">
        <v>12183</v>
      </c>
      <c r="D933" s="13">
        <v>25489.581116547601</v>
      </c>
      <c r="E933" s="18">
        <v>21</v>
      </c>
      <c r="F933" s="2">
        <f t="shared" si="28"/>
        <v>30842.393151022596</v>
      </c>
      <c r="G933" s="3">
        <v>0</v>
      </c>
      <c r="H933" s="4">
        <v>0.7</v>
      </c>
      <c r="I933" s="28">
        <f t="shared" si="29"/>
        <v>52432.068356738411</v>
      </c>
    </row>
    <row r="934" spans="1:9" ht="15.75" customHeight="1" x14ac:dyDescent="0.35">
      <c r="A934" s="26" t="s">
        <v>9801</v>
      </c>
      <c r="B934" s="25" t="s">
        <v>13307</v>
      </c>
      <c r="C934" s="6" t="s">
        <v>11489</v>
      </c>
      <c r="D934" s="13">
        <v>48901.078494730798</v>
      </c>
      <c r="E934" s="18">
        <v>21</v>
      </c>
      <c r="F934" s="2">
        <f t="shared" si="28"/>
        <v>59170.304978624263</v>
      </c>
      <c r="G934" s="3">
        <v>0</v>
      </c>
      <c r="H934" s="4">
        <v>0.7</v>
      </c>
      <c r="I934" s="28">
        <f t="shared" si="29"/>
        <v>100589.51846366124</v>
      </c>
    </row>
    <row r="935" spans="1:9" ht="15.75" customHeight="1" x14ac:dyDescent="0.35">
      <c r="A935" s="26" t="s">
        <v>9802</v>
      </c>
      <c r="B935" s="25" t="s">
        <v>11229</v>
      </c>
      <c r="C935" s="6" t="s">
        <v>11490</v>
      </c>
      <c r="D935" s="13">
        <v>48901.078494730798</v>
      </c>
      <c r="E935" s="18">
        <v>21</v>
      </c>
      <c r="F935" s="2">
        <f t="shared" si="28"/>
        <v>59170.304978624263</v>
      </c>
      <c r="G935" s="3">
        <v>0</v>
      </c>
      <c r="H935" s="4">
        <v>0.7</v>
      </c>
      <c r="I935" s="28">
        <f t="shared" si="29"/>
        <v>100589.51846366124</v>
      </c>
    </row>
    <row r="936" spans="1:9" ht="15.75" customHeight="1" x14ac:dyDescent="0.35">
      <c r="A936" s="26" t="s">
        <v>9790</v>
      </c>
      <c r="B936" s="25" t="s">
        <v>13308</v>
      </c>
      <c r="C936" s="6" t="s">
        <v>11491</v>
      </c>
      <c r="D936" s="13">
        <v>78099.673000330804</v>
      </c>
      <c r="E936" s="18">
        <v>21</v>
      </c>
      <c r="F936" s="2">
        <f t="shared" si="28"/>
        <v>94500.604330400267</v>
      </c>
      <c r="G936" s="3">
        <v>0</v>
      </c>
      <c r="H936" s="4">
        <v>0.7</v>
      </c>
      <c r="I936" s="28">
        <f t="shared" si="29"/>
        <v>160651.02736168046</v>
      </c>
    </row>
    <row r="937" spans="1:9" ht="15.75" customHeight="1" x14ac:dyDescent="0.35">
      <c r="A937" s="26" t="s">
        <v>9791</v>
      </c>
      <c r="B937" s="25" t="s">
        <v>13309</v>
      </c>
      <c r="C937" s="6" t="s">
        <v>11492</v>
      </c>
      <c r="D937" s="13">
        <v>78099.673000330804</v>
      </c>
      <c r="E937" s="18">
        <v>21</v>
      </c>
      <c r="F937" s="2">
        <f t="shared" si="28"/>
        <v>94500.604330400267</v>
      </c>
      <c r="G937" s="3">
        <v>0</v>
      </c>
      <c r="H937" s="4">
        <v>0.7</v>
      </c>
      <c r="I937" s="28">
        <f t="shared" si="29"/>
        <v>160651.02736168046</v>
      </c>
    </row>
    <row r="938" spans="1:9" ht="15.75" customHeight="1" x14ac:dyDescent="0.35">
      <c r="A938" s="26" t="s">
        <v>9042</v>
      </c>
      <c r="B938" s="25" t="s">
        <v>13310</v>
      </c>
      <c r="C938" s="6" t="s">
        <v>9043</v>
      </c>
      <c r="D938" s="13">
        <v>1206.2368084</v>
      </c>
      <c r="E938" s="18">
        <v>21</v>
      </c>
      <c r="F938" s="2">
        <f t="shared" si="28"/>
        <v>1459.5465381639999</v>
      </c>
      <c r="G938" s="3">
        <v>0</v>
      </c>
      <c r="H938" s="4">
        <v>0.7</v>
      </c>
      <c r="I938" s="28">
        <f t="shared" si="29"/>
        <v>2481.2291148787999</v>
      </c>
    </row>
    <row r="939" spans="1:9" ht="15.75" customHeight="1" x14ac:dyDescent="0.35">
      <c r="A939" s="26" t="s">
        <v>2324</v>
      </c>
      <c r="B939" s="25" t="s">
        <v>13311</v>
      </c>
      <c r="C939" s="6" t="s">
        <v>1229</v>
      </c>
      <c r="D939" s="13">
        <v>11087.955926774999</v>
      </c>
      <c r="E939" s="18">
        <v>21</v>
      </c>
      <c r="F939" s="2">
        <f t="shared" si="28"/>
        <v>13416.426671397749</v>
      </c>
      <c r="G939" s="3">
        <v>0</v>
      </c>
      <c r="H939" s="4">
        <v>0.7</v>
      </c>
      <c r="I939" s="28">
        <f t="shared" si="29"/>
        <v>22807.925341376173</v>
      </c>
    </row>
    <row r="940" spans="1:9" ht="15.75" customHeight="1" x14ac:dyDescent="0.35">
      <c r="A940" s="26" t="s">
        <v>2325</v>
      </c>
      <c r="B940" s="25" t="s">
        <v>13312</v>
      </c>
      <c r="C940" s="6" t="s">
        <v>1230</v>
      </c>
      <c r="D940" s="13">
        <v>11087.955926774999</v>
      </c>
      <c r="E940" s="18">
        <v>21</v>
      </c>
      <c r="F940" s="2">
        <f t="shared" si="28"/>
        <v>13416.426671397749</v>
      </c>
      <c r="G940" s="3">
        <v>0</v>
      </c>
      <c r="H940" s="4">
        <v>0.7</v>
      </c>
      <c r="I940" s="28">
        <f t="shared" si="29"/>
        <v>22807.925341376173</v>
      </c>
    </row>
    <row r="941" spans="1:9" ht="15.75" customHeight="1" x14ac:dyDescent="0.35">
      <c r="A941" s="26" t="s">
        <v>9515</v>
      </c>
      <c r="B941" s="25" t="s">
        <v>11271</v>
      </c>
      <c r="C941" s="6" t="s">
        <v>9516</v>
      </c>
      <c r="D941" s="13">
        <v>4297.4944999999998</v>
      </c>
      <c r="E941" s="18">
        <v>21</v>
      </c>
      <c r="F941" s="2">
        <f t="shared" si="28"/>
        <v>5199.9683449999993</v>
      </c>
      <c r="G941" s="3">
        <v>0</v>
      </c>
      <c r="H941" s="4">
        <v>0.7</v>
      </c>
      <c r="I941" s="28">
        <f t="shared" si="29"/>
        <v>8839.9461864999994</v>
      </c>
    </row>
    <row r="942" spans="1:9" ht="15.75" customHeight="1" x14ac:dyDescent="0.35">
      <c r="A942" s="26" t="s">
        <v>4667</v>
      </c>
      <c r="B942" s="25" t="s">
        <v>11230</v>
      </c>
      <c r="C942" s="6" t="s">
        <v>119</v>
      </c>
      <c r="D942" s="13">
        <v>82.793711000000002</v>
      </c>
      <c r="E942" s="18">
        <v>21</v>
      </c>
      <c r="F942" s="2">
        <f t="shared" si="28"/>
        <v>100.18039031000001</v>
      </c>
      <c r="G942" s="3">
        <v>0</v>
      </c>
      <c r="H942" s="4">
        <v>0.7</v>
      </c>
      <c r="I942" s="28">
        <f t="shared" si="29"/>
        <v>170.30666352700001</v>
      </c>
    </row>
    <row r="943" spans="1:9" ht="15.75" customHeight="1" x14ac:dyDescent="0.35">
      <c r="A943" s="26" t="s">
        <v>4668</v>
      </c>
      <c r="B943" s="25" t="s">
        <v>11231</v>
      </c>
      <c r="C943" s="6" t="s">
        <v>120</v>
      </c>
      <c r="D943" s="13">
        <v>102.66970999999999</v>
      </c>
      <c r="E943" s="18">
        <v>21</v>
      </c>
      <c r="F943" s="2">
        <f t="shared" si="28"/>
        <v>124.2303491</v>
      </c>
      <c r="G943" s="3">
        <v>0</v>
      </c>
      <c r="H943" s="4">
        <v>0.7</v>
      </c>
      <c r="I943" s="28">
        <f t="shared" si="29"/>
        <v>211.19159346999999</v>
      </c>
    </row>
    <row r="944" spans="1:9" ht="15.75" customHeight="1" x14ac:dyDescent="0.35">
      <c r="A944" s="26" t="s">
        <v>4670</v>
      </c>
      <c r="B944" s="25" t="s">
        <v>11360</v>
      </c>
      <c r="C944" s="6" t="s">
        <v>122</v>
      </c>
      <c r="D944" s="13">
        <v>93.978741999999997</v>
      </c>
      <c r="E944" s="18">
        <v>21</v>
      </c>
      <c r="F944" s="2">
        <f t="shared" si="28"/>
        <v>113.71427781999999</v>
      </c>
      <c r="G944" s="3">
        <v>0</v>
      </c>
      <c r="H944" s="4">
        <v>0.7</v>
      </c>
      <c r="I944" s="28">
        <f t="shared" si="29"/>
        <v>193.31427229399998</v>
      </c>
    </row>
    <row r="945" spans="1:9" ht="15.75" customHeight="1" x14ac:dyDescent="0.35">
      <c r="A945" s="26" t="s">
        <v>4671</v>
      </c>
      <c r="B945" s="25" t="s">
        <v>11361</v>
      </c>
      <c r="C945" s="6" t="s">
        <v>9627</v>
      </c>
      <c r="D945" s="13">
        <v>68.609684000000001</v>
      </c>
      <c r="E945" s="18">
        <v>21</v>
      </c>
      <c r="F945" s="2">
        <f t="shared" si="28"/>
        <v>83.017717640000001</v>
      </c>
      <c r="G945" s="3">
        <v>0</v>
      </c>
      <c r="H945" s="4">
        <v>0.7</v>
      </c>
      <c r="I945" s="28">
        <f t="shared" si="29"/>
        <v>141.13011998799999</v>
      </c>
    </row>
    <row r="946" spans="1:9" ht="15.75" customHeight="1" x14ac:dyDescent="0.35">
      <c r="A946" s="26" t="s">
        <v>3213</v>
      </c>
      <c r="B946" s="25" t="s">
        <v>13313</v>
      </c>
      <c r="C946" s="6" t="s">
        <v>13130</v>
      </c>
      <c r="D946" s="13">
        <v>14060.5700852916</v>
      </c>
      <c r="E946" s="18">
        <v>21</v>
      </c>
      <c r="F946" s="2">
        <f t="shared" si="28"/>
        <v>17013.289803202835</v>
      </c>
      <c r="G946" s="3">
        <v>0</v>
      </c>
      <c r="H946" s="4">
        <v>0.7</v>
      </c>
      <c r="I946" s="28">
        <f t="shared" si="29"/>
        <v>28922.592665444819</v>
      </c>
    </row>
    <row r="947" spans="1:9" ht="15.75" customHeight="1" x14ac:dyDescent="0.35">
      <c r="A947" s="26" t="s">
        <v>9005</v>
      </c>
      <c r="B947" s="25" t="s">
        <v>11232</v>
      </c>
      <c r="C947" s="6" t="s">
        <v>13131</v>
      </c>
      <c r="D947" s="13">
        <v>20086.822992787202</v>
      </c>
      <c r="E947" s="18">
        <v>21</v>
      </c>
      <c r="F947" s="2">
        <f t="shared" si="28"/>
        <v>24305.055821272515</v>
      </c>
      <c r="G947" s="3">
        <v>0</v>
      </c>
      <c r="H947" s="4">
        <v>0.7</v>
      </c>
      <c r="I947" s="28">
        <f t="shared" si="29"/>
        <v>41318.594896163275</v>
      </c>
    </row>
    <row r="948" spans="1:9" ht="15.75" customHeight="1" x14ac:dyDescent="0.35">
      <c r="A948" s="26" t="s">
        <v>9055</v>
      </c>
      <c r="B948" s="25" t="s">
        <v>11233</v>
      </c>
      <c r="C948" s="6" t="s">
        <v>13132</v>
      </c>
      <c r="D948" s="13">
        <v>26782.619201535599</v>
      </c>
      <c r="E948" s="18">
        <v>21</v>
      </c>
      <c r="F948" s="2">
        <f t="shared" si="28"/>
        <v>32406.969233858075</v>
      </c>
      <c r="G948" s="3">
        <v>0</v>
      </c>
      <c r="H948" s="4">
        <v>0.7</v>
      </c>
      <c r="I948" s="28">
        <f t="shared" si="29"/>
        <v>55091.847697558725</v>
      </c>
    </row>
    <row r="949" spans="1:9" ht="15.75" customHeight="1" x14ac:dyDescent="0.35">
      <c r="A949" s="26" t="s">
        <v>9000</v>
      </c>
      <c r="B949" s="25" t="s">
        <v>11362</v>
      </c>
      <c r="C949" s="6" t="s">
        <v>13133</v>
      </c>
      <c r="D949" s="13">
        <v>33478.463042575197</v>
      </c>
      <c r="E949" s="18">
        <v>21</v>
      </c>
      <c r="F949" s="2">
        <f t="shared" si="28"/>
        <v>40508.940281515985</v>
      </c>
      <c r="G949" s="3">
        <v>0</v>
      </c>
      <c r="H949" s="4">
        <v>0.7</v>
      </c>
      <c r="I949" s="28">
        <f t="shared" si="29"/>
        <v>68865.198478577178</v>
      </c>
    </row>
    <row r="950" spans="1:9" ht="15.75" customHeight="1" x14ac:dyDescent="0.35">
      <c r="A950" s="26" t="s">
        <v>9056</v>
      </c>
      <c r="B950" s="25" t="s">
        <v>13314</v>
      </c>
      <c r="C950" s="6" t="s">
        <v>13134</v>
      </c>
      <c r="D950" s="13">
        <v>46870.132862545201</v>
      </c>
      <c r="E950" s="18">
        <v>21</v>
      </c>
      <c r="F950" s="2">
        <f t="shared" si="28"/>
        <v>56712.860763679695</v>
      </c>
      <c r="G950" s="3">
        <v>0</v>
      </c>
      <c r="H950" s="4">
        <v>0.7</v>
      </c>
      <c r="I950" s="28">
        <f t="shared" si="29"/>
        <v>96411.863298255485</v>
      </c>
    </row>
    <row r="951" spans="1:9" ht="15.75" customHeight="1" x14ac:dyDescent="0.35">
      <c r="A951" s="26" t="s">
        <v>12678</v>
      </c>
      <c r="B951" s="25" t="s">
        <v>11234</v>
      </c>
      <c r="C951" s="6" t="s">
        <v>13135</v>
      </c>
      <c r="D951" s="13">
        <v>77314.484450080796</v>
      </c>
      <c r="E951" s="18">
        <v>21</v>
      </c>
      <c r="F951" s="2">
        <f t="shared" si="28"/>
        <v>93550.526184597766</v>
      </c>
      <c r="G951" s="3">
        <v>0</v>
      </c>
      <c r="H951" s="4">
        <v>0.7</v>
      </c>
      <c r="I951" s="28">
        <f t="shared" si="29"/>
        <v>159035.89451381619</v>
      </c>
    </row>
    <row r="952" spans="1:9" ht="15.75" customHeight="1" x14ac:dyDescent="0.35">
      <c r="A952" s="26" t="s">
        <v>3225</v>
      </c>
      <c r="B952" s="25" t="s">
        <v>11235</v>
      </c>
      <c r="C952" s="6" t="s">
        <v>13900</v>
      </c>
      <c r="D952" s="13">
        <v>8703.9081113400007</v>
      </c>
      <c r="E952" s="18">
        <v>21</v>
      </c>
      <c r="F952" s="2">
        <f t="shared" si="28"/>
        <v>10531.7288147214</v>
      </c>
      <c r="G952" s="3">
        <v>0</v>
      </c>
      <c r="H952" s="4">
        <v>0.7</v>
      </c>
      <c r="I952" s="28">
        <f t="shared" si="29"/>
        <v>17903.93898502638</v>
      </c>
    </row>
    <row r="953" spans="1:9" ht="15.75" customHeight="1" x14ac:dyDescent="0.35">
      <c r="A953" s="26" t="s">
        <v>10572</v>
      </c>
      <c r="B953" s="25" t="s">
        <v>11363</v>
      </c>
      <c r="C953" s="6" t="s">
        <v>13985</v>
      </c>
      <c r="D953" s="13">
        <v>95170.026347931605</v>
      </c>
      <c r="E953" s="18">
        <v>21</v>
      </c>
      <c r="F953" s="2">
        <f t="shared" si="28"/>
        <v>115155.73188099725</v>
      </c>
      <c r="G953" s="3">
        <v>0</v>
      </c>
      <c r="H953" s="4">
        <v>0.7</v>
      </c>
      <c r="I953" s="28">
        <f t="shared" si="29"/>
        <v>195764.74419769531</v>
      </c>
    </row>
    <row r="954" spans="1:9" ht="15.75" customHeight="1" x14ac:dyDescent="0.35">
      <c r="A954" s="26" t="s">
        <v>12185</v>
      </c>
      <c r="B954" s="25" t="s">
        <v>13315</v>
      </c>
      <c r="C954" s="6" t="s">
        <v>12186</v>
      </c>
      <c r="D954" s="13">
        <v>3590.0517417803999</v>
      </c>
      <c r="E954" s="18">
        <v>21</v>
      </c>
      <c r="F954" s="2">
        <f t="shared" si="28"/>
        <v>4343.9626075542837</v>
      </c>
      <c r="G954" s="3">
        <v>0</v>
      </c>
      <c r="H954" s="4">
        <v>0.7</v>
      </c>
      <c r="I954" s="28">
        <f t="shared" si="29"/>
        <v>7384.7364328422818</v>
      </c>
    </row>
    <row r="955" spans="1:9" ht="15.75" customHeight="1" x14ac:dyDescent="0.35">
      <c r="A955" s="26" t="s">
        <v>8996</v>
      </c>
      <c r="B955" s="25" t="s">
        <v>11236</v>
      </c>
      <c r="C955" s="6" t="s">
        <v>9044</v>
      </c>
      <c r="D955" s="13">
        <v>17324.769322972799</v>
      </c>
      <c r="E955" s="18">
        <v>21</v>
      </c>
      <c r="F955" s="2">
        <f t="shared" si="28"/>
        <v>20962.970880797089</v>
      </c>
      <c r="G955" s="3">
        <v>0</v>
      </c>
      <c r="H955" s="4">
        <v>0.7</v>
      </c>
      <c r="I955" s="28">
        <f t="shared" si="29"/>
        <v>35637.050497355049</v>
      </c>
    </row>
    <row r="956" spans="1:9" ht="15.75" customHeight="1" x14ac:dyDescent="0.35">
      <c r="A956" s="26" t="s">
        <v>9045</v>
      </c>
      <c r="B956" s="25" t="s">
        <v>11364</v>
      </c>
      <c r="C956" s="6" t="s">
        <v>9046</v>
      </c>
      <c r="D956" s="13">
        <v>24749.970714939602</v>
      </c>
      <c r="E956" s="18">
        <v>21</v>
      </c>
      <c r="F956" s="2">
        <f t="shared" si="28"/>
        <v>29947.464565076916</v>
      </c>
      <c r="G956" s="3">
        <v>0</v>
      </c>
      <c r="H956" s="4">
        <v>0.7</v>
      </c>
      <c r="I956" s="28">
        <f t="shared" si="29"/>
        <v>50910.689760630754</v>
      </c>
    </row>
    <row r="957" spans="1:9" ht="15.75" customHeight="1" x14ac:dyDescent="0.35">
      <c r="A957" s="26" t="s">
        <v>9047</v>
      </c>
      <c r="B957" s="25" t="s">
        <v>13316</v>
      </c>
      <c r="C957" s="6" t="s">
        <v>9048</v>
      </c>
      <c r="D957" s="13">
        <v>33687.687881671198</v>
      </c>
      <c r="E957" s="18">
        <v>21</v>
      </c>
      <c r="F957" s="2">
        <f t="shared" si="28"/>
        <v>40762.10233682215</v>
      </c>
      <c r="G957" s="3">
        <v>0</v>
      </c>
      <c r="H957" s="4">
        <v>0.7</v>
      </c>
      <c r="I957" s="28">
        <f t="shared" si="29"/>
        <v>69295.57397259766</v>
      </c>
    </row>
    <row r="958" spans="1:9" ht="15.75" customHeight="1" x14ac:dyDescent="0.35">
      <c r="A958" s="26" t="s">
        <v>9049</v>
      </c>
      <c r="B958" s="25" t="s">
        <v>11237</v>
      </c>
      <c r="C958" s="6" t="s">
        <v>9050</v>
      </c>
      <c r="D958" s="13">
        <v>41250.385836223199</v>
      </c>
      <c r="E958" s="18">
        <v>21</v>
      </c>
      <c r="F958" s="2">
        <f t="shared" si="28"/>
        <v>49912.966861830071</v>
      </c>
      <c r="G958" s="3">
        <v>0</v>
      </c>
      <c r="H958" s="4">
        <v>0.7</v>
      </c>
      <c r="I958" s="28">
        <f t="shared" si="29"/>
        <v>84852.043665111123</v>
      </c>
    </row>
    <row r="959" spans="1:9" ht="15.75" customHeight="1" x14ac:dyDescent="0.35">
      <c r="A959" s="26" t="s">
        <v>9051</v>
      </c>
      <c r="B959" s="25" t="s">
        <v>11238</v>
      </c>
      <c r="C959" s="6" t="s">
        <v>9052</v>
      </c>
      <c r="D959" s="13">
        <v>7699.5276650604001</v>
      </c>
      <c r="E959" s="18">
        <v>21</v>
      </c>
      <c r="F959" s="2">
        <f t="shared" si="28"/>
        <v>9316.4284747230849</v>
      </c>
      <c r="G959" s="3">
        <v>0</v>
      </c>
      <c r="H959" s="4">
        <v>0.7</v>
      </c>
      <c r="I959" s="28">
        <f t="shared" si="29"/>
        <v>15837.928407029243</v>
      </c>
    </row>
    <row r="960" spans="1:9" ht="15.75" customHeight="1" x14ac:dyDescent="0.35">
      <c r="A960" s="26" t="s">
        <v>9067</v>
      </c>
      <c r="B960" s="25" t="s">
        <v>11239</v>
      </c>
      <c r="C960" s="6" t="s">
        <v>9068</v>
      </c>
      <c r="D960" s="13">
        <v>58438.349264833203</v>
      </c>
      <c r="E960" s="18">
        <v>21</v>
      </c>
      <c r="F960" s="2">
        <f t="shared" si="28"/>
        <v>70710.402610448175</v>
      </c>
      <c r="G960" s="3">
        <v>0</v>
      </c>
      <c r="H960" s="4">
        <v>0.7</v>
      </c>
      <c r="I960" s="28">
        <f t="shared" si="29"/>
        <v>120207.6844377619</v>
      </c>
    </row>
    <row r="961" spans="1:9" ht="15.75" customHeight="1" x14ac:dyDescent="0.35">
      <c r="A961" s="26" t="s">
        <v>9053</v>
      </c>
      <c r="B961" s="25" t="s">
        <v>11365</v>
      </c>
      <c r="C961" s="6" t="s">
        <v>9054</v>
      </c>
      <c r="D961" s="13">
        <v>10724.600892844799</v>
      </c>
      <c r="E961" s="18">
        <v>21</v>
      </c>
      <c r="F961" s="2">
        <f t="shared" si="28"/>
        <v>12976.767080342206</v>
      </c>
      <c r="G961" s="3">
        <v>0</v>
      </c>
      <c r="H961" s="4">
        <v>0.7</v>
      </c>
      <c r="I961" s="28">
        <f t="shared" si="29"/>
        <v>22060.504036581751</v>
      </c>
    </row>
    <row r="962" spans="1:9" ht="15.75" customHeight="1" x14ac:dyDescent="0.35">
      <c r="A962" s="26" t="s">
        <v>9073</v>
      </c>
      <c r="B962" s="25" t="s">
        <v>13317</v>
      </c>
      <c r="C962" s="6" t="s">
        <v>12978</v>
      </c>
      <c r="D962" s="13">
        <v>228507.44443820199</v>
      </c>
      <c r="E962" s="18">
        <v>21</v>
      </c>
      <c r="F962" s="2">
        <f t="shared" si="28"/>
        <v>276494.00777022442</v>
      </c>
      <c r="G962" s="3">
        <v>0</v>
      </c>
      <c r="H962" s="4">
        <v>0.7</v>
      </c>
      <c r="I962" s="28">
        <f t="shared" si="29"/>
        <v>470039.81320938148</v>
      </c>
    </row>
    <row r="963" spans="1:9" ht="15.75" customHeight="1" x14ac:dyDescent="0.35">
      <c r="A963" s="26" t="s">
        <v>9074</v>
      </c>
      <c r="B963" s="25" t="s">
        <v>11240</v>
      </c>
      <c r="C963" s="6" t="s">
        <v>12979</v>
      </c>
      <c r="D963" s="13">
        <v>301564.41180395399</v>
      </c>
      <c r="E963" s="18">
        <v>21</v>
      </c>
      <c r="F963" s="2">
        <f t="shared" si="28"/>
        <v>364892.93828278431</v>
      </c>
      <c r="G963" s="3">
        <v>0</v>
      </c>
      <c r="H963" s="4">
        <v>0.7</v>
      </c>
      <c r="I963" s="28">
        <f t="shared" si="29"/>
        <v>620317.99508073332</v>
      </c>
    </row>
    <row r="964" spans="1:9" ht="15.75" customHeight="1" x14ac:dyDescent="0.35">
      <c r="A964" s="26" t="s">
        <v>9075</v>
      </c>
      <c r="B964" s="25" t="s">
        <v>11241</v>
      </c>
      <c r="C964" s="6" t="s">
        <v>12980</v>
      </c>
      <c r="D964" s="13">
        <v>383959.25521480798</v>
      </c>
      <c r="E964" s="18">
        <v>21</v>
      </c>
      <c r="F964" s="2">
        <f t="shared" si="28"/>
        <v>464590.69880991767</v>
      </c>
      <c r="G964" s="3">
        <v>0</v>
      </c>
      <c r="H964" s="4">
        <v>0.7</v>
      </c>
      <c r="I964" s="28">
        <f t="shared" si="29"/>
        <v>789804.18797685998</v>
      </c>
    </row>
    <row r="965" spans="1:9" ht="15.75" customHeight="1" x14ac:dyDescent="0.35">
      <c r="A965" s="26" t="s">
        <v>3262</v>
      </c>
      <c r="B965" s="25" t="s">
        <v>13318</v>
      </c>
      <c r="C965" s="6" t="s">
        <v>12981</v>
      </c>
      <c r="D965" s="13">
        <v>61497.7594205364</v>
      </c>
      <c r="E965" s="18">
        <v>21</v>
      </c>
      <c r="F965" s="2">
        <f t="shared" si="28"/>
        <v>74412.288898849045</v>
      </c>
      <c r="G965" s="3">
        <v>0</v>
      </c>
      <c r="H965" s="4">
        <v>0.7</v>
      </c>
      <c r="I965" s="28">
        <f t="shared" si="29"/>
        <v>126500.89112804337</v>
      </c>
    </row>
    <row r="966" spans="1:9" ht="15.75" customHeight="1" x14ac:dyDescent="0.35">
      <c r="A966" s="26" t="s">
        <v>2621</v>
      </c>
      <c r="B966" s="25" t="s">
        <v>11242</v>
      </c>
      <c r="C966" s="6" t="s">
        <v>12590</v>
      </c>
      <c r="D966" s="13">
        <v>1418.82</v>
      </c>
      <c r="E966" s="18">
        <v>21</v>
      </c>
      <c r="F966" s="2">
        <f t="shared" ref="F966:F1029" si="30">D966*E966/100+D966</f>
        <v>1716.7721999999999</v>
      </c>
      <c r="G966" s="3">
        <v>0</v>
      </c>
      <c r="H966" s="4">
        <v>0.7</v>
      </c>
      <c r="I966" s="28">
        <f t="shared" ref="I966:I1029" si="31">IF(G966=-1,0,F966*((100-G966)/100)*(1+H966))</f>
        <v>2918.5127399999997</v>
      </c>
    </row>
    <row r="967" spans="1:9" ht="15.75" customHeight="1" x14ac:dyDescent="0.35">
      <c r="A967" s="26" t="s">
        <v>2620</v>
      </c>
      <c r="B967" s="25" t="s">
        <v>11243</v>
      </c>
      <c r="C967" s="6" t="s">
        <v>127</v>
      </c>
      <c r="D967" s="13">
        <v>855.46500000000003</v>
      </c>
      <c r="E967" s="18">
        <v>21</v>
      </c>
      <c r="F967" s="2">
        <f t="shared" si="30"/>
        <v>1035.11265</v>
      </c>
      <c r="G967" s="3">
        <v>0</v>
      </c>
      <c r="H967" s="4">
        <v>0.7</v>
      </c>
      <c r="I967" s="28">
        <f t="shared" si="31"/>
        <v>1759.691505</v>
      </c>
    </row>
    <row r="968" spans="1:9" ht="15.75" customHeight="1" x14ac:dyDescent="0.35">
      <c r="A968" s="26" t="s">
        <v>9816</v>
      </c>
      <c r="B968" s="25" t="s">
        <v>13319</v>
      </c>
      <c r="C968" s="6" t="s">
        <v>12187</v>
      </c>
      <c r="D968" s="13">
        <v>1034.1295238095199</v>
      </c>
      <c r="E968" s="18">
        <v>21</v>
      </c>
      <c r="F968" s="2">
        <f t="shared" si="30"/>
        <v>1251.2967238095191</v>
      </c>
      <c r="G968" s="3">
        <v>0</v>
      </c>
      <c r="H968" s="4">
        <v>0.7</v>
      </c>
      <c r="I968" s="28">
        <f t="shared" si="31"/>
        <v>2127.2044304761826</v>
      </c>
    </row>
    <row r="969" spans="1:9" ht="15.75" customHeight="1" x14ac:dyDescent="0.35">
      <c r="A969" s="26" t="s">
        <v>2612</v>
      </c>
      <c r="B969" s="25" t="s">
        <v>13320</v>
      </c>
      <c r="C969" s="6" t="s">
        <v>128</v>
      </c>
      <c r="D969" s="13">
        <v>1057.9370036975999</v>
      </c>
      <c r="E969" s="18">
        <v>21</v>
      </c>
      <c r="F969" s="2">
        <f t="shared" si="30"/>
        <v>1280.1037744740959</v>
      </c>
      <c r="G969" s="3">
        <v>0</v>
      </c>
      <c r="H969" s="4">
        <v>0.7</v>
      </c>
      <c r="I969" s="28">
        <f t="shared" si="31"/>
        <v>2176.1764166059629</v>
      </c>
    </row>
    <row r="970" spans="1:9" ht="15.75" customHeight="1" x14ac:dyDescent="0.35">
      <c r="A970" s="26" t="s">
        <v>2622</v>
      </c>
      <c r="B970" s="25" t="s">
        <v>13321</v>
      </c>
      <c r="C970" s="6" t="s">
        <v>12591</v>
      </c>
      <c r="D970" s="13">
        <v>769.22299999999996</v>
      </c>
      <c r="E970" s="18">
        <v>21</v>
      </c>
      <c r="F970" s="2">
        <f t="shared" si="30"/>
        <v>930.75982999999997</v>
      </c>
      <c r="G970" s="3">
        <v>0</v>
      </c>
      <c r="H970" s="4">
        <v>0.7</v>
      </c>
      <c r="I970" s="28">
        <f t="shared" si="31"/>
        <v>1582.2917109999999</v>
      </c>
    </row>
    <row r="971" spans="1:9" ht="15.75" customHeight="1" x14ac:dyDescent="0.35">
      <c r="A971" s="26" t="s">
        <v>2623</v>
      </c>
      <c r="B971" s="25" t="s">
        <v>13322</v>
      </c>
      <c r="C971" s="6" t="s">
        <v>12592</v>
      </c>
      <c r="D971" s="13">
        <v>319.93</v>
      </c>
      <c r="E971" s="18">
        <v>21</v>
      </c>
      <c r="F971" s="2">
        <f t="shared" si="30"/>
        <v>387.11529999999999</v>
      </c>
      <c r="G971" s="3">
        <v>0</v>
      </c>
      <c r="H971" s="4">
        <v>0.7</v>
      </c>
      <c r="I971" s="28">
        <f t="shared" si="31"/>
        <v>658.09600999999998</v>
      </c>
    </row>
    <row r="972" spans="1:9" ht="15.75" customHeight="1" x14ac:dyDescent="0.35">
      <c r="A972" s="26" t="s">
        <v>2613</v>
      </c>
      <c r="B972" s="25" t="s">
        <v>13323</v>
      </c>
      <c r="C972" s="6" t="s">
        <v>12593</v>
      </c>
      <c r="D972" s="13">
        <v>424.02265626240001</v>
      </c>
      <c r="E972" s="18">
        <v>21</v>
      </c>
      <c r="F972" s="2">
        <f t="shared" si="30"/>
        <v>513.06741407750405</v>
      </c>
      <c r="G972" s="3">
        <v>0</v>
      </c>
      <c r="H972" s="4">
        <v>0.7</v>
      </c>
      <c r="I972" s="28">
        <f t="shared" si="31"/>
        <v>872.21460393175687</v>
      </c>
    </row>
    <row r="973" spans="1:9" ht="15.75" customHeight="1" x14ac:dyDescent="0.35">
      <c r="A973" s="26" t="s">
        <v>9817</v>
      </c>
      <c r="B973" s="25" t="s">
        <v>11244</v>
      </c>
      <c r="C973" s="6" t="s">
        <v>9818</v>
      </c>
      <c r="D973" s="13">
        <v>495.87371061227998</v>
      </c>
      <c r="E973" s="18">
        <v>21</v>
      </c>
      <c r="F973" s="2">
        <f t="shared" si="30"/>
        <v>600.00718984085881</v>
      </c>
      <c r="G973" s="3">
        <v>0</v>
      </c>
      <c r="H973" s="4">
        <v>0.7</v>
      </c>
      <c r="I973" s="28">
        <f t="shared" si="31"/>
        <v>1020.0122227294599</v>
      </c>
    </row>
    <row r="974" spans="1:9" ht="15.75" customHeight="1" x14ac:dyDescent="0.35">
      <c r="A974" s="26" t="s">
        <v>2624</v>
      </c>
      <c r="B974" s="25" t="s">
        <v>11245</v>
      </c>
      <c r="C974" s="6" t="s">
        <v>129</v>
      </c>
      <c r="D974" s="13">
        <v>751.14</v>
      </c>
      <c r="E974" s="18">
        <v>21</v>
      </c>
      <c r="F974" s="2">
        <f t="shared" si="30"/>
        <v>908.87940000000003</v>
      </c>
      <c r="G974" s="3">
        <v>0</v>
      </c>
      <c r="H974" s="4">
        <v>0.7</v>
      </c>
      <c r="I974" s="28">
        <f t="shared" si="31"/>
        <v>1545.0949800000001</v>
      </c>
    </row>
    <row r="975" spans="1:9" ht="15.75" customHeight="1" x14ac:dyDescent="0.35">
      <c r="A975" s="26" t="s">
        <v>2625</v>
      </c>
      <c r="B975" s="25" t="s">
        <v>12776</v>
      </c>
      <c r="C975" s="6" t="s">
        <v>130</v>
      </c>
      <c r="D975" s="13">
        <v>319.93476985388997</v>
      </c>
      <c r="E975" s="18">
        <v>21</v>
      </c>
      <c r="F975" s="2">
        <f t="shared" si="30"/>
        <v>387.12107152320687</v>
      </c>
      <c r="G975" s="3">
        <v>0</v>
      </c>
      <c r="H975" s="4">
        <v>0.7</v>
      </c>
      <c r="I975" s="28">
        <f t="shared" si="31"/>
        <v>658.10582158945169</v>
      </c>
    </row>
    <row r="976" spans="1:9" ht="15.75" customHeight="1" x14ac:dyDescent="0.35">
      <c r="A976" s="26" t="s">
        <v>2614</v>
      </c>
      <c r="B976" s="25" t="s">
        <v>12777</v>
      </c>
      <c r="C976" s="6" t="s">
        <v>131</v>
      </c>
      <c r="D976" s="13">
        <v>382.48134429959998</v>
      </c>
      <c r="E976" s="18">
        <v>21</v>
      </c>
      <c r="F976" s="2">
        <f t="shared" si="30"/>
        <v>462.80242660251599</v>
      </c>
      <c r="G976" s="3">
        <v>0</v>
      </c>
      <c r="H976" s="4">
        <v>0.7</v>
      </c>
      <c r="I976" s="28">
        <f t="shared" si="31"/>
        <v>786.76412522427722</v>
      </c>
    </row>
    <row r="977" spans="1:9" ht="15.75" customHeight="1" x14ac:dyDescent="0.35">
      <c r="A977" s="26" t="s">
        <v>2626</v>
      </c>
      <c r="B977" s="25" t="s">
        <v>11246</v>
      </c>
      <c r="C977" s="6" t="s">
        <v>132</v>
      </c>
      <c r="D977" s="13">
        <v>1161.4849999999999</v>
      </c>
      <c r="E977" s="18">
        <v>21</v>
      </c>
      <c r="F977" s="2">
        <f t="shared" si="30"/>
        <v>1405.3968499999999</v>
      </c>
      <c r="G977" s="3">
        <v>0</v>
      </c>
      <c r="H977" s="4">
        <v>0.7</v>
      </c>
      <c r="I977" s="28">
        <f t="shared" si="31"/>
        <v>2389.1746449999996</v>
      </c>
    </row>
    <row r="978" spans="1:9" ht="15.75" customHeight="1" x14ac:dyDescent="0.35">
      <c r="A978" s="26" t="s">
        <v>2627</v>
      </c>
      <c r="B978" s="25" t="s">
        <v>11366</v>
      </c>
      <c r="C978" s="6" t="s">
        <v>133</v>
      </c>
      <c r="D978" s="13">
        <v>688.54499999999996</v>
      </c>
      <c r="E978" s="18">
        <v>21</v>
      </c>
      <c r="F978" s="2">
        <f t="shared" si="30"/>
        <v>833.1394499999999</v>
      </c>
      <c r="G978" s="3">
        <v>0</v>
      </c>
      <c r="H978" s="4">
        <v>0.7</v>
      </c>
      <c r="I978" s="28">
        <f t="shared" si="31"/>
        <v>1416.3370649999997</v>
      </c>
    </row>
    <row r="979" spans="1:9" ht="15.75" customHeight="1" x14ac:dyDescent="0.35">
      <c r="A979" s="26" t="s">
        <v>2616</v>
      </c>
      <c r="B979" s="25" t="s">
        <v>12625</v>
      </c>
      <c r="C979" s="6" t="s">
        <v>134</v>
      </c>
      <c r="D979" s="13">
        <v>824.53282278120003</v>
      </c>
      <c r="E979" s="18">
        <v>21</v>
      </c>
      <c r="F979" s="2">
        <f t="shared" si="30"/>
        <v>997.68471556525196</v>
      </c>
      <c r="G979" s="3">
        <v>0</v>
      </c>
      <c r="H979" s="4">
        <v>0.7</v>
      </c>
      <c r="I979" s="28">
        <f t="shared" si="31"/>
        <v>1696.0640164609283</v>
      </c>
    </row>
    <row r="980" spans="1:9" ht="15.75" customHeight="1" x14ac:dyDescent="0.35">
      <c r="A980" s="26" t="s">
        <v>9819</v>
      </c>
      <c r="B980" s="25" t="s">
        <v>11247</v>
      </c>
      <c r="C980" s="6" t="s">
        <v>9820</v>
      </c>
      <c r="D980" s="13">
        <v>1019.86167052692</v>
      </c>
      <c r="E980" s="18">
        <v>21</v>
      </c>
      <c r="F980" s="2">
        <f t="shared" si="30"/>
        <v>1234.0326213375731</v>
      </c>
      <c r="G980" s="3">
        <v>0</v>
      </c>
      <c r="H980" s="4">
        <v>0.7</v>
      </c>
      <c r="I980" s="28">
        <f t="shared" si="31"/>
        <v>2097.8554562738741</v>
      </c>
    </row>
    <row r="981" spans="1:9" ht="15.75" customHeight="1" x14ac:dyDescent="0.35">
      <c r="A981" s="26" t="s">
        <v>2628</v>
      </c>
      <c r="B981" s="25" t="s">
        <v>11248</v>
      </c>
      <c r="C981" s="6" t="s">
        <v>135</v>
      </c>
      <c r="D981" s="13">
        <v>751.14</v>
      </c>
      <c r="E981" s="18">
        <v>21</v>
      </c>
      <c r="F981" s="2">
        <f t="shared" si="30"/>
        <v>908.87940000000003</v>
      </c>
      <c r="G981" s="3">
        <v>0</v>
      </c>
      <c r="H981" s="4">
        <v>0.7</v>
      </c>
      <c r="I981" s="28">
        <f t="shared" si="31"/>
        <v>1545.0949800000001</v>
      </c>
    </row>
    <row r="982" spans="1:9" ht="15.75" customHeight="1" x14ac:dyDescent="0.35">
      <c r="A982" s="26" t="s">
        <v>2629</v>
      </c>
      <c r="B982" s="25" t="s">
        <v>11367</v>
      </c>
      <c r="C982" s="6" t="s">
        <v>136</v>
      </c>
      <c r="D982" s="13">
        <v>319.93</v>
      </c>
      <c r="E982" s="18">
        <v>21</v>
      </c>
      <c r="F982" s="2">
        <f t="shared" si="30"/>
        <v>387.11529999999999</v>
      </c>
      <c r="G982" s="3">
        <v>0</v>
      </c>
      <c r="H982" s="4">
        <v>0.7</v>
      </c>
      <c r="I982" s="28">
        <f t="shared" si="31"/>
        <v>658.09600999999998</v>
      </c>
    </row>
    <row r="983" spans="1:9" ht="15.75" customHeight="1" x14ac:dyDescent="0.35">
      <c r="A983" s="26" t="s">
        <v>2617</v>
      </c>
      <c r="B983" s="25" t="s">
        <v>12778</v>
      </c>
      <c r="C983" s="6" t="s">
        <v>137</v>
      </c>
      <c r="D983" s="13">
        <v>382.48134429959998</v>
      </c>
      <c r="E983" s="18">
        <v>21</v>
      </c>
      <c r="F983" s="2">
        <f t="shared" si="30"/>
        <v>462.80242660251599</v>
      </c>
      <c r="G983" s="3">
        <v>0</v>
      </c>
      <c r="H983" s="4">
        <v>0.7</v>
      </c>
      <c r="I983" s="28">
        <f t="shared" si="31"/>
        <v>786.76412522427722</v>
      </c>
    </row>
    <row r="984" spans="1:9" ht="15.75" customHeight="1" x14ac:dyDescent="0.35">
      <c r="A984" s="26" t="s">
        <v>2630</v>
      </c>
      <c r="B984" s="25" t="s">
        <v>11249</v>
      </c>
      <c r="C984" s="6" t="s">
        <v>12594</v>
      </c>
      <c r="D984" s="13">
        <v>521.625</v>
      </c>
      <c r="E984" s="18">
        <v>21</v>
      </c>
      <c r="F984" s="2">
        <f t="shared" si="30"/>
        <v>631.16624999999999</v>
      </c>
      <c r="G984" s="3">
        <v>0</v>
      </c>
      <c r="H984" s="4">
        <v>0.7</v>
      </c>
      <c r="I984" s="28">
        <f t="shared" si="31"/>
        <v>1072.9826249999999</v>
      </c>
    </row>
    <row r="985" spans="1:9" ht="15.75" customHeight="1" x14ac:dyDescent="0.35">
      <c r="A985" s="26" t="s">
        <v>9821</v>
      </c>
      <c r="B985" s="25" t="s">
        <v>11368</v>
      </c>
      <c r="C985" s="6" t="s">
        <v>9822</v>
      </c>
      <c r="D985" s="13">
        <v>495.87371061227998</v>
      </c>
      <c r="E985" s="18">
        <v>21</v>
      </c>
      <c r="F985" s="2">
        <f t="shared" si="30"/>
        <v>600.00718984085881</v>
      </c>
      <c r="G985" s="3">
        <v>0</v>
      </c>
      <c r="H985" s="4">
        <v>0.7</v>
      </c>
      <c r="I985" s="28">
        <f t="shared" si="31"/>
        <v>1020.0122227294599</v>
      </c>
    </row>
    <row r="986" spans="1:9" ht="15.75" customHeight="1" x14ac:dyDescent="0.35">
      <c r="A986" s="26" t="s">
        <v>4646</v>
      </c>
      <c r="B986" s="25" t="s">
        <v>11250</v>
      </c>
      <c r="C986" s="6" t="s">
        <v>138</v>
      </c>
      <c r="D986" s="13">
        <v>5922.6149093202002</v>
      </c>
      <c r="E986" s="18">
        <v>21</v>
      </c>
      <c r="F986" s="2">
        <f t="shared" si="30"/>
        <v>7166.3640402774417</v>
      </c>
      <c r="G986" s="3">
        <v>0</v>
      </c>
      <c r="H986" s="4">
        <v>0.7</v>
      </c>
      <c r="I986" s="28">
        <f t="shared" si="31"/>
        <v>12182.818868471652</v>
      </c>
    </row>
    <row r="987" spans="1:9" ht="15.75" customHeight="1" x14ac:dyDescent="0.35">
      <c r="A987" s="26" t="s">
        <v>13182</v>
      </c>
      <c r="B987" s="25" t="s">
        <v>11251</v>
      </c>
      <c r="C987" s="6" t="s">
        <v>13183</v>
      </c>
      <c r="D987" s="13">
        <v>1061.3367584820001</v>
      </c>
      <c r="E987" s="18">
        <v>21</v>
      </c>
      <c r="F987" s="2">
        <f t="shared" si="30"/>
        <v>1284.2174777632201</v>
      </c>
      <c r="G987" s="3">
        <v>0</v>
      </c>
      <c r="H987" s="4">
        <v>0.7</v>
      </c>
      <c r="I987" s="28">
        <f t="shared" si="31"/>
        <v>2183.1697121974744</v>
      </c>
    </row>
    <row r="988" spans="1:9" ht="15.75" customHeight="1" x14ac:dyDescent="0.35">
      <c r="A988" s="26" t="s">
        <v>13594</v>
      </c>
      <c r="B988" s="25" t="s">
        <v>11252</v>
      </c>
      <c r="C988" s="6" t="s">
        <v>13595</v>
      </c>
      <c r="D988" s="13">
        <v>1167.4734113484001</v>
      </c>
      <c r="E988" s="18">
        <v>21</v>
      </c>
      <c r="F988" s="2">
        <f t="shared" si="30"/>
        <v>1412.642827731564</v>
      </c>
      <c r="G988" s="3">
        <v>0</v>
      </c>
      <c r="H988" s="4">
        <v>0.7</v>
      </c>
      <c r="I988" s="28">
        <f t="shared" si="31"/>
        <v>2401.4928071436589</v>
      </c>
    </row>
    <row r="989" spans="1:9" ht="15.75" customHeight="1" x14ac:dyDescent="0.35">
      <c r="A989" s="26" t="s">
        <v>4647</v>
      </c>
      <c r="B989" s="25" t="s">
        <v>11369</v>
      </c>
      <c r="C989" s="6" t="s">
        <v>13325</v>
      </c>
      <c r="D989" s="13">
        <v>1871.9918647039999</v>
      </c>
      <c r="E989" s="18">
        <v>21</v>
      </c>
      <c r="F989" s="2">
        <f t="shared" si="30"/>
        <v>2265.1101562918398</v>
      </c>
      <c r="G989" s="3">
        <v>0</v>
      </c>
      <c r="H989" s="4">
        <v>0.7</v>
      </c>
      <c r="I989" s="28">
        <f t="shared" si="31"/>
        <v>3850.6872656961273</v>
      </c>
    </row>
    <row r="990" spans="1:9" ht="15.75" customHeight="1" x14ac:dyDescent="0.35">
      <c r="A990" s="26" t="s">
        <v>9587</v>
      </c>
      <c r="B990" s="25" t="s">
        <v>11253</v>
      </c>
      <c r="C990" s="6" t="s">
        <v>9588</v>
      </c>
      <c r="D990" s="13">
        <v>2659.3763120963999</v>
      </c>
      <c r="E990" s="18">
        <v>21</v>
      </c>
      <c r="F990" s="2">
        <f t="shared" si="30"/>
        <v>3217.8453376366438</v>
      </c>
      <c r="G990" s="3">
        <v>0</v>
      </c>
      <c r="H990" s="4">
        <v>0.7</v>
      </c>
      <c r="I990" s="28">
        <f t="shared" si="31"/>
        <v>5470.337073982294</v>
      </c>
    </row>
    <row r="991" spans="1:9" ht="15.75" customHeight="1" x14ac:dyDescent="0.35">
      <c r="A991" s="26" t="s">
        <v>9589</v>
      </c>
      <c r="B991" s="25" t="s">
        <v>11254</v>
      </c>
      <c r="C991" s="6" t="s">
        <v>9590</v>
      </c>
      <c r="D991" s="13">
        <v>1262.8511204399999</v>
      </c>
      <c r="E991" s="18">
        <v>21</v>
      </c>
      <c r="F991" s="2">
        <f t="shared" si="30"/>
        <v>1528.0498557323999</v>
      </c>
      <c r="G991" s="3">
        <v>0</v>
      </c>
      <c r="H991" s="4">
        <v>0.7</v>
      </c>
      <c r="I991" s="28">
        <f t="shared" si="31"/>
        <v>2597.6847547450798</v>
      </c>
    </row>
    <row r="992" spans="1:9" ht="15.75" customHeight="1" x14ac:dyDescent="0.35">
      <c r="A992" s="26" t="s">
        <v>13596</v>
      </c>
      <c r="B992" s="25" t="s">
        <v>11255</v>
      </c>
      <c r="C992" s="6" t="s">
        <v>13597</v>
      </c>
      <c r="D992" s="13">
        <v>1389.1362324839999</v>
      </c>
      <c r="E992" s="18">
        <v>21</v>
      </c>
      <c r="F992" s="2">
        <f t="shared" si="30"/>
        <v>1680.8548413056399</v>
      </c>
      <c r="G992" s="3">
        <v>0</v>
      </c>
      <c r="H992" s="4">
        <v>0.7</v>
      </c>
      <c r="I992" s="28">
        <f t="shared" si="31"/>
        <v>2857.4532302195876</v>
      </c>
    </row>
    <row r="993" spans="1:9" ht="15.75" customHeight="1" x14ac:dyDescent="0.35">
      <c r="A993" s="26" t="s">
        <v>5766</v>
      </c>
      <c r="B993" s="25" t="s">
        <v>11370</v>
      </c>
      <c r="C993" s="6" t="s">
        <v>11646</v>
      </c>
      <c r="D993" s="13">
        <v>18058.787367237699</v>
      </c>
      <c r="E993" s="18">
        <v>21</v>
      </c>
      <c r="F993" s="2">
        <f t="shared" si="30"/>
        <v>21851.132714357616</v>
      </c>
      <c r="G993" s="3">
        <v>0</v>
      </c>
      <c r="H993" s="4">
        <v>0.7</v>
      </c>
      <c r="I993" s="28">
        <f t="shared" si="31"/>
        <v>37146.925614407948</v>
      </c>
    </row>
    <row r="994" spans="1:9" ht="15.75" customHeight="1" x14ac:dyDescent="0.35">
      <c r="A994" s="26" t="s">
        <v>5767</v>
      </c>
      <c r="B994" s="25" t="s">
        <v>13324</v>
      </c>
      <c r="C994" s="6" t="s">
        <v>139</v>
      </c>
      <c r="D994" s="13">
        <v>2274.7242082499997</v>
      </c>
      <c r="E994" s="18">
        <v>21</v>
      </c>
      <c r="F994" s="2">
        <f t="shared" si="30"/>
        <v>2752.4162919824998</v>
      </c>
      <c r="G994" s="3">
        <v>0</v>
      </c>
      <c r="H994" s="4">
        <v>0.7</v>
      </c>
      <c r="I994" s="28">
        <f t="shared" si="31"/>
        <v>4679.1076963702499</v>
      </c>
    </row>
    <row r="995" spans="1:9" ht="15.75" customHeight="1" x14ac:dyDescent="0.35">
      <c r="A995" s="26" t="s">
        <v>5769</v>
      </c>
      <c r="B995" s="25" t="s">
        <v>11256</v>
      </c>
      <c r="C995" s="6" t="s">
        <v>140</v>
      </c>
      <c r="D995" s="13">
        <v>37350.857590474901</v>
      </c>
      <c r="E995" s="18">
        <v>21</v>
      </c>
      <c r="F995" s="2">
        <f t="shared" si="30"/>
        <v>45194.537684474635</v>
      </c>
      <c r="G995" s="3">
        <v>0</v>
      </c>
      <c r="H995" s="4">
        <v>0.7</v>
      </c>
      <c r="I995" s="28">
        <f t="shared" si="31"/>
        <v>76830.71406360688</v>
      </c>
    </row>
    <row r="996" spans="1:9" ht="15.75" customHeight="1" x14ac:dyDescent="0.35">
      <c r="A996" s="26" t="s">
        <v>5770</v>
      </c>
      <c r="B996" s="25" t="s">
        <v>11257</v>
      </c>
      <c r="C996" s="6" t="s">
        <v>12023</v>
      </c>
      <c r="D996" s="13">
        <v>9678.6309884062503</v>
      </c>
      <c r="E996" s="18">
        <v>21</v>
      </c>
      <c r="F996" s="2">
        <f t="shared" si="30"/>
        <v>11711.143495971563</v>
      </c>
      <c r="G996" s="3">
        <v>0</v>
      </c>
      <c r="H996" s="4">
        <v>0.7</v>
      </c>
      <c r="I996" s="28">
        <f t="shared" si="31"/>
        <v>19908.943943151655</v>
      </c>
    </row>
    <row r="997" spans="1:9" ht="15.75" customHeight="1" x14ac:dyDescent="0.35">
      <c r="A997" s="26" t="s">
        <v>4650</v>
      </c>
      <c r="B997" s="25" t="s">
        <v>11258</v>
      </c>
      <c r="C997" s="6" t="s">
        <v>10637</v>
      </c>
      <c r="D997" s="13">
        <v>3094.8843872248299</v>
      </c>
      <c r="E997" s="18">
        <v>21</v>
      </c>
      <c r="F997" s="2">
        <f t="shared" si="30"/>
        <v>3744.810108542044</v>
      </c>
      <c r="G997" s="3">
        <v>0</v>
      </c>
      <c r="H997" s="4">
        <v>0.7</v>
      </c>
      <c r="I997" s="28">
        <f t="shared" si="31"/>
        <v>6366.1771845214744</v>
      </c>
    </row>
    <row r="998" spans="1:9" ht="15.75" customHeight="1" x14ac:dyDescent="0.35">
      <c r="A998" s="26" t="s">
        <v>4651</v>
      </c>
      <c r="B998" s="25" t="s">
        <v>11259</v>
      </c>
      <c r="C998" s="6" t="s">
        <v>10638</v>
      </c>
      <c r="D998" s="13">
        <v>3094.8843872248299</v>
      </c>
      <c r="E998" s="18">
        <v>21</v>
      </c>
      <c r="F998" s="2">
        <f t="shared" si="30"/>
        <v>3744.810108542044</v>
      </c>
      <c r="G998" s="3">
        <v>0</v>
      </c>
      <c r="H998" s="4">
        <v>0.7</v>
      </c>
      <c r="I998" s="28">
        <f t="shared" si="31"/>
        <v>6366.1771845214744</v>
      </c>
    </row>
    <row r="999" spans="1:9" ht="15.75" customHeight="1" x14ac:dyDescent="0.35">
      <c r="A999" s="26" t="s">
        <v>4652</v>
      </c>
      <c r="B999" s="25" t="s">
        <v>11371</v>
      </c>
      <c r="C999" s="6" t="s">
        <v>10639</v>
      </c>
      <c r="D999" s="13">
        <v>4115.8139955836496</v>
      </c>
      <c r="E999" s="18">
        <v>21</v>
      </c>
      <c r="F999" s="2">
        <f t="shared" si="30"/>
        <v>4980.1349346562156</v>
      </c>
      <c r="G999" s="3">
        <v>0</v>
      </c>
      <c r="H999" s="4">
        <v>0.7</v>
      </c>
      <c r="I999" s="28">
        <f t="shared" si="31"/>
        <v>8466.2293889155662</v>
      </c>
    </row>
    <row r="1000" spans="1:9" ht="15.75" customHeight="1" x14ac:dyDescent="0.35">
      <c r="A1000" s="26" t="s">
        <v>4653</v>
      </c>
      <c r="B1000" s="25" t="s">
        <v>12779</v>
      </c>
      <c r="C1000" s="6" t="s">
        <v>141</v>
      </c>
      <c r="D1000" s="13">
        <v>6266.5565441058598</v>
      </c>
      <c r="E1000" s="18">
        <v>21</v>
      </c>
      <c r="F1000" s="2">
        <f t="shared" si="30"/>
        <v>7582.5334183680898</v>
      </c>
      <c r="G1000" s="3">
        <v>0</v>
      </c>
      <c r="H1000" s="4">
        <v>0.7</v>
      </c>
      <c r="I1000" s="28">
        <f t="shared" si="31"/>
        <v>12890.306811225752</v>
      </c>
    </row>
    <row r="1001" spans="1:9" ht="15.75" customHeight="1" x14ac:dyDescent="0.35">
      <c r="A1001" s="26" t="s">
        <v>3253</v>
      </c>
      <c r="B1001" s="25" t="s">
        <v>11260</v>
      </c>
      <c r="C1001" s="6" t="s">
        <v>8861</v>
      </c>
      <c r="D1001" s="13">
        <v>11544.531245488801</v>
      </c>
      <c r="E1001" s="18">
        <v>21</v>
      </c>
      <c r="F1001" s="2">
        <f t="shared" si="30"/>
        <v>13968.882807041449</v>
      </c>
      <c r="G1001" s="3">
        <v>0</v>
      </c>
      <c r="H1001" s="4">
        <v>0.7</v>
      </c>
      <c r="I1001" s="28">
        <f t="shared" si="31"/>
        <v>23747.100771970465</v>
      </c>
    </row>
    <row r="1002" spans="1:9" ht="15.75" customHeight="1" x14ac:dyDescent="0.35">
      <c r="A1002" s="26" t="s">
        <v>3254</v>
      </c>
      <c r="B1002" s="25" t="s">
        <v>11261</v>
      </c>
      <c r="C1002" s="6" t="s">
        <v>863</v>
      </c>
      <c r="D1002" s="13">
        <v>23147.054805513599</v>
      </c>
      <c r="E1002" s="18">
        <v>21</v>
      </c>
      <c r="F1002" s="2">
        <f t="shared" si="30"/>
        <v>28007.936314671453</v>
      </c>
      <c r="G1002" s="3">
        <v>0</v>
      </c>
      <c r="H1002" s="4">
        <v>0.7</v>
      </c>
      <c r="I1002" s="28">
        <f t="shared" si="31"/>
        <v>47613.491734941468</v>
      </c>
    </row>
    <row r="1003" spans="1:9" ht="15.75" customHeight="1" x14ac:dyDescent="0.35">
      <c r="A1003" s="26" t="s">
        <v>3153</v>
      </c>
      <c r="B1003" s="25" t="s">
        <v>11940</v>
      </c>
      <c r="C1003" s="6" t="s">
        <v>142</v>
      </c>
      <c r="D1003" s="13">
        <v>34617.802274874004</v>
      </c>
      <c r="E1003" s="18">
        <v>21</v>
      </c>
      <c r="F1003" s="2">
        <f t="shared" si="30"/>
        <v>41887.540752597546</v>
      </c>
      <c r="G1003" s="3">
        <v>0</v>
      </c>
      <c r="H1003" s="4">
        <v>0.7</v>
      </c>
      <c r="I1003" s="28">
        <f t="shared" si="31"/>
        <v>71208.819279415824</v>
      </c>
    </row>
    <row r="1004" spans="1:9" ht="15.75" customHeight="1" x14ac:dyDescent="0.35">
      <c r="A1004" s="26" t="s">
        <v>12905</v>
      </c>
      <c r="B1004" s="25" t="s">
        <v>11272</v>
      </c>
      <c r="C1004" s="6" t="s">
        <v>12906</v>
      </c>
      <c r="D1004" s="13">
        <v>33607.839720000004</v>
      </c>
      <c r="E1004" s="18">
        <v>21</v>
      </c>
      <c r="F1004" s="2">
        <f t="shared" si="30"/>
        <v>40665.486061200005</v>
      </c>
      <c r="G1004" s="3">
        <v>0</v>
      </c>
      <c r="H1004" s="4">
        <v>0.7</v>
      </c>
      <c r="I1004" s="28">
        <f t="shared" si="31"/>
        <v>69131.326304040005</v>
      </c>
    </row>
    <row r="1005" spans="1:9" ht="15.75" customHeight="1" x14ac:dyDescent="0.35">
      <c r="A1005" s="26" t="s">
        <v>3154</v>
      </c>
      <c r="B1005" s="25" t="s">
        <v>11941</v>
      </c>
      <c r="C1005" s="6" t="s">
        <v>143</v>
      </c>
      <c r="D1005" s="13">
        <v>44404.189482276</v>
      </c>
      <c r="E1005" s="18">
        <v>21</v>
      </c>
      <c r="F1005" s="2">
        <f t="shared" si="30"/>
        <v>53729.069273553963</v>
      </c>
      <c r="G1005" s="3">
        <v>0</v>
      </c>
      <c r="H1005" s="4">
        <v>0.7</v>
      </c>
      <c r="I1005" s="28">
        <f t="shared" si="31"/>
        <v>91339.41776504174</v>
      </c>
    </row>
    <row r="1006" spans="1:9" ht="15.75" customHeight="1" x14ac:dyDescent="0.35">
      <c r="A1006" s="26" t="s">
        <v>12907</v>
      </c>
      <c r="B1006" s="25" t="s">
        <v>11942</v>
      </c>
      <c r="C1006" s="6" t="s">
        <v>12908</v>
      </c>
      <c r="D1006" s="13">
        <v>42902.000959999998</v>
      </c>
      <c r="E1006" s="18">
        <v>21</v>
      </c>
      <c r="F1006" s="2">
        <f t="shared" si="30"/>
        <v>51911.421161599996</v>
      </c>
      <c r="G1006" s="3">
        <v>0</v>
      </c>
      <c r="H1006" s="4">
        <v>0.7</v>
      </c>
      <c r="I1006" s="28">
        <f t="shared" si="31"/>
        <v>88249.415974719988</v>
      </c>
    </row>
    <row r="1007" spans="1:9" ht="15.75" customHeight="1" x14ac:dyDescent="0.35">
      <c r="A1007" s="26" t="s">
        <v>3155</v>
      </c>
      <c r="B1007" s="25" t="s">
        <v>11973</v>
      </c>
      <c r="C1007" s="6" t="s">
        <v>144</v>
      </c>
      <c r="D1007" s="13">
        <v>57920.984228484005</v>
      </c>
      <c r="E1007" s="18">
        <v>21</v>
      </c>
      <c r="F1007" s="2">
        <f t="shared" si="30"/>
        <v>70084.390916465651</v>
      </c>
      <c r="G1007" s="3">
        <v>0</v>
      </c>
      <c r="H1007" s="4">
        <v>0.7</v>
      </c>
      <c r="I1007" s="28">
        <f t="shared" si="31"/>
        <v>119143.4645579916</v>
      </c>
    </row>
    <row r="1008" spans="1:9" ht="15.75" customHeight="1" x14ac:dyDescent="0.35">
      <c r="A1008" s="26" t="s">
        <v>12909</v>
      </c>
      <c r="B1008" s="25" t="s">
        <v>11273</v>
      </c>
      <c r="C1008" s="6" t="s">
        <v>12910</v>
      </c>
      <c r="D1008" s="13">
        <v>54438.5933</v>
      </c>
      <c r="E1008" s="18">
        <v>21</v>
      </c>
      <c r="F1008" s="2">
        <f t="shared" si="30"/>
        <v>65870.697893000004</v>
      </c>
      <c r="G1008" s="3">
        <v>0</v>
      </c>
      <c r="H1008" s="4">
        <v>0.7</v>
      </c>
      <c r="I1008" s="28">
        <f t="shared" si="31"/>
        <v>111980.1864181</v>
      </c>
    </row>
    <row r="1009" spans="1:9" ht="15.75" customHeight="1" x14ac:dyDescent="0.35">
      <c r="A1009" s="26" t="s">
        <v>12911</v>
      </c>
      <c r="B1009" s="25" t="s">
        <v>11274</v>
      </c>
      <c r="C1009" s="6" t="s">
        <v>12912</v>
      </c>
      <c r="D1009" s="13">
        <v>67896.996803999995</v>
      </c>
      <c r="E1009" s="18">
        <v>21</v>
      </c>
      <c r="F1009" s="2">
        <f t="shared" si="30"/>
        <v>82155.36613283999</v>
      </c>
      <c r="G1009" s="3">
        <v>0</v>
      </c>
      <c r="H1009" s="4">
        <v>0.7</v>
      </c>
      <c r="I1009" s="28">
        <f t="shared" si="31"/>
        <v>139664.12242582798</v>
      </c>
    </row>
    <row r="1010" spans="1:9" ht="15.75" customHeight="1" x14ac:dyDescent="0.35">
      <c r="A1010" s="26" t="s">
        <v>3157</v>
      </c>
      <c r="B1010" s="25" t="s">
        <v>11275</v>
      </c>
      <c r="C1010" s="6" t="s">
        <v>146</v>
      </c>
      <c r="D1010" s="13">
        <v>24679.540969199999</v>
      </c>
      <c r="E1010" s="18">
        <v>21</v>
      </c>
      <c r="F1010" s="2">
        <f t="shared" si="30"/>
        <v>29862.244572732001</v>
      </c>
      <c r="G1010" s="3">
        <v>0</v>
      </c>
      <c r="H1010" s="4">
        <v>0.7</v>
      </c>
      <c r="I1010" s="28">
        <f t="shared" si="31"/>
        <v>50765.815773644397</v>
      </c>
    </row>
    <row r="1011" spans="1:9" ht="15.75" customHeight="1" x14ac:dyDescent="0.35">
      <c r="A1011" s="26" t="s">
        <v>12913</v>
      </c>
      <c r="B1011" s="25" t="s">
        <v>9551</v>
      </c>
      <c r="C1011" s="6" t="s">
        <v>12914</v>
      </c>
      <c r="D1011" s="13">
        <v>86797.351186</v>
      </c>
      <c r="E1011" s="18">
        <v>21</v>
      </c>
      <c r="F1011" s="2">
        <f t="shared" si="30"/>
        <v>105024.79493506</v>
      </c>
      <c r="G1011" s="3">
        <v>0</v>
      </c>
      <c r="H1011" s="4">
        <v>0.7</v>
      </c>
      <c r="I1011" s="28">
        <f t="shared" si="31"/>
        <v>178542.15138960199</v>
      </c>
    </row>
    <row r="1012" spans="1:9" ht="15.75" customHeight="1" x14ac:dyDescent="0.35">
      <c r="A1012" s="26" t="s">
        <v>3158</v>
      </c>
      <c r="B1012" s="25" t="s">
        <v>9553</v>
      </c>
      <c r="C1012" s="6" t="s">
        <v>147</v>
      </c>
      <c r="D1012" s="13">
        <v>93098.822240736001</v>
      </c>
      <c r="E1012" s="18">
        <v>21</v>
      </c>
      <c r="F1012" s="2">
        <f t="shared" si="30"/>
        <v>112649.57491129056</v>
      </c>
      <c r="G1012" s="3">
        <v>0</v>
      </c>
      <c r="H1012" s="4">
        <v>0.7</v>
      </c>
      <c r="I1012" s="28">
        <f t="shared" si="31"/>
        <v>191504.27734919396</v>
      </c>
    </row>
    <row r="1013" spans="1:9" ht="15.75" customHeight="1" x14ac:dyDescent="0.35">
      <c r="A1013" s="26" t="s">
        <v>3159</v>
      </c>
      <c r="B1013" s="25" t="s">
        <v>9554</v>
      </c>
      <c r="C1013" s="6" t="s">
        <v>148</v>
      </c>
      <c r="D1013" s="13">
        <v>27897.373426338003</v>
      </c>
      <c r="E1013" s="18">
        <v>21</v>
      </c>
      <c r="F1013" s="2">
        <f t="shared" si="30"/>
        <v>33755.821845868981</v>
      </c>
      <c r="G1013" s="3">
        <v>0</v>
      </c>
      <c r="H1013" s="4">
        <v>0.7</v>
      </c>
      <c r="I1013" s="28">
        <f t="shared" si="31"/>
        <v>57384.897137977263</v>
      </c>
    </row>
    <row r="1014" spans="1:9" ht="15.75" customHeight="1" x14ac:dyDescent="0.35">
      <c r="A1014" s="26" t="s">
        <v>12915</v>
      </c>
      <c r="B1014" s="25" t="s">
        <v>9556</v>
      </c>
      <c r="C1014" s="6" t="s">
        <v>12916</v>
      </c>
      <c r="D1014" s="13">
        <v>127357.68154200001</v>
      </c>
      <c r="E1014" s="18">
        <v>21</v>
      </c>
      <c r="F1014" s="2">
        <f t="shared" si="30"/>
        <v>154102.79466581999</v>
      </c>
      <c r="G1014" s="3">
        <v>0</v>
      </c>
      <c r="H1014" s="4">
        <v>0.7</v>
      </c>
      <c r="I1014" s="28">
        <f t="shared" si="31"/>
        <v>261974.75093189397</v>
      </c>
    </row>
    <row r="1015" spans="1:9" ht="15.75" customHeight="1" x14ac:dyDescent="0.35">
      <c r="A1015" s="26" t="s">
        <v>3160</v>
      </c>
      <c r="B1015" s="25" t="s">
        <v>11276</v>
      </c>
      <c r="C1015" s="6" t="s">
        <v>864</v>
      </c>
      <c r="D1015" s="13">
        <v>144033.59794870802</v>
      </c>
      <c r="E1015" s="18">
        <v>21</v>
      </c>
      <c r="F1015" s="2">
        <f t="shared" si="30"/>
        <v>174280.65351793671</v>
      </c>
      <c r="G1015" s="3">
        <v>0</v>
      </c>
      <c r="H1015" s="4">
        <v>0.7</v>
      </c>
      <c r="I1015" s="28">
        <f t="shared" si="31"/>
        <v>296277.11098049238</v>
      </c>
    </row>
    <row r="1016" spans="1:9" ht="15.75" customHeight="1" x14ac:dyDescent="0.35">
      <c r="A1016" s="26" t="s">
        <v>3161</v>
      </c>
      <c r="B1016" s="25" t="s">
        <v>13366</v>
      </c>
      <c r="C1016" s="6" t="s">
        <v>13560</v>
      </c>
      <c r="D1016" s="13">
        <v>154768.01332773999</v>
      </c>
      <c r="E1016" s="18">
        <v>21</v>
      </c>
      <c r="F1016" s="2">
        <f t="shared" si="30"/>
        <v>187269.29612656537</v>
      </c>
      <c r="G1016" s="3">
        <v>0</v>
      </c>
      <c r="H1016" s="4">
        <v>0.7</v>
      </c>
      <c r="I1016" s="28">
        <f t="shared" si="31"/>
        <v>318357.80341516115</v>
      </c>
    </row>
    <row r="1017" spans="1:9" ht="15.75" customHeight="1" x14ac:dyDescent="0.35">
      <c r="A1017" s="26" t="s">
        <v>10178</v>
      </c>
      <c r="B1017" s="25" t="s">
        <v>12526</v>
      </c>
      <c r="C1017" s="6" t="s">
        <v>10179</v>
      </c>
      <c r="D1017" s="13">
        <v>25305.478763175</v>
      </c>
      <c r="E1017" s="18">
        <v>21</v>
      </c>
      <c r="F1017" s="2">
        <f t="shared" si="30"/>
        <v>30619.62930344175</v>
      </c>
      <c r="G1017" s="3">
        <v>0</v>
      </c>
      <c r="H1017" s="4">
        <v>0.7</v>
      </c>
      <c r="I1017" s="28">
        <f t="shared" si="31"/>
        <v>52053.369815850972</v>
      </c>
    </row>
    <row r="1018" spans="1:9" ht="15.75" customHeight="1" x14ac:dyDescent="0.35">
      <c r="A1018" s="26" t="s">
        <v>2314</v>
      </c>
      <c r="B1018" s="25" t="s">
        <v>12527</v>
      </c>
      <c r="C1018" s="6" t="s">
        <v>13534</v>
      </c>
      <c r="D1018" s="13">
        <v>7138.0480538250004</v>
      </c>
      <c r="E1018" s="18">
        <v>21</v>
      </c>
      <c r="F1018" s="2">
        <f t="shared" si="30"/>
        <v>8637.0381451282501</v>
      </c>
      <c r="G1018" s="3">
        <v>0</v>
      </c>
      <c r="H1018" s="4">
        <v>0.7</v>
      </c>
      <c r="I1018" s="28">
        <f t="shared" si="31"/>
        <v>14682.964846718025</v>
      </c>
    </row>
    <row r="1019" spans="1:9" ht="15.75" customHeight="1" x14ac:dyDescent="0.35">
      <c r="A1019" s="26" t="s">
        <v>2315</v>
      </c>
      <c r="B1019" s="25" t="s">
        <v>11277</v>
      </c>
      <c r="C1019" s="6" t="s">
        <v>11648</v>
      </c>
      <c r="D1019" s="13">
        <v>7138.0480538250004</v>
      </c>
      <c r="E1019" s="18">
        <v>21</v>
      </c>
      <c r="F1019" s="2">
        <f t="shared" si="30"/>
        <v>8637.0381451282501</v>
      </c>
      <c r="G1019" s="3">
        <v>0</v>
      </c>
      <c r="H1019" s="4">
        <v>0.7</v>
      </c>
      <c r="I1019" s="28">
        <f t="shared" si="31"/>
        <v>14682.964846718025</v>
      </c>
    </row>
    <row r="1020" spans="1:9" ht="15.75" customHeight="1" x14ac:dyDescent="0.35">
      <c r="A1020" s="26" t="s">
        <v>3162</v>
      </c>
      <c r="B1020" s="25" t="s">
        <v>12528</v>
      </c>
      <c r="C1020" s="6" t="s">
        <v>10801</v>
      </c>
      <c r="D1020" s="13">
        <v>11301.3948707035</v>
      </c>
      <c r="E1020" s="18">
        <v>21</v>
      </c>
      <c r="F1020" s="2">
        <f t="shared" si="30"/>
        <v>13674.687793551235</v>
      </c>
      <c r="G1020" s="3">
        <v>0</v>
      </c>
      <c r="H1020" s="4">
        <v>0.7</v>
      </c>
      <c r="I1020" s="28">
        <f t="shared" si="31"/>
        <v>23246.969249037098</v>
      </c>
    </row>
    <row r="1021" spans="1:9" ht="15.75" customHeight="1" x14ac:dyDescent="0.35">
      <c r="A1021" s="26" t="s">
        <v>3212</v>
      </c>
      <c r="B1021" s="25" t="s">
        <v>13367</v>
      </c>
      <c r="C1021" s="6" t="s">
        <v>12049</v>
      </c>
      <c r="D1021" s="13">
        <v>4161.0140623584002</v>
      </c>
      <c r="E1021" s="18">
        <v>21</v>
      </c>
      <c r="F1021" s="2">
        <f t="shared" si="30"/>
        <v>5034.827015453664</v>
      </c>
      <c r="G1021" s="3">
        <v>0</v>
      </c>
      <c r="H1021" s="4">
        <v>0.7</v>
      </c>
      <c r="I1021" s="28">
        <f t="shared" si="31"/>
        <v>8559.2059262712282</v>
      </c>
    </row>
    <row r="1022" spans="1:9" ht="15.75" customHeight="1" x14ac:dyDescent="0.35">
      <c r="A1022" s="26" t="s">
        <v>3214</v>
      </c>
      <c r="B1022" s="25" t="s">
        <v>11262</v>
      </c>
      <c r="C1022" s="6" t="s">
        <v>11466</v>
      </c>
      <c r="D1022" s="13">
        <v>17882.859066929999</v>
      </c>
      <c r="E1022" s="18">
        <v>21</v>
      </c>
      <c r="F1022" s="2">
        <f t="shared" si="30"/>
        <v>21638.2594709853</v>
      </c>
      <c r="G1022" s="3">
        <v>0</v>
      </c>
      <c r="H1022" s="4">
        <v>0.7</v>
      </c>
      <c r="I1022" s="28">
        <f t="shared" si="31"/>
        <v>36785.041100675007</v>
      </c>
    </row>
    <row r="1023" spans="1:9" ht="15.75" customHeight="1" x14ac:dyDescent="0.35">
      <c r="A1023" s="26" t="s">
        <v>13598</v>
      </c>
      <c r="B1023" s="25" t="s">
        <v>12529</v>
      </c>
      <c r="C1023" s="6" t="s">
        <v>13599</v>
      </c>
      <c r="D1023" s="13">
        <v>9036.0957101688</v>
      </c>
      <c r="E1023" s="18">
        <v>21</v>
      </c>
      <c r="F1023" s="2">
        <f t="shared" si="30"/>
        <v>10933.675809304248</v>
      </c>
      <c r="G1023" s="3">
        <v>0</v>
      </c>
      <c r="H1023" s="4">
        <v>0.7</v>
      </c>
      <c r="I1023" s="28">
        <f t="shared" si="31"/>
        <v>18587.248875817222</v>
      </c>
    </row>
    <row r="1024" spans="1:9" ht="15.75" customHeight="1" x14ac:dyDescent="0.35">
      <c r="A1024" s="26" t="s">
        <v>3215</v>
      </c>
      <c r="B1024" s="25" t="s">
        <v>118</v>
      </c>
      <c r="C1024" s="6" t="s">
        <v>11467</v>
      </c>
      <c r="D1024" s="13">
        <v>21916.208557815</v>
      </c>
      <c r="E1024" s="18">
        <v>21</v>
      </c>
      <c r="F1024" s="2">
        <f t="shared" si="30"/>
        <v>26518.612354956149</v>
      </c>
      <c r="G1024" s="3">
        <v>0</v>
      </c>
      <c r="H1024" s="4">
        <v>0.7</v>
      </c>
      <c r="I1024" s="28">
        <f t="shared" si="31"/>
        <v>45081.641003425451</v>
      </c>
    </row>
    <row r="1025" spans="1:9" ht="15.75" customHeight="1" x14ac:dyDescent="0.35">
      <c r="A1025" s="26" t="s">
        <v>3172</v>
      </c>
      <c r="B1025" s="25" t="s">
        <v>12183</v>
      </c>
      <c r="C1025" s="6" t="s">
        <v>9012</v>
      </c>
      <c r="D1025" s="13">
        <v>2620.7033527072799</v>
      </c>
      <c r="E1025" s="18">
        <v>21</v>
      </c>
      <c r="F1025" s="2">
        <f t="shared" si="30"/>
        <v>3171.0510567758088</v>
      </c>
      <c r="G1025" s="3">
        <v>0</v>
      </c>
      <c r="H1025" s="4">
        <v>0.7</v>
      </c>
      <c r="I1025" s="28">
        <f t="shared" si="31"/>
        <v>5390.7867965188743</v>
      </c>
    </row>
    <row r="1026" spans="1:9" ht="15.75" customHeight="1" x14ac:dyDescent="0.35">
      <c r="A1026" s="26" t="s">
        <v>3173</v>
      </c>
      <c r="B1026" s="25" t="s">
        <v>12184</v>
      </c>
      <c r="C1026" s="6" t="s">
        <v>10640</v>
      </c>
      <c r="D1026" s="13">
        <v>4781.2495945500004</v>
      </c>
      <c r="E1026" s="18">
        <v>21</v>
      </c>
      <c r="F1026" s="2">
        <f t="shared" si="30"/>
        <v>5785.3120094055002</v>
      </c>
      <c r="G1026" s="3">
        <v>0</v>
      </c>
      <c r="H1026" s="4">
        <v>0.7</v>
      </c>
      <c r="I1026" s="28">
        <f t="shared" si="31"/>
        <v>9835.0304159893494</v>
      </c>
    </row>
    <row r="1027" spans="1:9" ht="15.75" customHeight="1" x14ac:dyDescent="0.35">
      <c r="A1027" s="26" t="s">
        <v>3206</v>
      </c>
      <c r="B1027" s="25" t="s">
        <v>11489</v>
      </c>
      <c r="C1027" s="6" t="s">
        <v>9013</v>
      </c>
      <c r="D1027" s="13">
        <v>1935.7703603315999</v>
      </c>
      <c r="E1027" s="18">
        <v>21</v>
      </c>
      <c r="F1027" s="2">
        <f t="shared" si="30"/>
        <v>2342.2821360012358</v>
      </c>
      <c r="G1027" s="3">
        <v>0</v>
      </c>
      <c r="H1027" s="4">
        <v>0.7</v>
      </c>
      <c r="I1027" s="28">
        <f t="shared" si="31"/>
        <v>3981.8796312021009</v>
      </c>
    </row>
    <row r="1028" spans="1:9" ht="15.75" customHeight="1" x14ac:dyDescent="0.35">
      <c r="A1028" s="26" t="s">
        <v>3175</v>
      </c>
      <c r="B1028" s="25" t="s">
        <v>11490</v>
      </c>
      <c r="C1028" s="6" t="s">
        <v>10641</v>
      </c>
      <c r="D1028" s="13">
        <v>29261.78908224</v>
      </c>
      <c r="E1028" s="18">
        <v>21</v>
      </c>
      <c r="F1028" s="2">
        <f t="shared" si="30"/>
        <v>35406.764789510402</v>
      </c>
      <c r="G1028" s="3">
        <v>0</v>
      </c>
      <c r="H1028" s="4">
        <v>0.7</v>
      </c>
      <c r="I1028" s="28">
        <f t="shared" si="31"/>
        <v>60191.500142167679</v>
      </c>
    </row>
    <row r="1029" spans="1:9" ht="15.75" customHeight="1" x14ac:dyDescent="0.35">
      <c r="A1029" s="26" t="s">
        <v>3176</v>
      </c>
      <c r="B1029" s="25" t="s">
        <v>11491</v>
      </c>
      <c r="C1029" s="6" t="s">
        <v>10642</v>
      </c>
      <c r="D1029" s="13">
        <v>62967.072337455</v>
      </c>
      <c r="E1029" s="18">
        <v>21</v>
      </c>
      <c r="F1029" s="2">
        <f t="shared" si="30"/>
        <v>76190.157528320546</v>
      </c>
      <c r="G1029" s="3">
        <v>0</v>
      </c>
      <c r="H1029" s="4">
        <v>0.7</v>
      </c>
      <c r="I1029" s="28">
        <f t="shared" si="31"/>
        <v>129523.26779814492</v>
      </c>
    </row>
    <row r="1030" spans="1:9" ht="15.75" customHeight="1" x14ac:dyDescent="0.35">
      <c r="A1030" s="26" t="s">
        <v>3220</v>
      </c>
      <c r="B1030" s="25" t="s">
        <v>11492</v>
      </c>
      <c r="C1030" s="6" t="s">
        <v>12043</v>
      </c>
      <c r="D1030" s="13">
        <v>6226.4395193363998</v>
      </c>
      <c r="E1030" s="18">
        <v>21</v>
      </c>
      <c r="F1030" s="2">
        <f t="shared" ref="F1030:F1093" si="32">D1030*E1030/100+D1030</f>
        <v>7533.991818397044</v>
      </c>
      <c r="G1030" s="3">
        <v>0</v>
      </c>
      <c r="H1030" s="4">
        <v>0.7</v>
      </c>
      <c r="I1030" s="28">
        <f t="shared" ref="I1030:I1093" si="33">IF(G1030=-1,0,F1030*((100-G1030)/100)*(1+H1030))</f>
        <v>12807.786091274975</v>
      </c>
    </row>
    <row r="1031" spans="1:9" ht="15.75" customHeight="1" x14ac:dyDescent="0.35">
      <c r="A1031" s="26" t="s">
        <v>3221</v>
      </c>
      <c r="B1031" s="25" t="s">
        <v>9043</v>
      </c>
      <c r="C1031" s="6" t="s">
        <v>11469</v>
      </c>
      <c r="D1031" s="13">
        <v>5826.822390675</v>
      </c>
      <c r="E1031" s="18">
        <v>21</v>
      </c>
      <c r="F1031" s="2">
        <f t="shared" si="32"/>
        <v>7050.4550927167502</v>
      </c>
      <c r="G1031" s="3">
        <v>0</v>
      </c>
      <c r="H1031" s="4">
        <v>0.7</v>
      </c>
      <c r="I1031" s="28">
        <f t="shared" si="33"/>
        <v>11985.773657618474</v>
      </c>
    </row>
    <row r="1032" spans="1:9" ht="15.75" customHeight="1" x14ac:dyDescent="0.35">
      <c r="A1032" s="26" t="s">
        <v>3178</v>
      </c>
      <c r="B1032" s="25" t="s">
        <v>1229</v>
      </c>
      <c r="C1032" s="6" t="s">
        <v>9014</v>
      </c>
      <c r="D1032" s="13">
        <v>3231.7253277519599</v>
      </c>
      <c r="E1032" s="18">
        <v>21</v>
      </c>
      <c r="F1032" s="2">
        <f t="shared" si="32"/>
        <v>3910.3876465798712</v>
      </c>
      <c r="G1032" s="3">
        <v>0</v>
      </c>
      <c r="H1032" s="4">
        <v>0.7</v>
      </c>
      <c r="I1032" s="28">
        <f t="shared" si="33"/>
        <v>6647.6589991857809</v>
      </c>
    </row>
    <row r="1033" spans="1:9" ht="15.75" customHeight="1" x14ac:dyDescent="0.35">
      <c r="A1033" s="26" t="s">
        <v>3179</v>
      </c>
      <c r="B1033" s="25" t="s">
        <v>1230</v>
      </c>
      <c r="C1033" s="6" t="s">
        <v>10643</v>
      </c>
      <c r="D1033" s="13">
        <v>6479.6679390299996</v>
      </c>
      <c r="E1033" s="18">
        <v>21</v>
      </c>
      <c r="F1033" s="2">
        <f t="shared" si="32"/>
        <v>7840.3982062262994</v>
      </c>
      <c r="G1033" s="3">
        <v>0</v>
      </c>
      <c r="H1033" s="4">
        <v>0.7</v>
      </c>
      <c r="I1033" s="28">
        <f t="shared" si="33"/>
        <v>13328.676950584708</v>
      </c>
    </row>
    <row r="1034" spans="1:9" ht="15.75" customHeight="1" x14ac:dyDescent="0.35">
      <c r="A1034" s="26" t="s">
        <v>13600</v>
      </c>
      <c r="B1034" s="25" t="s">
        <v>9516</v>
      </c>
      <c r="C1034" s="6" t="s">
        <v>13601</v>
      </c>
      <c r="D1034" s="13">
        <v>3775.246089966</v>
      </c>
      <c r="E1034" s="18">
        <v>21</v>
      </c>
      <c r="F1034" s="2">
        <f t="shared" si="32"/>
        <v>4568.0477688588599</v>
      </c>
      <c r="G1034" s="3">
        <v>0</v>
      </c>
      <c r="H1034" s="4">
        <v>0.7</v>
      </c>
      <c r="I1034" s="28">
        <f t="shared" si="33"/>
        <v>7765.6812070600618</v>
      </c>
    </row>
    <row r="1035" spans="1:9" ht="15.75" customHeight="1" x14ac:dyDescent="0.35">
      <c r="A1035" s="26" t="s">
        <v>3107</v>
      </c>
      <c r="B1035" s="25" t="s">
        <v>119</v>
      </c>
      <c r="C1035" s="6" t="s">
        <v>10571</v>
      </c>
      <c r="D1035" s="13">
        <v>12171.5120460864</v>
      </c>
      <c r="E1035" s="18">
        <v>21</v>
      </c>
      <c r="F1035" s="2">
        <f t="shared" si="32"/>
        <v>14727.529575764544</v>
      </c>
      <c r="G1035" s="3">
        <v>0</v>
      </c>
      <c r="H1035" s="4">
        <v>0.7</v>
      </c>
      <c r="I1035" s="28">
        <f t="shared" si="33"/>
        <v>25036.800278799725</v>
      </c>
    </row>
    <row r="1036" spans="1:9" ht="15.75" customHeight="1" x14ac:dyDescent="0.35">
      <c r="A1036" s="26" t="s">
        <v>3180</v>
      </c>
      <c r="B1036" s="25" t="s">
        <v>120</v>
      </c>
      <c r="C1036" s="6" t="s">
        <v>10644</v>
      </c>
      <c r="D1036" s="13">
        <v>84325.045102154996</v>
      </c>
      <c r="E1036" s="18">
        <v>21</v>
      </c>
      <c r="F1036" s="2">
        <f t="shared" si="32"/>
        <v>102033.30457360754</v>
      </c>
      <c r="G1036" s="3">
        <v>0</v>
      </c>
      <c r="H1036" s="4">
        <v>0.7</v>
      </c>
      <c r="I1036" s="28">
        <f t="shared" si="33"/>
        <v>173456.61777513282</v>
      </c>
    </row>
    <row r="1037" spans="1:9" ht="15.75" customHeight="1" x14ac:dyDescent="0.35">
      <c r="A1037" s="26" t="s">
        <v>3223</v>
      </c>
      <c r="B1037" s="25" t="s">
        <v>121</v>
      </c>
      <c r="C1037" s="6" t="s">
        <v>11470</v>
      </c>
      <c r="D1037" s="13">
        <v>8940.251203455</v>
      </c>
      <c r="E1037" s="18">
        <v>21</v>
      </c>
      <c r="F1037" s="2">
        <f t="shared" si="32"/>
        <v>10817.70395618055</v>
      </c>
      <c r="G1037" s="3">
        <v>0</v>
      </c>
      <c r="H1037" s="4">
        <v>0.7</v>
      </c>
      <c r="I1037" s="28">
        <f t="shared" si="33"/>
        <v>18390.096725506934</v>
      </c>
    </row>
    <row r="1038" spans="1:9" ht="15.75" customHeight="1" x14ac:dyDescent="0.35">
      <c r="A1038" s="26" t="s">
        <v>3210</v>
      </c>
      <c r="B1038" s="25" t="s">
        <v>122</v>
      </c>
      <c r="C1038" s="6" t="s">
        <v>10646</v>
      </c>
      <c r="D1038" s="13">
        <v>4097.3772904349998</v>
      </c>
      <c r="E1038" s="18">
        <v>21</v>
      </c>
      <c r="F1038" s="2">
        <f t="shared" si="32"/>
        <v>4957.8265214263502</v>
      </c>
      <c r="G1038" s="3">
        <v>0</v>
      </c>
      <c r="H1038" s="4">
        <v>0.7</v>
      </c>
      <c r="I1038" s="28">
        <f t="shared" si="33"/>
        <v>8428.3050864247944</v>
      </c>
    </row>
    <row r="1039" spans="1:9" ht="15.75" customHeight="1" x14ac:dyDescent="0.35">
      <c r="A1039" s="26" t="s">
        <v>3184</v>
      </c>
      <c r="B1039" s="25" t="s">
        <v>123</v>
      </c>
      <c r="C1039" s="6" t="s">
        <v>13537</v>
      </c>
      <c r="D1039" s="13">
        <v>5320.6936400592003</v>
      </c>
      <c r="E1039" s="18">
        <v>21</v>
      </c>
      <c r="F1039" s="2">
        <f t="shared" si="32"/>
        <v>6438.0393044716329</v>
      </c>
      <c r="G1039" s="3">
        <v>0</v>
      </c>
      <c r="H1039" s="4">
        <v>0.7</v>
      </c>
      <c r="I1039" s="28">
        <f t="shared" si="33"/>
        <v>10944.666817601776</v>
      </c>
    </row>
    <row r="1040" spans="1:9" ht="15.75" customHeight="1" x14ac:dyDescent="0.35">
      <c r="A1040" s="26" t="s">
        <v>13602</v>
      </c>
      <c r="B1040" s="25" t="s">
        <v>124</v>
      </c>
      <c r="C1040" s="6" t="s">
        <v>13603</v>
      </c>
      <c r="D1040" s="13">
        <v>5852.7582408360004</v>
      </c>
      <c r="E1040" s="18">
        <v>21</v>
      </c>
      <c r="F1040" s="2">
        <f t="shared" si="32"/>
        <v>7081.8374714115607</v>
      </c>
      <c r="G1040" s="3">
        <v>0</v>
      </c>
      <c r="H1040" s="4">
        <v>0.7</v>
      </c>
      <c r="I1040" s="28">
        <f t="shared" si="33"/>
        <v>12039.123701399652</v>
      </c>
    </row>
    <row r="1041" spans="1:9" ht="15.75" customHeight="1" x14ac:dyDescent="0.35">
      <c r="A1041" s="26" t="s">
        <v>3108</v>
      </c>
      <c r="B1041" s="25" t="s">
        <v>9627</v>
      </c>
      <c r="C1041" s="6" t="s">
        <v>13250</v>
      </c>
      <c r="D1041" s="13">
        <v>14908.0080861036</v>
      </c>
      <c r="E1041" s="18">
        <v>21</v>
      </c>
      <c r="F1041" s="2">
        <f t="shared" si="32"/>
        <v>18038.689784185357</v>
      </c>
      <c r="G1041" s="3">
        <v>0</v>
      </c>
      <c r="H1041" s="4">
        <v>0.7</v>
      </c>
      <c r="I1041" s="28">
        <f t="shared" si="33"/>
        <v>30665.772633115106</v>
      </c>
    </row>
    <row r="1042" spans="1:9" ht="15.75" customHeight="1" x14ac:dyDescent="0.35">
      <c r="A1042" s="26" t="s">
        <v>3185</v>
      </c>
      <c r="B1042" s="25" t="s">
        <v>125</v>
      </c>
      <c r="C1042" s="6" t="s">
        <v>10648</v>
      </c>
      <c r="D1042" s="13">
        <v>125783.080426575</v>
      </c>
      <c r="E1042" s="18">
        <v>21</v>
      </c>
      <c r="F1042" s="2">
        <f t="shared" si="32"/>
        <v>152197.52731615576</v>
      </c>
      <c r="G1042" s="3">
        <v>0</v>
      </c>
      <c r="H1042" s="4">
        <v>0.7</v>
      </c>
      <c r="I1042" s="28">
        <f t="shared" si="33"/>
        <v>258735.79643746477</v>
      </c>
    </row>
    <row r="1043" spans="1:9" ht="15.75" customHeight="1" x14ac:dyDescent="0.35">
      <c r="A1043" s="26" t="s">
        <v>12079</v>
      </c>
      <c r="B1043" s="25" t="s">
        <v>126</v>
      </c>
      <c r="C1043" s="6" t="s">
        <v>12080</v>
      </c>
      <c r="D1043" s="13">
        <v>36264.005481132001</v>
      </c>
      <c r="E1043" s="18">
        <v>21</v>
      </c>
      <c r="F1043" s="2">
        <f t="shared" si="32"/>
        <v>43879.446632169718</v>
      </c>
      <c r="G1043" s="3">
        <v>0</v>
      </c>
      <c r="H1043" s="4">
        <v>0.7</v>
      </c>
      <c r="I1043" s="28">
        <f t="shared" si="33"/>
        <v>74595.059274688523</v>
      </c>
    </row>
    <row r="1044" spans="1:9" ht="15.75" customHeight="1" x14ac:dyDescent="0.35">
      <c r="A1044" s="26" t="s">
        <v>3163</v>
      </c>
      <c r="B1044" s="25" t="s">
        <v>13130</v>
      </c>
      <c r="C1044" s="6" t="s">
        <v>12081</v>
      </c>
      <c r="D1044" s="13">
        <v>34921.1684366064</v>
      </c>
      <c r="E1044" s="18">
        <v>21</v>
      </c>
      <c r="F1044" s="2">
        <f t="shared" si="32"/>
        <v>42254.61380829374</v>
      </c>
      <c r="G1044" s="3">
        <v>0</v>
      </c>
      <c r="H1044" s="4">
        <v>0.7</v>
      </c>
      <c r="I1044" s="28">
        <f t="shared" si="33"/>
        <v>71832.843474099354</v>
      </c>
    </row>
    <row r="1045" spans="1:9" ht="15.75" customHeight="1" x14ac:dyDescent="0.35">
      <c r="A1045" s="26" t="s">
        <v>12982</v>
      </c>
      <c r="B1045" s="25" t="s">
        <v>13131</v>
      </c>
      <c r="C1045" s="6" t="s">
        <v>12983</v>
      </c>
      <c r="D1045" s="13">
        <v>170906.86381906801</v>
      </c>
      <c r="E1045" s="18">
        <v>21</v>
      </c>
      <c r="F1045" s="2">
        <f t="shared" si="32"/>
        <v>206797.30522107228</v>
      </c>
      <c r="G1045" s="3">
        <v>0</v>
      </c>
      <c r="H1045" s="4">
        <v>0.7</v>
      </c>
      <c r="I1045" s="28">
        <f t="shared" si="33"/>
        <v>351555.41887582286</v>
      </c>
    </row>
    <row r="1046" spans="1:9" ht="15.75" customHeight="1" x14ac:dyDescent="0.35">
      <c r="A1046" s="26" t="s">
        <v>2316</v>
      </c>
      <c r="B1046" s="25" t="s">
        <v>13132</v>
      </c>
      <c r="C1046" s="6" t="s">
        <v>11649</v>
      </c>
      <c r="D1046" s="13">
        <v>20798.500428225001</v>
      </c>
      <c r="E1046" s="18">
        <v>21</v>
      </c>
      <c r="F1046" s="2">
        <f t="shared" si="32"/>
        <v>25166.185518152251</v>
      </c>
      <c r="G1046" s="3">
        <v>0</v>
      </c>
      <c r="H1046" s="4">
        <v>0.7</v>
      </c>
      <c r="I1046" s="28">
        <f t="shared" si="33"/>
        <v>42782.515380858829</v>
      </c>
    </row>
    <row r="1047" spans="1:9" ht="15.75" customHeight="1" x14ac:dyDescent="0.35">
      <c r="A1047" s="26" t="s">
        <v>2317</v>
      </c>
      <c r="B1047" s="25" t="s">
        <v>13133</v>
      </c>
      <c r="C1047" s="6" t="s">
        <v>11650</v>
      </c>
      <c r="D1047" s="13">
        <v>20798.500428225001</v>
      </c>
      <c r="E1047" s="18">
        <v>21</v>
      </c>
      <c r="F1047" s="2">
        <f t="shared" si="32"/>
        <v>25166.185518152251</v>
      </c>
      <c r="G1047" s="3">
        <v>0</v>
      </c>
      <c r="H1047" s="4">
        <v>0.7</v>
      </c>
      <c r="I1047" s="28">
        <f t="shared" si="33"/>
        <v>42782.515380858829</v>
      </c>
    </row>
    <row r="1048" spans="1:9" ht="15.75" customHeight="1" x14ac:dyDescent="0.35">
      <c r="A1048" s="26" t="s">
        <v>2318</v>
      </c>
      <c r="B1048" s="25" t="s">
        <v>13134</v>
      </c>
      <c r="C1048" s="6" t="s">
        <v>11651</v>
      </c>
      <c r="D1048" s="13">
        <v>17668.85026725</v>
      </c>
      <c r="E1048" s="18">
        <v>21</v>
      </c>
      <c r="F1048" s="2">
        <f t="shared" si="32"/>
        <v>21379.308823372499</v>
      </c>
      <c r="G1048" s="3">
        <v>0</v>
      </c>
      <c r="H1048" s="4">
        <v>0.7</v>
      </c>
      <c r="I1048" s="28">
        <f t="shared" si="33"/>
        <v>36344.824999733246</v>
      </c>
    </row>
    <row r="1049" spans="1:9" ht="15.75" customHeight="1" x14ac:dyDescent="0.35">
      <c r="A1049" s="26" t="s">
        <v>2319</v>
      </c>
      <c r="B1049" s="25" t="s">
        <v>13135</v>
      </c>
      <c r="C1049" s="6" t="s">
        <v>11652</v>
      </c>
      <c r="D1049" s="13">
        <v>45302.997140212603</v>
      </c>
      <c r="E1049" s="18">
        <v>21</v>
      </c>
      <c r="F1049" s="2">
        <f t="shared" si="32"/>
        <v>54816.626539657249</v>
      </c>
      <c r="G1049" s="3">
        <v>0</v>
      </c>
      <c r="H1049" s="4">
        <v>0.7</v>
      </c>
      <c r="I1049" s="28">
        <f t="shared" si="33"/>
        <v>93188.265117417322</v>
      </c>
    </row>
    <row r="1050" spans="1:9" ht="15.75" customHeight="1" x14ac:dyDescent="0.35">
      <c r="A1050" s="26" t="s">
        <v>2320</v>
      </c>
      <c r="B1050" s="25" t="s">
        <v>13136</v>
      </c>
      <c r="C1050" s="6" t="s">
        <v>11653</v>
      </c>
      <c r="D1050" s="13">
        <v>72020.612061449996</v>
      </c>
      <c r="E1050" s="18">
        <v>21</v>
      </c>
      <c r="F1050" s="2">
        <f t="shared" si="32"/>
        <v>87144.940594354499</v>
      </c>
      <c r="G1050" s="3">
        <v>0</v>
      </c>
      <c r="H1050" s="4">
        <v>0.7</v>
      </c>
      <c r="I1050" s="28">
        <f t="shared" si="33"/>
        <v>148146.39901040265</v>
      </c>
    </row>
    <row r="1051" spans="1:9" ht="15.75" customHeight="1" x14ac:dyDescent="0.35">
      <c r="A1051" s="26" t="s">
        <v>11440</v>
      </c>
      <c r="B1051" s="25" t="s">
        <v>12186</v>
      </c>
      <c r="C1051" s="6" t="s">
        <v>11654</v>
      </c>
      <c r="D1051" s="13">
        <v>69448.585389300002</v>
      </c>
      <c r="E1051" s="18">
        <v>21</v>
      </c>
      <c r="F1051" s="2">
        <f t="shared" si="32"/>
        <v>84032.788321052998</v>
      </c>
      <c r="G1051" s="3">
        <v>0</v>
      </c>
      <c r="H1051" s="4">
        <v>0.7</v>
      </c>
      <c r="I1051" s="28">
        <f t="shared" si="33"/>
        <v>142855.7401457901</v>
      </c>
    </row>
    <row r="1052" spans="1:9" ht="15.75" customHeight="1" x14ac:dyDescent="0.35">
      <c r="A1052" s="26" t="s">
        <v>2651</v>
      </c>
      <c r="B1052" s="25" t="s">
        <v>9044</v>
      </c>
      <c r="C1052" s="6" t="s">
        <v>1085</v>
      </c>
      <c r="D1052" s="13">
        <v>3954.6129999999898</v>
      </c>
      <c r="E1052" s="18">
        <v>21</v>
      </c>
      <c r="F1052" s="2">
        <f t="shared" si="32"/>
        <v>4785.0817299999881</v>
      </c>
      <c r="G1052" s="3">
        <v>0</v>
      </c>
      <c r="H1052" s="4">
        <v>0.7</v>
      </c>
      <c r="I1052" s="28">
        <f t="shared" si="33"/>
        <v>8134.6389409999792</v>
      </c>
    </row>
    <row r="1053" spans="1:9" ht="15.75" customHeight="1" x14ac:dyDescent="0.35">
      <c r="A1053" s="26" t="s">
        <v>2652</v>
      </c>
      <c r="B1053" s="25" t="s">
        <v>9046</v>
      </c>
      <c r="C1053" s="6" t="s">
        <v>1086</v>
      </c>
      <c r="D1053" s="13">
        <v>3380.13</v>
      </c>
      <c r="E1053" s="18">
        <v>21</v>
      </c>
      <c r="F1053" s="2">
        <f t="shared" si="32"/>
        <v>4089.9573</v>
      </c>
      <c r="G1053" s="3">
        <v>0</v>
      </c>
      <c r="H1053" s="4">
        <v>0.7</v>
      </c>
      <c r="I1053" s="28">
        <f t="shared" si="33"/>
        <v>6952.9274100000002</v>
      </c>
    </row>
    <row r="1054" spans="1:9" ht="15.75" customHeight="1" x14ac:dyDescent="0.35">
      <c r="A1054" s="26" t="s">
        <v>12780</v>
      </c>
      <c r="B1054" s="25" t="s">
        <v>9048</v>
      </c>
      <c r="C1054" s="6" t="s">
        <v>12781</v>
      </c>
      <c r="D1054" s="13">
        <v>4652.8950000000004</v>
      </c>
      <c r="E1054" s="18">
        <v>21</v>
      </c>
      <c r="F1054" s="2">
        <f t="shared" si="32"/>
        <v>5630.0029500000001</v>
      </c>
      <c r="G1054" s="3">
        <v>0</v>
      </c>
      <c r="H1054" s="4">
        <v>0.7</v>
      </c>
      <c r="I1054" s="28">
        <f t="shared" si="33"/>
        <v>9571.0050150000006</v>
      </c>
    </row>
    <row r="1055" spans="1:9" ht="15.75" customHeight="1" x14ac:dyDescent="0.35">
      <c r="A1055" s="26" t="s">
        <v>2653</v>
      </c>
      <c r="B1055" s="25" t="s">
        <v>9050</v>
      </c>
      <c r="C1055" s="6" t="s">
        <v>1087</v>
      </c>
      <c r="D1055" s="13">
        <v>4118.7510000000102</v>
      </c>
      <c r="E1055" s="18">
        <v>21</v>
      </c>
      <c r="F1055" s="2">
        <f t="shared" si="32"/>
        <v>4983.6887100000122</v>
      </c>
      <c r="G1055" s="3">
        <v>0</v>
      </c>
      <c r="H1055" s="4">
        <v>0.7</v>
      </c>
      <c r="I1055" s="28">
        <f t="shared" si="33"/>
        <v>8472.2708070000208</v>
      </c>
    </row>
    <row r="1056" spans="1:9" ht="15.75" customHeight="1" x14ac:dyDescent="0.35">
      <c r="A1056" s="26" t="s">
        <v>2654</v>
      </c>
      <c r="B1056" s="25" t="s">
        <v>9052</v>
      </c>
      <c r="C1056" s="6" t="s">
        <v>1088</v>
      </c>
      <c r="D1056" s="13">
        <v>5498.6229999999996</v>
      </c>
      <c r="E1056" s="18">
        <v>21</v>
      </c>
      <c r="F1056" s="2">
        <f t="shared" si="32"/>
        <v>6653.3338299999996</v>
      </c>
      <c r="G1056" s="3">
        <v>0</v>
      </c>
      <c r="H1056" s="4">
        <v>0.7</v>
      </c>
      <c r="I1056" s="28">
        <f t="shared" si="33"/>
        <v>11310.667511</v>
      </c>
    </row>
    <row r="1057" spans="1:9" ht="15.75" customHeight="1" x14ac:dyDescent="0.35">
      <c r="A1057" s="26" t="s">
        <v>2655</v>
      </c>
      <c r="B1057" s="25" t="s">
        <v>9068</v>
      </c>
      <c r="C1057" s="6" t="s">
        <v>1089</v>
      </c>
      <c r="D1057" s="13">
        <v>4652.8950000000104</v>
      </c>
      <c r="E1057" s="18">
        <v>21</v>
      </c>
      <c r="F1057" s="2">
        <f t="shared" si="32"/>
        <v>5630.0029500000128</v>
      </c>
      <c r="G1057" s="3">
        <v>0</v>
      </c>
      <c r="H1057" s="4">
        <v>0.7</v>
      </c>
      <c r="I1057" s="28">
        <f t="shared" si="33"/>
        <v>9571.0050150000206</v>
      </c>
    </row>
    <row r="1058" spans="1:9" ht="15.75" customHeight="1" x14ac:dyDescent="0.35">
      <c r="A1058" s="26" t="s">
        <v>9322</v>
      </c>
      <c r="B1058" s="25" t="s">
        <v>9054</v>
      </c>
      <c r="C1058" s="6" t="s">
        <v>9323</v>
      </c>
      <c r="D1058" s="13">
        <v>7866.3061385999999</v>
      </c>
      <c r="E1058" s="18">
        <v>21</v>
      </c>
      <c r="F1058" s="2">
        <f t="shared" si="32"/>
        <v>9518.2304277059993</v>
      </c>
      <c r="G1058" s="3">
        <v>0</v>
      </c>
      <c r="H1058" s="4">
        <v>0.7</v>
      </c>
      <c r="I1058" s="28">
        <f t="shared" si="33"/>
        <v>16180.991727100198</v>
      </c>
    </row>
    <row r="1059" spans="1:9" ht="15.75" customHeight="1" x14ac:dyDescent="0.35">
      <c r="A1059" s="26" t="s">
        <v>2656</v>
      </c>
      <c r="B1059" s="25" t="s">
        <v>12978</v>
      </c>
      <c r="C1059" s="6" t="s">
        <v>1090</v>
      </c>
      <c r="D1059" s="13">
        <v>7605.9880000000003</v>
      </c>
      <c r="E1059" s="18">
        <v>21</v>
      </c>
      <c r="F1059" s="2">
        <f t="shared" si="32"/>
        <v>9203.2454799999996</v>
      </c>
      <c r="G1059" s="3">
        <v>0</v>
      </c>
      <c r="H1059" s="4">
        <v>0.7</v>
      </c>
      <c r="I1059" s="28">
        <f t="shared" si="33"/>
        <v>15645.517315999999</v>
      </c>
    </row>
    <row r="1060" spans="1:9" ht="15.75" customHeight="1" x14ac:dyDescent="0.35">
      <c r="A1060" s="26" t="s">
        <v>2657</v>
      </c>
      <c r="B1060" s="25" t="s">
        <v>12979</v>
      </c>
      <c r="C1060" s="6" t="s">
        <v>1091</v>
      </c>
      <c r="D1060" s="13">
        <v>6682.3639999999996</v>
      </c>
      <c r="E1060" s="18">
        <v>21</v>
      </c>
      <c r="F1060" s="2">
        <f t="shared" si="32"/>
        <v>8085.6604399999997</v>
      </c>
      <c r="G1060" s="3">
        <v>0</v>
      </c>
      <c r="H1060" s="4">
        <v>0.7</v>
      </c>
      <c r="I1060" s="28">
        <f t="shared" si="33"/>
        <v>13745.622748</v>
      </c>
    </row>
    <row r="1061" spans="1:9" ht="15.75" customHeight="1" x14ac:dyDescent="0.35">
      <c r="A1061" s="26" t="s">
        <v>2658</v>
      </c>
      <c r="B1061" s="25" t="s">
        <v>12980</v>
      </c>
      <c r="C1061" s="6" t="s">
        <v>1092</v>
      </c>
      <c r="D1061" s="13">
        <v>11609.286</v>
      </c>
      <c r="E1061" s="18">
        <v>21</v>
      </c>
      <c r="F1061" s="2">
        <f t="shared" si="32"/>
        <v>14047.236059999999</v>
      </c>
      <c r="G1061" s="3">
        <v>0</v>
      </c>
      <c r="H1061" s="4">
        <v>0.7</v>
      </c>
      <c r="I1061" s="28">
        <f t="shared" si="33"/>
        <v>23880.301302</v>
      </c>
    </row>
    <row r="1062" spans="1:9" ht="15.75" customHeight="1" x14ac:dyDescent="0.35">
      <c r="A1062" s="26" t="s">
        <v>2659</v>
      </c>
      <c r="B1062" s="25" t="s">
        <v>12981</v>
      </c>
      <c r="C1062" s="6" t="s">
        <v>1093</v>
      </c>
      <c r="D1062" s="13">
        <v>9400.3780000000097</v>
      </c>
      <c r="E1062" s="18">
        <v>21</v>
      </c>
      <c r="F1062" s="2">
        <f t="shared" si="32"/>
        <v>11374.457380000011</v>
      </c>
      <c r="G1062" s="3">
        <v>0</v>
      </c>
      <c r="H1062" s="4">
        <v>0.7</v>
      </c>
      <c r="I1062" s="28">
        <f t="shared" si="33"/>
        <v>19336.577546000019</v>
      </c>
    </row>
    <row r="1063" spans="1:9" ht="15.75" customHeight="1" x14ac:dyDescent="0.35">
      <c r="A1063" s="26" t="s">
        <v>2661</v>
      </c>
      <c r="B1063" s="25" t="s">
        <v>12590</v>
      </c>
      <c r="C1063" s="6" t="s">
        <v>9247</v>
      </c>
      <c r="D1063" s="13">
        <v>3705.2921163023998</v>
      </c>
      <c r="E1063" s="18">
        <v>21</v>
      </c>
      <c r="F1063" s="2">
        <f t="shared" si="32"/>
        <v>4483.4034607259036</v>
      </c>
      <c r="G1063" s="3">
        <v>0</v>
      </c>
      <c r="H1063" s="4">
        <v>0.7</v>
      </c>
      <c r="I1063" s="28">
        <f t="shared" si="33"/>
        <v>7621.7858832340362</v>
      </c>
    </row>
    <row r="1064" spans="1:9" ht="15.75" customHeight="1" x14ac:dyDescent="0.35">
      <c r="A1064" s="26" t="s">
        <v>2662</v>
      </c>
      <c r="B1064" s="25" t="s">
        <v>127</v>
      </c>
      <c r="C1064" s="6" t="s">
        <v>10002</v>
      </c>
      <c r="D1064" s="13">
        <v>2923.5747692735999</v>
      </c>
      <c r="E1064" s="18">
        <v>21</v>
      </c>
      <c r="F1064" s="2">
        <f t="shared" si="32"/>
        <v>3537.5254708210559</v>
      </c>
      <c r="G1064" s="3">
        <v>0</v>
      </c>
      <c r="H1064" s="4">
        <v>0.7</v>
      </c>
      <c r="I1064" s="28">
        <f t="shared" si="33"/>
        <v>6013.7933003957951</v>
      </c>
    </row>
    <row r="1065" spans="1:9" ht="15.75" customHeight="1" x14ac:dyDescent="0.35">
      <c r="A1065" s="26" t="s">
        <v>2663</v>
      </c>
      <c r="B1065" s="25" t="s">
        <v>12187</v>
      </c>
      <c r="C1065" s="6" t="s">
        <v>9248</v>
      </c>
      <c r="D1065" s="13">
        <v>2923.5747692735999</v>
      </c>
      <c r="E1065" s="18">
        <v>21</v>
      </c>
      <c r="F1065" s="2">
        <f t="shared" si="32"/>
        <v>3537.5254708210559</v>
      </c>
      <c r="G1065" s="3">
        <v>0</v>
      </c>
      <c r="H1065" s="4">
        <v>0.7</v>
      </c>
      <c r="I1065" s="28">
        <f t="shared" si="33"/>
        <v>6013.7933003957951</v>
      </c>
    </row>
    <row r="1066" spans="1:9" ht="15.75" customHeight="1" x14ac:dyDescent="0.35">
      <c r="A1066" s="26" t="s">
        <v>13604</v>
      </c>
      <c r="B1066" s="25" t="s">
        <v>128</v>
      </c>
      <c r="C1066" s="6" t="s">
        <v>13605</v>
      </c>
      <c r="D1066" s="13">
        <v>3215.9358186228001</v>
      </c>
      <c r="E1066" s="18">
        <v>21</v>
      </c>
      <c r="F1066" s="2">
        <f t="shared" si="32"/>
        <v>3891.282340533588</v>
      </c>
      <c r="G1066" s="3">
        <v>0</v>
      </c>
      <c r="H1066" s="4">
        <v>0.7</v>
      </c>
      <c r="I1066" s="28">
        <f t="shared" si="33"/>
        <v>6615.1799789070992</v>
      </c>
    </row>
    <row r="1067" spans="1:9" ht="15.75" customHeight="1" x14ac:dyDescent="0.35">
      <c r="A1067" s="26" t="s">
        <v>2664</v>
      </c>
      <c r="B1067" s="25" t="s">
        <v>12591</v>
      </c>
      <c r="C1067" s="6" t="s">
        <v>10003</v>
      </c>
      <c r="D1067" s="13">
        <v>2923.5747692735999</v>
      </c>
      <c r="E1067" s="18">
        <v>21</v>
      </c>
      <c r="F1067" s="2">
        <f t="shared" si="32"/>
        <v>3537.5254708210559</v>
      </c>
      <c r="G1067" s="3">
        <v>0</v>
      </c>
      <c r="H1067" s="4">
        <v>0.7</v>
      </c>
      <c r="I1067" s="28">
        <f t="shared" si="33"/>
        <v>6013.7933003957951</v>
      </c>
    </row>
    <row r="1068" spans="1:9" ht="15.75" customHeight="1" x14ac:dyDescent="0.35">
      <c r="A1068" s="26" t="s">
        <v>2665</v>
      </c>
      <c r="B1068" s="25" t="s">
        <v>12592</v>
      </c>
      <c r="C1068" s="6" t="s">
        <v>9249</v>
      </c>
      <c r="D1068" s="13">
        <v>3079.3859478252002</v>
      </c>
      <c r="E1068" s="18">
        <v>21</v>
      </c>
      <c r="F1068" s="2">
        <f t="shared" si="32"/>
        <v>3726.0569968684922</v>
      </c>
      <c r="G1068" s="3">
        <v>0</v>
      </c>
      <c r="H1068" s="4">
        <v>0.7</v>
      </c>
      <c r="I1068" s="28">
        <f t="shared" si="33"/>
        <v>6334.2968946764368</v>
      </c>
    </row>
    <row r="1069" spans="1:9" ht="15.75" customHeight="1" x14ac:dyDescent="0.35">
      <c r="A1069" s="26" t="s">
        <v>13606</v>
      </c>
      <c r="B1069" s="25" t="s">
        <v>12593</v>
      </c>
      <c r="C1069" s="6" t="s">
        <v>13607</v>
      </c>
      <c r="D1069" s="13">
        <v>3387.3287104331998</v>
      </c>
      <c r="E1069" s="18">
        <v>21</v>
      </c>
      <c r="F1069" s="2">
        <f t="shared" si="32"/>
        <v>4098.6677396241721</v>
      </c>
      <c r="G1069" s="3">
        <v>0</v>
      </c>
      <c r="H1069" s="4">
        <v>0.7</v>
      </c>
      <c r="I1069" s="28">
        <f t="shared" si="33"/>
        <v>6967.7351573610922</v>
      </c>
    </row>
    <row r="1070" spans="1:9" ht="15.75" customHeight="1" x14ac:dyDescent="0.35">
      <c r="A1070" s="26" t="s">
        <v>2667</v>
      </c>
      <c r="B1070" s="25" t="s">
        <v>9818</v>
      </c>
      <c r="C1070" s="6" t="s">
        <v>9250</v>
      </c>
      <c r="D1070" s="13">
        <v>4990.6375862615996</v>
      </c>
      <c r="E1070" s="18">
        <v>21</v>
      </c>
      <c r="F1070" s="2">
        <f t="shared" si="32"/>
        <v>6038.671479376535</v>
      </c>
      <c r="G1070" s="3">
        <v>0</v>
      </c>
      <c r="H1070" s="4">
        <v>0.7</v>
      </c>
      <c r="I1070" s="28">
        <f t="shared" si="33"/>
        <v>10265.741514940109</v>
      </c>
    </row>
    <row r="1071" spans="1:9" ht="15.75" customHeight="1" x14ac:dyDescent="0.35">
      <c r="A1071" s="26" t="s">
        <v>2668</v>
      </c>
      <c r="B1071" s="25" t="s">
        <v>129</v>
      </c>
      <c r="C1071" s="6" t="s">
        <v>149</v>
      </c>
      <c r="D1071" s="13">
        <v>13257.0907352208</v>
      </c>
      <c r="E1071" s="18">
        <v>21</v>
      </c>
      <c r="F1071" s="2">
        <f t="shared" si="32"/>
        <v>16041.079789617168</v>
      </c>
      <c r="G1071" s="3">
        <v>0</v>
      </c>
      <c r="H1071" s="4">
        <v>0.7</v>
      </c>
      <c r="I1071" s="28">
        <f t="shared" si="33"/>
        <v>27269.835642349186</v>
      </c>
    </row>
    <row r="1072" spans="1:9" ht="15.75" customHeight="1" x14ac:dyDescent="0.35">
      <c r="A1072" s="26" t="s">
        <v>2669</v>
      </c>
      <c r="B1072" s="25" t="s">
        <v>130</v>
      </c>
      <c r="C1072" s="6" t="s">
        <v>9251</v>
      </c>
      <c r="D1072" s="13">
        <v>4990.6375862615996</v>
      </c>
      <c r="E1072" s="18">
        <v>21</v>
      </c>
      <c r="F1072" s="2">
        <f t="shared" si="32"/>
        <v>6038.671479376535</v>
      </c>
      <c r="G1072" s="3">
        <v>0</v>
      </c>
      <c r="H1072" s="4">
        <v>0.7</v>
      </c>
      <c r="I1072" s="28">
        <f t="shared" si="33"/>
        <v>10265.741514940109</v>
      </c>
    </row>
    <row r="1073" spans="1:9" ht="15.75" customHeight="1" x14ac:dyDescent="0.35">
      <c r="A1073" s="26" t="s">
        <v>2671</v>
      </c>
      <c r="B1073" s="25" t="s">
        <v>131</v>
      </c>
      <c r="C1073" s="6" t="s">
        <v>13087</v>
      </c>
      <c r="D1073" s="13">
        <v>3928.1278826088001</v>
      </c>
      <c r="E1073" s="18">
        <v>21</v>
      </c>
      <c r="F1073" s="2">
        <f t="shared" si="32"/>
        <v>4753.0347379566483</v>
      </c>
      <c r="G1073" s="3">
        <v>0</v>
      </c>
      <c r="H1073" s="4">
        <v>0.7</v>
      </c>
      <c r="I1073" s="28">
        <f t="shared" si="33"/>
        <v>8080.1590545263016</v>
      </c>
    </row>
    <row r="1074" spans="1:9" ht="15.75" customHeight="1" x14ac:dyDescent="0.35">
      <c r="A1074" s="26" t="s">
        <v>2673</v>
      </c>
      <c r="B1074" s="25" t="s">
        <v>132</v>
      </c>
      <c r="C1074" s="6" t="s">
        <v>9252</v>
      </c>
      <c r="D1074" s="13">
        <v>4285.2450318443998</v>
      </c>
      <c r="E1074" s="18">
        <v>21</v>
      </c>
      <c r="F1074" s="2">
        <f t="shared" si="32"/>
        <v>5185.1464885317237</v>
      </c>
      <c r="G1074" s="3">
        <v>0</v>
      </c>
      <c r="H1074" s="4">
        <v>0.7</v>
      </c>
      <c r="I1074" s="28">
        <f t="shared" si="33"/>
        <v>8814.74903050393</v>
      </c>
    </row>
    <row r="1075" spans="1:9" ht="15.75" customHeight="1" x14ac:dyDescent="0.35">
      <c r="A1075" s="26" t="s">
        <v>2674</v>
      </c>
      <c r="B1075" s="25" t="s">
        <v>133</v>
      </c>
      <c r="C1075" s="6" t="s">
        <v>150</v>
      </c>
      <c r="D1075" s="13">
        <v>11254.670891427601</v>
      </c>
      <c r="E1075" s="18">
        <v>21</v>
      </c>
      <c r="F1075" s="2">
        <f t="shared" si="32"/>
        <v>13618.151778627396</v>
      </c>
      <c r="G1075" s="3">
        <v>0</v>
      </c>
      <c r="H1075" s="4">
        <v>0.7</v>
      </c>
      <c r="I1075" s="28">
        <f t="shared" si="33"/>
        <v>23150.858023666573</v>
      </c>
    </row>
    <row r="1076" spans="1:9" ht="15.75" customHeight="1" x14ac:dyDescent="0.35">
      <c r="A1076" s="26" t="s">
        <v>2675</v>
      </c>
      <c r="B1076" s="25" t="s">
        <v>134</v>
      </c>
      <c r="C1076" s="6" t="s">
        <v>151</v>
      </c>
      <c r="D1076" s="13">
        <v>4763.2704327000001</v>
      </c>
      <c r="E1076" s="18">
        <v>21</v>
      </c>
      <c r="F1076" s="2">
        <f t="shared" si="32"/>
        <v>5763.5572235670006</v>
      </c>
      <c r="G1076" s="3">
        <v>0</v>
      </c>
      <c r="H1076" s="4">
        <v>0.7</v>
      </c>
      <c r="I1076" s="28">
        <f t="shared" si="33"/>
        <v>9798.0472800639</v>
      </c>
    </row>
    <row r="1077" spans="1:9" ht="15.75" customHeight="1" x14ac:dyDescent="0.35">
      <c r="A1077" s="26" t="s">
        <v>2678</v>
      </c>
      <c r="B1077" s="25" t="s">
        <v>9820</v>
      </c>
      <c r="C1077" s="6" t="s">
        <v>10099</v>
      </c>
      <c r="D1077" s="13">
        <v>4990.6375862615996</v>
      </c>
      <c r="E1077" s="18">
        <v>21</v>
      </c>
      <c r="F1077" s="2">
        <f t="shared" si="32"/>
        <v>6038.671479376535</v>
      </c>
      <c r="G1077" s="3">
        <v>0</v>
      </c>
      <c r="H1077" s="4">
        <v>0.7</v>
      </c>
      <c r="I1077" s="28">
        <f t="shared" si="33"/>
        <v>10265.741514940109</v>
      </c>
    </row>
    <row r="1078" spans="1:9" ht="15.75" customHeight="1" x14ac:dyDescent="0.35">
      <c r="A1078" s="26" t="s">
        <v>2679</v>
      </c>
      <c r="B1078" s="25" t="s">
        <v>135</v>
      </c>
      <c r="C1078" s="6" t="s">
        <v>10100</v>
      </c>
      <c r="D1078" s="13">
        <v>3928.1278826088001</v>
      </c>
      <c r="E1078" s="18">
        <v>21</v>
      </c>
      <c r="F1078" s="2">
        <f t="shared" si="32"/>
        <v>4753.0347379566483</v>
      </c>
      <c r="G1078" s="3">
        <v>0</v>
      </c>
      <c r="H1078" s="4">
        <v>0.7</v>
      </c>
      <c r="I1078" s="28">
        <f t="shared" si="33"/>
        <v>8080.1590545263016</v>
      </c>
    </row>
    <row r="1079" spans="1:9" ht="15.75" customHeight="1" x14ac:dyDescent="0.35">
      <c r="A1079" s="26" t="s">
        <v>2680</v>
      </c>
      <c r="B1079" s="25" t="s">
        <v>136</v>
      </c>
      <c r="C1079" s="6" t="s">
        <v>10052</v>
      </c>
      <c r="D1079" s="13">
        <v>3928.1278826088001</v>
      </c>
      <c r="E1079" s="18">
        <v>21</v>
      </c>
      <c r="F1079" s="2">
        <f t="shared" si="32"/>
        <v>4753.0347379566483</v>
      </c>
      <c r="G1079" s="3">
        <v>0</v>
      </c>
      <c r="H1079" s="4">
        <v>0.7</v>
      </c>
      <c r="I1079" s="28">
        <f t="shared" si="33"/>
        <v>8080.1590545263016</v>
      </c>
    </row>
    <row r="1080" spans="1:9" ht="15.75" customHeight="1" x14ac:dyDescent="0.35">
      <c r="A1080" s="26" t="s">
        <v>2681</v>
      </c>
      <c r="B1080" s="25" t="s">
        <v>137</v>
      </c>
      <c r="C1080" s="6" t="s">
        <v>10101</v>
      </c>
      <c r="D1080" s="13">
        <v>4285.2450318443998</v>
      </c>
      <c r="E1080" s="18">
        <v>21</v>
      </c>
      <c r="F1080" s="2">
        <f t="shared" si="32"/>
        <v>5185.1464885317237</v>
      </c>
      <c r="G1080" s="3">
        <v>0</v>
      </c>
      <c r="H1080" s="4">
        <v>0.7</v>
      </c>
      <c r="I1080" s="28">
        <f t="shared" si="33"/>
        <v>8814.74903050393</v>
      </c>
    </row>
    <row r="1081" spans="1:9" ht="15.75" customHeight="1" x14ac:dyDescent="0.35">
      <c r="A1081" s="26" t="s">
        <v>2682</v>
      </c>
      <c r="B1081" s="25" t="s">
        <v>12594</v>
      </c>
      <c r="C1081" s="6" t="s">
        <v>152</v>
      </c>
      <c r="D1081" s="13">
        <v>7436.0472000749996</v>
      </c>
      <c r="E1081" s="18">
        <v>21</v>
      </c>
      <c r="F1081" s="2">
        <f t="shared" si="32"/>
        <v>8997.6171120907493</v>
      </c>
      <c r="G1081" s="3">
        <v>0</v>
      </c>
      <c r="H1081" s="4">
        <v>0.7</v>
      </c>
      <c r="I1081" s="28">
        <f t="shared" si="33"/>
        <v>15295.949090554273</v>
      </c>
    </row>
    <row r="1082" spans="1:9" ht="15.75" customHeight="1" x14ac:dyDescent="0.35">
      <c r="A1082" s="26" t="s">
        <v>2683</v>
      </c>
      <c r="B1082" s="25" t="s">
        <v>9822</v>
      </c>
      <c r="C1082" s="6" t="s">
        <v>153</v>
      </c>
      <c r="D1082" s="13">
        <v>6484.7898375000004</v>
      </c>
      <c r="E1082" s="18">
        <v>21</v>
      </c>
      <c r="F1082" s="2">
        <f t="shared" si="32"/>
        <v>7846.5957033750001</v>
      </c>
      <c r="G1082" s="3">
        <v>0</v>
      </c>
      <c r="H1082" s="4">
        <v>0.7</v>
      </c>
      <c r="I1082" s="28">
        <f t="shared" si="33"/>
        <v>13339.2126957375</v>
      </c>
    </row>
    <row r="1083" spans="1:9" ht="15.75" customHeight="1" x14ac:dyDescent="0.35">
      <c r="A1083" s="26" t="s">
        <v>2684</v>
      </c>
      <c r="B1083" s="25" t="s">
        <v>138</v>
      </c>
      <c r="C1083" s="6" t="s">
        <v>154</v>
      </c>
      <c r="D1083" s="13">
        <v>6943.8657405000004</v>
      </c>
      <c r="E1083" s="18">
        <v>21</v>
      </c>
      <c r="F1083" s="2">
        <f t="shared" si="32"/>
        <v>8402.0775460050008</v>
      </c>
      <c r="G1083" s="3">
        <v>0</v>
      </c>
      <c r="H1083" s="4">
        <v>0.7</v>
      </c>
      <c r="I1083" s="28">
        <f t="shared" si="33"/>
        <v>14283.531828208501</v>
      </c>
    </row>
    <row r="1084" spans="1:9" ht="15.75" customHeight="1" x14ac:dyDescent="0.35">
      <c r="A1084" s="26" t="s">
        <v>2685</v>
      </c>
      <c r="B1084" s="25" t="s">
        <v>13183</v>
      </c>
      <c r="C1084" s="6" t="s">
        <v>10102</v>
      </c>
      <c r="D1084" s="13">
        <v>6240.5208154224001</v>
      </c>
      <c r="E1084" s="18">
        <v>21</v>
      </c>
      <c r="F1084" s="2">
        <f t="shared" si="32"/>
        <v>7551.0301866611044</v>
      </c>
      <c r="G1084" s="3">
        <v>0</v>
      </c>
      <c r="H1084" s="4">
        <v>0.7</v>
      </c>
      <c r="I1084" s="28">
        <f t="shared" si="33"/>
        <v>12836.751317323877</v>
      </c>
    </row>
    <row r="1085" spans="1:9" ht="15.75" customHeight="1" x14ac:dyDescent="0.35">
      <c r="A1085" s="26" t="s">
        <v>2687</v>
      </c>
      <c r="B1085" s="25" t="s">
        <v>13325</v>
      </c>
      <c r="C1085" s="6" t="s">
        <v>155</v>
      </c>
      <c r="D1085" s="13">
        <v>16697.523496305599</v>
      </c>
      <c r="E1085" s="18">
        <v>21</v>
      </c>
      <c r="F1085" s="2">
        <f t="shared" si="32"/>
        <v>20204.003430529774</v>
      </c>
      <c r="G1085" s="3">
        <v>0</v>
      </c>
      <c r="H1085" s="4">
        <v>0.7</v>
      </c>
      <c r="I1085" s="28">
        <f t="shared" si="33"/>
        <v>34346.805831900616</v>
      </c>
    </row>
    <row r="1086" spans="1:9" ht="15.75" customHeight="1" x14ac:dyDescent="0.35">
      <c r="A1086" s="26" t="s">
        <v>2688</v>
      </c>
      <c r="B1086" s="25" t="s">
        <v>9588</v>
      </c>
      <c r="C1086" s="6" t="s">
        <v>9253</v>
      </c>
      <c r="D1086" s="13">
        <v>6356.5709388947998</v>
      </c>
      <c r="E1086" s="18">
        <v>21</v>
      </c>
      <c r="F1086" s="2">
        <f t="shared" si="32"/>
        <v>7691.4508360627078</v>
      </c>
      <c r="G1086" s="3">
        <v>0</v>
      </c>
      <c r="H1086" s="4">
        <v>0.7</v>
      </c>
      <c r="I1086" s="28">
        <f t="shared" si="33"/>
        <v>13075.466421306603</v>
      </c>
    </row>
    <row r="1087" spans="1:9" ht="15.75" customHeight="1" x14ac:dyDescent="0.35">
      <c r="A1087" s="26" t="s">
        <v>2689</v>
      </c>
      <c r="B1087" s="25" t="s">
        <v>9590</v>
      </c>
      <c r="C1087" s="6" t="s">
        <v>10103</v>
      </c>
      <c r="D1087" s="13">
        <v>5347.7309193516003</v>
      </c>
      <c r="E1087" s="18">
        <v>21</v>
      </c>
      <c r="F1087" s="2">
        <f t="shared" si="32"/>
        <v>6470.7544124154365</v>
      </c>
      <c r="G1087" s="3">
        <v>0</v>
      </c>
      <c r="H1087" s="4">
        <v>0.7</v>
      </c>
      <c r="I1087" s="28">
        <f t="shared" si="33"/>
        <v>11000.282501106241</v>
      </c>
    </row>
    <row r="1088" spans="1:9" ht="15.75" customHeight="1" x14ac:dyDescent="0.35">
      <c r="A1088" s="26" t="s">
        <v>2690</v>
      </c>
      <c r="B1088" s="25" t="s">
        <v>11646</v>
      </c>
      <c r="C1088" s="6" t="s">
        <v>9254</v>
      </c>
      <c r="D1088" s="13">
        <v>5347.7309193516003</v>
      </c>
      <c r="E1088" s="18">
        <v>21</v>
      </c>
      <c r="F1088" s="2">
        <f t="shared" si="32"/>
        <v>6470.7544124154365</v>
      </c>
      <c r="G1088" s="3">
        <v>0</v>
      </c>
      <c r="H1088" s="4">
        <v>0.7</v>
      </c>
      <c r="I1088" s="28">
        <f t="shared" si="33"/>
        <v>11000.282501106241</v>
      </c>
    </row>
    <row r="1089" spans="1:9" ht="15.75" customHeight="1" x14ac:dyDescent="0.35">
      <c r="A1089" s="26" t="s">
        <v>2691</v>
      </c>
      <c r="B1089" s="25" t="s">
        <v>139</v>
      </c>
      <c r="C1089" s="6" t="s">
        <v>9255</v>
      </c>
      <c r="D1089" s="13">
        <v>5347.7309193516003</v>
      </c>
      <c r="E1089" s="18">
        <v>21</v>
      </c>
      <c r="F1089" s="2">
        <f t="shared" si="32"/>
        <v>6470.7544124154365</v>
      </c>
      <c r="G1089" s="3">
        <v>0</v>
      </c>
      <c r="H1089" s="4">
        <v>0.7</v>
      </c>
      <c r="I1089" s="28">
        <f t="shared" si="33"/>
        <v>11000.282501106241</v>
      </c>
    </row>
    <row r="1090" spans="1:9" ht="15.75" customHeight="1" x14ac:dyDescent="0.35">
      <c r="A1090" s="26" t="s">
        <v>2692</v>
      </c>
      <c r="B1090" s="25" t="s">
        <v>140</v>
      </c>
      <c r="C1090" s="6" t="s">
        <v>10104</v>
      </c>
      <c r="D1090" s="13">
        <v>5347.7309193516003</v>
      </c>
      <c r="E1090" s="18">
        <v>21</v>
      </c>
      <c r="F1090" s="2">
        <f t="shared" si="32"/>
        <v>6470.7544124154365</v>
      </c>
      <c r="G1090" s="3">
        <v>0</v>
      </c>
      <c r="H1090" s="4">
        <v>0.7</v>
      </c>
      <c r="I1090" s="28">
        <f t="shared" si="33"/>
        <v>11000.282501106241</v>
      </c>
    </row>
    <row r="1091" spans="1:9" ht="15.75" customHeight="1" x14ac:dyDescent="0.35">
      <c r="A1091" s="26" t="s">
        <v>2693</v>
      </c>
      <c r="B1091" s="25" t="s">
        <v>12023</v>
      </c>
      <c r="C1091" s="6" t="s">
        <v>9256</v>
      </c>
      <c r="D1091" s="13">
        <v>5883.4036661868004</v>
      </c>
      <c r="E1091" s="18">
        <v>21</v>
      </c>
      <c r="F1091" s="2">
        <f t="shared" si="32"/>
        <v>7118.918436086029</v>
      </c>
      <c r="G1091" s="3">
        <v>0</v>
      </c>
      <c r="H1091" s="4">
        <v>0.7</v>
      </c>
      <c r="I1091" s="28">
        <f t="shared" si="33"/>
        <v>12102.161341346249</v>
      </c>
    </row>
    <row r="1092" spans="1:9" ht="15.75" customHeight="1" x14ac:dyDescent="0.35">
      <c r="A1092" s="26" t="s">
        <v>13792</v>
      </c>
      <c r="B1092" s="25" t="s">
        <v>10637</v>
      </c>
      <c r="C1092" s="6" t="s">
        <v>13793</v>
      </c>
      <c r="D1092" s="13">
        <v>6471.7458190163998</v>
      </c>
      <c r="E1092" s="18">
        <v>21</v>
      </c>
      <c r="F1092" s="2">
        <f t="shared" si="32"/>
        <v>7830.8124410098435</v>
      </c>
      <c r="G1092" s="3">
        <v>0</v>
      </c>
      <c r="H1092" s="4">
        <v>0.7</v>
      </c>
      <c r="I1092" s="28">
        <f t="shared" si="33"/>
        <v>13312.381149716733</v>
      </c>
    </row>
    <row r="1093" spans="1:9" ht="15.75" customHeight="1" x14ac:dyDescent="0.35">
      <c r="A1093" s="26" t="s">
        <v>2694</v>
      </c>
      <c r="B1093" s="25" t="s">
        <v>10638</v>
      </c>
      <c r="C1093" s="6" t="s">
        <v>10105</v>
      </c>
      <c r="D1093" s="13">
        <v>5883.4036661868004</v>
      </c>
      <c r="E1093" s="18">
        <v>21</v>
      </c>
      <c r="F1093" s="2">
        <f t="shared" si="32"/>
        <v>7118.918436086029</v>
      </c>
      <c r="G1093" s="3">
        <v>0</v>
      </c>
      <c r="H1093" s="4">
        <v>0.7</v>
      </c>
      <c r="I1093" s="28">
        <f t="shared" si="33"/>
        <v>12102.161341346249</v>
      </c>
    </row>
    <row r="1094" spans="1:9" ht="15.75" customHeight="1" x14ac:dyDescent="0.35">
      <c r="A1094" s="26" t="s">
        <v>2696</v>
      </c>
      <c r="B1094" s="25" t="s">
        <v>10639</v>
      </c>
      <c r="C1094" s="6" t="s">
        <v>156</v>
      </c>
      <c r="D1094" s="13">
        <v>18110.856932719202</v>
      </c>
      <c r="E1094" s="18">
        <v>21</v>
      </c>
      <c r="F1094" s="2">
        <f t="shared" ref="F1094:F1157" si="34">D1094*E1094/100+D1094</f>
        <v>21914.136888590234</v>
      </c>
      <c r="G1094" s="3">
        <v>0</v>
      </c>
      <c r="H1094" s="4">
        <v>0.7</v>
      </c>
      <c r="I1094" s="28">
        <f t="shared" ref="I1094:I1157" si="35">IF(G1094=-1,0,F1094*((100-G1094)/100)*(1+H1094))</f>
        <v>37254.032710603395</v>
      </c>
    </row>
    <row r="1095" spans="1:9" ht="15.75" customHeight="1" x14ac:dyDescent="0.35">
      <c r="A1095" s="26" t="s">
        <v>2697</v>
      </c>
      <c r="B1095" s="25" t="s">
        <v>141</v>
      </c>
      <c r="C1095" s="6" t="s">
        <v>9257</v>
      </c>
      <c r="D1095" s="13">
        <v>7579.6907744376003</v>
      </c>
      <c r="E1095" s="18">
        <v>21</v>
      </c>
      <c r="F1095" s="2">
        <f t="shared" si="34"/>
        <v>9171.425837069497</v>
      </c>
      <c r="G1095" s="3">
        <v>0</v>
      </c>
      <c r="H1095" s="4">
        <v>0.7</v>
      </c>
      <c r="I1095" s="28">
        <f t="shared" si="35"/>
        <v>15591.423923018145</v>
      </c>
    </row>
    <row r="1096" spans="1:9" ht="15.75" customHeight="1" x14ac:dyDescent="0.35">
      <c r="A1096" s="26" t="s">
        <v>2699</v>
      </c>
      <c r="B1096" s="25" t="s">
        <v>8861</v>
      </c>
      <c r="C1096" s="6" t="s">
        <v>9258</v>
      </c>
      <c r="D1096" s="13">
        <v>6240.5208154224001</v>
      </c>
      <c r="E1096" s="18">
        <v>21</v>
      </c>
      <c r="F1096" s="2">
        <f t="shared" si="34"/>
        <v>7551.0301866611044</v>
      </c>
      <c r="G1096" s="3">
        <v>0</v>
      </c>
      <c r="H1096" s="4">
        <v>0.7</v>
      </c>
      <c r="I1096" s="28">
        <f t="shared" si="35"/>
        <v>12836.751317323877</v>
      </c>
    </row>
    <row r="1097" spans="1:9" ht="15.75" customHeight="1" x14ac:dyDescent="0.35">
      <c r="A1097" s="26" t="s">
        <v>2701</v>
      </c>
      <c r="B1097" s="25" t="s">
        <v>863</v>
      </c>
      <c r="C1097" s="6" t="s">
        <v>9259</v>
      </c>
      <c r="D1097" s="13">
        <v>6508.3393267308002</v>
      </c>
      <c r="E1097" s="18">
        <v>21</v>
      </c>
      <c r="F1097" s="2">
        <f t="shared" si="34"/>
        <v>7875.0905853442682</v>
      </c>
      <c r="G1097" s="3">
        <v>0</v>
      </c>
      <c r="H1097" s="4">
        <v>0.7</v>
      </c>
      <c r="I1097" s="28">
        <f t="shared" si="35"/>
        <v>13387.653995085255</v>
      </c>
    </row>
    <row r="1098" spans="1:9" ht="15.75" customHeight="1" x14ac:dyDescent="0.35">
      <c r="A1098" s="26" t="s">
        <v>2702</v>
      </c>
      <c r="B1098" s="25" t="s">
        <v>142</v>
      </c>
      <c r="C1098" s="6" t="s">
        <v>10004</v>
      </c>
      <c r="D1098" s="13">
        <v>6508.3393267308002</v>
      </c>
      <c r="E1098" s="18">
        <v>21</v>
      </c>
      <c r="F1098" s="2">
        <f t="shared" si="34"/>
        <v>7875.0905853442682</v>
      </c>
      <c r="G1098" s="3">
        <v>0</v>
      </c>
      <c r="H1098" s="4">
        <v>0.7</v>
      </c>
      <c r="I1098" s="28">
        <f t="shared" si="35"/>
        <v>13387.653995085255</v>
      </c>
    </row>
    <row r="1099" spans="1:9" ht="15.75" customHeight="1" x14ac:dyDescent="0.35">
      <c r="A1099" s="26" t="s">
        <v>2703</v>
      </c>
      <c r="B1099" s="25" t="s">
        <v>12906</v>
      </c>
      <c r="C1099" s="6" t="s">
        <v>157</v>
      </c>
      <c r="D1099" s="13">
        <v>8183.6753076000005</v>
      </c>
      <c r="E1099" s="18">
        <v>21</v>
      </c>
      <c r="F1099" s="2">
        <f t="shared" si="34"/>
        <v>9902.2471221960004</v>
      </c>
      <c r="G1099" s="3">
        <v>0</v>
      </c>
      <c r="H1099" s="4">
        <v>0.7</v>
      </c>
      <c r="I1099" s="28">
        <f t="shared" si="35"/>
        <v>16833.820107733201</v>
      </c>
    </row>
    <row r="1100" spans="1:9" ht="15.75" customHeight="1" x14ac:dyDescent="0.35">
      <c r="A1100" s="26" t="s">
        <v>2704</v>
      </c>
      <c r="B1100" s="25" t="s">
        <v>143</v>
      </c>
      <c r="C1100" s="6" t="s">
        <v>158</v>
      </c>
      <c r="D1100" s="13">
        <v>7535.9045862749999</v>
      </c>
      <c r="E1100" s="18">
        <v>21</v>
      </c>
      <c r="F1100" s="2">
        <f t="shared" si="34"/>
        <v>9118.4445493927506</v>
      </c>
      <c r="G1100" s="3">
        <v>0</v>
      </c>
      <c r="H1100" s="4">
        <v>0.7</v>
      </c>
      <c r="I1100" s="28">
        <f t="shared" si="35"/>
        <v>15501.355733967675</v>
      </c>
    </row>
    <row r="1101" spans="1:9" ht="15.75" customHeight="1" x14ac:dyDescent="0.35">
      <c r="A1101" s="26" t="s">
        <v>2711</v>
      </c>
      <c r="B1101" s="25" t="s">
        <v>12908</v>
      </c>
      <c r="C1101" s="6" t="s">
        <v>9288</v>
      </c>
      <c r="D1101" s="13">
        <v>8740.2753656711993</v>
      </c>
      <c r="E1101" s="18">
        <v>21</v>
      </c>
      <c r="F1101" s="2">
        <f t="shared" si="34"/>
        <v>10575.73319246215</v>
      </c>
      <c r="G1101" s="3">
        <v>0</v>
      </c>
      <c r="H1101" s="4">
        <v>0.7</v>
      </c>
      <c r="I1101" s="28">
        <f t="shared" si="35"/>
        <v>17978.746427185655</v>
      </c>
    </row>
    <row r="1102" spans="1:9" ht="15.75" customHeight="1" x14ac:dyDescent="0.35">
      <c r="A1102" s="26" t="s">
        <v>2705</v>
      </c>
      <c r="B1102" s="25" t="s">
        <v>144</v>
      </c>
      <c r="C1102" s="6" t="s">
        <v>159</v>
      </c>
      <c r="D1102" s="13">
        <v>23755.086956718002</v>
      </c>
      <c r="E1102" s="18">
        <v>21</v>
      </c>
      <c r="F1102" s="2">
        <f t="shared" si="34"/>
        <v>28743.655217628781</v>
      </c>
      <c r="G1102" s="3">
        <v>0</v>
      </c>
      <c r="H1102" s="4">
        <v>0.7</v>
      </c>
      <c r="I1102" s="28">
        <f t="shared" si="35"/>
        <v>48864.213869968924</v>
      </c>
    </row>
    <row r="1103" spans="1:9" ht="15.75" customHeight="1" x14ac:dyDescent="0.35">
      <c r="A1103" s="26" t="s">
        <v>2706</v>
      </c>
      <c r="B1103" s="25" t="s">
        <v>12910</v>
      </c>
      <c r="C1103" s="6" t="s">
        <v>9289</v>
      </c>
      <c r="D1103" s="13">
        <v>9633.0712157784001</v>
      </c>
      <c r="E1103" s="18">
        <v>21</v>
      </c>
      <c r="F1103" s="2">
        <f t="shared" si="34"/>
        <v>11656.016171091864</v>
      </c>
      <c r="G1103" s="3">
        <v>0</v>
      </c>
      <c r="H1103" s="4">
        <v>0.7</v>
      </c>
      <c r="I1103" s="28">
        <f t="shared" si="35"/>
        <v>19815.227490856167</v>
      </c>
    </row>
    <row r="1104" spans="1:9" ht="15.75" customHeight="1" x14ac:dyDescent="0.35">
      <c r="A1104" s="26" t="s">
        <v>2707</v>
      </c>
      <c r="B1104" s="25" t="s">
        <v>145</v>
      </c>
      <c r="C1104" s="6" t="s">
        <v>10106</v>
      </c>
      <c r="D1104" s="13">
        <v>10704.3869392668</v>
      </c>
      <c r="E1104" s="18">
        <v>21</v>
      </c>
      <c r="F1104" s="2">
        <f t="shared" si="34"/>
        <v>12952.308196512829</v>
      </c>
      <c r="G1104" s="3">
        <v>0</v>
      </c>
      <c r="H1104" s="4">
        <v>0.7</v>
      </c>
      <c r="I1104" s="28">
        <f t="shared" si="35"/>
        <v>22018.923934071809</v>
      </c>
    </row>
    <row r="1105" spans="1:9" ht="15.75" customHeight="1" x14ac:dyDescent="0.35">
      <c r="A1105" s="26" t="s">
        <v>2708</v>
      </c>
      <c r="B1105" s="25" t="s">
        <v>12912</v>
      </c>
      <c r="C1105" s="6" t="s">
        <v>9290</v>
      </c>
      <c r="D1105" s="13">
        <v>10704.3869392668</v>
      </c>
      <c r="E1105" s="18">
        <v>21</v>
      </c>
      <c r="F1105" s="2">
        <f t="shared" si="34"/>
        <v>12952.308196512829</v>
      </c>
      <c r="G1105" s="3">
        <v>0</v>
      </c>
      <c r="H1105" s="4">
        <v>0.7</v>
      </c>
      <c r="I1105" s="28">
        <f t="shared" si="35"/>
        <v>22018.923934071809</v>
      </c>
    </row>
    <row r="1106" spans="1:9" ht="15.75" customHeight="1" x14ac:dyDescent="0.35">
      <c r="A1106" s="26" t="s">
        <v>2709</v>
      </c>
      <c r="B1106" s="25" t="s">
        <v>146</v>
      </c>
      <c r="C1106" s="6" t="s">
        <v>8750</v>
      </c>
      <c r="D1106" s="13">
        <v>25443.121770518399</v>
      </c>
      <c r="E1106" s="18">
        <v>21</v>
      </c>
      <c r="F1106" s="2">
        <f t="shared" si="34"/>
        <v>30786.177342327261</v>
      </c>
      <c r="G1106" s="3">
        <v>0</v>
      </c>
      <c r="H1106" s="4">
        <v>0.7</v>
      </c>
      <c r="I1106" s="28">
        <f t="shared" si="35"/>
        <v>52336.501481956344</v>
      </c>
    </row>
    <row r="1107" spans="1:9" ht="15.75" customHeight="1" x14ac:dyDescent="0.35">
      <c r="A1107" s="26" t="s">
        <v>2710</v>
      </c>
      <c r="B1107" s="25" t="s">
        <v>12914</v>
      </c>
      <c r="C1107" s="6" t="s">
        <v>9291</v>
      </c>
      <c r="D1107" s="13">
        <v>10704.3869392668</v>
      </c>
      <c r="E1107" s="18">
        <v>21</v>
      </c>
      <c r="F1107" s="2">
        <f t="shared" si="34"/>
        <v>12952.308196512829</v>
      </c>
      <c r="G1107" s="3">
        <v>0</v>
      </c>
      <c r="H1107" s="4">
        <v>0.7</v>
      </c>
      <c r="I1107" s="28">
        <f t="shared" si="35"/>
        <v>22018.923934071809</v>
      </c>
    </row>
    <row r="1108" spans="1:9" ht="15.75" customHeight="1" x14ac:dyDescent="0.35">
      <c r="A1108" s="26" t="s">
        <v>9792</v>
      </c>
      <c r="B1108" s="25" t="s">
        <v>147</v>
      </c>
      <c r="C1108" s="6" t="s">
        <v>9793</v>
      </c>
      <c r="D1108" s="13">
        <v>13896.077921668801</v>
      </c>
      <c r="E1108" s="18">
        <v>21</v>
      </c>
      <c r="F1108" s="2">
        <f t="shared" si="34"/>
        <v>16814.254285219249</v>
      </c>
      <c r="G1108" s="3">
        <v>0</v>
      </c>
      <c r="H1108" s="4">
        <v>0.7</v>
      </c>
      <c r="I1108" s="28">
        <f t="shared" si="35"/>
        <v>28584.232284872724</v>
      </c>
    </row>
    <row r="1109" spans="1:9" ht="15.75" customHeight="1" x14ac:dyDescent="0.35">
      <c r="A1109" s="26" t="s">
        <v>9741</v>
      </c>
      <c r="B1109" s="25" t="s">
        <v>148</v>
      </c>
      <c r="C1109" s="6" t="s">
        <v>9742</v>
      </c>
      <c r="D1109" s="13">
        <v>13922.2756818288</v>
      </c>
      <c r="E1109" s="18">
        <v>21</v>
      </c>
      <c r="F1109" s="2">
        <f t="shared" si="34"/>
        <v>16845.953575012849</v>
      </c>
      <c r="G1109" s="3">
        <v>0</v>
      </c>
      <c r="H1109" s="4">
        <v>0.7</v>
      </c>
      <c r="I1109" s="28">
        <f t="shared" si="35"/>
        <v>28638.121077521842</v>
      </c>
    </row>
    <row r="1110" spans="1:9" ht="15.75" customHeight="1" x14ac:dyDescent="0.35">
      <c r="A1110" s="26" t="s">
        <v>2712</v>
      </c>
      <c r="B1110" s="25" t="s">
        <v>12916</v>
      </c>
      <c r="C1110" s="6" t="s">
        <v>10107</v>
      </c>
      <c r="D1110" s="13">
        <v>8740.2753656711993</v>
      </c>
      <c r="E1110" s="18">
        <v>21</v>
      </c>
      <c r="F1110" s="2">
        <f t="shared" si="34"/>
        <v>10575.73319246215</v>
      </c>
      <c r="G1110" s="3">
        <v>0</v>
      </c>
      <c r="H1110" s="4">
        <v>0.7</v>
      </c>
      <c r="I1110" s="28">
        <f t="shared" si="35"/>
        <v>17978.746427185655</v>
      </c>
    </row>
    <row r="1111" spans="1:9" ht="15.75" customHeight="1" x14ac:dyDescent="0.35">
      <c r="A1111" s="26" t="s">
        <v>2713</v>
      </c>
      <c r="B1111" s="25" t="s">
        <v>864</v>
      </c>
      <c r="C1111" s="6" t="s">
        <v>10108</v>
      </c>
      <c r="D1111" s="13">
        <v>8740.2753656711993</v>
      </c>
      <c r="E1111" s="18">
        <v>21</v>
      </c>
      <c r="F1111" s="2">
        <f t="shared" si="34"/>
        <v>10575.73319246215</v>
      </c>
      <c r="G1111" s="3">
        <v>0</v>
      </c>
      <c r="H1111" s="4">
        <v>0.7</v>
      </c>
      <c r="I1111" s="28">
        <f t="shared" si="35"/>
        <v>17978.746427185655</v>
      </c>
    </row>
    <row r="1112" spans="1:9" ht="15.75" customHeight="1" x14ac:dyDescent="0.35">
      <c r="A1112" s="26" t="s">
        <v>2714</v>
      </c>
      <c r="B1112" s="25" t="s">
        <v>865</v>
      </c>
      <c r="C1112" s="6" t="s">
        <v>10109</v>
      </c>
      <c r="D1112" s="13">
        <v>7905.5330897399999</v>
      </c>
      <c r="E1112" s="18">
        <v>21</v>
      </c>
      <c r="F1112" s="2">
        <f t="shared" si="34"/>
        <v>9565.6950385853997</v>
      </c>
      <c r="G1112" s="3">
        <v>0</v>
      </c>
      <c r="H1112" s="4">
        <v>0.7</v>
      </c>
      <c r="I1112" s="28">
        <f t="shared" si="35"/>
        <v>16261.68156559518</v>
      </c>
    </row>
    <row r="1113" spans="1:9" ht="15.75" customHeight="1" x14ac:dyDescent="0.35">
      <c r="A1113" s="26" t="s">
        <v>2715</v>
      </c>
      <c r="B1113" s="25" t="s">
        <v>10179</v>
      </c>
      <c r="C1113" s="6" t="s">
        <v>10110</v>
      </c>
      <c r="D1113" s="13">
        <v>16534.049675714999</v>
      </c>
      <c r="E1113" s="18">
        <v>21</v>
      </c>
      <c r="F1113" s="2">
        <f t="shared" si="34"/>
        <v>20006.20010761515</v>
      </c>
      <c r="G1113" s="3">
        <v>0</v>
      </c>
      <c r="H1113" s="4">
        <v>0.7</v>
      </c>
      <c r="I1113" s="28">
        <f t="shared" si="35"/>
        <v>34010.540182945755</v>
      </c>
    </row>
    <row r="1114" spans="1:9" ht="15.75" customHeight="1" x14ac:dyDescent="0.35">
      <c r="A1114" s="26" t="s">
        <v>2716</v>
      </c>
      <c r="B1114" s="25" t="s">
        <v>11647</v>
      </c>
      <c r="C1114" s="6" t="s">
        <v>10005</v>
      </c>
      <c r="D1114" s="13">
        <v>23151.937115361601</v>
      </c>
      <c r="E1114" s="18">
        <v>21</v>
      </c>
      <c r="F1114" s="2">
        <f t="shared" si="34"/>
        <v>28013.843909587536</v>
      </c>
      <c r="G1114" s="3">
        <v>0</v>
      </c>
      <c r="H1114" s="4">
        <v>0.7</v>
      </c>
      <c r="I1114" s="28">
        <f t="shared" si="35"/>
        <v>47623.534646298809</v>
      </c>
    </row>
    <row r="1115" spans="1:9" ht="15.75" customHeight="1" x14ac:dyDescent="0.35">
      <c r="A1115" s="26" t="s">
        <v>9294</v>
      </c>
      <c r="B1115" s="25" t="s">
        <v>11648</v>
      </c>
      <c r="C1115" s="6" t="s">
        <v>9295</v>
      </c>
      <c r="D1115" s="13">
        <v>19526.5243514016</v>
      </c>
      <c r="E1115" s="18">
        <v>21</v>
      </c>
      <c r="F1115" s="2">
        <f t="shared" si="34"/>
        <v>23627.094465195936</v>
      </c>
      <c r="G1115" s="3">
        <v>0</v>
      </c>
      <c r="H1115" s="4">
        <v>0.7</v>
      </c>
      <c r="I1115" s="28">
        <f t="shared" si="35"/>
        <v>40166.060590833091</v>
      </c>
    </row>
    <row r="1116" spans="1:9" ht="15.75" customHeight="1" x14ac:dyDescent="0.35">
      <c r="A1116" s="26" t="s">
        <v>2718</v>
      </c>
      <c r="B1116" s="25" t="s">
        <v>10801</v>
      </c>
      <c r="C1116" s="6" t="s">
        <v>9292</v>
      </c>
      <c r="D1116" s="13">
        <v>23151.937115361601</v>
      </c>
      <c r="E1116" s="18">
        <v>21</v>
      </c>
      <c r="F1116" s="2">
        <f t="shared" si="34"/>
        <v>28013.843909587536</v>
      </c>
      <c r="G1116" s="3">
        <v>0</v>
      </c>
      <c r="H1116" s="4">
        <v>0.7</v>
      </c>
      <c r="I1116" s="28">
        <f t="shared" si="35"/>
        <v>47623.534646298809</v>
      </c>
    </row>
    <row r="1117" spans="1:9" ht="15.75" customHeight="1" x14ac:dyDescent="0.35">
      <c r="A1117" s="26" t="s">
        <v>2719</v>
      </c>
      <c r="B1117" s="25" t="s">
        <v>12049</v>
      </c>
      <c r="C1117" s="6" t="s">
        <v>10111</v>
      </c>
      <c r="D1117" s="13">
        <v>2030.5586198195999</v>
      </c>
      <c r="E1117" s="18">
        <v>21</v>
      </c>
      <c r="F1117" s="2">
        <f t="shared" si="34"/>
        <v>2456.975929981716</v>
      </c>
      <c r="G1117" s="3">
        <v>0</v>
      </c>
      <c r="H1117" s="4">
        <v>0.7</v>
      </c>
      <c r="I1117" s="28">
        <f t="shared" si="35"/>
        <v>4176.8590809689167</v>
      </c>
    </row>
    <row r="1118" spans="1:9" ht="15.75" customHeight="1" x14ac:dyDescent="0.35">
      <c r="A1118" s="26" t="s">
        <v>2720</v>
      </c>
      <c r="B1118" s="25" t="s">
        <v>11466</v>
      </c>
      <c r="C1118" s="6" t="s">
        <v>11943</v>
      </c>
      <c r="D1118" s="13">
        <v>984.297761928</v>
      </c>
      <c r="E1118" s="18">
        <v>21</v>
      </c>
      <c r="F1118" s="2">
        <f t="shared" si="34"/>
        <v>1191.0002919328799</v>
      </c>
      <c r="G1118" s="3">
        <v>0</v>
      </c>
      <c r="H1118" s="4">
        <v>0.7</v>
      </c>
      <c r="I1118" s="28">
        <f t="shared" si="35"/>
        <v>2024.7004962858957</v>
      </c>
    </row>
    <row r="1119" spans="1:9" ht="15.75" customHeight="1" x14ac:dyDescent="0.35">
      <c r="A1119" s="26" t="s">
        <v>2721</v>
      </c>
      <c r="B1119" s="25" t="s">
        <v>11467</v>
      </c>
      <c r="C1119" s="6" t="s">
        <v>9260</v>
      </c>
      <c r="D1119" s="13">
        <v>2030.5586198195999</v>
      </c>
      <c r="E1119" s="18">
        <v>21</v>
      </c>
      <c r="F1119" s="2">
        <f t="shared" si="34"/>
        <v>2456.975929981716</v>
      </c>
      <c r="G1119" s="3">
        <v>0</v>
      </c>
      <c r="H1119" s="4">
        <v>0.7</v>
      </c>
      <c r="I1119" s="28">
        <f t="shared" si="35"/>
        <v>4176.8590809689167</v>
      </c>
    </row>
    <row r="1120" spans="1:9" ht="15.75" customHeight="1" x14ac:dyDescent="0.35">
      <c r="A1120" s="26" t="s">
        <v>2660</v>
      </c>
      <c r="B1120" s="25" t="s">
        <v>11468</v>
      </c>
      <c r="C1120" s="6" t="s">
        <v>13209</v>
      </c>
      <c r="D1120" s="13">
        <v>992.89470945599999</v>
      </c>
      <c r="E1120" s="18">
        <v>21</v>
      </c>
      <c r="F1120" s="2">
        <f t="shared" si="34"/>
        <v>1201.4025984417599</v>
      </c>
      <c r="G1120" s="3">
        <v>0</v>
      </c>
      <c r="H1120" s="4">
        <v>0.7</v>
      </c>
      <c r="I1120" s="28">
        <f t="shared" si="35"/>
        <v>2042.3844173509917</v>
      </c>
    </row>
    <row r="1121" spans="1:9" ht="15.75" customHeight="1" x14ac:dyDescent="0.35">
      <c r="A1121" s="26" t="s">
        <v>13608</v>
      </c>
      <c r="B1121" s="25" t="s">
        <v>9012</v>
      </c>
      <c r="C1121" s="6" t="s">
        <v>13609</v>
      </c>
      <c r="D1121" s="13">
        <v>2233.6150772052001</v>
      </c>
      <c r="E1121" s="18">
        <v>21</v>
      </c>
      <c r="F1121" s="2">
        <f t="shared" si="34"/>
        <v>2702.674243418292</v>
      </c>
      <c r="G1121" s="3">
        <v>0</v>
      </c>
      <c r="H1121" s="4">
        <v>0.7</v>
      </c>
      <c r="I1121" s="28">
        <f t="shared" si="35"/>
        <v>4594.5462138110961</v>
      </c>
    </row>
    <row r="1122" spans="1:9" ht="15.75" customHeight="1" x14ac:dyDescent="0.35">
      <c r="A1122" s="26" t="s">
        <v>2723</v>
      </c>
      <c r="B1122" s="25" t="s">
        <v>10640</v>
      </c>
      <c r="C1122" s="6" t="s">
        <v>9261</v>
      </c>
      <c r="D1122" s="13">
        <v>2223.3860426699998</v>
      </c>
      <c r="E1122" s="18">
        <v>21</v>
      </c>
      <c r="F1122" s="2">
        <f t="shared" si="34"/>
        <v>2690.2971116306999</v>
      </c>
      <c r="G1122" s="3">
        <v>0</v>
      </c>
      <c r="H1122" s="4">
        <v>0.7</v>
      </c>
      <c r="I1122" s="28">
        <f t="shared" si="35"/>
        <v>4573.5050897721894</v>
      </c>
    </row>
    <row r="1123" spans="1:9" ht="15.75" customHeight="1" x14ac:dyDescent="0.35">
      <c r="A1123" s="26" t="s">
        <v>2666</v>
      </c>
      <c r="B1123" s="25" t="s">
        <v>9013</v>
      </c>
      <c r="C1123" s="6" t="s">
        <v>13227</v>
      </c>
      <c r="D1123" s="13">
        <v>1267.9814066399999</v>
      </c>
      <c r="E1123" s="18">
        <v>21</v>
      </c>
      <c r="F1123" s="2">
        <f t="shared" si="34"/>
        <v>1534.2575020344</v>
      </c>
      <c r="G1123" s="3">
        <v>0</v>
      </c>
      <c r="H1123" s="4">
        <v>0.7</v>
      </c>
      <c r="I1123" s="28">
        <f t="shared" si="35"/>
        <v>2608.2377534584798</v>
      </c>
    </row>
    <row r="1124" spans="1:9" ht="15.75" customHeight="1" x14ac:dyDescent="0.35">
      <c r="A1124" s="26" t="s">
        <v>13610</v>
      </c>
      <c r="B1124" s="25" t="s">
        <v>10641</v>
      </c>
      <c r="C1124" s="6" t="s">
        <v>13611</v>
      </c>
      <c r="D1124" s="13">
        <v>2445.7216699188002</v>
      </c>
      <c r="E1124" s="18">
        <v>21</v>
      </c>
      <c r="F1124" s="2">
        <f t="shared" si="34"/>
        <v>2959.3232206017483</v>
      </c>
      <c r="G1124" s="3">
        <v>0</v>
      </c>
      <c r="H1124" s="4">
        <v>0.7</v>
      </c>
      <c r="I1124" s="28">
        <f t="shared" si="35"/>
        <v>5030.849475022972</v>
      </c>
    </row>
    <row r="1125" spans="1:9" ht="15.75" customHeight="1" x14ac:dyDescent="0.35">
      <c r="A1125" s="26" t="s">
        <v>2724</v>
      </c>
      <c r="B1125" s="25" t="s">
        <v>10642</v>
      </c>
      <c r="C1125" s="6" t="s">
        <v>10112</v>
      </c>
      <c r="D1125" s="13">
        <v>2030.5586198195999</v>
      </c>
      <c r="E1125" s="18">
        <v>21</v>
      </c>
      <c r="F1125" s="2">
        <f t="shared" si="34"/>
        <v>2456.975929981716</v>
      </c>
      <c r="G1125" s="3">
        <v>0</v>
      </c>
      <c r="H1125" s="4">
        <v>0.7</v>
      </c>
      <c r="I1125" s="28">
        <f t="shared" si="35"/>
        <v>4176.8590809689167</v>
      </c>
    </row>
    <row r="1126" spans="1:9" ht="15.75" customHeight="1" x14ac:dyDescent="0.35">
      <c r="A1126" s="26" t="s">
        <v>2725</v>
      </c>
      <c r="B1126" s="25" t="s">
        <v>12043</v>
      </c>
      <c r="C1126" s="6" t="s">
        <v>10113</v>
      </c>
      <c r="D1126" s="13">
        <v>2223.3860426699998</v>
      </c>
      <c r="E1126" s="18">
        <v>21</v>
      </c>
      <c r="F1126" s="2">
        <f t="shared" si="34"/>
        <v>2690.2971116306999</v>
      </c>
      <c r="G1126" s="3">
        <v>0</v>
      </c>
      <c r="H1126" s="4">
        <v>0.7</v>
      </c>
      <c r="I1126" s="28">
        <f t="shared" si="35"/>
        <v>4573.5050897721894</v>
      </c>
    </row>
    <row r="1127" spans="1:9" ht="15.75" customHeight="1" x14ac:dyDescent="0.35">
      <c r="A1127" s="26" t="s">
        <v>3228</v>
      </c>
      <c r="B1127" s="25" t="s">
        <v>11469</v>
      </c>
      <c r="C1127" s="6" t="s">
        <v>11471</v>
      </c>
      <c r="D1127" s="13">
        <v>42075.524400000002</v>
      </c>
      <c r="E1127" s="18">
        <v>21</v>
      </c>
      <c r="F1127" s="2">
        <f t="shared" si="34"/>
        <v>50911.384524000001</v>
      </c>
      <c r="G1127" s="3">
        <v>0</v>
      </c>
      <c r="H1127" s="4">
        <v>0.7</v>
      </c>
      <c r="I1127" s="28">
        <f t="shared" si="35"/>
        <v>86549.353690799995</v>
      </c>
    </row>
    <row r="1128" spans="1:9" ht="15.75" customHeight="1" x14ac:dyDescent="0.35">
      <c r="A1128" s="26" t="s">
        <v>3230</v>
      </c>
      <c r="B1128" s="25" t="s">
        <v>9014</v>
      </c>
      <c r="C1128" s="6" t="s">
        <v>11472</v>
      </c>
      <c r="D1128" s="13">
        <v>63436.555</v>
      </c>
      <c r="E1128" s="18">
        <v>21</v>
      </c>
      <c r="F1128" s="2">
        <f t="shared" si="34"/>
        <v>76758.231549999997</v>
      </c>
      <c r="G1128" s="3">
        <v>0</v>
      </c>
      <c r="H1128" s="4">
        <v>0.7</v>
      </c>
      <c r="I1128" s="28">
        <f t="shared" si="35"/>
        <v>130488.99363499999</v>
      </c>
    </row>
    <row r="1129" spans="1:9" ht="15.75" customHeight="1" x14ac:dyDescent="0.35">
      <c r="A1129" s="26" t="s">
        <v>3234</v>
      </c>
      <c r="B1129" s="25" t="s">
        <v>10643</v>
      </c>
      <c r="C1129" s="6" t="s">
        <v>11473</v>
      </c>
      <c r="D1129" s="13">
        <v>14410.76</v>
      </c>
      <c r="E1129" s="18">
        <v>21</v>
      </c>
      <c r="F1129" s="2">
        <f t="shared" si="34"/>
        <v>17437.0196</v>
      </c>
      <c r="G1129" s="3">
        <v>0</v>
      </c>
      <c r="H1129" s="4">
        <v>0.7</v>
      </c>
      <c r="I1129" s="28">
        <f t="shared" si="35"/>
        <v>29642.93332</v>
      </c>
    </row>
    <row r="1130" spans="1:9" ht="15.75" customHeight="1" x14ac:dyDescent="0.35">
      <c r="A1130" s="26" t="s">
        <v>2600</v>
      </c>
      <c r="B1130" s="25" t="s">
        <v>9015</v>
      </c>
      <c r="C1130" s="6" t="s">
        <v>10235</v>
      </c>
      <c r="D1130" s="13">
        <v>838.74335500799998</v>
      </c>
      <c r="E1130" s="18">
        <v>21</v>
      </c>
      <c r="F1130" s="2">
        <f t="shared" si="34"/>
        <v>1014.87945955968</v>
      </c>
      <c r="G1130" s="3">
        <v>0</v>
      </c>
      <c r="H1130" s="4">
        <v>0.7</v>
      </c>
      <c r="I1130" s="28">
        <f t="shared" si="35"/>
        <v>1725.2950812514559</v>
      </c>
    </row>
    <row r="1131" spans="1:9" ht="15.75" customHeight="1" x14ac:dyDescent="0.35">
      <c r="A1131" s="26" t="s">
        <v>3187</v>
      </c>
      <c r="B1131" s="25" t="s">
        <v>10571</v>
      </c>
      <c r="C1131" s="6" t="s">
        <v>13326</v>
      </c>
      <c r="D1131" s="13">
        <v>41820.415000000001</v>
      </c>
      <c r="E1131" s="18">
        <v>21</v>
      </c>
      <c r="F1131" s="2">
        <f t="shared" si="34"/>
        <v>50602.702149999997</v>
      </c>
      <c r="G1131" s="3">
        <v>0</v>
      </c>
      <c r="H1131" s="4">
        <v>0.7</v>
      </c>
      <c r="I1131" s="28">
        <f t="shared" si="35"/>
        <v>86024.59365499999</v>
      </c>
    </row>
    <row r="1132" spans="1:9" ht="15.75" customHeight="1" x14ac:dyDescent="0.35">
      <c r="A1132" s="26" t="s">
        <v>3188</v>
      </c>
      <c r="B1132" s="25" t="s">
        <v>10644</v>
      </c>
      <c r="C1132" s="6" t="s">
        <v>13327</v>
      </c>
      <c r="D1132" s="13">
        <v>71245.629000000001</v>
      </c>
      <c r="E1132" s="18">
        <v>21</v>
      </c>
      <c r="F1132" s="2">
        <f t="shared" si="34"/>
        <v>86207.211089999997</v>
      </c>
      <c r="G1132" s="3">
        <v>0</v>
      </c>
      <c r="H1132" s="4">
        <v>0.7</v>
      </c>
      <c r="I1132" s="28">
        <f t="shared" si="35"/>
        <v>146552.25885299998</v>
      </c>
    </row>
    <row r="1133" spans="1:9" ht="15.75" customHeight="1" x14ac:dyDescent="0.35">
      <c r="A1133" s="26" t="s">
        <v>2601</v>
      </c>
      <c r="B1133" s="25" t="s">
        <v>11470</v>
      </c>
      <c r="C1133" s="6" t="s">
        <v>10865</v>
      </c>
      <c r="D1133" s="13">
        <v>2326.8433791563998</v>
      </c>
      <c r="E1133" s="18">
        <v>21</v>
      </c>
      <c r="F1133" s="2">
        <f t="shared" si="34"/>
        <v>2815.4804887792438</v>
      </c>
      <c r="G1133" s="3">
        <v>0</v>
      </c>
      <c r="H1133" s="4">
        <v>0.7</v>
      </c>
      <c r="I1133" s="28">
        <f t="shared" si="35"/>
        <v>4786.3168309247148</v>
      </c>
    </row>
    <row r="1134" spans="1:9" ht="15.75" customHeight="1" x14ac:dyDescent="0.35">
      <c r="A1134" s="26" t="s">
        <v>2602</v>
      </c>
      <c r="B1134" s="25" t="s">
        <v>10645</v>
      </c>
      <c r="C1134" s="6" t="s">
        <v>13210</v>
      </c>
      <c r="D1134" s="13">
        <v>2326.8433791563998</v>
      </c>
      <c r="E1134" s="18">
        <v>21</v>
      </c>
      <c r="F1134" s="2">
        <f t="shared" si="34"/>
        <v>2815.4804887792438</v>
      </c>
      <c r="G1134" s="3">
        <v>0</v>
      </c>
      <c r="H1134" s="4">
        <v>0.7</v>
      </c>
      <c r="I1134" s="28">
        <f t="shared" si="35"/>
        <v>4786.3168309247148</v>
      </c>
    </row>
    <row r="1135" spans="1:9" ht="15.75" customHeight="1" x14ac:dyDescent="0.35">
      <c r="A1135" s="26" t="s">
        <v>9681</v>
      </c>
      <c r="B1135" s="25" t="s">
        <v>10646</v>
      </c>
      <c r="C1135" s="6" t="s">
        <v>12013</v>
      </c>
      <c r="D1135" s="13">
        <v>49611.311680741201</v>
      </c>
      <c r="E1135" s="18">
        <v>21</v>
      </c>
      <c r="F1135" s="2">
        <f t="shared" si="34"/>
        <v>60029.687133696854</v>
      </c>
      <c r="G1135" s="3">
        <v>0</v>
      </c>
      <c r="H1135" s="4">
        <v>0.7</v>
      </c>
      <c r="I1135" s="28">
        <f t="shared" si="35"/>
        <v>102050.46812728465</v>
      </c>
    </row>
    <row r="1136" spans="1:9" ht="15.75" customHeight="1" x14ac:dyDescent="0.35">
      <c r="A1136" s="26" t="s">
        <v>9740</v>
      </c>
      <c r="B1136" s="25" t="s">
        <v>10647</v>
      </c>
      <c r="C1136" s="6" t="s">
        <v>12014</v>
      </c>
      <c r="D1136" s="13">
        <v>69945.090241291196</v>
      </c>
      <c r="E1136" s="18">
        <v>21</v>
      </c>
      <c r="F1136" s="2">
        <f t="shared" si="34"/>
        <v>84633.559191962355</v>
      </c>
      <c r="G1136" s="3">
        <v>0</v>
      </c>
      <c r="H1136" s="4">
        <v>0.7</v>
      </c>
      <c r="I1136" s="28">
        <f t="shared" si="35"/>
        <v>143877.05062633599</v>
      </c>
    </row>
    <row r="1137" spans="1:9" ht="15.75" customHeight="1" x14ac:dyDescent="0.35">
      <c r="A1137" s="26" t="s">
        <v>12188</v>
      </c>
      <c r="B1137" s="25" t="s">
        <v>11987</v>
      </c>
      <c r="C1137" s="6" t="s">
        <v>12189</v>
      </c>
      <c r="D1137" s="13">
        <v>69945.090241291196</v>
      </c>
      <c r="E1137" s="18">
        <v>21</v>
      </c>
      <c r="F1137" s="2">
        <f t="shared" si="34"/>
        <v>84633.559191962355</v>
      </c>
      <c r="G1137" s="3">
        <v>0</v>
      </c>
      <c r="H1137" s="4">
        <v>0.7</v>
      </c>
      <c r="I1137" s="28">
        <f t="shared" si="35"/>
        <v>143877.05062633599</v>
      </c>
    </row>
    <row r="1138" spans="1:9" ht="15.75" customHeight="1" x14ac:dyDescent="0.35">
      <c r="A1138" s="26" t="s">
        <v>9293</v>
      </c>
      <c r="B1138" s="25" t="s">
        <v>9016</v>
      </c>
      <c r="C1138" s="6" t="s">
        <v>12015</v>
      </c>
      <c r="D1138" s="13">
        <v>69945.090241291196</v>
      </c>
      <c r="E1138" s="18">
        <v>21</v>
      </c>
      <c r="F1138" s="2">
        <f t="shared" si="34"/>
        <v>84633.559191962355</v>
      </c>
      <c r="G1138" s="3">
        <v>0</v>
      </c>
      <c r="H1138" s="4">
        <v>0.7</v>
      </c>
      <c r="I1138" s="28">
        <f t="shared" si="35"/>
        <v>143877.05062633599</v>
      </c>
    </row>
    <row r="1139" spans="1:9" ht="15.75" customHeight="1" x14ac:dyDescent="0.35">
      <c r="A1139" s="26" t="s">
        <v>10586</v>
      </c>
      <c r="B1139" s="25" t="s">
        <v>13250</v>
      </c>
      <c r="C1139" s="6" t="s">
        <v>10587</v>
      </c>
      <c r="D1139" s="13">
        <v>1016.7946121735999</v>
      </c>
      <c r="E1139" s="18">
        <v>21</v>
      </c>
      <c r="F1139" s="2">
        <f t="shared" si="34"/>
        <v>1230.321480730056</v>
      </c>
      <c r="G1139" s="3">
        <v>0</v>
      </c>
      <c r="H1139" s="4">
        <v>0.7</v>
      </c>
      <c r="I1139" s="28">
        <f t="shared" si="35"/>
        <v>2091.546517241095</v>
      </c>
    </row>
    <row r="1140" spans="1:9" ht="15.75" customHeight="1" x14ac:dyDescent="0.35">
      <c r="A1140" s="26" t="s">
        <v>10588</v>
      </c>
      <c r="B1140" s="25" t="s">
        <v>10648</v>
      </c>
      <c r="C1140" s="6" t="s">
        <v>10589</v>
      </c>
      <c r="D1140" s="13">
        <v>1016.79142380681</v>
      </c>
      <c r="E1140" s="18">
        <v>21</v>
      </c>
      <c r="F1140" s="2">
        <f t="shared" si="34"/>
        <v>1230.31762280624</v>
      </c>
      <c r="G1140" s="3">
        <v>0</v>
      </c>
      <c r="H1140" s="4">
        <v>0.7</v>
      </c>
      <c r="I1140" s="28">
        <f t="shared" si="35"/>
        <v>2091.5399587706079</v>
      </c>
    </row>
    <row r="1141" spans="1:9" ht="15.75" customHeight="1" x14ac:dyDescent="0.35">
      <c r="A1141" s="26" t="s">
        <v>13612</v>
      </c>
      <c r="B1141" s="25" t="s">
        <v>12080</v>
      </c>
      <c r="C1141" s="6" t="s">
        <v>13613</v>
      </c>
      <c r="D1141" s="13">
        <v>1118.4741385981299</v>
      </c>
      <c r="E1141" s="18">
        <v>21</v>
      </c>
      <c r="F1141" s="2">
        <f t="shared" si="34"/>
        <v>1353.3537077037372</v>
      </c>
      <c r="G1141" s="3">
        <v>0</v>
      </c>
      <c r="H1141" s="4">
        <v>0.7</v>
      </c>
      <c r="I1141" s="28">
        <f t="shared" si="35"/>
        <v>2300.7013030963531</v>
      </c>
    </row>
    <row r="1142" spans="1:9" ht="15.75" customHeight="1" x14ac:dyDescent="0.35">
      <c r="A1142" s="26" t="s">
        <v>2321</v>
      </c>
      <c r="B1142" s="25" t="s">
        <v>12081</v>
      </c>
      <c r="C1142" s="6" t="s">
        <v>11655</v>
      </c>
      <c r="D1142" s="13">
        <v>17018.4074697</v>
      </c>
      <c r="E1142" s="18">
        <v>21</v>
      </c>
      <c r="F1142" s="2">
        <f t="shared" si="34"/>
        <v>20592.273038337</v>
      </c>
      <c r="G1142" s="3">
        <v>0</v>
      </c>
      <c r="H1142" s="4">
        <v>0.7</v>
      </c>
      <c r="I1142" s="28">
        <f t="shared" si="35"/>
        <v>35006.864165172898</v>
      </c>
    </row>
    <row r="1143" spans="1:9" ht="15.75" customHeight="1" x14ac:dyDescent="0.35">
      <c r="A1143" s="26" t="s">
        <v>2322</v>
      </c>
      <c r="B1143" s="25" t="s">
        <v>12983</v>
      </c>
      <c r="C1143" s="6" t="s">
        <v>11656</v>
      </c>
      <c r="D1143" s="13">
        <v>17018.4074697</v>
      </c>
      <c r="E1143" s="18">
        <v>21</v>
      </c>
      <c r="F1143" s="2">
        <f t="shared" si="34"/>
        <v>20592.273038337</v>
      </c>
      <c r="G1143" s="3">
        <v>0</v>
      </c>
      <c r="H1143" s="4">
        <v>0.7</v>
      </c>
      <c r="I1143" s="28">
        <f t="shared" si="35"/>
        <v>35006.864165172898</v>
      </c>
    </row>
    <row r="1144" spans="1:9" ht="15.75" customHeight="1" x14ac:dyDescent="0.35">
      <c r="A1144" s="26" t="s">
        <v>10114</v>
      </c>
      <c r="B1144" s="25" t="s">
        <v>11649</v>
      </c>
      <c r="C1144" s="6" t="s">
        <v>10115</v>
      </c>
      <c r="D1144" s="13">
        <v>17018.4074697</v>
      </c>
      <c r="E1144" s="18">
        <v>21</v>
      </c>
      <c r="F1144" s="2">
        <f t="shared" si="34"/>
        <v>20592.273038337</v>
      </c>
      <c r="G1144" s="3">
        <v>0</v>
      </c>
      <c r="H1144" s="4">
        <v>0.7</v>
      </c>
      <c r="I1144" s="28">
        <f t="shared" si="35"/>
        <v>35006.864165172898</v>
      </c>
    </row>
    <row r="1145" spans="1:9" ht="15.75" customHeight="1" x14ac:dyDescent="0.35">
      <c r="A1145" s="26" t="s">
        <v>13251</v>
      </c>
      <c r="B1145" s="25" t="s">
        <v>11650</v>
      </c>
      <c r="C1145" s="6" t="s">
        <v>13252</v>
      </c>
      <c r="D1145" s="13">
        <v>19943.092806975099</v>
      </c>
      <c r="E1145" s="18">
        <v>21</v>
      </c>
      <c r="F1145" s="2">
        <f t="shared" si="34"/>
        <v>24131.14229643987</v>
      </c>
      <c r="G1145" s="3">
        <v>0</v>
      </c>
      <c r="H1145" s="4">
        <v>0.7</v>
      </c>
      <c r="I1145" s="28">
        <f t="shared" si="35"/>
        <v>41022.94190394778</v>
      </c>
    </row>
    <row r="1146" spans="1:9" ht="15.75" customHeight="1" x14ac:dyDescent="0.35">
      <c r="A1146" s="26" t="s">
        <v>2650</v>
      </c>
      <c r="B1146" s="25" t="s">
        <v>11651</v>
      </c>
      <c r="C1146" s="6" t="s">
        <v>13253</v>
      </c>
      <c r="D1146" s="13">
        <v>19943.092806975099</v>
      </c>
      <c r="E1146" s="18">
        <v>21</v>
      </c>
      <c r="F1146" s="2">
        <f t="shared" si="34"/>
        <v>24131.14229643987</v>
      </c>
      <c r="G1146" s="3">
        <v>0</v>
      </c>
      <c r="H1146" s="4">
        <v>0.7</v>
      </c>
      <c r="I1146" s="28">
        <f t="shared" si="35"/>
        <v>41022.94190394778</v>
      </c>
    </row>
    <row r="1147" spans="1:9" ht="15.75" customHeight="1" x14ac:dyDescent="0.35">
      <c r="A1147" s="26" t="s">
        <v>3192</v>
      </c>
      <c r="B1147" s="25" t="s">
        <v>11652</v>
      </c>
      <c r="C1147" s="6" t="s">
        <v>10236</v>
      </c>
      <c r="D1147" s="13">
        <v>2222.4574082879999</v>
      </c>
      <c r="E1147" s="18">
        <v>21</v>
      </c>
      <c r="F1147" s="2">
        <f t="shared" si="34"/>
        <v>2689.1734640284799</v>
      </c>
      <c r="G1147" s="3">
        <v>0</v>
      </c>
      <c r="H1147" s="4">
        <v>0.7</v>
      </c>
      <c r="I1147" s="28">
        <f t="shared" si="35"/>
        <v>4571.5948888484154</v>
      </c>
    </row>
    <row r="1148" spans="1:9" ht="15.75" customHeight="1" x14ac:dyDescent="0.35">
      <c r="A1148" s="26" t="s">
        <v>12190</v>
      </c>
      <c r="B1148" s="25" t="s">
        <v>11653</v>
      </c>
      <c r="C1148" s="6" t="s">
        <v>12191</v>
      </c>
      <c r="D1148" s="13">
        <v>2462.6133913680001</v>
      </c>
      <c r="E1148" s="18">
        <v>21</v>
      </c>
      <c r="F1148" s="2">
        <f t="shared" si="34"/>
        <v>2979.7622035552799</v>
      </c>
      <c r="G1148" s="3">
        <v>0</v>
      </c>
      <c r="H1148" s="4">
        <v>0.7</v>
      </c>
      <c r="I1148" s="28">
        <f t="shared" si="35"/>
        <v>5065.5957460439759</v>
      </c>
    </row>
    <row r="1149" spans="1:9" ht="15.75" customHeight="1" x14ac:dyDescent="0.35">
      <c r="A1149" s="26" t="s">
        <v>3193</v>
      </c>
      <c r="B1149" s="25" t="s">
        <v>11654</v>
      </c>
      <c r="C1149" s="6" t="s">
        <v>10237</v>
      </c>
      <c r="D1149" s="13">
        <v>1991.6717464799999</v>
      </c>
      <c r="E1149" s="18">
        <v>21</v>
      </c>
      <c r="F1149" s="2">
        <f t="shared" si="34"/>
        <v>2409.9228132407998</v>
      </c>
      <c r="G1149" s="3">
        <v>0</v>
      </c>
      <c r="H1149" s="4">
        <v>0.7</v>
      </c>
      <c r="I1149" s="28">
        <f t="shared" si="35"/>
        <v>4096.8687825093593</v>
      </c>
    </row>
    <row r="1150" spans="1:9" ht="15.75" customHeight="1" x14ac:dyDescent="0.35">
      <c r="A1150" s="26" t="s">
        <v>3194</v>
      </c>
      <c r="B1150" s="25" t="s">
        <v>1085</v>
      </c>
      <c r="C1150" s="6" t="s">
        <v>10238</v>
      </c>
      <c r="D1150" s="13">
        <v>3822.45831864</v>
      </c>
      <c r="E1150" s="18">
        <v>21</v>
      </c>
      <c r="F1150" s="2">
        <f t="shared" si="34"/>
        <v>4625.1745655544</v>
      </c>
      <c r="G1150" s="3">
        <v>0</v>
      </c>
      <c r="H1150" s="4">
        <v>0.7</v>
      </c>
      <c r="I1150" s="28">
        <f t="shared" si="35"/>
        <v>7862.7967614424797</v>
      </c>
    </row>
    <row r="1151" spans="1:9" ht="15.75" customHeight="1" x14ac:dyDescent="0.35">
      <c r="A1151" s="26" t="s">
        <v>3195</v>
      </c>
      <c r="B1151" s="25" t="s">
        <v>1086</v>
      </c>
      <c r="C1151" s="6" t="s">
        <v>10239</v>
      </c>
      <c r="D1151" s="13">
        <v>6365.678346144</v>
      </c>
      <c r="E1151" s="18">
        <v>21</v>
      </c>
      <c r="F1151" s="2">
        <f t="shared" si="34"/>
        <v>7702.4707988342398</v>
      </c>
      <c r="G1151" s="3">
        <v>0</v>
      </c>
      <c r="H1151" s="4">
        <v>0.7</v>
      </c>
      <c r="I1151" s="28">
        <f t="shared" si="35"/>
        <v>13094.200358018208</v>
      </c>
    </row>
    <row r="1152" spans="1:9" ht="15.75" customHeight="1" x14ac:dyDescent="0.35">
      <c r="A1152" s="26" t="s">
        <v>3227</v>
      </c>
      <c r="B1152" s="25" t="s">
        <v>12781</v>
      </c>
      <c r="C1152" s="6" t="s">
        <v>11474</v>
      </c>
      <c r="D1152" s="13">
        <v>22729.116031050002</v>
      </c>
      <c r="E1152" s="18">
        <v>21</v>
      </c>
      <c r="F1152" s="2">
        <f t="shared" si="34"/>
        <v>27502.230397570504</v>
      </c>
      <c r="G1152" s="3">
        <v>0</v>
      </c>
      <c r="H1152" s="4">
        <v>0.7</v>
      </c>
      <c r="I1152" s="28">
        <f t="shared" si="35"/>
        <v>46753.791675869856</v>
      </c>
    </row>
    <row r="1153" spans="1:9" ht="15.75" customHeight="1" x14ac:dyDescent="0.35">
      <c r="A1153" s="26" t="s">
        <v>3197</v>
      </c>
      <c r="B1153" s="25" t="s">
        <v>1087</v>
      </c>
      <c r="C1153" s="6" t="s">
        <v>866</v>
      </c>
      <c r="D1153" s="13">
        <v>3100.0531402807201</v>
      </c>
      <c r="E1153" s="18">
        <v>21</v>
      </c>
      <c r="F1153" s="2">
        <f t="shared" si="34"/>
        <v>3751.0642997396712</v>
      </c>
      <c r="G1153" s="3">
        <v>0</v>
      </c>
      <c r="H1153" s="4">
        <v>0.7</v>
      </c>
      <c r="I1153" s="28">
        <f t="shared" si="35"/>
        <v>6376.8093095574413</v>
      </c>
    </row>
    <row r="1154" spans="1:9" ht="15.75" customHeight="1" x14ac:dyDescent="0.35">
      <c r="A1154" s="26" t="s">
        <v>3198</v>
      </c>
      <c r="B1154" s="25" t="s">
        <v>1088</v>
      </c>
      <c r="C1154" s="6" t="s">
        <v>160</v>
      </c>
      <c r="D1154" s="13">
        <v>3973.8760552951198</v>
      </c>
      <c r="E1154" s="18">
        <v>21</v>
      </c>
      <c r="F1154" s="2">
        <f t="shared" si="34"/>
        <v>4808.3900269070946</v>
      </c>
      <c r="G1154" s="3">
        <v>0</v>
      </c>
      <c r="H1154" s="4">
        <v>0.7</v>
      </c>
      <c r="I1154" s="28">
        <f t="shared" si="35"/>
        <v>8174.263045742061</v>
      </c>
    </row>
    <row r="1155" spans="1:9" ht="15.75" customHeight="1" x14ac:dyDescent="0.35">
      <c r="A1155" s="26" t="s">
        <v>3199</v>
      </c>
      <c r="B1155" s="25" t="s">
        <v>1089</v>
      </c>
      <c r="C1155" s="6" t="s">
        <v>161</v>
      </c>
      <c r="D1155" s="13">
        <v>11504.90821155</v>
      </c>
      <c r="E1155" s="18">
        <v>21</v>
      </c>
      <c r="F1155" s="2">
        <f t="shared" si="34"/>
        <v>13920.9389359755</v>
      </c>
      <c r="G1155" s="3">
        <v>0</v>
      </c>
      <c r="H1155" s="4">
        <v>0.7</v>
      </c>
      <c r="I1155" s="28">
        <f t="shared" si="35"/>
        <v>23665.596191158351</v>
      </c>
    </row>
    <row r="1156" spans="1:9" ht="15.75" customHeight="1" x14ac:dyDescent="0.35">
      <c r="A1156" s="26" t="s">
        <v>3232</v>
      </c>
      <c r="B1156" s="25" t="s">
        <v>9323</v>
      </c>
      <c r="C1156" s="6" t="s">
        <v>11475</v>
      </c>
      <c r="D1156" s="13">
        <v>10210.8289881</v>
      </c>
      <c r="E1156" s="18">
        <v>21</v>
      </c>
      <c r="F1156" s="2">
        <f t="shared" si="34"/>
        <v>12355.103075601</v>
      </c>
      <c r="G1156" s="3">
        <v>0</v>
      </c>
      <c r="H1156" s="4">
        <v>0.7</v>
      </c>
      <c r="I1156" s="28">
        <f t="shared" si="35"/>
        <v>21003.675228521701</v>
      </c>
    </row>
    <row r="1157" spans="1:9" ht="15.75" customHeight="1" x14ac:dyDescent="0.35">
      <c r="A1157" s="26" t="s">
        <v>3235</v>
      </c>
      <c r="B1157" s="25" t="s">
        <v>1090</v>
      </c>
      <c r="C1157" s="6" t="s">
        <v>11476</v>
      </c>
      <c r="D1157" s="13">
        <v>13555.685871</v>
      </c>
      <c r="E1157" s="18">
        <v>21</v>
      </c>
      <c r="F1157" s="2">
        <f t="shared" si="34"/>
        <v>16402.379903909998</v>
      </c>
      <c r="G1157" s="3">
        <v>0</v>
      </c>
      <c r="H1157" s="4">
        <v>0.7</v>
      </c>
      <c r="I1157" s="28">
        <f t="shared" si="35"/>
        <v>27884.045836646994</v>
      </c>
    </row>
    <row r="1158" spans="1:9" ht="15.75" customHeight="1" x14ac:dyDescent="0.35">
      <c r="A1158" s="26" t="s">
        <v>11530</v>
      </c>
      <c r="B1158" s="25" t="s">
        <v>1091</v>
      </c>
      <c r="C1158" s="6" t="s">
        <v>11623</v>
      </c>
      <c r="D1158" s="13">
        <v>12905.256000000001</v>
      </c>
      <c r="E1158" s="18">
        <v>21</v>
      </c>
      <c r="F1158" s="2">
        <f t="shared" ref="F1158:F1221" si="36">D1158*E1158/100+D1158</f>
        <v>15615.359760000001</v>
      </c>
      <c r="G1158" s="3">
        <v>0</v>
      </c>
      <c r="H1158" s="4">
        <v>0.7</v>
      </c>
      <c r="I1158" s="28">
        <f t="shared" ref="I1158:I1221" si="37">IF(G1158=-1,0,F1158*((100-G1158)/100)*(1+H1158))</f>
        <v>26546.111592000001</v>
      </c>
    </row>
    <row r="1159" spans="1:9" ht="15.75" customHeight="1" x14ac:dyDescent="0.35">
      <c r="A1159" s="26" t="s">
        <v>13699</v>
      </c>
      <c r="B1159" s="25" t="s">
        <v>1092</v>
      </c>
      <c r="C1159" s="6" t="s">
        <v>13700</v>
      </c>
      <c r="D1159" s="13">
        <v>12905.256000000001</v>
      </c>
      <c r="E1159" s="18">
        <v>21</v>
      </c>
      <c r="F1159" s="2">
        <f t="shared" si="36"/>
        <v>15615.359760000001</v>
      </c>
      <c r="G1159" s="3">
        <v>0</v>
      </c>
      <c r="H1159" s="4">
        <v>0.7</v>
      </c>
      <c r="I1159" s="28">
        <f t="shared" si="37"/>
        <v>26546.111592000001</v>
      </c>
    </row>
    <row r="1160" spans="1:9" ht="15.75" customHeight="1" x14ac:dyDescent="0.35">
      <c r="A1160" s="26" t="s">
        <v>11624</v>
      </c>
      <c r="B1160" s="25" t="s">
        <v>1093</v>
      </c>
      <c r="C1160" s="6" t="s">
        <v>11625</v>
      </c>
      <c r="D1160" s="13">
        <v>13934.704875000001</v>
      </c>
      <c r="E1160" s="18">
        <v>21</v>
      </c>
      <c r="F1160" s="2">
        <f t="shared" si="36"/>
        <v>16860.992898750002</v>
      </c>
      <c r="G1160" s="3">
        <v>0</v>
      </c>
      <c r="H1160" s="4">
        <v>0.7</v>
      </c>
      <c r="I1160" s="28">
        <f t="shared" si="37"/>
        <v>28663.687927875002</v>
      </c>
    </row>
    <row r="1161" spans="1:9" ht="15.75" customHeight="1" x14ac:dyDescent="0.35">
      <c r="A1161" s="26" t="s">
        <v>11626</v>
      </c>
      <c r="B1161" s="25" t="s">
        <v>9247</v>
      </c>
      <c r="C1161" s="6" t="s">
        <v>11627</v>
      </c>
      <c r="D1161" s="13">
        <v>18094.951875000002</v>
      </c>
      <c r="E1161" s="18">
        <v>21</v>
      </c>
      <c r="F1161" s="2">
        <f t="shared" si="36"/>
        <v>21894.891768750003</v>
      </c>
      <c r="G1161" s="3">
        <v>0</v>
      </c>
      <c r="H1161" s="4">
        <v>0.7</v>
      </c>
      <c r="I1161" s="28">
        <f t="shared" si="37"/>
        <v>37221.316006875008</v>
      </c>
    </row>
    <row r="1162" spans="1:9" ht="15.75" customHeight="1" x14ac:dyDescent="0.35">
      <c r="A1162" s="26" t="s">
        <v>2383</v>
      </c>
      <c r="B1162" s="25" t="s">
        <v>10002</v>
      </c>
      <c r="C1162" s="6" t="s">
        <v>163</v>
      </c>
      <c r="D1162" s="13">
        <v>63100.984939855203</v>
      </c>
      <c r="E1162" s="18">
        <v>21</v>
      </c>
      <c r="F1162" s="2">
        <f t="shared" si="36"/>
        <v>76352.191777224798</v>
      </c>
      <c r="G1162" s="3">
        <v>0</v>
      </c>
      <c r="H1162" s="4">
        <v>0.7</v>
      </c>
      <c r="I1162" s="28">
        <f t="shared" si="37"/>
        <v>129798.72602128216</v>
      </c>
    </row>
    <row r="1163" spans="1:9" ht="15.75" customHeight="1" x14ac:dyDescent="0.35">
      <c r="A1163" s="26" t="s">
        <v>3327</v>
      </c>
      <c r="B1163" s="25" t="s">
        <v>9248</v>
      </c>
      <c r="C1163" s="6" t="s">
        <v>1231</v>
      </c>
      <c r="D1163" s="13">
        <v>12133.8</v>
      </c>
      <c r="E1163" s="18">
        <v>21</v>
      </c>
      <c r="F1163" s="2">
        <f t="shared" si="36"/>
        <v>14681.897999999999</v>
      </c>
      <c r="G1163" s="3">
        <v>0</v>
      </c>
      <c r="H1163" s="4">
        <v>0.7</v>
      </c>
      <c r="I1163" s="28">
        <f t="shared" si="37"/>
        <v>24959.226599999998</v>
      </c>
    </row>
    <row r="1164" spans="1:9" ht="15.75" customHeight="1" x14ac:dyDescent="0.35">
      <c r="A1164" s="26" t="s">
        <v>1366</v>
      </c>
      <c r="B1164" s="25" t="s">
        <v>10003</v>
      </c>
      <c r="C1164" s="6" t="s">
        <v>10157</v>
      </c>
      <c r="D1164" s="13">
        <v>60079.194279000003</v>
      </c>
      <c r="E1164" s="18">
        <v>21</v>
      </c>
      <c r="F1164" s="2">
        <f t="shared" si="36"/>
        <v>72695.825077590009</v>
      </c>
      <c r="G1164" s="3">
        <v>0</v>
      </c>
      <c r="H1164" s="4">
        <v>0.7</v>
      </c>
      <c r="I1164" s="28">
        <f t="shared" si="37"/>
        <v>123582.90263190301</v>
      </c>
    </row>
    <row r="1165" spans="1:9" ht="15.75" customHeight="1" x14ac:dyDescent="0.35">
      <c r="A1165" s="26" t="s">
        <v>1406</v>
      </c>
      <c r="B1165" s="25" t="s">
        <v>9249</v>
      </c>
      <c r="C1165" s="6" t="s">
        <v>8779</v>
      </c>
      <c r="D1165" s="13">
        <v>44908.526110500003</v>
      </c>
      <c r="E1165" s="18">
        <v>21</v>
      </c>
      <c r="F1165" s="2">
        <f t="shared" si="36"/>
        <v>54339.316593705007</v>
      </c>
      <c r="G1165" s="3">
        <v>0</v>
      </c>
      <c r="H1165" s="4">
        <v>0.7</v>
      </c>
      <c r="I1165" s="28">
        <f t="shared" si="37"/>
        <v>92376.838209298512</v>
      </c>
    </row>
    <row r="1166" spans="1:9" ht="15.75" customHeight="1" x14ac:dyDescent="0.35">
      <c r="A1166" s="26" t="s">
        <v>1407</v>
      </c>
      <c r="B1166" s="25" t="s">
        <v>9250</v>
      </c>
      <c r="C1166" s="6" t="s">
        <v>164</v>
      </c>
      <c r="D1166" s="13">
        <v>21150.728092000001</v>
      </c>
      <c r="E1166" s="18">
        <v>21</v>
      </c>
      <c r="F1166" s="2">
        <f t="shared" si="36"/>
        <v>25592.380991320002</v>
      </c>
      <c r="G1166" s="3">
        <v>0</v>
      </c>
      <c r="H1166" s="4">
        <v>0.7</v>
      </c>
      <c r="I1166" s="28">
        <f t="shared" si="37"/>
        <v>43507.047685244004</v>
      </c>
    </row>
    <row r="1167" spans="1:9" ht="15.75" customHeight="1" x14ac:dyDescent="0.35">
      <c r="A1167" s="26" t="s">
        <v>1408</v>
      </c>
      <c r="B1167" s="25" t="s">
        <v>149</v>
      </c>
      <c r="C1167" s="6" t="s">
        <v>165</v>
      </c>
      <c r="D1167" s="13">
        <v>20106.429278</v>
      </c>
      <c r="E1167" s="18">
        <v>21</v>
      </c>
      <c r="F1167" s="2">
        <f t="shared" si="36"/>
        <v>24328.779426379999</v>
      </c>
      <c r="G1167" s="3">
        <v>0</v>
      </c>
      <c r="H1167" s="4">
        <v>0.7</v>
      </c>
      <c r="I1167" s="28">
        <f t="shared" si="37"/>
        <v>41358.925024845994</v>
      </c>
    </row>
    <row r="1168" spans="1:9" ht="15.75" customHeight="1" x14ac:dyDescent="0.35">
      <c r="A1168" s="26" t="s">
        <v>9427</v>
      </c>
      <c r="B1168" s="25" t="s">
        <v>9251</v>
      </c>
      <c r="C1168" s="6" t="s">
        <v>9428</v>
      </c>
      <c r="D1168" s="13">
        <v>20865</v>
      </c>
      <c r="E1168" s="18">
        <v>21</v>
      </c>
      <c r="F1168" s="2">
        <f t="shared" si="36"/>
        <v>25246.65</v>
      </c>
      <c r="G1168" s="3">
        <v>0</v>
      </c>
      <c r="H1168" s="4">
        <v>0.7</v>
      </c>
      <c r="I1168" s="28">
        <f t="shared" si="37"/>
        <v>42919.305</v>
      </c>
    </row>
    <row r="1169" spans="1:9" ht="15.75" customHeight="1" x14ac:dyDescent="0.35">
      <c r="A1169" s="26" t="s">
        <v>9429</v>
      </c>
      <c r="B1169" s="25" t="s">
        <v>13087</v>
      </c>
      <c r="C1169" s="6" t="s">
        <v>9430</v>
      </c>
      <c r="D1169" s="13">
        <v>20865</v>
      </c>
      <c r="E1169" s="18">
        <v>21</v>
      </c>
      <c r="F1169" s="2">
        <f t="shared" si="36"/>
        <v>25246.65</v>
      </c>
      <c r="G1169" s="3">
        <v>0</v>
      </c>
      <c r="H1169" s="4">
        <v>0.7</v>
      </c>
      <c r="I1169" s="28">
        <f t="shared" si="37"/>
        <v>42919.305</v>
      </c>
    </row>
    <row r="1170" spans="1:9" ht="15.75" customHeight="1" x14ac:dyDescent="0.35">
      <c r="A1170" s="26" t="s">
        <v>9431</v>
      </c>
      <c r="B1170" s="25" t="s">
        <v>9252</v>
      </c>
      <c r="C1170" s="6" t="s">
        <v>9432</v>
      </c>
      <c r="D1170" s="13">
        <v>20865</v>
      </c>
      <c r="E1170" s="18">
        <v>21</v>
      </c>
      <c r="F1170" s="2">
        <f t="shared" si="36"/>
        <v>25246.65</v>
      </c>
      <c r="G1170" s="3">
        <v>0</v>
      </c>
      <c r="H1170" s="4">
        <v>0.7</v>
      </c>
      <c r="I1170" s="28">
        <f t="shared" si="37"/>
        <v>42919.305</v>
      </c>
    </row>
    <row r="1171" spans="1:9" ht="15.75" customHeight="1" x14ac:dyDescent="0.35">
      <c r="A1171" s="26" t="s">
        <v>13572</v>
      </c>
      <c r="B1171" s="25" t="s">
        <v>150</v>
      </c>
      <c r="C1171" s="6" t="s">
        <v>13573</v>
      </c>
      <c r="D1171" s="13">
        <v>3229.35459191887</v>
      </c>
      <c r="E1171" s="18">
        <v>21</v>
      </c>
      <c r="F1171" s="2">
        <f t="shared" si="36"/>
        <v>3907.5190562218327</v>
      </c>
      <c r="G1171" s="3">
        <v>0</v>
      </c>
      <c r="H1171" s="4">
        <v>0.7</v>
      </c>
      <c r="I1171" s="28">
        <f t="shared" si="37"/>
        <v>6642.7823955771155</v>
      </c>
    </row>
    <row r="1172" spans="1:9" ht="15.75" customHeight="1" x14ac:dyDescent="0.35">
      <c r="A1172" s="26" t="s">
        <v>13368</v>
      </c>
      <c r="B1172" s="25" t="s">
        <v>151</v>
      </c>
      <c r="C1172" s="6" t="s">
        <v>13881</v>
      </c>
      <c r="D1172" s="13">
        <v>1094.69017796158</v>
      </c>
      <c r="E1172" s="18">
        <v>21</v>
      </c>
      <c r="F1172" s="2">
        <f t="shared" si="36"/>
        <v>1324.5751153335118</v>
      </c>
      <c r="G1172" s="3">
        <v>0</v>
      </c>
      <c r="H1172" s="4">
        <v>0.7</v>
      </c>
      <c r="I1172" s="28">
        <f t="shared" si="37"/>
        <v>2251.7776960669698</v>
      </c>
    </row>
    <row r="1173" spans="1:9" ht="15.75" customHeight="1" x14ac:dyDescent="0.35">
      <c r="A1173" s="26" t="s">
        <v>2766</v>
      </c>
      <c r="B1173" s="25" t="s">
        <v>10099</v>
      </c>
      <c r="C1173" s="6" t="s">
        <v>9475</v>
      </c>
      <c r="D1173" s="13">
        <v>508.27925191679998</v>
      </c>
      <c r="E1173" s="18">
        <v>21</v>
      </c>
      <c r="F1173" s="2">
        <f t="shared" si="36"/>
        <v>615.01789481932792</v>
      </c>
      <c r="G1173" s="3">
        <v>0</v>
      </c>
      <c r="H1173" s="4">
        <v>0.7</v>
      </c>
      <c r="I1173" s="28">
        <f t="shared" si="37"/>
        <v>1045.5304211928574</v>
      </c>
    </row>
    <row r="1174" spans="1:9" ht="15.75" customHeight="1" x14ac:dyDescent="0.35">
      <c r="A1174" s="26" t="s">
        <v>12816</v>
      </c>
      <c r="B1174" s="25" t="s">
        <v>10100</v>
      </c>
      <c r="C1174" s="6" t="s">
        <v>12817</v>
      </c>
      <c r="D1174" s="13">
        <v>397.74224441249999</v>
      </c>
      <c r="E1174" s="18">
        <v>21</v>
      </c>
      <c r="F1174" s="2">
        <f t="shared" si="36"/>
        <v>481.26811573912499</v>
      </c>
      <c r="G1174" s="3">
        <v>0</v>
      </c>
      <c r="H1174" s="4">
        <v>0.7</v>
      </c>
      <c r="I1174" s="28">
        <f t="shared" si="37"/>
        <v>818.15579675651247</v>
      </c>
    </row>
    <row r="1175" spans="1:9" ht="15.75" customHeight="1" x14ac:dyDescent="0.35">
      <c r="A1175" s="26" t="s">
        <v>2760</v>
      </c>
      <c r="B1175" s="25" t="s">
        <v>10052</v>
      </c>
      <c r="C1175" s="6" t="s">
        <v>10802</v>
      </c>
      <c r="D1175" s="13">
        <v>507.645111924405</v>
      </c>
      <c r="E1175" s="18">
        <v>21</v>
      </c>
      <c r="F1175" s="2">
        <f t="shared" si="36"/>
        <v>614.25058542853003</v>
      </c>
      <c r="G1175" s="3">
        <v>0</v>
      </c>
      <c r="H1175" s="4">
        <v>0.7</v>
      </c>
      <c r="I1175" s="28">
        <f t="shared" si="37"/>
        <v>1044.225995228501</v>
      </c>
    </row>
    <row r="1176" spans="1:9" ht="15.75" customHeight="1" x14ac:dyDescent="0.35">
      <c r="A1176" s="26" t="s">
        <v>2754</v>
      </c>
      <c r="B1176" s="25" t="s">
        <v>10101</v>
      </c>
      <c r="C1176" s="6" t="s">
        <v>9476</v>
      </c>
      <c r="D1176" s="13">
        <v>840.9464586432</v>
      </c>
      <c r="E1176" s="18">
        <v>21</v>
      </c>
      <c r="F1176" s="2">
        <f t="shared" si="36"/>
        <v>1017.545214958272</v>
      </c>
      <c r="G1176" s="3">
        <v>0</v>
      </c>
      <c r="H1176" s="4">
        <v>0.7</v>
      </c>
      <c r="I1176" s="28">
        <f t="shared" si="37"/>
        <v>1729.8268654290623</v>
      </c>
    </row>
    <row r="1177" spans="1:9" ht="15.75" customHeight="1" x14ac:dyDescent="0.35">
      <c r="A1177" s="26" t="s">
        <v>10791</v>
      </c>
      <c r="B1177" s="25" t="s">
        <v>152</v>
      </c>
      <c r="C1177" s="6" t="s">
        <v>10792</v>
      </c>
      <c r="D1177" s="13">
        <v>2222.3619484092001</v>
      </c>
      <c r="E1177" s="18">
        <v>21</v>
      </c>
      <c r="F1177" s="2">
        <f t="shared" si="36"/>
        <v>2689.0579575751321</v>
      </c>
      <c r="G1177" s="3">
        <v>0</v>
      </c>
      <c r="H1177" s="4">
        <v>0.7</v>
      </c>
      <c r="I1177" s="28">
        <f t="shared" si="37"/>
        <v>4571.3985278777245</v>
      </c>
    </row>
    <row r="1178" spans="1:9" ht="15.75" customHeight="1" x14ac:dyDescent="0.35">
      <c r="A1178" s="26" t="s">
        <v>13728</v>
      </c>
      <c r="B1178" s="25" t="s">
        <v>153</v>
      </c>
      <c r="C1178" s="6" t="s">
        <v>13729</v>
      </c>
      <c r="D1178" s="13">
        <v>743.90798401919994</v>
      </c>
      <c r="E1178" s="18">
        <v>21</v>
      </c>
      <c r="F1178" s="2">
        <f t="shared" si="36"/>
        <v>900.12866066323193</v>
      </c>
      <c r="G1178" s="3">
        <v>0</v>
      </c>
      <c r="H1178" s="4">
        <v>0.7</v>
      </c>
      <c r="I1178" s="28">
        <f t="shared" si="37"/>
        <v>1530.2187231274943</v>
      </c>
    </row>
    <row r="1179" spans="1:9" ht="15.75" customHeight="1" x14ac:dyDescent="0.35">
      <c r="A1179" s="26" t="s">
        <v>2767</v>
      </c>
      <c r="B1179" s="25" t="s">
        <v>154</v>
      </c>
      <c r="C1179" s="6" t="s">
        <v>9477</v>
      </c>
      <c r="D1179" s="13">
        <v>612.60136086240004</v>
      </c>
      <c r="E1179" s="18">
        <v>21</v>
      </c>
      <c r="F1179" s="2">
        <f t="shared" si="36"/>
        <v>741.24764664350403</v>
      </c>
      <c r="G1179" s="3">
        <v>0</v>
      </c>
      <c r="H1179" s="4">
        <v>0.7</v>
      </c>
      <c r="I1179" s="28">
        <f t="shared" si="37"/>
        <v>1260.1209992939569</v>
      </c>
    </row>
    <row r="1180" spans="1:9" ht="15.75" customHeight="1" x14ac:dyDescent="0.35">
      <c r="A1180" s="26" t="s">
        <v>12818</v>
      </c>
      <c r="B1180" s="25" t="s">
        <v>10102</v>
      </c>
      <c r="C1180" s="6" t="s">
        <v>12819</v>
      </c>
      <c r="D1180" s="13">
        <v>478.16007524999998</v>
      </c>
      <c r="E1180" s="18">
        <v>21</v>
      </c>
      <c r="F1180" s="2">
        <f t="shared" si="36"/>
        <v>578.57369105249995</v>
      </c>
      <c r="G1180" s="3">
        <v>0</v>
      </c>
      <c r="H1180" s="4">
        <v>0.7</v>
      </c>
      <c r="I1180" s="28">
        <f t="shared" si="37"/>
        <v>983.57527478924987</v>
      </c>
    </row>
    <row r="1181" spans="1:9" ht="15.75" customHeight="1" x14ac:dyDescent="0.35">
      <c r="A1181" s="26" t="s">
        <v>2761</v>
      </c>
      <c r="B1181" s="25" t="s">
        <v>155</v>
      </c>
      <c r="C1181" s="6" t="s">
        <v>10803</v>
      </c>
      <c r="D1181" s="13">
        <v>610.66073677810505</v>
      </c>
      <c r="E1181" s="18">
        <v>21</v>
      </c>
      <c r="F1181" s="2">
        <f t="shared" si="36"/>
        <v>738.8994915015071</v>
      </c>
      <c r="G1181" s="3">
        <v>0</v>
      </c>
      <c r="H1181" s="4">
        <v>0.7</v>
      </c>
      <c r="I1181" s="28">
        <f t="shared" si="37"/>
        <v>1256.129135552562</v>
      </c>
    </row>
    <row r="1182" spans="1:9" ht="15.75" customHeight="1" x14ac:dyDescent="0.35">
      <c r="A1182" s="26" t="s">
        <v>12240</v>
      </c>
      <c r="B1182" s="25" t="s">
        <v>9253</v>
      </c>
      <c r="C1182" s="6" t="s">
        <v>12241</v>
      </c>
      <c r="D1182" s="13">
        <v>534.07952881920005</v>
      </c>
      <c r="E1182" s="18">
        <v>21</v>
      </c>
      <c r="F1182" s="2">
        <f t="shared" si="36"/>
        <v>646.23622987123201</v>
      </c>
      <c r="G1182" s="3">
        <v>0</v>
      </c>
      <c r="H1182" s="4">
        <v>0.7</v>
      </c>
      <c r="I1182" s="28">
        <f t="shared" si="37"/>
        <v>1098.6015907810945</v>
      </c>
    </row>
    <row r="1183" spans="1:9" ht="15.75" customHeight="1" x14ac:dyDescent="0.35">
      <c r="A1183" s="26" t="s">
        <v>13535</v>
      </c>
      <c r="B1183" s="25" t="s">
        <v>10103</v>
      </c>
      <c r="C1183" s="6" t="s">
        <v>13536</v>
      </c>
      <c r="D1183" s="13">
        <v>673.86552105600003</v>
      </c>
      <c r="E1183" s="18">
        <v>21</v>
      </c>
      <c r="F1183" s="2">
        <f t="shared" si="36"/>
        <v>815.37728047776</v>
      </c>
      <c r="G1183" s="3">
        <v>0</v>
      </c>
      <c r="H1183" s="4">
        <v>0.7</v>
      </c>
      <c r="I1183" s="28">
        <f t="shared" si="37"/>
        <v>1386.141376812192</v>
      </c>
    </row>
    <row r="1184" spans="1:9" ht="15.75" customHeight="1" x14ac:dyDescent="0.35">
      <c r="A1184" s="26" t="s">
        <v>2748</v>
      </c>
      <c r="B1184" s="25" t="s">
        <v>9254</v>
      </c>
      <c r="C1184" s="6" t="s">
        <v>10804</v>
      </c>
      <c r="D1184" s="13">
        <v>891.80386864627496</v>
      </c>
      <c r="E1184" s="18">
        <v>21</v>
      </c>
      <c r="F1184" s="2">
        <f t="shared" si="36"/>
        <v>1079.0826810619926</v>
      </c>
      <c r="G1184" s="3">
        <v>0</v>
      </c>
      <c r="H1184" s="4">
        <v>0.7</v>
      </c>
      <c r="I1184" s="28">
        <f t="shared" si="37"/>
        <v>1834.4405578053875</v>
      </c>
    </row>
    <row r="1185" spans="1:9" ht="15.75" customHeight="1" x14ac:dyDescent="0.35">
      <c r="A1185" s="26" t="s">
        <v>2755</v>
      </c>
      <c r="B1185" s="25" t="s">
        <v>9255</v>
      </c>
      <c r="C1185" s="6" t="s">
        <v>9478</v>
      </c>
      <c r="D1185" s="13">
        <v>975.67357305600001</v>
      </c>
      <c r="E1185" s="18">
        <v>21</v>
      </c>
      <c r="F1185" s="2">
        <f t="shared" si="36"/>
        <v>1180.5650233977599</v>
      </c>
      <c r="G1185" s="3">
        <v>0</v>
      </c>
      <c r="H1185" s="4">
        <v>0.7</v>
      </c>
      <c r="I1185" s="28">
        <f t="shared" si="37"/>
        <v>2006.9605397761918</v>
      </c>
    </row>
    <row r="1186" spans="1:9" ht="15.75" customHeight="1" x14ac:dyDescent="0.35">
      <c r="A1186" s="26" t="s">
        <v>10020</v>
      </c>
      <c r="B1186" s="25" t="s">
        <v>10104</v>
      </c>
      <c r="C1186" s="6" t="s">
        <v>10021</v>
      </c>
      <c r="D1186" s="13">
        <v>2631.8150776008001</v>
      </c>
      <c r="E1186" s="18">
        <v>21</v>
      </c>
      <c r="F1186" s="2">
        <f t="shared" si="36"/>
        <v>3184.4962438969683</v>
      </c>
      <c r="G1186" s="3">
        <v>0</v>
      </c>
      <c r="H1186" s="4">
        <v>0.7</v>
      </c>
      <c r="I1186" s="28">
        <f t="shared" si="37"/>
        <v>5413.6436146248461</v>
      </c>
    </row>
    <row r="1187" spans="1:9" ht="15.75" customHeight="1" x14ac:dyDescent="0.35">
      <c r="A1187" s="26" t="s">
        <v>2768</v>
      </c>
      <c r="B1187" s="25" t="s">
        <v>9256</v>
      </c>
      <c r="C1187" s="6" t="s">
        <v>9479</v>
      </c>
      <c r="D1187" s="13">
        <v>824.57409041280005</v>
      </c>
      <c r="E1187" s="18">
        <v>21</v>
      </c>
      <c r="F1187" s="2">
        <f t="shared" si="36"/>
        <v>997.73464939948803</v>
      </c>
      <c r="G1187" s="3">
        <v>0</v>
      </c>
      <c r="H1187" s="4">
        <v>0.7</v>
      </c>
      <c r="I1187" s="28">
        <f t="shared" si="37"/>
        <v>1696.1489039791297</v>
      </c>
    </row>
    <row r="1188" spans="1:9" ht="15.75" customHeight="1" x14ac:dyDescent="0.35">
      <c r="A1188" s="26" t="s">
        <v>2762</v>
      </c>
      <c r="B1188" s="25" t="s">
        <v>10105</v>
      </c>
      <c r="C1188" s="6" t="s">
        <v>10979</v>
      </c>
      <c r="D1188" s="13">
        <v>821.067313514175</v>
      </c>
      <c r="E1188" s="18">
        <v>21</v>
      </c>
      <c r="F1188" s="2">
        <f t="shared" si="36"/>
        <v>993.49144935215179</v>
      </c>
      <c r="G1188" s="3">
        <v>0</v>
      </c>
      <c r="H1188" s="4">
        <v>0.7</v>
      </c>
      <c r="I1188" s="28">
        <f t="shared" si="37"/>
        <v>1688.9354638986581</v>
      </c>
    </row>
    <row r="1189" spans="1:9" ht="15.75" customHeight="1" x14ac:dyDescent="0.35">
      <c r="A1189" s="26" t="s">
        <v>2749</v>
      </c>
      <c r="B1189" s="25" t="s">
        <v>156</v>
      </c>
      <c r="C1189" s="6" t="s">
        <v>10805</v>
      </c>
      <c r="D1189" s="13">
        <v>1034.4874440250401</v>
      </c>
      <c r="E1189" s="18">
        <v>21</v>
      </c>
      <c r="F1189" s="2">
        <f t="shared" si="36"/>
        <v>1251.7298072702986</v>
      </c>
      <c r="G1189" s="3">
        <v>0</v>
      </c>
      <c r="H1189" s="4">
        <v>0.7</v>
      </c>
      <c r="I1189" s="28">
        <f t="shared" si="37"/>
        <v>2127.9406723595075</v>
      </c>
    </row>
    <row r="1190" spans="1:9" ht="15.75" customHeight="1" x14ac:dyDescent="0.35">
      <c r="A1190" s="26" t="s">
        <v>2756</v>
      </c>
      <c r="B1190" s="25" t="s">
        <v>9257</v>
      </c>
      <c r="C1190" s="6" t="s">
        <v>9480</v>
      </c>
      <c r="D1190" s="13">
        <v>1018.3636034208</v>
      </c>
      <c r="E1190" s="18">
        <v>21</v>
      </c>
      <c r="F1190" s="2">
        <f t="shared" si="36"/>
        <v>1232.2199601391681</v>
      </c>
      <c r="G1190" s="3">
        <v>0</v>
      </c>
      <c r="H1190" s="4">
        <v>0.7</v>
      </c>
      <c r="I1190" s="28">
        <f t="shared" si="37"/>
        <v>2094.7739322365856</v>
      </c>
    </row>
    <row r="1191" spans="1:9" ht="15.75" customHeight="1" x14ac:dyDescent="0.35">
      <c r="A1191" s="26" t="s">
        <v>10022</v>
      </c>
      <c r="B1191" s="25" t="s">
        <v>9258</v>
      </c>
      <c r="C1191" s="6" t="s">
        <v>10023</v>
      </c>
      <c r="D1191" s="13">
        <v>2862.8197818479998</v>
      </c>
      <c r="E1191" s="18">
        <v>21</v>
      </c>
      <c r="F1191" s="2">
        <f t="shared" si="36"/>
        <v>3464.0119360360795</v>
      </c>
      <c r="G1191" s="3">
        <v>0</v>
      </c>
      <c r="H1191" s="4">
        <v>0.7</v>
      </c>
      <c r="I1191" s="28">
        <f t="shared" si="37"/>
        <v>5888.8202912613351</v>
      </c>
    </row>
    <row r="1192" spans="1:9" ht="15.75" customHeight="1" x14ac:dyDescent="0.35">
      <c r="A1192" s="26" t="s">
        <v>2769</v>
      </c>
      <c r="B1192" s="25" t="s">
        <v>9259</v>
      </c>
      <c r="C1192" s="6" t="s">
        <v>9481</v>
      </c>
      <c r="D1192" s="13">
        <v>865.26356454719996</v>
      </c>
      <c r="E1192" s="18">
        <v>21</v>
      </c>
      <c r="F1192" s="2">
        <f t="shared" si="36"/>
        <v>1046.9689131021119</v>
      </c>
      <c r="G1192" s="3">
        <v>0</v>
      </c>
      <c r="H1192" s="4">
        <v>0.7</v>
      </c>
      <c r="I1192" s="28">
        <f t="shared" si="37"/>
        <v>1779.8471522735902</v>
      </c>
    </row>
    <row r="1193" spans="1:9" ht="15.75" customHeight="1" x14ac:dyDescent="0.35">
      <c r="A1193" s="26" t="s">
        <v>2750</v>
      </c>
      <c r="B1193" s="25" t="s">
        <v>10004</v>
      </c>
      <c r="C1193" s="6" t="s">
        <v>10807</v>
      </c>
      <c r="D1193" s="13">
        <v>1079.6907506468999</v>
      </c>
      <c r="E1193" s="18">
        <v>21</v>
      </c>
      <c r="F1193" s="2">
        <f t="shared" si="36"/>
        <v>1306.4258082827489</v>
      </c>
      <c r="G1193" s="3">
        <v>0</v>
      </c>
      <c r="H1193" s="4">
        <v>0.7</v>
      </c>
      <c r="I1193" s="28">
        <f t="shared" si="37"/>
        <v>2220.9238740806732</v>
      </c>
    </row>
    <row r="1194" spans="1:9" ht="15.75" customHeight="1" x14ac:dyDescent="0.35">
      <c r="A1194" s="26" t="s">
        <v>2764</v>
      </c>
      <c r="B1194" s="25" t="s">
        <v>157</v>
      </c>
      <c r="C1194" s="6" t="s">
        <v>9482</v>
      </c>
      <c r="D1194" s="13">
        <v>1273.4408230461399</v>
      </c>
      <c r="E1194" s="18">
        <v>21</v>
      </c>
      <c r="F1194" s="2">
        <f t="shared" si="36"/>
        <v>1540.8633958858293</v>
      </c>
      <c r="G1194" s="3">
        <v>0</v>
      </c>
      <c r="H1194" s="4">
        <v>0.7</v>
      </c>
      <c r="I1194" s="28">
        <f t="shared" si="37"/>
        <v>2619.4677730059097</v>
      </c>
    </row>
    <row r="1195" spans="1:9" ht="15.75" customHeight="1" x14ac:dyDescent="0.35">
      <c r="A1195" s="26" t="s">
        <v>2757</v>
      </c>
      <c r="B1195" s="25" t="s">
        <v>158</v>
      </c>
      <c r="C1195" s="6" t="s">
        <v>9483</v>
      </c>
      <c r="D1195" s="13">
        <v>1508.5918594656</v>
      </c>
      <c r="E1195" s="18">
        <v>21</v>
      </c>
      <c r="F1195" s="2">
        <f t="shared" si="36"/>
        <v>1825.3961499533762</v>
      </c>
      <c r="G1195" s="3">
        <v>0</v>
      </c>
      <c r="H1195" s="4">
        <v>0.7</v>
      </c>
      <c r="I1195" s="28">
        <f t="shared" si="37"/>
        <v>3103.1734549207395</v>
      </c>
    </row>
    <row r="1196" spans="1:9" ht="15.75" customHeight="1" x14ac:dyDescent="0.35">
      <c r="A1196" s="26" t="s">
        <v>12820</v>
      </c>
      <c r="B1196" s="25" t="s">
        <v>9288</v>
      </c>
      <c r="C1196" s="6" t="s">
        <v>12821</v>
      </c>
      <c r="D1196" s="13">
        <v>4495.0533665076</v>
      </c>
      <c r="E1196" s="18">
        <v>21</v>
      </c>
      <c r="F1196" s="2">
        <f t="shared" si="36"/>
        <v>5439.0145734741964</v>
      </c>
      <c r="G1196" s="3">
        <v>0</v>
      </c>
      <c r="H1196" s="4">
        <v>0.7</v>
      </c>
      <c r="I1196" s="28">
        <f t="shared" si="37"/>
        <v>9246.3247749061338</v>
      </c>
    </row>
    <row r="1197" spans="1:9" ht="15.75" customHeight="1" x14ac:dyDescent="0.35">
      <c r="A1197" s="26" t="s">
        <v>2770</v>
      </c>
      <c r="B1197" s="25" t="s">
        <v>159</v>
      </c>
      <c r="C1197" s="6" t="s">
        <v>9484</v>
      </c>
      <c r="D1197" s="13">
        <v>1279.2982220928</v>
      </c>
      <c r="E1197" s="18">
        <v>21</v>
      </c>
      <c r="F1197" s="2">
        <f t="shared" si="36"/>
        <v>1547.950848732288</v>
      </c>
      <c r="G1197" s="3">
        <v>0</v>
      </c>
      <c r="H1197" s="4">
        <v>0.7</v>
      </c>
      <c r="I1197" s="28">
        <f t="shared" si="37"/>
        <v>2631.5164428448898</v>
      </c>
    </row>
    <row r="1198" spans="1:9" ht="15.75" customHeight="1" x14ac:dyDescent="0.35">
      <c r="A1198" s="26" t="s">
        <v>2751</v>
      </c>
      <c r="B1198" s="25" t="s">
        <v>9289</v>
      </c>
      <c r="C1198" s="6" t="s">
        <v>10980</v>
      </c>
      <c r="D1198" s="13">
        <v>1599.04332985116</v>
      </c>
      <c r="E1198" s="18">
        <v>21</v>
      </c>
      <c r="F1198" s="2">
        <f t="shared" si="36"/>
        <v>1934.8424291199035</v>
      </c>
      <c r="G1198" s="3">
        <v>0</v>
      </c>
      <c r="H1198" s="4">
        <v>0.7</v>
      </c>
      <c r="I1198" s="28">
        <f t="shared" si="37"/>
        <v>3289.2321295038359</v>
      </c>
    </row>
    <row r="1199" spans="1:9" ht="15.75" customHeight="1" x14ac:dyDescent="0.35">
      <c r="A1199" s="26" t="s">
        <v>2758</v>
      </c>
      <c r="B1199" s="25" t="s">
        <v>10106</v>
      </c>
      <c r="C1199" s="6" t="s">
        <v>9485</v>
      </c>
      <c r="D1199" s="13">
        <v>1841.2820610911999</v>
      </c>
      <c r="E1199" s="18">
        <v>21</v>
      </c>
      <c r="F1199" s="2">
        <f t="shared" si="36"/>
        <v>2227.9512939203519</v>
      </c>
      <c r="G1199" s="3">
        <v>0</v>
      </c>
      <c r="H1199" s="4">
        <v>0.7</v>
      </c>
      <c r="I1199" s="28">
        <f t="shared" si="37"/>
        <v>3787.5171996645981</v>
      </c>
    </row>
    <row r="1200" spans="1:9" ht="15.75" customHeight="1" x14ac:dyDescent="0.35">
      <c r="A1200" s="26" t="s">
        <v>12822</v>
      </c>
      <c r="B1200" s="25" t="s">
        <v>9290</v>
      </c>
      <c r="C1200" s="6" t="s">
        <v>12823</v>
      </c>
      <c r="D1200" s="13">
        <v>6383.2688381123999</v>
      </c>
      <c r="E1200" s="18">
        <v>21</v>
      </c>
      <c r="F1200" s="2">
        <f t="shared" si="36"/>
        <v>7723.7552941160038</v>
      </c>
      <c r="G1200" s="3">
        <v>0</v>
      </c>
      <c r="H1200" s="4">
        <v>0.7</v>
      </c>
      <c r="I1200" s="28">
        <f t="shared" si="37"/>
        <v>13130.383999997206</v>
      </c>
    </row>
    <row r="1201" spans="1:9" ht="15.75" customHeight="1" x14ac:dyDescent="0.35">
      <c r="A1201" s="26" t="s">
        <v>2771</v>
      </c>
      <c r="B1201" s="25" t="s">
        <v>8750</v>
      </c>
      <c r="C1201" s="6" t="s">
        <v>9486</v>
      </c>
      <c r="D1201" s="13">
        <v>1856.7863718768001</v>
      </c>
      <c r="E1201" s="18">
        <v>21</v>
      </c>
      <c r="F1201" s="2">
        <f t="shared" si="36"/>
        <v>2246.7115099709281</v>
      </c>
      <c r="G1201" s="3">
        <v>0</v>
      </c>
      <c r="H1201" s="4">
        <v>0.7</v>
      </c>
      <c r="I1201" s="28">
        <f t="shared" si="37"/>
        <v>3819.4095669505778</v>
      </c>
    </row>
    <row r="1202" spans="1:9" ht="15.75" customHeight="1" x14ac:dyDescent="0.35">
      <c r="A1202" s="26" t="s">
        <v>2765</v>
      </c>
      <c r="B1202" s="25" t="s">
        <v>9291</v>
      </c>
      <c r="C1202" s="6" t="s">
        <v>11298</v>
      </c>
      <c r="D1202" s="13">
        <v>1856.45630186932</v>
      </c>
      <c r="E1202" s="18">
        <v>21</v>
      </c>
      <c r="F1202" s="2">
        <f t="shared" si="36"/>
        <v>2246.3121252618771</v>
      </c>
      <c r="G1202" s="3">
        <v>0</v>
      </c>
      <c r="H1202" s="4">
        <v>0.7</v>
      </c>
      <c r="I1202" s="28">
        <f t="shared" si="37"/>
        <v>3818.7306129451908</v>
      </c>
    </row>
    <row r="1203" spans="1:9" ht="15.75" customHeight="1" x14ac:dyDescent="0.35">
      <c r="A1203" s="26" t="s">
        <v>2752</v>
      </c>
      <c r="B1203" s="25" t="s">
        <v>9793</v>
      </c>
      <c r="C1203" s="6" t="s">
        <v>11299</v>
      </c>
      <c r="D1203" s="13">
        <v>1959.2575735256601</v>
      </c>
      <c r="E1203" s="18">
        <v>21</v>
      </c>
      <c r="F1203" s="2">
        <f t="shared" si="36"/>
        <v>2370.7016639660487</v>
      </c>
      <c r="G1203" s="3">
        <v>0</v>
      </c>
      <c r="H1203" s="4">
        <v>0.7</v>
      </c>
      <c r="I1203" s="28">
        <f t="shared" si="37"/>
        <v>4030.1928287422829</v>
      </c>
    </row>
    <row r="1204" spans="1:9" ht="15.75" customHeight="1" x14ac:dyDescent="0.35">
      <c r="A1204" s="26" t="s">
        <v>2759</v>
      </c>
      <c r="B1204" s="25" t="s">
        <v>9742</v>
      </c>
      <c r="C1204" s="6" t="s">
        <v>9487</v>
      </c>
      <c r="D1204" s="13">
        <v>2863.0546583184</v>
      </c>
      <c r="E1204" s="18">
        <v>21</v>
      </c>
      <c r="F1204" s="2">
        <f t="shared" si="36"/>
        <v>3464.2961365652641</v>
      </c>
      <c r="G1204" s="3">
        <v>0</v>
      </c>
      <c r="H1204" s="4">
        <v>0.7</v>
      </c>
      <c r="I1204" s="28">
        <f t="shared" si="37"/>
        <v>5889.3034321609484</v>
      </c>
    </row>
    <row r="1205" spans="1:9" ht="15.75" customHeight="1" x14ac:dyDescent="0.35">
      <c r="A1205" s="26" t="s">
        <v>12824</v>
      </c>
      <c r="B1205" s="25" t="s">
        <v>10107</v>
      </c>
      <c r="C1205" s="6" t="s">
        <v>12825</v>
      </c>
      <c r="D1205" s="13">
        <v>8932.7574544104009</v>
      </c>
      <c r="E1205" s="18">
        <v>21</v>
      </c>
      <c r="F1205" s="2">
        <f t="shared" si="36"/>
        <v>10808.636519836586</v>
      </c>
      <c r="G1205" s="3">
        <v>0</v>
      </c>
      <c r="H1205" s="4">
        <v>0.7</v>
      </c>
      <c r="I1205" s="28">
        <f t="shared" si="37"/>
        <v>18374.682083722197</v>
      </c>
    </row>
    <row r="1206" spans="1:9" ht="15.75" customHeight="1" x14ac:dyDescent="0.35">
      <c r="A1206" s="26" t="s">
        <v>2772</v>
      </c>
      <c r="B1206" s="25" t="s">
        <v>10108</v>
      </c>
      <c r="C1206" s="6" t="s">
        <v>9488</v>
      </c>
      <c r="D1206" s="13">
        <v>2618.7625979424001</v>
      </c>
      <c r="E1206" s="18">
        <v>21</v>
      </c>
      <c r="F1206" s="2">
        <f t="shared" si="36"/>
        <v>3168.7027435103041</v>
      </c>
      <c r="G1206" s="3">
        <v>0</v>
      </c>
      <c r="H1206" s="4">
        <v>0.7</v>
      </c>
      <c r="I1206" s="28">
        <f t="shared" si="37"/>
        <v>5386.7946639675165</v>
      </c>
    </row>
    <row r="1207" spans="1:9" ht="15.75" customHeight="1" x14ac:dyDescent="0.35">
      <c r="A1207" s="26" t="s">
        <v>13703</v>
      </c>
      <c r="B1207" s="25" t="s">
        <v>10109</v>
      </c>
      <c r="C1207" s="6" t="s">
        <v>13704</v>
      </c>
      <c r="D1207" s="13">
        <v>2618.3873509325899</v>
      </c>
      <c r="E1207" s="18">
        <v>21</v>
      </c>
      <c r="F1207" s="2">
        <f t="shared" si="36"/>
        <v>3168.2486946284339</v>
      </c>
      <c r="G1207" s="3">
        <v>0</v>
      </c>
      <c r="H1207" s="4">
        <v>0.7</v>
      </c>
      <c r="I1207" s="28">
        <f t="shared" si="37"/>
        <v>5386.0227808683376</v>
      </c>
    </row>
    <row r="1208" spans="1:9" ht="15.75" customHeight="1" x14ac:dyDescent="0.35">
      <c r="A1208" s="26" t="s">
        <v>13705</v>
      </c>
      <c r="B1208" s="25" t="s">
        <v>10110</v>
      </c>
      <c r="C1208" s="6" t="s">
        <v>13706</v>
      </c>
      <c r="D1208" s="13">
        <v>3048.6446541006399</v>
      </c>
      <c r="E1208" s="18">
        <v>21</v>
      </c>
      <c r="F1208" s="2">
        <f t="shared" si="36"/>
        <v>3688.8600314617743</v>
      </c>
      <c r="G1208" s="3">
        <v>0</v>
      </c>
      <c r="H1208" s="4">
        <v>0.7</v>
      </c>
      <c r="I1208" s="28">
        <f t="shared" si="37"/>
        <v>6271.0620534850159</v>
      </c>
    </row>
    <row r="1209" spans="1:9" ht="15.75" customHeight="1" x14ac:dyDescent="0.35">
      <c r="A1209" s="26" t="s">
        <v>2773</v>
      </c>
      <c r="B1209" s="25" t="s">
        <v>10005</v>
      </c>
      <c r="C1209" s="6" t="s">
        <v>9145</v>
      </c>
      <c r="D1209" s="13">
        <v>81589.899367828795</v>
      </c>
      <c r="E1209" s="18">
        <v>21</v>
      </c>
      <c r="F1209" s="2">
        <f t="shared" si="36"/>
        <v>98723.778235072838</v>
      </c>
      <c r="G1209" s="3">
        <v>0</v>
      </c>
      <c r="H1209" s="4">
        <v>0.7</v>
      </c>
      <c r="I1209" s="28">
        <f t="shared" si="37"/>
        <v>167830.42299962381</v>
      </c>
    </row>
    <row r="1210" spans="1:9" ht="15.75" customHeight="1" x14ac:dyDescent="0.35">
      <c r="A1210" s="26" t="s">
        <v>2777</v>
      </c>
      <c r="B1210" s="25" t="s">
        <v>9295</v>
      </c>
      <c r="C1210" s="6" t="s">
        <v>2778</v>
      </c>
      <c r="D1210" s="13">
        <v>97648.2</v>
      </c>
      <c r="E1210" s="18">
        <v>21</v>
      </c>
      <c r="F1210" s="2">
        <f t="shared" si="36"/>
        <v>118154.322</v>
      </c>
      <c r="G1210" s="3">
        <v>0</v>
      </c>
      <c r="H1210" s="4">
        <v>0.7</v>
      </c>
      <c r="I1210" s="28">
        <f t="shared" si="37"/>
        <v>200862.3474</v>
      </c>
    </row>
    <row r="1211" spans="1:9" ht="15.75" customHeight="1" x14ac:dyDescent="0.35">
      <c r="A1211" s="26" t="s">
        <v>2774</v>
      </c>
      <c r="B1211" s="25" t="s">
        <v>9292</v>
      </c>
      <c r="C1211" s="6" t="s">
        <v>9557</v>
      </c>
      <c r="D1211" s="13">
        <v>126650.55</v>
      </c>
      <c r="E1211" s="18">
        <v>21</v>
      </c>
      <c r="F1211" s="2">
        <f t="shared" si="36"/>
        <v>153247.1655</v>
      </c>
      <c r="G1211" s="3">
        <v>0</v>
      </c>
      <c r="H1211" s="4">
        <v>0.7</v>
      </c>
      <c r="I1211" s="28">
        <f t="shared" si="37"/>
        <v>260520.18135</v>
      </c>
    </row>
    <row r="1212" spans="1:9" ht="15.75" customHeight="1" x14ac:dyDescent="0.35">
      <c r="A1212" s="26" t="s">
        <v>2781</v>
      </c>
      <c r="B1212" s="25" t="s">
        <v>10111</v>
      </c>
      <c r="C1212" s="6" t="s">
        <v>2782</v>
      </c>
      <c r="D1212" s="13">
        <v>223951</v>
      </c>
      <c r="E1212" s="18">
        <v>21</v>
      </c>
      <c r="F1212" s="2">
        <f t="shared" si="36"/>
        <v>270980.71000000002</v>
      </c>
      <c r="G1212" s="3">
        <v>0</v>
      </c>
      <c r="H1212" s="4">
        <v>0.7</v>
      </c>
      <c r="I1212" s="28">
        <f t="shared" si="37"/>
        <v>460667.20699999999</v>
      </c>
    </row>
    <row r="1213" spans="1:9" ht="15.75" customHeight="1" x14ac:dyDescent="0.35">
      <c r="A1213" s="26" t="s">
        <v>2779</v>
      </c>
      <c r="B1213" s="25" t="s">
        <v>11943</v>
      </c>
      <c r="C1213" s="6" t="s">
        <v>2780</v>
      </c>
      <c r="D1213" s="13">
        <v>174570.5</v>
      </c>
      <c r="E1213" s="18">
        <v>21</v>
      </c>
      <c r="F1213" s="2">
        <f t="shared" si="36"/>
        <v>211230.30499999999</v>
      </c>
      <c r="G1213" s="3">
        <v>0</v>
      </c>
      <c r="H1213" s="4">
        <v>0.7</v>
      </c>
      <c r="I1213" s="28">
        <f t="shared" si="37"/>
        <v>359091.51850000001</v>
      </c>
    </row>
    <row r="1214" spans="1:9" ht="15.75" customHeight="1" x14ac:dyDescent="0.35">
      <c r="A1214" s="26" t="s">
        <v>2740</v>
      </c>
      <c r="B1214" s="25" t="s">
        <v>9260</v>
      </c>
      <c r="C1214" s="6" t="s">
        <v>9489</v>
      </c>
      <c r="D1214" s="13">
        <v>436.07850000000002</v>
      </c>
      <c r="E1214" s="18">
        <v>21</v>
      </c>
      <c r="F1214" s="2">
        <f t="shared" si="36"/>
        <v>527.65498500000001</v>
      </c>
      <c r="G1214" s="3">
        <v>0</v>
      </c>
      <c r="H1214" s="4">
        <v>0.7</v>
      </c>
      <c r="I1214" s="28">
        <f t="shared" si="37"/>
        <v>897.01347450000003</v>
      </c>
    </row>
    <row r="1215" spans="1:9" ht="15.75" customHeight="1" x14ac:dyDescent="0.35">
      <c r="A1215" s="26" t="s">
        <v>2742</v>
      </c>
      <c r="B1215" s="25" t="s">
        <v>13209</v>
      </c>
      <c r="C1215" s="6" t="s">
        <v>9490</v>
      </c>
      <c r="D1215" s="13">
        <v>212.68389999999999</v>
      </c>
      <c r="E1215" s="18">
        <v>21</v>
      </c>
      <c r="F1215" s="2">
        <f t="shared" si="36"/>
        <v>257.34751899999998</v>
      </c>
      <c r="G1215" s="3">
        <v>0</v>
      </c>
      <c r="H1215" s="4">
        <v>0.7</v>
      </c>
      <c r="I1215" s="28">
        <f t="shared" si="37"/>
        <v>437.49078229999992</v>
      </c>
    </row>
    <row r="1216" spans="1:9" ht="15.75" customHeight="1" x14ac:dyDescent="0.35">
      <c r="A1216" s="26" t="s">
        <v>2745</v>
      </c>
      <c r="B1216" s="25" t="s">
        <v>9261</v>
      </c>
      <c r="C1216" s="6" t="s">
        <v>9491</v>
      </c>
      <c r="D1216" s="13">
        <v>322.51228967880002</v>
      </c>
      <c r="E1216" s="18">
        <v>21</v>
      </c>
      <c r="F1216" s="2">
        <f t="shared" si="36"/>
        <v>390.23987051134804</v>
      </c>
      <c r="G1216" s="3">
        <v>0</v>
      </c>
      <c r="H1216" s="4">
        <v>0.7</v>
      </c>
      <c r="I1216" s="28">
        <f t="shared" si="37"/>
        <v>663.40777986929163</v>
      </c>
    </row>
    <row r="1217" spans="1:9" ht="15.75" customHeight="1" x14ac:dyDescent="0.35">
      <c r="A1217" s="26" t="s">
        <v>2744</v>
      </c>
      <c r="B1217" s="25" t="s">
        <v>13227</v>
      </c>
      <c r="C1217" s="6" t="s">
        <v>9492</v>
      </c>
      <c r="D1217" s="13">
        <v>455.96980000000002</v>
      </c>
      <c r="E1217" s="18">
        <v>21</v>
      </c>
      <c r="F1217" s="2">
        <f t="shared" si="36"/>
        <v>551.72345800000005</v>
      </c>
      <c r="G1217" s="3">
        <v>0</v>
      </c>
      <c r="H1217" s="4">
        <v>0.7</v>
      </c>
      <c r="I1217" s="28">
        <f t="shared" si="37"/>
        <v>937.92987860000005</v>
      </c>
    </row>
    <row r="1218" spans="1:9" ht="15.75" customHeight="1" x14ac:dyDescent="0.35">
      <c r="A1218" s="26" t="s">
        <v>2733</v>
      </c>
      <c r="B1218" s="25" t="s">
        <v>10112</v>
      </c>
      <c r="C1218" s="6" t="s">
        <v>9493</v>
      </c>
      <c r="D1218" s="13">
        <v>6841.4841152937497</v>
      </c>
      <c r="E1218" s="18">
        <v>21</v>
      </c>
      <c r="F1218" s="2">
        <f t="shared" si="36"/>
        <v>8278.1957795054368</v>
      </c>
      <c r="G1218" s="3">
        <v>0</v>
      </c>
      <c r="H1218" s="4">
        <v>0.7</v>
      </c>
      <c r="I1218" s="28">
        <f t="shared" si="37"/>
        <v>14072.932825159241</v>
      </c>
    </row>
    <row r="1219" spans="1:9" ht="15.75" customHeight="1" x14ac:dyDescent="0.35">
      <c r="A1219" s="26" t="s">
        <v>2734</v>
      </c>
      <c r="B1219" s="25" t="s">
        <v>10113</v>
      </c>
      <c r="C1219" s="6" t="s">
        <v>9494</v>
      </c>
      <c r="D1219" s="13">
        <v>5666.2467764499997</v>
      </c>
      <c r="E1219" s="18">
        <v>21</v>
      </c>
      <c r="F1219" s="2">
        <f t="shared" si="36"/>
        <v>6856.1585995044998</v>
      </c>
      <c r="G1219" s="3">
        <v>0</v>
      </c>
      <c r="H1219" s="4">
        <v>0.7</v>
      </c>
      <c r="I1219" s="28">
        <f t="shared" si="37"/>
        <v>11655.46961915765</v>
      </c>
    </row>
    <row r="1220" spans="1:9" ht="15.75" customHeight="1" x14ac:dyDescent="0.35">
      <c r="A1220" s="26" t="s">
        <v>2735</v>
      </c>
      <c r="B1220" s="25" t="s">
        <v>11471</v>
      </c>
      <c r="C1220" s="6" t="s">
        <v>9495</v>
      </c>
      <c r="D1220" s="13">
        <v>3702.2683081312498</v>
      </c>
      <c r="E1220" s="18">
        <v>21</v>
      </c>
      <c r="F1220" s="2">
        <f t="shared" si="36"/>
        <v>4479.7446528388118</v>
      </c>
      <c r="G1220" s="3">
        <v>0</v>
      </c>
      <c r="H1220" s="4">
        <v>0.7</v>
      </c>
      <c r="I1220" s="28">
        <f t="shared" si="37"/>
        <v>7615.5659098259803</v>
      </c>
    </row>
    <row r="1221" spans="1:9" ht="15.75" customHeight="1" x14ac:dyDescent="0.35">
      <c r="A1221" s="26" t="s">
        <v>2736</v>
      </c>
      <c r="B1221" s="25" t="s">
        <v>11472</v>
      </c>
      <c r="C1221" s="6" t="s">
        <v>9496</v>
      </c>
      <c r="D1221" s="13">
        <v>10166.5271768938</v>
      </c>
      <c r="E1221" s="18">
        <v>21</v>
      </c>
      <c r="F1221" s="2">
        <f t="shared" si="36"/>
        <v>12301.497884041499</v>
      </c>
      <c r="G1221" s="3">
        <v>0</v>
      </c>
      <c r="H1221" s="4">
        <v>0.7</v>
      </c>
      <c r="I1221" s="28">
        <f t="shared" si="37"/>
        <v>20912.546402870546</v>
      </c>
    </row>
    <row r="1222" spans="1:9" ht="15.75" customHeight="1" x14ac:dyDescent="0.35">
      <c r="A1222" s="26" t="s">
        <v>2737</v>
      </c>
      <c r="B1222" s="25" t="s">
        <v>11473</v>
      </c>
      <c r="C1222" s="6" t="s">
        <v>9497</v>
      </c>
      <c r="D1222" s="13">
        <v>2825.0826953374999</v>
      </c>
      <c r="E1222" s="18">
        <v>21</v>
      </c>
      <c r="F1222" s="2">
        <f t="shared" ref="F1222:F1285" si="38">D1222*E1222/100+D1222</f>
        <v>3418.3500613583747</v>
      </c>
      <c r="G1222" s="3">
        <v>0</v>
      </c>
      <c r="H1222" s="4">
        <v>0.7</v>
      </c>
      <c r="I1222" s="28">
        <f t="shared" ref="I1222:I1285" si="39">IF(G1222=-1,0,F1222*((100-G1222)/100)*(1+H1222))</f>
        <v>5811.1951043092367</v>
      </c>
    </row>
    <row r="1223" spans="1:9" ht="15.75" customHeight="1" x14ac:dyDescent="0.35">
      <c r="A1223" s="26" t="s">
        <v>2738</v>
      </c>
      <c r="B1223" s="25" t="s">
        <v>10234</v>
      </c>
      <c r="C1223" s="6" t="s">
        <v>9498</v>
      </c>
      <c r="D1223" s="13">
        <v>2226.2739047250002</v>
      </c>
      <c r="E1223" s="18">
        <v>21</v>
      </c>
      <c r="F1223" s="2">
        <f t="shared" si="38"/>
        <v>2693.7914247172503</v>
      </c>
      <c r="G1223" s="3">
        <v>0</v>
      </c>
      <c r="H1223" s="4">
        <v>0.7</v>
      </c>
      <c r="I1223" s="28">
        <f t="shared" si="39"/>
        <v>4579.4454220193256</v>
      </c>
    </row>
    <row r="1224" spans="1:9" ht="15.75" customHeight="1" x14ac:dyDescent="0.35">
      <c r="A1224" s="26" t="s">
        <v>2739</v>
      </c>
      <c r="B1224" s="25" t="s">
        <v>10235</v>
      </c>
      <c r="C1224" s="6" t="s">
        <v>9499</v>
      </c>
      <c r="D1224" s="13">
        <v>3150.3353133687501</v>
      </c>
      <c r="E1224" s="18">
        <v>21</v>
      </c>
      <c r="F1224" s="2">
        <f t="shared" si="38"/>
        <v>3811.9057291761874</v>
      </c>
      <c r="G1224" s="3">
        <v>0</v>
      </c>
      <c r="H1224" s="4">
        <v>0.7</v>
      </c>
      <c r="I1224" s="28">
        <f t="shared" si="39"/>
        <v>6480.2397395995185</v>
      </c>
    </row>
    <row r="1225" spans="1:9" ht="15.75" customHeight="1" x14ac:dyDescent="0.35">
      <c r="A1225" s="26" t="s">
        <v>13504</v>
      </c>
      <c r="B1225" s="25" t="s">
        <v>13326</v>
      </c>
      <c r="C1225" s="6" t="s">
        <v>13781</v>
      </c>
      <c r="D1225" s="13">
        <v>3693.7539293948998</v>
      </c>
      <c r="E1225" s="18">
        <v>21</v>
      </c>
      <c r="F1225" s="2">
        <f t="shared" si="38"/>
        <v>4469.442254567829</v>
      </c>
      <c r="G1225" s="3">
        <v>0</v>
      </c>
      <c r="H1225" s="4">
        <v>0.7</v>
      </c>
      <c r="I1225" s="28">
        <f t="shared" si="39"/>
        <v>7598.051832765309</v>
      </c>
    </row>
    <row r="1226" spans="1:9" ht="15.75" customHeight="1" x14ac:dyDescent="0.35">
      <c r="A1226" s="26" t="s">
        <v>13505</v>
      </c>
      <c r="B1226" s="25" t="s">
        <v>13327</v>
      </c>
      <c r="C1226" s="6" t="s">
        <v>13782</v>
      </c>
      <c r="D1226" s="13">
        <v>5923.3195846845501</v>
      </c>
      <c r="E1226" s="18">
        <v>21</v>
      </c>
      <c r="F1226" s="2">
        <f t="shared" si="38"/>
        <v>7167.2166974683059</v>
      </c>
      <c r="G1226" s="3">
        <v>0</v>
      </c>
      <c r="H1226" s="4">
        <v>0.7</v>
      </c>
      <c r="I1226" s="28">
        <f t="shared" si="39"/>
        <v>12184.268385696119</v>
      </c>
    </row>
    <row r="1227" spans="1:9" ht="15.75" customHeight="1" x14ac:dyDescent="0.35">
      <c r="A1227" s="26" t="s">
        <v>13506</v>
      </c>
      <c r="B1227" s="25" t="s">
        <v>11944</v>
      </c>
      <c r="C1227" s="6" t="s">
        <v>13783</v>
      </c>
      <c r="D1227" s="13">
        <v>9467.3271695136791</v>
      </c>
      <c r="E1227" s="18">
        <v>21</v>
      </c>
      <c r="F1227" s="2">
        <f t="shared" si="38"/>
        <v>11455.465875111551</v>
      </c>
      <c r="G1227" s="3">
        <v>0</v>
      </c>
      <c r="H1227" s="4">
        <v>0.7</v>
      </c>
      <c r="I1227" s="28">
        <f t="shared" si="39"/>
        <v>19474.291987689638</v>
      </c>
    </row>
    <row r="1228" spans="1:9" ht="15.75" customHeight="1" x14ac:dyDescent="0.35">
      <c r="A1228" s="26" t="s">
        <v>2783</v>
      </c>
      <c r="B1228" s="25" t="s">
        <v>10865</v>
      </c>
      <c r="C1228" s="6" t="s">
        <v>166</v>
      </c>
      <c r="D1228" s="13">
        <v>71260.687792125304</v>
      </c>
      <c r="E1228" s="18">
        <v>21</v>
      </c>
      <c r="F1228" s="2">
        <f t="shared" si="38"/>
        <v>86225.432228471618</v>
      </c>
      <c r="G1228" s="3">
        <v>0</v>
      </c>
      <c r="H1228" s="4">
        <v>0.7</v>
      </c>
      <c r="I1228" s="28">
        <f t="shared" si="39"/>
        <v>146583.23478840175</v>
      </c>
    </row>
    <row r="1229" spans="1:9" ht="15.75" customHeight="1" x14ac:dyDescent="0.35">
      <c r="A1229" s="26" t="s">
        <v>12790</v>
      </c>
      <c r="B1229" s="25" t="s">
        <v>13210</v>
      </c>
      <c r="C1229" s="6" t="s">
        <v>12791</v>
      </c>
      <c r="D1229" s="13">
        <v>134868.4155</v>
      </c>
      <c r="E1229" s="18">
        <v>21</v>
      </c>
      <c r="F1229" s="2">
        <f t="shared" si="38"/>
        <v>163190.78275499999</v>
      </c>
      <c r="G1229" s="3">
        <v>0</v>
      </c>
      <c r="H1229" s="4">
        <v>0.7</v>
      </c>
      <c r="I1229" s="28">
        <f t="shared" si="39"/>
        <v>277424.33068349998</v>
      </c>
    </row>
    <row r="1230" spans="1:9" ht="15.75" customHeight="1" x14ac:dyDescent="0.35">
      <c r="A1230" s="26" t="s">
        <v>12792</v>
      </c>
      <c r="B1230" s="25" t="s">
        <v>12013</v>
      </c>
      <c r="C1230" s="6" t="s">
        <v>12793</v>
      </c>
      <c r="D1230" s="13">
        <v>188994.07800000155</v>
      </c>
      <c r="E1230" s="18">
        <v>21</v>
      </c>
      <c r="F1230" s="2">
        <f t="shared" si="38"/>
        <v>228682.83438000188</v>
      </c>
      <c r="G1230" s="3">
        <v>0</v>
      </c>
      <c r="H1230" s="4">
        <v>0.7</v>
      </c>
      <c r="I1230" s="28">
        <f t="shared" si="39"/>
        <v>388760.81844600319</v>
      </c>
    </row>
    <row r="1231" spans="1:9" ht="15.75" customHeight="1" x14ac:dyDescent="0.35">
      <c r="A1231" s="26" t="s">
        <v>12794</v>
      </c>
      <c r="B1231" s="25" t="s">
        <v>12014</v>
      </c>
      <c r="C1231" s="6" t="s">
        <v>12795</v>
      </c>
      <c r="D1231" s="13">
        <v>238810.91325000155</v>
      </c>
      <c r="E1231" s="18">
        <v>21</v>
      </c>
      <c r="F1231" s="2">
        <f t="shared" si="38"/>
        <v>288961.20503250189</v>
      </c>
      <c r="G1231" s="3">
        <v>0</v>
      </c>
      <c r="H1231" s="4">
        <v>0.7</v>
      </c>
      <c r="I1231" s="28">
        <f t="shared" si="39"/>
        <v>491234.04855525319</v>
      </c>
    </row>
    <row r="1232" spans="1:9" ht="15.75" customHeight="1" x14ac:dyDescent="0.35">
      <c r="A1232" s="26" t="s">
        <v>12829</v>
      </c>
      <c r="B1232" s="25" t="s">
        <v>12189</v>
      </c>
      <c r="C1232" s="6" t="s">
        <v>12830</v>
      </c>
      <c r="D1232" s="13">
        <v>381426.72750000312</v>
      </c>
      <c r="E1232" s="18">
        <v>21</v>
      </c>
      <c r="F1232" s="2">
        <f t="shared" si="38"/>
        <v>461526.34027500381</v>
      </c>
      <c r="G1232" s="3">
        <v>0</v>
      </c>
      <c r="H1232" s="4">
        <v>0.7</v>
      </c>
      <c r="I1232" s="28">
        <f t="shared" si="39"/>
        <v>784594.7784675064</v>
      </c>
    </row>
    <row r="1233" spans="1:9" ht="15.75" customHeight="1" x14ac:dyDescent="0.35">
      <c r="A1233" s="26" t="s">
        <v>12796</v>
      </c>
      <c r="B1233" s="25" t="s">
        <v>12015</v>
      </c>
      <c r="C1233" s="6" t="s">
        <v>12797</v>
      </c>
      <c r="D1233" s="13">
        <v>68336.302125000322</v>
      </c>
      <c r="E1233" s="18">
        <v>21</v>
      </c>
      <c r="F1233" s="2">
        <f t="shared" si="38"/>
        <v>82686.925571250395</v>
      </c>
      <c r="G1233" s="3">
        <v>0</v>
      </c>
      <c r="H1233" s="4">
        <v>0.7</v>
      </c>
      <c r="I1233" s="28">
        <f t="shared" si="39"/>
        <v>140567.77347112566</v>
      </c>
    </row>
    <row r="1234" spans="1:9" ht="15.75" customHeight="1" x14ac:dyDescent="0.35">
      <c r="A1234" s="26" t="s">
        <v>12831</v>
      </c>
      <c r="B1234" s="25" t="s">
        <v>10587</v>
      </c>
      <c r="C1234" s="6" t="s">
        <v>12832</v>
      </c>
      <c r="D1234" s="13">
        <v>490654.43700000312</v>
      </c>
      <c r="E1234" s="18">
        <v>21</v>
      </c>
      <c r="F1234" s="2">
        <f t="shared" si="38"/>
        <v>593691.86877000378</v>
      </c>
      <c r="G1234" s="3">
        <v>0</v>
      </c>
      <c r="H1234" s="4">
        <v>0.7</v>
      </c>
      <c r="I1234" s="28">
        <f t="shared" si="39"/>
        <v>1009276.1769090064</v>
      </c>
    </row>
    <row r="1235" spans="1:9" ht="15.75" customHeight="1" x14ac:dyDescent="0.35">
      <c r="A1235" s="26" t="s">
        <v>5788</v>
      </c>
      <c r="B1235" s="25" t="s">
        <v>10589</v>
      </c>
      <c r="C1235" s="6" t="s">
        <v>12798</v>
      </c>
      <c r="D1235" s="13">
        <v>103104.08062500031</v>
      </c>
      <c r="E1235" s="18">
        <v>21</v>
      </c>
      <c r="F1235" s="2">
        <f t="shared" si="38"/>
        <v>124755.93755625037</v>
      </c>
      <c r="G1235" s="3">
        <v>0</v>
      </c>
      <c r="H1235" s="4">
        <v>0.7</v>
      </c>
      <c r="I1235" s="28">
        <f t="shared" si="39"/>
        <v>212085.09384562561</v>
      </c>
    </row>
    <row r="1236" spans="1:9" ht="15.75" customHeight="1" x14ac:dyDescent="0.35">
      <c r="A1236" s="26" t="s">
        <v>12799</v>
      </c>
      <c r="B1236" s="25" t="s">
        <v>11655</v>
      </c>
      <c r="C1236" s="6" t="s">
        <v>12800</v>
      </c>
      <c r="D1236" s="13">
        <v>114247.59937500047</v>
      </c>
      <c r="E1236" s="18">
        <v>21</v>
      </c>
      <c r="F1236" s="2">
        <f t="shared" si="38"/>
        <v>138239.59524375058</v>
      </c>
      <c r="G1236" s="3">
        <v>0</v>
      </c>
      <c r="H1236" s="4">
        <v>0.7</v>
      </c>
      <c r="I1236" s="28">
        <f t="shared" si="39"/>
        <v>235007.31191437598</v>
      </c>
    </row>
    <row r="1237" spans="1:9" ht="15.75" customHeight="1" x14ac:dyDescent="0.35">
      <c r="A1237" s="26" t="s">
        <v>9645</v>
      </c>
      <c r="B1237" s="25" t="s">
        <v>11656</v>
      </c>
      <c r="C1237" s="6" t="s">
        <v>9646</v>
      </c>
      <c r="D1237" s="13">
        <v>1812.834927072</v>
      </c>
      <c r="E1237" s="18">
        <v>21</v>
      </c>
      <c r="F1237" s="2">
        <f t="shared" si="38"/>
        <v>2193.5302617571201</v>
      </c>
      <c r="G1237" s="3">
        <v>0</v>
      </c>
      <c r="H1237" s="4">
        <v>0.7</v>
      </c>
      <c r="I1237" s="28">
        <f t="shared" si="39"/>
        <v>3729.0014449871042</v>
      </c>
    </row>
    <row r="1238" spans="1:9" ht="15.75" customHeight="1" x14ac:dyDescent="0.35">
      <c r="A1238" s="26" t="s">
        <v>4677</v>
      </c>
      <c r="B1238" s="25" t="s">
        <v>10115</v>
      </c>
      <c r="C1238" s="6" t="s">
        <v>167</v>
      </c>
      <c r="D1238" s="13">
        <v>2765.7885904999998</v>
      </c>
      <c r="E1238" s="18">
        <v>21</v>
      </c>
      <c r="F1238" s="2">
        <f t="shared" si="38"/>
        <v>3346.6041945049997</v>
      </c>
      <c r="G1238" s="3">
        <v>0</v>
      </c>
      <c r="H1238" s="4">
        <v>0.7</v>
      </c>
      <c r="I1238" s="28">
        <f t="shared" si="39"/>
        <v>5689.2271306584989</v>
      </c>
    </row>
    <row r="1239" spans="1:9" ht="15.75" customHeight="1" x14ac:dyDescent="0.35">
      <c r="A1239" s="26" t="s">
        <v>9647</v>
      </c>
      <c r="B1239" s="25" t="s">
        <v>13252</v>
      </c>
      <c r="C1239" s="6" t="s">
        <v>9648</v>
      </c>
      <c r="D1239" s="13">
        <v>3338.7481951200002</v>
      </c>
      <c r="E1239" s="18">
        <v>21</v>
      </c>
      <c r="F1239" s="2">
        <f t="shared" si="38"/>
        <v>4039.8853160952003</v>
      </c>
      <c r="G1239" s="3">
        <v>0</v>
      </c>
      <c r="H1239" s="4">
        <v>0.7</v>
      </c>
      <c r="I1239" s="28">
        <f t="shared" si="39"/>
        <v>6867.8050373618407</v>
      </c>
    </row>
    <row r="1240" spans="1:9" ht="15.75" customHeight="1" x14ac:dyDescent="0.35">
      <c r="A1240" s="26" t="s">
        <v>9649</v>
      </c>
      <c r="B1240" s="25" t="s">
        <v>13253</v>
      </c>
      <c r="C1240" s="6" t="s">
        <v>9650</v>
      </c>
      <c r="D1240" s="13">
        <v>3338.7481951200002</v>
      </c>
      <c r="E1240" s="18">
        <v>21</v>
      </c>
      <c r="F1240" s="2">
        <f t="shared" si="38"/>
        <v>4039.8853160952003</v>
      </c>
      <c r="G1240" s="3">
        <v>0</v>
      </c>
      <c r="H1240" s="4">
        <v>0.7</v>
      </c>
      <c r="I1240" s="28">
        <f t="shared" si="39"/>
        <v>6867.8050373618407</v>
      </c>
    </row>
    <row r="1241" spans="1:9" ht="15.75" customHeight="1" x14ac:dyDescent="0.35">
      <c r="A1241" s="26" t="s">
        <v>9651</v>
      </c>
      <c r="B1241" s="25" t="s">
        <v>10236</v>
      </c>
      <c r="C1241" s="6" t="s">
        <v>9652</v>
      </c>
      <c r="D1241" s="13">
        <v>2530.7483993999999</v>
      </c>
      <c r="E1241" s="18">
        <v>21</v>
      </c>
      <c r="F1241" s="2">
        <f t="shared" si="38"/>
        <v>3062.2055632739998</v>
      </c>
      <c r="G1241" s="3">
        <v>0</v>
      </c>
      <c r="H1241" s="4">
        <v>0.7</v>
      </c>
      <c r="I1241" s="28">
        <f t="shared" si="39"/>
        <v>5205.7494575657993</v>
      </c>
    </row>
    <row r="1242" spans="1:9" ht="15.75" customHeight="1" x14ac:dyDescent="0.35">
      <c r="A1242" s="26" t="s">
        <v>9653</v>
      </c>
      <c r="B1242" s="25" t="s">
        <v>12191</v>
      </c>
      <c r="C1242" s="6" t="s">
        <v>9654</v>
      </c>
      <c r="D1242" s="13">
        <v>1943.8085047679999</v>
      </c>
      <c r="E1242" s="18">
        <v>21</v>
      </c>
      <c r="F1242" s="2">
        <f t="shared" si="38"/>
        <v>2352.0082907692799</v>
      </c>
      <c r="G1242" s="3">
        <v>0</v>
      </c>
      <c r="H1242" s="4">
        <v>0.7</v>
      </c>
      <c r="I1242" s="28">
        <f t="shared" si="39"/>
        <v>3998.4140943077759</v>
      </c>
    </row>
    <row r="1243" spans="1:9" ht="15.75" customHeight="1" x14ac:dyDescent="0.35">
      <c r="A1243" s="26" t="s">
        <v>9655</v>
      </c>
      <c r="B1243" s="25" t="s">
        <v>10237</v>
      </c>
      <c r="C1243" s="6" t="s">
        <v>9656</v>
      </c>
      <c r="D1243" s="13">
        <v>3372.9719362559999</v>
      </c>
      <c r="E1243" s="18">
        <v>21</v>
      </c>
      <c r="F1243" s="2">
        <f t="shared" si="38"/>
        <v>4081.2960428697597</v>
      </c>
      <c r="G1243" s="3">
        <v>0</v>
      </c>
      <c r="H1243" s="4">
        <v>0.7</v>
      </c>
      <c r="I1243" s="28">
        <f t="shared" si="39"/>
        <v>6938.2032728785916</v>
      </c>
    </row>
    <row r="1244" spans="1:9" ht="15.75" customHeight="1" x14ac:dyDescent="0.35">
      <c r="A1244" s="26" t="s">
        <v>9657</v>
      </c>
      <c r="B1244" s="25" t="s">
        <v>10238</v>
      </c>
      <c r="C1244" s="6" t="s">
        <v>9658</v>
      </c>
      <c r="D1244" s="13">
        <v>3372.9719362559999</v>
      </c>
      <c r="E1244" s="18">
        <v>21</v>
      </c>
      <c r="F1244" s="2">
        <f t="shared" si="38"/>
        <v>4081.2960428697597</v>
      </c>
      <c r="G1244" s="3">
        <v>0</v>
      </c>
      <c r="H1244" s="4">
        <v>0.7</v>
      </c>
      <c r="I1244" s="28">
        <f t="shared" si="39"/>
        <v>6938.2032728785916</v>
      </c>
    </row>
    <row r="1245" spans="1:9" ht="15.75" customHeight="1" x14ac:dyDescent="0.35">
      <c r="A1245" s="26" t="s">
        <v>4678</v>
      </c>
      <c r="B1245" s="25" t="s">
        <v>10239</v>
      </c>
      <c r="C1245" s="6" t="s">
        <v>10590</v>
      </c>
      <c r="D1245" s="13">
        <v>391.02895083471998</v>
      </c>
      <c r="E1245" s="18">
        <v>21</v>
      </c>
      <c r="F1245" s="2">
        <f t="shared" si="38"/>
        <v>473.14503051001117</v>
      </c>
      <c r="G1245" s="3">
        <v>0</v>
      </c>
      <c r="H1245" s="4">
        <v>0.7</v>
      </c>
      <c r="I1245" s="28">
        <f t="shared" si="39"/>
        <v>804.346551867019</v>
      </c>
    </row>
    <row r="1246" spans="1:9" ht="15.75" customHeight="1" x14ac:dyDescent="0.35">
      <c r="A1246" s="26" t="s">
        <v>12288</v>
      </c>
      <c r="B1246" s="25" t="s">
        <v>11474</v>
      </c>
      <c r="C1246" s="6" t="s">
        <v>12289</v>
      </c>
      <c r="D1246" s="13">
        <v>5302.6978680000002</v>
      </c>
      <c r="E1246" s="18">
        <v>21</v>
      </c>
      <c r="F1246" s="2">
        <f t="shared" si="38"/>
        <v>6416.2644202800002</v>
      </c>
      <c r="G1246" s="3">
        <v>0</v>
      </c>
      <c r="H1246" s="4">
        <v>0.7</v>
      </c>
      <c r="I1246" s="28">
        <f t="shared" si="39"/>
        <v>10907.649514475999</v>
      </c>
    </row>
    <row r="1247" spans="1:9" ht="15.75" customHeight="1" x14ac:dyDescent="0.35">
      <c r="A1247" s="26" t="s">
        <v>12833</v>
      </c>
      <c r="B1247" s="25" t="s">
        <v>866</v>
      </c>
      <c r="C1247" s="6" t="s">
        <v>12834</v>
      </c>
      <c r="D1247" s="13">
        <v>6405.7722688635504</v>
      </c>
      <c r="E1247" s="18">
        <v>21</v>
      </c>
      <c r="F1247" s="2">
        <f t="shared" si="38"/>
        <v>7750.9844453248961</v>
      </c>
      <c r="G1247" s="3">
        <v>0</v>
      </c>
      <c r="H1247" s="4">
        <v>0.7</v>
      </c>
      <c r="I1247" s="28">
        <f t="shared" si="39"/>
        <v>13176.673557052323</v>
      </c>
    </row>
    <row r="1248" spans="1:9" ht="15.75" customHeight="1" x14ac:dyDescent="0.35">
      <c r="A1248" s="26" t="s">
        <v>4679</v>
      </c>
      <c r="B1248" s="25" t="s">
        <v>160</v>
      </c>
      <c r="C1248" s="6" t="s">
        <v>10240</v>
      </c>
      <c r="D1248" s="13">
        <v>2040.597</v>
      </c>
      <c r="E1248" s="18">
        <v>21</v>
      </c>
      <c r="F1248" s="2">
        <f t="shared" si="38"/>
        <v>2469.12237</v>
      </c>
      <c r="G1248" s="3">
        <v>0</v>
      </c>
      <c r="H1248" s="4">
        <v>0.7</v>
      </c>
      <c r="I1248" s="28">
        <f t="shared" si="39"/>
        <v>4197.5080289999996</v>
      </c>
    </row>
    <row r="1249" spans="1:9" ht="15.75" customHeight="1" x14ac:dyDescent="0.35">
      <c r="A1249" s="26" t="s">
        <v>4680</v>
      </c>
      <c r="B1249" s="25" t="s">
        <v>161</v>
      </c>
      <c r="C1249" s="6" t="s">
        <v>10241</v>
      </c>
      <c r="D1249" s="13">
        <v>2628.99</v>
      </c>
      <c r="E1249" s="18">
        <v>21</v>
      </c>
      <c r="F1249" s="2">
        <f t="shared" si="38"/>
        <v>3181.0778999999998</v>
      </c>
      <c r="G1249" s="3">
        <v>0</v>
      </c>
      <c r="H1249" s="4">
        <v>0.7</v>
      </c>
      <c r="I1249" s="28">
        <f t="shared" si="39"/>
        <v>5407.8324299999995</v>
      </c>
    </row>
    <row r="1250" spans="1:9" ht="15.75" customHeight="1" x14ac:dyDescent="0.35">
      <c r="A1250" s="26" t="s">
        <v>13137</v>
      </c>
      <c r="B1250" s="25" t="s">
        <v>11475</v>
      </c>
      <c r="C1250" s="6" t="s">
        <v>13138</v>
      </c>
      <c r="D1250" s="13">
        <v>15652.747549947</v>
      </c>
      <c r="E1250" s="18">
        <v>21</v>
      </c>
      <c r="F1250" s="2">
        <f t="shared" si="38"/>
        <v>18939.82453543587</v>
      </c>
      <c r="G1250" s="3">
        <v>0</v>
      </c>
      <c r="H1250" s="4">
        <v>0.7</v>
      </c>
      <c r="I1250" s="28">
        <f t="shared" si="39"/>
        <v>32197.701710240977</v>
      </c>
    </row>
    <row r="1251" spans="1:9" ht="15.75" customHeight="1" x14ac:dyDescent="0.35">
      <c r="A1251" s="26" t="s">
        <v>4681</v>
      </c>
      <c r="B1251" s="25" t="s">
        <v>162</v>
      </c>
      <c r="C1251" s="6" t="s">
        <v>10242</v>
      </c>
      <c r="D1251" s="13">
        <v>5197.8588934999998</v>
      </c>
      <c r="E1251" s="18">
        <v>21</v>
      </c>
      <c r="F1251" s="2">
        <f t="shared" si="38"/>
        <v>6289.4092611349997</v>
      </c>
      <c r="G1251" s="3">
        <v>0</v>
      </c>
      <c r="H1251" s="4">
        <v>0.7</v>
      </c>
      <c r="I1251" s="28">
        <f t="shared" si="39"/>
        <v>10691.995743929499</v>
      </c>
    </row>
    <row r="1252" spans="1:9" ht="15.75" customHeight="1" x14ac:dyDescent="0.35">
      <c r="A1252" s="26" t="s">
        <v>4682</v>
      </c>
      <c r="B1252" s="25" t="s">
        <v>11476</v>
      </c>
      <c r="C1252" s="6" t="s">
        <v>168</v>
      </c>
      <c r="D1252" s="13">
        <v>7696.3309584407998</v>
      </c>
      <c r="E1252" s="18">
        <v>21</v>
      </c>
      <c r="F1252" s="2">
        <f t="shared" si="38"/>
        <v>9312.5604597133679</v>
      </c>
      <c r="G1252" s="3">
        <v>0</v>
      </c>
      <c r="H1252" s="4">
        <v>0.7</v>
      </c>
      <c r="I1252" s="28">
        <f t="shared" si="39"/>
        <v>15831.352781512725</v>
      </c>
    </row>
    <row r="1253" spans="1:9" ht="15.75" customHeight="1" x14ac:dyDescent="0.35">
      <c r="A1253" s="26" t="s">
        <v>4684</v>
      </c>
      <c r="B1253" s="25" t="s">
        <v>11623</v>
      </c>
      <c r="C1253" s="6" t="s">
        <v>10243</v>
      </c>
      <c r="D1253" s="13">
        <v>3790.9806285</v>
      </c>
      <c r="E1253" s="18">
        <v>21</v>
      </c>
      <c r="F1253" s="2">
        <f t="shared" si="38"/>
        <v>4587.0865604850005</v>
      </c>
      <c r="G1253" s="3">
        <v>0</v>
      </c>
      <c r="H1253" s="4">
        <v>0.7</v>
      </c>
      <c r="I1253" s="28">
        <f t="shared" si="39"/>
        <v>7798.0471528245007</v>
      </c>
    </row>
    <row r="1254" spans="1:9" ht="15.75" customHeight="1" x14ac:dyDescent="0.35">
      <c r="A1254" s="26" t="s">
        <v>4685</v>
      </c>
      <c r="B1254" s="25" t="s">
        <v>11625</v>
      </c>
      <c r="C1254" s="6" t="s">
        <v>10244</v>
      </c>
      <c r="D1254" s="13">
        <v>3026.1893544999998</v>
      </c>
      <c r="E1254" s="18">
        <v>21</v>
      </c>
      <c r="F1254" s="2">
        <f t="shared" si="38"/>
        <v>3661.6891189449998</v>
      </c>
      <c r="G1254" s="3">
        <v>0</v>
      </c>
      <c r="H1254" s="4">
        <v>0.7</v>
      </c>
      <c r="I1254" s="28">
        <f t="shared" si="39"/>
        <v>6224.8715022064998</v>
      </c>
    </row>
    <row r="1255" spans="1:9" ht="15.75" customHeight="1" x14ac:dyDescent="0.35">
      <c r="A1255" s="26" t="s">
        <v>4683</v>
      </c>
      <c r="B1255" s="25" t="s">
        <v>11627</v>
      </c>
      <c r="C1255" s="6" t="s">
        <v>13921</v>
      </c>
      <c r="D1255" s="13">
        <v>5986.7049057659997</v>
      </c>
      <c r="E1255" s="18">
        <v>21</v>
      </c>
      <c r="F1255" s="2">
        <f t="shared" si="38"/>
        <v>7243.9129359768594</v>
      </c>
      <c r="G1255" s="3">
        <v>0</v>
      </c>
      <c r="H1255" s="4">
        <v>0.7</v>
      </c>
      <c r="I1255" s="28">
        <f t="shared" si="39"/>
        <v>12314.651991160661</v>
      </c>
    </row>
    <row r="1256" spans="1:9" ht="15.75" customHeight="1" x14ac:dyDescent="0.35">
      <c r="A1256" s="26" t="s">
        <v>4672</v>
      </c>
      <c r="B1256" s="25" t="s">
        <v>163</v>
      </c>
      <c r="C1256" s="6" t="s">
        <v>13507</v>
      </c>
      <c r="D1256" s="13">
        <v>3844.2921506963999</v>
      </c>
      <c r="E1256" s="18">
        <v>21</v>
      </c>
      <c r="F1256" s="2">
        <f t="shared" si="38"/>
        <v>4651.5935023426437</v>
      </c>
      <c r="G1256" s="3">
        <v>0</v>
      </c>
      <c r="H1256" s="4">
        <v>0.7</v>
      </c>
      <c r="I1256" s="28">
        <f t="shared" si="39"/>
        <v>7907.7089539824938</v>
      </c>
    </row>
    <row r="1257" spans="1:9" ht="15.75" customHeight="1" x14ac:dyDescent="0.35">
      <c r="A1257" s="26" t="s">
        <v>4673</v>
      </c>
      <c r="B1257" s="25" t="s">
        <v>11898</v>
      </c>
      <c r="C1257" s="6" t="s">
        <v>13508</v>
      </c>
      <c r="D1257" s="13">
        <v>3844.2921506963999</v>
      </c>
      <c r="E1257" s="18">
        <v>21</v>
      </c>
      <c r="F1257" s="2">
        <f t="shared" si="38"/>
        <v>4651.5935023426437</v>
      </c>
      <c r="G1257" s="3">
        <v>0</v>
      </c>
      <c r="H1257" s="4">
        <v>0.7</v>
      </c>
      <c r="I1257" s="28">
        <f t="shared" si="39"/>
        <v>7907.7089539824938</v>
      </c>
    </row>
    <row r="1258" spans="1:9" ht="15.75" customHeight="1" x14ac:dyDescent="0.35">
      <c r="A1258" s="26" t="s">
        <v>4686</v>
      </c>
      <c r="B1258" s="25" t="s">
        <v>1231</v>
      </c>
      <c r="C1258" s="6" t="s">
        <v>10245</v>
      </c>
      <c r="D1258" s="13">
        <v>1952.9639999999999</v>
      </c>
      <c r="E1258" s="18">
        <v>21</v>
      </c>
      <c r="F1258" s="2">
        <f t="shared" si="38"/>
        <v>2363.08644</v>
      </c>
      <c r="G1258" s="3">
        <v>0</v>
      </c>
      <c r="H1258" s="4">
        <v>0.7</v>
      </c>
      <c r="I1258" s="28">
        <f t="shared" si="39"/>
        <v>4017.246948</v>
      </c>
    </row>
    <row r="1259" spans="1:9" ht="15.75" customHeight="1" x14ac:dyDescent="0.35">
      <c r="A1259" s="26" t="s">
        <v>4674</v>
      </c>
      <c r="B1259" s="25" t="s">
        <v>12285</v>
      </c>
      <c r="C1259" s="6" t="s">
        <v>13509</v>
      </c>
      <c r="D1259" s="13">
        <v>4570.8674239800002</v>
      </c>
      <c r="E1259" s="18">
        <v>21</v>
      </c>
      <c r="F1259" s="2">
        <f t="shared" si="38"/>
        <v>5530.7495830158005</v>
      </c>
      <c r="G1259" s="3">
        <v>0</v>
      </c>
      <c r="H1259" s="4">
        <v>0.7</v>
      </c>
      <c r="I1259" s="28">
        <f t="shared" si="39"/>
        <v>9402.2742911268597</v>
      </c>
    </row>
    <row r="1260" spans="1:9" ht="15.75" customHeight="1" x14ac:dyDescent="0.35">
      <c r="A1260" s="26" t="s">
        <v>4675</v>
      </c>
      <c r="B1260" s="25" t="s">
        <v>12286</v>
      </c>
      <c r="C1260" s="6" t="s">
        <v>13510</v>
      </c>
      <c r="D1260" s="13">
        <v>4570.8674239800002</v>
      </c>
      <c r="E1260" s="18">
        <v>21</v>
      </c>
      <c r="F1260" s="2">
        <f t="shared" si="38"/>
        <v>5530.7495830158005</v>
      </c>
      <c r="G1260" s="3">
        <v>0</v>
      </c>
      <c r="H1260" s="4">
        <v>0.7</v>
      </c>
      <c r="I1260" s="28">
        <f t="shared" si="39"/>
        <v>9402.2742911268597</v>
      </c>
    </row>
    <row r="1261" spans="1:9" ht="15.75" customHeight="1" x14ac:dyDescent="0.35">
      <c r="A1261" s="26" t="s">
        <v>4687</v>
      </c>
      <c r="B1261" s="25" t="s">
        <v>12287</v>
      </c>
      <c r="C1261" s="6" t="s">
        <v>10246</v>
      </c>
      <c r="D1261" s="13">
        <v>2770.4546999999998</v>
      </c>
      <c r="E1261" s="18">
        <v>21</v>
      </c>
      <c r="F1261" s="2">
        <f t="shared" si="38"/>
        <v>3352.2501869999996</v>
      </c>
      <c r="G1261" s="3">
        <v>0</v>
      </c>
      <c r="H1261" s="4">
        <v>0.7</v>
      </c>
      <c r="I1261" s="28">
        <f t="shared" si="39"/>
        <v>5698.8253178999994</v>
      </c>
    </row>
    <row r="1262" spans="1:9" ht="15.75" customHeight="1" x14ac:dyDescent="0.35">
      <c r="A1262" s="26" t="s">
        <v>5785</v>
      </c>
      <c r="B1262" s="25" t="s">
        <v>10157</v>
      </c>
      <c r="C1262" s="6" t="s">
        <v>1068</v>
      </c>
      <c r="D1262" s="13">
        <v>7928.7</v>
      </c>
      <c r="E1262" s="18">
        <v>21</v>
      </c>
      <c r="F1262" s="2">
        <f t="shared" si="38"/>
        <v>9593.726999999999</v>
      </c>
      <c r="G1262" s="3">
        <v>0</v>
      </c>
      <c r="H1262" s="4">
        <v>0.7</v>
      </c>
      <c r="I1262" s="28">
        <f t="shared" si="39"/>
        <v>16309.335899999998</v>
      </c>
    </row>
    <row r="1263" spans="1:9" ht="15.75" customHeight="1" x14ac:dyDescent="0.35">
      <c r="A1263" s="26" t="s">
        <v>5284</v>
      </c>
      <c r="B1263" s="25" t="s">
        <v>8779</v>
      </c>
      <c r="C1263" s="6" t="s">
        <v>170</v>
      </c>
      <c r="D1263" s="13">
        <v>59606.015305199995</v>
      </c>
      <c r="E1263" s="18">
        <v>21</v>
      </c>
      <c r="F1263" s="2">
        <f t="shared" si="38"/>
        <v>72123.278519291998</v>
      </c>
      <c r="G1263" s="3">
        <v>0</v>
      </c>
      <c r="H1263" s="4">
        <v>0.7</v>
      </c>
      <c r="I1263" s="28">
        <f t="shared" si="39"/>
        <v>122609.57348279639</v>
      </c>
    </row>
    <row r="1264" spans="1:9" ht="15.75" customHeight="1" x14ac:dyDescent="0.35">
      <c r="A1264" s="26" t="s">
        <v>5285</v>
      </c>
      <c r="B1264" s="25" t="s">
        <v>164</v>
      </c>
      <c r="C1264" s="6" t="s">
        <v>11850</v>
      </c>
      <c r="D1264" s="13">
        <v>23117.115937499999</v>
      </c>
      <c r="E1264" s="18">
        <v>21</v>
      </c>
      <c r="F1264" s="2">
        <f t="shared" si="38"/>
        <v>27971.710284375</v>
      </c>
      <c r="G1264" s="3">
        <v>0</v>
      </c>
      <c r="H1264" s="4">
        <v>0.7</v>
      </c>
      <c r="I1264" s="28">
        <f t="shared" si="39"/>
        <v>47551.907483437499</v>
      </c>
    </row>
    <row r="1265" spans="1:9" ht="15.75" customHeight="1" x14ac:dyDescent="0.35">
      <c r="A1265" s="26" t="s">
        <v>11851</v>
      </c>
      <c r="B1265" s="25" t="s">
        <v>165</v>
      </c>
      <c r="C1265" s="6" t="s">
        <v>11852</v>
      </c>
      <c r="D1265" s="13">
        <v>23117.115937499999</v>
      </c>
      <c r="E1265" s="18">
        <v>21</v>
      </c>
      <c r="F1265" s="2">
        <f t="shared" si="38"/>
        <v>27971.710284375</v>
      </c>
      <c r="G1265" s="3">
        <v>0</v>
      </c>
      <c r="H1265" s="4">
        <v>0.7</v>
      </c>
      <c r="I1265" s="28">
        <f t="shared" si="39"/>
        <v>47551.907483437499</v>
      </c>
    </row>
    <row r="1266" spans="1:9" ht="15.75" customHeight="1" x14ac:dyDescent="0.35">
      <c r="A1266" s="26" t="s">
        <v>5286</v>
      </c>
      <c r="B1266" s="25" t="s">
        <v>9428</v>
      </c>
      <c r="C1266" s="6" t="s">
        <v>13968</v>
      </c>
      <c r="D1266" s="13">
        <v>2311711.59375</v>
      </c>
      <c r="E1266" s="18">
        <v>21</v>
      </c>
      <c r="F1266" s="2">
        <f t="shared" si="38"/>
        <v>2797171.0284374999</v>
      </c>
      <c r="G1266" s="3">
        <v>0</v>
      </c>
      <c r="H1266" s="4">
        <v>0.7</v>
      </c>
      <c r="I1266" s="28">
        <f t="shared" si="39"/>
        <v>4755190.7483437499</v>
      </c>
    </row>
    <row r="1267" spans="1:9" ht="15.75" customHeight="1" x14ac:dyDescent="0.35">
      <c r="A1267" s="26" t="s">
        <v>10939</v>
      </c>
      <c r="B1267" s="25" t="s">
        <v>9430</v>
      </c>
      <c r="C1267" s="6" t="s">
        <v>10940</v>
      </c>
      <c r="D1267" s="13">
        <v>2005.8333749999999</v>
      </c>
      <c r="E1267" s="18">
        <v>21</v>
      </c>
      <c r="F1267" s="2">
        <f t="shared" si="38"/>
        <v>2427.0583837499998</v>
      </c>
      <c r="G1267" s="3">
        <v>0</v>
      </c>
      <c r="H1267" s="4">
        <v>0.7</v>
      </c>
      <c r="I1267" s="28">
        <f t="shared" si="39"/>
        <v>4125.9992523749997</v>
      </c>
    </row>
    <row r="1268" spans="1:9" ht="15.75" customHeight="1" x14ac:dyDescent="0.35">
      <c r="A1268" s="26" t="s">
        <v>10247</v>
      </c>
      <c r="B1268" s="25" t="s">
        <v>9432</v>
      </c>
      <c r="C1268" s="6" t="s">
        <v>10248</v>
      </c>
      <c r="D1268" s="13">
        <v>2005.8333749999999</v>
      </c>
      <c r="E1268" s="18">
        <v>21</v>
      </c>
      <c r="F1268" s="2">
        <f t="shared" si="38"/>
        <v>2427.0583837499998</v>
      </c>
      <c r="G1268" s="3">
        <v>0</v>
      </c>
      <c r="H1268" s="4">
        <v>0.7</v>
      </c>
      <c r="I1268" s="28">
        <f t="shared" si="39"/>
        <v>4125.9992523749997</v>
      </c>
    </row>
    <row r="1269" spans="1:9" ht="15.75" customHeight="1" x14ac:dyDescent="0.35">
      <c r="A1269" s="26" t="s">
        <v>3007</v>
      </c>
      <c r="B1269" s="25" t="s">
        <v>1232</v>
      </c>
      <c r="C1269" s="6" t="s">
        <v>868</v>
      </c>
      <c r="D1269" s="13">
        <v>1287.7877460987499</v>
      </c>
      <c r="E1269" s="18">
        <v>21</v>
      </c>
      <c r="F1269" s="2">
        <f t="shared" si="38"/>
        <v>1558.2231727794874</v>
      </c>
      <c r="G1269" s="3">
        <v>0</v>
      </c>
      <c r="H1269" s="4">
        <v>0.7</v>
      </c>
      <c r="I1269" s="28">
        <f t="shared" si="39"/>
        <v>2648.9793937251284</v>
      </c>
    </row>
    <row r="1270" spans="1:9" ht="15.75" customHeight="1" x14ac:dyDescent="0.35">
      <c r="A1270" s="26" t="s">
        <v>3009</v>
      </c>
      <c r="B1270" s="25" t="s">
        <v>13369</v>
      </c>
      <c r="C1270" s="6" t="s">
        <v>12679</v>
      </c>
      <c r="D1270" s="13">
        <v>2005.8333749999999</v>
      </c>
      <c r="E1270" s="18">
        <v>21</v>
      </c>
      <c r="F1270" s="2">
        <f t="shared" si="38"/>
        <v>2427.0583837499998</v>
      </c>
      <c r="G1270" s="3">
        <v>0</v>
      </c>
      <c r="H1270" s="4">
        <v>0.7</v>
      </c>
      <c r="I1270" s="28">
        <f t="shared" si="39"/>
        <v>4125.9992523749997</v>
      </c>
    </row>
    <row r="1271" spans="1:9" ht="15.75" customHeight="1" x14ac:dyDescent="0.35">
      <c r="A1271" s="26" t="s">
        <v>3010</v>
      </c>
      <c r="B1271" s="25" t="s">
        <v>9474</v>
      </c>
      <c r="C1271" s="6" t="s">
        <v>12680</v>
      </c>
      <c r="D1271" s="13">
        <v>2005.8333749999999</v>
      </c>
      <c r="E1271" s="18">
        <v>21</v>
      </c>
      <c r="F1271" s="2">
        <f t="shared" si="38"/>
        <v>2427.0583837499998</v>
      </c>
      <c r="G1271" s="3">
        <v>0</v>
      </c>
      <c r="H1271" s="4">
        <v>0.7</v>
      </c>
      <c r="I1271" s="28">
        <f t="shared" si="39"/>
        <v>4125.9992523749997</v>
      </c>
    </row>
    <row r="1272" spans="1:9" ht="15.75" customHeight="1" x14ac:dyDescent="0.35">
      <c r="A1272" s="26" t="s">
        <v>9305</v>
      </c>
      <c r="B1272" s="25" t="s">
        <v>9475</v>
      </c>
      <c r="C1272" s="6" t="s">
        <v>12681</v>
      </c>
      <c r="D1272" s="13">
        <v>2005.8333749999999</v>
      </c>
      <c r="E1272" s="18">
        <v>21</v>
      </c>
      <c r="F1272" s="2">
        <f t="shared" si="38"/>
        <v>2427.0583837499998</v>
      </c>
      <c r="G1272" s="3">
        <v>0</v>
      </c>
      <c r="H1272" s="4">
        <v>0.7</v>
      </c>
      <c r="I1272" s="28">
        <f t="shared" si="39"/>
        <v>4125.9992523749997</v>
      </c>
    </row>
    <row r="1273" spans="1:9" ht="15.75" customHeight="1" x14ac:dyDescent="0.35">
      <c r="A1273" s="26" t="s">
        <v>3011</v>
      </c>
      <c r="B1273" s="25" t="s">
        <v>12817</v>
      </c>
      <c r="C1273" s="6" t="s">
        <v>12682</v>
      </c>
      <c r="D1273" s="13">
        <v>2005.8333749999999</v>
      </c>
      <c r="E1273" s="18">
        <v>21</v>
      </c>
      <c r="F1273" s="2">
        <f t="shared" si="38"/>
        <v>2427.0583837499998</v>
      </c>
      <c r="G1273" s="3">
        <v>0</v>
      </c>
      <c r="H1273" s="4">
        <v>0.7</v>
      </c>
      <c r="I1273" s="28">
        <f t="shared" si="39"/>
        <v>4125.9992523749997</v>
      </c>
    </row>
    <row r="1274" spans="1:9" ht="15.75" customHeight="1" x14ac:dyDescent="0.35">
      <c r="A1274" s="26" t="s">
        <v>3013</v>
      </c>
      <c r="B1274" s="25" t="s">
        <v>10802</v>
      </c>
      <c r="C1274" s="6" t="s">
        <v>869</v>
      </c>
      <c r="D1274" s="13">
        <v>1287.7877460987499</v>
      </c>
      <c r="E1274" s="18">
        <v>21</v>
      </c>
      <c r="F1274" s="2">
        <f t="shared" si="38"/>
        <v>1558.2231727794874</v>
      </c>
      <c r="G1274" s="3">
        <v>0</v>
      </c>
      <c r="H1274" s="4">
        <v>0.7</v>
      </c>
      <c r="I1274" s="28">
        <f t="shared" si="39"/>
        <v>2648.9793937251284</v>
      </c>
    </row>
    <row r="1275" spans="1:9" ht="15.75" customHeight="1" x14ac:dyDescent="0.35">
      <c r="A1275" s="26" t="s">
        <v>10249</v>
      </c>
      <c r="B1275" s="25" t="s">
        <v>9476</v>
      </c>
      <c r="C1275" s="6" t="s">
        <v>10250</v>
      </c>
      <c r="D1275" s="13">
        <v>2005.8333749999999</v>
      </c>
      <c r="E1275" s="18">
        <v>21</v>
      </c>
      <c r="F1275" s="2">
        <f t="shared" si="38"/>
        <v>2427.0583837499998</v>
      </c>
      <c r="G1275" s="3">
        <v>0</v>
      </c>
      <c r="H1275" s="4">
        <v>0.7</v>
      </c>
      <c r="I1275" s="28">
        <f t="shared" si="39"/>
        <v>4125.9992523749997</v>
      </c>
    </row>
    <row r="1276" spans="1:9" ht="15.75" customHeight="1" x14ac:dyDescent="0.35">
      <c r="A1276" s="26" t="s">
        <v>10251</v>
      </c>
      <c r="B1276" s="25" t="s">
        <v>10792</v>
      </c>
      <c r="C1276" s="6" t="s">
        <v>10252</v>
      </c>
      <c r="D1276" s="13">
        <v>2005.8333749999999</v>
      </c>
      <c r="E1276" s="18">
        <v>21</v>
      </c>
      <c r="F1276" s="2">
        <f t="shared" si="38"/>
        <v>2427.0583837499998</v>
      </c>
      <c r="G1276" s="3">
        <v>0</v>
      </c>
      <c r="H1276" s="4">
        <v>0.7</v>
      </c>
      <c r="I1276" s="28">
        <f t="shared" si="39"/>
        <v>4125.9992523749997</v>
      </c>
    </row>
    <row r="1277" spans="1:9" ht="15.75" customHeight="1" x14ac:dyDescent="0.35">
      <c r="A1277" s="26" t="s">
        <v>3014</v>
      </c>
      <c r="B1277" s="25" t="s">
        <v>9477</v>
      </c>
      <c r="C1277" s="6" t="s">
        <v>870</v>
      </c>
      <c r="D1277" s="13">
        <v>3904.224025</v>
      </c>
      <c r="E1277" s="18">
        <v>21</v>
      </c>
      <c r="F1277" s="2">
        <f t="shared" si="38"/>
        <v>4724.11107025</v>
      </c>
      <c r="G1277" s="3">
        <v>0</v>
      </c>
      <c r="H1277" s="4">
        <v>0.7</v>
      </c>
      <c r="I1277" s="28">
        <f t="shared" si="39"/>
        <v>8030.9888194249997</v>
      </c>
    </row>
    <row r="1278" spans="1:9" ht="15.75" customHeight="1" x14ac:dyDescent="0.35">
      <c r="A1278" s="26" t="s">
        <v>3015</v>
      </c>
      <c r="B1278" s="25" t="s">
        <v>12819</v>
      </c>
      <c r="C1278" s="6" t="s">
        <v>871</v>
      </c>
      <c r="D1278" s="13">
        <v>3404.4833498000003</v>
      </c>
      <c r="E1278" s="18">
        <v>21</v>
      </c>
      <c r="F1278" s="2">
        <f t="shared" si="38"/>
        <v>4119.4248532580004</v>
      </c>
      <c r="G1278" s="3">
        <v>0</v>
      </c>
      <c r="H1278" s="4">
        <v>0.7</v>
      </c>
      <c r="I1278" s="28">
        <f t="shared" si="39"/>
        <v>7003.0222505386009</v>
      </c>
    </row>
    <row r="1279" spans="1:9" ht="15.75" customHeight="1" x14ac:dyDescent="0.35">
      <c r="A1279" s="26" t="s">
        <v>3016</v>
      </c>
      <c r="B1279" s="25" t="s">
        <v>10803</v>
      </c>
      <c r="C1279" s="6" t="s">
        <v>872</v>
      </c>
      <c r="D1279" s="13">
        <v>4076.0098820999997</v>
      </c>
      <c r="E1279" s="18">
        <v>21</v>
      </c>
      <c r="F1279" s="2">
        <f t="shared" si="38"/>
        <v>4931.9719573409993</v>
      </c>
      <c r="G1279" s="3">
        <v>0</v>
      </c>
      <c r="H1279" s="4">
        <v>0.7</v>
      </c>
      <c r="I1279" s="28">
        <f t="shared" si="39"/>
        <v>8384.3523274796989</v>
      </c>
    </row>
    <row r="1280" spans="1:9" ht="15.75" customHeight="1" x14ac:dyDescent="0.35">
      <c r="A1280" s="26" t="s">
        <v>3017</v>
      </c>
      <c r="B1280" s="25" t="s">
        <v>12241</v>
      </c>
      <c r="C1280" s="6" t="s">
        <v>873</v>
      </c>
      <c r="D1280" s="13">
        <v>3404.4833498000003</v>
      </c>
      <c r="E1280" s="18">
        <v>21</v>
      </c>
      <c r="F1280" s="2">
        <f t="shared" si="38"/>
        <v>4119.4248532580004</v>
      </c>
      <c r="G1280" s="3">
        <v>0</v>
      </c>
      <c r="H1280" s="4">
        <v>0.7</v>
      </c>
      <c r="I1280" s="28">
        <f t="shared" si="39"/>
        <v>7003.0222505386009</v>
      </c>
    </row>
    <row r="1281" spans="1:9" ht="15.75" customHeight="1" x14ac:dyDescent="0.35">
      <c r="A1281" s="26" t="s">
        <v>3018</v>
      </c>
      <c r="B1281" s="25" t="s">
        <v>10804</v>
      </c>
      <c r="C1281" s="6" t="s">
        <v>874</v>
      </c>
      <c r="D1281" s="13">
        <v>4450.8153885000002</v>
      </c>
      <c r="E1281" s="18">
        <v>21</v>
      </c>
      <c r="F1281" s="2">
        <f t="shared" si="38"/>
        <v>5385.4866200850001</v>
      </c>
      <c r="G1281" s="3">
        <v>0</v>
      </c>
      <c r="H1281" s="4">
        <v>0.7</v>
      </c>
      <c r="I1281" s="28">
        <f t="shared" si="39"/>
        <v>9155.3272541445003</v>
      </c>
    </row>
    <row r="1282" spans="1:9" ht="15.75" customHeight="1" x14ac:dyDescent="0.35">
      <c r="A1282" s="26" t="s">
        <v>3019</v>
      </c>
      <c r="B1282" s="25" t="s">
        <v>9478</v>
      </c>
      <c r="C1282" s="6" t="s">
        <v>875</v>
      </c>
      <c r="D1282" s="13">
        <v>4294.6464274999998</v>
      </c>
      <c r="E1282" s="18">
        <v>21</v>
      </c>
      <c r="F1282" s="2">
        <f t="shared" si="38"/>
        <v>5196.5221772750001</v>
      </c>
      <c r="G1282" s="3">
        <v>0</v>
      </c>
      <c r="H1282" s="4">
        <v>0.7</v>
      </c>
      <c r="I1282" s="28">
        <f t="shared" si="39"/>
        <v>8834.0877013674999</v>
      </c>
    </row>
    <row r="1283" spans="1:9" ht="15.75" customHeight="1" x14ac:dyDescent="0.35">
      <c r="A1283" s="26" t="s">
        <v>3020</v>
      </c>
      <c r="B1283" s="25" t="s">
        <v>10021</v>
      </c>
      <c r="C1283" s="6" t="s">
        <v>876</v>
      </c>
      <c r="D1283" s="13">
        <v>4138.4774664999995</v>
      </c>
      <c r="E1283" s="18">
        <v>21</v>
      </c>
      <c r="F1283" s="2">
        <f t="shared" si="38"/>
        <v>5007.5577344649992</v>
      </c>
      <c r="G1283" s="3">
        <v>0</v>
      </c>
      <c r="H1283" s="4">
        <v>0.7</v>
      </c>
      <c r="I1283" s="28">
        <f t="shared" si="39"/>
        <v>8512.8481485904977</v>
      </c>
    </row>
    <row r="1284" spans="1:9" ht="15.75" customHeight="1" x14ac:dyDescent="0.35">
      <c r="A1284" s="26" t="s">
        <v>3373</v>
      </c>
      <c r="B1284" s="25" t="s">
        <v>9479</v>
      </c>
      <c r="C1284" s="6" t="s">
        <v>11059</v>
      </c>
      <c r="D1284" s="13">
        <v>2195.64</v>
      </c>
      <c r="E1284" s="18">
        <v>10.5</v>
      </c>
      <c r="F1284" s="2">
        <f t="shared" si="38"/>
        <v>2426.1821999999997</v>
      </c>
      <c r="G1284" s="3">
        <v>0</v>
      </c>
      <c r="H1284" s="4">
        <v>0.7</v>
      </c>
      <c r="I1284" s="28">
        <f t="shared" si="39"/>
        <v>4124.5097399999995</v>
      </c>
    </row>
    <row r="1285" spans="1:9" ht="15.75" customHeight="1" x14ac:dyDescent="0.35">
      <c r="A1285" s="26" t="s">
        <v>10941</v>
      </c>
      <c r="B1285" s="25" t="s">
        <v>10979</v>
      </c>
      <c r="C1285" s="6" t="s">
        <v>10942</v>
      </c>
      <c r="D1285" s="13">
        <v>55675.142249999997</v>
      </c>
      <c r="E1285" s="18">
        <v>21</v>
      </c>
      <c r="F1285" s="2">
        <f t="shared" si="38"/>
        <v>67366.922122499993</v>
      </c>
      <c r="G1285" s="3">
        <v>0</v>
      </c>
      <c r="H1285" s="4">
        <v>0.7</v>
      </c>
      <c r="I1285" s="28">
        <f t="shared" si="39"/>
        <v>114523.76760824998</v>
      </c>
    </row>
    <row r="1286" spans="1:9" ht="15.75" customHeight="1" x14ac:dyDescent="0.35">
      <c r="A1286" s="26" t="s">
        <v>10253</v>
      </c>
      <c r="B1286" s="25" t="s">
        <v>10805</v>
      </c>
      <c r="C1286" s="6" t="s">
        <v>10254</v>
      </c>
      <c r="D1286" s="13">
        <v>45147.170250000003</v>
      </c>
      <c r="E1286" s="18">
        <v>21</v>
      </c>
      <c r="F1286" s="2">
        <f t="shared" ref="F1286:F1349" si="40">D1286*E1286/100+D1286</f>
        <v>54628.076002500005</v>
      </c>
      <c r="G1286" s="3">
        <v>0</v>
      </c>
      <c r="H1286" s="4">
        <v>0.7</v>
      </c>
      <c r="I1286" s="28">
        <f t="shared" ref="I1286:I1349" si="41">IF(G1286=-1,0,F1286*((100-G1286)/100)*(1+H1286))</f>
        <v>92867.729204250005</v>
      </c>
    </row>
    <row r="1287" spans="1:9" ht="15.75" customHeight="1" x14ac:dyDescent="0.35">
      <c r="A1287" s="26" t="s">
        <v>1341</v>
      </c>
      <c r="B1287" s="25" t="s">
        <v>9480</v>
      </c>
      <c r="C1287" s="6" t="s">
        <v>171</v>
      </c>
      <c r="D1287" s="13">
        <v>18360.47668</v>
      </c>
      <c r="E1287" s="18">
        <v>21</v>
      </c>
      <c r="F1287" s="2">
        <f t="shared" si="40"/>
        <v>22216.176782800001</v>
      </c>
      <c r="G1287" s="3">
        <v>0</v>
      </c>
      <c r="H1287" s="4">
        <v>0.7</v>
      </c>
      <c r="I1287" s="28">
        <f t="shared" si="41"/>
        <v>37767.50053076</v>
      </c>
    </row>
    <row r="1288" spans="1:9" ht="15.75" customHeight="1" x14ac:dyDescent="0.35">
      <c r="A1288" s="26" t="s">
        <v>12917</v>
      </c>
      <c r="B1288" s="25" t="s">
        <v>10023</v>
      </c>
      <c r="C1288" s="6" t="s">
        <v>12918</v>
      </c>
      <c r="D1288" s="13">
        <v>14263.770248000001</v>
      </c>
      <c r="E1288" s="18">
        <v>21</v>
      </c>
      <c r="F1288" s="2">
        <f t="shared" si="40"/>
        <v>17259.162000079999</v>
      </c>
      <c r="G1288" s="3">
        <v>0</v>
      </c>
      <c r="H1288" s="4">
        <v>0.7</v>
      </c>
      <c r="I1288" s="28">
        <f t="shared" si="41"/>
        <v>29340.575400135996</v>
      </c>
    </row>
    <row r="1289" spans="1:9" ht="15.75" customHeight="1" x14ac:dyDescent="0.35">
      <c r="A1289" s="26" t="s">
        <v>9006</v>
      </c>
      <c r="B1289" s="25" t="s">
        <v>9481</v>
      </c>
      <c r="C1289" s="6" t="s">
        <v>9017</v>
      </c>
      <c r="D1289" s="13">
        <v>12895.5318748308</v>
      </c>
      <c r="E1289" s="18">
        <v>21</v>
      </c>
      <c r="F1289" s="2">
        <f t="shared" si="40"/>
        <v>15603.593568545268</v>
      </c>
      <c r="G1289" s="3">
        <v>0</v>
      </c>
      <c r="H1289" s="4">
        <v>0.7</v>
      </c>
      <c r="I1289" s="28">
        <f t="shared" si="41"/>
        <v>26526.109066526955</v>
      </c>
    </row>
    <row r="1290" spans="1:9" ht="15.75" customHeight="1" x14ac:dyDescent="0.35">
      <c r="A1290" s="26" t="s">
        <v>3517</v>
      </c>
      <c r="B1290" s="25" t="s">
        <v>10806</v>
      </c>
      <c r="C1290" s="6" t="s">
        <v>12016</v>
      </c>
      <c r="D1290" s="13">
        <v>15830.133784919999</v>
      </c>
      <c r="E1290" s="18">
        <v>21</v>
      </c>
      <c r="F1290" s="2">
        <f t="shared" si="40"/>
        <v>19154.461879753198</v>
      </c>
      <c r="G1290" s="3">
        <v>0</v>
      </c>
      <c r="H1290" s="4">
        <v>0.7</v>
      </c>
      <c r="I1290" s="28">
        <f t="shared" si="41"/>
        <v>32562.585195580436</v>
      </c>
    </row>
    <row r="1291" spans="1:9" ht="15.75" customHeight="1" x14ac:dyDescent="0.35">
      <c r="A1291" s="26" t="s">
        <v>1442</v>
      </c>
      <c r="B1291" s="25" t="s">
        <v>10807</v>
      </c>
      <c r="C1291" s="6" t="s">
        <v>13922</v>
      </c>
      <c r="D1291" s="13">
        <v>464.03690449999999</v>
      </c>
      <c r="E1291" s="18">
        <v>21</v>
      </c>
      <c r="F1291" s="2">
        <f t="shared" si="40"/>
        <v>561.48465444499993</v>
      </c>
      <c r="G1291" s="3">
        <v>0</v>
      </c>
      <c r="H1291" s="4">
        <v>0.7</v>
      </c>
      <c r="I1291" s="28">
        <f t="shared" si="41"/>
        <v>954.52391255649991</v>
      </c>
    </row>
    <row r="1292" spans="1:9" ht="15.75" customHeight="1" x14ac:dyDescent="0.35">
      <c r="A1292" s="26" t="s">
        <v>1445</v>
      </c>
      <c r="B1292" s="25" t="s">
        <v>9482</v>
      </c>
      <c r="C1292" s="6" t="s">
        <v>13923</v>
      </c>
      <c r="D1292" s="13">
        <v>864.36304500000006</v>
      </c>
      <c r="E1292" s="18">
        <v>21</v>
      </c>
      <c r="F1292" s="2">
        <f t="shared" si="40"/>
        <v>1045.8792844500001</v>
      </c>
      <c r="G1292" s="3">
        <v>0</v>
      </c>
      <c r="H1292" s="4">
        <v>0.7</v>
      </c>
      <c r="I1292" s="28">
        <f t="shared" si="41"/>
        <v>1777.994783565</v>
      </c>
    </row>
    <row r="1293" spans="1:9" ht="15.75" customHeight="1" x14ac:dyDescent="0.35">
      <c r="A1293" s="26" t="s">
        <v>1441</v>
      </c>
      <c r="B1293" s="25" t="s">
        <v>9483</v>
      </c>
      <c r="C1293" s="6" t="s">
        <v>13328</v>
      </c>
      <c r="D1293" s="13">
        <v>2638.8600908852436</v>
      </c>
      <c r="E1293" s="18">
        <v>21</v>
      </c>
      <c r="F1293" s="2">
        <f t="shared" si="40"/>
        <v>3193.0207099711447</v>
      </c>
      <c r="G1293" s="3">
        <v>0</v>
      </c>
      <c r="H1293" s="4">
        <v>0.7</v>
      </c>
      <c r="I1293" s="28">
        <f t="shared" si="41"/>
        <v>5428.1352069509458</v>
      </c>
    </row>
    <row r="1294" spans="1:9" ht="15.75" customHeight="1" x14ac:dyDescent="0.35">
      <c r="A1294" s="26" t="s">
        <v>1440</v>
      </c>
      <c r="B1294" s="25" t="s">
        <v>12821</v>
      </c>
      <c r="C1294" s="6" t="s">
        <v>13259</v>
      </c>
      <c r="D1294" s="13">
        <v>4304.3843416568134</v>
      </c>
      <c r="E1294" s="18">
        <v>21</v>
      </c>
      <c r="F1294" s="2">
        <f t="shared" si="40"/>
        <v>5208.3050534047443</v>
      </c>
      <c r="G1294" s="3">
        <v>0</v>
      </c>
      <c r="H1294" s="4">
        <v>0.7</v>
      </c>
      <c r="I1294" s="28">
        <f t="shared" si="41"/>
        <v>8854.1185907880645</v>
      </c>
    </row>
    <row r="1295" spans="1:9" ht="15.75" customHeight="1" x14ac:dyDescent="0.35">
      <c r="A1295" s="26" t="s">
        <v>1438</v>
      </c>
      <c r="B1295" s="25" t="s">
        <v>9484</v>
      </c>
      <c r="C1295" s="6" t="s">
        <v>10591</v>
      </c>
      <c r="D1295" s="13">
        <v>2184.6350500000003</v>
      </c>
      <c r="E1295" s="18">
        <v>21</v>
      </c>
      <c r="F1295" s="2">
        <f t="shared" si="40"/>
        <v>2643.4084105000002</v>
      </c>
      <c r="G1295" s="3">
        <v>0</v>
      </c>
      <c r="H1295" s="4">
        <v>0.7</v>
      </c>
      <c r="I1295" s="28">
        <f t="shared" si="41"/>
        <v>4493.7942978500005</v>
      </c>
    </row>
    <row r="1296" spans="1:9" ht="15.75" customHeight="1" x14ac:dyDescent="0.35">
      <c r="A1296" s="26" t="s">
        <v>1439</v>
      </c>
      <c r="B1296" s="25" t="s">
        <v>10980</v>
      </c>
      <c r="C1296" s="6" t="s">
        <v>9226</v>
      </c>
      <c r="D1296" s="13">
        <v>1600.6195944079691</v>
      </c>
      <c r="E1296" s="18">
        <v>21</v>
      </c>
      <c r="F1296" s="2">
        <f t="shared" si="40"/>
        <v>1936.7497092336425</v>
      </c>
      <c r="G1296" s="3">
        <v>0</v>
      </c>
      <c r="H1296" s="4">
        <v>0.7</v>
      </c>
      <c r="I1296" s="28">
        <f t="shared" si="41"/>
        <v>3292.4745056971924</v>
      </c>
    </row>
    <row r="1297" spans="1:9" ht="15.75" customHeight="1" x14ac:dyDescent="0.35">
      <c r="A1297" s="26" t="s">
        <v>1443</v>
      </c>
      <c r="B1297" s="25" t="s">
        <v>9485</v>
      </c>
      <c r="C1297" s="6" t="s">
        <v>10255</v>
      </c>
      <c r="D1297" s="13">
        <v>810.433368143434</v>
      </c>
      <c r="E1297" s="18">
        <v>21</v>
      </c>
      <c r="F1297" s="2">
        <f t="shared" si="40"/>
        <v>980.6243754535551</v>
      </c>
      <c r="G1297" s="3">
        <v>0</v>
      </c>
      <c r="H1297" s="4">
        <v>0.7</v>
      </c>
      <c r="I1297" s="28">
        <f t="shared" si="41"/>
        <v>1667.0614382710437</v>
      </c>
    </row>
    <row r="1298" spans="1:9" ht="15.75" customHeight="1" x14ac:dyDescent="0.35">
      <c r="A1298" s="26" t="s">
        <v>1444</v>
      </c>
      <c r="B1298" s="25" t="s">
        <v>12823</v>
      </c>
      <c r="C1298" s="6" t="s">
        <v>10256</v>
      </c>
      <c r="D1298" s="13">
        <v>679.71830876546005</v>
      </c>
      <c r="E1298" s="18">
        <v>21</v>
      </c>
      <c r="F1298" s="2">
        <f t="shared" si="40"/>
        <v>822.45915360620666</v>
      </c>
      <c r="G1298" s="3">
        <v>0</v>
      </c>
      <c r="H1298" s="4">
        <v>0.7</v>
      </c>
      <c r="I1298" s="28">
        <f t="shared" si="41"/>
        <v>1398.1805611305513</v>
      </c>
    </row>
    <row r="1299" spans="1:9" ht="15.75" customHeight="1" x14ac:dyDescent="0.35">
      <c r="A1299" s="26" t="s">
        <v>13707</v>
      </c>
      <c r="B1299" s="25" t="s">
        <v>9486</v>
      </c>
      <c r="C1299" s="6" t="s">
        <v>13708</v>
      </c>
      <c r="D1299" s="13">
        <v>806.57850000000008</v>
      </c>
      <c r="E1299" s="18">
        <v>21</v>
      </c>
      <c r="F1299" s="2">
        <f t="shared" si="40"/>
        <v>975.95998500000007</v>
      </c>
      <c r="G1299" s="3">
        <v>0</v>
      </c>
      <c r="H1299" s="4">
        <v>0.7</v>
      </c>
      <c r="I1299" s="28">
        <f t="shared" si="41"/>
        <v>1659.1319745000001</v>
      </c>
    </row>
    <row r="1300" spans="1:9" ht="15.75" customHeight="1" x14ac:dyDescent="0.35">
      <c r="A1300" s="26" t="s">
        <v>1446</v>
      </c>
      <c r="B1300" s="25" t="s">
        <v>11298</v>
      </c>
      <c r="C1300" s="6" t="s">
        <v>10257</v>
      </c>
      <c r="D1300" s="13">
        <v>1400.9891109494299</v>
      </c>
      <c r="E1300" s="18">
        <v>21</v>
      </c>
      <c r="F1300" s="2">
        <f t="shared" si="40"/>
        <v>1695.1968242488101</v>
      </c>
      <c r="G1300" s="3">
        <v>0</v>
      </c>
      <c r="H1300" s="4">
        <v>0.7</v>
      </c>
      <c r="I1300" s="28">
        <f t="shared" si="41"/>
        <v>2881.8346012229772</v>
      </c>
    </row>
    <row r="1301" spans="1:9" ht="15.75" customHeight="1" x14ac:dyDescent="0.35">
      <c r="A1301" s="26" t="s">
        <v>1447</v>
      </c>
      <c r="B1301" s="25" t="s">
        <v>11299</v>
      </c>
      <c r="C1301" s="6" t="s">
        <v>10258</v>
      </c>
      <c r="D1301" s="13">
        <v>1175.0194300000001</v>
      </c>
      <c r="E1301" s="18">
        <v>21</v>
      </c>
      <c r="F1301" s="2">
        <f t="shared" si="40"/>
        <v>1421.7735103</v>
      </c>
      <c r="G1301" s="3">
        <v>0</v>
      </c>
      <c r="H1301" s="4">
        <v>0.7</v>
      </c>
      <c r="I1301" s="28">
        <f t="shared" si="41"/>
        <v>2417.0149675100001</v>
      </c>
    </row>
    <row r="1302" spans="1:9" ht="15.75" customHeight="1" x14ac:dyDescent="0.35">
      <c r="A1302" s="26" t="s">
        <v>1448</v>
      </c>
      <c r="B1302" s="25" t="s">
        <v>9487</v>
      </c>
      <c r="C1302" s="6" t="s">
        <v>13709</v>
      </c>
      <c r="D1302" s="13">
        <v>1400.8995</v>
      </c>
      <c r="E1302" s="18">
        <v>21</v>
      </c>
      <c r="F1302" s="2">
        <f t="shared" si="40"/>
        <v>1695.088395</v>
      </c>
      <c r="G1302" s="3">
        <v>0</v>
      </c>
      <c r="H1302" s="4">
        <v>0.7</v>
      </c>
      <c r="I1302" s="28">
        <f t="shared" si="41"/>
        <v>2881.6502714999997</v>
      </c>
    </row>
    <row r="1303" spans="1:9" ht="15.75" customHeight="1" x14ac:dyDescent="0.35">
      <c r="A1303" s="26" t="s">
        <v>1449</v>
      </c>
      <c r="B1303" s="25" t="s">
        <v>12825</v>
      </c>
      <c r="C1303" s="6" t="s">
        <v>10259</v>
      </c>
      <c r="D1303" s="13">
        <v>426.81443999999999</v>
      </c>
      <c r="E1303" s="18">
        <v>21</v>
      </c>
      <c r="F1303" s="2">
        <f t="shared" si="40"/>
        <v>516.44547239999997</v>
      </c>
      <c r="G1303" s="3">
        <v>0</v>
      </c>
      <c r="H1303" s="4">
        <v>0.7</v>
      </c>
      <c r="I1303" s="28">
        <f t="shared" si="41"/>
        <v>877.95730307999997</v>
      </c>
    </row>
    <row r="1304" spans="1:9" ht="15.75" customHeight="1" x14ac:dyDescent="0.35">
      <c r="A1304" s="26" t="s">
        <v>1455</v>
      </c>
      <c r="B1304" s="25" t="s">
        <v>9488</v>
      </c>
      <c r="C1304" s="6" t="s">
        <v>10592</v>
      </c>
      <c r="D1304" s="13">
        <v>1322.5627999999999</v>
      </c>
      <c r="E1304" s="18">
        <v>21</v>
      </c>
      <c r="F1304" s="2">
        <f t="shared" si="40"/>
        <v>1600.300988</v>
      </c>
      <c r="G1304" s="3">
        <v>0</v>
      </c>
      <c r="H1304" s="4">
        <v>0.7</v>
      </c>
      <c r="I1304" s="28">
        <f t="shared" si="41"/>
        <v>2720.5116795999998</v>
      </c>
    </row>
    <row r="1305" spans="1:9" ht="15.75" customHeight="1" x14ac:dyDescent="0.35">
      <c r="A1305" s="26" t="s">
        <v>9716</v>
      </c>
      <c r="B1305" s="25" t="s">
        <v>9145</v>
      </c>
      <c r="C1305" s="6" t="s">
        <v>10808</v>
      </c>
      <c r="D1305" s="13">
        <v>13231.484109999999</v>
      </c>
      <c r="E1305" s="18">
        <v>21</v>
      </c>
      <c r="F1305" s="2">
        <f t="shared" si="40"/>
        <v>16010.0957731</v>
      </c>
      <c r="G1305" s="3">
        <v>0</v>
      </c>
      <c r="H1305" s="4">
        <v>0.7</v>
      </c>
      <c r="I1305" s="28">
        <f t="shared" si="41"/>
        <v>27217.162814269999</v>
      </c>
    </row>
    <row r="1306" spans="1:9" ht="15.75" customHeight="1" x14ac:dyDescent="0.35">
      <c r="A1306" s="26" t="s">
        <v>1451</v>
      </c>
      <c r="B1306" s="25" t="s">
        <v>9146</v>
      </c>
      <c r="C1306" s="6" t="s">
        <v>12782</v>
      </c>
      <c r="D1306" s="13">
        <v>7051.3962999999994</v>
      </c>
      <c r="E1306" s="18">
        <v>21</v>
      </c>
      <c r="F1306" s="2">
        <f t="shared" si="40"/>
        <v>8532.1895229999991</v>
      </c>
      <c r="G1306" s="3">
        <v>0</v>
      </c>
      <c r="H1306" s="4">
        <v>0.7</v>
      </c>
      <c r="I1306" s="28">
        <f t="shared" si="41"/>
        <v>14504.722189099997</v>
      </c>
    </row>
    <row r="1307" spans="1:9" ht="15.75" customHeight="1" x14ac:dyDescent="0.35">
      <c r="A1307" s="26" t="s">
        <v>1453</v>
      </c>
      <c r="B1307" s="25" t="s">
        <v>2778</v>
      </c>
      <c r="C1307" s="6" t="s">
        <v>10593</v>
      </c>
      <c r="D1307" s="13">
        <v>4489.59283177016</v>
      </c>
      <c r="E1307" s="18">
        <v>21</v>
      </c>
      <c r="F1307" s="2">
        <f t="shared" si="40"/>
        <v>5432.4073264418939</v>
      </c>
      <c r="G1307" s="3">
        <v>0</v>
      </c>
      <c r="H1307" s="4">
        <v>0.7</v>
      </c>
      <c r="I1307" s="28">
        <f t="shared" si="41"/>
        <v>9235.0924549512201</v>
      </c>
    </row>
    <row r="1308" spans="1:9" ht="15.75" customHeight="1" x14ac:dyDescent="0.35">
      <c r="A1308" s="26" t="s">
        <v>1454</v>
      </c>
      <c r="B1308" s="25" t="s">
        <v>9557</v>
      </c>
      <c r="C1308" s="6" t="s">
        <v>10594</v>
      </c>
      <c r="D1308" s="13">
        <v>6504.9946582000002</v>
      </c>
      <c r="E1308" s="18">
        <v>21</v>
      </c>
      <c r="F1308" s="2">
        <f t="shared" si="40"/>
        <v>7871.0435364220002</v>
      </c>
      <c r="G1308" s="3">
        <v>0</v>
      </c>
      <c r="H1308" s="4">
        <v>0.7</v>
      </c>
      <c r="I1308" s="28">
        <f t="shared" si="41"/>
        <v>13380.7740119174</v>
      </c>
    </row>
    <row r="1309" spans="1:9" ht="15.75" customHeight="1" x14ac:dyDescent="0.35">
      <c r="A1309" s="26" t="s">
        <v>1456</v>
      </c>
      <c r="B1309" s="25" t="s">
        <v>2782</v>
      </c>
      <c r="C1309" s="6" t="s">
        <v>10260</v>
      </c>
      <c r="D1309" s="13">
        <v>7907.68022193047</v>
      </c>
      <c r="E1309" s="18">
        <v>21</v>
      </c>
      <c r="F1309" s="2">
        <f t="shared" si="40"/>
        <v>9568.2930685358697</v>
      </c>
      <c r="G1309" s="3">
        <v>0</v>
      </c>
      <c r="H1309" s="4">
        <v>0.7</v>
      </c>
      <c r="I1309" s="28">
        <f t="shared" si="41"/>
        <v>16266.098216510978</v>
      </c>
    </row>
    <row r="1310" spans="1:9" ht="15.75" customHeight="1" x14ac:dyDescent="0.35">
      <c r="A1310" s="26" t="s">
        <v>1457</v>
      </c>
      <c r="B1310" s="25" t="s">
        <v>2780</v>
      </c>
      <c r="C1310" s="6" t="s">
        <v>10261</v>
      </c>
      <c r="D1310" s="13">
        <v>15822.018523999999</v>
      </c>
      <c r="E1310" s="18">
        <v>21</v>
      </c>
      <c r="F1310" s="2">
        <f t="shared" si="40"/>
        <v>19144.642414039998</v>
      </c>
      <c r="G1310" s="3">
        <v>0</v>
      </c>
      <c r="H1310" s="4">
        <v>0.7</v>
      </c>
      <c r="I1310" s="28">
        <f t="shared" si="41"/>
        <v>32545.892103867995</v>
      </c>
    </row>
    <row r="1311" spans="1:9" ht="15.75" customHeight="1" x14ac:dyDescent="0.35">
      <c r="A1311" s="26" t="s">
        <v>9717</v>
      </c>
      <c r="B1311" s="25" t="s">
        <v>1146</v>
      </c>
      <c r="C1311" s="6" t="s">
        <v>9718</v>
      </c>
      <c r="D1311" s="13">
        <v>9639.7815659527096</v>
      </c>
      <c r="E1311" s="18">
        <v>21</v>
      </c>
      <c r="F1311" s="2">
        <f t="shared" si="40"/>
        <v>11664.135694802779</v>
      </c>
      <c r="G1311" s="3">
        <v>0</v>
      </c>
      <c r="H1311" s="4">
        <v>0.7</v>
      </c>
      <c r="I1311" s="28">
        <f t="shared" si="41"/>
        <v>19829.030681164724</v>
      </c>
    </row>
    <row r="1312" spans="1:9" ht="15.75" customHeight="1" x14ac:dyDescent="0.35">
      <c r="A1312" s="26" t="s">
        <v>8856</v>
      </c>
      <c r="B1312" s="25" t="s">
        <v>9489</v>
      </c>
      <c r="C1312" s="6" t="s">
        <v>8862</v>
      </c>
      <c r="D1312" s="13">
        <v>3369.6557699999998</v>
      </c>
      <c r="E1312" s="18">
        <v>21</v>
      </c>
      <c r="F1312" s="2">
        <f t="shared" si="40"/>
        <v>4077.2834816999998</v>
      </c>
      <c r="G1312" s="3">
        <v>0</v>
      </c>
      <c r="H1312" s="4">
        <v>0.7</v>
      </c>
      <c r="I1312" s="28">
        <f t="shared" si="41"/>
        <v>6931.3819188899997</v>
      </c>
    </row>
    <row r="1313" spans="1:9" ht="15.75" customHeight="1" x14ac:dyDescent="0.35">
      <c r="A1313" s="26" t="s">
        <v>8857</v>
      </c>
      <c r="B1313" s="25" t="s">
        <v>9490</v>
      </c>
      <c r="C1313" s="6" t="s">
        <v>8863</v>
      </c>
      <c r="D1313" s="13">
        <v>3304.6027648080999</v>
      </c>
      <c r="E1313" s="18">
        <v>21</v>
      </c>
      <c r="F1313" s="2">
        <f t="shared" si="40"/>
        <v>3998.5693454178008</v>
      </c>
      <c r="G1313" s="3">
        <v>0</v>
      </c>
      <c r="H1313" s="4">
        <v>0.7</v>
      </c>
      <c r="I1313" s="28">
        <f t="shared" si="41"/>
        <v>6797.5678872102617</v>
      </c>
    </row>
    <row r="1314" spans="1:9" ht="15.75" customHeight="1" x14ac:dyDescent="0.35">
      <c r="A1314" s="26" t="s">
        <v>8858</v>
      </c>
      <c r="B1314" s="25" t="s">
        <v>9491</v>
      </c>
      <c r="C1314" s="6" t="s">
        <v>8864</v>
      </c>
      <c r="D1314" s="13">
        <v>4841.3377437865202</v>
      </c>
      <c r="E1314" s="18">
        <v>21</v>
      </c>
      <c r="F1314" s="2">
        <f t="shared" si="40"/>
        <v>5858.0186699816895</v>
      </c>
      <c r="G1314" s="3">
        <v>0</v>
      </c>
      <c r="H1314" s="4">
        <v>0.7</v>
      </c>
      <c r="I1314" s="28">
        <f t="shared" si="41"/>
        <v>9958.631738968872</v>
      </c>
    </row>
    <row r="1315" spans="1:9" ht="15.75" customHeight="1" x14ac:dyDescent="0.35">
      <c r="A1315" s="26" t="s">
        <v>9203</v>
      </c>
      <c r="B1315" s="25" t="s">
        <v>9492</v>
      </c>
      <c r="C1315" s="6" t="s">
        <v>9879</v>
      </c>
      <c r="D1315" s="13">
        <v>1457.1559600000001</v>
      </c>
      <c r="E1315" s="18">
        <v>21</v>
      </c>
      <c r="F1315" s="2">
        <f t="shared" si="40"/>
        <v>1763.1587116000001</v>
      </c>
      <c r="G1315" s="3">
        <v>0</v>
      </c>
      <c r="H1315" s="4">
        <v>0.7</v>
      </c>
      <c r="I1315" s="28">
        <f t="shared" si="41"/>
        <v>2997.3698097199999</v>
      </c>
    </row>
    <row r="1316" spans="1:9" ht="15.75" customHeight="1" x14ac:dyDescent="0.35">
      <c r="A1316" s="26" t="s">
        <v>1464</v>
      </c>
      <c r="B1316" s="25" t="s">
        <v>9493</v>
      </c>
      <c r="C1316" s="6" t="s">
        <v>10809</v>
      </c>
      <c r="D1316" s="13">
        <v>16504.891269424999</v>
      </c>
      <c r="E1316" s="18">
        <v>21</v>
      </c>
      <c r="F1316" s="2">
        <f t="shared" si="40"/>
        <v>19970.918436004249</v>
      </c>
      <c r="G1316" s="3">
        <v>0</v>
      </c>
      <c r="H1316" s="4">
        <v>0.7</v>
      </c>
      <c r="I1316" s="28">
        <f t="shared" si="41"/>
        <v>33950.56134120722</v>
      </c>
    </row>
    <row r="1317" spans="1:9" ht="15.75" customHeight="1" x14ac:dyDescent="0.35">
      <c r="A1317" s="26" t="s">
        <v>1465</v>
      </c>
      <c r="B1317" s="25" t="s">
        <v>9494</v>
      </c>
      <c r="C1317" s="6" t="s">
        <v>10810</v>
      </c>
      <c r="D1317" s="13">
        <v>3274.0523400000002</v>
      </c>
      <c r="E1317" s="18">
        <v>21</v>
      </c>
      <c r="F1317" s="2">
        <f t="shared" si="40"/>
        <v>3961.6033314000001</v>
      </c>
      <c r="G1317" s="3">
        <v>0</v>
      </c>
      <c r="H1317" s="4">
        <v>0.7</v>
      </c>
      <c r="I1317" s="28">
        <f t="shared" si="41"/>
        <v>6734.7256633799998</v>
      </c>
    </row>
    <row r="1318" spans="1:9" ht="15.75" customHeight="1" x14ac:dyDescent="0.35">
      <c r="A1318" s="26" t="s">
        <v>9204</v>
      </c>
      <c r="B1318" s="25" t="s">
        <v>9495</v>
      </c>
      <c r="C1318" s="6" t="s">
        <v>10811</v>
      </c>
      <c r="D1318" s="13">
        <v>8697.3842052907894</v>
      </c>
      <c r="E1318" s="18">
        <v>21</v>
      </c>
      <c r="F1318" s="2">
        <f t="shared" si="40"/>
        <v>10523.834888401856</v>
      </c>
      <c r="G1318" s="3">
        <v>0</v>
      </c>
      <c r="H1318" s="4">
        <v>0.7</v>
      </c>
      <c r="I1318" s="28">
        <f t="shared" si="41"/>
        <v>17890.519310283154</v>
      </c>
    </row>
    <row r="1319" spans="1:9" ht="15.75" customHeight="1" x14ac:dyDescent="0.35">
      <c r="A1319" s="26" t="s">
        <v>9205</v>
      </c>
      <c r="B1319" s="25" t="s">
        <v>9496</v>
      </c>
      <c r="C1319" s="6" t="s">
        <v>10812</v>
      </c>
      <c r="D1319" s="13">
        <v>8697.3805100000009</v>
      </c>
      <c r="E1319" s="18">
        <v>21</v>
      </c>
      <c r="F1319" s="2">
        <f t="shared" si="40"/>
        <v>10523.830417100002</v>
      </c>
      <c r="G1319" s="3">
        <v>0</v>
      </c>
      <c r="H1319" s="4">
        <v>0.7</v>
      </c>
      <c r="I1319" s="28">
        <f t="shared" si="41"/>
        <v>17890.511709070004</v>
      </c>
    </row>
    <row r="1320" spans="1:9" ht="15.75" customHeight="1" x14ac:dyDescent="0.35">
      <c r="A1320" s="26" t="s">
        <v>1463</v>
      </c>
      <c r="B1320" s="25" t="s">
        <v>9497</v>
      </c>
      <c r="C1320" s="6" t="s">
        <v>10813</v>
      </c>
      <c r="D1320" s="13">
        <v>8697.3842052907894</v>
      </c>
      <c r="E1320" s="18">
        <v>21</v>
      </c>
      <c r="F1320" s="2">
        <f t="shared" si="40"/>
        <v>10523.834888401856</v>
      </c>
      <c r="G1320" s="3">
        <v>0</v>
      </c>
      <c r="H1320" s="4">
        <v>0.7</v>
      </c>
      <c r="I1320" s="28">
        <f t="shared" si="41"/>
        <v>17890.519310283154</v>
      </c>
    </row>
    <row r="1321" spans="1:9" ht="15.75" customHeight="1" x14ac:dyDescent="0.35">
      <c r="A1321" s="26" t="s">
        <v>3296</v>
      </c>
      <c r="B1321" s="25" t="s">
        <v>9498</v>
      </c>
      <c r="C1321" s="6" t="s">
        <v>172</v>
      </c>
      <c r="D1321" s="13">
        <v>9342.7470077292</v>
      </c>
      <c r="E1321" s="18">
        <v>21</v>
      </c>
      <c r="F1321" s="2">
        <f t="shared" si="40"/>
        <v>11304.723879352332</v>
      </c>
      <c r="G1321" s="3">
        <v>0</v>
      </c>
      <c r="H1321" s="4">
        <v>0.7</v>
      </c>
      <c r="I1321" s="28">
        <f t="shared" si="41"/>
        <v>19218.030594898963</v>
      </c>
    </row>
    <row r="1322" spans="1:9" ht="15.75" customHeight="1" x14ac:dyDescent="0.35">
      <c r="A1322" s="26" t="s">
        <v>3297</v>
      </c>
      <c r="B1322" s="25" t="s">
        <v>9499</v>
      </c>
      <c r="C1322" s="6" t="s">
        <v>173</v>
      </c>
      <c r="D1322" s="13">
        <v>11737.829893514399</v>
      </c>
      <c r="E1322" s="18">
        <v>21</v>
      </c>
      <c r="F1322" s="2">
        <f t="shared" si="40"/>
        <v>14202.774171152423</v>
      </c>
      <c r="G1322" s="3">
        <v>0</v>
      </c>
      <c r="H1322" s="4">
        <v>0.7</v>
      </c>
      <c r="I1322" s="28">
        <f t="shared" si="41"/>
        <v>24144.716090959118</v>
      </c>
    </row>
    <row r="1323" spans="1:9" ht="15.75" customHeight="1" x14ac:dyDescent="0.35">
      <c r="A1323" s="26" t="s">
        <v>3298</v>
      </c>
      <c r="B1323" s="25" t="s">
        <v>166</v>
      </c>
      <c r="C1323" s="6" t="s">
        <v>174</v>
      </c>
      <c r="D1323" s="13">
        <v>15293.3959816561</v>
      </c>
      <c r="E1323" s="18">
        <v>21</v>
      </c>
      <c r="F1323" s="2">
        <f t="shared" si="40"/>
        <v>18505.009137803881</v>
      </c>
      <c r="G1323" s="3">
        <v>0</v>
      </c>
      <c r="H1323" s="4">
        <v>0.7</v>
      </c>
      <c r="I1323" s="28">
        <f t="shared" si="41"/>
        <v>31458.515534266597</v>
      </c>
    </row>
    <row r="1324" spans="1:9" ht="15.75" customHeight="1" x14ac:dyDescent="0.35">
      <c r="A1324" s="26" t="s">
        <v>3299</v>
      </c>
      <c r="B1324" s="25" t="s">
        <v>12791</v>
      </c>
      <c r="C1324" s="6" t="s">
        <v>175</v>
      </c>
      <c r="D1324" s="13">
        <v>21240.416258333898</v>
      </c>
      <c r="E1324" s="18">
        <v>21</v>
      </c>
      <c r="F1324" s="2">
        <f t="shared" si="40"/>
        <v>25700.903672584016</v>
      </c>
      <c r="G1324" s="3">
        <v>0</v>
      </c>
      <c r="H1324" s="4">
        <v>0.7</v>
      </c>
      <c r="I1324" s="28">
        <f t="shared" si="41"/>
        <v>43691.536243392824</v>
      </c>
    </row>
    <row r="1325" spans="1:9" ht="15.75" customHeight="1" x14ac:dyDescent="0.35">
      <c r="A1325" s="26" t="s">
        <v>9324</v>
      </c>
      <c r="B1325" s="25" t="s">
        <v>12793</v>
      </c>
      <c r="C1325" s="6" t="s">
        <v>10814</v>
      </c>
      <c r="D1325" s="13">
        <v>13079.843092695601</v>
      </c>
      <c r="E1325" s="18">
        <v>21</v>
      </c>
      <c r="F1325" s="2">
        <f t="shared" si="40"/>
        <v>15826.610142161677</v>
      </c>
      <c r="G1325" s="3">
        <v>0</v>
      </c>
      <c r="H1325" s="4">
        <v>0.7</v>
      </c>
      <c r="I1325" s="28">
        <f t="shared" si="41"/>
        <v>26905.237241674851</v>
      </c>
    </row>
    <row r="1326" spans="1:9" ht="15.75" customHeight="1" x14ac:dyDescent="0.35">
      <c r="A1326" s="26" t="s">
        <v>3308</v>
      </c>
      <c r="B1326" s="25" t="s">
        <v>12795</v>
      </c>
      <c r="C1326" s="6" t="s">
        <v>10815</v>
      </c>
      <c r="D1326" s="13">
        <v>21410.754374318502</v>
      </c>
      <c r="E1326" s="18">
        <v>21</v>
      </c>
      <c r="F1326" s="2">
        <f t="shared" si="40"/>
        <v>25907.012792925387</v>
      </c>
      <c r="G1326" s="3">
        <v>0</v>
      </c>
      <c r="H1326" s="4">
        <v>0.7</v>
      </c>
      <c r="I1326" s="28">
        <f t="shared" si="41"/>
        <v>44041.92174797316</v>
      </c>
    </row>
    <row r="1327" spans="1:9" ht="15.75" customHeight="1" x14ac:dyDescent="0.35">
      <c r="A1327" s="26" t="s">
        <v>3300</v>
      </c>
      <c r="B1327" s="25" t="s">
        <v>12830</v>
      </c>
      <c r="C1327" s="6" t="s">
        <v>176</v>
      </c>
      <c r="D1327" s="13">
        <v>5511.9911209272004</v>
      </c>
      <c r="E1327" s="18">
        <v>21</v>
      </c>
      <c r="F1327" s="2">
        <f t="shared" si="40"/>
        <v>6669.5092563219123</v>
      </c>
      <c r="G1327" s="3">
        <v>0</v>
      </c>
      <c r="H1327" s="4">
        <v>0.7</v>
      </c>
      <c r="I1327" s="28">
        <f t="shared" si="41"/>
        <v>11338.16573574725</v>
      </c>
    </row>
    <row r="1328" spans="1:9" ht="15.75" customHeight="1" x14ac:dyDescent="0.35">
      <c r="A1328" s="26" t="s">
        <v>3301</v>
      </c>
      <c r="B1328" s="25" t="s">
        <v>12797</v>
      </c>
      <c r="C1328" s="6" t="s">
        <v>177</v>
      </c>
      <c r="D1328" s="13">
        <v>6956.5388009832004</v>
      </c>
      <c r="E1328" s="18">
        <v>21</v>
      </c>
      <c r="F1328" s="2">
        <f t="shared" si="40"/>
        <v>8417.4119491896727</v>
      </c>
      <c r="G1328" s="3">
        <v>0</v>
      </c>
      <c r="H1328" s="4">
        <v>0.7</v>
      </c>
      <c r="I1328" s="28">
        <f t="shared" si="41"/>
        <v>14309.600313622443</v>
      </c>
    </row>
    <row r="1329" spans="1:9" ht="15.75" customHeight="1" x14ac:dyDescent="0.35">
      <c r="A1329" s="26" t="s">
        <v>3302</v>
      </c>
      <c r="B1329" s="25" t="s">
        <v>12832</v>
      </c>
      <c r="C1329" s="6" t="s">
        <v>1094</v>
      </c>
      <c r="D1329" s="13">
        <v>8224.5850159824004</v>
      </c>
      <c r="E1329" s="18">
        <v>21</v>
      </c>
      <c r="F1329" s="2">
        <f t="shared" si="40"/>
        <v>9951.7478693387038</v>
      </c>
      <c r="G1329" s="3">
        <v>0</v>
      </c>
      <c r="H1329" s="4">
        <v>0.7</v>
      </c>
      <c r="I1329" s="28">
        <f t="shared" si="41"/>
        <v>16917.971377875798</v>
      </c>
    </row>
    <row r="1330" spans="1:9" ht="15.75" customHeight="1" x14ac:dyDescent="0.35">
      <c r="A1330" s="26" t="s">
        <v>3303</v>
      </c>
      <c r="B1330" s="25" t="s">
        <v>12798</v>
      </c>
      <c r="C1330" s="6" t="s">
        <v>178</v>
      </c>
      <c r="D1330" s="13">
        <v>4139.0252701199997</v>
      </c>
      <c r="E1330" s="18">
        <v>21</v>
      </c>
      <c r="F1330" s="2">
        <f t="shared" si="40"/>
        <v>5008.2205768451995</v>
      </c>
      <c r="G1330" s="3">
        <v>0</v>
      </c>
      <c r="H1330" s="4">
        <v>0.7</v>
      </c>
      <c r="I1330" s="28">
        <f t="shared" si="41"/>
        <v>8513.9749806368382</v>
      </c>
    </row>
    <row r="1331" spans="1:9" ht="15.75" customHeight="1" x14ac:dyDescent="0.35">
      <c r="A1331" s="26" t="s">
        <v>3306</v>
      </c>
      <c r="B1331" s="25" t="s">
        <v>12800</v>
      </c>
      <c r="C1331" s="6" t="s">
        <v>1233</v>
      </c>
      <c r="D1331" s="13">
        <v>620.28876909999997</v>
      </c>
      <c r="E1331" s="18">
        <v>21</v>
      </c>
      <c r="F1331" s="2">
        <f t="shared" si="40"/>
        <v>750.54941061099998</v>
      </c>
      <c r="G1331" s="3">
        <v>0</v>
      </c>
      <c r="H1331" s="4">
        <v>0.7</v>
      </c>
      <c r="I1331" s="28">
        <f t="shared" si="41"/>
        <v>1275.9339980386999</v>
      </c>
    </row>
    <row r="1332" spans="1:9" ht="15.75" customHeight="1" x14ac:dyDescent="0.35">
      <c r="A1332" s="26" t="s">
        <v>8759</v>
      </c>
      <c r="B1332" s="25" t="s">
        <v>9646</v>
      </c>
      <c r="C1332" s="6" t="s">
        <v>8760</v>
      </c>
      <c r="D1332" s="13">
        <v>731.80857749999996</v>
      </c>
      <c r="E1332" s="18">
        <v>21</v>
      </c>
      <c r="F1332" s="2">
        <f t="shared" si="40"/>
        <v>885.488378775</v>
      </c>
      <c r="G1332" s="3">
        <v>0</v>
      </c>
      <c r="H1332" s="4">
        <v>0.7</v>
      </c>
      <c r="I1332" s="28">
        <f t="shared" si="41"/>
        <v>1505.3302439175</v>
      </c>
    </row>
    <row r="1333" spans="1:9" ht="15.75" customHeight="1" x14ac:dyDescent="0.35">
      <c r="A1333" s="26" t="s">
        <v>1466</v>
      </c>
      <c r="B1333" s="25" t="s">
        <v>167</v>
      </c>
      <c r="C1333" s="6" t="s">
        <v>1095</v>
      </c>
      <c r="D1333" s="13">
        <v>8150.2033750000001</v>
      </c>
      <c r="E1333" s="18">
        <v>21</v>
      </c>
      <c r="F1333" s="2">
        <f t="shared" si="40"/>
        <v>9861.7460837500003</v>
      </c>
      <c r="G1333" s="3">
        <v>0</v>
      </c>
      <c r="H1333" s="4">
        <v>0.7</v>
      </c>
      <c r="I1333" s="28">
        <f t="shared" si="41"/>
        <v>16764.968342374999</v>
      </c>
    </row>
    <row r="1334" spans="1:9" ht="15.75" customHeight="1" x14ac:dyDescent="0.35">
      <c r="A1334" s="26" t="s">
        <v>1467</v>
      </c>
      <c r="B1334" s="25" t="s">
        <v>9648</v>
      </c>
      <c r="C1334" s="6" t="s">
        <v>10262</v>
      </c>
      <c r="D1334" s="13">
        <v>8476.2129010000008</v>
      </c>
      <c r="E1334" s="18">
        <v>21</v>
      </c>
      <c r="F1334" s="2">
        <f t="shared" si="40"/>
        <v>10256.217610210002</v>
      </c>
      <c r="G1334" s="3">
        <v>0</v>
      </c>
      <c r="H1334" s="4">
        <v>0.7</v>
      </c>
      <c r="I1334" s="28">
        <f t="shared" si="41"/>
        <v>17435.569937357002</v>
      </c>
    </row>
    <row r="1335" spans="1:9" ht="15.75" customHeight="1" x14ac:dyDescent="0.35">
      <c r="A1335" s="26" t="s">
        <v>8967</v>
      </c>
      <c r="B1335" s="25" t="s">
        <v>9650</v>
      </c>
      <c r="C1335" s="6" t="s">
        <v>9612</v>
      </c>
      <c r="D1335" s="13">
        <v>12750.373723750001</v>
      </c>
      <c r="E1335" s="18">
        <v>21</v>
      </c>
      <c r="F1335" s="2">
        <f t="shared" si="40"/>
        <v>15427.9522057375</v>
      </c>
      <c r="G1335" s="3">
        <v>0</v>
      </c>
      <c r="H1335" s="4">
        <v>0.7</v>
      </c>
      <c r="I1335" s="28">
        <f t="shared" si="41"/>
        <v>26227.518749753748</v>
      </c>
    </row>
    <row r="1336" spans="1:9" ht="15.75" customHeight="1" x14ac:dyDescent="0.35">
      <c r="A1336" s="26" t="s">
        <v>2475</v>
      </c>
      <c r="B1336" s="25" t="s">
        <v>9652</v>
      </c>
      <c r="C1336" s="6" t="s">
        <v>11577</v>
      </c>
      <c r="D1336" s="13">
        <v>414.89063499000002</v>
      </c>
      <c r="E1336" s="18">
        <v>21</v>
      </c>
      <c r="F1336" s="2">
        <f t="shared" si="40"/>
        <v>502.01766833790003</v>
      </c>
      <c r="G1336" s="3">
        <v>0</v>
      </c>
      <c r="H1336" s="4">
        <v>0.7</v>
      </c>
      <c r="I1336" s="28">
        <f t="shared" si="41"/>
        <v>853.43003617443003</v>
      </c>
    </row>
    <row r="1337" spans="1:9" ht="15.75" customHeight="1" x14ac:dyDescent="0.35">
      <c r="A1337" s="26" t="s">
        <v>1751</v>
      </c>
      <c r="B1337" s="25" t="s">
        <v>9654</v>
      </c>
      <c r="C1337" s="6" t="s">
        <v>179</v>
      </c>
      <c r="D1337" s="13">
        <v>421.0939525</v>
      </c>
      <c r="E1337" s="18">
        <v>21</v>
      </c>
      <c r="F1337" s="2">
        <f t="shared" si="40"/>
        <v>509.52368252500003</v>
      </c>
      <c r="G1337" s="3">
        <v>0</v>
      </c>
      <c r="H1337" s="4">
        <v>0.7</v>
      </c>
      <c r="I1337" s="28">
        <f t="shared" si="41"/>
        <v>866.19026029250006</v>
      </c>
    </row>
    <row r="1338" spans="1:9" ht="15.75" customHeight="1" x14ac:dyDescent="0.35">
      <c r="A1338" s="26" t="s">
        <v>1752</v>
      </c>
      <c r="B1338" s="25" t="s">
        <v>9656</v>
      </c>
      <c r="C1338" s="6" t="s">
        <v>180</v>
      </c>
      <c r="D1338" s="13">
        <v>523.742816824123</v>
      </c>
      <c r="E1338" s="18">
        <v>21</v>
      </c>
      <c r="F1338" s="2">
        <f t="shared" si="40"/>
        <v>633.72880835718888</v>
      </c>
      <c r="G1338" s="3">
        <v>0</v>
      </c>
      <c r="H1338" s="4">
        <v>0.7</v>
      </c>
      <c r="I1338" s="28">
        <f t="shared" si="41"/>
        <v>1077.3389742072211</v>
      </c>
    </row>
    <row r="1339" spans="1:9" ht="15.75" customHeight="1" x14ac:dyDescent="0.35">
      <c r="A1339" s="26" t="s">
        <v>1753</v>
      </c>
      <c r="B1339" s="25" t="s">
        <v>9658</v>
      </c>
      <c r="C1339" s="6" t="s">
        <v>181</v>
      </c>
      <c r="D1339" s="13">
        <v>626.36173599999995</v>
      </c>
      <c r="E1339" s="18">
        <v>21</v>
      </c>
      <c r="F1339" s="2">
        <f t="shared" si="40"/>
        <v>757.89770055999998</v>
      </c>
      <c r="G1339" s="3">
        <v>0</v>
      </c>
      <c r="H1339" s="4">
        <v>0.7</v>
      </c>
      <c r="I1339" s="28">
        <f t="shared" si="41"/>
        <v>1288.4260909519999</v>
      </c>
    </row>
    <row r="1340" spans="1:9" ht="15.75" customHeight="1" x14ac:dyDescent="0.35">
      <c r="A1340" s="26" t="s">
        <v>1754</v>
      </c>
      <c r="B1340" s="25" t="s">
        <v>10590</v>
      </c>
      <c r="C1340" s="6" t="s">
        <v>182</v>
      </c>
      <c r="D1340" s="13">
        <v>1051.7357955</v>
      </c>
      <c r="E1340" s="18">
        <v>21</v>
      </c>
      <c r="F1340" s="2">
        <f t="shared" si="40"/>
        <v>1272.6003125550001</v>
      </c>
      <c r="G1340" s="3">
        <v>0</v>
      </c>
      <c r="H1340" s="4">
        <v>0.7</v>
      </c>
      <c r="I1340" s="28">
        <f t="shared" si="41"/>
        <v>2163.4205313435</v>
      </c>
    </row>
    <row r="1341" spans="1:9" ht="15.75" customHeight="1" x14ac:dyDescent="0.35">
      <c r="A1341" s="26" t="s">
        <v>1755</v>
      </c>
      <c r="B1341" s="25" t="s">
        <v>12289</v>
      </c>
      <c r="C1341" s="6" t="s">
        <v>183</v>
      </c>
      <c r="D1341" s="13">
        <v>50.862190659370398</v>
      </c>
      <c r="E1341" s="18">
        <v>21</v>
      </c>
      <c r="F1341" s="2">
        <f t="shared" si="40"/>
        <v>61.543250697838182</v>
      </c>
      <c r="G1341" s="3">
        <v>0</v>
      </c>
      <c r="H1341" s="4">
        <v>0.7</v>
      </c>
      <c r="I1341" s="28">
        <f t="shared" si="41"/>
        <v>104.62352618632491</v>
      </c>
    </row>
    <row r="1342" spans="1:9" ht="15.75" customHeight="1" x14ac:dyDescent="0.35">
      <c r="A1342" s="26" t="s">
        <v>13574</v>
      </c>
      <c r="B1342" s="25" t="s">
        <v>12834</v>
      </c>
      <c r="C1342" s="6" t="s">
        <v>13575</v>
      </c>
      <c r="D1342" s="13">
        <v>3850.0552082888398</v>
      </c>
      <c r="E1342" s="18">
        <v>21</v>
      </c>
      <c r="F1342" s="2">
        <f t="shared" si="40"/>
        <v>4658.5668020294961</v>
      </c>
      <c r="G1342" s="3">
        <v>0</v>
      </c>
      <c r="H1342" s="4">
        <v>0.7</v>
      </c>
      <c r="I1342" s="28">
        <f t="shared" si="41"/>
        <v>7919.5635634501432</v>
      </c>
    </row>
    <row r="1343" spans="1:9" ht="15.75" customHeight="1" x14ac:dyDescent="0.35">
      <c r="A1343" s="26" t="s">
        <v>13576</v>
      </c>
      <c r="B1343" s="25" t="s">
        <v>10240</v>
      </c>
      <c r="C1343" s="6" t="s">
        <v>13577</v>
      </c>
      <c r="D1343" s="13">
        <v>4170.8971786025304</v>
      </c>
      <c r="E1343" s="18">
        <v>21</v>
      </c>
      <c r="F1343" s="2">
        <f t="shared" si="40"/>
        <v>5046.785586109062</v>
      </c>
      <c r="G1343" s="3">
        <v>0</v>
      </c>
      <c r="H1343" s="4">
        <v>0.7</v>
      </c>
      <c r="I1343" s="28">
        <f t="shared" si="41"/>
        <v>8579.5354963854061</v>
      </c>
    </row>
    <row r="1344" spans="1:9" ht="15.75" customHeight="1" x14ac:dyDescent="0.35">
      <c r="A1344" s="26" t="s">
        <v>13370</v>
      </c>
      <c r="B1344" s="25" t="s">
        <v>10241</v>
      </c>
      <c r="C1344" s="6" t="s">
        <v>13371</v>
      </c>
      <c r="D1344" s="13">
        <v>176.67108713047401</v>
      </c>
      <c r="E1344" s="18">
        <v>21</v>
      </c>
      <c r="F1344" s="2">
        <f t="shared" si="40"/>
        <v>213.77201542787355</v>
      </c>
      <c r="G1344" s="3">
        <v>0</v>
      </c>
      <c r="H1344" s="4">
        <v>0.7</v>
      </c>
      <c r="I1344" s="28">
        <f t="shared" si="41"/>
        <v>363.41242622738503</v>
      </c>
    </row>
    <row r="1345" spans="1:9" ht="15.75" customHeight="1" x14ac:dyDescent="0.35">
      <c r="A1345" s="26" t="s">
        <v>13372</v>
      </c>
      <c r="B1345" s="25" t="s">
        <v>13138</v>
      </c>
      <c r="C1345" s="6" t="s">
        <v>13373</v>
      </c>
      <c r="D1345" s="13">
        <v>304.57311205104003</v>
      </c>
      <c r="E1345" s="18">
        <v>21</v>
      </c>
      <c r="F1345" s="2">
        <f t="shared" si="40"/>
        <v>368.53346558175843</v>
      </c>
      <c r="G1345" s="3">
        <v>0</v>
      </c>
      <c r="H1345" s="4">
        <v>0.7</v>
      </c>
      <c r="I1345" s="28">
        <f t="shared" si="41"/>
        <v>626.50689148898937</v>
      </c>
    </row>
    <row r="1346" spans="1:9" ht="15.75" customHeight="1" x14ac:dyDescent="0.35">
      <c r="A1346" s="26" t="s">
        <v>13374</v>
      </c>
      <c r="B1346" s="25" t="s">
        <v>10242</v>
      </c>
      <c r="C1346" s="6" t="s">
        <v>13375</v>
      </c>
      <c r="D1346" s="13">
        <v>508.61554473397399</v>
      </c>
      <c r="E1346" s="18">
        <v>21</v>
      </c>
      <c r="F1346" s="2">
        <f t="shared" si="40"/>
        <v>615.42480912810856</v>
      </c>
      <c r="G1346" s="3">
        <v>0</v>
      </c>
      <c r="H1346" s="4">
        <v>0.7</v>
      </c>
      <c r="I1346" s="28">
        <f t="shared" si="41"/>
        <v>1046.2221755177845</v>
      </c>
    </row>
    <row r="1347" spans="1:9" ht="15.75" customHeight="1" x14ac:dyDescent="0.35">
      <c r="A1347" s="26" t="s">
        <v>13376</v>
      </c>
      <c r="B1347" s="25" t="s">
        <v>168</v>
      </c>
      <c r="C1347" s="6" t="s">
        <v>13377</v>
      </c>
      <c r="D1347" s="13">
        <v>1151.38659269656</v>
      </c>
      <c r="E1347" s="18">
        <v>21</v>
      </c>
      <c r="F1347" s="2">
        <f t="shared" si="40"/>
        <v>1393.1777771628376</v>
      </c>
      <c r="G1347" s="3">
        <v>0</v>
      </c>
      <c r="H1347" s="4">
        <v>0.7</v>
      </c>
      <c r="I1347" s="28">
        <f t="shared" si="41"/>
        <v>2368.4022211768238</v>
      </c>
    </row>
    <row r="1348" spans="1:9" ht="15.75" customHeight="1" x14ac:dyDescent="0.35">
      <c r="A1348" s="26" t="s">
        <v>13378</v>
      </c>
      <c r="B1348" s="25" t="s">
        <v>169</v>
      </c>
      <c r="C1348" s="6" t="s">
        <v>13379</v>
      </c>
      <c r="D1348" s="13">
        <v>1728.6513511333501</v>
      </c>
      <c r="E1348" s="18">
        <v>21</v>
      </c>
      <c r="F1348" s="2">
        <f t="shared" si="40"/>
        <v>2091.6681348713537</v>
      </c>
      <c r="G1348" s="3">
        <v>0</v>
      </c>
      <c r="H1348" s="4">
        <v>0.7</v>
      </c>
      <c r="I1348" s="28">
        <f t="shared" si="41"/>
        <v>3555.8358292813014</v>
      </c>
    </row>
    <row r="1349" spans="1:9" ht="15.75" customHeight="1" x14ac:dyDescent="0.35">
      <c r="A1349" s="26" t="s">
        <v>13380</v>
      </c>
      <c r="B1349" s="25" t="s">
        <v>10243</v>
      </c>
      <c r="C1349" s="6" t="s">
        <v>13381</v>
      </c>
      <c r="D1349" s="13">
        <v>1861.81123625792</v>
      </c>
      <c r="E1349" s="18">
        <v>21</v>
      </c>
      <c r="F1349" s="2">
        <f t="shared" si="40"/>
        <v>2252.7915958720832</v>
      </c>
      <c r="G1349" s="3">
        <v>0</v>
      </c>
      <c r="H1349" s="4">
        <v>0.7</v>
      </c>
      <c r="I1349" s="28">
        <f t="shared" si="41"/>
        <v>3829.7457129825416</v>
      </c>
    </row>
    <row r="1350" spans="1:9" ht="15.75" customHeight="1" x14ac:dyDescent="0.35">
      <c r="A1350" s="26" t="s">
        <v>13382</v>
      </c>
      <c r="B1350" s="25" t="s">
        <v>10244</v>
      </c>
      <c r="C1350" s="6" t="s">
        <v>13383</v>
      </c>
      <c r="D1350" s="13">
        <v>1432.3231130567699</v>
      </c>
      <c r="E1350" s="18">
        <v>21</v>
      </c>
      <c r="F1350" s="2">
        <f t="shared" ref="F1350:F1413" si="42">D1350*E1350/100+D1350</f>
        <v>1733.1109667986916</v>
      </c>
      <c r="G1350" s="3">
        <v>0</v>
      </c>
      <c r="H1350" s="4">
        <v>0.7</v>
      </c>
      <c r="I1350" s="28">
        <f t="shared" ref="I1350:I1413" si="43">IF(G1350=-1,0,F1350*((100-G1350)/100)*(1+H1350))</f>
        <v>2946.2886435577757</v>
      </c>
    </row>
    <row r="1351" spans="1:9" ht="15.75" customHeight="1" x14ac:dyDescent="0.35">
      <c r="A1351" s="26" t="s">
        <v>13384</v>
      </c>
      <c r="B1351" s="25" t="s">
        <v>10245</v>
      </c>
      <c r="C1351" s="6" t="s">
        <v>13385</v>
      </c>
      <c r="D1351" s="13">
        <v>1898.55223515641</v>
      </c>
      <c r="E1351" s="18">
        <v>21</v>
      </c>
      <c r="F1351" s="2">
        <f t="shared" si="42"/>
        <v>2297.2482045392562</v>
      </c>
      <c r="G1351" s="3">
        <v>0</v>
      </c>
      <c r="H1351" s="4">
        <v>0.7</v>
      </c>
      <c r="I1351" s="28">
        <f t="shared" si="43"/>
        <v>3905.3219477167354</v>
      </c>
    </row>
    <row r="1352" spans="1:9" ht="15.75" customHeight="1" x14ac:dyDescent="0.35">
      <c r="A1352" s="26" t="s">
        <v>5859</v>
      </c>
      <c r="B1352" s="25" t="s">
        <v>10246</v>
      </c>
      <c r="C1352" s="6" t="s">
        <v>11708</v>
      </c>
      <c r="D1352" s="13">
        <v>35378.137600000002</v>
      </c>
      <c r="E1352" s="18">
        <v>21</v>
      </c>
      <c r="F1352" s="2">
        <f t="shared" si="42"/>
        <v>42807.546496000003</v>
      </c>
      <c r="G1352" s="3">
        <v>0</v>
      </c>
      <c r="H1352" s="4">
        <v>0.7</v>
      </c>
      <c r="I1352" s="28">
        <f t="shared" si="43"/>
        <v>72772.829043200007</v>
      </c>
    </row>
    <row r="1353" spans="1:9" ht="15.75" customHeight="1" x14ac:dyDescent="0.35">
      <c r="A1353" s="26" t="s">
        <v>8752</v>
      </c>
      <c r="B1353" s="25" t="s">
        <v>1068</v>
      </c>
      <c r="C1353" s="6" t="s">
        <v>8785</v>
      </c>
      <c r="D1353" s="13">
        <v>25369.058000000001</v>
      </c>
      <c r="E1353" s="18">
        <v>21</v>
      </c>
      <c r="F1353" s="2">
        <f t="shared" si="42"/>
        <v>30696.56018</v>
      </c>
      <c r="G1353" s="3">
        <v>0</v>
      </c>
      <c r="H1353" s="4">
        <v>0.7</v>
      </c>
      <c r="I1353" s="28">
        <f t="shared" si="43"/>
        <v>52184.152305999996</v>
      </c>
    </row>
    <row r="1354" spans="1:9" ht="15.75" customHeight="1" x14ac:dyDescent="0.35">
      <c r="A1354" s="26" t="s">
        <v>8753</v>
      </c>
      <c r="B1354" s="25" t="s">
        <v>867</v>
      </c>
      <c r="C1354" s="6" t="s">
        <v>8786</v>
      </c>
      <c r="D1354" s="13">
        <v>25369.058000000001</v>
      </c>
      <c r="E1354" s="18">
        <v>21</v>
      </c>
      <c r="F1354" s="2">
        <f t="shared" si="42"/>
        <v>30696.56018</v>
      </c>
      <c r="G1354" s="3">
        <v>0</v>
      </c>
      <c r="H1354" s="4">
        <v>0.7</v>
      </c>
      <c r="I1354" s="28">
        <f t="shared" si="43"/>
        <v>52184.152305999996</v>
      </c>
    </row>
    <row r="1355" spans="1:9" ht="15.75" customHeight="1" x14ac:dyDescent="0.35">
      <c r="A1355" s="26" t="s">
        <v>3695</v>
      </c>
      <c r="B1355" s="25" t="s">
        <v>13035</v>
      </c>
      <c r="C1355" s="6" t="s">
        <v>11477</v>
      </c>
      <c r="D1355" s="13">
        <v>108041.75199999999</v>
      </c>
      <c r="E1355" s="18">
        <v>21</v>
      </c>
      <c r="F1355" s="2">
        <f t="shared" si="42"/>
        <v>130730.51991999999</v>
      </c>
      <c r="G1355" s="3">
        <v>0</v>
      </c>
      <c r="H1355" s="4">
        <v>0.7</v>
      </c>
      <c r="I1355" s="28">
        <f t="shared" si="43"/>
        <v>222241.88386399997</v>
      </c>
    </row>
    <row r="1356" spans="1:9" ht="15.75" customHeight="1" x14ac:dyDescent="0.35">
      <c r="A1356" s="26" t="s">
        <v>3697</v>
      </c>
      <c r="B1356" s="25" t="s">
        <v>170</v>
      </c>
      <c r="C1356" s="6" t="s">
        <v>184</v>
      </c>
      <c r="D1356" s="13">
        <v>62167.963000000003</v>
      </c>
      <c r="E1356" s="18">
        <v>21</v>
      </c>
      <c r="F1356" s="2">
        <f t="shared" si="42"/>
        <v>75223.235230000006</v>
      </c>
      <c r="G1356" s="3">
        <v>0</v>
      </c>
      <c r="H1356" s="4">
        <v>0.7</v>
      </c>
      <c r="I1356" s="28">
        <f t="shared" si="43"/>
        <v>127879.499891</v>
      </c>
    </row>
    <row r="1357" spans="1:9" ht="15.75" customHeight="1" x14ac:dyDescent="0.35">
      <c r="A1357" s="26" t="s">
        <v>3696</v>
      </c>
      <c r="B1357" s="25" t="s">
        <v>11850</v>
      </c>
      <c r="C1357" s="6" t="s">
        <v>11945</v>
      </c>
      <c r="D1357" s="13">
        <v>119939.80959999999</v>
      </c>
      <c r="E1357" s="18">
        <v>21</v>
      </c>
      <c r="F1357" s="2">
        <f t="shared" si="42"/>
        <v>145127.169616</v>
      </c>
      <c r="G1357" s="3">
        <v>0</v>
      </c>
      <c r="H1357" s="4">
        <v>0.7</v>
      </c>
      <c r="I1357" s="28">
        <f t="shared" si="43"/>
        <v>246716.18834719999</v>
      </c>
    </row>
    <row r="1358" spans="1:9" ht="15.75" customHeight="1" x14ac:dyDescent="0.35">
      <c r="A1358" s="26" t="s">
        <v>3699</v>
      </c>
      <c r="B1358" s="25" t="s">
        <v>11852</v>
      </c>
      <c r="C1358" s="6" t="s">
        <v>11853</v>
      </c>
      <c r="D1358" s="13">
        <v>13103.22</v>
      </c>
      <c r="E1358" s="18">
        <v>21</v>
      </c>
      <c r="F1358" s="2">
        <f t="shared" si="42"/>
        <v>15854.896199999999</v>
      </c>
      <c r="G1358" s="3">
        <v>0</v>
      </c>
      <c r="H1358" s="4">
        <v>0.7</v>
      </c>
      <c r="I1358" s="28">
        <f t="shared" si="43"/>
        <v>26953.323539999998</v>
      </c>
    </row>
    <row r="1359" spans="1:9" ht="15.75" customHeight="1" x14ac:dyDescent="0.35">
      <c r="A1359" s="26" t="s">
        <v>3701</v>
      </c>
      <c r="B1359" s="25" t="s">
        <v>10940</v>
      </c>
      <c r="C1359" s="6" t="s">
        <v>1096</v>
      </c>
      <c r="D1359" s="13">
        <v>62569.962</v>
      </c>
      <c r="E1359" s="18">
        <v>21</v>
      </c>
      <c r="F1359" s="2">
        <f t="shared" si="42"/>
        <v>75709.654020000002</v>
      </c>
      <c r="G1359" s="3">
        <v>0</v>
      </c>
      <c r="H1359" s="4">
        <v>0.7</v>
      </c>
      <c r="I1359" s="28">
        <f t="shared" si="43"/>
        <v>128706.411834</v>
      </c>
    </row>
    <row r="1360" spans="1:9" ht="15.75" customHeight="1" x14ac:dyDescent="0.35">
      <c r="A1360" s="26" t="s">
        <v>9500</v>
      </c>
      <c r="B1360" s="25" t="s">
        <v>10248</v>
      </c>
      <c r="C1360" s="6" t="s">
        <v>11946</v>
      </c>
      <c r="D1360" s="13">
        <v>30978.126400000001</v>
      </c>
      <c r="E1360" s="18">
        <v>21</v>
      </c>
      <c r="F1360" s="2">
        <f t="shared" si="42"/>
        <v>37483.532943999999</v>
      </c>
      <c r="G1360" s="3">
        <v>0</v>
      </c>
      <c r="H1360" s="4">
        <v>0.7</v>
      </c>
      <c r="I1360" s="28">
        <f t="shared" si="43"/>
        <v>63722.006004799994</v>
      </c>
    </row>
    <row r="1361" spans="1:9" ht="15.75" customHeight="1" x14ac:dyDescent="0.35">
      <c r="A1361" s="26" t="s">
        <v>9501</v>
      </c>
      <c r="B1361" s="25" t="s">
        <v>868</v>
      </c>
      <c r="C1361" s="6" t="s">
        <v>11947</v>
      </c>
      <c r="D1361" s="13">
        <v>30978.126400000001</v>
      </c>
      <c r="E1361" s="18">
        <v>21</v>
      </c>
      <c r="F1361" s="2">
        <f t="shared" si="42"/>
        <v>37483.532943999999</v>
      </c>
      <c r="G1361" s="3">
        <v>0</v>
      </c>
      <c r="H1361" s="4">
        <v>0.7</v>
      </c>
      <c r="I1361" s="28">
        <f t="shared" si="43"/>
        <v>63722.006004799994</v>
      </c>
    </row>
    <row r="1362" spans="1:9" ht="15.75" customHeight="1" x14ac:dyDescent="0.35">
      <c r="A1362" s="26" t="s">
        <v>3705</v>
      </c>
      <c r="B1362" s="25" t="s">
        <v>12679</v>
      </c>
      <c r="C1362" s="6" t="s">
        <v>11948</v>
      </c>
      <c r="D1362" s="13">
        <v>36808.085599999999</v>
      </c>
      <c r="E1362" s="18">
        <v>21</v>
      </c>
      <c r="F1362" s="2">
        <f t="shared" si="42"/>
        <v>44537.783576000002</v>
      </c>
      <c r="G1362" s="3">
        <v>0</v>
      </c>
      <c r="H1362" s="4">
        <v>0.7</v>
      </c>
      <c r="I1362" s="28">
        <f t="shared" si="43"/>
        <v>75714.232079199995</v>
      </c>
    </row>
    <row r="1363" spans="1:9" ht="15.75" customHeight="1" x14ac:dyDescent="0.35">
      <c r="A1363" s="26" t="s">
        <v>12056</v>
      </c>
      <c r="B1363" s="25" t="s">
        <v>12680</v>
      </c>
      <c r="C1363" s="6" t="s">
        <v>12057</v>
      </c>
      <c r="D1363" s="13">
        <v>99151.592799999999</v>
      </c>
      <c r="E1363" s="18">
        <v>21</v>
      </c>
      <c r="F1363" s="2">
        <f t="shared" si="42"/>
        <v>119973.42728800001</v>
      </c>
      <c r="G1363" s="3">
        <v>0</v>
      </c>
      <c r="H1363" s="4">
        <v>0.7</v>
      </c>
      <c r="I1363" s="28">
        <f t="shared" si="43"/>
        <v>203954.8263896</v>
      </c>
    </row>
    <row r="1364" spans="1:9" ht="15.75" customHeight="1" x14ac:dyDescent="0.35">
      <c r="A1364" s="26" t="s">
        <v>3694</v>
      </c>
      <c r="B1364" s="25" t="s">
        <v>12681</v>
      </c>
      <c r="C1364" s="6" t="s">
        <v>11709</v>
      </c>
      <c r="D1364" s="13">
        <v>25266.124</v>
      </c>
      <c r="E1364" s="18">
        <v>21</v>
      </c>
      <c r="F1364" s="2">
        <f t="shared" si="42"/>
        <v>30572.010040000001</v>
      </c>
      <c r="G1364" s="3">
        <v>0</v>
      </c>
      <c r="H1364" s="4">
        <v>0.7</v>
      </c>
      <c r="I1364" s="28">
        <f t="shared" si="43"/>
        <v>51972.417068000002</v>
      </c>
    </row>
    <row r="1365" spans="1:9" ht="15.75" customHeight="1" x14ac:dyDescent="0.35">
      <c r="A1365" s="26" t="s">
        <v>3700</v>
      </c>
      <c r="B1365" s="25" t="s">
        <v>12682</v>
      </c>
      <c r="C1365" s="6" t="s">
        <v>11710</v>
      </c>
      <c r="D1365" s="13">
        <v>25266.124</v>
      </c>
      <c r="E1365" s="18">
        <v>21</v>
      </c>
      <c r="F1365" s="2">
        <f t="shared" si="42"/>
        <v>30572.010040000001</v>
      </c>
      <c r="G1365" s="3">
        <v>0</v>
      </c>
      <c r="H1365" s="4">
        <v>0.7</v>
      </c>
      <c r="I1365" s="28">
        <f t="shared" si="43"/>
        <v>51972.417068000002</v>
      </c>
    </row>
    <row r="1366" spans="1:9" ht="15.75" customHeight="1" x14ac:dyDescent="0.35">
      <c r="A1366" s="26" t="s">
        <v>5857</v>
      </c>
      <c r="B1366" s="25" t="s">
        <v>869</v>
      </c>
      <c r="C1366" s="6" t="s">
        <v>11711</v>
      </c>
      <c r="D1366" s="13">
        <v>25266.124</v>
      </c>
      <c r="E1366" s="18">
        <v>21</v>
      </c>
      <c r="F1366" s="2">
        <f t="shared" si="42"/>
        <v>30572.010040000001</v>
      </c>
      <c r="G1366" s="3">
        <v>0</v>
      </c>
      <c r="H1366" s="4">
        <v>0.7</v>
      </c>
      <c r="I1366" s="28">
        <f t="shared" si="43"/>
        <v>51972.417068000002</v>
      </c>
    </row>
    <row r="1367" spans="1:9" ht="15.75" customHeight="1" x14ac:dyDescent="0.35">
      <c r="A1367" s="26" t="s">
        <v>3728</v>
      </c>
      <c r="B1367" s="25" t="s">
        <v>10250</v>
      </c>
      <c r="C1367" s="6" t="s">
        <v>11712</v>
      </c>
      <c r="D1367" s="13">
        <v>25266.124</v>
      </c>
      <c r="E1367" s="18">
        <v>21</v>
      </c>
      <c r="F1367" s="2">
        <f t="shared" si="42"/>
        <v>30572.010040000001</v>
      </c>
      <c r="G1367" s="3">
        <v>0</v>
      </c>
      <c r="H1367" s="4">
        <v>0.7</v>
      </c>
      <c r="I1367" s="28">
        <f t="shared" si="43"/>
        <v>51972.417068000002</v>
      </c>
    </row>
    <row r="1368" spans="1:9" ht="15.75" customHeight="1" x14ac:dyDescent="0.35">
      <c r="A1368" s="26" t="s">
        <v>3729</v>
      </c>
      <c r="B1368" s="25" t="s">
        <v>10252</v>
      </c>
      <c r="C1368" s="6" t="s">
        <v>11713</v>
      </c>
      <c r="D1368" s="13">
        <v>99151.592799999999</v>
      </c>
      <c r="E1368" s="18">
        <v>21</v>
      </c>
      <c r="F1368" s="2">
        <f t="shared" si="42"/>
        <v>119973.42728800001</v>
      </c>
      <c r="G1368" s="3">
        <v>0</v>
      </c>
      <c r="H1368" s="4">
        <v>0.7</v>
      </c>
      <c r="I1368" s="28">
        <f t="shared" si="43"/>
        <v>203954.8263896</v>
      </c>
    </row>
    <row r="1369" spans="1:9" ht="15.75" customHeight="1" x14ac:dyDescent="0.35">
      <c r="A1369" s="26" t="s">
        <v>3730</v>
      </c>
      <c r="B1369" s="25" t="s">
        <v>870</v>
      </c>
      <c r="C1369" s="6" t="s">
        <v>11714</v>
      </c>
      <c r="D1369" s="13">
        <v>106632.9472</v>
      </c>
      <c r="E1369" s="18">
        <v>21</v>
      </c>
      <c r="F1369" s="2">
        <f t="shared" si="42"/>
        <v>129025.86611199999</v>
      </c>
      <c r="G1369" s="3">
        <v>0</v>
      </c>
      <c r="H1369" s="4">
        <v>0.7</v>
      </c>
      <c r="I1369" s="28">
        <f t="shared" si="43"/>
        <v>219343.97239039998</v>
      </c>
    </row>
    <row r="1370" spans="1:9" ht="15.75" customHeight="1" x14ac:dyDescent="0.35">
      <c r="A1370" s="26" t="s">
        <v>3725</v>
      </c>
      <c r="B1370" s="25" t="s">
        <v>871</v>
      </c>
      <c r="C1370" s="6" t="s">
        <v>11715</v>
      </c>
      <c r="D1370" s="13">
        <v>37671.618399999999</v>
      </c>
      <c r="E1370" s="18">
        <v>21</v>
      </c>
      <c r="F1370" s="2">
        <f t="shared" si="42"/>
        <v>45582.658263999998</v>
      </c>
      <c r="G1370" s="3">
        <v>0</v>
      </c>
      <c r="H1370" s="4">
        <v>0.7</v>
      </c>
      <c r="I1370" s="28">
        <f t="shared" si="43"/>
        <v>77490.519048799993</v>
      </c>
    </row>
    <row r="1371" spans="1:9" ht="15.75" customHeight="1" x14ac:dyDescent="0.35">
      <c r="A1371" s="26" t="s">
        <v>5858</v>
      </c>
      <c r="B1371" s="25" t="s">
        <v>872</v>
      </c>
      <c r="C1371" s="6" t="s">
        <v>11716</v>
      </c>
      <c r="D1371" s="13">
        <v>32896.5936</v>
      </c>
      <c r="E1371" s="18">
        <v>21</v>
      </c>
      <c r="F1371" s="2">
        <f t="shared" si="42"/>
        <v>39804.878255999996</v>
      </c>
      <c r="G1371" s="3">
        <v>0</v>
      </c>
      <c r="H1371" s="4">
        <v>0.7</v>
      </c>
      <c r="I1371" s="28">
        <f t="shared" si="43"/>
        <v>67668.293035199997</v>
      </c>
    </row>
    <row r="1372" spans="1:9" ht="15.75" customHeight="1" x14ac:dyDescent="0.35">
      <c r="A1372" s="26" t="s">
        <v>3738</v>
      </c>
      <c r="B1372" s="25" t="s">
        <v>873</v>
      </c>
      <c r="C1372" s="6" t="s">
        <v>11717</v>
      </c>
      <c r="D1372" s="13">
        <v>16615.216799999998</v>
      </c>
      <c r="E1372" s="18">
        <v>21</v>
      </c>
      <c r="F1372" s="2">
        <f t="shared" si="42"/>
        <v>20104.412327999999</v>
      </c>
      <c r="G1372" s="3">
        <v>0</v>
      </c>
      <c r="H1372" s="4">
        <v>0.7</v>
      </c>
      <c r="I1372" s="28">
        <f t="shared" si="43"/>
        <v>34177.500957599994</v>
      </c>
    </row>
    <row r="1373" spans="1:9" ht="15.75" customHeight="1" x14ac:dyDescent="0.35">
      <c r="A1373" s="26" t="s">
        <v>3737</v>
      </c>
      <c r="B1373" s="25" t="s">
        <v>874</v>
      </c>
      <c r="C1373" s="6" t="s">
        <v>11718</v>
      </c>
      <c r="D1373" s="13">
        <v>16615.216799999998</v>
      </c>
      <c r="E1373" s="18">
        <v>21</v>
      </c>
      <c r="F1373" s="2">
        <f t="shared" si="42"/>
        <v>20104.412327999999</v>
      </c>
      <c r="G1373" s="3">
        <v>0</v>
      </c>
      <c r="H1373" s="4">
        <v>0.7</v>
      </c>
      <c r="I1373" s="28">
        <f t="shared" si="43"/>
        <v>34177.500957599994</v>
      </c>
    </row>
    <row r="1374" spans="1:9" ht="15.75" customHeight="1" x14ac:dyDescent="0.35">
      <c r="A1374" s="26" t="s">
        <v>3706</v>
      </c>
      <c r="B1374" s="25" t="s">
        <v>875</v>
      </c>
      <c r="C1374" s="6" t="s">
        <v>1234</v>
      </c>
      <c r="D1374" s="13">
        <v>27017.393</v>
      </c>
      <c r="E1374" s="18">
        <v>21</v>
      </c>
      <c r="F1374" s="2">
        <f t="shared" si="42"/>
        <v>32691.045529999999</v>
      </c>
      <c r="G1374" s="3">
        <v>0</v>
      </c>
      <c r="H1374" s="4">
        <v>0.7</v>
      </c>
      <c r="I1374" s="28">
        <f t="shared" si="43"/>
        <v>55574.777400999999</v>
      </c>
    </row>
    <row r="1375" spans="1:9" ht="15.75" customHeight="1" x14ac:dyDescent="0.35">
      <c r="A1375" s="26" t="s">
        <v>3708</v>
      </c>
      <c r="B1375" s="25" t="s">
        <v>876</v>
      </c>
      <c r="C1375" s="6" t="s">
        <v>1170</v>
      </c>
      <c r="D1375" s="13">
        <v>11290.10758512</v>
      </c>
      <c r="E1375" s="18">
        <v>21</v>
      </c>
      <c r="F1375" s="2">
        <f t="shared" si="42"/>
        <v>13661.030177995201</v>
      </c>
      <c r="G1375" s="3">
        <v>0</v>
      </c>
      <c r="H1375" s="4">
        <v>0.7</v>
      </c>
      <c r="I1375" s="28">
        <f t="shared" si="43"/>
        <v>23223.751302591842</v>
      </c>
    </row>
    <row r="1376" spans="1:9" ht="15.75" customHeight="1" x14ac:dyDescent="0.35">
      <c r="A1376" s="26" t="s">
        <v>3709</v>
      </c>
      <c r="B1376" s="25" t="s">
        <v>11059</v>
      </c>
      <c r="C1376" s="6" t="s">
        <v>10410</v>
      </c>
      <c r="D1376" s="13">
        <v>9320.5697644800002</v>
      </c>
      <c r="E1376" s="18">
        <v>21</v>
      </c>
      <c r="F1376" s="2">
        <f t="shared" si="42"/>
        <v>11277.8894150208</v>
      </c>
      <c r="G1376" s="3">
        <v>0</v>
      </c>
      <c r="H1376" s="4">
        <v>0.7</v>
      </c>
      <c r="I1376" s="28">
        <f t="shared" si="43"/>
        <v>19172.41200553536</v>
      </c>
    </row>
    <row r="1377" spans="1:9" ht="15.75" customHeight="1" x14ac:dyDescent="0.35">
      <c r="A1377" s="26" t="s">
        <v>3707</v>
      </c>
      <c r="B1377" s="25" t="s">
        <v>10942</v>
      </c>
      <c r="C1377" s="6" t="s">
        <v>11478</v>
      </c>
      <c r="D1377" s="13">
        <v>9320.5697644800002</v>
      </c>
      <c r="E1377" s="18">
        <v>21</v>
      </c>
      <c r="F1377" s="2">
        <f t="shared" si="42"/>
        <v>11277.8894150208</v>
      </c>
      <c r="G1377" s="3">
        <v>0</v>
      </c>
      <c r="H1377" s="4">
        <v>0.7</v>
      </c>
      <c r="I1377" s="28">
        <f t="shared" si="43"/>
        <v>19172.41200553536</v>
      </c>
    </row>
    <row r="1378" spans="1:9" ht="15.75" customHeight="1" x14ac:dyDescent="0.35">
      <c r="A1378" s="26" t="s">
        <v>13260</v>
      </c>
      <c r="B1378" s="25" t="s">
        <v>10254</v>
      </c>
      <c r="C1378" s="6" t="s">
        <v>13261</v>
      </c>
      <c r="D1378" s="13">
        <v>11954.254000000001</v>
      </c>
      <c r="E1378" s="18">
        <v>21</v>
      </c>
      <c r="F1378" s="2">
        <f t="shared" si="42"/>
        <v>14464.647340000001</v>
      </c>
      <c r="G1378" s="3">
        <v>0</v>
      </c>
      <c r="H1378" s="4">
        <v>0.7</v>
      </c>
      <c r="I1378" s="28">
        <f t="shared" si="43"/>
        <v>24589.900478000003</v>
      </c>
    </row>
    <row r="1379" spans="1:9" ht="15.75" customHeight="1" x14ac:dyDescent="0.35">
      <c r="A1379" s="26" t="s">
        <v>13262</v>
      </c>
      <c r="B1379" s="25" t="s">
        <v>171</v>
      </c>
      <c r="C1379" s="6" t="s">
        <v>13263</v>
      </c>
      <c r="D1379" s="13">
        <v>11954.254000000001</v>
      </c>
      <c r="E1379" s="18">
        <v>21</v>
      </c>
      <c r="F1379" s="2">
        <f t="shared" si="42"/>
        <v>14464.647340000001</v>
      </c>
      <c r="G1379" s="3">
        <v>0</v>
      </c>
      <c r="H1379" s="4">
        <v>0.7</v>
      </c>
      <c r="I1379" s="28">
        <f t="shared" si="43"/>
        <v>24589.900478000003</v>
      </c>
    </row>
    <row r="1380" spans="1:9" ht="15.75" customHeight="1" x14ac:dyDescent="0.35">
      <c r="A1380" s="26" t="s">
        <v>3713</v>
      </c>
      <c r="B1380" s="25" t="s">
        <v>12918</v>
      </c>
      <c r="C1380" s="6" t="s">
        <v>11479</v>
      </c>
      <c r="D1380" s="13">
        <v>19638.35788928</v>
      </c>
      <c r="E1380" s="18">
        <v>21</v>
      </c>
      <c r="F1380" s="2">
        <f t="shared" si="42"/>
        <v>23762.4130460288</v>
      </c>
      <c r="G1380" s="3">
        <v>0</v>
      </c>
      <c r="H1380" s="4">
        <v>0.7</v>
      </c>
      <c r="I1380" s="28">
        <f t="shared" si="43"/>
        <v>40396.102178248955</v>
      </c>
    </row>
    <row r="1381" spans="1:9" ht="15.75" customHeight="1" x14ac:dyDescent="0.35">
      <c r="A1381" s="26" t="s">
        <v>3712</v>
      </c>
      <c r="B1381" s="25" t="s">
        <v>9017</v>
      </c>
      <c r="C1381" s="6" t="s">
        <v>11480</v>
      </c>
      <c r="D1381" s="13">
        <v>19638.35788928</v>
      </c>
      <c r="E1381" s="18">
        <v>21</v>
      </c>
      <c r="F1381" s="2">
        <f t="shared" si="42"/>
        <v>23762.4130460288</v>
      </c>
      <c r="G1381" s="3">
        <v>0</v>
      </c>
      <c r="H1381" s="4">
        <v>0.7</v>
      </c>
      <c r="I1381" s="28">
        <f t="shared" si="43"/>
        <v>40396.102178248955</v>
      </c>
    </row>
    <row r="1382" spans="1:9" ht="15.75" customHeight="1" x14ac:dyDescent="0.35">
      <c r="A1382" s="26" t="s">
        <v>3715</v>
      </c>
      <c r="B1382" s="25" t="s">
        <v>12016</v>
      </c>
      <c r="C1382" s="6" t="s">
        <v>10411</v>
      </c>
      <c r="D1382" s="13">
        <v>28631.00151808</v>
      </c>
      <c r="E1382" s="18">
        <v>21</v>
      </c>
      <c r="F1382" s="2">
        <f t="shared" si="42"/>
        <v>34643.511836876802</v>
      </c>
      <c r="G1382" s="3">
        <v>0</v>
      </c>
      <c r="H1382" s="4">
        <v>0.7</v>
      </c>
      <c r="I1382" s="28">
        <f t="shared" si="43"/>
        <v>58893.97012269056</v>
      </c>
    </row>
    <row r="1383" spans="1:9" ht="15.75" customHeight="1" x14ac:dyDescent="0.35">
      <c r="A1383" s="26" t="s">
        <v>3718</v>
      </c>
      <c r="B1383" s="25" t="s">
        <v>13328</v>
      </c>
      <c r="C1383" s="6" t="s">
        <v>1235</v>
      </c>
      <c r="D1383" s="13">
        <v>30326.581999999999</v>
      </c>
      <c r="E1383" s="18">
        <v>21</v>
      </c>
      <c r="F1383" s="2">
        <f t="shared" si="42"/>
        <v>36695.164219999999</v>
      </c>
      <c r="G1383" s="3">
        <v>0</v>
      </c>
      <c r="H1383" s="4">
        <v>0.7</v>
      </c>
      <c r="I1383" s="28">
        <f t="shared" si="43"/>
        <v>62381.779173999996</v>
      </c>
    </row>
    <row r="1384" spans="1:9" ht="15.75" customHeight="1" x14ac:dyDescent="0.35">
      <c r="A1384" s="26" t="s">
        <v>3719</v>
      </c>
      <c r="B1384" s="25" t="s">
        <v>13259</v>
      </c>
      <c r="C1384" s="6" t="s">
        <v>185</v>
      </c>
      <c r="D1384" s="13">
        <v>9707.3320564999995</v>
      </c>
      <c r="E1384" s="18">
        <v>21</v>
      </c>
      <c r="F1384" s="2">
        <f t="shared" si="42"/>
        <v>11745.871788364999</v>
      </c>
      <c r="G1384" s="3">
        <v>0</v>
      </c>
      <c r="H1384" s="4">
        <v>0.7</v>
      </c>
      <c r="I1384" s="28">
        <f t="shared" si="43"/>
        <v>19967.982040220497</v>
      </c>
    </row>
    <row r="1385" spans="1:9" ht="15.75" customHeight="1" x14ac:dyDescent="0.35">
      <c r="A1385" s="26" t="s">
        <v>3720</v>
      </c>
      <c r="B1385" s="25" t="s">
        <v>10591</v>
      </c>
      <c r="C1385" s="6" t="s">
        <v>186</v>
      </c>
      <c r="D1385" s="13">
        <v>17417.43432</v>
      </c>
      <c r="E1385" s="18">
        <v>21</v>
      </c>
      <c r="F1385" s="2">
        <f t="shared" si="42"/>
        <v>21075.095527199999</v>
      </c>
      <c r="G1385" s="3">
        <v>0</v>
      </c>
      <c r="H1385" s="4">
        <v>0.7</v>
      </c>
      <c r="I1385" s="28">
        <f t="shared" si="43"/>
        <v>35827.662396239997</v>
      </c>
    </row>
    <row r="1386" spans="1:9" ht="15.75" customHeight="1" x14ac:dyDescent="0.35">
      <c r="A1386" s="26" t="s">
        <v>3721</v>
      </c>
      <c r="B1386" s="25" t="s">
        <v>9226</v>
      </c>
      <c r="C1386" s="6" t="s">
        <v>187</v>
      </c>
      <c r="D1386" s="13">
        <v>4895.8748800000003</v>
      </c>
      <c r="E1386" s="18">
        <v>21</v>
      </c>
      <c r="F1386" s="2">
        <f t="shared" si="42"/>
        <v>5924.0086048000003</v>
      </c>
      <c r="G1386" s="3">
        <v>0</v>
      </c>
      <c r="H1386" s="4">
        <v>0.7</v>
      </c>
      <c r="I1386" s="28">
        <f t="shared" si="43"/>
        <v>10070.81462816</v>
      </c>
    </row>
    <row r="1387" spans="1:9" ht="15.75" customHeight="1" x14ac:dyDescent="0.35">
      <c r="A1387" s="26" t="s">
        <v>3723</v>
      </c>
      <c r="B1387" s="25" t="s">
        <v>10255</v>
      </c>
      <c r="C1387" s="6" t="s">
        <v>188</v>
      </c>
      <c r="D1387" s="13">
        <v>4895.8748800000003</v>
      </c>
      <c r="E1387" s="18">
        <v>21</v>
      </c>
      <c r="F1387" s="2">
        <f t="shared" si="42"/>
        <v>5924.0086048000003</v>
      </c>
      <c r="G1387" s="3">
        <v>0</v>
      </c>
      <c r="H1387" s="4">
        <v>0.7</v>
      </c>
      <c r="I1387" s="28">
        <f t="shared" si="43"/>
        <v>10070.81462816</v>
      </c>
    </row>
    <row r="1388" spans="1:9" ht="15.75" customHeight="1" x14ac:dyDescent="0.35">
      <c r="A1388" s="26" t="s">
        <v>3724</v>
      </c>
      <c r="B1388" s="25" t="s">
        <v>10256</v>
      </c>
      <c r="C1388" s="6" t="s">
        <v>189</v>
      </c>
      <c r="D1388" s="13">
        <v>5655.132756</v>
      </c>
      <c r="E1388" s="18">
        <v>21</v>
      </c>
      <c r="F1388" s="2">
        <f t="shared" si="42"/>
        <v>6842.7106347600002</v>
      </c>
      <c r="G1388" s="3">
        <v>0</v>
      </c>
      <c r="H1388" s="4">
        <v>0.7</v>
      </c>
      <c r="I1388" s="28">
        <f t="shared" si="43"/>
        <v>11632.608079092</v>
      </c>
    </row>
    <row r="1389" spans="1:9" ht="15.75" customHeight="1" x14ac:dyDescent="0.35">
      <c r="A1389" s="26" t="s">
        <v>9502</v>
      </c>
      <c r="B1389" s="25" t="s">
        <v>10257</v>
      </c>
      <c r="C1389" s="6" t="s">
        <v>11719</v>
      </c>
      <c r="D1389" s="13">
        <v>11479.6448</v>
      </c>
      <c r="E1389" s="18">
        <v>21</v>
      </c>
      <c r="F1389" s="2">
        <f t="shared" si="42"/>
        <v>13890.370208</v>
      </c>
      <c r="G1389" s="3">
        <v>0</v>
      </c>
      <c r="H1389" s="4">
        <v>0.7</v>
      </c>
      <c r="I1389" s="28">
        <f t="shared" si="43"/>
        <v>23613.629353600001</v>
      </c>
    </row>
    <row r="1390" spans="1:9" ht="15.75" customHeight="1" x14ac:dyDescent="0.35">
      <c r="A1390" s="26" t="s">
        <v>3772</v>
      </c>
      <c r="B1390" s="25" t="s">
        <v>10258</v>
      </c>
      <c r="C1390" s="6" t="s">
        <v>11720</v>
      </c>
      <c r="D1390" s="13">
        <v>19203.589599999999</v>
      </c>
      <c r="E1390" s="18">
        <v>21</v>
      </c>
      <c r="F1390" s="2">
        <f t="shared" si="42"/>
        <v>23236.343416</v>
      </c>
      <c r="G1390" s="3">
        <v>0</v>
      </c>
      <c r="H1390" s="4">
        <v>0.7</v>
      </c>
      <c r="I1390" s="28">
        <f t="shared" si="43"/>
        <v>39501.783807200001</v>
      </c>
    </row>
    <row r="1391" spans="1:9" ht="15.75" customHeight="1" x14ac:dyDescent="0.35">
      <c r="A1391" s="26" t="s">
        <v>3773</v>
      </c>
      <c r="B1391" s="25" t="s">
        <v>10259</v>
      </c>
      <c r="C1391" s="6" t="s">
        <v>11721</v>
      </c>
      <c r="D1391" s="13">
        <v>11479.6448</v>
      </c>
      <c r="E1391" s="18">
        <v>21</v>
      </c>
      <c r="F1391" s="2">
        <f t="shared" si="42"/>
        <v>13890.370208</v>
      </c>
      <c r="G1391" s="3">
        <v>0</v>
      </c>
      <c r="H1391" s="4">
        <v>0.7</v>
      </c>
      <c r="I1391" s="28">
        <f t="shared" si="43"/>
        <v>23613.629353600001</v>
      </c>
    </row>
    <row r="1392" spans="1:9" ht="15.75" customHeight="1" x14ac:dyDescent="0.35">
      <c r="A1392" s="26" t="s">
        <v>9572</v>
      </c>
      <c r="B1392" s="25" t="s">
        <v>10592</v>
      </c>
      <c r="C1392" s="6" t="s">
        <v>11722</v>
      </c>
      <c r="D1392" s="13">
        <v>15465.6944</v>
      </c>
      <c r="E1392" s="18">
        <v>21</v>
      </c>
      <c r="F1392" s="2">
        <f t="shared" si="42"/>
        <v>18713.490224000001</v>
      </c>
      <c r="G1392" s="3">
        <v>0</v>
      </c>
      <c r="H1392" s="4">
        <v>0.7</v>
      </c>
      <c r="I1392" s="28">
        <f t="shared" si="43"/>
        <v>31812.933380800001</v>
      </c>
    </row>
    <row r="1393" spans="1:9" ht="15.75" customHeight="1" x14ac:dyDescent="0.35">
      <c r="A1393" s="26" t="s">
        <v>12044</v>
      </c>
      <c r="B1393" s="25" t="s">
        <v>12290</v>
      </c>
      <c r="C1393" s="6" t="s">
        <v>12045</v>
      </c>
      <c r="D1393" s="13">
        <v>21804.2032</v>
      </c>
      <c r="E1393" s="18">
        <v>21</v>
      </c>
      <c r="F1393" s="2">
        <f t="shared" si="42"/>
        <v>26383.085872</v>
      </c>
      <c r="G1393" s="3">
        <v>0</v>
      </c>
      <c r="H1393" s="4">
        <v>0.7</v>
      </c>
      <c r="I1393" s="28">
        <f t="shared" si="43"/>
        <v>44851.245982399996</v>
      </c>
    </row>
    <row r="1394" spans="1:9" ht="15.75" customHeight="1" x14ac:dyDescent="0.35">
      <c r="A1394" s="26" t="s">
        <v>3692</v>
      </c>
      <c r="B1394" s="25" t="s">
        <v>12017</v>
      </c>
      <c r="C1394" s="6" t="s">
        <v>11723</v>
      </c>
      <c r="D1394" s="13">
        <v>13057.5952</v>
      </c>
      <c r="E1394" s="18">
        <v>21</v>
      </c>
      <c r="F1394" s="2">
        <f t="shared" si="42"/>
        <v>15799.690192</v>
      </c>
      <c r="G1394" s="3">
        <v>0</v>
      </c>
      <c r="H1394" s="4">
        <v>0.7</v>
      </c>
      <c r="I1394" s="28">
        <f t="shared" si="43"/>
        <v>26859.473326399999</v>
      </c>
    </row>
    <row r="1395" spans="1:9" ht="15.75" customHeight="1" x14ac:dyDescent="0.35">
      <c r="A1395" s="26" t="s">
        <v>3693</v>
      </c>
      <c r="B1395" s="25" t="s">
        <v>13036</v>
      </c>
      <c r="C1395" s="6" t="s">
        <v>11724</v>
      </c>
      <c r="D1395" s="13">
        <v>17578.901600000001</v>
      </c>
      <c r="E1395" s="18">
        <v>21</v>
      </c>
      <c r="F1395" s="2">
        <f t="shared" si="42"/>
        <v>21270.470936000002</v>
      </c>
      <c r="G1395" s="3">
        <v>0</v>
      </c>
      <c r="H1395" s="4">
        <v>0.7</v>
      </c>
      <c r="I1395" s="28">
        <f t="shared" si="43"/>
        <v>36159.800591200001</v>
      </c>
    </row>
    <row r="1396" spans="1:9" ht="15.75" customHeight="1" x14ac:dyDescent="0.35">
      <c r="A1396" s="26" t="s">
        <v>3774</v>
      </c>
      <c r="B1396" s="25" t="s">
        <v>10808</v>
      </c>
      <c r="C1396" s="6" t="s">
        <v>11725</v>
      </c>
      <c r="D1396" s="13">
        <v>19203.589599999999</v>
      </c>
      <c r="E1396" s="18">
        <v>21</v>
      </c>
      <c r="F1396" s="2">
        <f t="shared" si="42"/>
        <v>23236.343416</v>
      </c>
      <c r="G1396" s="3">
        <v>0</v>
      </c>
      <c r="H1396" s="4">
        <v>0.7</v>
      </c>
      <c r="I1396" s="28">
        <f t="shared" si="43"/>
        <v>39501.783807200001</v>
      </c>
    </row>
    <row r="1397" spans="1:9" ht="15.75" customHeight="1" x14ac:dyDescent="0.35">
      <c r="A1397" s="26" t="s">
        <v>9573</v>
      </c>
      <c r="B1397" s="25" t="s">
        <v>12782</v>
      </c>
      <c r="C1397" s="6" t="s">
        <v>11726</v>
      </c>
      <c r="D1397" s="13">
        <v>11479.6448</v>
      </c>
      <c r="E1397" s="18">
        <v>21</v>
      </c>
      <c r="F1397" s="2">
        <f t="shared" si="42"/>
        <v>13890.370208</v>
      </c>
      <c r="G1397" s="3">
        <v>0</v>
      </c>
      <c r="H1397" s="4">
        <v>0.7</v>
      </c>
      <c r="I1397" s="28">
        <f t="shared" si="43"/>
        <v>23613.629353600001</v>
      </c>
    </row>
    <row r="1398" spans="1:9" ht="15.75" customHeight="1" x14ac:dyDescent="0.35">
      <c r="A1398" s="26" t="s">
        <v>3775</v>
      </c>
      <c r="B1398" s="25" t="s">
        <v>10593</v>
      </c>
      <c r="C1398" s="6" t="s">
        <v>11727</v>
      </c>
      <c r="D1398" s="13">
        <v>11479.6448</v>
      </c>
      <c r="E1398" s="18">
        <v>21</v>
      </c>
      <c r="F1398" s="2">
        <f t="shared" si="42"/>
        <v>13890.370208</v>
      </c>
      <c r="G1398" s="3">
        <v>0</v>
      </c>
      <c r="H1398" s="4">
        <v>0.7</v>
      </c>
      <c r="I1398" s="28">
        <f t="shared" si="43"/>
        <v>23613.629353600001</v>
      </c>
    </row>
    <row r="1399" spans="1:9" ht="15.75" customHeight="1" x14ac:dyDescent="0.35">
      <c r="A1399" s="26" t="s">
        <v>9503</v>
      </c>
      <c r="B1399" s="25" t="s">
        <v>10594</v>
      </c>
      <c r="C1399" s="6" t="s">
        <v>11728</v>
      </c>
      <c r="D1399" s="13">
        <v>15465.6944</v>
      </c>
      <c r="E1399" s="18">
        <v>21</v>
      </c>
      <c r="F1399" s="2">
        <f t="shared" si="42"/>
        <v>18713.490224000001</v>
      </c>
      <c r="G1399" s="3">
        <v>0</v>
      </c>
      <c r="H1399" s="4">
        <v>0.7</v>
      </c>
      <c r="I1399" s="28">
        <f t="shared" si="43"/>
        <v>31812.933380800001</v>
      </c>
    </row>
    <row r="1400" spans="1:9" ht="15.75" customHeight="1" x14ac:dyDescent="0.35">
      <c r="A1400" s="26" t="s">
        <v>3778</v>
      </c>
      <c r="B1400" s="25" t="s">
        <v>10260</v>
      </c>
      <c r="C1400" s="6" t="s">
        <v>11729</v>
      </c>
      <c r="D1400" s="13">
        <v>19203.589599999999</v>
      </c>
      <c r="E1400" s="18">
        <v>21</v>
      </c>
      <c r="F1400" s="2">
        <f t="shared" si="42"/>
        <v>23236.343416</v>
      </c>
      <c r="G1400" s="3">
        <v>0</v>
      </c>
      <c r="H1400" s="4">
        <v>0.7</v>
      </c>
      <c r="I1400" s="28">
        <f t="shared" si="43"/>
        <v>39501.783807200001</v>
      </c>
    </row>
    <row r="1401" spans="1:9" ht="15.75" customHeight="1" x14ac:dyDescent="0.35">
      <c r="A1401" s="26" t="s">
        <v>3776</v>
      </c>
      <c r="B1401" s="25" t="s">
        <v>10261</v>
      </c>
      <c r="C1401" s="6" t="s">
        <v>11730</v>
      </c>
      <c r="D1401" s="13">
        <v>11479.6448</v>
      </c>
      <c r="E1401" s="18">
        <v>21</v>
      </c>
      <c r="F1401" s="2">
        <f t="shared" si="42"/>
        <v>13890.370208</v>
      </c>
      <c r="G1401" s="3">
        <v>0</v>
      </c>
      <c r="H1401" s="4">
        <v>0.7</v>
      </c>
      <c r="I1401" s="28">
        <f t="shared" si="43"/>
        <v>23613.629353600001</v>
      </c>
    </row>
    <row r="1402" spans="1:9" ht="15.75" customHeight="1" x14ac:dyDescent="0.35">
      <c r="A1402" s="26" t="s">
        <v>3777</v>
      </c>
      <c r="B1402" s="25" t="s">
        <v>9718</v>
      </c>
      <c r="C1402" s="6" t="s">
        <v>11731</v>
      </c>
      <c r="D1402" s="13">
        <v>11479.6448</v>
      </c>
      <c r="E1402" s="18">
        <v>21</v>
      </c>
      <c r="F1402" s="2">
        <f t="shared" si="42"/>
        <v>13890.370208</v>
      </c>
      <c r="G1402" s="3">
        <v>0</v>
      </c>
      <c r="H1402" s="4">
        <v>0.7</v>
      </c>
      <c r="I1402" s="28">
        <f t="shared" si="43"/>
        <v>23613.629353600001</v>
      </c>
    </row>
    <row r="1403" spans="1:9" ht="15.75" customHeight="1" x14ac:dyDescent="0.35">
      <c r="A1403" s="26" t="s">
        <v>9504</v>
      </c>
      <c r="B1403" s="25" t="s">
        <v>8862</v>
      </c>
      <c r="C1403" s="6" t="s">
        <v>11732</v>
      </c>
      <c r="D1403" s="13">
        <v>15465.6944</v>
      </c>
      <c r="E1403" s="18">
        <v>21</v>
      </c>
      <c r="F1403" s="2">
        <f t="shared" si="42"/>
        <v>18713.490224000001</v>
      </c>
      <c r="G1403" s="3">
        <v>0</v>
      </c>
      <c r="H1403" s="4">
        <v>0.7</v>
      </c>
      <c r="I1403" s="28">
        <f t="shared" si="43"/>
        <v>31812.933380800001</v>
      </c>
    </row>
    <row r="1404" spans="1:9" ht="15.75" customHeight="1" x14ac:dyDescent="0.35">
      <c r="A1404" s="26" t="s">
        <v>3727</v>
      </c>
      <c r="B1404" s="25" t="s">
        <v>8863</v>
      </c>
      <c r="C1404" s="6" t="s">
        <v>10412</v>
      </c>
      <c r="D1404" s="13">
        <v>51829.764342720002</v>
      </c>
      <c r="E1404" s="18">
        <v>21</v>
      </c>
      <c r="F1404" s="2">
        <f t="shared" si="42"/>
        <v>62714.014854691202</v>
      </c>
      <c r="G1404" s="3">
        <v>0</v>
      </c>
      <c r="H1404" s="4">
        <v>0.7</v>
      </c>
      <c r="I1404" s="28">
        <f t="shared" si="43"/>
        <v>106613.82525297505</v>
      </c>
    </row>
    <row r="1405" spans="1:9" ht="15.75" customHeight="1" x14ac:dyDescent="0.35">
      <c r="A1405" s="26" t="s">
        <v>9685</v>
      </c>
      <c r="B1405" s="25" t="s">
        <v>8864</v>
      </c>
      <c r="C1405" s="6" t="s">
        <v>10413</v>
      </c>
      <c r="D1405" s="13">
        <v>45690.455199999997</v>
      </c>
      <c r="E1405" s="18">
        <v>21</v>
      </c>
      <c r="F1405" s="2">
        <f t="shared" si="42"/>
        <v>55285.450791999996</v>
      </c>
      <c r="G1405" s="3">
        <v>0</v>
      </c>
      <c r="H1405" s="4">
        <v>0.7</v>
      </c>
      <c r="I1405" s="28">
        <f t="shared" si="43"/>
        <v>93985.266346399992</v>
      </c>
    </row>
    <row r="1406" spans="1:9" ht="15.75" customHeight="1" x14ac:dyDescent="0.35">
      <c r="A1406" s="26" t="s">
        <v>9751</v>
      </c>
      <c r="B1406" s="25" t="s">
        <v>9879</v>
      </c>
      <c r="C1406" s="6" t="s">
        <v>10414</v>
      </c>
      <c r="D1406" s="13">
        <v>45690.455199999997</v>
      </c>
      <c r="E1406" s="18">
        <v>21</v>
      </c>
      <c r="F1406" s="2">
        <f t="shared" si="42"/>
        <v>55285.450791999996</v>
      </c>
      <c r="G1406" s="3">
        <v>0</v>
      </c>
      <c r="H1406" s="4">
        <v>0.7</v>
      </c>
      <c r="I1406" s="28">
        <f t="shared" si="43"/>
        <v>93985.266346399992</v>
      </c>
    </row>
    <row r="1407" spans="1:9" ht="15.75" customHeight="1" x14ac:dyDescent="0.35">
      <c r="A1407" s="26" t="s">
        <v>9686</v>
      </c>
      <c r="B1407" s="25" t="s">
        <v>10809</v>
      </c>
      <c r="C1407" s="6" t="s">
        <v>11733</v>
      </c>
      <c r="D1407" s="13">
        <v>26658.236799999999</v>
      </c>
      <c r="E1407" s="18">
        <v>21</v>
      </c>
      <c r="F1407" s="2">
        <f t="shared" si="42"/>
        <v>32256.466527999997</v>
      </c>
      <c r="G1407" s="3">
        <v>0</v>
      </c>
      <c r="H1407" s="4">
        <v>0.7</v>
      </c>
      <c r="I1407" s="28">
        <f t="shared" si="43"/>
        <v>54835.993097599996</v>
      </c>
    </row>
    <row r="1408" spans="1:9" ht="15.75" customHeight="1" x14ac:dyDescent="0.35">
      <c r="A1408" s="26" t="s">
        <v>9749</v>
      </c>
      <c r="B1408" s="25" t="s">
        <v>10810</v>
      </c>
      <c r="C1408" s="6" t="s">
        <v>11734</v>
      </c>
      <c r="D1408" s="13">
        <v>26658.236799999999</v>
      </c>
      <c r="E1408" s="18">
        <v>21</v>
      </c>
      <c r="F1408" s="2">
        <f t="shared" si="42"/>
        <v>32256.466527999997</v>
      </c>
      <c r="G1408" s="3">
        <v>0</v>
      </c>
      <c r="H1408" s="4">
        <v>0.7</v>
      </c>
      <c r="I1408" s="28">
        <f t="shared" si="43"/>
        <v>54835.993097599996</v>
      </c>
    </row>
    <row r="1409" spans="1:9" ht="15.75" customHeight="1" x14ac:dyDescent="0.35">
      <c r="A1409" s="26" t="s">
        <v>3672</v>
      </c>
      <c r="B1409" s="25" t="s">
        <v>10811</v>
      </c>
      <c r="C1409" s="6" t="s">
        <v>10415</v>
      </c>
      <c r="D1409" s="13">
        <v>51829.252232159997</v>
      </c>
      <c r="E1409" s="18">
        <v>21</v>
      </c>
      <c r="F1409" s="2">
        <f t="shared" si="42"/>
        <v>62713.395200913597</v>
      </c>
      <c r="G1409" s="3">
        <v>0</v>
      </c>
      <c r="H1409" s="4">
        <v>0.7</v>
      </c>
      <c r="I1409" s="28">
        <f t="shared" si="43"/>
        <v>106612.77184155311</v>
      </c>
    </row>
    <row r="1410" spans="1:9" ht="15.75" customHeight="1" x14ac:dyDescent="0.35">
      <c r="A1410" s="26" t="s">
        <v>3735</v>
      </c>
      <c r="B1410" s="25" t="s">
        <v>10812</v>
      </c>
      <c r="C1410" s="6" t="s">
        <v>10416</v>
      </c>
      <c r="D1410" s="13">
        <v>29017.996413119999</v>
      </c>
      <c r="E1410" s="18">
        <v>21</v>
      </c>
      <c r="F1410" s="2">
        <f t="shared" si="42"/>
        <v>35111.775659875202</v>
      </c>
      <c r="G1410" s="3">
        <v>0</v>
      </c>
      <c r="H1410" s="4">
        <v>0.7</v>
      </c>
      <c r="I1410" s="28">
        <f t="shared" si="43"/>
        <v>59690.018621787844</v>
      </c>
    </row>
    <row r="1411" spans="1:9" ht="15.75" customHeight="1" x14ac:dyDescent="0.35">
      <c r="A1411" s="26" t="s">
        <v>3736</v>
      </c>
      <c r="B1411" s="25" t="s">
        <v>10813</v>
      </c>
      <c r="C1411" s="6" t="s">
        <v>10417</v>
      </c>
      <c r="D1411" s="13">
        <v>80159.531345919997</v>
      </c>
      <c r="E1411" s="18">
        <v>21</v>
      </c>
      <c r="F1411" s="2">
        <f t="shared" si="42"/>
        <v>96993.032928563189</v>
      </c>
      <c r="G1411" s="3">
        <v>0</v>
      </c>
      <c r="H1411" s="4">
        <v>0.7</v>
      </c>
      <c r="I1411" s="28">
        <f t="shared" si="43"/>
        <v>164888.15597855742</v>
      </c>
    </row>
    <row r="1412" spans="1:9" ht="15.75" customHeight="1" x14ac:dyDescent="0.35">
      <c r="A1412" s="26" t="s">
        <v>9390</v>
      </c>
      <c r="B1412" s="25" t="s">
        <v>172</v>
      </c>
      <c r="C1412" s="6" t="s">
        <v>13264</v>
      </c>
      <c r="D1412" s="13">
        <v>18080.774399999998</v>
      </c>
      <c r="E1412" s="18">
        <v>21</v>
      </c>
      <c r="F1412" s="2">
        <f t="shared" si="42"/>
        <v>21877.737023999998</v>
      </c>
      <c r="G1412" s="3">
        <v>0</v>
      </c>
      <c r="H1412" s="4">
        <v>0.7</v>
      </c>
      <c r="I1412" s="28">
        <f t="shared" si="43"/>
        <v>37192.152940799999</v>
      </c>
    </row>
    <row r="1413" spans="1:9" ht="15.75" customHeight="1" x14ac:dyDescent="0.35">
      <c r="A1413" s="26" t="s">
        <v>9391</v>
      </c>
      <c r="B1413" s="25" t="s">
        <v>173</v>
      </c>
      <c r="C1413" s="6" t="s">
        <v>11735</v>
      </c>
      <c r="D1413" s="13">
        <v>18080.774399999998</v>
      </c>
      <c r="E1413" s="18">
        <v>21</v>
      </c>
      <c r="F1413" s="2">
        <f t="shared" si="42"/>
        <v>21877.737023999998</v>
      </c>
      <c r="G1413" s="3">
        <v>0</v>
      </c>
      <c r="H1413" s="4">
        <v>0.7</v>
      </c>
      <c r="I1413" s="28">
        <f t="shared" si="43"/>
        <v>37192.152940799999</v>
      </c>
    </row>
    <row r="1414" spans="1:9" ht="15.75" customHeight="1" x14ac:dyDescent="0.35">
      <c r="A1414" s="26" t="s">
        <v>3744</v>
      </c>
      <c r="B1414" s="25" t="s">
        <v>174</v>
      </c>
      <c r="C1414" s="6" t="s">
        <v>190</v>
      </c>
      <c r="D1414" s="13">
        <v>8903.7909999999993</v>
      </c>
      <c r="E1414" s="18">
        <v>21</v>
      </c>
      <c r="F1414" s="2">
        <f t="shared" ref="F1414:F1477" si="44">D1414*E1414/100+D1414</f>
        <v>10773.587109999999</v>
      </c>
      <c r="G1414" s="3">
        <v>0</v>
      </c>
      <c r="H1414" s="4">
        <v>0.7</v>
      </c>
      <c r="I1414" s="28">
        <f t="shared" ref="I1414:I1477" si="45">IF(G1414=-1,0,F1414*((100-G1414)/100)*(1+H1414))</f>
        <v>18315.098086999998</v>
      </c>
    </row>
    <row r="1415" spans="1:9" ht="15.75" customHeight="1" x14ac:dyDescent="0.35">
      <c r="A1415" s="26" t="s">
        <v>3745</v>
      </c>
      <c r="B1415" s="25" t="s">
        <v>175</v>
      </c>
      <c r="C1415" s="6" t="s">
        <v>191</v>
      </c>
      <c r="D1415" s="13">
        <v>14823.887000000001</v>
      </c>
      <c r="E1415" s="18">
        <v>21</v>
      </c>
      <c r="F1415" s="2">
        <f t="shared" si="44"/>
        <v>17936.903270000003</v>
      </c>
      <c r="G1415" s="3">
        <v>0</v>
      </c>
      <c r="H1415" s="4">
        <v>0.7</v>
      </c>
      <c r="I1415" s="28">
        <f t="shared" si="45"/>
        <v>30492.735559000004</v>
      </c>
    </row>
    <row r="1416" spans="1:9" ht="15.75" customHeight="1" x14ac:dyDescent="0.35">
      <c r="A1416" s="26" t="s">
        <v>3746</v>
      </c>
      <c r="B1416" s="25" t="s">
        <v>10814</v>
      </c>
      <c r="C1416" s="6" t="s">
        <v>192</v>
      </c>
      <c r="D1416" s="13">
        <v>9624.3289999999997</v>
      </c>
      <c r="E1416" s="18">
        <v>21</v>
      </c>
      <c r="F1416" s="2">
        <f t="shared" si="44"/>
        <v>11645.43809</v>
      </c>
      <c r="G1416" s="3">
        <v>0</v>
      </c>
      <c r="H1416" s="4">
        <v>0.7</v>
      </c>
      <c r="I1416" s="28">
        <f t="shared" si="45"/>
        <v>19797.244752999999</v>
      </c>
    </row>
    <row r="1417" spans="1:9" ht="15.75" customHeight="1" x14ac:dyDescent="0.35">
      <c r="A1417" s="26" t="s">
        <v>3747</v>
      </c>
      <c r="B1417" s="25" t="s">
        <v>10815</v>
      </c>
      <c r="C1417" s="6" t="s">
        <v>193</v>
      </c>
      <c r="D1417" s="13">
        <v>9624.3289999999997</v>
      </c>
      <c r="E1417" s="18">
        <v>21</v>
      </c>
      <c r="F1417" s="2">
        <f t="shared" si="44"/>
        <v>11645.43809</v>
      </c>
      <c r="G1417" s="3">
        <v>0</v>
      </c>
      <c r="H1417" s="4">
        <v>0.7</v>
      </c>
      <c r="I1417" s="28">
        <f t="shared" si="45"/>
        <v>19797.244752999999</v>
      </c>
    </row>
    <row r="1418" spans="1:9" ht="15.75" customHeight="1" x14ac:dyDescent="0.35">
      <c r="A1418" s="26" t="s">
        <v>3748</v>
      </c>
      <c r="B1418" s="25" t="s">
        <v>176</v>
      </c>
      <c r="C1418" s="6" t="s">
        <v>194</v>
      </c>
      <c r="D1418" s="13">
        <v>15814.279</v>
      </c>
      <c r="E1418" s="18">
        <v>21</v>
      </c>
      <c r="F1418" s="2">
        <f t="shared" si="44"/>
        <v>19135.277590000002</v>
      </c>
      <c r="G1418" s="3">
        <v>0</v>
      </c>
      <c r="H1418" s="4">
        <v>0.7</v>
      </c>
      <c r="I1418" s="28">
        <f t="shared" si="45"/>
        <v>32529.971903000001</v>
      </c>
    </row>
    <row r="1419" spans="1:9" ht="15.75" customHeight="1" x14ac:dyDescent="0.35">
      <c r="A1419" s="26" t="s">
        <v>3755</v>
      </c>
      <c r="B1419" s="25" t="s">
        <v>177</v>
      </c>
      <c r="C1419" s="6" t="s">
        <v>195</v>
      </c>
      <c r="D1419" s="13">
        <v>6171.0129260000003</v>
      </c>
      <c r="E1419" s="18">
        <v>21</v>
      </c>
      <c r="F1419" s="2">
        <f t="shared" si="44"/>
        <v>7466.9256404600001</v>
      </c>
      <c r="G1419" s="3">
        <v>0</v>
      </c>
      <c r="H1419" s="4">
        <v>0.7</v>
      </c>
      <c r="I1419" s="28">
        <f t="shared" si="45"/>
        <v>12693.773588782</v>
      </c>
    </row>
    <row r="1420" spans="1:9" ht="15.75" customHeight="1" x14ac:dyDescent="0.35">
      <c r="A1420" s="26" t="s">
        <v>3758</v>
      </c>
      <c r="B1420" s="25" t="s">
        <v>1094</v>
      </c>
      <c r="C1420" s="6" t="s">
        <v>196</v>
      </c>
      <c r="D1420" s="13">
        <v>6933.2120715000001</v>
      </c>
      <c r="E1420" s="18">
        <v>21</v>
      </c>
      <c r="F1420" s="2">
        <f t="shared" si="44"/>
        <v>8389.1866065150007</v>
      </c>
      <c r="G1420" s="3">
        <v>0</v>
      </c>
      <c r="H1420" s="4">
        <v>0.7</v>
      </c>
      <c r="I1420" s="28">
        <f t="shared" si="45"/>
        <v>14261.617231075501</v>
      </c>
    </row>
    <row r="1421" spans="1:9" ht="15.75" customHeight="1" x14ac:dyDescent="0.35">
      <c r="A1421" s="26" t="s">
        <v>3759</v>
      </c>
      <c r="B1421" s="25" t="s">
        <v>178</v>
      </c>
      <c r="C1421" s="6" t="s">
        <v>197</v>
      </c>
      <c r="D1421" s="13">
        <v>6933.2120715000001</v>
      </c>
      <c r="E1421" s="18">
        <v>21</v>
      </c>
      <c r="F1421" s="2">
        <f t="shared" si="44"/>
        <v>8389.1866065150007</v>
      </c>
      <c r="G1421" s="3">
        <v>0</v>
      </c>
      <c r="H1421" s="4">
        <v>0.7</v>
      </c>
      <c r="I1421" s="28">
        <f t="shared" si="45"/>
        <v>14261.617231075501</v>
      </c>
    </row>
    <row r="1422" spans="1:9" ht="15.75" customHeight="1" x14ac:dyDescent="0.35">
      <c r="A1422" s="26" t="s">
        <v>3674</v>
      </c>
      <c r="B1422" s="25" t="s">
        <v>1233</v>
      </c>
      <c r="C1422" s="6" t="s">
        <v>10649</v>
      </c>
      <c r="D1422" s="13">
        <v>7717.268</v>
      </c>
      <c r="E1422" s="18">
        <v>21</v>
      </c>
      <c r="F1422" s="2">
        <f t="shared" si="44"/>
        <v>9337.8942800000004</v>
      </c>
      <c r="G1422" s="3">
        <v>0</v>
      </c>
      <c r="H1422" s="4">
        <v>0.7</v>
      </c>
      <c r="I1422" s="28">
        <f t="shared" si="45"/>
        <v>15874.420276000001</v>
      </c>
    </row>
    <row r="1423" spans="1:9" ht="15.75" customHeight="1" x14ac:dyDescent="0.35">
      <c r="A1423" s="26" t="s">
        <v>3686</v>
      </c>
      <c r="B1423" s="25" t="s">
        <v>8760</v>
      </c>
      <c r="C1423" s="6" t="s">
        <v>9179</v>
      </c>
      <c r="D1423" s="13">
        <v>7717.268</v>
      </c>
      <c r="E1423" s="18">
        <v>21</v>
      </c>
      <c r="F1423" s="2">
        <f t="shared" si="44"/>
        <v>9337.8942800000004</v>
      </c>
      <c r="G1423" s="3">
        <v>0</v>
      </c>
      <c r="H1423" s="4">
        <v>0.7</v>
      </c>
      <c r="I1423" s="28">
        <f t="shared" si="45"/>
        <v>15874.420276000001</v>
      </c>
    </row>
    <row r="1424" spans="1:9" ht="15.75" customHeight="1" x14ac:dyDescent="0.35">
      <c r="A1424" s="26" t="s">
        <v>9776</v>
      </c>
      <c r="B1424" s="25" t="s">
        <v>1095</v>
      </c>
      <c r="C1424" s="6" t="s">
        <v>11736</v>
      </c>
      <c r="D1424" s="13">
        <v>18741.777600000001</v>
      </c>
      <c r="E1424" s="18">
        <v>21</v>
      </c>
      <c r="F1424" s="2">
        <f t="shared" si="44"/>
        <v>22677.550896000001</v>
      </c>
      <c r="G1424" s="3">
        <v>0</v>
      </c>
      <c r="H1424" s="4">
        <v>0.7</v>
      </c>
      <c r="I1424" s="28">
        <f t="shared" si="45"/>
        <v>38551.8365232</v>
      </c>
    </row>
    <row r="1425" spans="1:9" ht="15.75" customHeight="1" x14ac:dyDescent="0.35">
      <c r="A1425" s="26" t="s">
        <v>3763</v>
      </c>
      <c r="B1425" s="25" t="s">
        <v>10262</v>
      </c>
      <c r="C1425" s="6" t="s">
        <v>1171</v>
      </c>
      <c r="D1425" s="13">
        <v>26107.679</v>
      </c>
      <c r="E1425" s="18">
        <v>21</v>
      </c>
      <c r="F1425" s="2">
        <f t="shared" si="44"/>
        <v>31590.291590000001</v>
      </c>
      <c r="G1425" s="3">
        <v>0</v>
      </c>
      <c r="H1425" s="4">
        <v>0.7</v>
      </c>
      <c r="I1425" s="28">
        <f t="shared" si="45"/>
        <v>53703.495703000001</v>
      </c>
    </row>
    <row r="1426" spans="1:9" ht="15.75" customHeight="1" x14ac:dyDescent="0.35">
      <c r="A1426" s="26" t="s">
        <v>3764</v>
      </c>
      <c r="B1426" s="25" t="s">
        <v>9612</v>
      </c>
      <c r="C1426" s="6" t="s">
        <v>1172</v>
      </c>
      <c r="D1426" s="13">
        <v>26107.679</v>
      </c>
      <c r="E1426" s="18">
        <v>21</v>
      </c>
      <c r="F1426" s="2">
        <f t="shared" si="44"/>
        <v>31590.291590000001</v>
      </c>
      <c r="G1426" s="3">
        <v>0</v>
      </c>
      <c r="H1426" s="4">
        <v>0.7</v>
      </c>
      <c r="I1426" s="28">
        <f t="shared" si="45"/>
        <v>53703.495703000001</v>
      </c>
    </row>
    <row r="1427" spans="1:9" ht="15.75" customHeight="1" x14ac:dyDescent="0.35">
      <c r="A1427" s="26" t="s">
        <v>9683</v>
      </c>
      <c r="B1427" s="25" t="s">
        <v>11577</v>
      </c>
      <c r="C1427" s="6" t="s">
        <v>11738</v>
      </c>
      <c r="D1427" s="13">
        <v>22865.814399999999</v>
      </c>
      <c r="E1427" s="18">
        <v>21</v>
      </c>
      <c r="F1427" s="2">
        <f t="shared" si="44"/>
        <v>27667.635424</v>
      </c>
      <c r="G1427" s="3">
        <v>0</v>
      </c>
      <c r="H1427" s="4">
        <v>0.7</v>
      </c>
      <c r="I1427" s="28">
        <f t="shared" si="45"/>
        <v>47034.980220799996</v>
      </c>
    </row>
    <row r="1428" spans="1:9" ht="15.75" customHeight="1" x14ac:dyDescent="0.35">
      <c r="A1428" s="26" t="s">
        <v>9752</v>
      </c>
      <c r="B1428" s="25" t="s">
        <v>179</v>
      </c>
      <c r="C1428" s="6" t="s">
        <v>11739</v>
      </c>
      <c r="D1428" s="13">
        <v>22865.814399999999</v>
      </c>
      <c r="E1428" s="18">
        <v>21</v>
      </c>
      <c r="F1428" s="2">
        <f t="shared" si="44"/>
        <v>27667.635424</v>
      </c>
      <c r="G1428" s="3">
        <v>0</v>
      </c>
      <c r="H1428" s="4">
        <v>0.7</v>
      </c>
      <c r="I1428" s="28">
        <f t="shared" si="45"/>
        <v>47034.980220799996</v>
      </c>
    </row>
    <row r="1429" spans="1:9" ht="15.75" customHeight="1" x14ac:dyDescent="0.35">
      <c r="A1429" s="26" t="s">
        <v>9684</v>
      </c>
      <c r="B1429" s="25" t="s">
        <v>180</v>
      </c>
      <c r="C1429" s="6" t="s">
        <v>11740</v>
      </c>
      <c r="D1429" s="13">
        <v>22865.814399999999</v>
      </c>
      <c r="E1429" s="18">
        <v>21</v>
      </c>
      <c r="F1429" s="2">
        <f t="shared" si="44"/>
        <v>27667.635424</v>
      </c>
      <c r="G1429" s="3">
        <v>0</v>
      </c>
      <c r="H1429" s="4">
        <v>0.7</v>
      </c>
      <c r="I1429" s="28">
        <f t="shared" si="45"/>
        <v>47034.980220799996</v>
      </c>
    </row>
    <row r="1430" spans="1:9" ht="15.75" customHeight="1" x14ac:dyDescent="0.35">
      <c r="A1430" s="26" t="s">
        <v>9777</v>
      </c>
      <c r="B1430" s="25" t="s">
        <v>181</v>
      </c>
      <c r="C1430" s="6" t="s">
        <v>11657</v>
      </c>
      <c r="D1430" s="13">
        <v>25017.9696</v>
      </c>
      <c r="E1430" s="18">
        <v>21</v>
      </c>
      <c r="F1430" s="2">
        <f t="shared" si="44"/>
        <v>30271.743216000003</v>
      </c>
      <c r="G1430" s="3">
        <v>0</v>
      </c>
      <c r="H1430" s="4">
        <v>0.7</v>
      </c>
      <c r="I1430" s="28">
        <f t="shared" si="45"/>
        <v>51461.963467200003</v>
      </c>
    </row>
    <row r="1431" spans="1:9" ht="15.75" customHeight="1" x14ac:dyDescent="0.35">
      <c r="A1431" s="26" t="s">
        <v>9688</v>
      </c>
      <c r="B1431" s="25" t="s">
        <v>182</v>
      </c>
      <c r="C1431" s="6" t="s">
        <v>11658</v>
      </c>
      <c r="D1431" s="13">
        <v>25017.9696</v>
      </c>
      <c r="E1431" s="18">
        <v>21</v>
      </c>
      <c r="F1431" s="2">
        <f t="shared" si="44"/>
        <v>30271.743216000003</v>
      </c>
      <c r="G1431" s="3">
        <v>0</v>
      </c>
      <c r="H1431" s="4">
        <v>0.7</v>
      </c>
      <c r="I1431" s="28">
        <f t="shared" si="45"/>
        <v>51461.963467200003</v>
      </c>
    </row>
    <row r="1432" spans="1:9" ht="15.75" customHeight="1" x14ac:dyDescent="0.35">
      <c r="A1432" s="26" t="s">
        <v>9687</v>
      </c>
      <c r="B1432" s="25" t="s">
        <v>183</v>
      </c>
      <c r="C1432" s="6" t="s">
        <v>11659</v>
      </c>
      <c r="D1432" s="13">
        <v>25017.9696</v>
      </c>
      <c r="E1432" s="18">
        <v>21</v>
      </c>
      <c r="F1432" s="2">
        <f t="shared" si="44"/>
        <v>30271.743216000003</v>
      </c>
      <c r="G1432" s="3">
        <v>0</v>
      </c>
      <c r="H1432" s="4">
        <v>0.7</v>
      </c>
      <c r="I1432" s="28">
        <f t="shared" si="45"/>
        <v>51461.963467200003</v>
      </c>
    </row>
    <row r="1433" spans="1:9" ht="15.75" customHeight="1" x14ac:dyDescent="0.35">
      <c r="A1433" s="26" t="s">
        <v>3765</v>
      </c>
      <c r="B1433" s="25" t="s">
        <v>13371</v>
      </c>
      <c r="C1433" s="6" t="s">
        <v>198</v>
      </c>
      <c r="D1433" s="13">
        <v>6171.0129260000003</v>
      </c>
      <c r="E1433" s="18">
        <v>21</v>
      </c>
      <c r="F1433" s="2">
        <f t="shared" si="44"/>
        <v>7466.9256404600001</v>
      </c>
      <c r="G1433" s="3">
        <v>0</v>
      </c>
      <c r="H1433" s="4">
        <v>0.7</v>
      </c>
      <c r="I1433" s="28">
        <f t="shared" si="45"/>
        <v>12693.773588782</v>
      </c>
    </row>
    <row r="1434" spans="1:9" ht="15.75" customHeight="1" x14ac:dyDescent="0.35">
      <c r="A1434" s="26" t="s">
        <v>3766</v>
      </c>
      <c r="B1434" s="25" t="s">
        <v>13373</v>
      </c>
      <c r="C1434" s="6" t="s">
        <v>199</v>
      </c>
      <c r="D1434" s="13">
        <v>4057.6762760625202</v>
      </c>
      <c r="E1434" s="18">
        <v>21</v>
      </c>
      <c r="F1434" s="2">
        <f t="shared" si="44"/>
        <v>4909.7882940356494</v>
      </c>
      <c r="G1434" s="3">
        <v>0</v>
      </c>
      <c r="H1434" s="4">
        <v>0.7</v>
      </c>
      <c r="I1434" s="28">
        <f t="shared" si="45"/>
        <v>8346.6400998606041</v>
      </c>
    </row>
    <row r="1435" spans="1:9" ht="15.75" customHeight="1" x14ac:dyDescent="0.35">
      <c r="A1435" s="26" t="s">
        <v>3767</v>
      </c>
      <c r="B1435" s="25" t="s">
        <v>13375</v>
      </c>
      <c r="C1435" s="6" t="s">
        <v>200</v>
      </c>
      <c r="D1435" s="13">
        <v>4057.6762760625202</v>
      </c>
      <c r="E1435" s="18">
        <v>21</v>
      </c>
      <c r="F1435" s="2">
        <f t="shared" si="44"/>
        <v>4909.7882940356494</v>
      </c>
      <c r="G1435" s="3">
        <v>0</v>
      </c>
      <c r="H1435" s="4">
        <v>0.7</v>
      </c>
      <c r="I1435" s="28">
        <f t="shared" si="45"/>
        <v>8346.6400998606041</v>
      </c>
    </row>
    <row r="1436" spans="1:9" ht="15.75" customHeight="1" x14ac:dyDescent="0.35">
      <c r="A1436" s="26" t="s">
        <v>3768</v>
      </c>
      <c r="B1436" s="25" t="s">
        <v>13377</v>
      </c>
      <c r="C1436" s="6" t="s">
        <v>201</v>
      </c>
      <c r="D1436" s="13">
        <v>11537.510399999999</v>
      </c>
      <c r="E1436" s="18">
        <v>21</v>
      </c>
      <c r="F1436" s="2">
        <f t="shared" si="44"/>
        <v>13960.387584</v>
      </c>
      <c r="G1436" s="3">
        <v>0</v>
      </c>
      <c r="H1436" s="4">
        <v>0.7</v>
      </c>
      <c r="I1436" s="28">
        <f t="shared" si="45"/>
        <v>23732.658892799998</v>
      </c>
    </row>
    <row r="1437" spans="1:9" ht="15.75" customHeight="1" x14ac:dyDescent="0.35">
      <c r="A1437" s="26" t="s">
        <v>3770</v>
      </c>
      <c r="B1437" s="25" t="s">
        <v>13379</v>
      </c>
      <c r="C1437" s="6" t="s">
        <v>11660</v>
      </c>
      <c r="D1437" s="13">
        <v>4166.3231999999998</v>
      </c>
      <c r="E1437" s="18">
        <v>21</v>
      </c>
      <c r="F1437" s="2">
        <f t="shared" si="44"/>
        <v>5041.251072</v>
      </c>
      <c r="G1437" s="3">
        <v>0</v>
      </c>
      <c r="H1437" s="4">
        <v>0.7</v>
      </c>
      <c r="I1437" s="28">
        <f t="shared" si="45"/>
        <v>8570.1268223999996</v>
      </c>
    </row>
    <row r="1438" spans="1:9" ht="15.75" customHeight="1" x14ac:dyDescent="0.35">
      <c r="A1438" s="26" t="s">
        <v>3771</v>
      </c>
      <c r="B1438" s="25" t="s">
        <v>13381</v>
      </c>
      <c r="C1438" s="6" t="s">
        <v>11661</v>
      </c>
      <c r="D1438" s="13">
        <v>869.76525157031199</v>
      </c>
      <c r="E1438" s="18">
        <v>21</v>
      </c>
      <c r="F1438" s="2">
        <f t="shared" si="44"/>
        <v>1052.4159544000775</v>
      </c>
      <c r="G1438" s="3">
        <v>0</v>
      </c>
      <c r="H1438" s="4">
        <v>0.7</v>
      </c>
      <c r="I1438" s="28">
        <f t="shared" si="45"/>
        <v>1789.1071224801317</v>
      </c>
    </row>
    <row r="1439" spans="1:9" ht="15.75" customHeight="1" x14ac:dyDescent="0.35">
      <c r="A1439" s="26" t="s">
        <v>3680</v>
      </c>
      <c r="B1439" s="25" t="s">
        <v>13383</v>
      </c>
      <c r="C1439" s="6" t="s">
        <v>9180</v>
      </c>
      <c r="D1439" s="13">
        <v>15944.415396</v>
      </c>
      <c r="E1439" s="18">
        <v>21</v>
      </c>
      <c r="F1439" s="2">
        <f t="shared" si="44"/>
        <v>19292.742629159999</v>
      </c>
      <c r="G1439" s="3">
        <v>0</v>
      </c>
      <c r="H1439" s="4">
        <v>0.7</v>
      </c>
      <c r="I1439" s="28">
        <f t="shared" si="45"/>
        <v>32797.662469571995</v>
      </c>
    </row>
    <row r="1440" spans="1:9" ht="15.75" customHeight="1" x14ac:dyDescent="0.35">
      <c r="A1440" s="26" t="s">
        <v>3780</v>
      </c>
      <c r="B1440" s="25" t="s">
        <v>13385</v>
      </c>
      <c r="C1440" s="6" t="s">
        <v>10650</v>
      </c>
      <c r="D1440" s="13">
        <v>26761.449000000001</v>
      </c>
      <c r="E1440" s="18">
        <v>21</v>
      </c>
      <c r="F1440" s="2">
        <f t="shared" si="44"/>
        <v>32381.353289999999</v>
      </c>
      <c r="G1440" s="3">
        <v>0</v>
      </c>
      <c r="H1440" s="4">
        <v>0.7</v>
      </c>
      <c r="I1440" s="28">
        <f t="shared" si="45"/>
        <v>55048.300593</v>
      </c>
    </row>
    <row r="1441" spans="1:9" ht="15.75" customHeight="1" x14ac:dyDescent="0.35">
      <c r="A1441" s="26" t="s">
        <v>3781</v>
      </c>
      <c r="B1441" s="25" t="s">
        <v>11708</v>
      </c>
      <c r="C1441" s="6" t="s">
        <v>10651</v>
      </c>
      <c r="D1441" s="13">
        <v>26761.449000000001</v>
      </c>
      <c r="E1441" s="18">
        <v>21</v>
      </c>
      <c r="F1441" s="2">
        <f t="shared" si="44"/>
        <v>32381.353289999999</v>
      </c>
      <c r="G1441" s="3">
        <v>0</v>
      </c>
      <c r="H1441" s="4">
        <v>0.7</v>
      </c>
      <c r="I1441" s="28">
        <f t="shared" si="45"/>
        <v>55048.300593</v>
      </c>
    </row>
    <row r="1442" spans="1:9" ht="15.75" customHeight="1" x14ac:dyDescent="0.35">
      <c r="A1442" s="26" t="s">
        <v>9392</v>
      </c>
      <c r="B1442" s="25" t="s">
        <v>8785</v>
      </c>
      <c r="C1442" s="6" t="s">
        <v>11741</v>
      </c>
      <c r="D1442" s="13">
        <v>55544.299200000001</v>
      </c>
      <c r="E1442" s="18">
        <v>21</v>
      </c>
      <c r="F1442" s="2">
        <f t="shared" si="44"/>
        <v>67208.602031999995</v>
      </c>
      <c r="G1442" s="3">
        <v>0</v>
      </c>
      <c r="H1442" s="4">
        <v>0.7</v>
      </c>
      <c r="I1442" s="28">
        <f t="shared" si="45"/>
        <v>114254.62345439999</v>
      </c>
    </row>
    <row r="1443" spans="1:9" ht="15.75" customHeight="1" x14ac:dyDescent="0.35">
      <c r="A1443" s="26" t="s">
        <v>12083</v>
      </c>
      <c r="B1443" s="25" t="s">
        <v>8786</v>
      </c>
      <c r="C1443" s="6" t="s">
        <v>12084</v>
      </c>
      <c r="D1443" s="13">
        <v>43774.749134999998</v>
      </c>
      <c r="E1443" s="18">
        <v>21</v>
      </c>
      <c r="F1443" s="2">
        <f t="shared" si="44"/>
        <v>52967.44645335</v>
      </c>
      <c r="G1443" s="3">
        <v>0</v>
      </c>
      <c r="H1443" s="4">
        <v>0.7</v>
      </c>
      <c r="I1443" s="28">
        <f t="shared" si="45"/>
        <v>90044.658970695004</v>
      </c>
    </row>
    <row r="1444" spans="1:9" ht="15.75" customHeight="1" x14ac:dyDescent="0.35">
      <c r="A1444" s="26" t="s">
        <v>12085</v>
      </c>
      <c r="B1444" s="25" t="s">
        <v>11477</v>
      </c>
      <c r="C1444" s="6" t="s">
        <v>12086</v>
      </c>
      <c r="D1444" s="13">
        <v>41343.016844999998</v>
      </c>
      <c r="E1444" s="18">
        <v>21</v>
      </c>
      <c r="F1444" s="2">
        <f t="shared" si="44"/>
        <v>50025.050382449997</v>
      </c>
      <c r="G1444" s="3">
        <v>0</v>
      </c>
      <c r="H1444" s="4">
        <v>0.7</v>
      </c>
      <c r="I1444" s="28">
        <f t="shared" si="45"/>
        <v>85042.585650164998</v>
      </c>
    </row>
    <row r="1445" spans="1:9" ht="15.75" customHeight="1" x14ac:dyDescent="0.35">
      <c r="A1445" s="26" t="s">
        <v>3782</v>
      </c>
      <c r="B1445" s="25" t="s">
        <v>184</v>
      </c>
      <c r="C1445" s="6" t="s">
        <v>8836</v>
      </c>
      <c r="D1445" s="13">
        <v>30174.197950000002</v>
      </c>
      <c r="E1445" s="18">
        <v>21</v>
      </c>
      <c r="F1445" s="2">
        <f t="shared" si="44"/>
        <v>36510.7795195</v>
      </c>
      <c r="G1445" s="3">
        <v>0</v>
      </c>
      <c r="H1445" s="4">
        <v>0.7</v>
      </c>
      <c r="I1445" s="28">
        <f t="shared" si="45"/>
        <v>62068.325183149995</v>
      </c>
    </row>
    <row r="1446" spans="1:9" ht="15.75" customHeight="1" x14ac:dyDescent="0.35">
      <c r="A1446" s="26" t="s">
        <v>3710</v>
      </c>
      <c r="B1446" s="25" t="s">
        <v>11945</v>
      </c>
      <c r="C1446" s="6" t="s">
        <v>11742</v>
      </c>
      <c r="D1446" s="13">
        <v>30209.1816</v>
      </c>
      <c r="E1446" s="18">
        <v>21</v>
      </c>
      <c r="F1446" s="2">
        <f t="shared" si="44"/>
        <v>36553.109735999999</v>
      </c>
      <c r="G1446" s="3">
        <v>0</v>
      </c>
      <c r="H1446" s="4">
        <v>0.7</v>
      </c>
      <c r="I1446" s="28">
        <f t="shared" si="45"/>
        <v>62140.286551199999</v>
      </c>
    </row>
    <row r="1447" spans="1:9" ht="15.75" customHeight="1" x14ac:dyDescent="0.35">
      <c r="A1447" s="26" t="s">
        <v>3711</v>
      </c>
      <c r="B1447" s="25" t="s">
        <v>11853</v>
      </c>
      <c r="C1447" s="6" t="s">
        <v>11743</v>
      </c>
      <c r="D1447" s="13">
        <v>30209.1816</v>
      </c>
      <c r="E1447" s="18">
        <v>21</v>
      </c>
      <c r="F1447" s="2">
        <f t="shared" si="44"/>
        <v>36553.109735999999</v>
      </c>
      <c r="G1447" s="3">
        <v>0</v>
      </c>
      <c r="H1447" s="4">
        <v>0.7</v>
      </c>
      <c r="I1447" s="28">
        <f t="shared" si="45"/>
        <v>62140.286551199999</v>
      </c>
    </row>
    <row r="1448" spans="1:9" ht="15.75" customHeight="1" x14ac:dyDescent="0.35">
      <c r="A1448" s="26" t="s">
        <v>9775</v>
      </c>
      <c r="B1448" s="25" t="s">
        <v>1096</v>
      </c>
      <c r="C1448" s="6" t="s">
        <v>11744</v>
      </c>
      <c r="D1448" s="13">
        <v>30209.1816</v>
      </c>
      <c r="E1448" s="18">
        <v>21</v>
      </c>
      <c r="F1448" s="2">
        <f t="shared" si="44"/>
        <v>36553.109735999999</v>
      </c>
      <c r="G1448" s="3">
        <v>0</v>
      </c>
      <c r="H1448" s="4">
        <v>0.7</v>
      </c>
      <c r="I1448" s="28">
        <f t="shared" si="45"/>
        <v>62140.286551199999</v>
      </c>
    </row>
    <row r="1449" spans="1:9" ht="15.75" customHeight="1" x14ac:dyDescent="0.35">
      <c r="A1449" s="26" t="s">
        <v>9509</v>
      </c>
      <c r="B1449" s="25" t="s">
        <v>11946</v>
      </c>
      <c r="C1449" s="6" t="s">
        <v>11745</v>
      </c>
      <c r="D1449" s="13">
        <v>30209.1816</v>
      </c>
      <c r="E1449" s="18">
        <v>21</v>
      </c>
      <c r="F1449" s="2">
        <f t="shared" si="44"/>
        <v>36553.109735999999</v>
      </c>
      <c r="G1449" s="3">
        <v>0</v>
      </c>
      <c r="H1449" s="4">
        <v>0.7</v>
      </c>
      <c r="I1449" s="28">
        <f t="shared" si="45"/>
        <v>62140.286551199999</v>
      </c>
    </row>
    <row r="1450" spans="1:9" ht="15.75" customHeight="1" x14ac:dyDescent="0.35">
      <c r="A1450" s="26" t="s">
        <v>9682</v>
      </c>
      <c r="B1450" s="25" t="s">
        <v>11947</v>
      </c>
      <c r="C1450" s="6" t="s">
        <v>13955</v>
      </c>
      <c r="D1450" s="13">
        <v>30209.1816</v>
      </c>
      <c r="E1450" s="18">
        <v>21</v>
      </c>
      <c r="F1450" s="2">
        <f t="shared" si="44"/>
        <v>36553.109735999999</v>
      </c>
      <c r="G1450" s="3">
        <v>0</v>
      </c>
      <c r="H1450" s="4">
        <v>0.7</v>
      </c>
      <c r="I1450" s="28">
        <f t="shared" si="45"/>
        <v>62140.286551199999</v>
      </c>
    </row>
    <row r="1451" spans="1:9" ht="15.75" customHeight="1" x14ac:dyDescent="0.35">
      <c r="A1451" s="26" t="s">
        <v>4124</v>
      </c>
      <c r="B1451" s="25" t="s">
        <v>11948</v>
      </c>
      <c r="C1451" s="6" t="s">
        <v>11662</v>
      </c>
      <c r="D1451" s="13">
        <v>7310.8200256</v>
      </c>
      <c r="E1451" s="18">
        <v>21</v>
      </c>
      <c r="F1451" s="2">
        <f t="shared" si="44"/>
        <v>8846.092230975999</v>
      </c>
      <c r="G1451" s="3">
        <v>0</v>
      </c>
      <c r="H1451" s="4">
        <v>0.7</v>
      </c>
      <c r="I1451" s="28">
        <f t="shared" si="45"/>
        <v>15038.356792659199</v>
      </c>
    </row>
    <row r="1452" spans="1:9" ht="15.75" customHeight="1" x14ac:dyDescent="0.35">
      <c r="A1452" s="26" t="s">
        <v>4123</v>
      </c>
      <c r="B1452" s="25" t="s">
        <v>12057</v>
      </c>
      <c r="C1452" s="6" t="s">
        <v>12192</v>
      </c>
      <c r="D1452" s="13">
        <v>7310.8200256</v>
      </c>
      <c r="E1452" s="18">
        <v>21</v>
      </c>
      <c r="F1452" s="2">
        <f t="shared" si="44"/>
        <v>8846.092230975999</v>
      </c>
      <c r="G1452" s="3">
        <v>0</v>
      </c>
      <c r="H1452" s="4">
        <v>0.7</v>
      </c>
      <c r="I1452" s="28">
        <f t="shared" si="45"/>
        <v>15038.356792659199</v>
      </c>
    </row>
    <row r="1453" spans="1:9" ht="15.75" customHeight="1" x14ac:dyDescent="0.35">
      <c r="A1453" s="26" t="s">
        <v>4129</v>
      </c>
      <c r="B1453" s="25" t="s">
        <v>11709</v>
      </c>
      <c r="C1453" s="6" t="s">
        <v>13956</v>
      </c>
      <c r="D1453" s="13">
        <v>37701.793084800003</v>
      </c>
      <c r="E1453" s="18">
        <v>21</v>
      </c>
      <c r="F1453" s="2">
        <f t="shared" si="44"/>
        <v>45619.169632608005</v>
      </c>
      <c r="G1453" s="3">
        <v>0</v>
      </c>
      <c r="H1453" s="4">
        <v>0.7</v>
      </c>
      <c r="I1453" s="28">
        <f t="shared" si="45"/>
        <v>77552.58837543361</v>
      </c>
    </row>
    <row r="1454" spans="1:9" ht="15.75" customHeight="1" x14ac:dyDescent="0.35">
      <c r="A1454" s="26" t="s">
        <v>4130</v>
      </c>
      <c r="B1454" s="25" t="s">
        <v>11710</v>
      </c>
      <c r="C1454" s="6" t="s">
        <v>13957</v>
      </c>
      <c r="D1454" s="13">
        <v>37701.793084800003</v>
      </c>
      <c r="E1454" s="18">
        <v>21</v>
      </c>
      <c r="F1454" s="2">
        <f t="shared" si="44"/>
        <v>45619.169632608005</v>
      </c>
      <c r="G1454" s="3">
        <v>0</v>
      </c>
      <c r="H1454" s="4">
        <v>0.7</v>
      </c>
      <c r="I1454" s="28">
        <f t="shared" si="45"/>
        <v>77552.58837543361</v>
      </c>
    </row>
    <row r="1455" spans="1:9" ht="15.75" customHeight="1" x14ac:dyDescent="0.35">
      <c r="A1455" s="26" t="s">
        <v>3681</v>
      </c>
      <c r="B1455" s="25" t="s">
        <v>11711</v>
      </c>
      <c r="C1455" s="6" t="s">
        <v>11663</v>
      </c>
      <c r="D1455" s="13">
        <v>33784.94184</v>
      </c>
      <c r="E1455" s="18">
        <v>21</v>
      </c>
      <c r="F1455" s="2">
        <f t="shared" si="44"/>
        <v>40879.779626399999</v>
      </c>
      <c r="G1455" s="3">
        <v>0</v>
      </c>
      <c r="H1455" s="4">
        <v>0.7</v>
      </c>
      <c r="I1455" s="28">
        <f t="shared" si="45"/>
        <v>69495.62536487999</v>
      </c>
    </row>
    <row r="1456" spans="1:9" ht="15.75" customHeight="1" x14ac:dyDescent="0.35">
      <c r="A1456" s="26" t="s">
        <v>3682</v>
      </c>
      <c r="B1456" s="25" t="s">
        <v>11712</v>
      </c>
      <c r="C1456" s="6" t="s">
        <v>11664</v>
      </c>
      <c r="D1456" s="13">
        <v>33784.94184</v>
      </c>
      <c r="E1456" s="18">
        <v>21</v>
      </c>
      <c r="F1456" s="2">
        <f t="shared" si="44"/>
        <v>40879.779626399999</v>
      </c>
      <c r="G1456" s="3">
        <v>0</v>
      </c>
      <c r="H1456" s="4">
        <v>0.7</v>
      </c>
      <c r="I1456" s="28">
        <f t="shared" si="45"/>
        <v>69495.62536487999</v>
      </c>
    </row>
    <row r="1457" spans="1:9" ht="15.75" customHeight="1" x14ac:dyDescent="0.35">
      <c r="A1457" s="26" t="s">
        <v>3690</v>
      </c>
      <c r="B1457" s="25" t="s">
        <v>11713</v>
      </c>
      <c r="C1457" s="6" t="s">
        <v>11747</v>
      </c>
      <c r="D1457" s="13">
        <v>29949.8992</v>
      </c>
      <c r="E1457" s="18">
        <v>21</v>
      </c>
      <c r="F1457" s="2">
        <f t="shared" si="44"/>
        <v>36239.378032000001</v>
      </c>
      <c r="G1457" s="3">
        <v>0</v>
      </c>
      <c r="H1457" s="4">
        <v>0.7</v>
      </c>
      <c r="I1457" s="28">
        <f t="shared" si="45"/>
        <v>61606.942654400002</v>
      </c>
    </row>
    <row r="1458" spans="1:9" ht="15.75" customHeight="1" x14ac:dyDescent="0.35">
      <c r="A1458" s="26" t="s">
        <v>3717</v>
      </c>
      <c r="B1458" s="25" t="s">
        <v>11714</v>
      </c>
      <c r="C1458" s="6" t="s">
        <v>11748</v>
      </c>
      <c r="D1458" s="13">
        <v>78999.897599999997</v>
      </c>
      <c r="E1458" s="18">
        <v>21</v>
      </c>
      <c r="F1458" s="2">
        <f t="shared" si="44"/>
        <v>95589.876095999993</v>
      </c>
      <c r="G1458" s="3">
        <v>0</v>
      </c>
      <c r="H1458" s="4">
        <v>0.7</v>
      </c>
      <c r="I1458" s="28">
        <f t="shared" si="45"/>
        <v>162502.78936319999</v>
      </c>
    </row>
    <row r="1459" spans="1:9" ht="15.75" customHeight="1" x14ac:dyDescent="0.35">
      <c r="A1459" s="26" t="s">
        <v>3731</v>
      </c>
      <c r="B1459" s="25" t="s">
        <v>11715</v>
      </c>
      <c r="C1459" s="6" t="s">
        <v>11749</v>
      </c>
      <c r="D1459" s="13">
        <v>123410.63280000001</v>
      </c>
      <c r="E1459" s="18">
        <v>21</v>
      </c>
      <c r="F1459" s="2">
        <f t="shared" si="44"/>
        <v>149326.86568800002</v>
      </c>
      <c r="G1459" s="3">
        <v>0</v>
      </c>
      <c r="H1459" s="4">
        <v>0.7</v>
      </c>
      <c r="I1459" s="28">
        <f t="shared" si="45"/>
        <v>253855.67166960004</v>
      </c>
    </row>
    <row r="1460" spans="1:9" ht="15.75" customHeight="1" x14ac:dyDescent="0.35">
      <c r="A1460" s="26" t="s">
        <v>3726</v>
      </c>
      <c r="B1460" s="25" t="s">
        <v>11716</v>
      </c>
      <c r="C1460" s="6" t="s">
        <v>11750</v>
      </c>
      <c r="D1460" s="13">
        <v>101290.3944</v>
      </c>
      <c r="E1460" s="18">
        <v>21</v>
      </c>
      <c r="F1460" s="2">
        <f t="shared" si="44"/>
        <v>122561.377224</v>
      </c>
      <c r="G1460" s="3">
        <v>0</v>
      </c>
      <c r="H1460" s="4">
        <v>0.7</v>
      </c>
      <c r="I1460" s="28">
        <f t="shared" si="45"/>
        <v>208354.3412808</v>
      </c>
    </row>
    <row r="1461" spans="1:9" ht="15.75" customHeight="1" x14ac:dyDescent="0.35">
      <c r="A1461" s="26" t="s">
        <v>3732</v>
      </c>
      <c r="B1461" s="25" t="s">
        <v>11717</v>
      </c>
      <c r="C1461" s="6" t="s">
        <v>11751</v>
      </c>
      <c r="D1461" s="13">
        <v>136603.9896</v>
      </c>
      <c r="E1461" s="18">
        <v>21</v>
      </c>
      <c r="F1461" s="2">
        <f t="shared" si="44"/>
        <v>165290.82741600001</v>
      </c>
      <c r="G1461" s="3">
        <v>0</v>
      </c>
      <c r="H1461" s="4">
        <v>0.7</v>
      </c>
      <c r="I1461" s="28">
        <f t="shared" si="45"/>
        <v>280994.40660720004</v>
      </c>
    </row>
    <row r="1462" spans="1:9" ht="15.75" customHeight="1" x14ac:dyDescent="0.35">
      <c r="A1462" s="26" t="s">
        <v>3734</v>
      </c>
      <c r="B1462" s="25" t="s">
        <v>11718</v>
      </c>
      <c r="C1462" s="6" t="s">
        <v>11752</v>
      </c>
      <c r="D1462" s="13">
        <v>171899.78</v>
      </c>
      <c r="E1462" s="18">
        <v>21</v>
      </c>
      <c r="F1462" s="2">
        <f t="shared" si="44"/>
        <v>207998.73379999999</v>
      </c>
      <c r="G1462" s="3">
        <v>0</v>
      </c>
      <c r="H1462" s="4">
        <v>0.7</v>
      </c>
      <c r="I1462" s="28">
        <f t="shared" si="45"/>
        <v>353597.84745999996</v>
      </c>
    </row>
    <row r="1463" spans="1:9" ht="15.75" customHeight="1" x14ac:dyDescent="0.35">
      <c r="A1463" s="26" t="s">
        <v>3675</v>
      </c>
      <c r="B1463" s="25" t="s">
        <v>1234</v>
      </c>
      <c r="C1463" s="6" t="s">
        <v>11753</v>
      </c>
      <c r="D1463" s="13">
        <v>85011.243199999997</v>
      </c>
      <c r="E1463" s="18">
        <v>21</v>
      </c>
      <c r="F1463" s="2">
        <f t="shared" si="44"/>
        <v>102863.604272</v>
      </c>
      <c r="G1463" s="3">
        <v>0</v>
      </c>
      <c r="H1463" s="4">
        <v>0.7</v>
      </c>
      <c r="I1463" s="28">
        <f t="shared" si="45"/>
        <v>174868.1272624</v>
      </c>
    </row>
    <row r="1464" spans="1:9" ht="15.75" customHeight="1" x14ac:dyDescent="0.35">
      <c r="A1464" s="26" t="s">
        <v>3676</v>
      </c>
      <c r="B1464" s="25" t="s">
        <v>1170</v>
      </c>
      <c r="C1464" s="6" t="s">
        <v>11754</v>
      </c>
      <c r="D1464" s="13">
        <v>114602.8208</v>
      </c>
      <c r="E1464" s="18">
        <v>21</v>
      </c>
      <c r="F1464" s="2">
        <f t="shared" si="44"/>
        <v>138669.413168</v>
      </c>
      <c r="G1464" s="3">
        <v>0</v>
      </c>
      <c r="H1464" s="4">
        <v>0.7</v>
      </c>
      <c r="I1464" s="28">
        <f t="shared" si="45"/>
        <v>235738.0023856</v>
      </c>
    </row>
    <row r="1465" spans="1:9" ht="15.75" customHeight="1" x14ac:dyDescent="0.35">
      <c r="A1465" s="26" t="s">
        <v>3783</v>
      </c>
      <c r="B1465" s="25" t="s">
        <v>10410</v>
      </c>
      <c r="C1465" s="6" t="s">
        <v>13657</v>
      </c>
      <c r="D1465" s="13">
        <v>24961.5683063955</v>
      </c>
      <c r="E1465" s="18">
        <v>21</v>
      </c>
      <c r="F1465" s="2">
        <f t="shared" si="44"/>
        <v>30203.497650738555</v>
      </c>
      <c r="G1465" s="3">
        <v>0</v>
      </c>
      <c r="H1465" s="4">
        <v>0.7</v>
      </c>
      <c r="I1465" s="28">
        <f t="shared" si="45"/>
        <v>51345.946006255544</v>
      </c>
    </row>
    <row r="1466" spans="1:9" ht="15.75" customHeight="1" x14ac:dyDescent="0.35">
      <c r="A1466" s="26" t="s">
        <v>10816</v>
      </c>
      <c r="B1466" s="25" t="s">
        <v>11478</v>
      </c>
      <c r="C1466" s="6" t="s">
        <v>10817</v>
      </c>
      <c r="D1466" s="13">
        <v>8722.2794099999992</v>
      </c>
      <c r="E1466" s="18">
        <v>21</v>
      </c>
      <c r="F1466" s="2">
        <f t="shared" si="44"/>
        <v>10553.958086099999</v>
      </c>
      <c r="G1466" s="3">
        <v>0</v>
      </c>
      <c r="H1466" s="4">
        <v>0.7</v>
      </c>
      <c r="I1466" s="28">
        <f t="shared" si="45"/>
        <v>17941.728746369998</v>
      </c>
    </row>
    <row r="1467" spans="1:9" ht="15.75" customHeight="1" x14ac:dyDescent="0.35">
      <c r="A1467" s="26" t="s">
        <v>10818</v>
      </c>
      <c r="B1467" s="25" t="s">
        <v>13261</v>
      </c>
      <c r="C1467" s="6" t="s">
        <v>10819</v>
      </c>
      <c r="D1467" s="13">
        <v>8722.2794099999992</v>
      </c>
      <c r="E1467" s="18">
        <v>21</v>
      </c>
      <c r="F1467" s="2">
        <f t="shared" si="44"/>
        <v>10553.958086099999</v>
      </c>
      <c r="G1467" s="3">
        <v>0</v>
      </c>
      <c r="H1467" s="4">
        <v>0.7</v>
      </c>
      <c r="I1467" s="28">
        <f t="shared" si="45"/>
        <v>17941.728746369998</v>
      </c>
    </row>
    <row r="1468" spans="1:9" ht="15.75" customHeight="1" x14ac:dyDescent="0.35">
      <c r="A1468" s="26" t="s">
        <v>9971</v>
      </c>
      <c r="B1468" s="25" t="s">
        <v>13263</v>
      </c>
      <c r="C1468" s="6" t="s">
        <v>10724</v>
      </c>
      <c r="D1468" s="13">
        <v>17689.347000000002</v>
      </c>
      <c r="E1468" s="18">
        <v>21</v>
      </c>
      <c r="F1468" s="2">
        <f t="shared" si="44"/>
        <v>21404.10987</v>
      </c>
      <c r="G1468" s="3">
        <v>0</v>
      </c>
      <c r="H1468" s="4">
        <v>0.7</v>
      </c>
      <c r="I1468" s="28">
        <f t="shared" si="45"/>
        <v>36386.986778999999</v>
      </c>
    </row>
    <row r="1469" spans="1:9" ht="15.75" customHeight="1" x14ac:dyDescent="0.35">
      <c r="A1469" s="26" t="s">
        <v>10820</v>
      </c>
      <c r="B1469" s="25" t="s">
        <v>11479</v>
      </c>
      <c r="C1469" s="6" t="s">
        <v>10821</v>
      </c>
      <c r="D1469" s="13">
        <v>8722.2794099999992</v>
      </c>
      <c r="E1469" s="18">
        <v>21</v>
      </c>
      <c r="F1469" s="2">
        <f t="shared" si="44"/>
        <v>10553.958086099999</v>
      </c>
      <c r="G1469" s="3">
        <v>0</v>
      </c>
      <c r="H1469" s="4">
        <v>0.7</v>
      </c>
      <c r="I1469" s="28">
        <f t="shared" si="45"/>
        <v>17941.728746369998</v>
      </c>
    </row>
    <row r="1470" spans="1:9" ht="15.75" customHeight="1" x14ac:dyDescent="0.35">
      <c r="A1470" s="26" t="s">
        <v>9972</v>
      </c>
      <c r="B1470" s="25" t="s">
        <v>11480</v>
      </c>
      <c r="C1470" s="6" t="s">
        <v>10725</v>
      </c>
      <c r="D1470" s="13">
        <v>17689.347000000002</v>
      </c>
      <c r="E1470" s="18">
        <v>21</v>
      </c>
      <c r="F1470" s="2">
        <f t="shared" si="44"/>
        <v>21404.10987</v>
      </c>
      <c r="G1470" s="3">
        <v>0</v>
      </c>
      <c r="H1470" s="4">
        <v>0.7</v>
      </c>
      <c r="I1470" s="28">
        <f t="shared" si="45"/>
        <v>36386.986778999999</v>
      </c>
    </row>
    <row r="1471" spans="1:9" ht="15.75" customHeight="1" x14ac:dyDescent="0.35">
      <c r="A1471" s="26" t="s">
        <v>3784</v>
      </c>
      <c r="B1471" s="25" t="s">
        <v>10411</v>
      </c>
      <c r="C1471" s="6" t="s">
        <v>203</v>
      </c>
      <c r="D1471" s="13">
        <v>9013.8483109999997</v>
      </c>
      <c r="E1471" s="18">
        <v>21</v>
      </c>
      <c r="F1471" s="2">
        <f t="shared" si="44"/>
        <v>10906.756456309999</v>
      </c>
      <c r="G1471" s="3">
        <v>0</v>
      </c>
      <c r="H1471" s="4">
        <v>0.7</v>
      </c>
      <c r="I1471" s="28">
        <f t="shared" si="45"/>
        <v>18541.485975726999</v>
      </c>
    </row>
    <row r="1472" spans="1:9" ht="15.75" customHeight="1" x14ac:dyDescent="0.35">
      <c r="A1472" s="26" t="s">
        <v>3785</v>
      </c>
      <c r="B1472" s="25" t="s">
        <v>1235</v>
      </c>
      <c r="C1472" s="6" t="s">
        <v>204</v>
      </c>
      <c r="D1472" s="13">
        <v>9013.8483109999997</v>
      </c>
      <c r="E1472" s="18">
        <v>21</v>
      </c>
      <c r="F1472" s="2">
        <f t="shared" si="44"/>
        <v>10906.756456309999</v>
      </c>
      <c r="G1472" s="3">
        <v>0</v>
      </c>
      <c r="H1472" s="4">
        <v>0.7</v>
      </c>
      <c r="I1472" s="28">
        <f t="shared" si="45"/>
        <v>18541.485975726999</v>
      </c>
    </row>
    <row r="1473" spans="1:9" ht="15.75" customHeight="1" x14ac:dyDescent="0.35">
      <c r="A1473" s="26" t="s">
        <v>10822</v>
      </c>
      <c r="B1473" s="25" t="s">
        <v>185</v>
      </c>
      <c r="C1473" s="6" t="s">
        <v>10823</v>
      </c>
      <c r="D1473" s="13">
        <v>8722.2794099999992</v>
      </c>
      <c r="E1473" s="18">
        <v>21</v>
      </c>
      <c r="F1473" s="2">
        <f t="shared" si="44"/>
        <v>10553.958086099999</v>
      </c>
      <c r="G1473" s="3">
        <v>0</v>
      </c>
      <c r="H1473" s="4">
        <v>0.7</v>
      </c>
      <c r="I1473" s="28">
        <f t="shared" si="45"/>
        <v>17941.728746369998</v>
      </c>
    </row>
    <row r="1474" spans="1:9" ht="15.75" customHeight="1" x14ac:dyDescent="0.35">
      <c r="A1474" s="26" t="s">
        <v>9973</v>
      </c>
      <c r="B1474" s="25" t="s">
        <v>186</v>
      </c>
      <c r="C1474" s="6" t="s">
        <v>10726</v>
      </c>
      <c r="D1474" s="13">
        <v>17689.347000000002</v>
      </c>
      <c r="E1474" s="18">
        <v>21</v>
      </c>
      <c r="F1474" s="2">
        <f t="shared" si="44"/>
        <v>21404.10987</v>
      </c>
      <c r="G1474" s="3">
        <v>0</v>
      </c>
      <c r="H1474" s="4">
        <v>0.7</v>
      </c>
      <c r="I1474" s="28">
        <f t="shared" si="45"/>
        <v>36386.986778999999</v>
      </c>
    </row>
    <row r="1475" spans="1:9" ht="15.75" customHeight="1" x14ac:dyDescent="0.35">
      <c r="A1475" s="26" t="s">
        <v>9974</v>
      </c>
      <c r="B1475" s="25" t="s">
        <v>187</v>
      </c>
      <c r="C1475" s="6" t="s">
        <v>10727</v>
      </c>
      <c r="D1475" s="13">
        <v>17689.347000000002</v>
      </c>
      <c r="E1475" s="18">
        <v>21</v>
      </c>
      <c r="F1475" s="2">
        <f t="shared" si="44"/>
        <v>21404.10987</v>
      </c>
      <c r="G1475" s="3">
        <v>0</v>
      </c>
      <c r="H1475" s="4">
        <v>0.7</v>
      </c>
      <c r="I1475" s="28">
        <f t="shared" si="45"/>
        <v>36386.986778999999</v>
      </c>
    </row>
    <row r="1476" spans="1:9" ht="15.75" customHeight="1" x14ac:dyDescent="0.35">
      <c r="A1476" s="26" t="s">
        <v>9975</v>
      </c>
      <c r="B1476" s="25" t="s">
        <v>188</v>
      </c>
      <c r="C1476" s="6" t="s">
        <v>10728</v>
      </c>
      <c r="D1476" s="13">
        <v>17689.347000000002</v>
      </c>
      <c r="E1476" s="18">
        <v>21</v>
      </c>
      <c r="F1476" s="2">
        <f t="shared" si="44"/>
        <v>21404.10987</v>
      </c>
      <c r="G1476" s="3">
        <v>0</v>
      </c>
      <c r="H1476" s="4">
        <v>0.7</v>
      </c>
      <c r="I1476" s="28">
        <f t="shared" si="45"/>
        <v>36386.986778999999</v>
      </c>
    </row>
    <row r="1477" spans="1:9" ht="15.75" customHeight="1" x14ac:dyDescent="0.35">
      <c r="A1477" s="26" t="s">
        <v>3788</v>
      </c>
      <c r="B1477" s="25" t="s">
        <v>189</v>
      </c>
      <c r="C1477" s="6" t="s">
        <v>205</v>
      </c>
      <c r="D1477" s="13">
        <v>29468.038160600001</v>
      </c>
      <c r="E1477" s="18">
        <v>21</v>
      </c>
      <c r="F1477" s="2">
        <f t="shared" si="44"/>
        <v>35656.326174326001</v>
      </c>
      <c r="G1477" s="3">
        <v>0</v>
      </c>
      <c r="H1477" s="4">
        <v>0.7</v>
      </c>
      <c r="I1477" s="28">
        <f t="shared" si="45"/>
        <v>60615.754496354202</v>
      </c>
    </row>
    <row r="1478" spans="1:9" ht="15.75" customHeight="1" x14ac:dyDescent="0.35">
      <c r="A1478" s="26" t="s">
        <v>3789</v>
      </c>
      <c r="B1478" s="25" t="s">
        <v>11719</v>
      </c>
      <c r="C1478" s="6" t="s">
        <v>10824</v>
      </c>
      <c r="D1478" s="13">
        <v>29468.038160600001</v>
      </c>
      <c r="E1478" s="18">
        <v>21</v>
      </c>
      <c r="F1478" s="2">
        <f t="shared" ref="F1478:F1541" si="46">D1478*E1478/100+D1478</f>
        <v>35656.326174326001</v>
      </c>
      <c r="G1478" s="3">
        <v>0</v>
      </c>
      <c r="H1478" s="4">
        <v>0.7</v>
      </c>
      <c r="I1478" s="28">
        <f t="shared" ref="I1478:I1541" si="47">IF(G1478=-1,0,F1478*((100-G1478)/100)*(1+H1478))</f>
        <v>60615.754496354202</v>
      </c>
    </row>
    <row r="1479" spans="1:9" ht="15.75" customHeight="1" x14ac:dyDescent="0.35">
      <c r="A1479" s="26" t="s">
        <v>3795</v>
      </c>
      <c r="B1479" s="25" t="s">
        <v>11720</v>
      </c>
      <c r="C1479" s="6" t="s">
        <v>877</v>
      </c>
      <c r="D1479" s="13">
        <v>60519.627999999997</v>
      </c>
      <c r="E1479" s="18">
        <v>21</v>
      </c>
      <c r="F1479" s="2">
        <f t="shared" si="46"/>
        <v>73228.749879999988</v>
      </c>
      <c r="G1479" s="3">
        <v>0</v>
      </c>
      <c r="H1479" s="4">
        <v>0.7</v>
      </c>
      <c r="I1479" s="28">
        <f t="shared" si="47"/>
        <v>124488.87479599997</v>
      </c>
    </row>
    <row r="1480" spans="1:9" ht="15.75" customHeight="1" x14ac:dyDescent="0.35">
      <c r="A1480" s="26" t="s">
        <v>3796</v>
      </c>
      <c r="B1480" s="25" t="s">
        <v>11721</v>
      </c>
      <c r="C1480" s="6" t="s">
        <v>206</v>
      </c>
      <c r="D1480" s="13">
        <v>81234.399999999994</v>
      </c>
      <c r="E1480" s="18">
        <v>21</v>
      </c>
      <c r="F1480" s="2">
        <f t="shared" si="46"/>
        <v>98293.623999999996</v>
      </c>
      <c r="G1480" s="3">
        <v>0</v>
      </c>
      <c r="H1480" s="4">
        <v>0.7</v>
      </c>
      <c r="I1480" s="28">
        <f t="shared" si="47"/>
        <v>167099.16079999998</v>
      </c>
    </row>
    <row r="1481" spans="1:9" ht="15.75" customHeight="1" x14ac:dyDescent="0.35">
      <c r="A1481" s="26" t="s">
        <v>9996</v>
      </c>
      <c r="B1481" s="25" t="s">
        <v>11722</v>
      </c>
      <c r="C1481" s="6" t="s">
        <v>12624</v>
      </c>
      <c r="D1481" s="13">
        <v>564255.46663200005</v>
      </c>
      <c r="E1481" s="18">
        <v>21</v>
      </c>
      <c r="F1481" s="2">
        <f t="shared" si="46"/>
        <v>682749.11462472007</v>
      </c>
      <c r="G1481" s="3">
        <v>0</v>
      </c>
      <c r="H1481" s="4">
        <v>0.7</v>
      </c>
      <c r="I1481" s="28">
        <f t="shared" si="47"/>
        <v>1160673.494862024</v>
      </c>
    </row>
    <row r="1482" spans="1:9" ht="15.75" customHeight="1" x14ac:dyDescent="0.35">
      <c r="A1482" s="26" t="s">
        <v>3800</v>
      </c>
      <c r="B1482" s="25" t="s">
        <v>12045</v>
      </c>
      <c r="C1482" s="6" t="s">
        <v>878</v>
      </c>
      <c r="D1482" s="13">
        <v>5645.7907999999998</v>
      </c>
      <c r="E1482" s="18">
        <v>21</v>
      </c>
      <c r="F1482" s="2">
        <f t="shared" si="46"/>
        <v>6831.406868</v>
      </c>
      <c r="G1482" s="3">
        <v>0</v>
      </c>
      <c r="H1482" s="4">
        <v>0.7</v>
      </c>
      <c r="I1482" s="28">
        <f t="shared" si="47"/>
        <v>11613.3916756</v>
      </c>
    </row>
    <row r="1483" spans="1:9" ht="15.75" customHeight="1" x14ac:dyDescent="0.35">
      <c r="A1483" s="26" t="s">
        <v>3801</v>
      </c>
      <c r="B1483" s="25" t="s">
        <v>11723</v>
      </c>
      <c r="C1483" s="6" t="s">
        <v>879</v>
      </c>
      <c r="D1483" s="13">
        <v>10924.914000000001</v>
      </c>
      <c r="E1483" s="18">
        <v>21</v>
      </c>
      <c r="F1483" s="2">
        <f t="shared" si="46"/>
        <v>13219.14594</v>
      </c>
      <c r="G1483" s="3">
        <v>0</v>
      </c>
      <c r="H1483" s="4">
        <v>0.7</v>
      </c>
      <c r="I1483" s="28">
        <f t="shared" si="47"/>
        <v>22472.548097999999</v>
      </c>
    </row>
    <row r="1484" spans="1:9" ht="15.75" customHeight="1" x14ac:dyDescent="0.35">
      <c r="A1484" s="26" t="s">
        <v>3802</v>
      </c>
      <c r="B1484" s="25" t="s">
        <v>11724</v>
      </c>
      <c r="C1484" s="6" t="s">
        <v>880</v>
      </c>
      <c r="D1484" s="13">
        <v>10924.914000000001</v>
      </c>
      <c r="E1484" s="18">
        <v>21</v>
      </c>
      <c r="F1484" s="2">
        <f t="shared" si="46"/>
        <v>13219.14594</v>
      </c>
      <c r="G1484" s="3">
        <v>0</v>
      </c>
      <c r="H1484" s="4">
        <v>0.7</v>
      </c>
      <c r="I1484" s="28">
        <f t="shared" si="47"/>
        <v>22472.548097999999</v>
      </c>
    </row>
    <row r="1485" spans="1:9" ht="15.75" customHeight="1" x14ac:dyDescent="0.35">
      <c r="A1485" s="26" t="s">
        <v>12530</v>
      </c>
      <c r="B1485" s="25" t="s">
        <v>11725</v>
      </c>
      <c r="C1485" s="6" t="s">
        <v>12531</v>
      </c>
      <c r="D1485" s="13">
        <v>9620.1560000000009</v>
      </c>
      <c r="E1485" s="18">
        <v>21</v>
      </c>
      <c r="F1485" s="2">
        <f t="shared" si="46"/>
        <v>11640.388760000002</v>
      </c>
      <c r="G1485" s="3">
        <v>0</v>
      </c>
      <c r="H1485" s="4">
        <v>0.7</v>
      </c>
      <c r="I1485" s="28">
        <f t="shared" si="47"/>
        <v>19788.660892000004</v>
      </c>
    </row>
    <row r="1486" spans="1:9" ht="15.75" customHeight="1" x14ac:dyDescent="0.35">
      <c r="A1486" s="26" t="s">
        <v>12532</v>
      </c>
      <c r="B1486" s="25" t="s">
        <v>11726</v>
      </c>
      <c r="C1486" s="6" t="s">
        <v>12533</v>
      </c>
      <c r="D1486" s="13">
        <v>9620.1560000000009</v>
      </c>
      <c r="E1486" s="18">
        <v>21</v>
      </c>
      <c r="F1486" s="2">
        <f t="shared" si="46"/>
        <v>11640.388760000002</v>
      </c>
      <c r="G1486" s="3">
        <v>0</v>
      </c>
      <c r="H1486" s="4">
        <v>0.7</v>
      </c>
      <c r="I1486" s="28">
        <f t="shared" si="47"/>
        <v>19788.660892000004</v>
      </c>
    </row>
    <row r="1487" spans="1:9" ht="15.75" customHeight="1" x14ac:dyDescent="0.35">
      <c r="A1487" s="26" t="s">
        <v>10767</v>
      </c>
      <c r="B1487" s="25" t="s">
        <v>11727</v>
      </c>
      <c r="C1487" s="6" t="s">
        <v>11481</v>
      </c>
      <c r="D1487" s="13">
        <v>14560.987999999999</v>
      </c>
      <c r="E1487" s="18">
        <v>21</v>
      </c>
      <c r="F1487" s="2">
        <f t="shared" si="46"/>
        <v>17618.795480000001</v>
      </c>
      <c r="G1487" s="3">
        <v>0</v>
      </c>
      <c r="H1487" s="4">
        <v>0.7</v>
      </c>
      <c r="I1487" s="28">
        <f t="shared" si="47"/>
        <v>29951.952315999999</v>
      </c>
    </row>
    <row r="1488" spans="1:9" ht="15.75" customHeight="1" x14ac:dyDescent="0.35">
      <c r="A1488" s="26" t="s">
        <v>12683</v>
      </c>
      <c r="B1488" s="25" t="s">
        <v>11728</v>
      </c>
      <c r="C1488" s="6" t="s">
        <v>12684</v>
      </c>
      <c r="D1488" s="13">
        <v>60548.369530544995</v>
      </c>
      <c r="E1488" s="18">
        <v>21</v>
      </c>
      <c r="F1488" s="2">
        <f t="shared" si="46"/>
        <v>73263.527131959447</v>
      </c>
      <c r="G1488" s="3">
        <v>0</v>
      </c>
      <c r="H1488" s="4">
        <v>0.7</v>
      </c>
      <c r="I1488" s="28">
        <f t="shared" si="47"/>
        <v>124547.99612433105</v>
      </c>
    </row>
    <row r="1489" spans="1:9" ht="15.75" customHeight="1" x14ac:dyDescent="0.35">
      <c r="A1489" s="26" t="s">
        <v>11755</v>
      </c>
      <c r="B1489" s="25" t="s">
        <v>11729</v>
      </c>
      <c r="C1489" s="6" t="s">
        <v>11756</v>
      </c>
      <c r="D1489" s="13">
        <v>56842.558499999992</v>
      </c>
      <c r="E1489" s="18">
        <v>21</v>
      </c>
      <c r="F1489" s="2">
        <f t="shared" si="46"/>
        <v>68779.495784999992</v>
      </c>
      <c r="G1489" s="3">
        <v>0</v>
      </c>
      <c r="H1489" s="4">
        <v>0.7</v>
      </c>
      <c r="I1489" s="28">
        <f t="shared" si="47"/>
        <v>116925.14283449999</v>
      </c>
    </row>
    <row r="1490" spans="1:9" ht="15.75" customHeight="1" x14ac:dyDescent="0.35">
      <c r="A1490" s="26" t="s">
        <v>12685</v>
      </c>
      <c r="B1490" s="25" t="s">
        <v>11730</v>
      </c>
      <c r="C1490" s="6" t="s">
        <v>12686</v>
      </c>
      <c r="D1490" s="13">
        <v>80783.837197829998</v>
      </c>
      <c r="E1490" s="18">
        <v>21</v>
      </c>
      <c r="F1490" s="2">
        <f t="shared" si="46"/>
        <v>97748.443009374299</v>
      </c>
      <c r="G1490" s="3">
        <v>0</v>
      </c>
      <c r="H1490" s="4">
        <v>0.7</v>
      </c>
      <c r="I1490" s="28">
        <f t="shared" si="47"/>
        <v>166172.3531159363</v>
      </c>
    </row>
    <row r="1491" spans="1:9" ht="15.75" customHeight="1" x14ac:dyDescent="0.35">
      <c r="A1491" s="26" t="s">
        <v>11757</v>
      </c>
      <c r="B1491" s="25" t="s">
        <v>11731</v>
      </c>
      <c r="C1491" s="6" t="s">
        <v>11758</v>
      </c>
      <c r="D1491" s="13">
        <v>81835.879125000007</v>
      </c>
      <c r="E1491" s="18">
        <v>21</v>
      </c>
      <c r="F1491" s="2">
        <f t="shared" si="46"/>
        <v>99021.413741250013</v>
      </c>
      <c r="G1491" s="3">
        <v>0</v>
      </c>
      <c r="H1491" s="4">
        <v>0.7</v>
      </c>
      <c r="I1491" s="28">
        <f t="shared" si="47"/>
        <v>168336.40336012503</v>
      </c>
    </row>
    <row r="1492" spans="1:9" ht="15.75" customHeight="1" x14ac:dyDescent="0.35">
      <c r="A1492" s="26" t="s">
        <v>3626</v>
      </c>
      <c r="B1492" s="25" t="s">
        <v>11732</v>
      </c>
      <c r="C1492" s="6" t="s">
        <v>10159</v>
      </c>
      <c r="D1492" s="13">
        <v>88545.854182499999</v>
      </c>
      <c r="E1492" s="18">
        <v>21</v>
      </c>
      <c r="F1492" s="2">
        <f t="shared" si="46"/>
        <v>107140.483560825</v>
      </c>
      <c r="G1492" s="3">
        <v>0</v>
      </c>
      <c r="H1492" s="4">
        <v>0.7</v>
      </c>
      <c r="I1492" s="28">
        <f t="shared" si="47"/>
        <v>182138.82205340249</v>
      </c>
    </row>
    <row r="1493" spans="1:9" ht="15.75" customHeight="1" x14ac:dyDescent="0.35">
      <c r="A1493" s="26" t="s">
        <v>3514</v>
      </c>
      <c r="B1493" s="25" t="s">
        <v>10412</v>
      </c>
      <c r="C1493" s="6" t="s">
        <v>10160</v>
      </c>
      <c r="D1493" s="13">
        <v>95144.4</v>
      </c>
      <c r="E1493" s="18">
        <v>21</v>
      </c>
      <c r="F1493" s="2">
        <f t="shared" si="46"/>
        <v>115124.72399999999</v>
      </c>
      <c r="G1493" s="3">
        <v>0</v>
      </c>
      <c r="H1493" s="4">
        <v>0.7</v>
      </c>
      <c r="I1493" s="28">
        <f t="shared" si="47"/>
        <v>195712.03079999998</v>
      </c>
    </row>
    <row r="1494" spans="1:9" ht="15.75" customHeight="1" x14ac:dyDescent="0.35">
      <c r="A1494" s="26" t="s">
        <v>12687</v>
      </c>
      <c r="B1494" s="25" t="s">
        <v>10413</v>
      </c>
      <c r="C1494" s="6" t="s">
        <v>12688</v>
      </c>
      <c r="D1494" s="13">
        <v>101026.48820471999</v>
      </c>
      <c r="E1494" s="18">
        <v>21</v>
      </c>
      <c r="F1494" s="2">
        <f t="shared" si="46"/>
        <v>122242.05072771119</v>
      </c>
      <c r="G1494" s="3">
        <v>0</v>
      </c>
      <c r="H1494" s="4">
        <v>0.7</v>
      </c>
      <c r="I1494" s="28">
        <f t="shared" si="47"/>
        <v>207811.48623710903</v>
      </c>
    </row>
    <row r="1495" spans="1:9" ht="15.75" customHeight="1" x14ac:dyDescent="0.35">
      <c r="A1495" s="26" t="s">
        <v>3628</v>
      </c>
      <c r="B1495" s="25" t="s">
        <v>10414</v>
      </c>
      <c r="C1495" s="6" t="s">
        <v>10161</v>
      </c>
      <c r="D1495" s="13">
        <v>314930.06719200005</v>
      </c>
      <c r="E1495" s="18">
        <v>21</v>
      </c>
      <c r="F1495" s="2">
        <f t="shared" si="46"/>
        <v>381065.38130232005</v>
      </c>
      <c r="G1495" s="3">
        <v>0</v>
      </c>
      <c r="H1495" s="4">
        <v>0.7</v>
      </c>
      <c r="I1495" s="28">
        <f t="shared" si="47"/>
        <v>647811.14821394405</v>
      </c>
    </row>
    <row r="1496" spans="1:9" ht="15.75" customHeight="1" x14ac:dyDescent="0.35">
      <c r="A1496" s="26" t="s">
        <v>12324</v>
      </c>
      <c r="B1496" s="25" t="s">
        <v>11733</v>
      </c>
      <c r="C1496" s="6" t="s">
        <v>12325</v>
      </c>
      <c r="D1496" s="13">
        <v>113303.05349999999</v>
      </c>
      <c r="E1496" s="18">
        <v>21</v>
      </c>
      <c r="F1496" s="2">
        <f t="shared" si="46"/>
        <v>137096.694735</v>
      </c>
      <c r="G1496" s="3">
        <v>0</v>
      </c>
      <c r="H1496" s="4">
        <v>0.7</v>
      </c>
      <c r="I1496" s="28">
        <f t="shared" si="47"/>
        <v>233064.38104949999</v>
      </c>
    </row>
    <row r="1497" spans="1:9" ht="15.75" customHeight="1" x14ac:dyDescent="0.35">
      <c r="A1497" s="26" t="s">
        <v>3627</v>
      </c>
      <c r="B1497" s="25" t="s">
        <v>11734</v>
      </c>
      <c r="C1497" s="6" t="s">
        <v>10866</v>
      </c>
      <c r="D1497" s="13">
        <v>122408</v>
      </c>
      <c r="E1497" s="18">
        <v>21</v>
      </c>
      <c r="F1497" s="2">
        <f t="shared" si="46"/>
        <v>148113.68</v>
      </c>
      <c r="G1497" s="3">
        <v>0</v>
      </c>
      <c r="H1497" s="4">
        <v>0.7</v>
      </c>
      <c r="I1497" s="28">
        <f t="shared" si="47"/>
        <v>251793.25599999999</v>
      </c>
    </row>
    <row r="1498" spans="1:9" ht="15.75" customHeight="1" x14ac:dyDescent="0.35">
      <c r="A1498" s="26" t="s">
        <v>3812</v>
      </c>
      <c r="B1498" s="25" t="s">
        <v>10415</v>
      </c>
      <c r="C1498" s="6" t="s">
        <v>1236</v>
      </c>
      <c r="D1498" s="13">
        <v>26539.695779999998</v>
      </c>
      <c r="E1498" s="18">
        <v>21</v>
      </c>
      <c r="F1498" s="2">
        <f t="shared" si="46"/>
        <v>32113.031893799998</v>
      </c>
      <c r="G1498" s="3">
        <v>0</v>
      </c>
      <c r="H1498" s="4">
        <v>0.7</v>
      </c>
      <c r="I1498" s="28">
        <f t="shared" si="47"/>
        <v>54592.154219459997</v>
      </c>
    </row>
    <row r="1499" spans="1:9" ht="15.75" customHeight="1" x14ac:dyDescent="0.35">
      <c r="A1499" s="26" t="s">
        <v>3683</v>
      </c>
      <c r="B1499" s="25" t="s">
        <v>10416</v>
      </c>
      <c r="C1499" s="6" t="s">
        <v>9181</v>
      </c>
      <c r="D1499" s="13">
        <v>43002.384785838651</v>
      </c>
      <c r="E1499" s="18">
        <v>21</v>
      </c>
      <c r="F1499" s="2">
        <f t="shared" si="46"/>
        <v>52032.885590864767</v>
      </c>
      <c r="G1499" s="3">
        <v>0</v>
      </c>
      <c r="H1499" s="4">
        <v>0.7</v>
      </c>
      <c r="I1499" s="28">
        <f t="shared" si="47"/>
        <v>88455.905504470109</v>
      </c>
    </row>
    <row r="1500" spans="1:9" ht="15.75" customHeight="1" x14ac:dyDescent="0.35">
      <c r="A1500" s="26" t="s">
        <v>3685</v>
      </c>
      <c r="B1500" s="25" t="s">
        <v>10417</v>
      </c>
      <c r="C1500" s="6" t="s">
        <v>9182</v>
      </c>
      <c r="D1500" s="13">
        <v>43002.384785838651</v>
      </c>
      <c r="E1500" s="18">
        <v>21</v>
      </c>
      <c r="F1500" s="2">
        <f t="shared" si="46"/>
        <v>52032.885590864767</v>
      </c>
      <c r="G1500" s="3">
        <v>0</v>
      </c>
      <c r="H1500" s="4">
        <v>0.7</v>
      </c>
      <c r="I1500" s="28">
        <f t="shared" si="47"/>
        <v>88455.905504470109</v>
      </c>
    </row>
    <row r="1501" spans="1:9" ht="15.75" customHeight="1" x14ac:dyDescent="0.35">
      <c r="A1501" s="26" t="s">
        <v>3814</v>
      </c>
      <c r="B1501" s="25" t="s">
        <v>13264</v>
      </c>
      <c r="C1501" s="6" t="s">
        <v>207</v>
      </c>
      <c r="D1501" s="13">
        <v>6171.0129260000003</v>
      </c>
      <c r="E1501" s="18">
        <v>21</v>
      </c>
      <c r="F1501" s="2">
        <f t="shared" si="46"/>
        <v>7466.9256404600001</v>
      </c>
      <c r="G1501" s="3">
        <v>0</v>
      </c>
      <c r="H1501" s="4">
        <v>0.7</v>
      </c>
      <c r="I1501" s="28">
        <f t="shared" si="47"/>
        <v>12693.773588782</v>
      </c>
    </row>
    <row r="1502" spans="1:9" ht="15.75" customHeight="1" x14ac:dyDescent="0.35">
      <c r="A1502" s="26" t="s">
        <v>3811</v>
      </c>
      <c r="B1502" s="25" t="s">
        <v>11735</v>
      </c>
      <c r="C1502" s="6" t="s">
        <v>11759</v>
      </c>
      <c r="D1502" s="13">
        <v>13938.9328</v>
      </c>
      <c r="E1502" s="18">
        <v>21</v>
      </c>
      <c r="F1502" s="2">
        <f t="shared" si="46"/>
        <v>16866.108688</v>
      </c>
      <c r="G1502" s="3">
        <v>0</v>
      </c>
      <c r="H1502" s="4">
        <v>0.7</v>
      </c>
      <c r="I1502" s="28">
        <f t="shared" si="47"/>
        <v>28672.384769600001</v>
      </c>
    </row>
    <row r="1503" spans="1:9" ht="15.75" customHeight="1" x14ac:dyDescent="0.35">
      <c r="A1503" s="26" t="s">
        <v>2785</v>
      </c>
      <c r="B1503" s="25" t="s">
        <v>190</v>
      </c>
      <c r="C1503" s="6" t="s">
        <v>208</v>
      </c>
      <c r="D1503" s="13">
        <v>5568.1173600000002</v>
      </c>
      <c r="E1503" s="18">
        <v>21</v>
      </c>
      <c r="F1503" s="2">
        <f t="shared" si="46"/>
        <v>6737.4220056000004</v>
      </c>
      <c r="G1503" s="3">
        <v>0</v>
      </c>
      <c r="H1503" s="4">
        <v>0.7</v>
      </c>
      <c r="I1503" s="28">
        <f t="shared" si="47"/>
        <v>11453.61740952</v>
      </c>
    </row>
    <row r="1504" spans="1:9" ht="15.75" customHeight="1" x14ac:dyDescent="0.35">
      <c r="A1504" s="26" t="s">
        <v>2786</v>
      </c>
      <c r="B1504" s="25" t="s">
        <v>191</v>
      </c>
      <c r="C1504" s="6" t="s">
        <v>209</v>
      </c>
      <c r="D1504" s="13">
        <v>6286.9861600000004</v>
      </c>
      <c r="E1504" s="18">
        <v>21</v>
      </c>
      <c r="F1504" s="2">
        <f t="shared" si="46"/>
        <v>7607.2532536000008</v>
      </c>
      <c r="G1504" s="3">
        <v>0</v>
      </c>
      <c r="H1504" s="4">
        <v>0.7</v>
      </c>
      <c r="I1504" s="28">
        <f t="shared" si="47"/>
        <v>12932.33053112</v>
      </c>
    </row>
    <row r="1505" spans="1:9" ht="15.75" customHeight="1" x14ac:dyDescent="0.35">
      <c r="A1505" s="26" t="s">
        <v>2787</v>
      </c>
      <c r="B1505" s="25" t="s">
        <v>192</v>
      </c>
      <c r="C1505" s="6" t="s">
        <v>210</v>
      </c>
      <c r="D1505" s="13">
        <v>5807.402744</v>
      </c>
      <c r="E1505" s="18">
        <v>21</v>
      </c>
      <c r="F1505" s="2">
        <f t="shared" si="46"/>
        <v>7026.9573202399997</v>
      </c>
      <c r="G1505" s="3">
        <v>0</v>
      </c>
      <c r="H1505" s="4">
        <v>0.7</v>
      </c>
      <c r="I1505" s="28">
        <f t="shared" si="47"/>
        <v>11945.827444408</v>
      </c>
    </row>
    <row r="1506" spans="1:9" ht="15.75" customHeight="1" x14ac:dyDescent="0.35">
      <c r="A1506" s="26" t="s">
        <v>3519</v>
      </c>
      <c r="B1506" s="25" t="s">
        <v>193</v>
      </c>
      <c r="C1506" s="6" t="s">
        <v>11665</v>
      </c>
      <c r="D1506" s="13">
        <v>29939.615548128</v>
      </c>
      <c r="E1506" s="18">
        <v>21</v>
      </c>
      <c r="F1506" s="2">
        <f t="shared" si="46"/>
        <v>36226.934813234882</v>
      </c>
      <c r="G1506" s="3">
        <v>0</v>
      </c>
      <c r="H1506" s="4">
        <v>0.7</v>
      </c>
      <c r="I1506" s="28">
        <f t="shared" si="47"/>
        <v>61585.789182499298</v>
      </c>
    </row>
    <row r="1507" spans="1:9" ht="15.75" customHeight="1" x14ac:dyDescent="0.35">
      <c r="A1507" s="26" t="s">
        <v>1356</v>
      </c>
      <c r="B1507" s="25" t="s">
        <v>194</v>
      </c>
      <c r="C1507" s="6" t="s">
        <v>13329</v>
      </c>
      <c r="D1507" s="13">
        <v>108150.25</v>
      </c>
      <c r="E1507" s="18">
        <v>21</v>
      </c>
      <c r="F1507" s="2">
        <f t="shared" si="46"/>
        <v>130861.80250000001</v>
      </c>
      <c r="G1507" s="3">
        <v>0</v>
      </c>
      <c r="H1507" s="4">
        <v>0.7</v>
      </c>
      <c r="I1507" s="28">
        <f t="shared" si="47"/>
        <v>222465.06425</v>
      </c>
    </row>
    <row r="1508" spans="1:9" ht="15.75" customHeight="1" x14ac:dyDescent="0.35">
      <c r="A1508" s="26" t="s">
        <v>1357</v>
      </c>
      <c r="B1508" s="25" t="s">
        <v>195</v>
      </c>
      <c r="C1508" s="6" t="s">
        <v>13330</v>
      </c>
      <c r="D1508" s="13">
        <v>121128.28</v>
      </c>
      <c r="E1508" s="18">
        <v>21</v>
      </c>
      <c r="F1508" s="2">
        <f t="shared" si="46"/>
        <v>146565.2188</v>
      </c>
      <c r="G1508" s="3">
        <v>0</v>
      </c>
      <c r="H1508" s="4">
        <v>0.7</v>
      </c>
      <c r="I1508" s="28">
        <f t="shared" si="47"/>
        <v>249160.87195999999</v>
      </c>
    </row>
    <row r="1509" spans="1:9" ht="15.75" customHeight="1" x14ac:dyDescent="0.35">
      <c r="A1509" s="26" t="s">
        <v>1359</v>
      </c>
      <c r="B1509" s="25" t="s">
        <v>196</v>
      </c>
      <c r="C1509" s="6" t="s">
        <v>13331</v>
      </c>
      <c r="D1509" s="13">
        <v>121128.28</v>
      </c>
      <c r="E1509" s="18">
        <v>21</v>
      </c>
      <c r="F1509" s="2">
        <f t="shared" si="46"/>
        <v>146565.2188</v>
      </c>
      <c r="G1509" s="3">
        <v>0</v>
      </c>
      <c r="H1509" s="4">
        <v>0.7</v>
      </c>
      <c r="I1509" s="28">
        <f t="shared" si="47"/>
        <v>249160.87195999999</v>
      </c>
    </row>
    <row r="1510" spans="1:9" ht="15.75" customHeight="1" x14ac:dyDescent="0.35">
      <c r="A1510" s="26" t="s">
        <v>1358</v>
      </c>
      <c r="B1510" s="25" t="s">
        <v>197</v>
      </c>
      <c r="C1510" s="6" t="s">
        <v>13332</v>
      </c>
      <c r="D1510" s="13">
        <v>108150.25</v>
      </c>
      <c r="E1510" s="18">
        <v>21</v>
      </c>
      <c r="F1510" s="2">
        <f t="shared" si="46"/>
        <v>130861.80250000001</v>
      </c>
      <c r="G1510" s="3">
        <v>0</v>
      </c>
      <c r="H1510" s="4">
        <v>0.7</v>
      </c>
      <c r="I1510" s="28">
        <f t="shared" si="47"/>
        <v>222465.06425</v>
      </c>
    </row>
    <row r="1511" spans="1:9" ht="15.75" customHeight="1" x14ac:dyDescent="0.35">
      <c r="A1511" s="26" t="s">
        <v>1354</v>
      </c>
      <c r="B1511" s="25" t="s">
        <v>10649</v>
      </c>
      <c r="C1511" s="6" t="s">
        <v>211</v>
      </c>
      <c r="D1511" s="13">
        <v>188181.435</v>
      </c>
      <c r="E1511" s="18">
        <v>21</v>
      </c>
      <c r="F1511" s="2">
        <f t="shared" si="46"/>
        <v>227699.53635000001</v>
      </c>
      <c r="G1511" s="3">
        <v>0</v>
      </c>
      <c r="H1511" s="4">
        <v>0.7</v>
      </c>
      <c r="I1511" s="28">
        <f t="shared" si="47"/>
        <v>387089.21179500001</v>
      </c>
    </row>
    <row r="1512" spans="1:9" ht="15.75" customHeight="1" x14ac:dyDescent="0.35">
      <c r="A1512" s="26" t="s">
        <v>1355</v>
      </c>
      <c r="B1512" s="25" t="s">
        <v>9179</v>
      </c>
      <c r="C1512" s="6" t="s">
        <v>212</v>
      </c>
      <c r="D1512" s="13">
        <v>188181.435</v>
      </c>
      <c r="E1512" s="18">
        <v>21</v>
      </c>
      <c r="F1512" s="2">
        <f t="shared" si="46"/>
        <v>227699.53635000001</v>
      </c>
      <c r="G1512" s="3">
        <v>0</v>
      </c>
      <c r="H1512" s="4">
        <v>0.7</v>
      </c>
      <c r="I1512" s="28">
        <f t="shared" si="47"/>
        <v>387089.21179500001</v>
      </c>
    </row>
    <row r="1513" spans="1:9" ht="15.75" customHeight="1" x14ac:dyDescent="0.35">
      <c r="A1513" s="26" t="s">
        <v>1367</v>
      </c>
      <c r="B1513" s="25" t="s">
        <v>11736</v>
      </c>
      <c r="C1513" s="6" t="s">
        <v>9227</v>
      </c>
      <c r="D1513" s="13">
        <v>382851.88500000001</v>
      </c>
      <c r="E1513" s="18">
        <v>21</v>
      </c>
      <c r="F1513" s="2">
        <f t="shared" si="46"/>
        <v>463250.78084999998</v>
      </c>
      <c r="G1513" s="3">
        <v>0</v>
      </c>
      <c r="H1513" s="4">
        <v>0.7</v>
      </c>
      <c r="I1513" s="28">
        <f t="shared" si="47"/>
        <v>787526.32744499994</v>
      </c>
    </row>
    <row r="1514" spans="1:9" ht="15.75" customHeight="1" x14ac:dyDescent="0.35">
      <c r="A1514" s="26" t="s">
        <v>1368</v>
      </c>
      <c r="B1514" s="25" t="s">
        <v>11737</v>
      </c>
      <c r="C1514" s="6" t="s">
        <v>9228</v>
      </c>
      <c r="D1514" s="13">
        <v>486676.12500000006</v>
      </c>
      <c r="E1514" s="18">
        <v>21</v>
      </c>
      <c r="F1514" s="2">
        <f t="shared" si="46"/>
        <v>588878.11125000007</v>
      </c>
      <c r="G1514" s="3">
        <v>0</v>
      </c>
      <c r="H1514" s="4">
        <v>0.7</v>
      </c>
      <c r="I1514" s="28">
        <f t="shared" si="47"/>
        <v>1001092.7891250001</v>
      </c>
    </row>
    <row r="1515" spans="1:9" ht="15.75" customHeight="1" x14ac:dyDescent="0.35">
      <c r="A1515" s="26" t="s">
        <v>3451</v>
      </c>
      <c r="B1515" s="25" t="s">
        <v>1171</v>
      </c>
      <c r="C1515" s="6" t="s">
        <v>213</v>
      </c>
      <c r="D1515" s="13">
        <v>1475.1694213454091</v>
      </c>
      <c r="E1515" s="18">
        <v>21</v>
      </c>
      <c r="F1515" s="2">
        <f t="shared" si="46"/>
        <v>1784.9549998279449</v>
      </c>
      <c r="G1515" s="3">
        <v>0</v>
      </c>
      <c r="H1515" s="4">
        <v>0.7</v>
      </c>
      <c r="I1515" s="28">
        <f t="shared" si="47"/>
        <v>3034.4234997075064</v>
      </c>
    </row>
    <row r="1516" spans="1:9" ht="15.75" customHeight="1" x14ac:dyDescent="0.35">
      <c r="A1516" s="26" t="s">
        <v>2328</v>
      </c>
      <c r="B1516" s="25" t="s">
        <v>1172</v>
      </c>
      <c r="C1516" s="6" t="s">
        <v>12689</v>
      </c>
      <c r="D1516" s="13">
        <v>142.65275810759999</v>
      </c>
      <c r="E1516" s="18">
        <v>21</v>
      </c>
      <c r="F1516" s="2">
        <f t="shared" si="46"/>
        <v>172.60983731019599</v>
      </c>
      <c r="G1516" s="3">
        <v>0</v>
      </c>
      <c r="H1516" s="4">
        <v>0.7</v>
      </c>
      <c r="I1516" s="28">
        <f t="shared" si="47"/>
        <v>293.43672342733316</v>
      </c>
    </row>
    <row r="1517" spans="1:9" ht="15.75" customHeight="1" x14ac:dyDescent="0.35">
      <c r="A1517" s="26" t="s">
        <v>2327</v>
      </c>
      <c r="B1517" s="25" t="s">
        <v>11738</v>
      </c>
      <c r="C1517" s="6" t="s">
        <v>10825</v>
      </c>
      <c r="D1517" s="13">
        <v>174.14936385151501</v>
      </c>
      <c r="E1517" s="18">
        <v>21</v>
      </c>
      <c r="F1517" s="2">
        <f t="shared" si="46"/>
        <v>210.72073026033314</v>
      </c>
      <c r="G1517" s="3">
        <v>0</v>
      </c>
      <c r="H1517" s="4">
        <v>0.7</v>
      </c>
      <c r="I1517" s="28">
        <f t="shared" si="47"/>
        <v>358.22524144256636</v>
      </c>
    </row>
    <row r="1518" spans="1:9" ht="15.75" customHeight="1" x14ac:dyDescent="0.35">
      <c r="A1518" s="26" t="s">
        <v>2330</v>
      </c>
      <c r="B1518" s="25" t="s">
        <v>11739</v>
      </c>
      <c r="C1518" s="6" t="s">
        <v>12690</v>
      </c>
      <c r="D1518" s="13">
        <v>143.89715171520001</v>
      </c>
      <c r="E1518" s="18">
        <v>21</v>
      </c>
      <c r="F1518" s="2">
        <f t="shared" si="46"/>
        <v>174.11555357539203</v>
      </c>
      <c r="G1518" s="3">
        <v>0</v>
      </c>
      <c r="H1518" s="4">
        <v>0.7</v>
      </c>
      <c r="I1518" s="28">
        <f t="shared" si="47"/>
        <v>295.99644107816641</v>
      </c>
    </row>
    <row r="1519" spans="1:9" ht="15.75" customHeight="1" x14ac:dyDescent="0.35">
      <c r="A1519" s="26" t="s">
        <v>2329</v>
      </c>
      <c r="B1519" s="25" t="s">
        <v>11740</v>
      </c>
      <c r="C1519" s="6" t="s">
        <v>10826</v>
      </c>
      <c r="D1519" s="13">
        <v>176.28028681360499</v>
      </c>
      <c r="E1519" s="18">
        <v>21</v>
      </c>
      <c r="F1519" s="2">
        <f t="shared" si="46"/>
        <v>213.29914704446205</v>
      </c>
      <c r="G1519" s="3">
        <v>0</v>
      </c>
      <c r="H1519" s="4">
        <v>0.7</v>
      </c>
      <c r="I1519" s="28">
        <f t="shared" si="47"/>
        <v>362.60854997558545</v>
      </c>
    </row>
    <row r="1520" spans="1:9" ht="15.75" customHeight="1" x14ac:dyDescent="0.35">
      <c r="A1520" s="26" t="s">
        <v>13614</v>
      </c>
      <c r="B1520" s="25" t="s">
        <v>11657</v>
      </c>
      <c r="C1520" s="6" t="s">
        <v>13615</v>
      </c>
      <c r="D1520" s="13">
        <v>158.2821036576</v>
      </c>
      <c r="E1520" s="18">
        <v>21</v>
      </c>
      <c r="F1520" s="2">
        <f t="shared" si="46"/>
        <v>191.52134542569601</v>
      </c>
      <c r="G1520" s="3">
        <v>0</v>
      </c>
      <c r="H1520" s="4">
        <v>0.7</v>
      </c>
      <c r="I1520" s="28">
        <f t="shared" si="47"/>
        <v>325.5862872236832</v>
      </c>
    </row>
    <row r="1521" spans="1:9" ht="15.75" customHeight="1" x14ac:dyDescent="0.35">
      <c r="A1521" s="26" t="s">
        <v>2332</v>
      </c>
      <c r="B1521" s="25" t="s">
        <v>11658</v>
      </c>
      <c r="C1521" s="6" t="s">
        <v>12691</v>
      </c>
      <c r="D1521" s="13">
        <v>272.11137155279999</v>
      </c>
      <c r="E1521" s="18">
        <v>21</v>
      </c>
      <c r="F1521" s="2">
        <f t="shared" si="46"/>
        <v>329.25475957888801</v>
      </c>
      <c r="G1521" s="3">
        <v>0</v>
      </c>
      <c r="H1521" s="4">
        <v>0.7</v>
      </c>
      <c r="I1521" s="28">
        <f t="shared" si="47"/>
        <v>559.73309128410961</v>
      </c>
    </row>
    <row r="1522" spans="1:9" ht="15.75" customHeight="1" x14ac:dyDescent="0.35">
      <c r="A1522" s="26" t="s">
        <v>2331</v>
      </c>
      <c r="B1522" s="25" t="s">
        <v>11659</v>
      </c>
      <c r="C1522" s="6" t="s">
        <v>10827</v>
      </c>
      <c r="D1522" s="13">
        <v>242.414552708055</v>
      </c>
      <c r="E1522" s="18">
        <v>21</v>
      </c>
      <c r="F1522" s="2">
        <f t="shared" si="46"/>
        <v>293.32160877674653</v>
      </c>
      <c r="G1522" s="3">
        <v>0</v>
      </c>
      <c r="H1522" s="4">
        <v>0.7</v>
      </c>
      <c r="I1522" s="28">
        <f t="shared" si="47"/>
        <v>498.6467349204691</v>
      </c>
    </row>
    <row r="1523" spans="1:9" ht="15.75" customHeight="1" x14ac:dyDescent="0.35">
      <c r="A1523" s="26" t="s">
        <v>2333</v>
      </c>
      <c r="B1523" s="25" t="s">
        <v>198</v>
      </c>
      <c r="C1523" s="6" t="s">
        <v>12692</v>
      </c>
      <c r="D1523" s="13">
        <v>306.90676027440003</v>
      </c>
      <c r="E1523" s="18">
        <v>21</v>
      </c>
      <c r="F1523" s="2">
        <f t="shared" si="46"/>
        <v>371.35717993202405</v>
      </c>
      <c r="G1523" s="3">
        <v>0</v>
      </c>
      <c r="H1523" s="4">
        <v>0.7</v>
      </c>
      <c r="I1523" s="28">
        <f t="shared" si="47"/>
        <v>631.30720588444092</v>
      </c>
    </row>
    <row r="1524" spans="1:9" ht="15.75" customHeight="1" x14ac:dyDescent="0.35">
      <c r="A1524" s="26" t="s">
        <v>2334</v>
      </c>
      <c r="B1524" s="25" t="s">
        <v>199</v>
      </c>
      <c r="C1524" s="6" t="s">
        <v>10828</v>
      </c>
      <c r="D1524" s="13">
        <v>254.48768132462999</v>
      </c>
      <c r="E1524" s="18">
        <v>21</v>
      </c>
      <c r="F1524" s="2">
        <f t="shared" si="46"/>
        <v>307.9300944028023</v>
      </c>
      <c r="G1524" s="3">
        <v>0</v>
      </c>
      <c r="H1524" s="4">
        <v>0.7</v>
      </c>
      <c r="I1524" s="28">
        <f t="shared" si="47"/>
        <v>523.4811604847639</v>
      </c>
    </row>
    <row r="1525" spans="1:9" ht="15.75" customHeight="1" x14ac:dyDescent="0.35">
      <c r="A1525" s="26" t="s">
        <v>2336</v>
      </c>
      <c r="B1525" s="25" t="s">
        <v>200</v>
      </c>
      <c r="C1525" s="6" t="s">
        <v>12693</v>
      </c>
      <c r="D1525" s="13">
        <v>719.77155232320001</v>
      </c>
      <c r="E1525" s="18">
        <v>21</v>
      </c>
      <c r="F1525" s="2">
        <f t="shared" si="46"/>
        <v>870.92357831107199</v>
      </c>
      <c r="G1525" s="3">
        <v>0</v>
      </c>
      <c r="H1525" s="4">
        <v>0.7</v>
      </c>
      <c r="I1525" s="28">
        <f t="shared" si="47"/>
        <v>1480.5700831288223</v>
      </c>
    </row>
    <row r="1526" spans="1:9" ht="15.75" customHeight="1" x14ac:dyDescent="0.35">
      <c r="A1526" s="26" t="s">
        <v>2335</v>
      </c>
      <c r="B1526" s="25" t="s">
        <v>201</v>
      </c>
      <c r="C1526" s="6" t="s">
        <v>10829</v>
      </c>
      <c r="D1526" s="13">
        <v>754.97087465455502</v>
      </c>
      <c r="E1526" s="18">
        <v>21</v>
      </c>
      <c r="F1526" s="2">
        <f t="shared" si="46"/>
        <v>913.51475833201152</v>
      </c>
      <c r="G1526" s="3">
        <v>0</v>
      </c>
      <c r="H1526" s="4">
        <v>0.7</v>
      </c>
      <c r="I1526" s="28">
        <f t="shared" si="47"/>
        <v>1552.9750891644196</v>
      </c>
    </row>
    <row r="1527" spans="1:9" ht="15.75" customHeight="1" x14ac:dyDescent="0.35">
      <c r="A1527" s="26" t="s">
        <v>2338</v>
      </c>
      <c r="B1527" s="25" t="s">
        <v>11660</v>
      </c>
      <c r="C1527" s="6" t="s">
        <v>12694</v>
      </c>
      <c r="D1527" s="13">
        <v>900.03000433320005</v>
      </c>
      <c r="E1527" s="18">
        <v>21</v>
      </c>
      <c r="F1527" s="2">
        <f t="shared" si="46"/>
        <v>1089.0363052431721</v>
      </c>
      <c r="G1527" s="3">
        <v>0</v>
      </c>
      <c r="H1527" s="4">
        <v>0.7</v>
      </c>
      <c r="I1527" s="28">
        <f t="shared" si="47"/>
        <v>1851.3617189133927</v>
      </c>
    </row>
    <row r="1528" spans="1:9" ht="15.75" customHeight="1" x14ac:dyDescent="0.35">
      <c r="A1528" s="26" t="s">
        <v>2337</v>
      </c>
      <c r="B1528" s="25" t="s">
        <v>11661</v>
      </c>
      <c r="C1528" s="6" t="s">
        <v>10830</v>
      </c>
      <c r="D1528" s="13">
        <v>950.70686638238999</v>
      </c>
      <c r="E1528" s="18">
        <v>21</v>
      </c>
      <c r="F1528" s="2">
        <f t="shared" si="46"/>
        <v>1150.3553083226918</v>
      </c>
      <c r="G1528" s="3">
        <v>0</v>
      </c>
      <c r="H1528" s="4">
        <v>0.7</v>
      </c>
      <c r="I1528" s="28">
        <f t="shared" si="47"/>
        <v>1955.6040241485759</v>
      </c>
    </row>
    <row r="1529" spans="1:9" ht="15.75" customHeight="1" x14ac:dyDescent="0.35">
      <c r="A1529" s="26" t="s">
        <v>2340</v>
      </c>
      <c r="B1529" s="25" t="s">
        <v>9180</v>
      </c>
      <c r="C1529" s="6" t="s">
        <v>12695</v>
      </c>
      <c r="D1529" s="13">
        <v>1349.2382345676001</v>
      </c>
      <c r="E1529" s="18">
        <v>21</v>
      </c>
      <c r="F1529" s="2">
        <f t="shared" si="46"/>
        <v>1632.578263826796</v>
      </c>
      <c r="G1529" s="3">
        <v>0</v>
      </c>
      <c r="H1529" s="4">
        <v>0.7</v>
      </c>
      <c r="I1529" s="28">
        <f t="shared" si="47"/>
        <v>2775.3830485055532</v>
      </c>
    </row>
    <row r="1530" spans="1:9" ht="15.75" customHeight="1" x14ac:dyDescent="0.35">
      <c r="A1530" s="26" t="s">
        <v>2339</v>
      </c>
      <c r="B1530" s="25" t="s">
        <v>10650</v>
      </c>
      <c r="C1530" s="6" t="s">
        <v>10831</v>
      </c>
      <c r="D1530" s="13">
        <v>1420.61951106386</v>
      </c>
      <c r="E1530" s="18">
        <v>21</v>
      </c>
      <c r="F1530" s="2">
        <f t="shared" si="46"/>
        <v>1718.9496083872707</v>
      </c>
      <c r="G1530" s="3">
        <v>0</v>
      </c>
      <c r="H1530" s="4">
        <v>0.7</v>
      </c>
      <c r="I1530" s="28">
        <f t="shared" si="47"/>
        <v>2922.2143342583599</v>
      </c>
    </row>
    <row r="1531" spans="1:9" ht="15.75" customHeight="1" x14ac:dyDescent="0.35">
      <c r="A1531" s="26" t="s">
        <v>5667</v>
      </c>
      <c r="B1531" s="25" t="s">
        <v>10651</v>
      </c>
      <c r="C1531" s="6" t="s">
        <v>1066</v>
      </c>
      <c r="D1531" s="13">
        <v>33.6608528507996</v>
      </c>
      <c r="E1531" s="18">
        <v>21</v>
      </c>
      <c r="F1531" s="2">
        <f t="shared" si="46"/>
        <v>40.729631949467517</v>
      </c>
      <c r="G1531" s="3">
        <v>0</v>
      </c>
      <c r="H1531" s="4">
        <v>0.7</v>
      </c>
      <c r="I1531" s="28">
        <f t="shared" si="47"/>
        <v>69.24037431409478</v>
      </c>
    </row>
    <row r="1532" spans="1:9" ht="15.75" customHeight="1" x14ac:dyDescent="0.35">
      <c r="A1532" s="26" t="s">
        <v>2788</v>
      </c>
      <c r="B1532" s="25" t="s">
        <v>11741</v>
      </c>
      <c r="C1532" s="6" t="s">
        <v>8986</v>
      </c>
      <c r="D1532" s="13">
        <v>4052.8470830796</v>
      </c>
      <c r="E1532" s="18">
        <v>21</v>
      </c>
      <c r="F1532" s="2">
        <f t="shared" si="46"/>
        <v>4903.944970526316</v>
      </c>
      <c r="G1532" s="3">
        <v>0</v>
      </c>
      <c r="H1532" s="4">
        <v>0.7</v>
      </c>
      <c r="I1532" s="28">
        <f t="shared" si="47"/>
        <v>8336.7064498947366</v>
      </c>
    </row>
    <row r="1533" spans="1:9" ht="15.75" customHeight="1" x14ac:dyDescent="0.35">
      <c r="A1533" s="26" t="s">
        <v>8973</v>
      </c>
      <c r="B1533" s="25" t="s">
        <v>12082</v>
      </c>
      <c r="C1533" s="6" t="s">
        <v>8987</v>
      </c>
      <c r="D1533" s="13">
        <v>9582.9679994723992</v>
      </c>
      <c r="E1533" s="18">
        <v>21</v>
      </c>
      <c r="F1533" s="2">
        <f t="shared" si="46"/>
        <v>11595.391279361604</v>
      </c>
      <c r="G1533" s="3">
        <v>0</v>
      </c>
      <c r="H1533" s="4">
        <v>0.7</v>
      </c>
      <c r="I1533" s="28">
        <f t="shared" si="47"/>
        <v>19712.165174914724</v>
      </c>
    </row>
    <row r="1534" spans="1:9" ht="15.75" customHeight="1" x14ac:dyDescent="0.35">
      <c r="A1534" s="26" t="s">
        <v>5668</v>
      </c>
      <c r="B1534" s="25" t="s">
        <v>12084</v>
      </c>
      <c r="C1534" s="6" t="s">
        <v>1190</v>
      </c>
      <c r="D1534" s="13">
        <v>101.661235</v>
      </c>
      <c r="E1534" s="18">
        <v>21</v>
      </c>
      <c r="F1534" s="2">
        <f t="shared" si="46"/>
        <v>123.01009435</v>
      </c>
      <c r="G1534" s="3">
        <v>0</v>
      </c>
      <c r="H1534" s="4">
        <v>0.7</v>
      </c>
      <c r="I1534" s="28">
        <f t="shared" si="47"/>
        <v>209.11716039500001</v>
      </c>
    </row>
    <row r="1535" spans="1:9" ht="15.75" customHeight="1" x14ac:dyDescent="0.35">
      <c r="A1535" s="26" t="s">
        <v>5669</v>
      </c>
      <c r="B1535" s="25" t="s">
        <v>12086</v>
      </c>
      <c r="C1535" s="6" t="s">
        <v>214</v>
      </c>
      <c r="D1535" s="13">
        <v>757.05174999999997</v>
      </c>
      <c r="E1535" s="18">
        <v>21</v>
      </c>
      <c r="F1535" s="2">
        <f t="shared" si="46"/>
        <v>916.03261750000001</v>
      </c>
      <c r="G1535" s="3">
        <v>0</v>
      </c>
      <c r="H1535" s="4">
        <v>0.7</v>
      </c>
      <c r="I1535" s="28">
        <f t="shared" si="47"/>
        <v>1557.25544975</v>
      </c>
    </row>
    <row r="1536" spans="1:9" ht="15.75" customHeight="1" x14ac:dyDescent="0.35">
      <c r="A1536" s="26" t="s">
        <v>5670</v>
      </c>
      <c r="B1536" s="25" t="s">
        <v>8836</v>
      </c>
      <c r="C1536" s="6" t="s">
        <v>1186</v>
      </c>
      <c r="D1536" s="13">
        <v>108.15025</v>
      </c>
      <c r="E1536" s="18">
        <v>21</v>
      </c>
      <c r="F1536" s="2">
        <f t="shared" si="46"/>
        <v>130.86180250000001</v>
      </c>
      <c r="G1536" s="3">
        <v>0</v>
      </c>
      <c r="H1536" s="4">
        <v>0.7</v>
      </c>
      <c r="I1536" s="28">
        <f t="shared" si="47"/>
        <v>222.46506425000001</v>
      </c>
    </row>
    <row r="1537" spans="1:9" ht="15.75" customHeight="1" x14ac:dyDescent="0.35">
      <c r="A1537" s="26" t="s">
        <v>10263</v>
      </c>
      <c r="B1537" s="25" t="s">
        <v>11742</v>
      </c>
      <c r="C1537" s="6" t="s">
        <v>10595</v>
      </c>
      <c r="D1537" s="13">
        <v>3320.4176562375001</v>
      </c>
      <c r="E1537" s="18">
        <v>21</v>
      </c>
      <c r="F1537" s="2">
        <f t="shared" si="46"/>
        <v>4017.705364047375</v>
      </c>
      <c r="G1537" s="3">
        <v>0</v>
      </c>
      <c r="H1537" s="4">
        <v>0.7</v>
      </c>
      <c r="I1537" s="28">
        <f t="shared" si="47"/>
        <v>6830.0991188805374</v>
      </c>
    </row>
    <row r="1538" spans="1:9" ht="15.75" customHeight="1" x14ac:dyDescent="0.35">
      <c r="A1538" s="26" t="s">
        <v>10729</v>
      </c>
      <c r="B1538" s="25" t="s">
        <v>11743</v>
      </c>
      <c r="C1538" s="6" t="s">
        <v>10730</v>
      </c>
      <c r="D1538" s="13">
        <v>392.65472798500002</v>
      </c>
      <c r="E1538" s="18">
        <v>21</v>
      </c>
      <c r="F1538" s="2">
        <f t="shared" si="46"/>
        <v>475.11222086185001</v>
      </c>
      <c r="G1538" s="3">
        <v>0</v>
      </c>
      <c r="H1538" s="4">
        <v>0.7</v>
      </c>
      <c r="I1538" s="28">
        <f t="shared" si="47"/>
        <v>807.69077546514495</v>
      </c>
    </row>
    <row r="1539" spans="1:9" ht="15.75" customHeight="1" x14ac:dyDescent="0.35">
      <c r="A1539" s="26" t="s">
        <v>2300</v>
      </c>
      <c r="B1539" s="25" t="s">
        <v>11744</v>
      </c>
      <c r="C1539" s="6" t="s">
        <v>10596</v>
      </c>
      <c r="D1539" s="13">
        <v>1716.9520563000001</v>
      </c>
      <c r="E1539" s="18">
        <v>21</v>
      </c>
      <c r="F1539" s="2">
        <f t="shared" si="46"/>
        <v>2077.5119881230003</v>
      </c>
      <c r="G1539" s="3">
        <v>0</v>
      </c>
      <c r="H1539" s="4">
        <v>0.7</v>
      </c>
      <c r="I1539" s="28">
        <f t="shared" si="47"/>
        <v>3531.7703798091002</v>
      </c>
    </row>
    <row r="1540" spans="1:9" ht="15.75" customHeight="1" x14ac:dyDescent="0.35">
      <c r="A1540" s="26" t="s">
        <v>12087</v>
      </c>
      <c r="B1540" s="25" t="s">
        <v>11745</v>
      </c>
      <c r="C1540" s="6" t="s">
        <v>12088</v>
      </c>
      <c r="D1540" s="13">
        <v>5344.7366700000002</v>
      </c>
      <c r="E1540" s="18">
        <v>21</v>
      </c>
      <c r="F1540" s="2">
        <f t="shared" si="46"/>
        <v>6467.1313707000008</v>
      </c>
      <c r="G1540" s="3">
        <v>0</v>
      </c>
      <c r="H1540" s="4">
        <v>0.7</v>
      </c>
      <c r="I1540" s="28">
        <f t="shared" si="47"/>
        <v>10994.123330190001</v>
      </c>
    </row>
    <row r="1541" spans="1:9" ht="15.75" customHeight="1" x14ac:dyDescent="0.35">
      <c r="A1541" s="26" t="s">
        <v>2301</v>
      </c>
      <c r="B1541" s="25" t="s">
        <v>11746</v>
      </c>
      <c r="C1541" s="6" t="s">
        <v>10597</v>
      </c>
      <c r="D1541" s="13">
        <v>1252.3173521624999</v>
      </c>
      <c r="E1541" s="18">
        <v>21</v>
      </c>
      <c r="F1541" s="2">
        <f t="shared" si="46"/>
        <v>1515.3039961166248</v>
      </c>
      <c r="G1541" s="3">
        <v>0</v>
      </c>
      <c r="H1541" s="4">
        <v>0.7</v>
      </c>
      <c r="I1541" s="28">
        <f t="shared" si="47"/>
        <v>2576.0167933982621</v>
      </c>
    </row>
    <row r="1542" spans="1:9" ht="15.75" customHeight="1" x14ac:dyDescent="0.35">
      <c r="A1542" s="26" t="s">
        <v>2302</v>
      </c>
      <c r="B1542" s="25" t="s">
        <v>11662</v>
      </c>
      <c r="C1542" s="6" t="s">
        <v>10598</v>
      </c>
      <c r="D1542" s="13">
        <v>1686.2888001374999</v>
      </c>
      <c r="E1542" s="18">
        <v>21</v>
      </c>
      <c r="F1542" s="2">
        <f t="shared" ref="F1542:F1605" si="48">D1542*E1542/100+D1542</f>
        <v>2040.4094481663749</v>
      </c>
      <c r="G1542" s="3">
        <v>0</v>
      </c>
      <c r="H1542" s="4">
        <v>0.7</v>
      </c>
      <c r="I1542" s="28">
        <f t="shared" ref="I1542:I1605" si="49">IF(G1542=-1,0,F1542*((100-G1542)/100)*(1+H1542))</f>
        <v>3468.6960618828371</v>
      </c>
    </row>
    <row r="1543" spans="1:9" ht="15.75" customHeight="1" x14ac:dyDescent="0.35">
      <c r="A1543" s="26" t="s">
        <v>4654</v>
      </c>
      <c r="B1543" s="25" t="s">
        <v>12192</v>
      </c>
      <c r="C1543" s="6" t="s">
        <v>215</v>
      </c>
      <c r="D1543" s="13">
        <v>111.280890239999</v>
      </c>
      <c r="E1543" s="18">
        <v>21</v>
      </c>
      <c r="F1543" s="2">
        <f t="shared" si="48"/>
        <v>134.6498771903988</v>
      </c>
      <c r="G1543" s="3">
        <v>0</v>
      </c>
      <c r="H1543" s="4">
        <v>0.7</v>
      </c>
      <c r="I1543" s="28">
        <f t="shared" si="49"/>
        <v>228.90479122367796</v>
      </c>
    </row>
    <row r="1544" spans="1:9" ht="15.75" customHeight="1" x14ac:dyDescent="0.35">
      <c r="A1544" s="26" t="s">
        <v>9756</v>
      </c>
      <c r="B1544" s="25" t="s">
        <v>13228</v>
      </c>
      <c r="C1544" s="6" t="s">
        <v>9757</v>
      </c>
      <c r="D1544" s="13">
        <v>1284.8249700000001</v>
      </c>
      <c r="E1544" s="18">
        <v>21</v>
      </c>
      <c r="F1544" s="2">
        <f t="shared" si="48"/>
        <v>1554.6382137000001</v>
      </c>
      <c r="G1544" s="3">
        <v>0</v>
      </c>
      <c r="H1544" s="4">
        <v>0.7</v>
      </c>
      <c r="I1544" s="28">
        <f t="shared" si="49"/>
        <v>2642.8849632900001</v>
      </c>
    </row>
    <row r="1545" spans="1:9" ht="15.75" customHeight="1" x14ac:dyDescent="0.35">
      <c r="A1545" s="26" t="s">
        <v>9758</v>
      </c>
      <c r="B1545" s="25" t="s">
        <v>13229</v>
      </c>
      <c r="C1545" s="6" t="s">
        <v>9759</v>
      </c>
      <c r="D1545" s="13">
        <v>1284.8249700000001</v>
      </c>
      <c r="E1545" s="18">
        <v>21</v>
      </c>
      <c r="F1545" s="2">
        <f t="shared" si="48"/>
        <v>1554.6382137000001</v>
      </c>
      <c r="G1545" s="3">
        <v>0</v>
      </c>
      <c r="H1545" s="4">
        <v>0.7</v>
      </c>
      <c r="I1545" s="28">
        <f t="shared" si="49"/>
        <v>2642.8849632900001</v>
      </c>
    </row>
    <row r="1546" spans="1:9" ht="15.75" customHeight="1" x14ac:dyDescent="0.35">
      <c r="A1546" s="26" t="s">
        <v>13079</v>
      </c>
      <c r="B1546" s="25" t="s">
        <v>11663</v>
      </c>
      <c r="C1546" s="6" t="s">
        <v>13080</v>
      </c>
      <c r="D1546" s="13">
        <v>1081.5025000000001</v>
      </c>
      <c r="E1546" s="18">
        <v>21</v>
      </c>
      <c r="F1546" s="2">
        <f t="shared" si="48"/>
        <v>1308.618025</v>
      </c>
      <c r="G1546" s="3">
        <v>0</v>
      </c>
      <c r="H1546" s="4">
        <v>0.7</v>
      </c>
      <c r="I1546" s="28">
        <f t="shared" si="49"/>
        <v>2224.6506424999998</v>
      </c>
    </row>
    <row r="1547" spans="1:9" ht="15.75" customHeight="1" x14ac:dyDescent="0.35">
      <c r="A1547" s="26" t="s">
        <v>13081</v>
      </c>
      <c r="B1547" s="25" t="s">
        <v>11664</v>
      </c>
      <c r="C1547" s="6" t="s">
        <v>13082</v>
      </c>
      <c r="D1547" s="13">
        <v>1297.8030000000001</v>
      </c>
      <c r="E1547" s="18">
        <v>21</v>
      </c>
      <c r="F1547" s="2">
        <f t="shared" si="48"/>
        <v>1570.3416300000001</v>
      </c>
      <c r="G1547" s="3">
        <v>0</v>
      </c>
      <c r="H1547" s="4">
        <v>0.7</v>
      </c>
      <c r="I1547" s="28">
        <f t="shared" si="49"/>
        <v>2669.5807709999999</v>
      </c>
    </row>
    <row r="1548" spans="1:9" ht="15.75" customHeight="1" x14ac:dyDescent="0.35">
      <c r="A1548" s="26" t="s">
        <v>10116</v>
      </c>
      <c r="B1548" s="25" t="s">
        <v>11747</v>
      </c>
      <c r="C1548" s="6" t="s">
        <v>10599</v>
      </c>
      <c r="D1548" s="13">
        <v>5047.7701847625003</v>
      </c>
      <c r="E1548" s="18">
        <v>21</v>
      </c>
      <c r="F1548" s="2">
        <f t="shared" si="48"/>
        <v>6107.8019235626252</v>
      </c>
      <c r="G1548" s="3">
        <v>0</v>
      </c>
      <c r="H1548" s="4">
        <v>0.7</v>
      </c>
      <c r="I1548" s="28">
        <f t="shared" si="49"/>
        <v>10383.263270056463</v>
      </c>
    </row>
    <row r="1549" spans="1:9" ht="15.75" customHeight="1" x14ac:dyDescent="0.35">
      <c r="A1549" s="26" t="s">
        <v>10117</v>
      </c>
      <c r="B1549" s="25" t="s">
        <v>11748</v>
      </c>
      <c r="C1549" s="6" t="s">
        <v>10118</v>
      </c>
      <c r="D1549" s="13">
        <v>3034.4730550875001</v>
      </c>
      <c r="E1549" s="18">
        <v>21</v>
      </c>
      <c r="F1549" s="2">
        <f t="shared" si="48"/>
        <v>3671.7123966558752</v>
      </c>
      <c r="G1549" s="3">
        <v>0</v>
      </c>
      <c r="H1549" s="4">
        <v>0.7</v>
      </c>
      <c r="I1549" s="28">
        <f t="shared" si="49"/>
        <v>6241.9110743149877</v>
      </c>
    </row>
    <row r="1550" spans="1:9" ht="15.75" customHeight="1" x14ac:dyDescent="0.35">
      <c r="A1550" s="26" t="s">
        <v>2297</v>
      </c>
      <c r="B1550" s="25" t="s">
        <v>11749</v>
      </c>
      <c r="C1550" s="6" t="s">
        <v>10600</v>
      </c>
      <c r="D1550" s="13">
        <v>2174.6768983874999</v>
      </c>
      <c r="E1550" s="18">
        <v>21</v>
      </c>
      <c r="F1550" s="2">
        <f t="shared" si="48"/>
        <v>2631.3590470488748</v>
      </c>
      <c r="G1550" s="3">
        <v>0</v>
      </c>
      <c r="H1550" s="4">
        <v>0.7</v>
      </c>
      <c r="I1550" s="28">
        <f t="shared" si="49"/>
        <v>4473.3103799830869</v>
      </c>
    </row>
    <row r="1551" spans="1:9" ht="15.75" customHeight="1" x14ac:dyDescent="0.35">
      <c r="A1551" s="26" t="s">
        <v>12089</v>
      </c>
      <c r="B1551" s="25" t="s">
        <v>11750</v>
      </c>
      <c r="C1551" s="6" t="s">
        <v>12090</v>
      </c>
      <c r="D1551" s="13">
        <v>6616.3386027375</v>
      </c>
      <c r="E1551" s="18">
        <v>21</v>
      </c>
      <c r="F1551" s="2">
        <f t="shared" si="48"/>
        <v>8005.7697093123752</v>
      </c>
      <c r="G1551" s="3">
        <v>0</v>
      </c>
      <c r="H1551" s="4">
        <v>0.7</v>
      </c>
      <c r="I1551" s="28">
        <f t="shared" si="49"/>
        <v>13609.808505831037</v>
      </c>
    </row>
    <row r="1552" spans="1:9" ht="15.75" customHeight="1" x14ac:dyDescent="0.35">
      <c r="A1552" s="26" t="s">
        <v>2298</v>
      </c>
      <c r="B1552" s="25" t="s">
        <v>11751</v>
      </c>
      <c r="C1552" s="6" t="s">
        <v>10601</v>
      </c>
      <c r="D1552" s="13">
        <v>1655.4649878</v>
      </c>
      <c r="E1552" s="18">
        <v>21</v>
      </c>
      <c r="F1552" s="2">
        <f t="shared" si="48"/>
        <v>2003.1126352379999</v>
      </c>
      <c r="G1552" s="3">
        <v>0</v>
      </c>
      <c r="H1552" s="4">
        <v>0.7</v>
      </c>
      <c r="I1552" s="28">
        <f t="shared" si="49"/>
        <v>3405.2914799045998</v>
      </c>
    </row>
    <row r="1553" spans="1:9" ht="15.75" customHeight="1" x14ac:dyDescent="0.35">
      <c r="A1553" s="26" t="s">
        <v>2299</v>
      </c>
      <c r="B1553" s="25" t="s">
        <v>11752</v>
      </c>
      <c r="C1553" s="6" t="s">
        <v>10602</v>
      </c>
      <c r="D1553" s="13">
        <v>1954.9527996375</v>
      </c>
      <c r="E1553" s="18">
        <v>21</v>
      </c>
      <c r="F1553" s="2">
        <f t="shared" si="48"/>
        <v>2365.492887561375</v>
      </c>
      <c r="G1553" s="3">
        <v>0</v>
      </c>
      <c r="H1553" s="4">
        <v>0.7</v>
      </c>
      <c r="I1553" s="28">
        <f t="shared" si="49"/>
        <v>4021.3379088543375</v>
      </c>
    </row>
    <row r="1554" spans="1:9" ht="15.75" customHeight="1" x14ac:dyDescent="0.35">
      <c r="A1554" s="26" t="s">
        <v>4239</v>
      </c>
      <c r="B1554" s="25" t="s">
        <v>11753</v>
      </c>
      <c r="C1554" s="6" t="s">
        <v>1237</v>
      </c>
      <c r="D1554" s="13">
        <v>648.90150000000006</v>
      </c>
      <c r="E1554" s="18">
        <v>21</v>
      </c>
      <c r="F1554" s="2">
        <f t="shared" si="48"/>
        <v>785.17081500000006</v>
      </c>
      <c r="G1554" s="3">
        <v>0</v>
      </c>
      <c r="H1554" s="4">
        <v>0.7</v>
      </c>
      <c r="I1554" s="28">
        <f t="shared" si="49"/>
        <v>1334.7903855</v>
      </c>
    </row>
    <row r="1555" spans="1:9" ht="15.75" customHeight="1" x14ac:dyDescent="0.35">
      <c r="A1555" s="26" t="s">
        <v>12696</v>
      </c>
      <c r="B1555" s="25" t="s">
        <v>11754</v>
      </c>
      <c r="C1555" s="6" t="s">
        <v>12697</v>
      </c>
      <c r="D1555" s="13">
        <v>5083.2996805499997</v>
      </c>
      <c r="E1555" s="18">
        <v>21</v>
      </c>
      <c r="F1555" s="2">
        <f t="shared" si="48"/>
        <v>6150.7926134654999</v>
      </c>
      <c r="G1555" s="3">
        <v>0</v>
      </c>
      <c r="H1555" s="4">
        <v>0.7</v>
      </c>
      <c r="I1555" s="28">
        <f t="shared" si="49"/>
        <v>10456.347442891351</v>
      </c>
    </row>
    <row r="1556" spans="1:9" ht="15.75" customHeight="1" x14ac:dyDescent="0.35">
      <c r="A1556" s="26" t="s">
        <v>3902</v>
      </c>
      <c r="B1556" s="25" t="s">
        <v>202</v>
      </c>
      <c r="C1556" s="6" t="s">
        <v>216</v>
      </c>
      <c r="D1556" s="13">
        <v>2627.4918929999999</v>
      </c>
      <c r="E1556" s="18">
        <v>21</v>
      </c>
      <c r="F1556" s="2">
        <f t="shared" si="48"/>
        <v>3179.2651905299999</v>
      </c>
      <c r="G1556" s="3">
        <v>0</v>
      </c>
      <c r="H1556" s="4">
        <v>0.7</v>
      </c>
      <c r="I1556" s="28">
        <f t="shared" si="49"/>
        <v>5404.7508239009994</v>
      </c>
    </row>
    <row r="1557" spans="1:9" ht="15.75" customHeight="1" x14ac:dyDescent="0.35">
      <c r="A1557" s="26" t="s">
        <v>13682</v>
      </c>
      <c r="B1557" s="25" t="s">
        <v>10817</v>
      </c>
      <c r="C1557" s="6" t="s">
        <v>13816</v>
      </c>
      <c r="D1557" s="13">
        <v>3136.7249608500001</v>
      </c>
      <c r="E1557" s="18">
        <v>21</v>
      </c>
      <c r="F1557" s="2">
        <f t="shared" si="48"/>
        <v>3795.4372026285</v>
      </c>
      <c r="G1557" s="3">
        <v>0</v>
      </c>
      <c r="H1557" s="4">
        <v>0.7</v>
      </c>
      <c r="I1557" s="28">
        <f t="shared" si="49"/>
        <v>6452.24324446845</v>
      </c>
    </row>
    <row r="1558" spans="1:9" ht="15.75" customHeight="1" x14ac:dyDescent="0.35">
      <c r="A1558" s="26" t="s">
        <v>13679</v>
      </c>
      <c r="B1558" s="25" t="s">
        <v>10819</v>
      </c>
      <c r="C1558" s="6" t="s">
        <v>13817</v>
      </c>
      <c r="D1558" s="13">
        <v>686.40800669999999</v>
      </c>
      <c r="E1558" s="18">
        <v>21</v>
      </c>
      <c r="F1558" s="2">
        <f t="shared" si="48"/>
        <v>830.55368810699997</v>
      </c>
      <c r="G1558" s="3">
        <v>0</v>
      </c>
      <c r="H1558" s="4">
        <v>0.7</v>
      </c>
      <c r="I1558" s="28">
        <f t="shared" si="49"/>
        <v>1411.9412697819</v>
      </c>
    </row>
    <row r="1559" spans="1:9" ht="15.75" customHeight="1" x14ac:dyDescent="0.35">
      <c r="A1559" s="26" t="s">
        <v>13684</v>
      </c>
      <c r="B1559" s="25" t="s">
        <v>10724</v>
      </c>
      <c r="C1559" s="6" t="s">
        <v>13818</v>
      </c>
      <c r="D1559" s="13">
        <v>1229.1492213000001</v>
      </c>
      <c r="E1559" s="18">
        <v>21</v>
      </c>
      <c r="F1559" s="2">
        <f t="shared" si="48"/>
        <v>1487.2705577730003</v>
      </c>
      <c r="G1559" s="3">
        <v>0</v>
      </c>
      <c r="H1559" s="4">
        <v>0.7</v>
      </c>
      <c r="I1559" s="28">
        <f t="shared" si="49"/>
        <v>2528.3599482141003</v>
      </c>
    </row>
    <row r="1560" spans="1:9" ht="15.75" customHeight="1" x14ac:dyDescent="0.35">
      <c r="A1560" s="26" t="s">
        <v>13680</v>
      </c>
      <c r="B1560" s="25" t="s">
        <v>10821</v>
      </c>
      <c r="C1560" s="6" t="s">
        <v>13819</v>
      </c>
      <c r="D1560" s="13">
        <v>854.01926415000003</v>
      </c>
      <c r="E1560" s="18">
        <v>21</v>
      </c>
      <c r="F1560" s="2">
        <f t="shared" si="48"/>
        <v>1033.3633096215001</v>
      </c>
      <c r="G1560" s="3">
        <v>0</v>
      </c>
      <c r="H1560" s="4">
        <v>0.7</v>
      </c>
      <c r="I1560" s="28">
        <f t="shared" si="49"/>
        <v>1756.71762635655</v>
      </c>
    </row>
    <row r="1561" spans="1:9" ht="15.75" customHeight="1" x14ac:dyDescent="0.35">
      <c r="A1561" s="26" t="s">
        <v>13685</v>
      </c>
      <c r="B1561" s="25" t="s">
        <v>10725</v>
      </c>
      <c r="C1561" s="6" t="s">
        <v>13820</v>
      </c>
      <c r="D1561" s="13">
        <v>1564.3717362000002</v>
      </c>
      <c r="E1561" s="18">
        <v>21</v>
      </c>
      <c r="F1561" s="2">
        <f t="shared" si="48"/>
        <v>1892.8898008020003</v>
      </c>
      <c r="G1561" s="3">
        <v>0</v>
      </c>
      <c r="H1561" s="4">
        <v>0.7</v>
      </c>
      <c r="I1561" s="28">
        <f t="shared" si="49"/>
        <v>3217.9126613634003</v>
      </c>
    </row>
    <row r="1562" spans="1:9" ht="15.75" customHeight="1" x14ac:dyDescent="0.35">
      <c r="A1562" s="26" t="s">
        <v>13681</v>
      </c>
      <c r="B1562" s="25" t="s">
        <v>203</v>
      </c>
      <c r="C1562" s="6" t="s">
        <v>13821</v>
      </c>
      <c r="D1562" s="13">
        <v>1332.9085711499999</v>
      </c>
      <c r="E1562" s="18">
        <v>21</v>
      </c>
      <c r="F1562" s="2">
        <f t="shared" si="48"/>
        <v>1612.8193710915</v>
      </c>
      <c r="G1562" s="3">
        <v>0</v>
      </c>
      <c r="H1562" s="4">
        <v>0.7</v>
      </c>
      <c r="I1562" s="28">
        <f t="shared" si="49"/>
        <v>2741.7929308555499</v>
      </c>
    </row>
    <row r="1563" spans="1:9" ht="15.75" customHeight="1" x14ac:dyDescent="0.35">
      <c r="A1563" s="26" t="s">
        <v>13686</v>
      </c>
      <c r="B1563" s="25" t="s">
        <v>204</v>
      </c>
      <c r="C1563" s="6" t="s">
        <v>13822</v>
      </c>
      <c r="D1563" s="13">
        <v>2490.2243963999999</v>
      </c>
      <c r="E1563" s="18">
        <v>21</v>
      </c>
      <c r="F1563" s="2">
        <f t="shared" si="48"/>
        <v>3013.171519644</v>
      </c>
      <c r="G1563" s="3">
        <v>0</v>
      </c>
      <c r="H1563" s="4">
        <v>0.7</v>
      </c>
      <c r="I1563" s="28">
        <f t="shared" si="49"/>
        <v>5122.3915833947995</v>
      </c>
    </row>
    <row r="1564" spans="1:9" ht="15.75" customHeight="1" x14ac:dyDescent="0.35">
      <c r="A1564" s="26" t="s">
        <v>13683</v>
      </c>
      <c r="B1564" s="25" t="s">
        <v>10823</v>
      </c>
      <c r="C1564" s="6" t="s">
        <v>13823</v>
      </c>
      <c r="D1564" s="13">
        <v>854.01926415000003</v>
      </c>
      <c r="E1564" s="18">
        <v>21</v>
      </c>
      <c r="F1564" s="2">
        <f t="shared" si="48"/>
        <v>1033.3633096215001</v>
      </c>
      <c r="G1564" s="3">
        <v>0</v>
      </c>
      <c r="H1564" s="4">
        <v>0.7</v>
      </c>
      <c r="I1564" s="28">
        <f t="shared" si="49"/>
        <v>1756.71762635655</v>
      </c>
    </row>
    <row r="1565" spans="1:9" ht="15.75" customHeight="1" x14ac:dyDescent="0.35">
      <c r="A1565" s="26" t="s">
        <v>2251</v>
      </c>
      <c r="B1565" s="25" t="s">
        <v>10726</v>
      </c>
      <c r="C1565" s="6" t="s">
        <v>217</v>
      </c>
      <c r="D1565" s="13">
        <v>1227.3543357562501</v>
      </c>
      <c r="E1565" s="18">
        <v>21</v>
      </c>
      <c r="F1565" s="2">
        <f t="shared" si="48"/>
        <v>1485.0987462650626</v>
      </c>
      <c r="G1565" s="3">
        <v>0</v>
      </c>
      <c r="H1565" s="4">
        <v>0.7</v>
      </c>
      <c r="I1565" s="28">
        <f t="shared" si="49"/>
        <v>2524.6678686506061</v>
      </c>
    </row>
    <row r="1566" spans="1:9" ht="15.75" customHeight="1" x14ac:dyDescent="0.35">
      <c r="A1566" s="26" t="s">
        <v>2252</v>
      </c>
      <c r="B1566" s="25" t="s">
        <v>10727</v>
      </c>
      <c r="C1566" s="6" t="s">
        <v>218</v>
      </c>
      <c r="D1566" s="13">
        <v>1125.0724539437499</v>
      </c>
      <c r="E1566" s="18">
        <v>21</v>
      </c>
      <c r="F1566" s="2">
        <f t="shared" si="48"/>
        <v>1361.3376692719373</v>
      </c>
      <c r="G1566" s="3">
        <v>0</v>
      </c>
      <c r="H1566" s="4">
        <v>0.7</v>
      </c>
      <c r="I1566" s="28">
        <f t="shared" si="49"/>
        <v>2314.2740377622936</v>
      </c>
    </row>
    <row r="1567" spans="1:9" ht="15.75" customHeight="1" x14ac:dyDescent="0.35">
      <c r="A1567" s="26" t="s">
        <v>2253</v>
      </c>
      <c r="B1567" s="25" t="s">
        <v>10728</v>
      </c>
      <c r="C1567" s="6" t="s">
        <v>219</v>
      </c>
      <c r="D1567" s="13">
        <v>485.82795405625001</v>
      </c>
      <c r="E1567" s="18">
        <v>21</v>
      </c>
      <c r="F1567" s="2">
        <f t="shared" si="48"/>
        <v>587.8518244080625</v>
      </c>
      <c r="G1567" s="3">
        <v>0</v>
      </c>
      <c r="H1567" s="4">
        <v>0.7</v>
      </c>
      <c r="I1567" s="28">
        <f t="shared" si="49"/>
        <v>999.34810149370617</v>
      </c>
    </row>
    <row r="1568" spans="1:9" ht="15.75" customHeight="1" x14ac:dyDescent="0.35">
      <c r="A1568" s="26" t="s">
        <v>2254</v>
      </c>
      <c r="B1568" s="25" t="s">
        <v>205</v>
      </c>
      <c r="C1568" s="6" t="s">
        <v>220</v>
      </c>
      <c r="D1568" s="13">
        <v>1712.71466169375</v>
      </c>
      <c r="E1568" s="18">
        <v>21</v>
      </c>
      <c r="F1568" s="2">
        <f t="shared" si="48"/>
        <v>2072.3847406494374</v>
      </c>
      <c r="G1568" s="3">
        <v>0</v>
      </c>
      <c r="H1568" s="4">
        <v>0.7</v>
      </c>
      <c r="I1568" s="28">
        <f t="shared" si="49"/>
        <v>3523.0540591040435</v>
      </c>
    </row>
    <row r="1569" spans="1:9" ht="15.75" customHeight="1" x14ac:dyDescent="0.35">
      <c r="A1569" s="26" t="s">
        <v>2255</v>
      </c>
      <c r="B1569" s="25" t="s">
        <v>10824</v>
      </c>
      <c r="C1569" s="6" t="s">
        <v>221</v>
      </c>
      <c r="D1569" s="13">
        <v>259.48966769374999</v>
      </c>
      <c r="E1569" s="18">
        <v>21</v>
      </c>
      <c r="F1569" s="2">
        <f t="shared" si="48"/>
        <v>313.98249790943748</v>
      </c>
      <c r="G1569" s="3">
        <v>0</v>
      </c>
      <c r="H1569" s="4">
        <v>0.7</v>
      </c>
      <c r="I1569" s="28">
        <f t="shared" si="49"/>
        <v>533.77024644604376</v>
      </c>
    </row>
    <row r="1570" spans="1:9" ht="15.75" customHeight="1" x14ac:dyDescent="0.35">
      <c r="A1570" s="26" t="s">
        <v>2256</v>
      </c>
      <c r="B1570" s="25" t="s">
        <v>877</v>
      </c>
      <c r="C1570" s="6" t="s">
        <v>222</v>
      </c>
      <c r="D1570" s="13">
        <v>259.48966769374999</v>
      </c>
      <c r="E1570" s="18">
        <v>21</v>
      </c>
      <c r="F1570" s="2">
        <f t="shared" si="48"/>
        <v>313.98249790943748</v>
      </c>
      <c r="G1570" s="3">
        <v>0</v>
      </c>
      <c r="H1570" s="4">
        <v>0.7</v>
      </c>
      <c r="I1570" s="28">
        <f t="shared" si="49"/>
        <v>533.77024644604376</v>
      </c>
    </row>
    <row r="1571" spans="1:9" ht="15.75" customHeight="1" x14ac:dyDescent="0.35">
      <c r="A1571" s="26" t="s">
        <v>2257</v>
      </c>
      <c r="B1571" s="25" t="s">
        <v>206</v>
      </c>
      <c r="C1571" s="6" t="s">
        <v>223</v>
      </c>
      <c r="D1571" s="13">
        <v>398.8899237375</v>
      </c>
      <c r="E1571" s="18">
        <v>21</v>
      </c>
      <c r="F1571" s="2">
        <f t="shared" si="48"/>
        <v>482.65680772237499</v>
      </c>
      <c r="G1571" s="3">
        <v>0</v>
      </c>
      <c r="H1571" s="4">
        <v>0.7</v>
      </c>
      <c r="I1571" s="28">
        <f t="shared" si="49"/>
        <v>820.51657312803752</v>
      </c>
    </row>
    <row r="1572" spans="1:9" ht="15.75" customHeight="1" x14ac:dyDescent="0.35">
      <c r="A1572" s="26" t="s">
        <v>4977</v>
      </c>
      <c r="B1572" s="25" t="s">
        <v>12624</v>
      </c>
      <c r="C1572" s="6" t="s">
        <v>224</v>
      </c>
      <c r="D1572" s="13">
        <v>2819.4680701965699</v>
      </c>
      <c r="E1572" s="18">
        <v>10.5</v>
      </c>
      <c r="F1572" s="2">
        <f t="shared" si="48"/>
        <v>3115.5122175672095</v>
      </c>
      <c r="G1572" s="3">
        <v>0</v>
      </c>
      <c r="H1572" s="4">
        <v>0.7</v>
      </c>
      <c r="I1572" s="28">
        <f t="shared" si="49"/>
        <v>5296.3707698642556</v>
      </c>
    </row>
    <row r="1573" spans="1:9" ht="15.75" customHeight="1" x14ac:dyDescent="0.35">
      <c r="A1573" s="26" t="s">
        <v>4978</v>
      </c>
      <c r="B1573" s="25" t="s">
        <v>878</v>
      </c>
      <c r="C1573" s="6" t="s">
        <v>225</v>
      </c>
      <c r="D1573" s="13">
        <v>2337.0097552428001</v>
      </c>
      <c r="E1573" s="18">
        <v>21</v>
      </c>
      <c r="F1573" s="2">
        <f t="shared" si="48"/>
        <v>2827.7818038437881</v>
      </c>
      <c r="G1573" s="3">
        <v>0</v>
      </c>
      <c r="H1573" s="4">
        <v>0.7</v>
      </c>
      <c r="I1573" s="28">
        <f t="shared" si="49"/>
        <v>4807.2290665344399</v>
      </c>
    </row>
    <row r="1574" spans="1:9" ht="15.75" customHeight="1" x14ac:dyDescent="0.35">
      <c r="A1574" s="26" t="s">
        <v>4979</v>
      </c>
      <c r="B1574" s="25" t="s">
        <v>879</v>
      </c>
      <c r="C1574" s="6" t="s">
        <v>226</v>
      </c>
      <c r="D1574" s="13">
        <v>4739.5126541658201</v>
      </c>
      <c r="E1574" s="18">
        <v>10.5</v>
      </c>
      <c r="F1574" s="2">
        <f t="shared" si="48"/>
        <v>5237.1614828532311</v>
      </c>
      <c r="G1574" s="3">
        <v>0</v>
      </c>
      <c r="H1574" s="4">
        <v>0.7</v>
      </c>
      <c r="I1574" s="28">
        <f t="shared" si="49"/>
        <v>8903.1745208504926</v>
      </c>
    </row>
    <row r="1575" spans="1:9" ht="15.75" customHeight="1" x14ac:dyDescent="0.35">
      <c r="A1575" s="26" t="s">
        <v>4980</v>
      </c>
      <c r="B1575" s="25" t="s">
        <v>880</v>
      </c>
      <c r="C1575" s="6" t="s">
        <v>227</v>
      </c>
      <c r="D1575" s="13">
        <v>3758.0148858462899</v>
      </c>
      <c r="E1575" s="18">
        <v>21</v>
      </c>
      <c r="F1575" s="2">
        <f t="shared" si="48"/>
        <v>4547.1980118740103</v>
      </c>
      <c r="G1575" s="3">
        <v>0</v>
      </c>
      <c r="H1575" s="4">
        <v>0.7</v>
      </c>
      <c r="I1575" s="28">
        <f t="shared" si="49"/>
        <v>7730.2366201858176</v>
      </c>
    </row>
    <row r="1576" spans="1:9" ht="15.75" customHeight="1" x14ac:dyDescent="0.35">
      <c r="A1576" s="26" t="s">
        <v>4981</v>
      </c>
      <c r="B1576" s="25" t="s">
        <v>12531</v>
      </c>
      <c r="C1576" s="6" t="s">
        <v>228</v>
      </c>
      <c r="D1576" s="13">
        <v>4418.09688125295</v>
      </c>
      <c r="E1576" s="18">
        <v>10.5</v>
      </c>
      <c r="F1576" s="2">
        <f t="shared" si="48"/>
        <v>4881.9970537845093</v>
      </c>
      <c r="G1576" s="3">
        <v>0</v>
      </c>
      <c r="H1576" s="4">
        <v>0.7</v>
      </c>
      <c r="I1576" s="28">
        <f t="shared" si="49"/>
        <v>8299.3949914336663</v>
      </c>
    </row>
    <row r="1577" spans="1:9" ht="15.75" customHeight="1" x14ac:dyDescent="0.35">
      <c r="A1577" s="26" t="s">
        <v>4982</v>
      </c>
      <c r="B1577" s="25" t="s">
        <v>12533</v>
      </c>
      <c r="C1577" s="6" t="s">
        <v>229</v>
      </c>
      <c r="D1577" s="13">
        <v>4673.0835206477996</v>
      </c>
      <c r="E1577" s="18">
        <v>21</v>
      </c>
      <c r="F1577" s="2">
        <f t="shared" si="48"/>
        <v>5654.4310599838373</v>
      </c>
      <c r="G1577" s="3">
        <v>0</v>
      </c>
      <c r="H1577" s="4">
        <v>0.7</v>
      </c>
      <c r="I1577" s="28">
        <f t="shared" si="49"/>
        <v>9612.5328019725239</v>
      </c>
    </row>
    <row r="1578" spans="1:9" ht="15.75" customHeight="1" x14ac:dyDescent="0.35">
      <c r="A1578" s="26" t="s">
        <v>4983</v>
      </c>
      <c r="B1578" s="25" t="s">
        <v>11481</v>
      </c>
      <c r="C1578" s="6" t="s">
        <v>230</v>
      </c>
      <c r="D1578" s="13">
        <v>3711.3147448316799</v>
      </c>
      <c r="E1578" s="18">
        <v>21</v>
      </c>
      <c r="F1578" s="2">
        <f t="shared" si="48"/>
        <v>4490.6908412463326</v>
      </c>
      <c r="G1578" s="3">
        <v>0</v>
      </c>
      <c r="H1578" s="4">
        <v>0.7</v>
      </c>
      <c r="I1578" s="28">
        <f t="shared" si="49"/>
        <v>7634.1744301187655</v>
      </c>
    </row>
    <row r="1579" spans="1:9" ht="15.75" customHeight="1" x14ac:dyDescent="0.35">
      <c r="A1579" s="26" t="s">
        <v>4984</v>
      </c>
      <c r="B1579" s="25" t="s">
        <v>12684</v>
      </c>
      <c r="C1579" s="6" t="s">
        <v>231</v>
      </c>
      <c r="D1579" s="13">
        <v>2883.3402258894698</v>
      </c>
      <c r="E1579" s="18">
        <v>21</v>
      </c>
      <c r="F1579" s="2">
        <f t="shared" si="48"/>
        <v>3488.8416733262584</v>
      </c>
      <c r="G1579" s="3">
        <v>0</v>
      </c>
      <c r="H1579" s="4">
        <v>0.7</v>
      </c>
      <c r="I1579" s="28">
        <f t="shared" si="49"/>
        <v>5931.0308446546387</v>
      </c>
    </row>
    <row r="1580" spans="1:9" ht="15.75" customHeight="1" x14ac:dyDescent="0.35">
      <c r="A1580" s="26" t="s">
        <v>3815</v>
      </c>
      <c r="B1580" s="25" t="s">
        <v>11756</v>
      </c>
      <c r="C1580" s="6" t="s">
        <v>9183</v>
      </c>
      <c r="D1580" s="13">
        <v>3858.634</v>
      </c>
      <c r="E1580" s="18">
        <v>21</v>
      </c>
      <c r="F1580" s="2">
        <f t="shared" si="48"/>
        <v>4668.9471400000002</v>
      </c>
      <c r="G1580" s="3">
        <v>0</v>
      </c>
      <c r="H1580" s="4">
        <v>0.7</v>
      </c>
      <c r="I1580" s="28">
        <f t="shared" si="49"/>
        <v>7937.2101380000004</v>
      </c>
    </row>
    <row r="1581" spans="1:9" ht="15.75" customHeight="1" x14ac:dyDescent="0.35">
      <c r="A1581" s="26" t="s">
        <v>3816</v>
      </c>
      <c r="B1581" s="25" t="s">
        <v>10158</v>
      </c>
      <c r="C1581" s="6" t="s">
        <v>9184</v>
      </c>
      <c r="D1581" s="13">
        <v>3858.634</v>
      </c>
      <c r="E1581" s="18">
        <v>21</v>
      </c>
      <c r="F1581" s="2">
        <f t="shared" si="48"/>
        <v>4668.9471400000002</v>
      </c>
      <c r="G1581" s="3">
        <v>0</v>
      </c>
      <c r="H1581" s="4">
        <v>0.7</v>
      </c>
      <c r="I1581" s="28">
        <f t="shared" si="49"/>
        <v>7937.2101380000004</v>
      </c>
    </row>
    <row r="1582" spans="1:9" ht="15.75" customHeight="1" x14ac:dyDescent="0.35">
      <c r="A1582" s="26" t="s">
        <v>10780</v>
      </c>
      <c r="B1582" s="25" t="s">
        <v>11866</v>
      </c>
      <c r="C1582" s="6" t="s">
        <v>13265</v>
      </c>
      <c r="D1582" s="13">
        <v>3217.3829999999998</v>
      </c>
      <c r="E1582" s="18">
        <v>21</v>
      </c>
      <c r="F1582" s="2">
        <f t="shared" si="48"/>
        <v>3893.0334299999995</v>
      </c>
      <c r="G1582" s="3">
        <v>0</v>
      </c>
      <c r="H1582" s="4">
        <v>0.7</v>
      </c>
      <c r="I1582" s="28">
        <f t="shared" si="49"/>
        <v>6618.1568309999993</v>
      </c>
    </row>
    <row r="1583" spans="1:9" ht="15.75" customHeight="1" x14ac:dyDescent="0.35">
      <c r="A1583" s="26" t="s">
        <v>13266</v>
      </c>
      <c r="B1583" s="25" t="s">
        <v>12686</v>
      </c>
      <c r="C1583" s="6" t="s">
        <v>13267</v>
      </c>
      <c r="D1583" s="13">
        <v>3217.3829999999998</v>
      </c>
      <c r="E1583" s="18">
        <v>21</v>
      </c>
      <c r="F1583" s="2">
        <f t="shared" si="48"/>
        <v>3893.0334299999995</v>
      </c>
      <c r="G1583" s="3">
        <v>0</v>
      </c>
      <c r="H1583" s="4">
        <v>0.7</v>
      </c>
      <c r="I1583" s="28">
        <f t="shared" si="49"/>
        <v>6618.1568309999993</v>
      </c>
    </row>
    <row r="1584" spans="1:9" ht="15.75" customHeight="1" x14ac:dyDescent="0.35">
      <c r="A1584" s="26" t="s">
        <v>1745</v>
      </c>
      <c r="B1584" s="25" t="s">
        <v>11758</v>
      </c>
      <c r="C1584" s="6" t="s">
        <v>8915</v>
      </c>
      <c r="D1584" s="13">
        <v>13115.533688400001</v>
      </c>
      <c r="E1584" s="18">
        <v>21</v>
      </c>
      <c r="F1584" s="2">
        <f t="shared" si="48"/>
        <v>15869.795762964</v>
      </c>
      <c r="G1584" s="3">
        <v>0</v>
      </c>
      <c r="H1584" s="4">
        <v>0.7</v>
      </c>
      <c r="I1584" s="28">
        <f t="shared" si="49"/>
        <v>26978.652797038802</v>
      </c>
    </row>
    <row r="1585" spans="1:9" ht="15.75" customHeight="1" x14ac:dyDescent="0.35">
      <c r="A1585" s="26" t="s">
        <v>4968</v>
      </c>
      <c r="B1585" s="25" t="s">
        <v>10159</v>
      </c>
      <c r="C1585" s="6" t="s">
        <v>9229</v>
      </c>
      <c r="D1585" s="13">
        <v>9565.1938923400103</v>
      </c>
      <c r="E1585" s="18">
        <v>10.5</v>
      </c>
      <c r="F1585" s="2">
        <f t="shared" si="48"/>
        <v>10569.539251035712</v>
      </c>
      <c r="G1585" s="3">
        <v>0</v>
      </c>
      <c r="H1585" s="4">
        <v>0.7</v>
      </c>
      <c r="I1585" s="28">
        <f t="shared" si="49"/>
        <v>17968.216726760711</v>
      </c>
    </row>
    <row r="1586" spans="1:9" ht="15.75" customHeight="1" x14ac:dyDescent="0.35">
      <c r="A1586" s="26" t="s">
        <v>4969</v>
      </c>
      <c r="B1586" s="25" t="s">
        <v>10160</v>
      </c>
      <c r="C1586" s="6" t="s">
        <v>9230</v>
      </c>
      <c r="D1586" s="13">
        <v>9565.1938923400103</v>
      </c>
      <c r="E1586" s="18">
        <v>10.5</v>
      </c>
      <c r="F1586" s="2">
        <f t="shared" si="48"/>
        <v>10569.539251035712</v>
      </c>
      <c r="G1586" s="3">
        <v>0</v>
      </c>
      <c r="H1586" s="4">
        <v>0.7</v>
      </c>
      <c r="I1586" s="28">
        <f t="shared" si="49"/>
        <v>17968.216726760711</v>
      </c>
    </row>
    <row r="1587" spans="1:9" ht="15.75" customHeight="1" x14ac:dyDescent="0.35">
      <c r="A1587" s="26" t="s">
        <v>4970</v>
      </c>
      <c r="B1587" s="25" t="s">
        <v>12688</v>
      </c>
      <c r="C1587" s="6" t="s">
        <v>9185</v>
      </c>
      <c r="D1587" s="13">
        <v>9565.1938923400103</v>
      </c>
      <c r="E1587" s="18">
        <v>10.5</v>
      </c>
      <c r="F1587" s="2">
        <f t="shared" si="48"/>
        <v>10569.539251035712</v>
      </c>
      <c r="G1587" s="3">
        <v>0</v>
      </c>
      <c r="H1587" s="4">
        <v>0.7</v>
      </c>
      <c r="I1587" s="28">
        <f t="shared" si="49"/>
        <v>17968.216726760711</v>
      </c>
    </row>
    <row r="1588" spans="1:9" ht="15.75" customHeight="1" x14ac:dyDescent="0.35">
      <c r="A1588" s="26" t="s">
        <v>4971</v>
      </c>
      <c r="B1588" s="25" t="s">
        <v>10161</v>
      </c>
      <c r="C1588" s="6" t="s">
        <v>9186</v>
      </c>
      <c r="D1588" s="13">
        <v>9565.1938923400103</v>
      </c>
      <c r="E1588" s="18">
        <v>10.5</v>
      </c>
      <c r="F1588" s="2">
        <f t="shared" si="48"/>
        <v>10569.539251035712</v>
      </c>
      <c r="G1588" s="3">
        <v>0</v>
      </c>
      <c r="H1588" s="4">
        <v>0.7</v>
      </c>
      <c r="I1588" s="28">
        <f t="shared" si="49"/>
        <v>17968.216726760711</v>
      </c>
    </row>
    <row r="1589" spans="1:9" ht="15.75" customHeight="1" x14ac:dyDescent="0.35">
      <c r="A1589" s="26" t="s">
        <v>4972</v>
      </c>
      <c r="B1589" s="25" t="s">
        <v>12325</v>
      </c>
      <c r="C1589" s="6" t="s">
        <v>9187</v>
      </c>
      <c r="D1589" s="13">
        <v>9565.1938923400103</v>
      </c>
      <c r="E1589" s="18">
        <v>10.5</v>
      </c>
      <c r="F1589" s="2">
        <f t="shared" si="48"/>
        <v>10569.539251035712</v>
      </c>
      <c r="G1589" s="3">
        <v>0</v>
      </c>
      <c r="H1589" s="4">
        <v>0.7</v>
      </c>
      <c r="I1589" s="28">
        <f t="shared" si="49"/>
        <v>17968.216726760711</v>
      </c>
    </row>
    <row r="1590" spans="1:9" ht="15.75" customHeight="1" x14ac:dyDescent="0.35">
      <c r="A1590" s="26" t="s">
        <v>4975</v>
      </c>
      <c r="B1590" s="25" t="s">
        <v>12534</v>
      </c>
      <c r="C1590" s="6" t="s">
        <v>10603</v>
      </c>
      <c r="D1590" s="13">
        <v>9565.1938923400103</v>
      </c>
      <c r="E1590" s="18">
        <v>10.5</v>
      </c>
      <c r="F1590" s="2">
        <f t="shared" si="48"/>
        <v>10569.539251035712</v>
      </c>
      <c r="G1590" s="3">
        <v>0</v>
      </c>
      <c r="H1590" s="4">
        <v>0.7</v>
      </c>
      <c r="I1590" s="28">
        <f t="shared" si="49"/>
        <v>17968.216726760711</v>
      </c>
    </row>
    <row r="1591" spans="1:9" ht="15.75" customHeight="1" x14ac:dyDescent="0.35">
      <c r="A1591" s="26" t="s">
        <v>4973</v>
      </c>
      <c r="B1591" s="25" t="s">
        <v>10866</v>
      </c>
      <c r="C1591" s="6" t="s">
        <v>9188</v>
      </c>
      <c r="D1591" s="13">
        <v>9565.1938923400103</v>
      </c>
      <c r="E1591" s="18">
        <v>10.5</v>
      </c>
      <c r="F1591" s="2">
        <f t="shared" si="48"/>
        <v>10569.539251035712</v>
      </c>
      <c r="G1591" s="3">
        <v>0</v>
      </c>
      <c r="H1591" s="4">
        <v>0.7</v>
      </c>
      <c r="I1591" s="28">
        <f t="shared" si="49"/>
        <v>17968.216726760711</v>
      </c>
    </row>
    <row r="1592" spans="1:9" ht="15.75" customHeight="1" x14ac:dyDescent="0.35">
      <c r="A1592" s="26" t="s">
        <v>4967</v>
      </c>
      <c r="B1592" s="25" t="s">
        <v>1236</v>
      </c>
      <c r="C1592" s="6" t="s">
        <v>10604</v>
      </c>
      <c r="D1592" s="13">
        <v>9565.1938923400103</v>
      </c>
      <c r="E1592" s="18">
        <v>10.5</v>
      </c>
      <c r="F1592" s="2">
        <f t="shared" si="48"/>
        <v>10569.539251035712</v>
      </c>
      <c r="G1592" s="3">
        <v>0</v>
      </c>
      <c r="H1592" s="4">
        <v>0.7</v>
      </c>
      <c r="I1592" s="28">
        <f t="shared" si="49"/>
        <v>17968.216726760711</v>
      </c>
    </row>
    <row r="1593" spans="1:9" ht="15.75" customHeight="1" x14ac:dyDescent="0.35">
      <c r="A1593" s="26" t="s">
        <v>4974</v>
      </c>
      <c r="B1593" s="25" t="s">
        <v>9181</v>
      </c>
      <c r="C1593" s="6" t="s">
        <v>9189</v>
      </c>
      <c r="D1593" s="13">
        <v>9565.1844801506904</v>
      </c>
      <c r="E1593" s="18">
        <v>10.5</v>
      </c>
      <c r="F1593" s="2">
        <f t="shared" si="48"/>
        <v>10569.528850566512</v>
      </c>
      <c r="G1593" s="3">
        <v>0</v>
      </c>
      <c r="H1593" s="4">
        <v>0.7</v>
      </c>
      <c r="I1593" s="28">
        <f t="shared" si="49"/>
        <v>17968.199045963069</v>
      </c>
    </row>
    <row r="1594" spans="1:9" ht="15.75" customHeight="1" x14ac:dyDescent="0.35">
      <c r="A1594" s="26" t="s">
        <v>4976</v>
      </c>
      <c r="B1594" s="25" t="s">
        <v>9182</v>
      </c>
      <c r="C1594" s="6" t="s">
        <v>9190</v>
      </c>
      <c r="D1594" s="13">
        <v>9565.1844801506904</v>
      </c>
      <c r="E1594" s="18">
        <v>10.5</v>
      </c>
      <c r="F1594" s="2">
        <f t="shared" si="48"/>
        <v>10569.528850566512</v>
      </c>
      <c r="G1594" s="3">
        <v>0</v>
      </c>
      <c r="H1594" s="4">
        <v>0.7</v>
      </c>
      <c r="I1594" s="28">
        <f t="shared" si="49"/>
        <v>17968.199045963069</v>
      </c>
    </row>
    <row r="1595" spans="1:9" ht="15.75" customHeight="1" x14ac:dyDescent="0.35">
      <c r="A1595" s="26" t="s">
        <v>3452</v>
      </c>
      <c r="B1595" s="25" t="s">
        <v>207</v>
      </c>
      <c r="C1595" s="6" t="s">
        <v>11372</v>
      </c>
      <c r="D1595" s="13">
        <v>620.38599999999997</v>
      </c>
      <c r="E1595" s="18">
        <v>21</v>
      </c>
      <c r="F1595" s="2">
        <f t="shared" si="48"/>
        <v>750.66705999999999</v>
      </c>
      <c r="G1595" s="3">
        <v>0</v>
      </c>
      <c r="H1595" s="4">
        <v>0.7</v>
      </c>
      <c r="I1595" s="28">
        <f t="shared" si="49"/>
        <v>1276.134002</v>
      </c>
    </row>
    <row r="1596" spans="1:9" ht="15.75" customHeight="1" x14ac:dyDescent="0.35">
      <c r="A1596" s="26" t="s">
        <v>3453</v>
      </c>
      <c r="B1596" s="25" t="s">
        <v>11759</v>
      </c>
      <c r="C1596" s="6" t="s">
        <v>11373</v>
      </c>
      <c r="D1596" s="13">
        <v>620.38599999999997</v>
      </c>
      <c r="E1596" s="18">
        <v>21</v>
      </c>
      <c r="F1596" s="2">
        <f t="shared" si="48"/>
        <v>750.66705999999999</v>
      </c>
      <c r="G1596" s="3">
        <v>0</v>
      </c>
      <c r="H1596" s="4">
        <v>0.7</v>
      </c>
      <c r="I1596" s="28">
        <f t="shared" si="49"/>
        <v>1276.134002</v>
      </c>
    </row>
    <row r="1597" spans="1:9" ht="15.75" customHeight="1" x14ac:dyDescent="0.35">
      <c r="A1597" s="26" t="s">
        <v>13037</v>
      </c>
      <c r="B1597" s="25" t="s">
        <v>208</v>
      </c>
      <c r="C1597" s="6" t="s">
        <v>13038</v>
      </c>
      <c r="D1597" s="13">
        <v>620.38599999999997</v>
      </c>
      <c r="E1597" s="18">
        <v>21</v>
      </c>
      <c r="F1597" s="2">
        <f t="shared" si="48"/>
        <v>750.66705999999999</v>
      </c>
      <c r="G1597" s="3">
        <v>0</v>
      </c>
      <c r="H1597" s="4">
        <v>0.7</v>
      </c>
      <c r="I1597" s="28">
        <f t="shared" si="49"/>
        <v>1276.134002</v>
      </c>
    </row>
    <row r="1598" spans="1:9" ht="15.75" customHeight="1" x14ac:dyDescent="0.35">
      <c r="A1598" s="26" t="s">
        <v>10943</v>
      </c>
      <c r="B1598" s="25" t="s">
        <v>209</v>
      </c>
      <c r="C1598" s="6" t="s">
        <v>10944</v>
      </c>
      <c r="D1598" s="13">
        <v>13457.1255</v>
      </c>
      <c r="E1598" s="18">
        <v>21</v>
      </c>
      <c r="F1598" s="2">
        <f t="shared" si="48"/>
        <v>16283.121854999999</v>
      </c>
      <c r="G1598" s="3">
        <v>0</v>
      </c>
      <c r="H1598" s="4">
        <v>0.7</v>
      </c>
      <c r="I1598" s="28">
        <f t="shared" si="49"/>
        <v>27681.307153499998</v>
      </c>
    </row>
    <row r="1599" spans="1:9" ht="15.75" customHeight="1" x14ac:dyDescent="0.35">
      <c r="A1599" s="26" t="s">
        <v>10945</v>
      </c>
      <c r="B1599" s="25" t="s">
        <v>210</v>
      </c>
      <c r="C1599" s="6" t="s">
        <v>11899</v>
      </c>
      <c r="D1599" s="13">
        <v>6325.2735000000002</v>
      </c>
      <c r="E1599" s="18">
        <v>21</v>
      </c>
      <c r="F1599" s="2">
        <f t="shared" si="48"/>
        <v>7653.580935</v>
      </c>
      <c r="G1599" s="3">
        <v>0</v>
      </c>
      <c r="H1599" s="4">
        <v>0.7</v>
      </c>
      <c r="I1599" s="28">
        <f t="shared" si="49"/>
        <v>13011.087589499999</v>
      </c>
    </row>
    <row r="1600" spans="1:9" ht="15.75" customHeight="1" x14ac:dyDescent="0.35">
      <c r="A1600" s="26" t="s">
        <v>10946</v>
      </c>
      <c r="B1600" s="25" t="s">
        <v>11665</v>
      </c>
      <c r="C1600" s="6" t="s">
        <v>10947</v>
      </c>
      <c r="D1600" s="13">
        <v>11875.807124999999</v>
      </c>
      <c r="E1600" s="18">
        <v>21</v>
      </c>
      <c r="F1600" s="2">
        <f t="shared" si="48"/>
        <v>14369.72662125</v>
      </c>
      <c r="G1600" s="3">
        <v>0</v>
      </c>
      <c r="H1600" s="4">
        <v>0.7</v>
      </c>
      <c r="I1600" s="28">
        <f t="shared" si="49"/>
        <v>24428.535256125</v>
      </c>
    </row>
    <row r="1601" spans="1:9" ht="15.75" customHeight="1" x14ac:dyDescent="0.35">
      <c r="A1601" s="26" t="s">
        <v>11949</v>
      </c>
      <c r="B1601" s="25" t="s">
        <v>13329</v>
      </c>
      <c r="C1601" s="6" t="s">
        <v>11950</v>
      </c>
      <c r="D1601" s="13">
        <v>11302.711875000001</v>
      </c>
      <c r="E1601" s="18">
        <v>21</v>
      </c>
      <c r="F1601" s="2">
        <f t="shared" si="48"/>
        <v>13676.281368750002</v>
      </c>
      <c r="G1601" s="3">
        <v>0</v>
      </c>
      <c r="H1601" s="4">
        <v>0.7</v>
      </c>
      <c r="I1601" s="28">
        <f t="shared" si="49"/>
        <v>23249.678326875004</v>
      </c>
    </row>
    <row r="1602" spans="1:9" ht="15.75" customHeight="1" x14ac:dyDescent="0.35">
      <c r="A1602" s="26" t="s">
        <v>11951</v>
      </c>
      <c r="B1602" s="25" t="s">
        <v>13330</v>
      </c>
      <c r="C1602" s="6" t="s">
        <v>11952</v>
      </c>
      <c r="D1602" s="13">
        <v>16184.634375</v>
      </c>
      <c r="E1602" s="18">
        <v>21</v>
      </c>
      <c r="F1602" s="2">
        <f t="shared" si="48"/>
        <v>19583.407593749998</v>
      </c>
      <c r="G1602" s="3">
        <v>0</v>
      </c>
      <c r="H1602" s="4">
        <v>0.7</v>
      </c>
      <c r="I1602" s="28">
        <f t="shared" si="49"/>
        <v>33291.792909374999</v>
      </c>
    </row>
    <row r="1603" spans="1:9" ht="15.75" customHeight="1" x14ac:dyDescent="0.35">
      <c r="A1603" s="26" t="s">
        <v>13677</v>
      </c>
      <c r="B1603" s="25" t="s">
        <v>13331</v>
      </c>
      <c r="C1603" s="6" t="s">
        <v>13678</v>
      </c>
      <c r="D1603" s="13">
        <v>13308.545250000001</v>
      </c>
      <c r="E1603" s="18">
        <v>21</v>
      </c>
      <c r="F1603" s="2">
        <f t="shared" si="48"/>
        <v>16103.3397525</v>
      </c>
      <c r="G1603" s="3">
        <v>0</v>
      </c>
      <c r="H1603" s="4">
        <v>0.7</v>
      </c>
      <c r="I1603" s="28">
        <f t="shared" si="49"/>
        <v>27375.677579250001</v>
      </c>
    </row>
    <row r="1604" spans="1:9" ht="15.75" customHeight="1" x14ac:dyDescent="0.35">
      <c r="A1604" s="26" t="s">
        <v>10948</v>
      </c>
      <c r="B1604" s="25" t="s">
        <v>13332</v>
      </c>
      <c r="C1604" s="6" t="s">
        <v>10949</v>
      </c>
      <c r="D1604" s="13">
        <v>32241.914249999998</v>
      </c>
      <c r="E1604" s="18">
        <v>21</v>
      </c>
      <c r="F1604" s="2">
        <f t="shared" si="48"/>
        <v>39012.716242499999</v>
      </c>
      <c r="G1604" s="3">
        <v>0</v>
      </c>
      <c r="H1604" s="4">
        <v>0.7</v>
      </c>
      <c r="I1604" s="28">
        <f t="shared" si="49"/>
        <v>66321.617612249989</v>
      </c>
    </row>
    <row r="1605" spans="1:9" ht="15.75" customHeight="1" x14ac:dyDescent="0.35">
      <c r="A1605" s="26" t="s">
        <v>2938</v>
      </c>
      <c r="B1605" s="25" t="s">
        <v>211</v>
      </c>
      <c r="C1605" s="6" t="s">
        <v>881</v>
      </c>
      <c r="D1605" s="13">
        <v>97794.647261999999</v>
      </c>
      <c r="E1605" s="18">
        <v>21</v>
      </c>
      <c r="F1605" s="2">
        <f t="shared" si="48"/>
        <v>118331.52318702001</v>
      </c>
      <c r="G1605" s="3">
        <v>0</v>
      </c>
      <c r="H1605" s="4">
        <v>0.7</v>
      </c>
      <c r="I1605" s="28">
        <f t="shared" si="49"/>
        <v>201163.58941793401</v>
      </c>
    </row>
    <row r="1606" spans="1:9" ht="15.75" customHeight="1" x14ac:dyDescent="0.35">
      <c r="A1606" s="26" t="s">
        <v>2939</v>
      </c>
      <c r="B1606" s="25" t="s">
        <v>212</v>
      </c>
      <c r="C1606" s="6" t="s">
        <v>882</v>
      </c>
      <c r="D1606" s="13">
        <v>172112.03825400001</v>
      </c>
      <c r="E1606" s="18">
        <v>21</v>
      </c>
      <c r="F1606" s="2">
        <f t="shared" ref="F1606:F1669" si="50">D1606*E1606/100+D1606</f>
        <v>208255.56628734001</v>
      </c>
      <c r="G1606" s="3">
        <v>0</v>
      </c>
      <c r="H1606" s="4">
        <v>0.7</v>
      </c>
      <c r="I1606" s="28">
        <f t="shared" ref="I1606:I1669" si="51">IF(G1606=-1,0,F1606*((100-G1606)/100)*(1+H1606))</f>
        <v>354034.462688478</v>
      </c>
    </row>
    <row r="1607" spans="1:9" ht="15.75" customHeight="1" x14ac:dyDescent="0.35">
      <c r="A1607" s="26" t="s">
        <v>2940</v>
      </c>
      <c r="B1607" s="25" t="s">
        <v>9227</v>
      </c>
      <c r="C1607" s="6" t="s">
        <v>10605</v>
      </c>
      <c r="D1607" s="13">
        <v>36644.574082057501</v>
      </c>
      <c r="E1607" s="18">
        <v>21</v>
      </c>
      <c r="F1607" s="2">
        <f t="shared" si="50"/>
        <v>44339.934639289575</v>
      </c>
      <c r="G1607" s="3">
        <v>0</v>
      </c>
      <c r="H1607" s="4">
        <v>0.7</v>
      </c>
      <c r="I1607" s="28">
        <f t="shared" si="51"/>
        <v>75377.88888679228</v>
      </c>
    </row>
    <row r="1608" spans="1:9" ht="15.75" customHeight="1" x14ac:dyDescent="0.35">
      <c r="A1608" s="26" t="s">
        <v>10950</v>
      </c>
      <c r="B1608" s="25" t="s">
        <v>9228</v>
      </c>
      <c r="C1608" s="6" t="s">
        <v>10951</v>
      </c>
      <c r="D1608" s="13">
        <v>48543.290249999998</v>
      </c>
      <c r="E1608" s="18">
        <v>21</v>
      </c>
      <c r="F1608" s="2">
        <f t="shared" si="50"/>
        <v>58737.381202500001</v>
      </c>
      <c r="G1608" s="3">
        <v>0</v>
      </c>
      <c r="H1608" s="4">
        <v>0.7</v>
      </c>
      <c r="I1608" s="28">
        <f t="shared" si="51"/>
        <v>99853.548044249997</v>
      </c>
    </row>
    <row r="1609" spans="1:9" ht="15.75" customHeight="1" x14ac:dyDescent="0.35">
      <c r="A1609" s="26" t="s">
        <v>2941</v>
      </c>
      <c r="B1609" s="25" t="s">
        <v>213</v>
      </c>
      <c r="C1609" s="6" t="s">
        <v>883</v>
      </c>
      <c r="D1609" s="13">
        <v>255656.80857599998</v>
      </c>
      <c r="E1609" s="18">
        <v>21</v>
      </c>
      <c r="F1609" s="2">
        <f t="shared" si="50"/>
        <v>309344.73837695998</v>
      </c>
      <c r="G1609" s="3">
        <v>0</v>
      </c>
      <c r="H1609" s="4">
        <v>0.7</v>
      </c>
      <c r="I1609" s="28">
        <f t="shared" si="51"/>
        <v>525886.05524083192</v>
      </c>
    </row>
    <row r="1610" spans="1:9" ht="15.75" customHeight="1" x14ac:dyDescent="0.35">
      <c r="A1610" s="26" t="s">
        <v>12801</v>
      </c>
      <c r="B1610" s="25" t="s">
        <v>12689</v>
      </c>
      <c r="C1610" s="6" t="s">
        <v>12802</v>
      </c>
      <c r="D1610" s="13">
        <v>116295.88424999999</v>
      </c>
      <c r="E1610" s="18">
        <v>21</v>
      </c>
      <c r="F1610" s="2">
        <f t="shared" si="50"/>
        <v>140718.01994249999</v>
      </c>
      <c r="G1610" s="3">
        <v>0</v>
      </c>
      <c r="H1610" s="4">
        <v>0.7</v>
      </c>
      <c r="I1610" s="28">
        <f t="shared" si="51"/>
        <v>239220.63390224997</v>
      </c>
    </row>
    <row r="1611" spans="1:9" ht="15.75" customHeight="1" x14ac:dyDescent="0.35">
      <c r="A1611" s="26" t="s">
        <v>12803</v>
      </c>
      <c r="B1611" s="25" t="s">
        <v>10825</v>
      </c>
      <c r="C1611" s="6" t="s">
        <v>12804</v>
      </c>
      <c r="D1611" s="13">
        <v>164478.33674999999</v>
      </c>
      <c r="E1611" s="18">
        <v>21</v>
      </c>
      <c r="F1611" s="2">
        <f t="shared" si="50"/>
        <v>199018.78746749999</v>
      </c>
      <c r="G1611" s="3">
        <v>0</v>
      </c>
      <c r="H1611" s="4">
        <v>0.7</v>
      </c>
      <c r="I1611" s="28">
        <f t="shared" si="51"/>
        <v>338331.93869474996</v>
      </c>
    </row>
    <row r="1612" spans="1:9" ht="15.75" customHeight="1" x14ac:dyDescent="0.35">
      <c r="A1612" s="26" t="s">
        <v>11867</v>
      </c>
      <c r="B1612" s="25" t="s">
        <v>12690</v>
      </c>
      <c r="C1612" s="6" t="s">
        <v>11868</v>
      </c>
      <c r="D1612" s="13">
        <v>192761.648625</v>
      </c>
      <c r="E1612" s="18">
        <v>21</v>
      </c>
      <c r="F1612" s="2">
        <f t="shared" si="50"/>
        <v>233241.59483625001</v>
      </c>
      <c r="G1612" s="3">
        <v>0</v>
      </c>
      <c r="H1612" s="4">
        <v>0.7</v>
      </c>
      <c r="I1612" s="28">
        <f t="shared" si="51"/>
        <v>396510.71122162498</v>
      </c>
    </row>
    <row r="1613" spans="1:9" ht="15.75" customHeight="1" x14ac:dyDescent="0.35">
      <c r="A1613" s="26" t="s">
        <v>11953</v>
      </c>
      <c r="B1613" s="25" t="s">
        <v>10826</v>
      </c>
      <c r="C1613" s="6" t="s">
        <v>11954</v>
      </c>
      <c r="D1613" s="13">
        <v>180535.616625</v>
      </c>
      <c r="E1613" s="18">
        <v>21</v>
      </c>
      <c r="F1613" s="2">
        <f t="shared" si="50"/>
        <v>218448.09611625</v>
      </c>
      <c r="G1613" s="3">
        <v>0</v>
      </c>
      <c r="H1613" s="4">
        <v>0.7</v>
      </c>
      <c r="I1613" s="28">
        <f t="shared" si="51"/>
        <v>371361.76339762501</v>
      </c>
    </row>
    <row r="1614" spans="1:9" ht="15.75" customHeight="1" x14ac:dyDescent="0.35">
      <c r="A1614" s="26" t="s">
        <v>10024</v>
      </c>
      <c r="B1614" s="25" t="s">
        <v>12691</v>
      </c>
      <c r="C1614" s="6" t="s">
        <v>10025</v>
      </c>
      <c r="D1614" s="13">
        <v>178051.04434260001</v>
      </c>
      <c r="E1614" s="18">
        <v>21</v>
      </c>
      <c r="F1614" s="2">
        <f t="shared" si="50"/>
        <v>215441.763654546</v>
      </c>
      <c r="G1614" s="3">
        <v>0</v>
      </c>
      <c r="H1614" s="4">
        <v>0.7</v>
      </c>
      <c r="I1614" s="28">
        <f t="shared" si="51"/>
        <v>366250.99821272818</v>
      </c>
    </row>
    <row r="1615" spans="1:9" ht="15.75" customHeight="1" x14ac:dyDescent="0.35">
      <c r="A1615" s="26" t="s">
        <v>2895</v>
      </c>
      <c r="B1615" s="25" t="s">
        <v>10827</v>
      </c>
      <c r="C1615" s="6" t="s">
        <v>884</v>
      </c>
      <c r="D1615" s="13">
        <v>141945.90532200001</v>
      </c>
      <c r="E1615" s="18">
        <v>21</v>
      </c>
      <c r="F1615" s="2">
        <f t="shared" si="50"/>
        <v>171754.54543962001</v>
      </c>
      <c r="G1615" s="3">
        <v>0</v>
      </c>
      <c r="H1615" s="4">
        <v>0.7</v>
      </c>
      <c r="I1615" s="28">
        <f t="shared" si="51"/>
        <v>291982.72724735399</v>
      </c>
    </row>
    <row r="1616" spans="1:9" ht="15.75" customHeight="1" x14ac:dyDescent="0.35">
      <c r="A1616" s="26" t="s">
        <v>2914</v>
      </c>
      <c r="B1616" s="25" t="s">
        <v>12692</v>
      </c>
      <c r="C1616" s="6" t="s">
        <v>1152</v>
      </c>
      <c r="D1616" s="13">
        <v>141945.90532200001</v>
      </c>
      <c r="E1616" s="18">
        <v>21</v>
      </c>
      <c r="F1616" s="2">
        <f t="shared" si="50"/>
        <v>171754.54543962001</v>
      </c>
      <c r="G1616" s="3">
        <v>0</v>
      </c>
      <c r="H1616" s="4">
        <v>0.7</v>
      </c>
      <c r="I1616" s="28">
        <f t="shared" si="51"/>
        <v>291982.72724735399</v>
      </c>
    </row>
    <row r="1617" spans="1:9" ht="15.75" customHeight="1" x14ac:dyDescent="0.35">
      <c r="A1617" s="26" t="s">
        <v>2921</v>
      </c>
      <c r="B1617" s="25" t="s">
        <v>10828</v>
      </c>
      <c r="C1617" s="6" t="s">
        <v>885</v>
      </c>
      <c r="D1617" s="13">
        <v>141906.97123199998</v>
      </c>
      <c r="E1617" s="18">
        <v>21</v>
      </c>
      <c r="F1617" s="2">
        <f t="shared" si="50"/>
        <v>171707.43519071999</v>
      </c>
      <c r="G1617" s="3">
        <v>0</v>
      </c>
      <c r="H1617" s="4">
        <v>0.7</v>
      </c>
      <c r="I1617" s="28">
        <f t="shared" si="51"/>
        <v>291902.639824224</v>
      </c>
    </row>
    <row r="1618" spans="1:9" ht="15.75" customHeight="1" x14ac:dyDescent="0.35">
      <c r="A1618" s="26" t="s">
        <v>12835</v>
      </c>
      <c r="B1618" s="25" t="s">
        <v>12693</v>
      </c>
      <c r="C1618" s="6" t="s">
        <v>12890</v>
      </c>
      <c r="D1618" s="13">
        <v>500970.15150000004</v>
      </c>
      <c r="E1618" s="18">
        <v>21</v>
      </c>
      <c r="F1618" s="2">
        <f t="shared" si="50"/>
        <v>606173.88331499998</v>
      </c>
      <c r="G1618" s="3">
        <v>0</v>
      </c>
      <c r="H1618" s="4">
        <v>0.7</v>
      </c>
      <c r="I1618" s="28">
        <f t="shared" si="51"/>
        <v>1030495.6016355</v>
      </c>
    </row>
    <row r="1619" spans="1:9" ht="15.75" customHeight="1" x14ac:dyDescent="0.35">
      <c r="A1619" s="26" t="s">
        <v>2933</v>
      </c>
      <c r="B1619" s="25" t="s">
        <v>10829</v>
      </c>
      <c r="C1619" s="6" t="s">
        <v>10606</v>
      </c>
      <c r="D1619" s="13">
        <v>15708.46042766</v>
      </c>
      <c r="E1619" s="18">
        <v>21</v>
      </c>
      <c r="F1619" s="2">
        <f t="shared" si="50"/>
        <v>19007.237117468601</v>
      </c>
      <c r="G1619" s="3">
        <v>0</v>
      </c>
      <c r="H1619" s="4">
        <v>0.7</v>
      </c>
      <c r="I1619" s="28">
        <f t="shared" si="51"/>
        <v>32312.303099696623</v>
      </c>
    </row>
    <row r="1620" spans="1:9" ht="15.75" customHeight="1" x14ac:dyDescent="0.35">
      <c r="A1620" s="26" t="s">
        <v>9951</v>
      </c>
      <c r="B1620" s="25" t="s">
        <v>12694</v>
      </c>
      <c r="C1620" s="6" t="s">
        <v>9952</v>
      </c>
      <c r="D1620" s="13">
        <v>17799.368145</v>
      </c>
      <c r="E1620" s="18">
        <v>21</v>
      </c>
      <c r="F1620" s="2">
        <f t="shared" si="50"/>
        <v>21537.235455450002</v>
      </c>
      <c r="G1620" s="3">
        <v>0</v>
      </c>
      <c r="H1620" s="4">
        <v>0.7</v>
      </c>
      <c r="I1620" s="28">
        <f t="shared" si="51"/>
        <v>36613.300274264999</v>
      </c>
    </row>
    <row r="1621" spans="1:9" ht="15.75" customHeight="1" x14ac:dyDescent="0.35">
      <c r="A1621" s="26" t="s">
        <v>10264</v>
      </c>
      <c r="B1621" s="25" t="s">
        <v>10830</v>
      </c>
      <c r="C1621" s="6" t="s">
        <v>10265</v>
      </c>
      <c r="D1621" s="13">
        <v>21448.620374999999</v>
      </c>
      <c r="E1621" s="18">
        <v>21</v>
      </c>
      <c r="F1621" s="2">
        <f t="shared" si="50"/>
        <v>25952.830653749999</v>
      </c>
      <c r="G1621" s="3">
        <v>0</v>
      </c>
      <c r="H1621" s="4">
        <v>0.7</v>
      </c>
      <c r="I1621" s="28">
        <f t="shared" si="51"/>
        <v>44119.812111374995</v>
      </c>
    </row>
    <row r="1622" spans="1:9" ht="15.75" customHeight="1" x14ac:dyDescent="0.35">
      <c r="A1622" s="26" t="s">
        <v>2915</v>
      </c>
      <c r="B1622" s="25" t="s">
        <v>12695</v>
      </c>
      <c r="C1622" s="6" t="s">
        <v>10607</v>
      </c>
      <c r="D1622" s="13">
        <v>15708.46042766</v>
      </c>
      <c r="E1622" s="18">
        <v>21</v>
      </c>
      <c r="F1622" s="2">
        <f t="shared" si="50"/>
        <v>19007.237117468601</v>
      </c>
      <c r="G1622" s="3">
        <v>0</v>
      </c>
      <c r="H1622" s="4">
        <v>0.7</v>
      </c>
      <c r="I1622" s="28">
        <f t="shared" si="51"/>
        <v>32312.303099696623</v>
      </c>
    </row>
    <row r="1623" spans="1:9" ht="15.75" customHeight="1" x14ac:dyDescent="0.35">
      <c r="A1623" s="26" t="s">
        <v>11493</v>
      </c>
      <c r="B1623" s="25" t="s">
        <v>10831</v>
      </c>
      <c r="C1623" s="6" t="s">
        <v>11494</v>
      </c>
      <c r="D1623" s="13">
        <v>21448.620374999999</v>
      </c>
      <c r="E1623" s="18">
        <v>21</v>
      </c>
      <c r="F1623" s="2">
        <f t="shared" si="50"/>
        <v>25952.830653749999</v>
      </c>
      <c r="G1623" s="3">
        <v>0</v>
      </c>
      <c r="H1623" s="4">
        <v>0.7</v>
      </c>
      <c r="I1623" s="28">
        <f t="shared" si="51"/>
        <v>44119.812111374995</v>
      </c>
    </row>
    <row r="1624" spans="1:9" ht="15.75" customHeight="1" x14ac:dyDescent="0.35">
      <c r="A1624" s="26" t="s">
        <v>13547</v>
      </c>
      <c r="B1624" s="25" t="s">
        <v>1066</v>
      </c>
      <c r="C1624" s="6" t="s">
        <v>13548</v>
      </c>
      <c r="D1624" s="13">
        <v>21448.620374999999</v>
      </c>
      <c r="E1624" s="18">
        <v>21</v>
      </c>
      <c r="F1624" s="2">
        <f t="shared" si="50"/>
        <v>25952.830653749999</v>
      </c>
      <c r="G1624" s="3">
        <v>0</v>
      </c>
      <c r="H1624" s="4">
        <v>0.7</v>
      </c>
      <c r="I1624" s="28">
        <f t="shared" si="51"/>
        <v>44119.812111374995</v>
      </c>
    </row>
    <row r="1625" spans="1:9" ht="15.75" customHeight="1" x14ac:dyDescent="0.35">
      <c r="A1625" s="26" t="s">
        <v>2897</v>
      </c>
      <c r="B1625" s="25" t="s">
        <v>8986</v>
      </c>
      <c r="C1625" s="6" t="s">
        <v>886</v>
      </c>
      <c r="D1625" s="13">
        <v>226113.62108400001</v>
      </c>
      <c r="E1625" s="18">
        <v>21</v>
      </c>
      <c r="F1625" s="2">
        <f t="shared" si="50"/>
        <v>273597.48151164001</v>
      </c>
      <c r="G1625" s="3">
        <v>0</v>
      </c>
      <c r="H1625" s="4">
        <v>0.7</v>
      </c>
      <c r="I1625" s="28">
        <f t="shared" si="51"/>
        <v>465115.71856978803</v>
      </c>
    </row>
    <row r="1626" spans="1:9" ht="15.75" customHeight="1" x14ac:dyDescent="0.35">
      <c r="A1626" s="26" t="s">
        <v>9339</v>
      </c>
      <c r="B1626" s="25" t="s">
        <v>8987</v>
      </c>
      <c r="C1626" s="6" t="s">
        <v>9340</v>
      </c>
      <c r="D1626" s="13">
        <v>227250.49651200001</v>
      </c>
      <c r="E1626" s="18">
        <v>21</v>
      </c>
      <c r="F1626" s="2">
        <f t="shared" si="50"/>
        <v>274973.10077952</v>
      </c>
      <c r="G1626" s="3">
        <v>0</v>
      </c>
      <c r="H1626" s="4">
        <v>0.7</v>
      </c>
      <c r="I1626" s="28">
        <f t="shared" si="51"/>
        <v>467454.27132518397</v>
      </c>
    </row>
    <row r="1627" spans="1:9" ht="15.75" customHeight="1" x14ac:dyDescent="0.35">
      <c r="A1627" s="26" t="s">
        <v>2923</v>
      </c>
      <c r="B1627" s="25" t="s">
        <v>1190</v>
      </c>
      <c r="C1627" s="6" t="s">
        <v>887</v>
      </c>
      <c r="D1627" s="13">
        <v>226051.32654000001</v>
      </c>
      <c r="E1627" s="18">
        <v>21</v>
      </c>
      <c r="F1627" s="2">
        <f t="shared" si="50"/>
        <v>273522.10511340003</v>
      </c>
      <c r="G1627" s="3">
        <v>0</v>
      </c>
      <c r="H1627" s="4">
        <v>0.7</v>
      </c>
      <c r="I1627" s="28">
        <f t="shared" si="51"/>
        <v>464987.57869278005</v>
      </c>
    </row>
    <row r="1628" spans="1:9" ht="15.75" customHeight="1" x14ac:dyDescent="0.35">
      <c r="A1628" s="26" t="s">
        <v>2898</v>
      </c>
      <c r="B1628" s="25" t="s">
        <v>214</v>
      </c>
      <c r="C1628" s="6" t="s">
        <v>888</v>
      </c>
      <c r="D1628" s="13">
        <v>289724.13732600003</v>
      </c>
      <c r="E1628" s="18">
        <v>21</v>
      </c>
      <c r="F1628" s="2">
        <f t="shared" si="50"/>
        <v>350566.20616446005</v>
      </c>
      <c r="G1628" s="3">
        <v>0</v>
      </c>
      <c r="H1628" s="4">
        <v>0.7</v>
      </c>
      <c r="I1628" s="28">
        <f t="shared" si="51"/>
        <v>595962.55047958205</v>
      </c>
    </row>
    <row r="1629" spans="1:9" ht="15.75" customHeight="1" x14ac:dyDescent="0.35">
      <c r="A1629" s="26" t="s">
        <v>12643</v>
      </c>
      <c r="B1629" s="25" t="s">
        <v>1186</v>
      </c>
      <c r="C1629" s="6" t="s">
        <v>12644</v>
      </c>
      <c r="D1629" s="13">
        <v>289724.13732600003</v>
      </c>
      <c r="E1629" s="18">
        <v>21</v>
      </c>
      <c r="F1629" s="2">
        <f t="shared" si="50"/>
        <v>350566.20616446005</v>
      </c>
      <c r="G1629" s="3">
        <v>0</v>
      </c>
      <c r="H1629" s="4">
        <v>0.7</v>
      </c>
      <c r="I1629" s="28">
        <f t="shared" si="51"/>
        <v>595962.55047958205</v>
      </c>
    </row>
    <row r="1630" spans="1:9" ht="15.75" customHeight="1" x14ac:dyDescent="0.35">
      <c r="A1630" s="26" t="s">
        <v>2924</v>
      </c>
      <c r="B1630" s="25" t="s">
        <v>10595</v>
      </c>
      <c r="C1630" s="6" t="s">
        <v>889</v>
      </c>
      <c r="D1630" s="13">
        <v>289724.13732600003</v>
      </c>
      <c r="E1630" s="18">
        <v>21</v>
      </c>
      <c r="F1630" s="2">
        <f t="shared" si="50"/>
        <v>350566.20616446005</v>
      </c>
      <c r="G1630" s="3">
        <v>0</v>
      </c>
      <c r="H1630" s="4">
        <v>0.7</v>
      </c>
      <c r="I1630" s="28">
        <f t="shared" si="51"/>
        <v>595962.55047958205</v>
      </c>
    </row>
    <row r="1631" spans="1:9" ht="15.75" customHeight="1" x14ac:dyDescent="0.35">
      <c r="A1631" s="26" t="s">
        <v>12874</v>
      </c>
      <c r="B1631" s="25" t="s">
        <v>10730</v>
      </c>
      <c r="C1631" s="6" t="s">
        <v>12891</v>
      </c>
      <c r="D1631" s="13">
        <v>747793.78537499998</v>
      </c>
      <c r="E1631" s="18">
        <v>21</v>
      </c>
      <c r="F1631" s="2">
        <f t="shared" si="50"/>
        <v>904830.48030374991</v>
      </c>
      <c r="G1631" s="3">
        <v>0</v>
      </c>
      <c r="H1631" s="4">
        <v>0.7</v>
      </c>
      <c r="I1631" s="28">
        <f t="shared" si="51"/>
        <v>1538211.8165163747</v>
      </c>
    </row>
    <row r="1632" spans="1:9" ht="15.75" customHeight="1" x14ac:dyDescent="0.35">
      <c r="A1632" s="26" t="s">
        <v>2899</v>
      </c>
      <c r="B1632" s="25" t="s">
        <v>10596</v>
      </c>
      <c r="C1632" s="6" t="s">
        <v>10609</v>
      </c>
      <c r="D1632" s="13">
        <v>17939.775829316248</v>
      </c>
      <c r="E1632" s="18">
        <v>21</v>
      </c>
      <c r="F1632" s="2">
        <f t="shared" si="50"/>
        <v>21707.128753472658</v>
      </c>
      <c r="G1632" s="3">
        <v>0</v>
      </c>
      <c r="H1632" s="4">
        <v>0.7</v>
      </c>
      <c r="I1632" s="28">
        <f t="shared" si="51"/>
        <v>36902.118880903516</v>
      </c>
    </row>
    <row r="1633" spans="1:9" ht="15.75" customHeight="1" x14ac:dyDescent="0.35">
      <c r="A1633" s="26" t="s">
        <v>10266</v>
      </c>
      <c r="B1633" s="25" t="s">
        <v>12088</v>
      </c>
      <c r="C1633" s="6" t="s">
        <v>10267</v>
      </c>
      <c r="D1633" s="13">
        <v>23496.90525</v>
      </c>
      <c r="E1633" s="18">
        <v>21</v>
      </c>
      <c r="F1633" s="2">
        <f t="shared" si="50"/>
        <v>28431.2553525</v>
      </c>
      <c r="G1633" s="3">
        <v>0</v>
      </c>
      <c r="H1633" s="4">
        <v>0.7</v>
      </c>
      <c r="I1633" s="28">
        <f t="shared" si="51"/>
        <v>48333.134099249997</v>
      </c>
    </row>
    <row r="1634" spans="1:9" ht="15.75" customHeight="1" x14ac:dyDescent="0.35">
      <c r="A1634" s="26" t="s">
        <v>2916</v>
      </c>
      <c r="B1634" s="25" t="s">
        <v>10597</v>
      </c>
      <c r="C1634" s="6" t="s">
        <v>10610</v>
      </c>
      <c r="D1634" s="13">
        <v>17939.775829316248</v>
      </c>
      <c r="E1634" s="18">
        <v>21</v>
      </c>
      <c r="F1634" s="2">
        <f t="shared" si="50"/>
        <v>21707.128753472658</v>
      </c>
      <c r="G1634" s="3">
        <v>0</v>
      </c>
      <c r="H1634" s="4">
        <v>0.7</v>
      </c>
      <c r="I1634" s="28">
        <f t="shared" si="51"/>
        <v>36902.118880903516</v>
      </c>
    </row>
    <row r="1635" spans="1:9" ht="15.75" customHeight="1" x14ac:dyDescent="0.35">
      <c r="A1635" s="26" t="s">
        <v>11267</v>
      </c>
      <c r="B1635" s="25" t="s">
        <v>10598</v>
      </c>
      <c r="C1635" s="6" t="s">
        <v>11268</v>
      </c>
      <c r="D1635" s="13">
        <v>23496.90525</v>
      </c>
      <c r="E1635" s="18">
        <v>21</v>
      </c>
      <c r="F1635" s="2">
        <f t="shared" si="50"/>
        <v>28431.2553525</v>
      </c>
      <c r="G1635" s="3">
        <v>0</v>
      </c>
      <c r="H1635" s="4">
        <v>0.7</v>
      </c>
      <c r="I1635" s="28">
        <f t="shared" si="51"/>
        <v>48333.134099249997</v>
      </c>
    </row>
    <row r="1636" spans="1:9" ht="15.75" customHeight="1" x14ac:dyDescent="0.35">
      <c r="A1636" s="26" t="s">
        <v>2925</v>
      </c>
      <c r="B1636" s="25" t="s">
        <v>215</v>
      </c>
      <c r="C1636" s="6" t="s">
        <v>10611</v>
      </c>
      <c r="D1636" s="13">
        <v>17939.775829316248</v>
      </c>
      <c r="E1636" s="18">
        <v>21</v>
      </c>
      <c r="F1636" s="2">
        <f t="shared" si="50"/>
        <v>21707.128753472658</v>
      </c>
      <c r="G1636" s="3">
        <v>0</v>
      </c>
      <c r="H1636" s="4">
        <v>0.7</v>
      </c>
      <c r="I1636" s="28">
        <f t="shared" si="51"/>
        <v>36902.118880903516</v>
      </c>
    </row>
    <row r="1637" spans="1:9" ht="15.75" customHeight="1" x14ac:dyDescent="0.35">
      <c r="A1637" s="26" t="s">
        <v>13511</v>
      </c>
      <c r="B1637" s="25" t="s">
        <v>9757</v>
      </c>
      <c r="C1637" s="6" t="s">
        <v>13512</v>
      </c>
      <c r="D1637" s="13">
        <v>23496.90525</v>
      </c>
      <c r="E1637" s="18">
        <v>21</v>
      </c>
      <c r="F1637" s="2">
        <f t="shared" si="50"/>
        <v>28431.2553525</v>
      </c>
      <c r="G1637" s="3">
        <v>0</v>
      </c>
      <c r="H1637" s="4">
        <v>0.7</v>
      </c>
      <c r="I1637" s="28">
        <f t="shared" si="51"/>
        <v>48333.134099249997</v>
      </c>
    </row>
    <row r="1638" spans="1:9" ht="15.75" customHeight="1" x14ac:dyDescent="0.35">
      <c r="A1638" s="26" t="s">
        <v>10026</v>
      </c>
      <c r="B1638" s="25" t="s">
        <v>9759</v>
      </c>
      <c r="C1638" s="6" t="s">
        <v>10027</v>
      </c>
      <c r="D1638" s="13">
        <v>733121.12788199994</v>
      </c>
      <c r="E1638" s="18">
        <v>21</v>
      </c>
      <c r="F1638" s="2">
        <f t="shared" si="50"/>
        <v>887076.56473721995</v>
      </c>
      <c r="G1638" s="3">
        <v>0</v>
      </c>
      <c r="H1638" s="4">
        <v>0.7</v>
      </c>
      <c r="I1638" s="28">
        <f t="shared" si="51"/>
        <v>1508030.1600532739</v>
      </c>
    </row>
    <row r="1639" spans="1:9" ht="15.75" customHeight="1" x14ac:dyDescent="0.35">
      <c r="A1639" s="26" t="s">
        <v>2900</v>
      </c>
      <c r="B1639" s="25" t="s">
        <v>13080</v>
      </c>
      <c r="C1639" s="6" t="s">
        <v>890</v>
      </c>
      <c r="D1639" s="13">
        <v>420098.83109999995</v>
      </c>
      <c r="E1639" s="18">
        <v>21</v>
      </c>
      <c r="F1639" s="2">
        <f t="shared" si="50"/>
        <v>508319.58563099994</v>
      </c>
      <c r="G1639" s="3">
        <v>0</v>
      </c>
      <c r="H1639" s="4">
        <v>0.7</v>
      </c>
      <c r="I1639" s="28">
        <f t="shared" si="51"/>
        <v>864143.29557269986</v>
      </c>
    </row>
    <row r="1640" spans="1:9" ht="15.75" customHeight="1" x14ac:dyDescent="0.35">
      <c r="A1640" s="26" t="s">
        <v>2901</v>
      </c>
      <c r="B1640" s="25" t="s">
        <v>13082</v>
      </c>
      <c r="C1640" s="6" t="s">
        <v>10612</v>
      </c>
      <c r="D1640" s="13">
        <v>24072.70559044</v>
      </c>
      <c r="E1640" s="18">
        <v>21</v>
      </c>
      <c r="F1640" s="2">
        <f t="shared" si="50"/>
        <v>29127.973764432401</v>
      </c>
      <c r="G1640" s="3">
        <v>0</v>
      </c>
      <c r="H1640" s="4">
        <v>0.7</v>
      </c>
      <c r="I1640" s="28">
        <f t="shared" si="51"/>
        <v>49517.555399535078</v>
      </c>
    </row>
    <row r="1641" spans="1:9" ht="15.75" customHeight="1" x14ac:dyDescent="0.35">
      <c r="A1641" s="26" t="s">
        <v>10952</v>
      </c>
      <c r="B1641" s="25" t="s">
        <v>10599</v>
      </c>
      <c r="C1641" s="6" t="s">
        <v>11300</v>
      </c>
      <c r="D1641" s="13">
        <v>31594.528874999996</v>
      </c>
      <c r="E1641" s="18">
        <v>21</v>
      </c>
      <c r="F1641" s="2">
        <f t="shared" si="50"/>
        <v>38229.379938749997</v>
      </c>
      <c r="G1641" s="3">
        <v>0</v>
      </c>
      <c r="H1641" s="4">
        <v>0.7</v>
      </c>
      <c r="I1641" s="28">
        <f t="shared" si="51"/>
        <v>64989.945895874989</v>
      </c>
    </row>
    <row r="1642" spans="1:9" ht="15.75" customHeight="1" x14ac:dyDescent="0.35">
      <c r="A1642" s="26" t="s">
        <v>12995</v>
      </c>
      <c r="B1642" s="25" t="s">
        <v>10118</v>
      </c>
      <c r="C1642" s="6" t="s">
        <v>12996</v>
      </c>
      <c r="D1642" s="13">
        <v>31594.528874999996</v>
      </c>
      <c r="E1642" s="18">
        <v>21</v>
      </c>
      <c r="F1642" s="2">
        <f t="shared" si="50"/>
        <v>38229.379938749997</v>
      </c>
      <c r="G1642" s="3">
        <v>0</v>
      </c>
      <c r="H1642" s="4">
        <v>0.7</v>
      </c>
      <c r="I1642" s="28">
        <f t="shared" si="51"/>
        <v>64989.945895874989</v>
      </c>
    </row>
    <row r="1643" spans="1:9" ht="15.75" customHeight="1" x14ac:dyDescent="0.35">
      <c r="A1643" s="26" t="s">
        <v>2926</v>
      </c>
      <c r="B1643" s="25" t="s">
        <v>10600</v>
      </c>
      <c r="C1643" s="6" t="s">
        <v>10613</v>
      </c>
      <c r="D1643" s="13">
        <v>24072.70559044</v>
      </c>
      <c r="E1643" s="18">
        <v>21</v>
      </c>
      <c r="F1643" s="2">
        <f t="shared" si="50"/>
        <v>29127.973764432401</v>
      </c>
      <c r="G1643" s="3">
        <v>0</v>
      </c>
      <c r="H1643" s="4">
        <v>0.7</v>
      </c>
      <c r="I1643" s="28">
        <f t="shared" si="51"/>
        <v>49517.555399535078</v>
      </c>
    </row>
    <row r="1644" spans="1:9" ht="15.75" customHeight="1" x14ac:dyDescent="0.35">
      <c r="A1644" s="26" t="s">
        <v>10268</v>
      </c>
      <c r="B1644" s="25" t="s">
        <v>12090</v>
      </c>
      <c r="C1644" s="6" t="s">
        <v>10269</v>
      </c>
      <c r="D1644" s="13">
        <v>31594.528874999996</v>
      </c>
      <c r="E1644" s="18">
        <v>21</v>
      </c>
      <c r="F1644" s="2">
        <f t="shared" si="50"/>
        <v>38229.379938749997</v>
      </c>
      <c r="G1644" s="3">
        <v>0</v>
      </c>
      <c r="H1644" s="4">
        <v>0.7</v>
      </c>
      <c r="I1644" s="28">
        <f t="shared" si="51"/>
        <v>64989.945895874989</v>
      </c>
    </row>
    <row r="1645" spans="1:9" ht="15.75" customHeight="1" x14ac:dyDescent="0.35">
      <c r="A1645" s="26" t="s">
        <v>2902</v>
      </c>
      <c r="B1645" s="25" t="s">
        <v>10601</v>
      </c>
      <c r="C1645" s="6" t="s">
        <v>1147</v>
      </c>
      <c r="D1645" s="13">
        <v>667680.70941000001</v>
      </c>
      <c r="E1645" s="18">
        <v>21</v>
      </c>
      <c r="F1645" s="2">
        <f t="shared" si="50"/>
        <v>807893.65838609997</v>
      </c>
      <c r="G1645" s="3">
        <v>0</v>
      </c>
      <c r="H1645" s="4">
        <v>0.7</v>
      </c>
      <c r="I1645" s="28">
        <f t="shared" si="51"/>
        <v>1373419.2192563699</v>
      </c>
    </row>
    <row r="1646" spans="1:9" ht="15.75" customHeight="1" x14ac:dyDescent="0.35">
      <c r="A1646" s="26" t="s">
        <v>2917</v>
      </c>
      <c r="B1646" s="25" t="s">
        <v>10602</v>
      </c>
      <c r="C1646" s="6" t="s">
        <v>891</v>
      </c>
      <c r="D1646" s="13">
        <v>667691.72637964669</v>
      </c>
      <c r="E1646" s="18">
        <v>21</v>
      </c>
      <c r="F1646" s="2">
        <f t="shared" si="50"/>
        <v>807906.98891937244</v>
      </c>
      <c r="G1646" s="3">
        <v>0</v>
      </c>
      <c r="H1646" s="4">
        <v>0.7</v>
      </c>
      <c r="I1646" s="28">
        <f t="shared" si="51"/>
        <v>1373441.8811629331</v>
      </c>
    </row>
    <row r="1647" spans="1:9" ht="15.75" customHeight="1" x14ac:dyDescent="0.35">
      <c r="A1647" s="26" t="s">
        <v>2927</v>
      </c>
      <c r="B1647" s="25" t="s">
        <v>1237</v>
      </c>
      <c r="C1647" s="6" t="s">
        <v>892</v>
      </c>
      <c r="D1647" s="13">
        <v>667680.70941000001</v>
      </c>
      <c r="E1647" s="18">
        <v>21</v>
      </c>
      <c r="F1647" s="2">
        <f t="shared" si="50"/>
        <v>807893.65838609997</v>
      </c>
      <c r="G1647" s="3">
        <v>0</v>
      </c>
      <c r="H1647" s="4">
        <v>0.7</v>
      </c>
      <c r="I1647" s="28">
        <f t="shared" si="51"/>
        <v>1373419.2192563699</v>
      </c>
    </row>
    <row r="1648" spans="1:9" ht="15.75" customHeight="1" x14ac:dyDescent="0.35">
      <c r="A1648" s="26" t="s">
        <v>2903</v>
      </c>
      <c r="B1648" s="25" t="s">
        <v>12697</v>
      </c>
      <c r="C1648" s="6" t="s">
        <v>10614</v>
      </c>
      <c r="D1648" s="13">
        <v>38404.125655935</v>
      </c>
      <c r="E1648" s="18">
        <v>21</v>
      </c>
      <c r="F1648" s="2">
        <f t="shared" si="50"/>
        <v>46468.992043681348</v>
      </c>
      <c r="G1648" s="3">
        <v>0</v>
      </c>
      <c r="H1648" s="4">
        <v>0.7</v>
      </c>
      <c r="I1648" s="28">
        <f t="shared" si="51"/>
        <v>78997.28647425829</v>
      </c>
    </row>
    <row r="1649" spans="1:9" ht="15.75" customHeight="1" x14ac:dyDescent="0.35">
      <c r="A1649" s="26" t="s">
        <v>10270</v>
      </c>
      <c r="B1649" s="25" t="s">
        <v>216</v>
      </c>
      <c r="C1649" s="6" t="s">
        <v>10271</v>
      </c>
      <c r="D1649" s="13">
        <v>50442.994875000004</v>
      </c>
      <c r="E1649" s="18">
        <v>21</v>
      </c>
      <c r="F1649" s="2">
        <f t="shared" si="50"/>
        <v>61036.02379875</v>
      </c>
      <c r="G1649" s="3">
        <v>0</v>
      </c>
      <c r="H1649" s="4">
        <v>0.7</v>
      </c>
      <c r="I1649" s="28">
        <f t="shared" si="51"/>
        <v>103761.240457875</v>
      </c>
    </row>
    <row r="1650" spans="1:9" ht="15.75" customHeight="1" x14ac:dyDescent="0.35">
      <c r="A1650" s="26" t="s">
        <v>2928</v>
      </c>
      <c r="B1650" s="25" t="s">
        <v>217</v>
      </c>
      <c r="C1650" s="6" t="s">
        <v>10615</v>
      </c>
      <c r="D1650" s="13">
        <v>38404.125655935</v>
      </c>
      <c r="E1650" s="18">
        <v>21</v>
      </c>
      <c r="F1650" s="2">
        <f t="shared" si="50"/>
        <v>46468.992043681348</v>
      </c>
      <c r="G1650" s="3">
        <v>0</v>
      </c>
      <c r="H1650" s="4">
        <v>0.7</v>
      </c>
      <c r="I1650" s="28">
        <f t="shared" si="51"/>
        <v>78997.28647425829</v>
      </c>
    </row>
    <row r="1651" spans="1:9" ht="15.75" customHeight="1" x14ac:dyDescent="0.35">
      <c r="A1651" s="26" t="s">
        <v>13386</v>
      </c>
      <c r="B1651" s="25" t="s">
        <v>218</v>
      </c>
      <c r="C1651" s="6" t="s">
        <v>13387</v>
      </c>
      <c r="D1651" s="13">
        <v>50442.994875000004</v>
      </c>
      <c r="E1651" s="18">
        <v>21</v>
      </c>
      <c r="F1651" s="2">
        <f t="shared" si="50"/>
        <v>61036.02379875</v>
      </c>
      <c r="G1651" s="3">
        <v>0</v>
      </c>
      <c r="H1651" s="4">
        <v>0.7</v>
      </c>
      <c r="I1651" s="28">
        <f t="shared" si="51"/>
        <v>103761.240457875</v>
      </c>
    </row>
    <row r="1652" spans="1:9" ht="15.75" customHeight="1" x14ac:dyDescent="0.35">
      <c r="A1652" s="26" t="s">
        <v>2904</v>
      </c>
      <c r="B1652" s="25" t="s">
        <v>219</v>
      </c>
      <c r="C1652" s="6" t="s">
        <v>1097</v>
      </c>
      <c r="D1652" s="13">
        <v>806138.12026799994</v>
      </c>
      <c r="E1652" s="18">
        <v>21</v>
      </c>
      <c r="F1652" s="2">
        <f t="shared" si="50"/>
        <v>975427.12552427989</v>
      </c>
      <c r="G1652" s="3">
        <v>0</v>
      </c>
      <c r="H1652" s="4">
        <v>0.7</v>
      </c>
      <c r="I1652" s="28">
        <f t="shared" si="51"/>
        <v>1658226.1133912758</v>
      </c>
    </row>
    <row r="1653" spans="1:9" ht="15.75" customHeight="1" x14ac:dyDescent="0.35">
      <c r="A1653" s="26" t="s">
        <v>2934</v>
      </c>
      <c r="B1653" s="25" t="s">
        <v>220</v>
      </c>
      <c r="C1653" s="6" t="s">
        <v>1098</v>
      </c>
      <c r="D1653" s="13">
        <v>806200.414812</v>
      </c>
      <c r="E1653" s="18">
        <v>21</v>
      </c>
      <c r="F1653" s="2">
        <f t="shared" si="50"/>
        <v>975502.50192251999</v>
      </c>
      <c r="G1653" s="3">
        <v>0</v>
      </c>
      <c r="H1653" s="4">
        <v>0.7</v>
      </c>
      <c r="I1653" s="28">
        <f t="shared" si="51"/>
        <v>1658354.253268284</v>
      </c>
    </row>
    <row r="1654" spans="1:9" ht="15.75" customHeight="1" x14ac:dyDescent="0.35">
      <c r="A1654" s="26" t="s">
        <v>10272</v>
      </c>
      <c r="B1654" s="25" t="s">
        <v>221</v>
      </c>
      <c r="C1654" s="6" t="s">
        <v>10273</v>
      </c>
      <c r="D1654" s="13">
        <v>66500.274749999997</v>
      </c>
      <c r="E1654" s="18">
        <v>21</v>
      </c>
      <c r="F1654" s="2">
        <f t="shared" si="50"/>
        <v>80465.332447499997</v>
      </c>
      <c r="G1654" s="3">
        <v>0</v>
      </c>
      <c r="H1654" s="4">
        <v>0.7</v>
      </c>
      <c r="I1654" s="28">
        <f t="shared" si="51"/>
        <v>136791.06516075</v>
      </c>
    </row>
    <row r="1655" spans="1:9" ht="15.75" customHeight="1" x14ac:dyDescent="0.35">
      <c r="A1655" s="26" t="s">
        <v>2929</v>
      </c>
      <c r="B1655" s="25" t="s">
        <v>222</v>
      </c>
      <c r="C1655" s="6" t="s">
        <v>10616</v>
      </c>
      <c r="D1655" s="13">
        <v>44830.314012704999</v>
      </c>
      <c r="E1655" s="18">
        <v>21</v>
      </c>
      <c r="F1655" s="2">
        <f t="shared" si="50"/>
        <v>54244.679955373053</v>
      </c>
      <c r="G1655" s="3">
        <v>0</v>
      </c>
      <c r="H1655" s="4">
        <v>0.7</v>
      </c>
      <c r="I1655" s="28">
        <f t="shared" si="51"/>
        <v>92215.955924134192</v>
      </c>
    </row>
    <row r="1656" spans="1:9" ht="15.75" customHeight="1" x14ac:dyDescent="0.35">
      <c r="A1656" s="26" t="s">
        <v>2906</v>
      </c>
      <c r="B1656" s="25" t="s">
        <v>223</v>
      </c>
      <c r="C1656" s="6" t="s">
        <v>1148</v>
      </c>
      <c r="D1656" s="13">
        <v>990335.30005800002</v>
      </c>
      <c r="E1656" s="18">
        <v>21</v>
      </c>
      <c r="F1656" s="2">
        <f t="shared" si="50"/>
        <v>1198305.71307018</v>
      </c>
      <c r="G1656" s="3">
        <v>0</v>
      </c>
      <c r="H1656" s="4">
        <v>0.7</v>
      </c>
      <c r="I1656" s="28">
        <f t="shared" si="51"/>
        <v>2037119.712219306</v>
      </c>
    </row>
    <row r="1657" spans="1:9" ht="15.75" customHeight="1" x14ac:dyDescent="0.35">
      <c r="A1657" s="26" t="s">
        <v>2935</v>
      </c>
      <c r="B1657" s="25" t="s">
        <v>224</v>
      </c>
      <c r="C1657" s="6" t="s">
        <v>893</v>
      </c>
      <c r="D1657" s="13">
        <v>31661.201987999997</v>
      </c>
      <c r="E1657" s="18">
        <v>21</v>
      </c>
      <c r="F1657" s="2">
        <f t="shared" si="50"/>
        <v>38310.054405479998</v>
      </c>
      <c r="G1657" s="3">
        <v>0</v>
      </c>
      <c r="H1657" s="4">
        <v>0.7</v>
      </c>
      <c r="I1657" s="28">
        <f t="shared" si="51"/>
        <v>65127.092489315997</v>
      </c>
    </row>
    <row r="1658" spans="1:9" ht="15.75" customHeight="1" x14ac:dyDescent="0.35">
      <c r="A1658" s="26" t="s">
        <v>2907</v>
      </c>
      <c r="B1658" s="25" t="s">
        <v>225</v>
      </c>
      <c r="C1658" s="6" t="s">
        <v>894</v>
      </c>
      <c r="D1658" s="13">
        <v>31661.201987999997</v>
      </c>
      <c r="E1658" s="18">
        <v>21</v>
      </c>
      <c r="F1658" s="2">
        <f t="shared" si="50"/>
        <v>38310.054405479998</v>
      </c>
      <c r="G1658" s="3">
        <v>0</v>
      </c>
      <c r="H1658" s="4">
        <v>0.7</v>
      </c>
      <c r="I1658" s="28">
        <f t="shared" si="51"/>
        <v>65127.092489315997</v>
      </c>
    </row>
    <row r="1659" spans="1:9" ht="15.75" customHeight="1" x14ac:dyDescent="0.35">
      <c r="A1659" s="26" t="s">
        <v>9953</v>
      </c>
      <c r="B1659" s="25" t="s">
        <v>226</v>
      </c>
      <c r="C1659" s="6" t="s">
        <v>9954</v>
      </c>
      <c r="D1659" s="13">
        <v>15184.295100000001</v>
      </c>
      <c r="E1659" s="18">
        <v>21</v>
      </c>
      <c r="F1659" s="2">
        <f t="shared" si="50"/>
        <v>18372.997071000002</v>
      </c>
      <c r="G1659" s="3">
        <v>0</v>
      </c>
      <c r="H1659" s="4">
        <v>0.7</v>
      </c>
      <c r="I1659" s="28">
        <f t="shared" si="51"/>
        <v>31234.095020700002</v>
      </c>
    </row>
    <row r="1660" spans="1:9" ht="15.75" customHeight="1" x14ac:dyDescent="0.35">
      <c r="A1660" s="26" t="s">
        <v>2918</v>
      </c>
      <c r="B1660" s="25" t="s">
        <v>227</v>
      </c>
      <c r="C1660" s="6" t="s">
        <v>895</v>
      </c>
      <c r="D1660" s="13">
        <v>31661.201987999997</v>
      </c>
      <c r="E1660" s="18">
        <v>21</v>
      </c>
      <c r="F1660" s="2">
        <f t="shared" si="50"/>
        <v>38310.054405479998</v>
      </c>
      <c r="G1660" s="3">
        <v>0</v>
      </c>
      <c r="H1660" s="4">
        <v>0.7</v>
      </c>
      <c r="I1660" s="28">
        <f t="shared" si="51"/>
        <v>65127.092489315997</v>
      </c>
    </row>
    <row r="1661" spans="1:9" ht="15.75" customHeight="1" x14ac:dyDescent="0.35">
      <c r="A1661" s="26" t="s">
        <v>2930</v>
      </c>
      <c r="B1661" s="25" t="s">
        <v>228</v>
      </c>
      <c r="C1661" s="6" t="s">
        <v>896</v>
      </c>
      <c r="D1661" s="13">
        <v>31661.201987999997</v>
      </c>
      <c r="E1661" s="18">
        <v>21</v>
      </c>
      <c r="F1661" s="2">
        <f t="shared" si="50"/>
        <v>38310.054405479998</v>
      </c>
      <c r="G1661" s="3">
        <v>0</v>
      </c>
      <c r="H1661" s="4">
        <v>0.7</v>
      </c>
      <c r="I1661" s="28">
        <f t="shared" si="51"/>
        <v>65127.092489315997</v>
      </c>
    </row>
    <row r="1662" spans="1:9" ht="15.75" customHeight="1" x14ac:dyDescent="0.35">
      <c r="A1662" s="26" t="s">
        <v>2936</v>
      </c>
      <c r="B1662" s="25" t="s">
        <v>229</v>
      </c>
      <c r="C1662" s="6" t="s">
        <v>897</v>
      </c>
      <c r="D1662" s="13">
        <v>35796.002346000001</v>
      </c>
      <c r="E1662" s="18">
        <v>21</v>
      </c>
      <c r="F1662" s="2">
        <f t="shared" si="50"/>
        <v>43313.162838659999</v>
      </c>
      <c r="G1662" s="3">
        <v>0</v>
      </c>
      <c r="H1662" s="4">
        <v>0.7</v>
      </c>
      <c r="I1662" s="28">
        <f t="shared" si="51"/>
        <v>73632.376825721993</v>
      </c>
    </row>
    <row r="1663" spans="1:9" ht="15.75" customHeight="1" x14ac:dyDescent="0.35">
      <c r="A1663" s="26" t="s">
        <v>2908</v>
      </c>
      <c r="B1663" s="25" t="s">
        <v>230</v>
      </c>
      <c r="C1663" s="6" t="s">
        <v>898</v>
      </c>
      <c r="D1663" s="13">
        <v>35796.002346000001</v>
      </c>
      <c r="E1663" s="18">
        <v>21</v>
      </c>
      <c r="F1663" s="2">
        <f t="shared" si="50"/>
        <v>43313.162838659999</v>
      </c>
      <c r="G1663" s="3">
        <v>0</v>
      </c>
      <c r="H1663" s="4">
        <v>0.7</v>
      </c>
      <c r="I1663" s="28">
        <f t="shared" si="51"/>
        <v>73632.376825721993</v>
      </c>
    </row>
    <row r="1664" spans="1:9" ht="15.75" customHeight="1" x14ac:dyDescent="0.35">
      <c r="A1664" s="26" t="s">
        <v>2919</v>
      </c>
      <c r="B1664" s="25" t="s">
        <v>231</v>
      </c>
      <c r="C1664" s="6" t="s">
        <v>899</v>
      </c>
      <c r="D1664" s="13">
        <v>35796.002346000001</v>
      </c>
      <c r="E1664" s="18">
        <v>21</v>
      </c>
      <c r="F1664" s="2">
        <f t="shared" si="50"/>
        <v>43313.162838659999</v>
      </c>
      <c r="G1664" s="3">
        <v>0</v>
      </c>
      <c r="H1664" s="4">
        <v>0.7</v>
      </c>
      <c r="I1664" s="28">
        <f t="shared" si="51"/>
        <v>73632.376825721993</v>
      </c>
    </row>
    <row r="1665" spans="1:9" ht="15.75" customHeight="1" x14ac:dyDescent="0.35">
      <c r="A1665" s="26" t="s">
        <v>2931</v>
      </c>
      <c r="B1665" s="25" t="s">
        <v>9183</v>
      </c>
      <c r="C1665" s="6" t="s">
        <v>900</v>
      </c>
      <c r="D1665" s="13">
        <v>35796.002346000001</v>
      </c>
      <c r="E1665" s="18">
        <v>21</v>
      </c>
      <c r="F1665" s="2">
        <f t="shared" si="50"/>
        <v>43313.162838659999</v>
      </c>
      <c r="G1665" s="3">
        <v>0</v>
      </c>
      <c r="H1665" s="4">
        <v>0.7</v>
      </c>
      <c r="I1665" s="28">
        <f t="shared" si="51"/>
        <v>73632.376825721993</v>
      </c>
    </row>
    <row r="1666" spans="1:9" ht="15.75" customHeight="1" x14ac:dyDescent="0.35">
      <c r="A1666" s="26" t="s">
        <v>2909</v>
      </c>
      <c r="B1666" s="25" t="s">
        <v>9184</v>
      </c>
      <c r="C1666" s="6" t="s">
        <v>10617</v>
      </c>
      <c r="D1666" s="13">
        <v>51524.260217673749</v>
      </c>
      <c r="E1666" s="18">
        <v>21</v>
      </c>
      <c r="F1666" s="2">
        <f t="shared" si="50"/>
        <v>62344.354863385233</v>
      </c>
      <c r="G1666" s="3">
        <v>0</v>
      </c>
      <c r="H1666" s="4">
        <v>0.7</v>
      </c>
      <c r="I1666" s="28">
        <f t="shared" si="51"/>
        <v>105985.4032677549</v>
      </c>
    </row>
    <row r="1667" spans="1:9" ht="15.75" customHeight="1" x14ac:dyDescent="0.35">
      <c r="A1667" s="26" t="s">
        <v>10274</v>
      </c>
      <c r="B1667" s="25" t="s">
        <v>13265</v>
      </c>
      <c r="C1667" s="6" t="s">
        <v>10275</v>
      </c>
      <c r="D1667" s="13">
        <v>69684.13725</v>
      </c>
      <c r="E1667" s="18">
        <v>21</v>
      </c>
      <c r="F1667" s="2">
        <f t="shared" si="50"/>
        <v>84317.806072499996</v>
      </c>
      <c r="G1667" s="3">
        <v>0</v>
      </c>
      <c r="H1667" s="4">
        <v>0.7</v>
      </c>
      <c r="I1667" s="28">
        <f t="shared" si="51"/>
        <v>143340.27032324998</v>
      </c>
    </row>
    <row r="1668" spans="1:9" ht="15.75" customHeight="1" x14ac:dyDescent="0.35">
      <c r="A1668" s="26" t="s">
        <v>2910</v>
      </c>
      <c r="B1668" s="25" t="s">
        <v>13267</v>
      </c>
      <c r="C1668" s="6" t="s">
        <v>1149</v>
      </c>
      <c r="D1668" s="13">
        <v>1377854.0846460001</v>
      </c>
      <c r="E1668" s="18">
        <v>21</v>
      </c>
      <c r="F1668" s="2">
        <f t="shared" si="50"/>
        <v>1667203.4424216601</v>
      </c>
      <c r="G1668" s="3">
        <v>0</v>
      </c>
      <c r="H1668" s="4">
        <v>0.7</v>
      </c>
      <c r="I1668" s="28">
        <f t="shared" si="51"/>
        <v>2834245.8521168218</v>
      </c>
    </row>
    <row r="1669" spans="1:9" ht="15.75" customHeight="1" x14ac:dyDescent="0.35">
      <c r="A1669" s="26" t="s">
        <v>2911</v>
      </c>
      <c r="B1669" s="25" t="s">
        <v>8915</v>
      </c>
      <c r="C1669" s="6" t="s">
        <v>10652</v>
      </c>
      <c r="D1669" s="13">
        <v>77267.264765924992</v>
      </c>
      <c r="E1669" s="18">
        <v>21</v>
      </c>
      <c r="F1669" s="2">
        <f t="shared" si="50"/>
        <v>93493.390366769236</v>
      </c>
      <c r="G1669" s="3">
        <v>0</v>
      </c>
      <c r="H1669" s="4">
        <v>0.7</v>
      </c>
      <c r="I1669" s="28">
        <f t="shared" si="51"/>
        <v>158938.76362350769</v>
      </c>
    </row>
    <row r="1670" spans="1:9" ht="15.75" customHeight="1" x14ac:dyDescent="0.35">
      <c r="A1670" s="26" t="s">
        <v>10276</v>
      </c>
      <c r="B1670" s="25" t="s">
        <v>9229</v>
      </c>
      <c r="C1670" s="6" t="s">
        <v>10277</v>
      </c>
      <c r="D1670" s="13">
        <v>97022.903250000003</v>
      </c>
      <c r="E1670" s="18">
        <v>21</v>
      </c>
      <c r="F1670" s="2">
        <f t="shared" ref="F1670:F1733" si="52">D1670*E1670/100+D1670</f>
        <v>117397.7129325</v>
      </c>
      <c r="G1670" s="3">
        <v>0</v>
      </c>
      <c r="H1670" s="4">
        <v>0.7</v>
      </c>
      <c r="I1670" s="28">
        <f t="shared" ref="I1670:I1733" si="53">IF(G1670=-1,0,F1670*((100-G1670)/100)*(1+H1670))</f>
        <v>199576.11198525</v>
      </c>
    </row>
    <row r="1671" spans="1:9" ht="15.75" customHeight="1" x14ac:dyDescent="0.35">
      <c r="A1671" s="26" t="s">
        <v>2937</v>
      </c>
      <c r="B1671" s="25" t="s">
        <v>9230</v>
      </c>
      <c r="C1671" s="6" t="s">
        <v>901</v>
      </c>
      <c r="D1671" s="13">
        <v>47227.051169999999</v>
      </c>
      <c r="E1671" s="18">
        <v>21</v>
      </c>
      <c r="F1671" s="2">
        <f t="shared" si="52"/>
        <v>57144.731915700002</v>
      </c>
      <c r="G1671" s="3">
        <v>0</v>
      </c>
      <c r="H1671" s="4">
        <v>0.7</v>
      </c>
      <c r="I1671" s="28">
        <f t="shared" si="53"/>
        <v>97146.044256690002</v>
      </c>
    </row>
    <row r="1672" spans="1:9" ht="15.75" customHeight="1" x14ac:dyDescent="0.35">
      <c r="A1672" s="26" t="s">
        <v>2912</v>
      </c>
      <c r="B1672" s="25" t="s">
        <v>9185</v>
      </c>
      <c r="C1672" s="6" t="s">
        <v>10731</v>
      </c>
      <c r="D1672" s="13">
        <v>47227.051169999999</v>
      </c>
      <c r="E1672" s="18">
        <v>21</v>
      </c>
      <c r="F1672" s="2">
        <f t="shared" si="52"/>
        <v>57144.731915700002</v>
      </c>
      <c r="G1672" s="3">
        <v>0</v>
      </c>
      <c r="H1672" s="4">
        <v>0.7</v>
      </c>
      <c r="I1672" s="28">
        <f t="shared" si="53"/>
        <v>97146.044256690002</v>
      </c>
    </row>
    <row r="1673" spans="1:9" ht="15.75" customHeight="1" x14ac:dyDescent="0.35">
      <c r="A1673" s="26" t="s">
        <v>2920</v>
      </c>
      <c r="B1673" s="25" t="s">
        <v>9186</v>
      </c>
      <c r="C1673" s="6" t="s">
        <v>902</v>
      </c>
      <c r="D1673" s="13">
        <v>47227.051169999999</v>
      </c>
      <c r="E1673" s="18">
        <v>21</v>
      </c>
      <c r="F1673" s="2">
        <f t="shared" si="52"/>
        <v>57144.731915700002</v>
      </c>
      <c r="G1673" s="3">
        <v>0</v>
      </c>
      <c r="H1673" s="4">
        <v>0.7</v>
      </c>
      <c r="I1673" s="28">
        <f t="shared" si="53"/>
        <v>97146.044256690002</v>
      </c>
    </row>
    <row r="1674" spans="1:9" ht="15.75" customHeight="1" x14ac:dyDescent="0.35">
      <c r="A1674" s="26" t="s">
        <v>2932</v>
      </c>
      <c r="B1674" s="25" t="s">
        <v>9187</v>
      </c>
      <c r="C1674" s="6" t="s">
        <v>903</v>
      </c>
      <c r="D1674" s="13">
        <v>47227.051169999999</v>
      </c>
      <c r="E1674" s="18">
        <v>21</v>
      </c>
      <c r="F1674" s="2">
        <f t="shared" si="52"/>
        <v>57144.731915700002</v>
      </c>
      <c r="G1674" s="3">
        <v>0</v>
      </c>
      <c r="H1674" s="4">
        <v>0.7</v>
      </c>
      <c r="I1674" s="28">
        <f t="shared" si="53"/>
        <v>97146.044256690002</v>
      </c>
    </row>
    <row r="1675" spans="1:9" ht="15.75" customHeight="1" x14ac:dyDescent="0.35">
      <c r="A1675" s="26" t="s">
        <v>9544</v>
      </c>
      <c r="B1675" s="25" t="s">
        <v>10603</v>
      </c>
      <c r="C1675" s="6" t="s">
        <v>9545</v>
      </c>
      <c r="D1675" s="13">
        <v>1723837.982022</v>
      </c>
      <c r="E1675" s="18">
        <v>21</v>
      </c>
      <c r="F1675" s="2">
        <f t="shared" si="52"/>
        <v>2085843.9582466199</v>
      </c>
      <c r="G1675" s="3">
        <v>0</v>
      </c>
      <c r="H1675" s="4">
        <v>0.7</v>
      </c>
      <c r="I1675" s="28">
        <f t="shared" si="53"/>
        <v>3545934.729019254</v>
      </c>
    </row>
    <row r="1676" spans="1:9" ht="15.75" customHeight="1" x14ac:dyDescent="0.35">
      <c r="A1676" s="26" t="s">
        <v>9091</v>
      </c>
      <c r="B1676" s="25" t="s">
        <v>9188</v>
      </c>
      <c r="C1676" s="6" t="s">
        <v>10618</v>
      </c>
      <c r="D1676" s="13">
        <v>110130.07800151825</v>
      </c>
      <c r="E1676" s="18">
        <v>21</v>
      </c>
      <c r="F1676" s="2">
        <f t="shared" si="52"/>
        <v>133257.39438183708</v>
      </c>
      <c r="G1676" s="3">
        <v>0</v>
      </c>
      <c r="H1676" s="4">
        <v>0.7</v>
      </c>
      <c r="I1676" s="28">
        <f t="shared" si="53"/>
        <v>226537.57044912301</v>
      </c>
    </row>
    <row r="1677" spans="1:9" ht="15.75" customHeight="1" x14ac:dyDescent="0.35">
      <c r="A1677" s="26" t="s">
        <v>10278</v>
      </c>
      <c r="B1677" s="25" t="s">
        <v>10604</v>
      </c>
      <c r="C1677" s="6" t="s">
        <v>10619</v>
      </c>
      <c r="D1677" s="13">
        <v>133828.35374999998</v>
      </c>
      <c r="E1677" s="18">
        <v>21</v>
      </c>
      <c r="F1677" s="2">
        <f t="shared" si="52"/>
        <v>161932.30803749998</v>
      </c>
      <c r="G1677" s="3">
        <v>0</v>
      </c>
      <c r="H1677" s="4">
        <v>0.7</v>
      </c>
      <c r="I1677" s="28">
        <f t="shared" si="53"/>
        <v>275284.92366374994</v>
      </c>
    </row>
    <row r="1678" spans="1:9" ht="15.75" customHeight="1" x14ac:dyDescent="0.35">
      <c r="A1678" s="26" t="s">
        <v>2913</v>
      </c>
      <c r="B1678" s="25" t="s">
        <v>9189</v>
      </c>
      <c r="C1678" s="6" t="s">
        <v>10620</v>
      </c>
      <c r="D1678" s="13">
        <v>120363.52795219999</v>
      </c>
      <c r="E1678" s="18">
        <v>21</v>
      </c>
      <c r="F1678" s="2">
        <f t="shared" si="52"/>
        <v>145639.86882216198</v>
      </c>
      <c r="G1678" s="3">
        <v>0</v>
      </c>
      <c r="H1678" s="4">
        <v>0.7</v>
      </c>
      <c r="I1678" s="28">
        <f t="shared" si="53"/>
        <v>247587.77699767536</v>
      </c>
    </row>
    <row r="1679" spans="1:9" ht="15.75" customHeight="1" x14ac:dyDescent="0.35">
      <c r="A1679" s="26" t="s">
        <v>10279</v>
      </c>
      <c r="B1679" s="25" t="s">
        <v>9190</v>
      </c>
      <c r="C1679" s="6" t="s">
        <v>10280</v>
      </c>
      <c r="D1679" s="13">
        <v>20875.525125</v>
      </c>
      <c r="E1679" s="18">
        <v>21</v>
      </c>
      <c r="F1679" s="2">
        <f t="shared" si="52"/>
        <v>25259.385401250001</v>
      </c>
      <c r="G1679" s="3">
        <v>0</v>
      </c>
      <c r="H1679" s="4">
        <v>0.7</v>
      </c>
      <c r="I1679" s="28">
        <f t="shared" si="53"/>
        <v>42940.955182124999</v>
      </c>
    </row>
    <row r="1680" spans="1:9" ht="15.75" customHeight="1" x14ac:dyDescent="0.35">
      <c r="A1680" s="26" t="s">
        <v>9719</v>
      </c>
      <c r="B1680" s="25" t="s">
        <v>11372</v>
      </c>
      <c r="C1680" s="6" t="s">
        <v>9720</v>
      </c>
      <c r="D1680" s="13">
        <v>14841.435014445</v>
      </c>
      <c r="E1680" s="18">
        <v>21</v>
      </c>
      <c r="F1680" s="2">
        <f t="shared" si="52"/>
        <v>17958.136367478452</v>
      </c>
      <c r="G1680" s="3">
        <v>0</v>
      </c>
      <c r="H1680" s="4">
        <v>0.7</v>
      </c>
      <c r="I1680" s="28">
        <f t="shared" si="53"/>
        <v>30528.831824713368</v>
      </c>
    </row>
    <row r="1681" spans="1:9" ht="15.75" customHeight="1" x14ac:dyDescent="0.35">
      <c r="A1681" s="26" t="s">
        <v>10281</v>
      </c>
      <c r="B1681" s="25" t="s">
        <v>11373</v>
      </c>
      <c r="C1681" s="6" t="s">
        <v>10282</v>
      </c>
      <c r="D1681" s="13">
        <v>20875.525125</v>
      </c>
      <c r="E1681" s="18">
        <v>21</v>
      </c>
      <c r="F1681" s="2">
        <f t="shared" si="52"/>
        <v>25259.385401250001</v>
      </c>
      <c r="G1681" s="3">
        <v>0</v>
      </c>
      <c r="H1681" s="4">
        <v>0.7</v>
      </c>
      <c r="I1681" s="28">
        <f t="shared" si="53"/>
        <v>42940.955182124999</v>
      </c>
    </row>
    <row r="1682" spans="1:9" ht="15.75" customHeight="1" x14ac:dyDescent="0.35">
      <c r="A1682" s="26" t="s">
        <v>11900</v>
      </c>
      <c r="B1682" s="25" t="s">
        <v>13038</v>
      </c>
      <c r="C1682" s="6" t="s">
        <v>11901</v>
      </c>
      <c r="D1682" s="13">
        <v>20875.525125</v>
      </c>
      <c r="E1682" s="18">
        <v>21</v>
      </c>
      <c r="F1682" s="2">
        <f t="shared" si="52"/>
        <v>25259.385401250001</v>
      </c>
      <c r="G1682" s="3">
        <v>0</v>
      </c>
      <c r="H1682" s="4">
        <v>0.7</v>
      </c>
      <c r="I1682" s="28">
        <f t="shared" si="53"/>
        <v>42940.955182124999</v>
      </c>
    </row>
    <row r="1683" spans="1:9" ht="15.75" customHeight="1" x14ac:dyDescent="0.35">
      <c r="A1683" s="26" t="s">
        <v>9760</v>
      </c>
      <c r="B1683" s="25" t="s">
        <v>10944</v>
      </c>
      <c r="C1683" s="6" t="s">
        <v>9761</v>
      </c>
      <c r="D1683" s="13">
        <v>32120.624250000001</v>
      </c>
      <c r="E1683" s="18">
        <v>21</v>
      </c>
      <c r="F1683" s="2">
        <f t="shared" si="52"/>
        <v>38865.955342499998</v>
      </c>
      <c r="G1683" s="3">
        <v>0</v>
      </c>
      <c r="H1683" s="4">
        <v>0.7</v>
      </c>
      <c r="I1683" s="28">
        <f t="shared" si="53"/>
        <v>66072.124082249997</v>
      </c>
    </row>
    <row r="1684" spans="1:9" ht="15.75" customHeight="1" x14ac:dyDescent="0.35">
      <c r="A1684" s="26" t="s">
        <v>9762</v>
      </c>
      <c r="B1684" s="25" t="s">
        <v>11899</v>
      </c>
      <c r="C1684" s="6" t="s">
        <v>9763</v>
      </c>
      <c r="D1684" s="13">
        <v>51392.998799999994</v>
      </c>
      <c r="E1684" s="18">
        <v>21</v>
      </c>
      <c r="F1684" s="2">
        <f t="shared" si="52"/>
        <v>62185.528547999995</v>
      </c>
      <c r="G1684" s="3">
        <v>0</v>
      </c>
      <c r="H1684" s="4">
        <v>0.7</v>
      </c>
      <c r="I1684" s="28">
        <f t="shared" si="53"/>
        <v>105715.39853159999</v>
      </c>
    </row>
    <row r="1685" spans="1:9" ht="15.75" customHeight="1" x14ac:dyDescent="0.35">
      <c r="A1685" s="26" t="s">
        <v>9764</v>
      </c>
      <c r="B1685" s="25" t="s">
        <v>10947</v>
      </c>
      <c r="C1685" s="6" t="s">
        <v>9765</v>
      </c>
      <c r="D1685" s="13">
        <v>21842.02449</v>
      </c>
      <c r="E1685" s="18">
        <v>21</v>
      </c>
      <c r="F1685" s="2">
        <f t="shared" si="52"/>
        <v>26428.849632900001</v>
      </c>
      <c r="G1685" s="3">
        <v>0</v>
      </c>
      <c r="H1685" s="4">
        <v>0.7</v>
      </c>
      <c r="I1685" s="28">
        <f t="shared" si="53"/>
        <v>44929.044375930003</v>
      </c>
    </row>
    <row r="1686" spans="1:9" ht="15.75" customHeight="1" x14ac:dyDescent="0.35">
      <c r="A1686" s="26" t="s">
        <v>4279</v>
      </c>
      <c r="B1686" s="25" t="s">
        <v>11950</v>
      </c>
      <c r="C1686" s="6" t="s">
        <v>232</v>
      </c>
      <c r="D1686" s="13">
        <v>7637.5706550000004</v>
      </c>
      <c r="E1686" s="18">
        <v>21</v>
      </c>
      <c r="F1686" s="2">
        <f t="shared" si="52"/>
        <v>9241.4604925500007</v>
      </c>
      <c r="G1686" s="3">
        <v>0</v>
      </c>
      <c r="H1686" s="4">
        <v>0.7</v>
      </c>
      <c r="I1686" s="28">
        <f t="shared" si="53"/>
        <v>15710.482837335001</v>
      </c>
    </row>
    <row r="1687" spans="1:9" ht="15.75" customHeight="1" x14ac:dyDescent="0.35">
      <c r="A1687" s="26" t="s">
        <v>4280</v>
      </c>
      <c r="B1687" s="25" t="s">
        <v>11952</v>
      </c>
      <c r="C1687" s="6" t="s">
        <v>233</v>
      </c>
      <c r="D1687" s="13">
        <v>9733.5225000000009</v>
      </c>
      <c r="E1687" s="18">
        <v>21</v>
      </c>
      <c r="F1687" s="2">
        <f t="shared" si="52"/>
        <v>11777.562225000001</v>
      </c>
      <c r="G1687" s="3">
        <v>0</v>
      </c>
      <c r="H1687" s="4">
        <v>0.7</v>
      </c>
      <c r="I1687" s="28">
        <f t="shared" si="53"/>
        <v>20021.855782500003</v>
      </c>
    </row>
    <row r="1688" spans="1:9" ht="15.75" customHeight="1" x14ac:dyDescent="0.35">
      <c r="A1688" s="26" t="s">
        <v>4281</v>
      </c>
      <c r="B1688" s="25" t="s">
        <v>10949</v>
      </c>
      <c r="C1688" s="6" t="s">
        <v>234</v>
      </c>
      <c r="D1688" s="13">
        <v>1237513.9769319599</v>
      </c>
      <c r="E1688" s="18">
        <v>21</v>
      </c>
      <c r="F1688" s="2">
        <f t="shared" si="52"/>
        <v>1497391.9120876715</v>
      </c>
      <c r="G1688" s="3">
        <v>0</v>
      </c>
      <c r="H1688" s="4">
        <v>0.7</v>
      </c>
      <c r="I1688" s="28">
        <f t="shared" si="53"/>
        <v>2545566.2505490412</v>
      </c>
    </row>
    <row r="1689" spans="1:9" ht="15.75" customHeight="1" x14ac:dyDescent="0.35">
      <c r="A1689" s="26" t="s">
        <v>1508</v>
      </c>
      <c r="B1689" s="25" t="s">
        <v>881</v>
      </c>
      <c r="C1689" s="6" t="s">
        <v>235</v>
      </c>
      <c r="D1689" s="13">
        <v>1127.9619</v>
      </c>
      <c r="E1689" s="18">
        <v>21</v>
      </c>
      <c r="F1689" s="2">
        <f t="shared" si="52"/>
        <v>1364.833899</v>
      </c>
      <c r="G1689" s="3">
        <v>0</v>
      </c>
      <c r="H1689" s="4">
        <v>0.7</v>
      </c>
      <c r="I1689" s="28">
        <f t="shared" si="53"/>
        <v>2320.2176282999999</v>
      </c>
    </row>
    <row r="1690" spans="1:9" ht="15.75" customHeight="1" x14ac:dyDescent="0.35">
      <c r="A1690" s="26" t="s">
        <v>13843</v>
      </c>
      <c r="B1690" s="25" t="s">
        <v>882</v>
      </c>
      <c r="C1690" s="6" t="s">
        <v>13924</v>
      </c>
      <c r="D1690" s="13">
        <v>630.732258</v>
      </c>
      <c r="E1690" s="18">
        <v>21</v>
      </c>
      <c r="F1690" s="2">
        <f t="shared" si="52"/>
        <v>763.18603217999998</v>
      </c>
      <c r="G1690" s="3">
        <v>0</v>
      </c>
      <c r="H1690" s="4">
        <v>0.7</v>
      </c>
      <c r="I1690" s="28">
        <f t="shared" si="53"/>
        <v>1297.416254706</v>
      </c>
    </row>
    <row r="1691" spans="1:9" ht="15.75" customHeight="1" x14ac:dyDescent="0.35">
      <c r="A1691" s="26" t="s">
        <v>3109</v>
      </c>
      <c r="B1691" s="25" t="s">
        <v>10605</v>
      </c>
      <c r="C1691" s="6" t="s">
        <v>904</v>
      </c>
      <c r="D1691" s="13">
        <v>62515.175701212</v>
      </c>
      <c r="E1691" s="18">
        <v>21</v>
      </c>
      <c r="F1691" s="2">
        <f t="shared" si="52"/>
        <v>75643.362598466527</v>
      </c>
      <c r="G1691" s="3">
        <v>0</v>
      </c>
      <c r="H1691" s="4">
        <v>0.7</v>
      </c>
      <c r="I1691" s="28">
        <f t="shared" si="53"/>
        <v>128593.71641739309</v>
      </c>
    </row>
    <row r="1692" spans="1:9" ht="15.75" customHeight="1" x14ac:dyDescent="0.35">
      <c r="A1692" s="26" t="s">
        <v>10053</v>
      </c>
      <c r="B1692" s="25" t="s">
        <v>10951</v>
      </c>
      <c r="C1692" s="6" t="s">
        <v>10054</v>
      </c>
      <c r="D1692" s="13">
        <v>13919.62572</v>
      </c>
      <c r="E1692" s="18">
        <v>21</v>
      </c>
      <c r="F1692" s="2">
        <f t="shared" si="52"/>
        <v>16842.747121200002</v>
      </c>
      <c r="G1692" s="3">
        <v>0</v>
      </c>
      <c r="H1692" s="4">
        <v>0.7</v>
      </c>
      <c r="I1692" s="28">
        <f t="shared" si="53"/>
        <v>28632.670106040001</v>
      </c>
    </row>
    <row r="1693" spans="1:9" ht="15.75" customHeight="1" x14ac:dyDescent="0.35">
      <c r="A1693" s="26" t="s">
        <v>10055</v>
      </c>
      <c r="B1693" s="25" t="s">
        <v>883</v>
      </c>
      <c r="C1693" s="6" t="s">
        <v>10056</v>
      </c>
      <c r="D1693" s="13">
        <v>19730.517091999998</v>
      </c>
      <c r="E1693" s="18">
        <v>21</v>
      </c>
      <c r="F1693" s="2">
        <f t="shared" si="52"/>
        <v>23873.925681319997</v>
      </c>
      <c r="G1693" s="3">
        <v>0</v>
      </c>
      <c r="H1693" s="4">
        <v>0.7</v>
      </c>
      <c r="I1693" s="28">
        <f t="shared" si="53"/>
        <v>40585.673658243992</v>
      </c>
    </row>
    <row r="1694" spans="1:9" ht="15.75" customHeight="1" x14ac:dyDescent="0.35">
      <c r="A1694" s="26" t="s">
        <v>3466</v>
      </c>
      <c r="B1694" s="25" t="s">
        <v>12802</v>
      </c>
      <c r="C1694" s="6" t="s">
        <v>13268</v>
      </c>
      <c r="D1694" s="13">
        <v>497.97800000000001</v>
      </c>
      <c r="E1694" s="18">
        <v>21</v>
      </c>
      <c r="F1694" s="2">
        <f t="shared" si="52"/>
        <v>602.55338000000006</v>
      </c>
      <c r="G1694" s="3">
        <v>0</v>
      </c>
      <c r="H1694" s="4">
        <v>0.7</v>
      </c>
      <c r="I1694" s="28">
        <f t="shared" si="53"/>
        <v>1024.3407460000001</v>
      </c>
    </row>
    <row r="1695" spans="1:9" ht="15.75" customHeight="1" x14ac:dyDescent="0.35">
      <c r="A1695" s="26" t="s">
        <v>3202</v>
      </c>
      <c r="B1695" s="25" t="s">
        <v>12804</v>
      </c>
      <c r="C1695" s="6" t="s">
        <v>236</v>
      </c>
      <c r="D1695" s="13">
        <v>40895.4</v>
      </c>
      <c r="E1695" s="18">
        <v>21</v>
      </c>
      <c r="F1695" s="2">
        <f t="shared" si="52"/>
        <v>49483.434000000001</v>
      </c>
      <c r="G1695" s="3">
        <v>0</v>
      </c>
      <c r="H1695" s="4">
        <v>0.7</v>
      </c>
      <c r="I1695" s="28">
        <f t="shared" si="53"/>
        <v>84121.837799999994</v>
      </c>
    </row>
    <row r="1696" spans="1:9" ht="15.75" customHeight="1" x14ac:dyDescent="0.35">
      <c r="A1696" s="26" t="s">
        <v>4964</v>
      </c>
      <c r="B1696" s="25" t="s">
        <v>11868</v>
      </c>
      <c r="C1696" s="6" t="s">
        <v>237</v>
      </c>
      <c r="D1696" s="13">
        <v>411.73617776618198</v>
      </c>
      <c r="E1696" s="18">
        <v>21</v>
      </c>
      <c r="F1696" s="2">
        <f t="shared" si="52"/>
        <v>498.20077509708017</v>
      </c>
      <c r="G1696" s="3">
        <v>0</v>
      </c>
      <c r="H1696" s="4">
        <v>0.7</v>
      </c>
      <c r="I1696" s="28">
        <f t="shared" si="53"/>
        <v>846.94131766503631</v>
      </c>
    </row>
    <row r="1697" spans="1:9" ht="15.75" customHeight="1" x14ac:dyDescent="0.35">
      <c r="A1697" s="26" t="s">
        <v>2470</v>
      </c>
      <c r="B1697" s="25" t="s">
        <v>11954</v>
      </c>
      <c r="C1697" s="6" t="s">
        <v>238</v>
      </c>
      <c r="D1697" s="13">
        <v>771.17549106000001</v>
      </c>
      <c r="E1697" s="18">
        <v>21</v>
      </c>
      <c r="F1697" s="2">
        <f t="shared" si="52"/>
        <v>933.12234418260005</v>
      </c>
      <c r="G1697" s="3">
        <v>0</v>
      </c>
      <c r="H1697" s="4">
        <v>0.7</v>
      </c>
      <c r="I1697" s="28">
        <f t="shared" si="53"/>
        <v>1586.3079851104201</v>
      </c>
    </row>
    <row r="1698" spans="1:9" ht="15.75" customHeight="1" x14ac:dyDescent="0.35">
      <c r="A1698" s="26" t="s">
        <v>13388</v>
      </c>
      <c r="B1698" s="25" t="s">
        <v>10025</v>
      </c>
      <c r="C1698" s="6" t="s">
        <v>13389</v>
      </c>
      <c r="D1698" s="13">
        <v>133.84874521816801</v>
      </c>
      <c r="E1698" s="18">
        <v>21</v>
      </c>
      <c r="F1698" s="2">
        <f t="shared" si="52"/>
        <v>161.95698171398328</v>
      </c>
      <c r="G1698" s="3">
        <v>0</v>
      </c>
      <c r="H1698" s="4">
        <v>0.7</v>
      </c>
      <c r="I1698" s="28">
        <f t="shared" si="53"/>
        <v>275.32686891377159</v>
      </c>
    </row>
    <row r="1699" spans="1:9" ht="15.75" customHeight="1" x14ac:dyDescent="0.35">
      <c r="A1699" s="26" t="s">
        <v>13390</v>
      </c>
      <c r="B1699" s="25" t="s">
        <v>884</v>
      </c>
      <c r="C1699" s="6" t="s">
        <v>13391</v>
      </c>
      <c r="D1699" s="13">
        <v>203.45052326917499</v>
      </c>
      <c r="E1699" s="18">
        <v>21</v>
      </c>
      <c r="F1699" s="2">
        <f t="shared" si="52"/>
        <v>246.17513315570176</v>
      </c>
      <c r="G1699" s="3">
        <v>0</v>
      </c>
      <c r="H1699" s="4">
        <v>0.7</v>
      </c>
      <c r="I1699" s="28">
        <f t="shared" si="53"/>
        <v>418.49772636469299</v>
      </c>
    </row>
    <row r="1700" spans="1:9" ht="15.75" customHeight="1" x14ac:dyDescent="0.35">
      <c r="A1700" s="26" t="s">
        <v>13392</v>
      </c>
      <c r="B1700" s="25" t="s">
        <v>1152</v>
      </c>
      <c r="C1700" s="6" t="s">
        <v>13393</v>
      </c>
      <c r="D1700" s="13">
        <v>326.58426500017498</v>
      </c>
      <c r="E1700" s="18">
        <v>21</v>
      </c>
      <c r="F1700" s="2">
        <f t="shared" si="52"/>
        <v>395.16696065021176</v>
      </c>
      <c r="G1700" s="3">
        <v>0</v>
      </c>
      <c r="H1700" s="4">
        <v>0.7</v>
      </c>
      <c r="I1700" s="28">
        <f t="shared" si="53"/>
        <v>671.78383310536003</v>
      </c>
    </row>
    <row r="1701" spans="1:9" ht="15.75" customHeight="1" x14ac:dyDescent="0.35">
      <c r="A1701" s="26" t="s">
        <v>13394</v>
      </c>
      <c r="B1701" s="25" t="s">
        <v>885</v>
      </c>
      <c r="C1701" s="6" t="s">
        <v>13395</v>
      </c>
      <c r="D1701" s="13">
        <v>1102.39141853925</v>
      </c>
      <c r="E1701" s="18">
        <v>21</v>
      </c>
      <c r="F1701" s="2">
        <f t="shared" si="52"/>
        <v>1333.8936164324925</v>
      </c>
      <c r="G1701" s="3">
        <v>0</v>
      </c>
      <c r="H1701" s="4">
        <v>0.7</v>
      </c>
      <c r="I1701" s="28">
        <f t="shared" si="53"/>
        <v>2267.6191479352374</v>
      </c>
    </row>
    <row r="1702" spans="1:9" ht="15.75" customHeight="1" x14ac:dyDescent="0.35">
      <c r="A1702" s="26" t="s">
        <v>13396</v>
      </c>
      <c r="B1702" s="25" t="s">
        <v>12890</v>
      </c>
      <c r="C1702" s="6" t="s">
        <v>13397</v>
      </c>
      <c r="D1702" s="13">
        <v>1376.2025423063001</v>
      </c>
      <c r="E1702" s="18">
        <v>21</v>
      </c>
      <c r="F1702" s="2">
        <f t="shared" si="52"/>
        <v>1665.205076190623</v>
      </c>
      <c r="G1702" s="3">
        <v>0</v>
      </c>
      <c r="H1702" s="4">
        <v>0.7</v>
      </c>
      <c r="I1702" s="28">
        <f t="shared" si="53"/>
        <v>2830.8486295240591</v>
      </c>
    </row>
    <row r="1703" spans="1:9" ht="15.75" customHeight="1" x14ac:dyDescent="0.35">
      <c r="A1703" s="26" t="s">
        <v>13398</v>
      </c>
      <c r="B1703" s="25" t="s">
        <v>10606</v>
      </c>
      <c r="C1703" s="6" t="s">
        <v>13399</v>
      </c>
      <c r="D1703" s="13">
        <v>2489.26052885738</v>
      </c>
      <c r="E1703" s="18">
        <v>21</v>
      </c>
      <c r="F1703" s="2">
        <f t="shared" si="52"/>
        <v>3012.0052399174297</v>
      </c>
      <c r="G1703" s="3">
        <v>0</v>
      </c>
      <c r="H1703" s="4">
        <v>0.7</v>
      </c>
      <c r="I1703" s="28">
        <f t="shared" si="53"/>
        <v>5120.4089078596307</v>
      </c>
    </row>
    <row r="1704" spans="1:9" ht="15.75" customHeight="1" x14ac:dyDescent="0.35">
      <c r="A1704" s="26" t="s">
        <v>13400</v>
      </c>
      <c r="B1704" s="25" t="s">
        <v>9952</v>
      </c>
      <c r="C1704" s="6" t="s">
        <v>13401</v>
      </c>
      <c r="D1704" s="13">
        <v>1286.1125581901699</v>
      </c>
      <c r="E1704" s="18">
        <v>21</v>
      </c>
      <c r="F1704" s="2">
        <f t="shared" si="52"/>
        <v>1556.1961954101057</v>
      </c>
      <c r="G1704" s="3">
        <v>0</v>
      </c>
      <c r="H1704" s="4">
        <v>0.7</v>
      </c>
      <c r="I1704" s="28">
        <f t="shared" si="53"/>
        <v>2645.5335321971797</v>
      </c>
    </row>
    <row r="1705" spans="1:9" ht="15.75" customHeight="1" x14ac:dyDescent="0.35">
      <c r="A1705" s="26" t="s">
        <v>13402</v>
      </c>
      <c r="B1705" s="25" t="s">
        <v>10265</v>
      </c>
      <c r="C1705" s="6" t="s">
        <v>13403</v>
      </c>
      <c r="D1705" s="13">
        <v>1531.08842897667</v>
      </c>
      <c r="E1705" s="18">
        <v>21</v>
      </c>
      <c r="F1705" s="2">
        <f t="shared" si="52"/>
        <v>1852.6169990617707</v>
      </c>
      <c r="G1705" s="3">
        <v>0</v>
      </c>
      <c r="H1705" s="4">
        <v>0.7</v>
      </c>
      <c r="I1705" s="28">
        <f t="shared" si="53"/>
        <v>3149.4488984050099</v>
      </c>
    </row>
    <row r="1706" spans="1:9" ht="15.75" customHeight="1" x14ac:dyDescent="0.35">
      <c r="A1706" s="26" t="s">
        <v>13404</v>
      </c>
      <c r="B1706" s="25" t="s">
        <v>10607</v>
      </c>
      <c r="C1706" s="6" t="s">
        <v>13405</v>
      </c>
      <c r="D1706" s="13">
        <v>1837.31364917927</v>
      </c>
      <c r="E1706" s="18">
        <v>21</v>
      </c>
      <c r="F1706" s="2">
        <f t="shared" si="52"/>
        <v>2223.1495155069169</v>
      </c>
      <c r="G1706" s="3">
        <v>0</v>
      </c>
      <c r="H1706" s="4">
        <v>0.7</v>
      </c>
      <c r="I1706" s="28">
        <f t="shared" si="53"/>
        <v>3779.3541763617586</v>
      </c>
    </row>
    <row r="1707" spans="1:9" ht="15.75" customHeight="1" x14ac:dyDescent="0.35">
      <c r="A1707" s="26" t="s">
        <v>13406</v>
      </c>
      <c r="B1707" s="25" t="s">
        <v>11494</v>
      </c>
      <c r="C1707" s="6" t="s">
        <v>13407</v>
      </c>
      <c r="D1707" s="13">
        <v>200.52286787137501</v>
      </c>
      <c r="E1707" s="18">
        <v>21</v>
      </c>
      <c r="F1707" s="2">
        <f t="shared" si="52"/>
        <v>242.63267012436376</v>
      </c>
      <c r="G1707" s="3">
        <v>0</v>
      </c>
      <c r="H1707" s="4">
        <v>0.7</v>
      </c>
      <c r="I1707" s="28">
        <f t="shared" si="53"/>
        <v>412.47553921141838</v>
      </c>
    </row>
    <row r="1708" spans="1:9" ht="15.75" customHeight="1" x14ac:dyDescent="0.35">
      <c r="A1708" s="26" t="s">
        <v>2342</v>
      </c>
      <c r="B1708" s="25" t="s">
        <v>10608</v>
      </c>
      <c r="C1708" s="6" t="s">
        <v>12698</v>
      </c>
      <c r="D1708" s="13">
        <v>294.98677940160002</v>
      </c>
      <c r="E1708" s="18">
        <v>21</v>
      </c>
      <c r="F1708" s="2">
        <f t="shared" si="52"/>
        <v>356.934003075936</v>
      </c>
      <c r="G1708" s="3">
        <v>0</v>
      </c>
      <c r="H1708" s="4">
        <v>0.7</v>
      </c>
      <c r="I1708" s="28">
        <f t="shared" si="53"/>
        <v>606.78780522909119</v>
      </c>
    </row>
    <row r="1709" spans="1:9" ht="15.75" customHeight="1" x14ac:dyDescent="0.35">
      <c r="A1709" s="26" t="s">
        <v>2341</v>
      </c>
      <c r="B1709" s="25" t="s">
        <v>886</v>
      </c>
      <c r="C1709" s="6" t="s">
        <v>10834</v>
      </c>
      <c r="D1709" s="13">
        <v>283.24253230123497</v>
      </c>
      <c r="E1709" s="18">
        <v>21</v>
      </c>
      <c r="F1709" s="2">
        <f t="shared" si="52"/>
        <v>342.72346408449431</v>
      </c>
      <c r="G1709" s="3">
        <v>0</v>
      </c>
      <c r="H1709" s="4">
        <v>0.7</v>
      </c>
      <c r="I1709" s="28">
        <f t="shared" si="53"/>
        <v>582.62988894364037</v>
      </c>
    </row>
    <row r="1710" spans="1:9" ht="15.75" customHeight="1" x14ac:dyDescent="0.35">
      <c r="A1710" s="26" t="s">
        <v>2344</v>
      </c>
      <c r="B1710" s="25" t="s">
        <v>9340</v>
      </c>
      <c r="C1710" s="6" t="s">
        <v>12699</v>
      </c>
      <c r="D1710" s="13">
        <v>321.32624562792</v>
      </c>
      <c r="E1710" s="18">
        <v>21</v>
      </c>
      <c r="F1710" s="2">
        <f t="shared" si="52"/>
        <v>388.80475720978319</v>
      </c>
      <c r="G1710" s="3">
        <v>0</v>
      </c>
      <c r="H1710" s="4">
        <v>0.7</v>
      </c>
      <c r="I1710" s="28">
        <f t="shared" si="53"/>
        <v>660.96808725663141</v>
      </c>
    </row>
    <row r="1711" spans="1:9" ht="15.75" customHeight="1" x14ac:dyDescent="0.35">
      <c r="A1711" s="26" t="s">
        <v>13616</v>
      </c>
      <c r="B1711" s="25" t="s">
        <v>887</v>
      </c>
      <c r="C1711" s="6" t="s">
        <v>13617</v>
      </c>
      <c r="D1711" s="13">
        <v>353.4554168496</v>
      </c>
      <c r="E1711" s="18">
        <v>21</v>
      </c>
      <c r="F1711" s="2">
        <f t="shared" si="52"/>
        <v>427.68105438801604</v>
      </c>
      <c r="G1711" s="3">
        <v>0</v>
      </c>
      <c r="H1711" s="4">
        <v>0.7</v>
      </c>
      <c r="I1711" s="28">
        <f t="shared" si="53"/>
        <v>727.05779245962719</v>
      </c>
    </row>
    <row r="1712" spans="1:9" ht="15.75" customHeight="1" x14ac:dyDescent="0.35">
      <c r="A1712" s="26" t="s">
        <v>2346</v>
      </c>
      <c r="B1712" s="25" t="s">
        <v>888</v>
      </c>
      <c r="C1712" s="6" t="s">
        <v>12700</v>
      </c>
      <c r="D1712" s="13">
        <v>383.08270197600001</v>
      </c>
      <c r="E1712" s="18">
        <v>21</v>
      </c>
      <c r="F1712" s="2">
        <f t="shared" si="52"/>
        <v>463.53006939096002</v>
      </c>
      <c r="G1712" s="3">
        <v>0</v>
      </c>
      <c r="H1712" s="4">
        <v>0.7</v>
      </c>
      <c r="I1712" s="28">
        <f t="shared" si="53"/>
        <v>788.00111796463204</v>
      </c>
    </row>
    <row r="1713" spans="1:9" ht="15.75" customHeight="1" x14ac:dyDescent="0.35">
      <c r="A1713" s="26" t="s">
        <v>2345</v>
      </c>
      <c r="B1713" s="25" t="s">
        <v>12644</v>
      </c>
      <c r="C1713" s="6" t="s">
        <v>10836</v>
      </c>
      <c r="D1713" s="13">
        <v>356.28653655796501</v>
      </c>
      <c r="E1713" s="18">
        <v>21</v>
      </c>
      <c r="F1713" s="2">
        <f t="shared" si="52"/>
        <v>431.10670923513766</v>
      </c>
      <c r="G1713" s="3">
        <v>0</v>
      </c>
      <c r="H1713" s="4">
        <v>0.7</v>
      </c>
      <c r="I1713" s="28">
        <f t="shared" si="53"/>
        <v>732.88140569973405</v>
      </c>
    </row>
    <row r="1714" spans="1:9" ht="15.75" customHeight="1" x14ac:dyDescent="0.35">
      <c r="A1714" s="26" t="s">
        <v>2347</v>
      </c>
      <c r="B1714" s="25" t="s">
        <v>889</v>
      </c>
      <c r="C1714" s="6" t="s">
        <v>10837</v>
      </c>
      <c r="D1714" s="13">
        <v>579.04364016602995</v>
      </c>
      <c r="E1714" s="18">
        <v>21</v>
      </c>
      <c r="F1714" s="2">
        <f t="shared" si="52"/>
        <v>700.64280460089617</v>
      </c>
      <c r="G1714" s="3">
        <v>0</v>
      </c>
      <c r="H1714" s="4">
        <v>0.7</v>
      </c>
      <c r="I1714" s="28">
        <f t="shared" si="53"/>
        <v>1191.0927678215235</v>
      </c>
    </row>
    <row r="1715" spans="1:9" ht="15.75" customHeight="1" x14ac:dyDescent="0.35">
      <c r="A1715" s="26" t="s">
        <v>2348</v>
      </c>
      <c r="B1715" s="25" t="s">
        <v>12891</v>
      </c>
      <c r="C1715" s="6" t="s">
        <v>12701</v>
      </c>
      <c r="D1715" s="13">
        <v>411.90619218839998</v>
      </c>
      <c r="E1715" s="18">
        <v>21</v>
      </c>
      <c r="F1715" s="2">
        <f t="shared" si="52"/>
        <v>498.40649254796398</v>
      </c>
      <c r="G1715" s="3">
        <v>0</v>
      </c>
      <c r="H1715" s="4">
        <v>0.7</v>
      </c>
      <c r="I1715" s="28">
        <f t="shared" si="53"/>
        <v>847.29103733153875</v>
      </c>
    </row>
    <row r="1716" spans="1:9" ht="15.75" customHeight="1" x14ac:dyDescent="0.35">
      <c r="A1716" s="26" t="s">
        <v>2350</v>
      </c>
      <c r="B1716" s="25" t="s">
        <v>10609</v>
      </c>
      <c r="C1716" s="6" t="s">
        <v>12702</v>
      </c>
      <c r="D1716" s="13">
        <v>960.21935830079997</v>
      </c>
      <c r="E1716" s="18">
        <v>21</v>
      </c>
      <c r="F1716" s="2">
        <f t="shared" si="52"/>
        <v>1161.8654235439681</v>
      </c>
      <c r="G1716" s="3">
        <v>0</v>
      </c>
      <c r="H1716" s="4">
        <v>0.7</v>
      </c>
      <c r="I1716" s="28">
        <f t="shared" si="53"/>
        <v>1975.1712200247457</v>
      </c>
    </row>
    <row r="1717" spans="1:9" ht="15.75" customHeight="1" x14ac:dyDescent="0.35">
      <c r="A1717" s="26" t="s">
        <v>2349</v>
      </c>
      <c r="B1717" s="25" t="s">
        <v>10267</v>
      </c>
      <c r="C1717" s="6" t="s">
        <v>10838</v>
      </c>
      <c r="D1717" s="13">
        <v>1101.35933709867</v>
      </c>
      <c r="E1717" s="18">
        <v>21</v>
      </c>
      <c r="F1717" s="2">
        <f t="shared" si="52"/>
        <v>1332.6447978893907</v>
      </c>
      <c r="G1717" s="3">
        <v>0</v>
      </c>
      <c r="H1717" s="4">
        <v>0.7</v>
      </c>
      <c r="I1717" s="28">
        <f t="shared" si="53"/>
        <v>2265.496156411964</v>
      </c>
    </row>
    <row r="1718" spans="1:9" ht="15.75" customHeight="1" x14ac:dyDescent="0.35">
      <c r="A1718" s="26" t="s">
        <v>2352</v>
      </c>
      <c r="B1718" s="25" t="s">
        <v>10610</v>
      </c>
      <c r="C1718" s="6" t="s">
        <v>12703</v>
      </c>
      <c r="D1718" s="13">
        <v>1446.4259707248</v>
      </c>
      <c r="E1718" s="18">
        <v>21</v>
      </c>
      <c r="F1718" s="2">
        <f t="shared" si="52"/>
        <v>1750.175424577008</v>
      </c>
      <c r="G1718" s="3">
        <v>0</v>
      </c>
      <c r="H1718" s="4">
        <v>0.7</v>
      </c>
      <c r="I1718" s="28">
        <f t="shared" si="53"/>
        <v>2975.2982217809135</v>
      </c>
    </row>
    <row r="1719" spans="1:9" ht="15.75" customHeight="1" x14ac:dyDescent="0.35">
      <c r="A1719" s="26" t="s">
        <v>2351</v>
      </c>
      <c r="B1719" s="25" t="s">
        <v>11268</v>
      </c>
      <c r="C1719" s="6" t="s">
        <v>10839</v>
      </c>
      <c r="D1719" s="13">
        <v>1872.19865286441</v>
      </c>
      <c r="E1719" s="18">
        <v>21</v>
      </c>
      <c r="F1719" s="2">
        <f t="shared" si="52"/>
        <v>2265.3603699659361</v>
      </c>
      <c r="G1719" s="3">
        <v>0</v>
      </c>
      <c r="H1719" s="4">
        <v>0.7</v>
      </c>
      <c r="I1719" s="28">
        <f t="shared" si="53"/>
        <v>3851.1126289420913</v>
      </c>
    </row>
    <row r="1720" spans="1:9" ht="15.75" customHeight="1" x14ac:dyDescent="0.35">
      <c r="A1720" s="26" t="s">
        <v>2354</v>
      </c>
      <c r="B1720" s="25" t="s">
        <v>10611</v>
      </c>
      <c r="C1720" s="6" t="s">
        <v>12704</v>
      </c>
      <c r="D1720" s="13">
        <v>2517.3010955196</v>
      </c>
      <c r="E1720" s="18">
        <v>21</v>
      </c>
      <c r="F1720" s="2">
        <f t="shared" si="52"/>
        <v>3045.9343255787162</v>
      </c>
      <c r="G1720" s="3">
        <v>0</v>
      </c>
      <c r="H1720" s="4">
        <v>0.7</v>
      </c>
      <c r="I1720" s="28">
        <f t="shared" si="53"/>
        <v>5178.0883534838176</v>
      </c>
    </row>
    <row r="1721" spans="1:9" ht="15.75" customHeight="1" x14ac:dyDescent="0.35">
      <c r="A1721" s="26" t="s">
        <v>2353</v>
      </c>
      <c r="B1721" s="25" t="s">
        <v>10027</v>
      </c>
      <c r="C1721" s="6" t="s">
        <v>10981</v>
      </c>
      <c r="D1721" s="13">
        <v>4077.95609885975</v>
      </c>
      <c r="E1721" s="18">
        <v>21</v>
      </c>
      <c r="F1721" s="2">
        <f t="shared" si="52"/>
        <v>4934.3268796202974</v>
      </c>
      <c r="G1721" s="3">
        <v>0</v>
      </c>
      <c r="H1721" s="4">
        <v>0.7</v>
      </c>
      <c r="I1721" s="28">
        <f t="shared" si="53"/>
        <v>8388.3556953545049</v>
      </c>
    </row>
    <row r="1722" spans="1:9" ht="15.75" customHeight="1" x14ac:dyDescent="0.35">
      <c r="A1722" s="26" t="s">
        <v>2792</v>
      </c>
      <c r="B1722" s="25" t="s">
        <v>890</v>
      </c>
      <c r="C1722" s="6" t="s">
        <v>13986</v>
      </c>
      <c r="D1722" s="13">
        <v>18244.945784</v>
      </c>
      <c r="E1722" s="18">
        <v>21</v>
      </c>
      <c r="F1722" s="2">
        <f t="shared" si="52"/>
        <v>22076.384398639999</v>
      </c>
      <c r="G1722" s="3">
        <v>0</v>
      </c>
      <c r="H1722" s="4">
        <v>0.7</v>
      </c>
      <c r="I1722" s="28">
        <f t="shared" si="53"/>
        <v>37529.853477687997</v>
      </c>
    </row>
    <row r="1723" spans="1:9" ht="15.75" customHeight="1" x14ac:dyDescent="0.35">
      <c r="A1723" s="26" t="s">
        <v>2793</v>
      </c>
      <c r="B1723" s="25" t="s">
        <v>10612</v>
      </c>
      <c r="C1723" s="6" t="s">
        <v>13987</v>
      </c>
      <c r="D1723" s="13">
        <v>23368.833384000001</v>
      </c>
      <c r="E1723" s="18">
        <v>21</v>
      </c>
      <c r="F1723" s="2">
        <f t="shared" si="52"/>
        <v>28276.288394640003</v>
      </c>
      <c r="G1723" s="3">
        <v>0</v>
      </c>
      <c r="H1723" s="4">
        <v>0.7</v>
      </c>
      <c r="I1723" s="28">
        <f t="shared" si="53"/>
        <v>48069.690270888008</v>
      </c>
    </row>
    <row r="1724" spans="1:9" ht="15.75" customHeight="1" x14ac:dyDescent="0.35">
      <c r="A1724" s="26" t="s">
        <v>2789</v>
      </c>
      <c r="B1724" s="25" t="s">
        <v>11300</v>
      </c>
      <c r="C1724" s="6" t="s">
        <v>12647</v>
      </c>
      <c r="D1724" s="13">
        <v>7025.0730160000003</v>
      </c>
      <c r="E1724" s="18">
        <v>21</v>
      </c>
      <c r="F1724" s="2">
        <f t="shared" si="52"/>
        <v>8500.3383493599995</v>
      </c>
      <c r="G1724" s="3">
        <v>0</v>
      </c>
      <c r="H1724" s="4">
        <v>0.7</v>
      </c>
      <c r="I1724" s="28">
        <f t="shared" si="53"/>
        <v>14450.575193911998</v>
      </c>
    </row>
    <row r="1725" spans="1:9" ht="15.75" customHeight="1" x14ac:dyDescent="0.35">
      <c r="A1725" s="26" t="s">
        <v>2410</v>
      </c>
      <c r="B1725" s="25" t="s">
        <v>12996</v>
      </c>
      <c r="C1725" s="6" t="s">
        <v>905</v>
      </c>
      <c r="D1725" s="13">
        <v>5723.7681734999996</v>
      </c>
      <c r="E1725" s="18">
        <v>21</v>
      </c>
      <c r="F1725" s="2">
        <f t="shared" si="52"/>
        <v>6925.7594899349997</v>
      </c>
      <c r="G1725" s="3">
        <v>0</v>
      </c>
      <c r="H1725" s="4">
        <v>0.7</v>
      </c>
      <c r="I1725" s="28">
        <f t="shared" si="53"/>
        <v>11773.791132889499</v>
      </c>
    </row>
    <row r="1726" spans="1:9" ht="15.75" customHeight="1" x14ac:dyDescent="0.35">
      <c r="A1726" s="26" t="s">
        <v>2411</v>
      </c>
      <c r="B1726" s="25" t="s">
        <v>10613</v>
      </c>
      <c r="C1726" s="6" t="s">
        <v>906</v>
      </c>
      <c r="D1726" s="13">
        <v>6149.0239979999997</v>
      </c>
      <c r="E1726" s="18">
        <v>21</v>
      </c>
      <c r="F1726" s="2">
        <f t="shared" si="52"/>
        <v>7440.3190375799995</v>
      </c>
      <c r="G1726" s="3">
        <v>0</v>
      </c>
      <c r="H1726" s="4">
        <v>0.7</v>
      </c>
      <c r="I1726" s="28">
        <f t="shared" si="53"/>
        <v>12648.542363885999</v>
      </c>
    </row>
    <row r="1727" spans="1:9" ht="15.75" customHeight="1" x14ac:dyDescent="0.35">
      <c r="A1727" s="26" t="s">
        <v>2412</v>
      </c>
      <c r="B1727" s="25" t="s">
        <v>10269</v>
      </c>
      <c r="C1727" s="6" t="s">
        <v>907</v>
      </c>
      <c r="D1727" s="13">
        <v>6275.7246240000004</v>
      </c>
      <c r="E1727" s="18">
        <v>21</v>
      </c>
      <c r="F1727" s="2">
        <f t="shared" si="52"/>
        <v>7593.6267950400006</v>
      </c>
      <c r="G1727" s="3">
        <v>0</v>
      </c>
      <c r="H1727" s="4">
        <v>0.7</v>
      </c>
      <c r="I1727" s="28">
        <f t="shared" si="53"/>
        <v>12909.165551568001</v>
      </c>
    </row>
    <row r="1728" spans="1:9" ht="15.75" customHeight="1" x14ac:dyDescent="0.35">
      <c r="A1728" s="26" t="s">
        <v>2413</v>
      </c>
      <c r="B1728" s="25" t="s">
        <v>1147</v>
      </c>
      <c r="C1728" s="6" t="s">
        <v>908</v>
      </c>
      <c r="D1728" s="13">
        <v>7601.3636205000003</v>
      </c>
      <c r="E1728" s="18">
        <v>21</v>
      </c>
      <c r="F1728" s="2">
        <f t="shared" si="52"/>
        <v>9197.6499808049994</v>
      </c>
      <c r="G1728" s="3">
        <v>0</v>
      </c>
      <c r="H1728" s="4">
        <v>0.7</v>
      </c>
      <c r="I1728" s="28">
        <f t="shared" si="53"/>
        <v>15636.004967368499</v>
      </c>
    </row>
    <row r="1729" spans="1:9" ht="15.75" customHeight="1" x14ac:dyDescent="0.35">
      <c r="A1729" s="26" t="s">
        <v>2414</v>
      </c>
      <c r="B1729" s="25" t="s">
        <v>891</v>
      </c>
      <c r="C1729" s="6" t="s">
        <v>909</v>
      </c>
      <c r="D1729" s="13">
        <v>5321.4262920000001</v>
      </c>
      <c r="E1729" s="18">
        <v>21</v>
      </c>
      <c r="F1729" s="2">
        <f t="shared" si="52"/>
        <v>6438.9258133200001</v>
      </c>
      <c r="G1729" s="3">
        <v>0</v>
      </c>
      <c r="H1729" s="4">
        <v>0.7</v>
      </c>
      <c r="I1729" s="28">
        <f t="shared" si="53"/>
        <v>10946.173882644</v>
      </c>
    </row>
    <row r="1730" spans="1:9" ht="15.75" customHeight="1" x14ac:dyDescent="0.35">
      <c r="A1730" s="26" t="s">
        <v>13739</v>
      </c>
      <c r="B1730" s="25" t="s">
        <v>892</v>
      </c>
      <c r="C1730" s="6" t="s">
        <v>13740</v>
      </c>
      <c r="D1730" s="13">
        <v>14107.575553500001</v>
      </c>
      <c r="E1730" s="18">
        <v>21</v>
      </c>
      <c r="F1730" s="2">
        <f t="shared" si="52"/>
        <v>17070.166419735</v>
      </c>
      <c r="G1730" s="3">
        <v>0</v>
      </c>
      <c r="H1730" s="4">
        <v>0.7</v>
      </c>
      <c r="I1730" s="28">
        <f t="shared" si="53"/>
        <v>29019.282913549498</v>
      </c>
    </row>
    <row r="1731" spans="1:9" ht="15.75" customHeight="1" x14ac:dyDescent="0.35">
      <c r="A1731" s="26" t="s">
        <v>2415</v>
      </c>
      <c r="B1731" s="25" t="s">
        <v>10614</v>
      </c>
      <c r="C1731" s="6" t="s">
        <v>14018</v>
      </c>
      <c r="D1731" s="13">
        <v>12198.30495</v>
      </c>
      <c r="E1731" s="18">
        <v>21</v>
      </c>
      <c r="F1731" s="2">
        <f t="shared" si="52"/>
        <v>14759.948989500001</v>
      </c>
      <c r="G1731" s="3">
        <v>0</v>
      </c>
      <c r="H1731" s="4">
        <v>0.7</v>
      </c>
      <c r="I1731" s="28">
        <f t="shared" si="53"/>
        <v>25091.913282149999</v>
      </c>
    </row>
    <row r="1732" spans="1:9" ht="15.75" customHeight="1" x14ac:dyDescent="0.35">
      <c r="A1732" s="26" t="s">
        <v>10119</v>
      </c>
      <c r="B1732" s="25" t="s">
        <v>10271</v>
      </c>
      <c r="C1732" s="6" t="s">
        <v>10120</v>
      </c>
      <c r="D1732" s="13">
        <v>9377.9342149999993</v>
      </c>
      <c r="E1732" s="18">
        <v>21</v>
      </c>
      <c r="F1732" s="2">
        <f t="shared" si="52"/>
        <v>11347.300400149999</v>
      </c>
      <c r="G1732" s="3">
        <v>0</v>
      </c>
      <c r="H1732" s="4">
        <v>0.7</v>
      </c>
      <c r="I1732" s="28">
        <f t="shared" si="53"/>
        <v>19290.410680254998</v>
      </c>
    </row>
    <row r="1733" spans="1:9" ht="15.75" customHeight="1" x14ac:dyDescent="0.35">
      <c r="A1733" s="26" t="s">
        <v>10121</v>
      </c>
      <c r="B1733" s="25" t="s">
        <v>10615</v>
      </c>
      <c r="C1733" s="6" t="s">
        <v>10122</v>
      </c>
      <c r="D1733" s="13">
        <v>6138.1405358000002</v>
      </c>
      <c r="E1733" s="18">
        <v>21</v>
      </c>
      <c r="F1733" s="2">
        <f t="shared" si="52"/>
        <v>7427.1500483180007</v>
      </c>
      <c r="G1733" s="3">
        <v>0</v>
      </c>
      <c r="H1733" s="4">
        <v>0.7</v>
      </c>
      <c r="I1733" s="28">
        <f t="shared" si="53"/>
        <v>12626.155082140602</v>
      </c>
    </row>
    <row r="1734" spans="1:9" ht="15.75" customHeight="1" x14ac:dyDescent="0.35">
      <c r="A1734" s="26" t="s">
        <v>2305</v>
      </c>
      <c r="B1734" s="25" t="s">
        <v>13387</v>
      </c>
      <c r="C1734" s="6" t="s">
        <v>1155</v>
      </c>
      <c r="D1734" s="13">
        <v>2541.7367876128001</v>
      </c>
      <c r="E1734" s="18">
        <v>21</v>
      </c>
      <c r="F1734" s="2">
        <f t="shared" ref="F1734:F1797" si="54">D1734*E1734/100+D1734</f>
        <v>3075.501513011488</v>
      </c>
      <c r="G1734" s="3">
        <v>0</v>
      </c>
      <c r="H1734" s="4">
        <v>0.7</v>
      </c>
      <c r="I1734" s="28">
        <f t="shared" ref="I1734:I1797" si="55">IF(G1734=-1,0,F1734*((100-G1734)/100)*(1+H1734))</f>
        <v>5228.3525721195292</v>
      </c>
    </row>
    <row r="1735" spans="1:9" ht="15.75" customHeight="1" x14ac:dyDescent="0.35">
      <c r="A1735" s="26" t="s">
        <v>12091</v>
      </c>
      <c r="B1735" s="25" t="s">
        <v>1097</v>
      </c>
      <c r="C1735" s="6" t="s">
        <v>12092</v>
      </c>
      <c r="D1735" s="13">
        <v>14402.568122799999</v>
      </c>
      <c r="E1735" s="18">
        <v>21</v>
      </c>
      <c r="F1735" s="2">
        <f t="shared" si="54"/>
        <v>17427.107428587999</v>
      </c>
      <c r="G1735" s="3">
        <v>0</v>
      </c>
      <c r="H1735" s="4">
        <v>0.7</v>
      </c>
      <c r="I1735" s="28">
        <f t="shared" si="55"/>
        <v>29626.082628599597</v>
      </c>
    </row>
    <row r="1736" spans="1:9" ht="15.75" customHeight="1" x14ac:dyDescent="0.35">
      <c r="A1736" s="26" t="s">
        <v>12093</v>
      </c>
      <c r="B1736" s="25" t="s">
        <v>1098</v>
      </c>
      <c r="C1736" s="6" t="s">
        <v>12094</v>
      </c>
      <c r="D1736" s="13">
        <v>14402.568122799999</v>
      </c>
      <c r="E1736" s="18">
        <v>21</v>
      </c>
      <c r="F1736" s="2">
        <f t="shared" si="54"/>
        <v>17427.107428587999</v>
      </c>
      <c r="G1736" s="3">
        <v>0</v>
      </c>
      <c r="H1736" s="4">
        <v>0.7</v>
      </c>
      <c r="I1736" s="28">
        <f t="shared" si="55"/>
        <v>29626.082628599597</v>
      </c>
    </row>
    <row r="1737" spans="1:9" ht="15.75" customHeight="1" x14ac:dyDescent="0.35">
      <c r="A1737" s="26" t="s">
        <v>13230</v>
      </c>
      <c r="B1737" s="25" t="s">
        <v>10273</v>
      </c>
      <c r="C1737" s="6" t="s">
        <v>13231</v>
      </c>
      <c r="D1737" s="13">
        <v>1591.6838820999999</v>
      </c>
      <c r="E1737" s="18">
        <v>21</v>
      </c>
      <c r="F1737" s="2">
        <f t="shared" si="54"/>
        <v>1925.9374973409999</v>
      </c>
      <c r="G1737" s="3">
        <v>0</v>
      </c>
      <c r="H1737" s="4">
        <v>0.7</v>
      </c>
      <c r="I1737" s="28">
        <f t="shared" si="55"/>
        <v>3274.0937454796999</v>
      </c>
    </row>
    <row r="1738" spans="1:9" ht="15.75" customHeight="1" x14ac:dyDescent="0.35">
      <c r="A1738" s="26" t="s">
        <v>2306</v>
      </c>
      <c r="B1738" s="25" t="s">
        <v>10616</v>
      </c>
      <c r="C1738" s="6" t="s">
        <v>13232</v>
      </c>
      <c r="D1738" s="13">
        <v>1591.6838820999999</v>
      </c>
      <c r="E1738" s="18">
        <v>21</v>
      </c>
      <c r="F1738" s="2">
        <f t="shared" si="54"/>
        <v>1925.9374973409999</v>
      </c>
      <c r="G1738" s="3">
        <v>0</v>
      </c>
      <c r="H1738" s="4">
        <v>0.7</v>
      </c>
      <c r="I1738" s="28">
        <f t="shared" si="55"/>
        <v>3274.0937454796999</v>
      </c>
    </row>
    <row r="1739" spans="1:9" ht="15.75" customHeight="1" x14ac:dyDescent="0.35">
      <c r="A1739" s="26" t="s">
        <v>2307</v>
      </c>
      <c r="B1739" s="25" t="s">
        <v>1148</v>
      </c>
      <c r="C1739" s="6" t="s">
        <v>1156</v>
      </c>
      <c r="D1739" s="13">
        <v>1984.4611084999999</v>
      </c>
      <c r="E1739" s="18">
        <v>21</v>
      </c>
      <c r="F1739" s="2">
        <f t="shared" si="54"/>
        <v>2401.1979412850001</v>
      </c>
      <c r="G1739" s="3">
        <v>0</v>
      </c>
      <c r="H1739" s="4">
        <v>0.7</v>
      </c>
      <c r="I1739" s="28">
        <f t="shared" si="55"/>
        <v>4082.0365001844998</v>
      </c>
    </row>
    <row r="1740" spans="1:9" ht="15.75" customHeight="1" x14ac:dyDescent="0.35">
      <c r="A1740" s="26" t="s">
        <v>9325</v>
      </c>
      <c r="B1740" s="25" t="s">
        <v>893</v>
      </c>
      <c r="C1740" s="6" t="s">
        <v>9326</v>
      </c>
      <c r="D1740" s="13">
        <v>10325.950704062499</v>
      </c>
      <c r="E1740" s="18">
        <v>21</v>
      </c>
      <c r="F1740" s="2">
        <f t="shared" si="54"/>
        <v>12494.400351915625</v>
      </c>
      <c r="G1740" s="3">
        <v>0</v>
      </c>
      <c r="H1740" s="4">
        <v>0.7</v>
      </c>
      <c r="I1740" s="28">
        <f t="shared" si="55"/>
        <v>21240.480598256563</v>
      </c>
    </row>
    <row r="1741" spans="1:9" ht="15.75" customHeight="1" x14ac:dyDescent="0.35">
      <c r="A1741" s="26" t="s">
        <v>2259</v>
      </c>
      <c r="B1741" s="25" t="s">
        <v>894</v>
      </c>
      <c r="C1741" s="6" t="s">
        <v>239</v>
      </c>
      <c r="D1741" s="13">
        <v>874.27219546062497</v>
      </c>
      <c r="E1741" s="18">
        <v>21</v>
      </c>
      <c r="F1741" s="2">
        <f t="shared" si="54"/>
        <v>1057.8693565073563</v>
      </c>
      <c r="G1741" s="3">
        <v>0</v>
      </c>
      <c r="H1741" s="4">
        <v>0.7</v>
      </c>
      <c r="I1741" s="28">
        <f t="shared" si="55"/>
        <v>1798.3779060625056</v>
      </c>
    </row>
    <row r="1742" spans="1:9" ht="15.75" customHeight="1" x14ac:dyDescent="0.35">
      <c r="A1742" s="26" t="s">
        <v>2261</v>
      </c>
      <c r="B1742" s="25" t="s">
        <v>9954</v>
      </c>
      <c r="C1742" s="6" t="s">
        <v>241</v>
      </c>
      <c r="D1742" s="13">
        <v>6912.4160824874998</v>
      </c>
      <c r="E1742" s="18">
        <v>21</v>
      </c>
      <c r="F1742" s="2">
        <f t="shared" si="54"/>
        <v>8364.0234598098741</v>
      </c>
      <c r="G1742" s="3">
        <v>0</v>
      </c>
      <c r="H1742" s="4">
        <v>0.7</v>
      </c>
      <c r="I1742" s="28">
        <f t="shared" si="55"/>
        <v>14218.839881676786</v>
      </c>
    </row>
    <row r="1743" spans="1:9" ht="15.75" customHeight="1" x14ac:dyDescent="0.35">
      <c r="A1743" s="26" t="s">
        <v>2262</v>
      </c>
      <c r="B1743" s="25" t="s">
        <v>895</v>
      </c>
      <c r="C1743" s="6" t="s">
        <v>242</v>
      </c>
      <c r="D1743" s="13">
        <v>3715.6318016187502</v>
      </c>
      <c r="E1743" s="18">
        <v>21</v>
      </c>
      <c r="F1743" s="2">
        <f t="shared" si="54"/>
        <v>4495.9144799586875</v>
      </c>
      <c r="G1743" s="3">
        <v>0</v>
      </c>
      <c r="H1743" s="4">
        <v>0.7</v>
      </c>
      <c r="I1743" s="28">
        <f t="shared" si="55"/>
        <v>7643.0546159297683</v>
      </c>
    </row>
    <row r="1744" spans="1:9" ht="15.75" customHeight="1" x14ac:dyDescent="0.35">
      <c r="A1744" s="26" t="s">
        <v>3346</v>
      </c>
      <c r="B1744" s="25" t="s">
        <v>896</v>
      </c>
      <c r="C1744" s="6" t="s">
        <v>3347</v>
      </c>
      <c r="D1744" s="13">
        <v>2156.7228527812499</v>
      </c>
      <c r="E1744" s="18">
        <v>21</v>
      </c>
      <c r="F1744" s="2">
        <f t="shared" si="54"/>
        <v>2609.6346518653127</v>
      </c>
      <c r="G1744" s="3">
        <v>0</v>
      </c>
      <c r="H1744" s="4">
        <v>0.7</v>
      </c>
      <c r="I1744" s="28">
        <f t="shared" si="55"/>
        <v>4436.3789081710311</v>
      </c>
    </row>
    <row r="1745" spans="1:9" ht="15.75" customHeight="1" x14ac:dyDescent="0.35">
      <c r="A1745" s="26" t="s">
        <v>2263</v>
      </c>
      <c r="B1745" s="25" t="s">
        <v>897</v>
      </c>
      <c r="C1745" s="6" t="s">
        <v>243</v>
      </c>
      <c r="D1745" s="13">
        <v>1040.9778536624999</v>
      </c>
      <c r="E1745" s="18">
        <v>21</v>
      </c>
      <c r="F1745" s="2">
        <f t="shared" si="54"/>
        <v>1259.5832029316248</v>
      </c>
      <c r="G1745" s="3">
        <v>0</v>
      </c>
      <c r="H1745" s="4">
        <v>0.7</v>
      </c>
      <c r="I1745" s="28">
        <f t="shared" si="55"/>
        <v>2141.2914449837622</v>
      </c>
    </row>
    <row r="1746" spans="1:9" ht="15.75" customHeight="1" x14ac:dyDescent="0.35">
      <c r="A1746" s="26" t="s">
        <v>2264</v>
      </c>
      <c r="B1746" s="25" t="s">
        <v>898</v>
      </c>
      <c r="C1746" s="6" t="s">
        <v>244</v>
      </c>
      <c r="D1746" s="13">
        <v>1690.02999026875</v>
      </c>
      <c r="E1746" s="18">
        <v>21</v>
      </c>
      <c r="F1746" s="2">
        <f t="shared" si="54"/>
        <v>2044.9362882251876</v>
      </c>
      <c r="G1746" s="3">
        <v>0</v>
      </c>
      <c r="H1746" s="4">
        <v>0.7</v>
      </c>
      <c r="I1746" s="28">
        <f t="shared" si="55"/>
        <v>3476.3916899828187</v>
      </c>
    </row>
    <row r="1747" spans="1:9" ht="15.75" customHeight="1" x14ac:dyDescent="0.35">
      <c r="A1747" s="26" t="s">
        <v>2416</v>
      </c>
      <c r="B1747" s="25" t="s">
        <v>899</v>
      </c>
      <c r="C1747" s="6" t="s">
        <v>910</v>
      </c>
      <c r="D1747" s="13">
        <v>2289.3724815</v>
      </c>
      <c r="E1747" s="18">
        <v>21</v>
      </c>
      <c r="F1747" s="2">
        <f t="shared" si="54"/>
        <v>2770.140702615</v>
      </c>
      <c r="G1747" s="3">
        <v>0</v>
      </c>
      <c r="H1747" s="4">
        <v>0.7</v>
      </c>
      <c r="I1747" s="28">
        <f t="shared" si="55"/>
        <v>4709.2391944455003</v>
      </c>
    </row>
    <row r="1748" spans="1:9" ht="15.75" customHeight="1" x14ac:dyDescent="0.35">
      <c r="A1748" s="26" t="s">
        <v>2417</v>
      </c>
      <c r="B1748" s="25" t="s">
        <v>900</v>
      </c>
      <c r="C1748" s="6" t="s">
        <v>911</v>
      </c>
      <c r="D1748" s="13">
        <v>3209.2998990000001</v>
      </c>
      <c r="E1748" s="18">
        <v>21</v>
      </c>
      <c r="F1748" s="2">
        <f t="shared" si="54"/>
        <v>3883.2528777900002</v>
      </c>
      <c r="G1748" s="3">
        <v>0</v>
      </c>
      <c r="H1748" s="4">
        <v>0.7</v>
      </c>
      <c r="I1748" s="28">
        <f t="shared" si="55"/>
        <v>6601.5298922430002</v>
      </c>
    </row>
    <row r="1749" spans="1:9" ht="15.75" customHeight="1" x14ac:dyDescent="0.35">
      <c r="A1749" s="26" t="s">
        <v>2418</v>
      </c>
      <c r="B1749" s="25" t="s">
        <v>10617</v>
      </c>
      <c r="C1749" s="6" t="s">
        <v>912</v>
      </c>
      <c r="D1749" s="13">
        <v>3674.318154</v>
      </c>
      <c r="E1749" s="18">
        <v>21</v>
      </c>
      <c r="F1749" s="2">
        <f t="shared" si="54"/>
        <v>4445.9249663400005</v>
      </c>
      <c r="G1749" s="3">
        <v>0</v>
      </c>
      <c r="H1749" s="4">
        <v>0.7</v>
      </c>
      <c r="I1749" s="28">
        <f t="shared" si="55"/>
        <v>7558.0724427780005</v>
      </c>
    </row>
    <row r="1750" spans="1:9" ht="15.75" customHeight="1" x14ac:dyDescent="0.35">
      <c r="A1750" s="26" t="s">
        <v>2419</v>
      </c>
      <c r="B1750" s="25" t="s">
        <v>10275</v>
      </c>
      <c r="C1750" s="6" t="s">
        <v>913</v>
      </c>
      <c r="D1750" s="13">
        <v>5950.2118455</v>
      </c>
      <c r="E1750" s="18">
        <v>21</v>
      </c>
      <c r="F1750" s="2">
        <f t="shared" si="54"/>
        <v>7199.7563330550001</v>
      </c>
      <c r="G1750" s="3">
        <v>0</v>
      </c>
      <c r="H1750" s="4">
        <v>0.7</v>
      </c>
      <c r="I1750" s="28">
        <f t="shared" si="55"/>
        <v>12239.585766193501</v>
      </c>
    </row>
    <row r="1751" spans="1:9" ht="15.75" customHeight="1" x14ac:dyDescent="0.35">
      <c r="A1751" s="26" t="s">
        <v>2420</v>
      </c>
      <c r="B1751" s="25" t="s">
        <v>1149</v>
      </c>
      <c r="C1751" s="6" t="s">
        <v>914</v>
      </c>
      <c r="D1751" s="13">
        <v>1754.2645184999999</v>
      </c>
      <c r="E1751" s="18">
        <v>21</v>
      </c>
      <c r="F1751" s="2">
        <f t="shared" si="54"/>
        <v>2122.6600673849998</v>
      </c>
      <c r="G1751" s="3">
        <v>0</v>
      </c>
      <c r="H1751" s="4">
        <v>0.7</v>
      </c>
      <c r="I1751" s="28">
        <f t="shared" si="55"/>
        <v>3608.5221145544997</v>
      </c>
    </row>
    <row r="1752" spans="1:9" ht="15.75" customHeight="1" x14ac:dyDescent="0.35">
      <c r="A1752" s="26" t="s">
        <v>2421</v>
      </c>
      <c r="B1752" s="25" t="s">
        <v>10652</v>
      </c>
      <c r="C1752" s="6" t="s">
        <v>915</v>
      </c>
      <c r="D1752" s="13">
        <v>2441.6828085000002</v>
      </c>
      <c r="E1752" s="18">
        <v>21</v>
      </c>
      <c r="F1752" s="2">
        <f t="shared" si="54"/>
        <v>2954.4361982850005</v>
      </c>
      <c r="G1752" s="3">
        <v>0</v>
      </c>
      <c r="H1752" s="4">
        <v>0.7</v>
      </c>
      <c r="I1752" s="28">
        <f t="shared" si="55"/>
        <v>5022.5415370845003</v>
      </c>
    </row>
    <row r="1753" spans="1:9" ht="15.75" customHeight="1" x14ac:dyDescent="0.35">
      <c r="A1753" s="26" t="s">
        <v>2422</v>
      </c>
      <c r="B1753" s="25" t="s">
        <v>10277</v>
      </c>
      <c r="C1753" s="6" t="s">
        <v>916</v>
      </c>
      <c r="D1753" s="13">
        <v>3374.4150764999999</v>
      </c>
      <c r="E1753" s="18">
        <v>21</v>
      </c>
      <c r="F1753" s="2">
        <f t="shared" si="54"/>
        <v>4083.0422425649999</v>
      </c>
      <c r="G1753" s="3">
        <v>0</v>
      </c>
      <c r="H1753" s="4">
        <v>0.7</v>
      </c>
      <c r="I1753" s="28">
        <f t="shared" si="55"/>
        <v>6941.1718123604996</v>
      </c>
    </row>
    <row r="1754" spans="1:9" ht="15.75" customHeight="1" x14ac:dyDescent="0.35">
      <c r="A1754" s="26" t="s">
        <v>2423</v>
      </c>
      <c r="B1754" s="25" t="s">
        <v>901</v>
      </c>
      <c r="C1754" s="6" t="s">
        <v>917</v>
      </c>
      <c r="D1754" s="13">
        <v>4251.8843054999998</v>
      </c>
      <c r="E1754" s="18">
        <v>21</v>
      </c>
      <c r="F1754" s="2">
        <f t="shared" si="54"/>
        <v>5144.780009655</v>
      </c>
      <c r="G1754" s="3">
        <v>0</v>
      </c>
      <c r="H1754" s="4">
        <v>0.7</v>
      </c>
      <c r="I1754" s="28">
        <f t="shared" si="55"/>
        <v>8746.1260164135001</v>
      </c>
    </row>
    <row r="1755" spans="1:9" ht="15.75" customHeight="1" x14ac:dyDescent="0.35">
      <c r="A1755" s="26" t="s">
        <v>2424</v>
      </c>
      <c r="B1755" s="25" t="s">
        <v>10731</v>
      </c>
      <c r="C1755" s="6" t="s">
        <v>918</v>
      </c>
      <c r="D1755" s="13">
        <v>8038.7503559999996</v>
      </c>
      <c r="E1755" s="18">
        <v>21</v>
      </c>
      <c r="F1755" s="2">
        <f t="shared" si="54"/>
        <v>9726.88793076</v>
      </c>
      <c r="G1755" s="3">
        <v>0</v>
      </c>
      <c r="H1755" s="4">
        <v>0.7</v>
      </c>
      <c r="I1755" s="28">
        <f t="shared" si="55"/>
        <v>16535.709482292001</v>
      </c>
    </row>
    <row r="1756" spans="1:9" ht="15.75" customHeight="1" x14ac:dyDescent="0.35">
      <c r="A1756" s="26" t="s">
        <v>13901</v>
      </c>
      <c r="B1756" s="25" t="s">
        <v>902</v>
      </c>
      <c r="C1756" s="6" t="s">
        <v>13902</v>
      </c>
      <c r="D1756" s="13">
        <v>14797.6896015</v>
      </c>
      <c r="E1756" s="18">
        <v>21</v>
      </c>
      <c r="F1756" s="2">
        <f t="shared" si="54"/>
        <v>17905.204417814999</v>
      </c>
      <c r="G1756" s="3">
        <v>0</v>
      </c>
      <c r="H1756" s="4">
        <v>0.7</v>
      </c>
      <c r="I1756" s="28">
        <f t="shared" si="55"/>
        <v>30438.847510285497</v>
      </c>
    </row>
    <row r="1757" spans="1:9" ht="15.75" customHeight="1" x14ac:dyDescent="0.35">
      <c r="A1757" s="26" t="s">
        <v>2425</v>
      </c>
      <c r="B1757" s="25" t="s">
        <v>903</v>
      </c>
      <c r="C1757" s="6" t="s">
        <v>919</v>
      </c>
      <c r="D1757" s="13">
        <v>1579.0402485</v>
      </c>
      <c r="E1757" s="18">
        <v>21</v>
      </c>
      <c r="F1757" s="2">
        <f t="shared" si="54"/>
        <v>1910.638700685</v>
      </c>
      <c r="G1757" s="3">
        <v>0</v>
      </c>
      <c r="H1757" s="4">
        <v>0.7</v>
      </c>
      <c r="I1757" s="28">
        <f t="shared" si="55"/>
        <v>3248.0857911644998</v>
      </c>
    </row>
    <row r="1758" spans="1:9" ht="15.75" customHeight="1" x14ac:dyDescent="0.35">
      <c r="A1758" s="26" t="s">
        <v>13741</v>
      </c>
      <c r="B1758" s="25" t="s">
        <v>9545</v>
      </c>
      <c r="C1758" s="6" t="s">
        <v>13742</v>
      </c>
      <c r="D1758" s="13">
        <v>23051.426658</v>
      </c>
      <c r="E1758" s="18">
        <v>21</v>
      </c>
      <c r="F1758" s="2">
        <f t="shared" si="54"/>
        <v>27892.226256180002</v>
      </c>
      <c r="G1758" s="3">
        <v>0</v>
      </c>
      <c r="H1758" s="4">
        <v>0.7</v>
      </c>
      <c r="I1758" s="28">
        <f t="shared" si="55"/>
        <v>47416.784635506003</v>
      </c>
    </row>
    <row r="1759" spans="1:9" ht="15.75" customHeight="1" x14ac:dyDescent="0.35">
      <c r="A1759" s="26" t="s">
        <v>8974</v>
      </c>
      <c r="B1759" s="25" t="s">
        <v>10618</v>
      </c>
      <c r="C1759" s="6" t="s">
        <v>10123</v>
      </c>
      <c r="D1759" s="13">
        <v>26110.09473579</v>
      </c>
      <c r="E1759" s="18">
        <v>21</v>
      </c>
      <c r="F1759" s="2">
        <f t="shared" si="54"/>
        <v>31593.214630305902</v>
      </c>
      <c r="G1759" s="3">
        <v>0</v>
      </c>
      <c r="H1759" s="4">
        <v>0.7</v>
      </c>
      <c r="I1759" s="28">
        <f t="shared" si="55"/>
        <v>53708.464871520031</v>
      </c>
    </row>
    <row r="1760" spans="1:9" ht="15.75" customHeight="1" x14ac:dyDescent="0.35">
      <c r="A1760" s="26" t="s">
        <v>8975</v>
      </c>
      <c r="B1760" s="25" t="s">
        <v>10619</v>
      </c>
      <c r="C1760" s="6" t="s">
        <v>10124</v>
      </c>
      <c r="D1760" s="13">
        <v>26110.09473579</v>
      </c>
      <c r="E1760" s="18">
        <v>21</v>
      </c>
      <c r="F1760" s="2">
        <f t="shared" si="54"/>
        <v>31593.214630305902</v>
      </c>
      <c r="G1760" s="3">
        <v>0</v>
      </c>
      <c r="H1760" s="4">
        <v>0.7</v>
      </c>
      <c r="I1760" s="28">
        <f t="shared" si="55"/>
        <v>53708.464871520031</v>
      </c>
    </row>
    <row r="1761" spans="1:9" ht="15.75" customHeight="1" x14ac:dyDescent="0.35">
      <c r="A1761" s="26" t="s">
        <v>8976</v>
      </c>
      <c r="B1761" s="25" t="s">
        <v>10620</v>
      </c>
      <c r="C1761" s="6" t="s">
        <v>8988</v>
      </c>
      <c r="D1761" s="13">
        <v>26110.09473579</v>
      </c>
      <c r="E1761" s="18">
        <v>21</v>
      </c>
      <c r="F1761" s="2">
        <f t="shared" si="54"/>
        <v>31593.214630305902</v>
      </c>
      <c r="G1761" s="3">
        <v>0</v>
      </c>
      <c r="H1761" s="4">
        <v>0.7</v>
      </c>
      <c r="I1761" s="28">
        <f t="shared" si="55"/>
        <v>53708.464871520031</v>
      </c>
    </row>
    <row r="1762" spans="1:9" ht="15.75" customHeight="1" x14ac:dyDescent="0.35">
      <c r="A1762" s="26" t="s">
        <v>8977</v>
      </c>
      <c r="B1762" s="25" t="s">
        <v>10280</v>
      </c>
      <c r="C1762" s="6" t="s">
        <v>8989</v>
      </c>
      <c r="D1762" s="13">
        <v>17689.234328999999</v>
      </c>
      <c r="E1762" s="18">
        <v>21</v>
      </c>
      <c r="F1762" s="2">
        <f t="shared" si="54"/>
        <v>21403.973538089998</v>
      </c>
      <c r="G1762" s="3">
        <v>0</v>
      </c>
      <c r="H1762" s="4">
        <v>0.7</v>
      </c>
      <c r="I1762" s="28">
        <f t="shared" si="55"/>
        <v>36386.755014752998</v>
      </c>
    </row>
    <row r="1763" spans="1:9" ht="15.75" customHeight="1" x14ac:dyDescent="0.35">
      <c r="A1763" s="26" t="s">
        <v>8978</v>
      </c>
      <c r="B1763" s="25" t="s">
        <v>9720</v>
      </c>
      <c r="C1763" s="6" t="s">
        <v>10125</v>
      </c>
      <c r="D1763" s="13">
        <v>12541.341407399999</v>
      </c>
      <c r="E1763" s="18">
        <v>21</v>
      </c>
      <c r="F1763" s="2">
        <f t="shared" si="54"/>
        <v>15175.023102953999</v>
      </c>
      <c r="G1763" s="3">
        <v>0</v>
      </c>
      <c r="H1763" s="4">
        <v>0.7</v>
      </c>
      <c r="I1763" s="28">
        <f t="shared" si="55"/>
        <v>25797.539275021798</v>
      </c>
    </row>
    <row r="1764" spans="1:9" ht="15.75" customHeight="1" x14ac:dyDescent="0.35">
      <c r="A1764" s="26" t="s">
        <v>8979</v>
      </c>
      <c r="B1764" s="25" t="s">
        <v>10282</v>
      </c>
      <c r="C1764" s="6" t="s">
        <v>10126</v>
      </c>
      <c r="D1764" s="13">
        <v>12541.341407399999</v>
      </c>
      <c r="E1764" s="18">
        <v>21</v>
      </c>
      <c r="F1764" s="2">
        <f t="shared" si="54"/>
        <v>15175.023102953999</v>
      </c>
      <c r="G1764" s="3">
        <v>0</v>
      </c>
      <c r="H1764" s="4">
        <v>0.7</v>
      </c>
      <c r="I1764" s="28">
        <f t="shared" si="55"/>
        <v>25797.539275021798</v>
      </c>
    </row>
    <row r="1765" spans="1:9" ht="15.75" customHeight="1" x14ac:dyDescent="0.35">
      <c r="A1765" s="26" t="s">
        <v>8980</v>
      </c>
      <c r="B1765" s="25" t="s">
        <v>9721</v>
      </c>
      <c r="C1765" s="6" t="s">
        <v>8990</v>
      </c>
      <c r="D1765" s="13">
        <v>12541.341407399999</v>
      </c>
      <c r="E1765" s="18">
        <v>21</v>
      </c>
      <c r="F1765" s="2">
        <f t="shared" si="54"/>
        <v>15175.023102953999</v>
      </c>
      <c r="G1765" s="3">
        <v>0</v>
      </c>
      <c r="H1765" s="4">
        <v>0.7</v>
      </c>
      <c r="I1765" s="28">
        <f t="shared" si="55"/>
        <v>25797.539275021798</v>
      </c>
    </row>
    <row r="1766" spans="1:9" ht="15.75" customHeight="1" x14ac:dyDescent="0.35">
      <c r="A1766" s="26" t="s">
        <v>8981</v>
      </c>
      <c r="B1766" s="25" t="s">
        <v>11901</v>
      </c>
      <c r="C1766" s="6" t="s">
        <v>10127</v>
      </c>
      <c r="D1766" s="13">
        <v>21499.880219999999</v>
      </c>
      <c r="E1766" s="18">
        <v>21</v>
      </c>
      <c r="F1766" s="2">
        <f t="shared" si="54"/>
        <v>26014.855066199998</v>
      </c>
      <c r="G1766" s="3">
        <v>0</v>
      </c>
      <c r="H1766" s="4">
        <v>0.7</v>
      </c>
      <c r="I1766" s="28">
        <f t="shared" si="55"/>
        <v>44225.253612539993</v>
      </c>
    </row>
    <row r="1767" spans="1:9" ht="15.75" customHeight="1" x14ac:dyDescent="0.35">
      <c r="A1767" s="26" t="s">
        <v>8982</v>
      </c>
      <c r="B1767" s="25" t="s">
        <v>9761</v>
      </c>
      <c r="C1767" s="6" t="s">
        <v>10128</v>
      </c>
      <c r="D1767" s="13">
        <v>21499.880219999999</v>
      </c>
      <c r="E1767" s="18">
        <v>21</v>
      </c>
      <c r="F1767" s="2">
        <f t="shared" si="54"/>
        <v>26014.855066199998</v>
      </c>
      <c r="G1767" s="3">
        <v>0</v>
      </c>
      <c r="H1767" s="4">
        <v>0.7</v>
      </c>
      <c r="I1767" s="28">
        <f t="shared" si="55"/>
        <v>44225.253612539993</v>
      </c>
    </row>
    <row r="1768" spans="1:9" ht="15.75" customHeight="1" x14ac:dyDescent="0.35">
      <c r="A1768" s="26" t="s">
        <v>8983</v>
      </c>
      <c r="B1768" s="25" t="s">
        <v>9763</v>
      </c>
      <c r="C1768" s="6" t="s">
        <v>8991</v>
      </c>
      <c r="D1768" s="13">
        <v>21499.880219999999</v>
      </c>
      <c r="E1768" s="18">
        <v>21</v>
      </c>
      <c r="F1768" s="2">
        <f t="shared" si="54"/>
        <v>26014.855066199998</v>
      </c>
      <c r="G1768" s="3">
        <v>0</v>
      </c>
      <c r="H1768" s="4">
        <v>0.7</v>
      </c>
      <c r="I1768" s="28">
        <f t="shared" si="55"/>
        <v>44225.253612539993</v>
      </c>
    </row>
    <row r="1769" spans="1:9" ht="15.75" customHeight="1" x14ac:dyDescent="0.35">
      <c r="A1769" s="26" t="s">
        <v>5671</v>
      </c>
      <c r="B1769" s="25" t="s">
        <v>9765</v>
      </c>
      <c r="C1769" s="6" t="s">
        <v>1202</v>
      </c>
      <c r="D1769" s="13">
        <v>1040.405405</v>
      </c>
      <c r="E1769" s="18">
        <v>10.5</v>
      </c>
      <c r="F1769" s="2">
        <f t="shared" si="54"/>
        <v>1149.6479725249999</v>
      </c>
      <c r="G1769" s="3">
        <v>0</v>
      </c>
      <c r="H1769" s="4">
        <v>0.7</v>
      </c>
      <c r="I1769" s="28">
        <f t="shared" si="55"/>
        <v>1954.4015532924998</v>
      </c>
    </row>
    <row r="1770" spans="1:9" ht="15.75" customHeight="1" x14ac:dyDescent="0.35">
      <c r="A1770" s="26" t="s">
        <v>5672</v>
      </c>
      <c r="B1770" s="25" t="s">
        <v>232</v>
      </c>
      <c r="C1770" s="6" t="s">
        <v>245</v>
      </c>
      <c r="D1770" s="13">
        <v>1081.5025000000001</v>
      </c>
      <c r="E1770" s="18">
        <v>21</v>
      </c>
      <c r="F1770" s="2">
        <f t="shared" si="54"/>
        <v>1308.618025</v>
      </c>
      <c r="G1770" s="3">
        <v>0</v>
      </c>
      <c r="H1770" s="4">
        <v>0.7</v>
      </c>
      <c r="I1770" s="28">
        <f t="shared" si="55"/>
        <v>2224.6506424999998</v>
      </c>
    </row>
    <row r="1771" spans="1:9" ht="15.75" customHeight="1" x14ac:dyDescent="0.35">
      <c r="A1771" s="26" t="s">
        <v>9976</v>
      </c>
      <c r="B1771" s="25" t="s">
        <v>233</v>
      </c>
      <c r="C1771" s="6" t="s">
        <v>9977</v>
      </c>
      <c r="D1771" s="13">
        <v>30600.896937000001</v>
      </c>
      <c r="E1771" s="18">
        <v>21</v>
      </c>
      <c r="F1771" s="2">
        <f t="shared" si="54"/>
        <v>37027.085293770004</v>
      </c>
      <c r="G1771" s="3">
        <v>0</v>
      </c>
      <c r="H1771" s="4">
        <v>0.7</v>
      </c>
      <c r="I1771" s="28">
        <f t="shared" si="55"/>
        <v>62946.044999409001</v>
      </c>
    </row>
    <row r="1772" spans="1:9" ht="15.75" customHeight="1" x14ac:dyDescent="0.35">
      <c r="A1772" s="26" t="s">
        <v>10283</v>
      </c>
      <c r="B1772" s="25" t="s">
        <v>234</v>
      </c>
      <c r="C1772" s="6" t="s">
        <v>10284</v>
      </c>
      <c r="D1772" s="13">
        <v>73143.934500000003</v>
      </c>
      <c r="E1772" s="18">
        <v>21</v>
      </c>
      <c r="F1772" s="2">
        <f t="shared" si="54"/>
        <v>88504.160745000001</v>
      </c>
      <c r="G1772" s="3">
        <v>0</v>
      </c>
      <c r="H1772" s="4">
        <v>0.7</v>
      </c>
      <c r="I1772" s="28">
        <f t="shared" si="55"/>
        <v>150457.0732665</v>
      </c>
    </row>
    <row r="1773" spans="1:9" ht="15.75" customHeight="1" x14ac:dyDescent="0.35">
      <c r="A1773" s="26" t="s">
        <v>13982</v>
      </c>
      <c r="B1773" s="25" t="s">
        <v>235</v>
      </c>
      <c r="C1773" s="6" t="s">
        <v>13983</v>
      </c>
      <c r="D1773" s="13">
        <v>174518.1165</v>
      </c>
      <c r="E1773" s="18">
        <v>21</v>
      </c>
      <c r="F1773" s="2">
        <f t="shared" si="54"/>
        <v>211166.920965</v>
      </c>
      <c r="G1773" s="3">
        <v>0</v>
      </c>
      <c r="H1773" s="4">
        <v>0.7</v>
      </c>
      <c r="I1773" s="28">
        <f t="shared" si="55"/>
        <v>358983.7656405</v>
      </c>
    </row>
    <row r="1774" spans="1:9" ht="15.75" customHeight="1" x14ac:dyDescent="0.35">
      <c r="A1774" s="26" t="s">
        <v>10735</v>
      </c>
      <c r="B1774" s="25" t="s">
        <v>904</v>
      </c>
      <c r="C1774" s="6" t="s">
        <v>11557</v>
      </c>
      <c r="D1774" s="13">
        <v>30600.896937000001</v>
      </c>
      <c r="E1774" s="18">
        <v>21</v>
      </c>
      <c r="F1774" s="2">
        <f t="shared" si="54"/>
        <v>37027.085293770004</v>
      </c>
      <c r="G1774" s="3">
        <v>0</v>
      </c>
      <c r="H1774" s="4">
        <v>0.7</v>
      </c>
      <c r="I1774" s="28">
        <f t="shared" si="55"/>
        <v>62946.044999409001</v>
      </c>
    </row>
    <row r="1775" spans="1:9" ht="15.75" customHeight="1" x14ac:dyDescent="0.35">
      <c r="A1775" s="26" t="s">
        <v>11558</v>
      </c>
      <c r="B1775" s="25" t="s">
        <v>10054</v>
      </c>
      <c r="C1775" s="6" t="s">
        <v>11559</v>
      </c>
      <c r="D1775" s="13">
        <v>19852.33188787875</v>
      </c>
      <c r="E1775" s="18">
        <v>21</v>
      </c>
      <c r="F1775" s="2">
        <f t="shared" si="54"/>
        <v>24021.321584333287</v>
      </c>
      <c r="G1775" s="3">
        <v>0</v>
      </c>
      <c r="H1775" s="4">
        <v>0.7</v>
      </c>
      <c r="I1775" s="28">
        <f t="shared" si="55"/>
        <v>40836.246693366586</v>
      </c>
    </row>
    <row r="1776" spans="1:9" ht="15.75" customHeight="1" x14ac:dyDescent="0.35">
      <c r="A1776" s="26" t="s">
        <v>9628</v>
      </c>
      <c r="B1776" s="25" t="s">
        <v>10056</v>
      </c>
      <c r="C1776" s="6" t="s">
        <v>9629</v>
      </c>
      <c r="D1776" s="13">
        <v>2208.7835055</v>
      </c>
      <c r="E1776" s="18">
        <v>21</v>
      </c>
      <c r="F1776" s="2">
        <f t="shared" si="54"/>
        <v>2672.6280416549998</v>
      </c>
      <c r="G1776" s="3">
        <v>0</v>
      </c>
      <c r="H1776" s="4">
        <v>0.7</v>
      </c>
      <c r="I1776" s="28">
        <f t="shared" si="55"/>
        <v>4543.4676708134994</v>
      </c>
    </row>
    <row r="1777" spans="1:9" ht="15.75" customHeight="1" x14ac:dyDescent="0.35">
      <c r="A1777" s="26" t="s">
        <v>9630</v>
      </c>
      <c r="B1777" s="25" t="s">
        <v>13268</v>
      </c>
      <c r="C1777" s="6" t="s">
        <v>9631</v>
      </c>
      <c r="D1777" s="13">
        <v>2208.7835055</v>
      </c>
      <c r="E1777" s="18">
        <v>21</v>
      </c>
      <c r="F1777" s="2">
        <f t="shared" si="54"/>
        <v>2672.6280416549998</v>
      </c>
      <c r="G1777" s="3">
        <v>0</v>
      </c>
      <c r="H1777" s="4">
        <v>0.7</v>
      </c>
      <c r="I1777" s="28">
        <f t="shared" si="55"/>
        <v>4543.4676708134994</v>
      </c>
    </row>
    <row r="1778" spans="1:9" ht="15.75" customHeight="1" x14ac:dyDescent="0.35">
      <c r="A1778" s="26" t="s">
        <v>1370</v>
      </c>
      <c r="B1778" s="25" t="s">
        <v>236</v>
      </c>
      <c r="C1778" s="6" t="s">
        <v>247</v>
      </c>
      <c r="D1778" s="13">
        <v>61580.752350000002</v>
      </c>
      <c r="E1778" s="18">
        <v>21</v>
      </c>
      <c r="F1778" s="2">
        <f t="shared" si="54"/>
        <v>74512.710343500003</v>
      </c>
      <c r="G1778" s="3">
        <v>0</v>
      </c>
      <c r="H1778" s="4">
        <v>0.7</v>
      </c>
      <c r="I1778" s="28">
        <f t="shared" si="55"/>
        <v>126671.60758395</v>
      </c>
    </row>
    <row r="1779" spans="1:9" ht="15.75" customHeight="1" x14ac:dyDescent="0.35">
      <c r="A1779" s="26" t="s">
        <v>1371</v>
      </c>
      <c r="B1779" s="25" t="s">
        <v>237</v>
      </c>
      <c r="C1779" s="6" t="s">
        <v>13233</v>
      </c>
      <c r="D1779" s="13">
        <v>17998.256454750001</v>
      </c>
      <c r="E1779" s="18">
        <v>21</v>
      </c>
      <c r="F1779" s="2">
        <f t="shared" si="54"/>
        <v>21777.890310247501</v>
      </c>
      <c r="G1779" s="3">
        <v>0</v>
      </c>
      <c r="H1779" s="4">
        <v>0.7</v>
      </c>
      <c r="I1779" s="28">
        <f t="shared" si="55"/>
        <v>37022.413527420751</v>
      </c>
    </row>
    <row r="1780" spans="1:9" ht="15.75" customHeight="1" x14ac:dyDescent="0.35">
      <c r="A1780" s="26" t="s">
        <v>1373</v>
      </c>
      <c r="B1780" s="25" t="s">
        <v>238</v>
      </c>
      <c r="C1780" s="6" t="s">
        <v>920</v>
      </c>
      <c r="D1780" s="13">
        <v>58155.850232999997</v>
      </c>
      <c r="E1780" s="18">
        <v>21</v>
      </c>
      <c r="F1780" s="2">
        <f t="shared" si="54"/>
        <v>70368.578781930002</v>
      </c>
      <c r="G1780" s="3">
        <v>0</v>
      </c>
      <c r="H1780" s="4">
        <v>0.7</v>
      </c>
      <c r="I1780" s="28">
        <f t="shared" si="55"/>
        <v>119626.583929281</v>
      </c>
    </row>
    <row r="1781" spans="1:9" ht="15.75" customHeight="1" x14ac:dyDescent="0.35">
      <c r="A1781" s="26" t="s">
        <v>10012</v>
      </c>
      <c r="B1781" s="25" t="s">
        <v>13389</v>
      </c>
      <c r="C1781" s="6" t="s">
        <v>11956</v>
      </c>
      <c r="D1781" s="13">
        <v>1622.2537500000001</v>
      </c>
      <c r="E1781" s="18">
        <v>10.5</v>
      </c>
      <c r="F1781" s="2">
        <f t="shared" si="54"/>
        <v>1792.5903937500002</v>
      </c>
      <c r="G1781" s="3">
        <v>0</v>
      </c>
      <c r="H1781" s="4">
        <v>0.7</v>
      </c>
      <c r="I1781" s="28">
        <f t="shared" si="55"/>
        <v>3047.4036693750004</v>
      </c>
    </row>
    <row r="1782" spans="1:9" ht="15.75" customHeight="1" x14ac:dyDescent="0.35">
      <c r="A1782" s="26" t="s">
        <v>5502</v>
      </c>
      <c r="B1782" s="25" t="s">
        <v>13391</v>
      </c>
      <c r="C1782" s="6" t="s">
        <v>248</v>
      </c>
      <c r="D1782" s="13">
        <v>12457.271469672549</v>
      </c>
      <c r="E1782" s="18">
        <v>21</v>
      </c>
      <c r="F1782" s="2">
        <f t="shared" si="54"/>
        <v>15073.298478303785</v>
      </c>
      <c r="G1782" s="3">
        <v>0</v>
      </c>
      <c r="H1782" s="4">
        <v>0.7</v>
      </c>
      <c r="I1782" s="28">
        <f t="shared" si="55"/>
        <v>25624.607413116431</v>
      </c>
    </row>
    <row r="1783" spans="1:9" ht="15.75" customHeight="1" x14ac:dyDescent="0.35">
      <c r="A1783" s="26" t="s">
        <v>5503</v>
      </c>
      <c r="B1783" s="25" t="s">
        <v>13393</v>
      </c>
      <c r="C1783" s="6" t="s">
        <v>249</v>
      </c>
      <c r="D1783" s="13">
        <v>12457.271469672549</v>
      </c>
      <c r="E1783" s="18">
        <v>21</v>
      </c>
      <c r="F1783" s="2">
        <f t="shared" si="54"/>
        <v>15073.298478303785</v>
      </c>
      <c r="G1783" s="3">
        <v>0</v>
      </c>
      <c r="H1783" s="4">
        <v>0.7</v>
      </c>
      <c r="I1783" s="28">
        <f t="shared" si="55"/>
        <v>25624.607413116431</v>
      </c>
    </row>
    <row r="1784" spans="1:9" ht="15.75" customHeight="1" x14ac:dyDescent="0.35">
      <c r="A1784" s="26" t="s">
        <v>5504</v>
      </c>
      <c r="B1784" s="25" t="s">
        <v>13395</v>
      </c>
      <c r="C1784" s="6" t="s">
        <v>250</v>
      </c>
      <c r="D1784" s="13">
        <v>12457.271469672549</v>
      </c>
      <c r="E1784" s="18">
        <v>21</v>
      </c>
      <c r="F1784" s="2">
        <f t="shared" si="54"/>
        <v>15073.298478303785</v>
      </c>
      <c r="G1784" s="3">
        <v>0</v>
      </c>
      <c r="H1784" s="4">
        <v>0.7</v>
      </c>
      <c r="I1784" s="28">
        <f t="shared" si="55"/>
        <v>25624.607413116431</v>
      </c>
    </row>
    <row r="1785" spans="1:9" ht="15.75" customHeight="1" x14ac:dyDescent="0.35">
      <c r="A1785" s="26" t="s">
        <v>13710</v>
      </c>
      <c r="B1785" s="25" t="s">
        <v>13397</v>
      </c>
      <c r="C1785" s="6" t="s">
        <v>13711</v>
      </c>
      <c r="D1785" s="13">
        <v>3130.7981249999998</v>
      </c>
      <c r="E1785" s="18">
        <v>10.5</v>
      </c>
      <c r="F1785" s="2">
        <f t="shared" si="54"/>
        <v>3459.5319281249999</v>
      </c>
      <c r="G1785" s="3">
        <v>0</v>
      </c>
      <c r="H1785" s="4">
        <v>0.7</v>
      </c>
      <c r="I1785" s="28">
        <f t="shared" si="55"/>
        <v>5881.2042778124996</v>
      </c>
    </row>
    <row r="1786" spans="1:9" ht="15.75" customHeight="1" x14ac:dyDescent="0.35">
      <c r="A1786" s="26" t="s">
        <v>12648</v>
      </c>
      <c r="B1786" s="25" t="s">
        <v>13399</v>
      </c>
      <c r="C1786" s="6" t="s">
        <v>12649</v>
      </c>
      <c r="D1786" s="13">
        <v>3130.7981249999998</v>
      </c>
      <c r="E1786" s="18">
        <v>10.5</v>
      </c>
      <c r="F1786" s="2">
        <f t="shared" si="54"/>
        <v>3459.5319281249999</v>
      </c>
      <c r="G1786" s="3">
        <v>0</v>
      </c>
      <c r="H1786" s="4">
        <v>0.7</v>
      </c>
      <c r="I1786" s="28">
        <f t="shared" si="55"/>
        <v>5881.2042778124996</v>
      </c>
    </row>
    <row r="1787" spans="1:9" ht="15.75" customHeight="1" x14ac:dyDescent="0.35">
      <c r="A1787" s="26" t="s">
        <v>5528</v>
      </c>
      <c r="B1787" s="25" t="s">
        <v>13401</v>
      </c>
      <c r="C1787" s="6" t="s">
        <v>11902</v>
      </c>
      <c r="D1787" s="13">
        <v>2747.3696639999998</v>
      </c>
      <c r="E1787" s="18">
        <v>10.5</v>
      </c>
      <c r="F1787" s="2">
        <f t="shared" si="54"/>
        <v>3035.8434787199999</v>
      </c>
      <c r="G1787" s="3">
        <v>0</v>
      </c>
      <c r="H1787" s="4">
        <v>0.7</v>
      </c>
      <c r="I1787" s="28">
        <f t="shared" si="55"/>
        <v>5160.9339138239993</v>
      </c>
    </row>
    <row r="1788" spans="1:9" ht="15.75" customHeight="1" x14ac:dyDescent="0.35">
      <c r="A1788" s="26" t="s">
        <v>5529</v>
      </c>
      <c r="B1788" s="25" t="s">
        <v>13403</v>
      </c>
      <c r="C1788" s="6" t="s">
        <v>11903</v>
      </c>
      <c r="D1788" s="13">
        <v>2747.3696639999998</v>
      </c>
      <c r="E1788" s="18">
        <v>10.5</v>
      </c>
      <c r="F1788" s="2">
        <f t="shared" si="54"/>
        <v>3035.8434787199999</v>
      </c>
      <c r="G1788" s="3">
        <v>0</v>
      </c>
      <c r="H1788" s="4">
        <v>0.7</v>
      </c>
      <c r="I1788" s="28">
        <f t="shared" si="55"/>
        <v>5160.9339138239993</v>
      </c>
    </row>
    <row r="1789" spans="1:9" ht="15.75" customHeight="1" x14ac:dyDescent="0.35">
      <c r="A1789" s="26" t="s">
        <v>9433</v>
      </c>
      <c r="B1789" s="25" t="s">
        <v>13405</v>
      </c>
      <c r="C1789" s="6" t="s">
        <v>13856</v>
      </c>
      <c r="D1789" s="13">
        <v>3219.0705611999997</v>
      </c>
      <c r="E1789" s="18">
        <v>10.5</v>
      </c>
      <c r="F1789" s="2">
        <f t="shared" si="54"/>
        <v>3557.0729701259997</v>
      </c>
      <c r="G1789" s="3">
        <v>0</v>
      </c>
      <c r="H1789" s="4">
        <v>0.7</v>
      </c>
      <c r="I1789" s="28">
        <f t="shared" si="55"/>
        <v>6047.0240492141993</v>
      </c>
    </row>
    <row r="1790" spans="1:9" ht="15.75" customHeight="1" x14ac:dyDescent="0.35">
      <c r="A1790" s="26" t="s">
        <v>9434</v>
      </c>
      <c r="B1790" s="25" t="s">
        <v>13407</v>
      </c>
      <c r="C1790" s="6" t="s">
        <v>10163</v>
      </c>
      <c r="D1790" s="13">
        <v>3216.839562809414</v>
      </c>
      <c r="E1790" s="18">
        <v>10.5</v>
      </c>
      <c r="F1790" s="2">
        <f t="shared" si="54"/>
        <v>3554.6077169044024</v>
      </c>
      <c r="G1790" s="3">
        <v>0</v>
      </c>
      <c r="H1790" s="4">
        <v>0.7</v>
      </c>
      <c r="I1790" s="28">
        <f t="shared" si="55"/>
        <v>6042.8331187374843</v>
      </c>
    </row>
    <row r="1791" spans="1:9" ht="15.75" customHeight="1" x14ac:dyDescent="0.35">
      <c r="A1791" s="26" t="s">
        <v>5496</v>
      </c>
      <c r="B1791" s="25" t="s">
        <v>12698</v>
      </c>
      <c r="C1791" s="6" t="s">
        <v>10165</v>
      </c>
      <c r="D1791" s="13">
        <v>5689.8928027499996</v>
      </c>
      <c r="E1791" s="18">
        <v>10.5</v>
      </c>
      <c r="F1791" s="2">
        <f t="shared" si="54"/>
        <v>6287.3315470387497</v>
      </c>
      <c r="G1791" s="3">
        <v>0</v>
      </c>
      <c r="H1791" s="4">
        <v>0.7</v>
      </c>
      <c r="I1791" s="28">
        <f t="shared" si="55"/>
        <v>10688.463629965874</v>
      </c>
    </row>
    <row r="1792" spans="1:9" ht="15.75" customHeight="1" x14ac:dyDescent="0.35">
      <c r="A1792" s="26" t="s">
        <v>12535</v>
      </c>
      <c r="B1792" s="25" t="s">
        <v>10834</v>
      </c>
      <c r="C1792" s="6" t="s">
        <v>12536</v>
      </c>
      <c r="D1792" s="13">
        <v>1492.1020530000001</v>
      </c>
      <c r="E1792" s="18">
        <v>10.5</v>
      </c>
      <c r="F1792" s="2">
        <f t="shared" si="54"/>
        <v>1648.7727685650002</v>
      </c>
      <c r="G1792" s="3">
        <v>0</v>
      </c>
      <c r="H1792" s="4">
        <v>0.7</v>
      </c>
      <c r="I1792" s="28">
        <f t="shared" si="55"/>
        <v>2802.9137065605005</v>
      </c>
    </row>
    <row r="1793" spans="1:9" ht="15.75" customHeight="1" x14ac:dyDescent="0.35">
      <c r="A1793" s="26" t="s">
        <v>5522</v>
      </c>
      <c r="B1793" s="25" t="s">
        <v>12699</v>
      </c>
      <c r="C1793" s="6" t="s">
        <v>12291</v>
      </c>
      <c r="D1793" s="13">
        <v>1492.1020530000001</v>
      </c>
      <c r="E1793" s="18">
        <v>10.5</v>
      </c>
      <c r="F1793" s="2">
        <f t="shared" si="54"/>
        <v>1648.7727685650002</v>
      </c>
      <c r="G1793" s="3">
        <v>0</v>
      </c>
      <c r="H1793" s="4">
        <v>0.7</v>
      </c>
      <c r="I1793" s="28">
        <f t="shared" si="55"/>
        <v>2802.9137065605005</v>
      </c>
    </row>
    <row r="1794" spans="1:9" ht="15.75" customHeight="1" x14ac:dyDescent="0.35">
      <c r="A1794" s="26" t="s">
        <v>5523</v>
      </c>
      <c r="B1794" s="25" t="s">
        <v>10835</v>
      </c>
      <c r="C1794" s="6" t="s">
        <v>11578</v>
      </c>
      <c r="D1794" s="13">
        <v>1359.8262990000001</v>
      </c>
      <c r="E1794" s="18">
        <v>10.5</v>
      </c>
      <c r="F1794" s="2">
        <f t="shared" si="54"/>
        <v>1502.6080603950002</v>
      </c>
      <c r="G1794" s="3">
        <v>0</v>
      </c>
      <c r="H1794" s="4">
        <v>0.7</v>
      </c>
      <c r="I1794" s="28">
        <f t="shared" si="55"/>
        <v>2554.4337026715002</v>
      </c>
    </row>
    <row r="1795" spans="1:9" ht="15.75" customHeight="1" x14ac:dyDescent="0.35">
      <c r="A1795" s="26" t="s">
        <v>12968</v>
      </c>
      <c r="B1795" s="25" t="s">
        <v>12700</v>
      </c>
      <c r="C1795" s="6" t="s">
        <v>12969</v>
      </c>
      <c r="D1795" s="13">
        <v>1231.0934999999999</v>
      </c>
      <c r="E1795" s="18">
        <v>10.5</v>
      </c>
      <c r="F1795" s="2">
        <f t="shared" si="54"/>
        <v>1360.3583174999999</v>
      </c>
      <c r="G1795" s="3">
        <v>0</v>
      </c>
      <c r="H1795" s="4">
        <v>0.7</v>
      </c>
      <c r="I1795" s="28">
        <f t="shared" si="55"/>
        <v>2312.6091397499999</v>
      </c>
    </row>
    <row r="1796" spans="1:9" ht="15.75" customHeight="1" x14ac:dyDescent="0.35">
      <c r="A1796" s="26" t="s">
        <v>5521</v>
      </c>
      <c r="B1796" s="25" t="s">
        <v>10836</v>
      </c>
      <c r="C1796" s="6" t="s">
        <v>12963</v>
      </c>
      <c r="D1796" s="13">
        <v>934.41816000000006</v>
      </c>
      <c r="E1796" s="18">
        <v>10.5</v>
      </c>
      <c r="F1796" s="2">
        <f t="shared" si="54"/>
        <v>1032.5320668000002</v>
      </c>
      <c r="G1796" s="3">
        <v>0</v>
      </c>
      <c r="H1796" s="4">
        <v>0.7</v>
      </c>
      <c r="I1796" s="28">
        <f t="shared" si="55"/>
        <v>1755.3045135600003</v>
      </c>
    </row>
    <row r="1797" spans="1:9" ht="15.75" customHeight="1" x14ac:dyDescent="0.35">
      <c r="A1797" s="26" t="s">
        <v>11854</v>
      </c>
      <c r="B1797" s="25" t="s">
        <v>10837</v>
      </c>
      <c r="C1797" s="6" t="s">
        <v>11855</v>
      </c>
      <c r="D1797" s="13">
        <v>1231.0934999999999</v>
      </c>
      <c r="E1797" s="18">
        <v>10.5</v>
      </c>
      <c r="F1797" s="2">
        <f t="shared" si="54"/>
        <v>1360.3583174999999</v>
      </c>
      <c r="G1797" s="3">
        <v>0</v>
      </c>
      <c r="H1797" s="4">
        <v>0.7</v>
      </c>
      <c r="I1797" s="28">
        <f t="shared" si="55"/>
        <v>2312.6091397499999</v>
      </c>
    </row>
    <row r="1798" spans="1:9" ht="15.75" customHeight="1" x14ac:dyDescent="0.35">
      <c r="A1798" s="26" t="s">
        <v>5545</v>
      </c>
      <c r="B1798" s="25" t="s">
        <v>12701</v>
      </c>
      <c r="C1798" s="6" t="s">
        <v>12964</v>
      </c>
      <c r="D1798" s="13">
        <v>1129.08861</v>
      </c>
      <c r="E1798" s="18">
        <v>10.5</v>
      </c>
      <c r="F1798" s="2">
        <f t="shared" ref="F1798:F1861" si="56">D1798*E1798/100+D1798</f>
        <v>1247.6429140499999</v>
      </c>
      <c r="G1798" s="3">
        <v>0</v>
      </c>
      <c r="H1798" s="4">
        <v>0.7</v>
      </c>
      <c r="I1798" s="28">
        <f t="shared" ref="I1798:I1861" si="57">IF(G1798=-1,0,F1798*((100-G1798)/100)*(1+H1798))</f>
        <v>2120.9929538849997</v>
      </c>
    </row>
    <row r="1799" spans="1:9" ht="15.75" customHeight="1" x14ac:dyDescent="0.35">
      <c r="A1799" s="26" t="s">
        <v>5515</v>
      </c>
      <c r="B1799" s="25" t="s">
        <v>12702</v>
      </c>
      <c r="C1799" s="6" t="s">
        <v>10166</v>
      </c>
      <c r="D1799" s="13">
        <v>6398.6</v>
      </c>
      <c r="E1799" s="18">
        <v>21</v>
      </c>
      <c r="F1799" s="2">
        <f t="shared" si="56"/>
        <v>7742.3060000000005</v>
      </c>
      <c r="G1799" s="3">
        <v>0</v>
      </c>
      <c r="H1799" s="4">
        <v>0.7</v>
      </c>
      <c r="I1799" s="28">
        <f t="shared" si="57"/>
        <v>13161.9202</v>
      </c>
    </row>
    <row r="1800" spans="1:9" ht="15.75" customHeight="1" x14ac:dyDescent="0.35">
      <c r="A1800" s="26" t="s">
        <v>5516</v>
      </c>
      <c r="B1800" s="25" t="s">
        <v>10838</v>
      </c>
      <c r="C1800" s="6" t="s">
        <v>11904</v>
      </c>
      <c r="D1800" s="13">
        <v>1392.838902</v>
      </c>
      <c r="E1800" s="18">
        <v>21</v>
      </c>
      <c r="F1800" s="2">
        <f t="shared" si="56"/>
        <v>1685.3350714200001</v>
      </c>
      <c r="G1800" s="3">
        <v>0</v>
      </c>
      <c r="H1800" s="4">
        <v>0.7</v>
      </c>
      <c r="I1800" s="28">
        <f t="shared" si="57"/>
        <v>2865.0696214140003</v>
      </c>
    </row>
    <row r="1801" spans="1:9" ht="15.75" customHeight="1" x14ac:dyDescent="0.35">
      <c r="A1801" s="26" t="s">
        <v>5517</v>
      </c>
      <c r="B1801" s="25" t="s">
        <v>12703</v>
      </c>
      <c r="C1801" s="6" t="s">
        <v>11905</v>
      </c>
      <c r="D1801" s="13">
        <v>1392.838902</v>
      </c>
      <c r="E1801" s="18">
        <v>21</v>
      </c>
      <c r="F1801" s="2">
        <f t="shared" si="56"/>
        <v>1685.3350714200001</v>
      </c>
      <c r="G1801" s="3">
        <v>0</v>
      </c>
      <c r="H1801" s="4">
        <v>0.7</v>
      </c>
      <c r="I1801" s="28">
        <f t="shared" si="57"/>
        <v>2865.0696214140003</v>
      </c>
    </row>
    <row r="1802" spans="1:9" ht="15.75" customHeight="1" x14ac:dyDescent="0.35">
      <c r="A1802" s="26" t="s">
        <v>12595</v>
      </c>
      <c r="B1802" s="25" t="s">
        <v>10839</v>
      </c>
      <c r="C1802" s="6" t="s">
        <v>12596</v>
      </c>
      <c r="D1802" s="13">
        <v>2483.043498</v>
      </c>
      <c r="E1802" s="18">
        <v>10.5</v>
      </c>
      <c r="F1802" s="2">
        <f t="shared" si="56"/>
        <v>2743.7630652899998</v>
      </c>
      <c r="G1802" s="3">
        <v>0</v>
      </c>
      <c r="H1802" s="4">
        <v>0.7</v>
      </c>
      <c r="I1802" s="28">
        <f t="shared" si="57"/>
        <v>4664.3972109929991</v>
      </c>
    </row>
    <row r="1803" spans="1:9" ht="15.75" customHeight="1" x14ac:dyDescent="0.35">
      <c r="A1803" s="26" t="s">
        <v>10285</v>
      </c>
      <c r="B1803" s="25" t="s">
        <v>12704</v>
      </c>
      <c r="C1803" s="6" t="s">
        <v>11579</v>
      </c>
      <c r="D1803" s="13">
        <v>1655.6085</v>
      </c>
      <c r="E1803" s="18">
        <v>10.5</v>
      </c>
      <c r="F1803" s="2">
        <f t="shared" si="56"/>
        <v>1829.4473925</v>
      </c>
      <c r="G1803" s="3">
        <v>0</v>
      </c>
      <c r="H1803" s="4">
        <v>0.7</v>
      </c>
      <c r="I1803" s="28">
        <f t="shared" si="57"/>
        <v>3110.0605672500001</v>
      </c>
    </row>
    <row r="1804" spans="1:9" ht="15.75" customHeight="1" x14ac:dyDescent="0.35">
      <c r="A1804" s="26" t="s">
        <v>5525</v>
      </c>
      <c r="B1804" s="25" t="s">
        <v>10981</v>
      </c>
      <c r="C1804" s="6" t="s">
        <v>11580</v>
      </c>
      <c r="D1804" s="13">
        <v>1624.05441050428</v>
      </c>
      <c r="E1804" s="18">
        <v>10.5</v>
      </c>
      <c r="F1804" s="2">
        <f t="shared" si="56"/>
        <v>1794.5801236072293</v>
      </c>
      <c r="G1804" s="3">
        <v>0</v>
      </c>
      <c r="H1804" s="4">
        <v>0.7</v>
      </c>
      <c r="I1804" s="28">
        <f t="shared" si="57"/>
        <v>3050.7862101322899</v>
      </c>
    </row>
    <row r="1805" spans="1:9" ht="15.75" customHeight="1" x14ac:dyDescent="0.35">
      <c r="A1805" s="26" t="s">
        <v>10286</v>
      </c>
      <c r="B1805" s="25" t="s">
        <v>1137</v>
      </c>
      <c r="C1805" s="6" t="s">
        <v>11581</v>
      </c>
      <c r="D1805" s="13">
        <v>1655.6085</v>
      </c>
      <c r="E1805" s="18">
        <v>10.5</v>
      </c>
      <c r="F1805" s="2">
        <f t="shared" si="56"/>
        <v>1829.4473925</v>
      </c>
      <c r="G1805" s="3">
        <v>0</v>
      </c>
      <c r="H1805" s="4">
        <v>0.7</v>
      </c>
      <c r="I1805" s="28">
        <f t="shared" si="57"/>
        <v>3110.0605672500001</v>
      </c>
    </row>
    <row r="1806" spans="1:9" ht="15.75" customHeight="1" x14ac:dyDescent="0.35">
      <c r="A1806" s="26" t="s">
        <v>5526</v>
      </c>
      <c r="B1806" s="25" t="s">
        <v>1138</v>
      </c>
      <c r="C1806" s="6" t="s">
        <v>11582</v>
      </c>
      <c r="D1806" s="13">
        <v>1624.05441050428</v>
      </c>
      <c r="E1806" s="18">
        <v>10.5</v>
      </c>
      <c r="F1806" s="2">
        <f t="shared" si="56"/>
        <v>1794.5801236072293</v>
      </c>
      <c r="G1806" s="3">
        <v>0</v>
      </c>
      <c r="H1806" s="4">
        <v>0.7</v>
      </c>
      <c r="I1806" s="28">
        <f t="shared" si="57"/>
        <v>3050.7862101322899</v>
      </c>
    </row>
    <row r="1807" spans="1:9" ht="15.75" customHeight="1" x14ac:dyDescent="0.35">
      <c r="A1807" s="26" t="s">
        <v>10287</v>
      </c>
      <c r="B1807" s="25" t="s">
        <v>12647</v>
      </c>
      <c r="C1807" s="6" t="s">
        <v>11583</v>
      </c>
      <c r="D1807" s="13">
        <v>1655.6085</v>
      </c>
      <c r="E1807" s="18">
        <v>10.5</v>
      </c>
      <c r="F1807" s="2">
        <f t="shared" si="56"/>
        <v>1829.4473925</v>
      </c>
      <c r="G1807" s="3">
        <v>0</v>
      </c>
      <c r="H1807" s="4">
        <v>0.7</v>
      </c>
      <c r="I1807" s="28">
        <f t="shared" si="57"/>
        <v>3110.0605672500001</v>
      </c>
    </row>
    <row r="1808" spans="1:9" ht="15.75" customHeight="1" x14ac:dyDescent="0.35">
      <c r="A1808" s="26" t="s">
        <v>5527</v>
      </c>
      <c r="B1808" s="25" t="s">
        <v>905</v>
      </c>
      <c r="C1808" s="6" t="s">
        <v>11584</v>
      </c>
      <c r="D1808" s="13">
        <v>1624.05587215473</v>
      </c>
      <c r="E1808" s="18">
        <v>10.5</v>
      </c>
      <c r="F1808" s="2">
        <f t="shared" si="56"/>
        <v>1794.5817387309767</v>
      </c>
      <c r="G1808" s="3">
        <v>0</v>
      </c>
      <c r="H1808" s="4">
        <v>0.7</v>
      </c>
      <c r="I1808" s="28">
        <f t="shared" si="57"/>
        <v>3050.7889558426605</v>
      </c>
    </row>
    <row r="1809" spans="1:9" ht="15.75" customHeight="1" x14ac:dyDescent="0.35">
      <c r="A1809" s="26" t="s">
        <v>5519</v>
      </c>
      <c r="B1809" s="25" t="s">
        <v>906</v>
      </c>
      <c r="C1809" s="6" t="s">
        <v>10653</v>
      </c>
      <c r="D1809" s="13">
        <v>12750.373723750001</v>
      </c>
      <c r="E1809" s="18">
        <v>10.5</v>
      </c>
      <c r="F1809" s="2">
        <f t="shared" si="56"/>
        <v>14089.162964743751</v>
      </c>
      <c r="G1809" s="3">
        <v>0</v>
      </c>
      <c r="H1809" s="4">
        <v>0.7</v>
      </c>
      <c r="I1809" s="28">
        <f t="shared" si="57"/>
        <v>23951.577040064378</v>
      </c>
    </row>
    <row r="1810" spans="1:9" ht="15.75" customHeight="1" x14ac:dyDescent="0.35">
      <c r="A1810" s="26" t="s">
        <v>5511</v>
      </c>
      <c r="B1810" s="25" t="s">
        <v>907</v>
      </c>
      <c r="C1810" s="6" t="s">
        <v>11585</v>
      </c>
      <c r="D1810" s="13">
        <v>3315.0971681750002</v>
      </c>
      <c r="E1810" s="18">
        <v>10.5</v>
      </c>
      <c r="F1810" s="2">
        <f t="shared" si="56"/>
        <v>3663.1823708333754</v>
      </c>
      <c r="G1810" s="3">
        <v>0</v>
      </c>
      <c r="H1810" s="4">
        <v>0.7</v>
      </c>
      <c r="I1810" s="28">
        <f t="shared" si="57"/>
        <v>6227.4100304167378</v>
      </c>
    </row>
    <row r="1811" spans="1:9" ht="15.75" customHeight="1" x14ac:dyDescent="0.35">
      <c r="A1811" s="26" t="s">
        <v>5512</v>
      </c>
      <c r="B1811" s="25" t="s">
        <v>908</v>
      </c>
      <c r="C1811" s="6" t="s">
        <v>11586</v>
      </c>
      <c r="D1811" s="13">
        <v>3315.0971681750002</v>
      </c>
      <c r="E1811" s="18">
        <v>10.5</v>
      </c>
      <c r="F1811" s="2">
        <f t="shared" si="56"/>
        <v>3663.1823708333754</v>
      </c>
      <c r="G1811" s="3">
        <v>0</v>
      </c>
      <c r="H1811" s="4">
        <v>0.7</v>
      </c>
      <c r="I1811" s="28">
        <f t="shared" si="57"/>
        <v>6227.4100304167378</v>
      </c>
    </row>
    <row r="1812" spans="1:9" ht="15.75" customHeight="1" x14ac:dyDescent="0.35">
      <c r="A1812" s="26" t="s">
        <v>10011</v>
      </c>
      <c r="B1812" s="25" t="s">
        <v>909</v>
      </c>
      <c r="C1812" s="6" t="s">
        <v>10129</v>
      </c>
      <c r="D1812" s="13">
        <v>2141.3749499999999</v>
      </c>
      <c r="E1812" s="18">
        <v>10.5</v>
      </c>
      <c r="F1812" s="2">
        <f t="shared" si="56"/>
        <v>2366.2193197500001</v>
      </c>
      <c r="G1812" s="3">
        <v>0</v>
      </c>
      <c r="H1812" s="4">
        <v>0.7</v>
      </c>
      <c r="I1812" s="28">
        <f t="shared" si="57"/>
        <v>4022.5728435750002</v>
      </c>
    </row>
    <row r="1813" spans="1:9" ht="15.75" customHeight="1" x14ac:dyDescent="0.35">
      <c r="A1813" s="26" t="s">
        <v>3824</v>
      </c>
      <c r="B1813" s="25" t="s">
        <v>9943</v>
      </c>
      <c r="C1813" s="6" t="s">
        <v>10418</v>
      </c>
      <c r="D1813" s="13">
        <v>2939.8691524800001</v>
      </c>
      <c r="E1813" s="18">
        <v>21</v>
      </c>
      <c r="F1813" s="2">
        <f t="shared" si="56"/>
        <v>3557.2416745008004</v>
      </c>
      <c r="G1813" s="3">
        <v>0</v>
      </c>
      <c r="H1813" s="4">
        <v>0.7</v>
      </c>
      <c r="I1813" s="28">
        <f t="shared" si="57"/>
        <v>6047.3108466513604</v>
      </c>
    </row>
    <row r="1814" spans="1:9" ht="15.75" customHeight="1" x14ac:dyDescent="0.35">
      <c r="A1814" s="26" t="s">
        <v>1410</v>
      </c>
      <c r="B1814" s="25" t="s">
        <v>10120</v>
      </c>
      <c r="C1814" s="6" t="s">
        <v>251</v>
      </c>
      <c r="D1814" s="13">
        <v>32994.694570500003</v>
      </c>
      <c r="E1814" s="18">
        <v>21</v>
      </c>
      <c r="F1814" s="2">
        <f t="shared" si="56"/>
        <v>39923.580430305003</v>
      </c>
      <c r="G1814" s="3">
        <v>0</v>
      </c>
      <c r="H1814" s="4">
        <v>0.7</v>
      </c>
      <c r="I1814" s="28">
        <f t="shared" si="57"/>
        <v>67870.086731518502</v>
      </c>
    </row>
    <row r="1815" spans="1:9" ht="15.75" customHeight="1" x14ac:dyDescent="0.35">
      <c r="A1815" s="26" t="s">
        <v>1411</v>
      </c>
      <c r="B1815" s="25" t="s">
        <v>10122</v>
      </c>
      <c r="C1815" s="6" t="s">
        <v>10288</v>
      </c>
      <c r="D1815" s="13">
        <v>50319.391268250001</v>
      </c>
      <c r="E1815" s="18">
        <v>21</v>
      </c>
      <c r="F1815" s="2">
        <f t="shared" si="56"/>
        <v>60886.463434582503</v>
      </c>
      <c r="G1815" s="3">
        <v>0</v>
      </c>
      <c r="H1815" s="4">
        <v>0.7</v>
      </c>
      <c r="I1815" s="28">
        <f t="shared" si="57"/>
        <v>103506.98783879026</v>
      </c>
    </row>
    <row r="1816" spans="1:9" ht="15.75" customHeight="1" x14ac:dyDescent="0.35">
      <c r="A1816" s="26" t="s">
        <v>1412</v>
      </c>
      <c r="B1816" s="25" t="s">
        <v>1155</v>
      </c>
      <c r="C1816" s="6" t="s">
        <v>252</v>
      </c>
      <c r="D1816" s="13">
        <v>32432.096969999999</v>
      </c>
      <c r="E1816" s="18">
        <v>21</v>
      </c>
      <c r="F1816" s="2">
        <f t="shared" si="56"/>
        <v>39242.837333700001</v>
      </c>
      <c r="G1816" s="3">
        <v>0</v>
      </c>
      <c r="H1816" s="4">
        <v>0.7</v>
      </c>
      <c r="I1816" s="28">
        <f t="shared" si="57"/>
        <v>66712.82346729</v>
      </c>
    </row>
    <row r="1817" spans="1:9" ht="15.75" customHeight="1" x14ac:dyDescent="0.35">
      <c r="A1817" s="26" t="s">
        <v>3266</v>
      </c>
      <c r="B1817" s="25" t="s">
        <v>12092</v>
      </c>
      <c r="C1817" s="6" t="s">
        <v>1238</v>
      </c>
      <c r="D1817" s="13">
        <v>3135.0467458346398</v>
      </c>
      <c r="E1817" s="18">
        <v>21</v>
      </c>
      <c r="F1817" s="2">
        <f t="shared" si="56"/>
        <v>3793.4065624599143</v>
      </c>
      <c r="G1817" s="3">
        <v>0</v>
      </c>
      <c r="H1817" s="4">
        <v>0.7</v>
      </c>
      <c r="I1817" s="28">
        <f t="shared" si="57"/>
        <v>6448.7911561818546</v>
      </c>
    </row>
    <row r="1818" spans="1:9" ht="15.75" customHeight="1" x14ac:dyDescent="0.35">
      <c r="A1818" s="26" t="s">
        <v>3267</v>
      </c>
      <c r="B1818" s="25" t="s">
        <v>12094</v>
      </c>
      <c r="C1818" s="6" t="s">
        <v>12896</v>
      </c>
      <c r="D1818" s="13">
        <v>19446.113232</v>
      </c>
      <c r="E1818" s="18">
        <v>21</v>
      </c>
      <c r="F1818" s="2">
        <f t="shared" si="56"/>
        <v>23529.797010719998</v>
      </c>
      <c r="G1818" s="3">
        <v>0</v>
      </c>
      <c r="H1818" s="4">
        <v>0.7</v>
      </c>
      <c r="I1818" s="28">
        <f t="shared" si="57"/>
        <v>40000.654918223998</v>
      </c>
    </row>
    <row r="1819" spans="1:9" ht="15.75" customHeight="1" x14ac:dyDescent="0.35">
      <c r="A1819" s="26" t="s">
        <v>3273</v>
      </c>
      <c r="B1819" s="25" t="s">
        <v>13231</v>
      </c>
      <c r="C1819" s="6" t="s">
        <v>13199</v>
      </c>
      <c r="D1819" s="13">
        <v>8146.4708619000003</v>
      </c>
      <c r="E1819" s="18">
        <v>21</v>
      </c>
      <c r="F1819" s="2">
        <f t="shared" si="56"/>
        <v>9857.2297428990005</v>
      </c>
      <c r="G1819" s="3">
        <v>0</v>
      </c>
      <c r="H1819" s="4">
        <v>0.7</v>
      </c>
      <c r="I1819" s="28">
        <f t="shared" si="57"/>
        <v>16757.290562928301</v>
      </c>
    </row>
    <row r="1820" spans="1:9" ht="15.75" customHeight="1" x14ac:dyDescent="0.35">
      <c r="A1820" s="26" t="s">
        <v>4468</v>
      </c>
      <c r="B1820" s="25" t="s">
        <v>13232</v>
      </c>
      <c r="C1820" s="6" t="s">
        <v>4469</v>
      </c>
      <c r="D1820" s="13">
        <v>169371.07831800001</v>
      </c>
      <c r="E1820" s="18">
        <v>21</v>
      </c>
      <c r="F1820" s="2">
        <f t="shared" si="56"/>
        <v>204939.00476478002</v>
      </c>
      <c r="G1820" s="3">
        <v>0</v>
      </c>
      <c r="H1820" s="4">
        <v>0.7</v>
      </c>
      <c r="I1820" s="28">
        <f t="shared" si="57"/>
        <v>348396.30810012604</v>
      </c>
    </row>
    <row r="1821" spans="1:9" ht="15.75" customHeight="1" x14ac:dyDescent="0.35">
      <c r="A1821" s="26" t="s">
        <v>13211</v>
      </c>
      <c r="B1821" s="25" t="s">
        <v>1156</v>
      </c>
      <c r="C1821" s="6" t="s">
        <v>13212</v>
      </c>
      <c r="D1821" s="13">
        <v>36483.370726920155</v>
      </c>
      <c r="E1821" s="18">
        <v>21</v>
      </c>
      <c r="F1821" s="2">
        <f t="shared" si="56"/>
        <v>44144.878579573386</v>
      </c>
      <c r="G1821" s="3">
        <v>0</v>
      </c>
      <c r="H1821" s="4">
        <v>0.7</v>
      </c>
      <c r="I1821" s="28">
        <f t="shared" si="57"/>
        <v>75046.293585274747</v>
      </c>
    </row>
    <row r="1822" spans="1:9" ht="15.75" customHeight="1" x14ac:dyDescent="0.35">
      <c r="A1822" s="26" t="s">
        <v>13824</v>
      </c>
      <c r="B1822" s="25" t="s">
        <v>1099</v>
      </c>
      <c r="C1822" s="6" t="s">
        <v>13825</v>
      </c>
      <c r="D1822" s="13">
        <v>66224.34</v>
      </c>
      <c r="E1822" s="18">
        <v>21</v>
      </c>
      <c r="F1822" s="2">
        <f t="shared" si="56"/>
        <v>80131.451399999991</v>
      </c>
      <c r="G1822" s="3">
        <v>0</v>
      </c>
      <c r="H1822" s="4">
        <v>0.7</v>
      </c>
      <c r="I1822" s="28">
        <f t="shared" si="57"/>
        <v>136223.46737999999</v>
      </c>
    </row>
    <row r="1823" spans="1:9" ht="15.75" customHeight="1" x14ac:dyDescent="0.35">
      <c r="A1823" s="26" t="s">
        <v>4471</v>
      </c>
      <c r="B1823" s="25" t="s">
        <v>9326</v>
      </c>
      <c r="C1823" s="6" t="s">
        <v>13618</v>
      </c>
      <c r="D1823" s="13">
        <v>25042.8458645352</v>
      </c>
      <c r="E1823" s="18">
        <v>21</v>
      </c>
      <c r="F1823" s="2">
        <f t="shared" si="56"/>
        <v>30301.843496087593</v>
      </c>
      <c r="G1823" s="3">
        <v>0</v>
      </c>
      <c r="H1823" s="4">
        <v>0.7</v>
      </c>
      <c r="I1823" s="28">
        <f t="shared" si="57"/>
        <v>51513.133943348905</v>
      </c>
    </row>
    <row r="1824" spans="1:9" ht="15.75" customHeight="1" x14ac:dyDescent="0.35">
      <c r="A1824" s="26" t="s">
        <v>10736</v>
      </c>
      <c r="B1824" s="25" t="s">
        <v>239</v>
      </c>
      <c r="C1824" s="6" t="s">
        <v>10737</v>
      </c>
      <c r="D1824" s="13">
        <v>30129.952125</v>
      </c>
      <c r="E1824" s="18">
        <v>21</v>
      </c>
      <c r="F1824" s="2">
        <f t="shared" si="56"/>
        <v>36457.242071250002</v>
      </c>
      <c r="G1824" s="3">
        <v>0</v>
      </c>
      <c r="H1824" s="4">
        <v>0.7</v>
      </c>
      <c r="I1824" s="28">
        <f t="shared" si="57"/>
        <v>61977.311521125004</v>
      </c>
    </row>
    <row r="1825" spans="1:9" ht="15.75" customHeight="1" x14ac:dyDescent="0.35">
      <c r="A1825" s="26" t="s">
        <v>4470</v>
      </c>
      <c r="B1825" s="25" t="s">
        <v>240</v>
      </c>
      <c r="C1825" s="6" t="s">
        <v>253</v>
      </c>
      <c r="D1825" s="13">
        <v>23163.30907228031</v>
      </c>
      <c r="E1825" s="18">
        <v>21</v>
      </c>
      <c r="F1825" s="2">
        <f t="shared" si="56"/>
        <v>28027.603977459177</v>
      </c>
      <c r="G1825" s="3">
        <v>0</v>
      </c>
      <c r="H1825" s="4">
        <v>0.7</v>
      </c>
      <c r="I1825" s="28">
        <f t="shared" si="57"/>
        <v>47646.926761680603</v>
      </c>
    </row>
    <row r="1826" spans="1:9" ht="15.75" customHeight="1" x14ac:dyDescent="0.35">
      <c r="A1826" s="26" t="s">
        <v>4473</v>
      </c>
      <c r="B1826" s="25" t="s">
        <v>241</v>
      </c>
      <c r="C1826" s="6" t="s">
        <v>4474</v>
      </c>
      <c r="D1826" s="13">
        <v>58121.984874049755</v>
      </c>
      <c r="E1826" s="18">
        <v>21</v>
      </c>
      <c r="F1826" s="2">
        <f t="shared" si="56"/>
        <v>70327.601697600199</v>
      </c>
      <c r="G1826" s="3">
        <v>0</v>
      </c>
      <c r="H1826" s="4">
        <v>0.7</v>
      </c>
      <c r="I1826" s="28">
        <f t="shared" si="57"/>
        <v>119556.92288592033</v>
      </c>
    </row>
    <row r="1827" spans="1:9" ht="15.75" customHeight="1" x14ac:dyDescent="0.35">
      <c r="A1827" s="26" t="s">
        <v>13619</v>
      </c>
      <c r="B1827" s="25" t="s">
        <v>242</v>
      </c>
      <c r="C1827" s="6" t="s">
        <v>13620</v>
      </c>
      <c r="D1827" s="13">
        <v>25042.8458645352</v>
      </c>
      <c r="E1827" s="18">
        <v>21</v>
      </c>
      <c r="F1827" s="2">
        <f t="shared" si="56"/>
        <v>30301.843496087593</v>
      </c>
      <c r="G1827" s="3">
        <v>0</v>
      </c>
      <c r="H1827" s="4">
        <v>0.7</v>
      </c>
      <c r="I1827" s="28">
        <f t="shared" si="57"/>
        <v>51513.133943348905</v>
      </c>
    </row>
    <row r="1828" spans="1:9" ht="15.75" customHeight="1" x14ac:dyDescent="0.35">
      <c r="A1828" s="26" t="s">
        <v>10738</v>
      </c>
      <c r="B1828" s="25" t="s">
        <v>3347</v>
      </c>
      <c r="C1828" s="6" t="s">
        <v>10739</v>
      </c>
      <c r="D1828" s="13">
        <v>32561.160902273557</v>
      </c>
      <c r="E1828" s="18">
        <v>21</v>
      </c>
      <c r="F1828" s="2">
        <f t="shared" si="56"/>
        <v>39399.004691751004</v>
      </c>
      <c r="G1828" s="3">
        <v>0</v>
      </c>
      <c r="H1828" s="4">
        <v>0.7</v>
      </c>
      <c r="I1828" s="28">
        <f t="shared" si="57"/>
        <v>66978.307975976699</v>
      </c>
    </row>
    <row r="1829" spans="1:9" ht="15.75" customHeight="1" x14ac:dyDescent="0.35">
      <c r="A1829" s="26" t="s">
        <v>5795</v>
      </c>
      <c r="B1829" s="25" t="s">
        <v>243</v>
      </c>
      <c r="C1829" s="6" t="s">
        <v>1239</v>
      </c>
      <c r="D1829" s="13">
        <v>56772.210542580004</v>
      </c>
      <c r="E1829" s="18">
        <v>21</v>
      </c>
      <c r="F1829" s="2">
        <f t="shared" si="56"/>
        <v>68694.374756521807</v>
      </c>
      <c r="G1829" s="3">
        <v>0</v>
      </c>
      <c r="H1829" s="4">
        <v>0.7</v>
      </c>
      <c r="I1829" s="28">
        <f t="shared" si="57"/>
        <v>116780.43708608707</v>
      </c>
    </row>
    <row r="1830" spans="1:9" ht="15.75" customHeight="1" x14ac:dyDescent="0.35">
      <c r="A1830" s="26" t="s">
        <v>4475</v>
      </c>
      <c r="B1830" s="25" t="s">
        <v>244</v>
      </c>
      <c r="C1830" s="6" t="s">
        <v>255</v>
      </c>
      <c r="D1830" s="13">
        <v>23163.30907228031</v>
      </c>
      <c r="E1830" s="18">
        <v>21</v>
      </c>
      <c r="F1830" s="2">
        <f t="shared" si="56"/>
        <v>28027.603977459177</v>
      </c>
      <c r="G1830" s="3">
        <v>0</v>
      </c>
      <c r="H1830" s="4">
        <v>0.7</v>
      </c>
      <c r="I1830" s="28">
        <f t="shared" si="57"/>
        <v>47646.926761680603</v>
      </c>
    </row>
    <row r="1831" spans="1:9" ht="15.75" customHeight="1" x14ac:dyDescent="0.35">
      <c r="A1831" s="26" t="s">
        <v>4476</v>
      </c>
      <c r="B1831" s="25" t="s">
        <v>910</v>
      </c>
      <c r="C1831" s="6" t="s">
        <v>1240</v>
      </c>
      <c r="D1831" s="13">
        <v>78273.873217799846</v>
      </c>
      <c r="E1831" s="18">
        <v>21</v>
      </c>
      <c r="F1831" s="2">
        <f t="shared" si="56"/>
        <v>94711.386593537813</v>
      </c>
      <c r="G1831" s="3">
        <v>0</v>
      </c>
      <c r="H1831" s="4">
        <v>0.7</v>
      </c>
      <c r="I1831" s="28">
        <f t="shared" si="57"/>
        <v>161009.35720901427</v>
      </c>
    </row>
    <row r="1832" spans="1:9" ht="15.75" customHeight="1" x14ac:dyDescent="0.35">
      <c r="A1832" s="26" t="s">
        <v>5797</v>
      </c>
      <c r="B1832" s="25" t="s">
        <v>911</v>
      </c>
      <c r="C1832" s="6" t="s">
        <v>1241</v>
      </c>
      <c r="D1832" s="13">
        <v>63401.214536511063</v>
      </c>
      <c r="E1832" s="18">
        <v>21</v>
      </c>
      <c r="F1832" s="2">
        <f t="shared" si="56"/>
        <v>76715.469589178392</v>
      </c>
      <c r="G1832" s="3">
        <v>0</v>
      </c>
      <c r="H1832" s="4">
        <v>0.7</v>
      </c>
      <c r="I1832" s="28">
        <f t="shared" si="57"/>
        <v>130416.29830160327</v>
      </c>
    </row>
    <row r="1833" spans="1:9" ht="15.75" customHeight="1" x14ac:dyDescent="0.35">
      <c r="A1833" s="26" t="s">
        <v>13712</v>
      </c>
      <c r="B1833" s="25" t="s">
        <v>912</v>
      </c>
      <c r="C1833" s="6" t="s">
        <v>13713</v>
      </c>
      <c r="D1833" s="13">
        <v>34640.423999999999</v>
      </c>
      <c r="E1833" s="18">
        <v>21</v>
      </c>
      <c r="F1833" s="2">
        <f t="shared" si="56"/>
        <v>41914.913039999999</v>
      </c>
      <c r="G1833" s="3">
        <v>0</v>
      </c>
      <c r="H1833" s="4">
        <v>0.7</v>
      </c>
      <c r="I1833" s="28">
        <f t="shared" si="57"/>
        <v>71255.352167999998</v>
      </c>
    </row>
    <row r="1834" spans="1:9" ht="15.75" customHeight="1" x14ac:dyDescent="0.35">
      <c r="A1834" s="26" t="s">
        <v>4478</v>
      </c>
      <c r="B1834" s="25" t="s">
        <v>913</v>
      </c>
      <c r="C1834" s="6" t="s">
        <v>257</v>
      </c>
      <c r="D1834" s="13">
        <v>23163.30907228031</v>
      </c>
      <c r="E1834" s="18">
        <v>21</v>
      </c>
      <c r="F1834" s="2">
        <f t="shared" si="56"/>
        <v>28027.603977459177</v>
      </c>
      <c r="G1834" s="3">
        <v>0</v>
      </c>
      <c r="H1834" s="4">
        <v>0.7</v>
      </c>
      <c r="I1834" s="28">
        <f t="shared" si="57"/>
        <v>47646.926761680603</v>
      </c>
    </row>
    <row r="1835" spans="1:9" ht="15.75" customHeight="1" x14ac:dyDescent="0.35">
      <c r="A1835" s="26" t="s">
        <v>4479</v>
      </c>
      <c r="B1835" s="25" t="s">
        <v>914</v>
      </c>
      <c r="C1835" s="6" t="s">
        <v>1242</v>
      </c>
      <c r="D1835" s="13">
        <v>144153.85756590002</v>
      </c>
      <c r="E1835" s="18">
        <v>21</v>
      </c>
      <c r="F1835" s="2">
        <f t="shared" si="56"/>
        <v>174426.16765473902</v>
      </c>
      <c r="G1835" s="3">
        <v>0</v>
      </c>
      <c r="H1835" s="4">
        <v>0.7</v>
      </c>
      <c r="I1835" s="28">
        <f t="shared" si="57"/>
        <v>296524.48501305631</v>
      </c>
    </row>
    <row r="1836" spans="1:9" ht="15.75" customHeight="1" x14ac:dyDescent="0.35">
      <c r="A1836" s="26" t="s">
        <v>4480</v>
      </c>
      <c r="B1836" s="25" t="s">
        <v>915</v>
      </c>
      <c r="C1836" s="6" t="s">
        <v>258</v>
      </c>
      <c r="D1836" s="13">
        <v>31704.808168800002</v>
      </c>
      <c r="E1836" s="18">
        <v>21</v>
      </c>
      <c r="F1836" s="2">
        <f t="shared" si="56"/>
        <v>38362.817884248005</v>
      </c>
      <c r="G1836" s="3">
        <v>0</v>
      </c>
      <c r="H1836" s="4">
        <v>0.7</v>
      </c>
      <c r="I1836" s="28">
        <f t="shared" si="57"/>
        <v>65216.790403221603</v>
      </c>
    </row>
    <row r="1837" spans="1:9" ht="15.75" customHeight="1" x14ac:dyDescent="0.35">
      <c r="A1837" s="26" t="s">
        <v>5796</v>
      </c>
      <c r="B1837" s="25" t="s">
        <v>916</v>
      </c>
      <c r="C1837" s="6" t="s">
        <v>13925</v>
      </c>
      <c r="D1837" s="13">
        <v>59178.2777976</v>
      </c>
      <c r="E1837" s="18">
        <v>21</v>
      </c>
      <c r="F1837" s="2">
        <f t="shared" si="56"/>
        <v>71605.716135095994</v>
      </c>
      <c r="G1837" s="3">
        <v>0</v>
      </c>
      <c r="H1837" s="4">
        <v>0.7</v>
      </c>
      <c r="I1837" s="28">
        <f t="shared" si="57"/>
        <v>121729.71742966319</v>
      </c>
    </row>
    <row r="1838" spans="1:9" ht="15.75" customHeight="1" x14ac:dyDescent="0.35">
      <c r="A1838" s="26" t="s">
        <v>13905</v>
      </c>
      <c r="B1838" s="25" t="s">
        <v>917</v>
      </c>
      <c r="C1838" s="6" t="s">
        <v>13926</v>
      </c>
      <c r="D1838" s="13">
        <v>64722.039303999998</v>
      </c>
      <c r="E1838" s="18">
        <v>21</v>
      </c>
      <c r="F1838" s="2">
        <f t="shared" si="56"/>
        <v>78313.667557840003</v>
      </c>
      <c r="G1838" s="3">
        <v>0</v>
      </c>
      <c r="H1838" s="4">
        <v>0.7</v>
      </c>
      <c r="I1838" s="28">
        <f t="shared" si="57"/>
        <v>133133.23484832799</v>
      </c>
    </row>
    <row r="1839" spans="1:9" ht="15.75" customHeight="1" x14ac:dyDescent="0.35">
      <c r="A1839" s="26" t="s">
        <v>10028</v>
      </c>
      <c r="B1839" s="25" t="s">
        <v>918</v>
      </c>
      <c r="C1839" s="6" t="s">
        <v>10029</v>
      </c>
      <c r="D1839" s="13">
        <v>814835.99597400008</v>
      </c>
      <c r="E1839" s="18">
        <v>21</v>
      </c>
      <c r="F1839" s="2">
        <f t="shared" si="56"/>
        <v>985951.55512854015</v>
      </c>
      <c r="G1839" s="3">
        <v>0</v>
      </c>
      <c r="H1839" s="4">
        <v>0.7</v>
      </c>
      <c r="I1839" s="28">
        <f t="shared" si="57"/>
        <v>1676117.6437185183</v>
      </c>
    </row>
    <row r="1840" spans="1:9" ht="15.75" customHeight="1" x14ac:dyDescent="0.35">
      <c r="A1840" s="26" t="s">
        <v>4481</v>
      </c>
      <c r="B1840" s="25" t="s">
        <v>919</v>
      </c>
      <c r="C1840" s="6" t="s">
        <v>1243</v>
      </c>
      <c r="D1840" s="13">
        <v>605136.987234</v>
      </c>
      <c r="E1840" s="18">
        <v>21</v>
      </c>
      <c r="F1840" s="2">
        <f t="shared" si="56"/>
        <v>732215.75455314002</v>
      </c>
      <c r="G1840" s="3">
        <v>0</v>
      </c>
      <c r="H1840" s="4">
        <v>0.7</v>
      </c>
      <c r="I1840" s="28">
        <f t="shared" si="57"/>
        <v>1244766.782740338</v>
      </c>
    </row>
    <row r="1841" spans="1:9" ht="15.75" customHeight="1" x14ac:dyDescent="0.35">
      <c r="A1841" s="26" t="s">
        <v>13099</v>
      </c>
      <c r="B1841" s="25" t="s">
        <v>10123</v>
      </c>
      <c r="C1841" s="6" t="s">
        <v>13100</v>
      </c>
      <c r="D1841" s="13">
        <v>158938.416</v>
      </c>
      <c r="E1841" s="18">
        <v>21</v>
      </c>
      <c r="F1841" s="2">
        <f t="shared" si="56"/>
        <v>192315.48336000001</v>
      </c>
      <c r="G1841" s="3">
        <v>0</v>
      </c>
      <c r="H1841" s="4">
        <v>0.7</v>
      </c>
      <c r="I1841" s="28">
        <f t="shared" si="57"/>
        <v>326936.321712</v>
      </c>
    </row>
    <row r="1842" spans="1:9" ht="15.75" customHeight="1" x14ac:dyDescent="0.35">
      <c r="A1842" s="26" t="s">
        <v>13794</v>
      </c>
      <c r="B1842" s="25" t="s">
        <v>10124</v>
      </c>
      <c r="C1842" s="6" t="s">
        <v>13795</v>
      </c>
      <c r="D1842" s="13">
        <v>114619.04999999999</v>
      </c>
      <c r="E1842" s="18">
        <v>21</v>
      </c>
      <c r="F1842" s="2">
        <f t="shared" si="56"/>
        <v>138689.05049999998</v>
      </c>
      <c r="G1842" s="3">
        <v>0</v>
      </c>
      <c r="H1842" s="4">
        <v>0.7</v>
      </c>
      <c r="I1842" s="28">
        <f t="shared" si="57"/>
        <v>235771.38584999996</v>
      </c>
    </row>
    <row r="1843" spans="1:9" ht="15.75" customHeight="1" x14ac:dyDescent="0.35">
      <c r="A1843" s="26" t="s">
        <v>4482</v>
      </c>
      <c r="B1843" s="25" t="s">
        <v>8988</v>
      </c>
      <c r="C1843" s="6" t="s">
        <v>13621</v>
      </c>
      <c r="D1843" s="13">
        <v>34817.934399019199</v>
      </c>
      <c r="E1843" s="18">
        <v>21</v>
      </c>
      <c r="F1843" s="2">
        <f t="shared" si="56"/>
        <v>42129.70062281323</v>
      </c>
      <c r="G1843" s="3">
        <v>0</v>
      </c>
      <c r="H1843" s="4">
        <v>0.7</v>
      </c>
      <c r="I1843" s="28">
        <f t="shared" si="57"/>
        <v>71620.491058782485</v>
      </c>
    </row>
    <row r="1844" spans="1:9" ht="15.75" customHeight="1" x14ac:dyDescent="0.35">
      <c r="A1844" s="26" t="s">
        <v>10879</v>
      </c>
      <c r="B1844" s="25" t="s">
        <v>8989</v>
      </c>
      <c r="C1844" s="6" t="s">
        <v>10880</v>
      </c>
      <c r="D1844" s="13">
        <v>48277.968375000004</v>
      </c>
      <c r="E1844" s="18">
        <v>21</v>
      </c>
      <c r="F1844" s="2">
        <f t="shared" si="56"/>
        <v>58416.341733750007</v>
      </c>
      <c r="G1844" s="3">
        <v>0</v>
      </c>
      <c r="H1844" s="4">
        <v>0.7</v>
      </c>
      <c r="I1844" s="28">
        <f t="shared" si="57"/>
        <v>99307.780947375009</v>
      </c>
    </row>
    <row r="1845" spans="1:9" ht="15.75" customHeight="1" x14ac:dyDescent="0.35">
      <c r="A1845" s="26" t="s">
        <v>5798</v>
      </c>
      <c r="B1845" s="25" t="s">
        <v>10125</v>
      </c>
      <c r="C1845" s="6" t="s">
        <v>1244</v>
      </c>
      <c r="D1845" s="13">
        <v>98806.933602000005</v>
      </c>
      <c r="E1845" s="18">
        <v>21</v>
      </c>
      <c r="F1845" s="2">
        <f t="shared" si="56"/>
        <v>119556.38965842001</v>
      </c>
      <c r="G1845" s="3">
        <v>0</v>
      </c>
      <c r="H1845" s="4">
        <v>0.7</v>
      </c>
      <c r="I1845" s="28">
        <f t="shared" si="57"/>
        <v>203245.86241931401</v>
      </c>
    </row>
    <row r="1846" spans="1:9" ht="15.75" customHeight="1" x14ac:dyDescent="0.35">
      <c r="A1846" s="26" t="s">
        <v>4483</v>
      </c>
      <c r="B1846" s="25" t="s">
        <v>10126</v>
      </c>
      <c r="C1846" s="6" t="s">
        <v>259</v>
      </c>
      <c r="D1846" s="13">
        <v>37634.582552059997</v>
      </c>
      <c r="E1846" s="18">
        <v>21</v>
      </c>
      <c r="F1846" s="2">
        <f t="shared" si="56"/>
        <v>45537.8448879926</v>
      </c>
      <c r="G1846" s="3">
        <v>0</v>
      </c>
      <c r="H1846" s="4">
        <v>0.7</v>
      </c>
      <c r="I1846" s="28">
        <f t="shared" si="57"/>
        <v>77414.336309587423</v>
      </c>
    </row>
    <row r="1847" spans="1:9" ht="15.75" customHeight="1" x14ac:dyDescent="0.35">
      <c r="A1847" s="26" t="s">
        <v>4484</v>
      </c>
      <c r="B1847" s="25" t="s">
        <v>8990</v>
      </c>
      <c r="C1847" s="6" t="s">
        <v>1245</v>
      </c>
      <c r="D1847" s="13">
        <v>89702.73153200977</v>
      </c>
      <c r="E1847" s="18">
        <v>21</v>
      </c>
      <c r="F1847" s="2">
        <f t="shared" si="56"/>
        <v>108540.30515373182</v>
      </c>
      <c r="G1847" s="3">
        <v>0</v>
      </c>
      <c r="H1847" s="4">
        <v>0.7</v>
      </c>
      <c r="I1847" s="28">
        <f t="shared" si="57"/>
        <v>184518.51876134411</v>
      </c>
    </row>
    <row r="1848" spans="1:9" ht="15.75" customHeight="1" x14ac:dyDescent="0.35">
      <c r="A1848" s="26" t="s">
        <v>12046</v>
      </c>
      <c r="B1848" s="25" t="s">
        <v>10127</v>
      </c>
      <c r="C1848" s="6" t="s">
        <v>12047</v>
      </c>
      <c r="D1848" s="13">
        <v>351208.85225399997</v>
      </c>
      <c r="E1848" s="18">
        <v>21</v>
      </c>
      <c r="F1848" s="2">
        <f t="shared" si="56"/>
        <v>424962.71122733993</v>
      </c>
      <c r="G1848" s="3">
        <v>0</v>
      </c>
      <c r="H1848" s="4">
        <v>0.7</v>
      </c>
      <c r="I1848" s="28">
        <f t="shared" si="57"/>
        <v>722436.6090864779</v>
      </c>
    </row>
    <row r="1849" spans="1:9" ht="15.75" customHeight="1" x14ac:dyDescent="0.35">
      <c r="A1849" s="26" t="s">
        <v>9022</v>
      </c>
      <c r="B1849" s="25" t="s">
        <v>10128</v>
      </c>
      <c r="C1849" s="6" t="s">
        <v>10419</v>
      </c>
      <c r="D1849" s="13">
        <v>375324.62760000001</v>
      </c>
      <c r="E1849" s="18">
        <v>21</v>
      </c>
      <c r="F1849" s="2">
        <f t="shared" si="56"/>
        <v>454142.79939599999</v>
      </c>
      <c r="G1849" s="3">
        <v>0</v>
      </c>
      <c r="H1849" s="4">
        <v>0.7</v>
      </c>
      <c r="I1849" s="28">
        <f t="shared" si="57"/>
        <v>772042.75897319999</v>
      </c>
    </row>
    <row r="1850" spans="1:9" ht="15.75" customHeight="1" x14ac:dyDescent="0.35">
      <c r="A1850" s="26" t="s">
        <v>11869</v>
      </c>
      <c r="B1850" s="25" t="s">
        <v>8991</v>
      </c>
      <c r="C1850" s="6" t="s">
        <v>11870</v>
      </c>
      <c r="D1850" s="13">
        <v>137744.504625</v>
      </c>
      <c r="E1850" s="18">
        <v>21</v>
      </c>
      <c r="F1850" s="2">
        <f t="shared" si="56"/>
        <v>166670.85059625001</v>
      </c>
      <c r="G1850" s="3">
        <v>0</v>
      </c>
      <c r="H1850" s="4">
        <v>0.7</v>
      </c>
      <c r="I1850" s="28">
        <f t="shared" si="57"/>
        <v>283340.44601362501</v>
      </c>
    </row>
    <row r="1851" spans="1:9" ht="15.75" customHeight="1" x14ac:dyDescent="0.35">
      <c r="A1851" s="26" t="s">
        <v>4485</v>
      </c>
      <c r="B1851" s="25" t="s">
        <v>1202</v>
      </c>
      <c r="C1851" s="6" t="s">
        <v>13622</v>
      </c>
      <c r="D1851" s="13">
        <v>34817.934399019199</v>
      </c>
      <c r="E1851" s="18">
        <v>21</v>
      </c>
      <c r="F1851" s="2">
        <f t="shared" si="56"/>
        <v>42129.70062281323</v>
      </c>
      <c r="G1851" s="3">
        <v>0</v>
      </c>
      <c r="H1851" s="4">
        <v>0.7</v>
      </c>
      <c r="I1851" s="28">
        <f t="shared" si="57"/>
        <v>71620.491058782485</v>
      </c>
    </row>
    <row r="1852" spans="1:9" ht="15.75" customHeight="1" x14ac:dyDescent="0.35">
      <c r="A1852" s="26" t="s">
        <v>10881</v>
      </c>
      <c r="B1852" s="25" t="s">
        <v>245</v>
      </c>
      <c r="C1852" s="6" t="s">
        <v>10882</v>
      </c>
      <c r="D1852" s="13">
        <v>52130.442000000003</v>
      </c>
      <c r="E1852" s="18">
        <v>21</v>
      </c>
      <c r="F1852" s="2">
        <f t="shared" si="56"/>
        <v>63077.834820000004</v>
      </c>
      <c r="G1852" s="3">
        <v>0</v>
      </c>
      <c r="H1852" s="4">
        <v>0.7</v>
      </c>
      <c r="I1852" s="28">
        <f t="shared" si="57"/>
        <v>107232.31919400001</v>
      </c>
    </row>
    <row r="1853" spans="1:9" ht="15.75" customHeight="1" x14ac:dyDescent="0.35">
      <c r="A1853" s="26" t="s">
        <v>5799</v>
      </c>
      <c r="B1853" s="25" t="s">
        <v>246</v>
      </c>
      <c r="C1853" s="6" t="s">
        <v>1246</v>
      </c>
      <c r="D1853" s="13">
        <v>102303.214884</v>
      </c>
      <c r="E1853" s="18">
        <v>21</v>
      </c>
      <c r="F1853" s="2">
        <f t="shared" si="56"/>
        <v>123786.89000964</v>
      </c>
      <c r="G1853" s="3">
        <v>0</v>
      </c>
      <c r="H1853" s="4">
        <v>0.7</v>
      </c>
      <c r="I1853" s="28">
        <f t="shared" si="57"/>
        <v>210437.71301638801</v>
      </c>
    </row>
    <row r="1854" spans="1:9" ht="15.75" customHeight="1" x14ac:dyDescent="0.35">
      <c r="A1854" s="26" t="s">
        <v>4486</v>
      </c>
      <c r="B1854" s="25" t="s">
        <v>9977</v>
      </c>
      <c r="C1854" s="6" t="s">
        <v>260</v>
      </c>
      <c r="D1854" s="13">
        <v>37634.582552059997</v>
      </c>
      <c r="E1854" s="18">
        <v>21</v>
      </c>
      <c r="F1854" s="2">
        <f t="shared" si="56"/>
        <v>45537.8448879926</v>
      </c>
      <c r="G1854" s="3">
        <v>0</v>
      </c>
      <c r="H1854" s="4">
        <v>0.7</v>
      </c>
      <c r="I1854" s="28">
        <f t="shared" si="57"/>
        <v>77414.336309587423</v>
      </c>
    </row>
    <row r="1855" spans="1:9" ht="15.75" customHeight="1" x14ac:dyDescent="0.35">
      <c r="A1855" s="26" t="s">
        <v>5800</v>
      </c>
      <c r="B1855" s="25" t="s">
        <v>10284</v>
      </c>
      <c r="C1855" s="6" t="s">
        <v>1247</v>
      </c>
      <c r="D1855" s="13">
        <v>92862.710345340616</v>
      </c>
      <c r="E1855" s="18">
        <v>21</v>
      </c>
      <c r="F1855" s="2">
        <f t="shared" si="56"/>
        <v>112363.87951786214</v>
      </c>
      <c r="G1855" s="3">
        <v>0</v>
      </c>
      <c r="H1855" s="4">
        <v>0.7</v>
      </c>
      <c r="I1855" s="28">
        <f t="shared" si="57"/>
        <v>191018.59518036564</v>
      </c>
    </row>
    <row r="1856" spans="1:9" ht="15.75" customHeight="1" x14ac:dyDescent="0.35">
      <c r="A1856" s="26" t="s">
        <v>5805</v>
      </c>
      <c r="B1856" s="25" t="s">
        <v>11557</v>
      </c>
      <c r="C1856" s="6" t="s">
        <v>10420</v>
      </c>
      <c r="D1856" s="13">
        <v>408262.86774000002</v>
      </c>
      <c r="E1856" s="18">
        <v>21</v>
      </c>
      <c r="F1856" s="2">
        <f t="shared" si="56"/>
        <v>493998.06996540003</v>
      </c>
      <c r="G1856" s="3">
        <v>0</v>
      </c>
      <c r="H1856" s="4">
        <v>0.7</v>
      </c>
      <c r="I1856" s="28">
        <f t="shared" si="57"/>
        <v>839796.71894118004</v>
      </c>
    </row>
    <row r="1857" spans="1:9" ht="15.75" customHeight="1" x14ac:dyDescent="0.35">
      <c r="A1857" s="26" t="s">
        <v>12537</v>
      </c>
      <c r="B1857" s="25" t="s">
        <v>11559</v>
      </c>
      <c r="C1857" s="6" t="s">
        <v>12538</v>
      </c>
      <c r="D1857" s="13">
        <v>187635.63</v>
      </c>
      <c r="E1857" s="18">
        <v>21</v>
      </c>
      <c r="F1857" s="2">
        <f t="shared" si="56"/>
        <v>227039.11230000001</v>
      </c>
      <c r="G1857" s="3">
        <v>0</v>
      </c>
      <c r="H1857" s="4">
        <v>0.7</v>
      </c>
      <c r="I1857" s="28">
        <f t="shared" si="57"/>
        <v>385966.49090999999</v>
      </c>
    </row>
    <row r="1858" spans="1:9" ht="15.75" customHeight="1" x14ac:dyDescent="0.35">
      <c r="A1858" s="26" t="s">
        <v>12539</v>
      </c>
      <c r="B1858" s="25" t="s">
        <v>9629</v>
      </c>
      <c r="C1858" s="6" t="s">
        <v>12540</v>
      </c>
      <c r="D1858" s="13">
        <v>137744.504625</v>
      </c>
      <c r="E1858" s="18">
        <v>21</v>
      </c>
      <c r="F1858" s="2">
        <f t="shared" si="56"/>
        <v>166670.85059625001</v>
      </c>
      <c r="G1858" s="3">
        <v>0</v>
      </c>
      <c r="H1858" s="4">
        <v>0.7</v>
      </c>
      <c r="I1858" s="28">
        <f t="shared" si="57"/>
        <v>283340.44601362501</v>
      </c>
    </row>
    <row r="1859" spans="1:9" ht="15.75" customHeight="1" x14ac:dyDescent="0.35">
      <c r="A1859" s="26" t="s">
        <v>10883</v>
      </c>
      <c r="B1859" s="25" t="s">
        <v>9631</v>
      </c>
      <c r="C1859" s="6" t="s">
        <v>10884</v>
      </c>
      <c r="D1859" s="13">
        <v>55537.174874999997</v>
      </c>
      <c r="E1859" s="18">
        <v>21</v>
      </c>
      <c r="F1859" s="2">
        <f t="shared" si="56"/>
        <v>67199.98159874999</v>
      </c>
      <c r="G1859" s="3">
        <v>0</v>
      </c>
      <c r="H1859" s="4">
        <v>0.7</v>
      </c>
      <c r="I1859" s="28">
        <f t="shared" si="57"/>
        <v>114239.96871787497</v>
      </c>
    </row>
    <row r="1860" spans="1:9" ht="15.75" customHeight="1" x14ac:dyDescent="0.35">
      <c r="A1860" s="26" t="s">
        <v>4488</v>
      </c>
      <c r="B1860" s="25" t="s">
        <v>247</v>
      </c>
      <c r="C1860" s="6" t="s">
        <v>261</v>
      </c>
      <c r="D1860" s="13">
        <v>37634.582552059997</v>
      </c>
      <c r="E1860" s="18">
        <v>21</v>
      </c>
      <c r="F1860" s="2">
        <f t="shared" si="56"/>
        <v>45537.8448879926</v>
      </c>
      <c r="G1860" s="3">
        <v>0</v>
      </c>
      <c r="H1860" s="4">
        <v>0.7</v>
      </c>
      <c r="I1860" s="28">
        <f t="shared" si="57"/>
        <v>77414.336309587423</v>
      </c>
    </row>
    <row r="1861" spans="1:9" ht="15.75" customHeight="1" x14ac:dyDescent="0.35">
      <c r="A1861" s="26" t="s">
        <v>5801</v>
      </c>
      <c r="B1861" s="25" t="s">
        <v>13233</v>
      </c>
      <c r="C1861" s="6" t="s">
        <v>1248</v>
      </c>
      <c r="D1861" s="13">
        <v>178900.87731499746</v>
      </c>
      <c r="E1861" s="18">
        <v>21</v>
      </c>
      <c r="F1861" s="2">
        <f t="shared" si="56"/>
        <v>216470.06155114691</v>
      </c>
      <c r="G1861" s="3">
        <v>0</v>
      </c>
      <c r="H1861" s="4">
        <v>0.7</v>
      </c>
      <c r="I1861" s="28">
        <f t="shared" si="57"/>
        <v>367999.10463694972</v>
      </c>
    </row>
    <row r="1862" spans="1:9" ht="15.75" customHeight="1" x14ac:dyDescent="0.35">
      <c r="A1862" s="26" t="s">
        <v>4490</v>
      </c>
      <c r="B1862" s="25" t="s">
        <v>920</v>
      </c>
      <c r="C1862" s="6" t="s">
        <v>262</v>
      </c>
      <c r="D1862" s="13">
        <v>60990.758128169997</v>
      </c>
      <c r="E1862" s="18">
        <v>21</v>
      </c>
      <c r="F1862" s="2">
        <f t="shared" ref="F1862:F1925" si="58">D1862*E1862/100+D1862</f>
        <v>73798.817335085696</v>
      </c>
      <c r="G1862" s="3">
        <v>0</v>
      </c>
      <c r="H1862" s="4">
        <v>0.7</v>
      </c>
      <c r="I1862" s="28">
        <f t="shared" ref="I1862:I1925" si="59">IF(G1862=-1,0,F1862*((100-G1862)/100)*(1+H1862))</f>
        <v>125457.98946964568</v>
      </c>
    </row>
    <row r="1863" spans="1:9" ht="15.75" customHeight="1" x14ac:dyDescent="0.35">
      <c r="A1863" s="26" t="s">
        <v>5802</v>
      </c>
      <c r="B1863" s="25" t="s">
        <v>10621</v>
      </c>
      <c r="C1863" s="6" t="s">
        <v>1249</v>
      </c>
      <c r="D1863" s="13">
        <v>396621.57483</v>
      </c>
      <c r="E1863" s="18">
        <v>21</v>
      </c>
      <c r="F1863" s="2">
        <f t="shared" si="58"/>
        <v>479912.10554429999</v>
      </c>
      <c r="G1863" s="3">
        <v>0</v>
      </c>
      <c r="H1863" s="4">
        <v>0.7</v>
      </c>
      <c r="I1863" s="28">
        <f t="shared" si="59"/>
        <v>815850.57942531002</v>
      </c>
    </row>
    <row r="1864" spans="1:9" ht="15.75" customHeight="1" x14ac:dyDescent="0.35">
      <c r="A1864" s="26" t="s">
        <v>13114</v>
      </c>
      <c r="B1864" s="25" t="s">
        <v>11955</v>
      </c>
      <c r="C1864" s="6" t="s">
        <v>13115</v>
      </c>
      <c r="D1864" s="13">
        <v>147901.02600000001</v>
      </c>
      <c r="E1864" s="18">
        <v>21</v>
      </c>
      <c r="F1864" s="2">
        <f t="shared" si="58"/>
        <v>178960.24146000002</v>
      </c>
      <c r="G1864" s="3">
        <v>0</v>
      </c>
      <c r="H1864" s="4">
        <v>0.7</v>
      </c>
      <c r="I1864" s="28">
        <f t="shared" si="59"/>
        <v>304232.41048200004</v>
      </c>
    </row>
    <row r="1865" spans="1:9" ht="15.75" customHeight="1" x14ac:dyDescent="0.35">
      <c r="A1865" s="26" t="s">
        <v>5803</v>
      </c>
      <c r="B1865" s="25" t="s">
        <v>11956</v>
      </c>
      <c r="C1865" s="6" t="s">
        <v>13927</v>
      </c>
      <c r="D1865" s="13">
        <v>89755.331191278601</v>
      </c>
      <c r="E1865" s="18">
        <v>21</v>
      </c>
      <c r="F1865" s="2">
        <f t="shared" si="58"/>
        <v>108603.9507414471</v>
      </c>
      <c r="G1865" s="3">
        <v>0</v>
      </c>
      <c r="H1865" s="4">
        <v>0.7</v>
      </c>
      <c r="I1865" s="28">
        <f t="shared" si="59"/>
        <v>184626.71626046006</v>
      </c>
    </row>
    <row r="1866" spans="1:9" ht="15.75" customHeight="1" x14ac:dyDescent="0.35">
      <c r="A1866" s="26" t="s">
        <v>5804</v>
      </c>
      <c r="B1866" s="25" t="s">
        <v>248</v>
      </c>
      <c r="C1866" s="6" t="s">
        <v>13928</v>
      </c>
      <c r="D1866" s="13">
        <v>95836.20005128</v>
      </c>
      <c r="E1866" s="18">
        <v>21</v>
      </c>
      <c r="F1866" s="2">
        <f t="shared" si="58"/>
        <v>115961.80206204881</v>
      </c>
      <c r="G1866" s="3">
        <v>0</v>
      </c>
      <c r="H1866" s="4">
        <v>0.7</v>
      </c>
      <c r="I1866" s="28">
        <f t="shared" si="59"/>
        <v>197135.06350548298</v>
      </c>
    </row>
    <row r="1867" spans="1:9" ht="15.75" customHeight="1" x14ac:dyDescent="0.35">
      <c r="A1867" s="26" t="s">
        <v>13906</v>
      </c>
      <c r="B1867" s="25" t="s">
        <v>249</v>
      </c>
      <c r="C1867" s="6" t="s">
        <v>13929</v>
      </c>
      <c r="D1867" s="13">
        <v>185169.50381279999</v>
      </c>
      <c r="E1867" s="18">
        <v>21</v>
      </c>
      <c r="F1867" s="2">
        <f t="shared" si="58"/>
        <v>224055.09961348798</v>
      </c>
      <c r="G1867" s="3">
        <v>0</v>
      </c>
      <c r="H1867" s="4">
        <v>0.7</v>
      </c>
      <c r="I1867" s="28">
        <f t="shared" si="59"/>
        <v>380893.66934292956</v>
      </c>
    </row>
    <row r="1868" spans="1:9" ht="15.75" customHeight="1" x14ac:dyDescent="0.35">
      <c r="A1868" s="26" t="s">
        <v>4303</v>
      </c>
      <c r="B1868" s="25" t="s">
        <v>250</v>
      </c>
      <c r="C1868" s="6" t="s">
        <v>264</v>
      </c>
      <c r="D1868" s="13">
        <v>43513.941314203475</v>
      </c>
      <c r="E1868" s="18">
        <v>21</v>
      </c>
      <c r="F1868" s="2">
        <f t="shared" si="58"/>
        <v>52651.868990186209</v>
      </c>
      <c r="G1868" s="3">
        <v>0</v>
      </c>
      <c r="H1868" s="4">
        <v>0.7</v>
      </c>
      <c r="I1868" s="28">
        <f t="shared" si="59"/>
        <v>89508.17728331656</v>
      </c>
    </row>
    <row r="1869" spans="1:9" ht="15.75" customHeight="1" x14ac:dyDescent="0.35">
      <c r="A1869" s="26" t="s">
        <v>4304</v>
      </c>
      <c r="B1869" s="25" t="s">
        <v>12649</v>
      </c>
      <c r="C1869" s="6" t="s">
        <v>264</v>
      </c>
      <c r="D1869" s="13">
        <v>43513.941314203475</v>
      </c>
      <c r="E1869" s="18">
        <v>21</v>
      </c>
      <c r="F1869" s="2">
        <f t="shared" si="58"/>
        <v>52651.868990186209</v>
      </c>
      <c r="G1869" s="3">
        <v>0</v>
      </c>
      <c r="H1869" s="4">
        <v>0.7</v>
      </c>
      <c r="I1869" s="28">
        <f t="shared" si="59"/>
        <v>89508.17728331656</v>
      </c>
    </row>
    <row r="1870" spans="1:9" ht="15.75" customHeight="1" x14ac:dyDescent="0.35">
      <c r="A1870" s="26" t="s">
        <v>4305</v>
      </c>
      <c r="B1870" s="25" t="s">
        <v>11902</v>
      </c>
      <c r="C1870" s="6" t="s">
        <v>265</v>
      </c>
      <c r="D1870" s="13">
        <v>69134.45228362715</v>
      </c>
      <c r="E1870" s="18">
        <v>21</v>
      </c>
      <c r="F1870" s="2">
        <f t="shared" si="58"/>
        <v>83652.687263188855</v>
      </c>
      <c r="G1870" s="3">
        <v>0</v>
      </c>
      <c r="H1870" s="4">
        <v>0.7</v>
      </c>
      <c r="I1870" s="28">
        <f t="shared" si="59"/>
        <v>142209.56834742104</v>
      </c>
    </row>
    <row r="1871" spans="1:9" ht="15.75" customHeight="1" x14ac:dyDescent="0.35">
      <c r="A1871" s="26" t="s">
        <v>4306</v>
      </c>
      <c r="B1871" s="25" t="s">
        <v>11903</v>
      </c>
      <c r="C1871" s="6" t="s">
        <v>265</v>
      </c>
      <c r="D1871" s="13">
        <v>69134.45228362715</v>
      </c>
      <c r="E1871" s="18">
        <v>21</v>
      </c>
      <c r="F1871" s="2">
        <f t="shared" si="58"/>
        <v>83652.687263188855</v>
      </c>
      <c r="G1871" s="3">
        <v>0</v>
      </c>
      <c r="H1871" s="4">
        <v>0.7</v>
      </c>
      <c r="I1871" s="28">
        <f t="shared" si="59"/>
        <v>142209.56834742104</v>
      </c>
    </row>
    <row r="1872" spans="1:9" ht="15.75" customHeight="1" x14ac:dyDescent="0.35">
      <c r="A1872" s="26" t="s">
        <v>4308</v>
      </c>
      <c r="B1872" s="25" t="s">
        <v>10162</v>
      </c>
      <c r="C1872" s="6" t="s">
        <v>266</v>
      </c>
      <c r="D1872" s="13">
        <v>14923.46687091975</v>
      </c>
      <c r="E1872" s="18">
        <v>21</v>
      </c>
      <c r="F1872" s="2">
        <f t="shared" si="58"/>
        <v>18057.394913812899</v>
      </c>
      <c r="G1872" s="3">
        <v>0</v>
      </c>
      <c r="H1872" s="4">
        <v>0.7</v>
      </c>
      <c r="I1872" s="28">
        <f t="shared" si="59"/>
        <v>30697.571353481926</v>
      </c>
    </row>
    <row r="1873" spans="1:9" ht="15.75" customHeight="1" x14ac:dyDescent="0.35">
      <c r="A1873" s="26" t="s">
        <v>4310</v>
      </c>
      <c r="B1873" s="25" t="s">
        <v>10163</v>
      </c>
      <c r="C1873" s="6" t="s">
        <v>267</v>
      </c>
      <c r="D1873" s="13">
        <v>14923.46687091975</v>
      </c>
      <c r="E1873" s="18">
        <v>21</v>
      </c>
      <c r="F1873" s="2">
        <f t="shared" si="58"/>
        <v>18057.394913812899</v>
      </c>
      <c r="G1873" s="3">
        <v>0</v>
      </c>
      <c r="H1873" s="4">
        <v>0.7</v>
      </c>
      <c r="I1873" s="28">
        <f t="shared" si="59"/>
        <v>30697.571353481926</v>
      </c>
    </row>
    <row r="1874" spans="1:9" ht="15.75" customHeight="1" x14ac:dyDescent="0.35">
      <c r="A1874" s="26" t="s">
        <v>4252</v>
      </c>
      <c r="B1874" s="25" t="s">
        <v>10164</v>
      </c>
      <c r="C1874" s="6" t="s">
        <v>9393</v>
      </c>
      <c r="D1874" s="13">
        <v>2910.3232275</v>
      </c>
      <c r="E1874" s="18">
        <v>21</v>
      </c>
      <c r="F1874" s="2">
        <f t="shared" si="58"/>
        <v>3521.4911052749999</v>
      </c>
      <c r="G1874" s="3">
        <v>0</v>
      </c>
      <c r="H1874" s="4">
        <v>0.7</v>
      </c>
      <c r="I1874" s="28">
        <f t="shared" si="59"/>
        <v>5986.5348789674999</v>
      </c>
    </row>
    <row r="1875" spans="1:9" ht="15.75" customHeight="1" x14ac:dyDescent="0.35">
      <c r="A1875" s="26" t="s">
        <v>4253</v>
      </c>
      <c r="B1875" s="25" t="s">
        <v>10165</v>
      </c>
      <c r="C1875" s="6" t="s">
        <v>13139</v>
      </c>
      <c r="D1875" s="13">
        <v>3474.8675324999999</v>
      </c>
      <c r="E1875" s="18">
        <v>21</v>
      </c>
      <c r="F1875" s="2">
        <f t="shared" si="58"/>
        <v>4204.5897143250004</v>
      </c>
      <c r="G1875" s="3">
        <v>0</v>
      </c>
      <c r="H1875" s="4">
        <v>0.7</v>
      </c>
      <c r="I1875" s="28">
        <f t="shared" si="59"/>
        <v>7147.8025143525001</v>
      </c>
    </row>
    <row r="1876" spans="1:9" ht="15.75" customHeight="1" x14ac:dyDescent="0.35">
      <c r="A1876" s="26" t="s">
        <v>11278</v>
      </c>
      <c r="B1876" s="25" t="s">
        <v>12536</v>
      </c>
      <c r="C1876" s="6" t="s">
        <v>11587</v>
      </c>
      <c r="D1876" s="13">
        <v>3406.7328749999997</v>
      </c>
      <c r="E1876" s="18">
        <v>21</v>
      </c>
      <c r="F1876" s="2">
        <f t="shared" si="58"/>
        <v>4122.1467787499996</v>
      </c>
      <c r="G1876" s="3">
        <v>0</v>
      </c>
      <c r="H1876" s="4">
        <v>0.7</v>
      </c>
      <c r="I1876" s="28">
        <f t="shared" si="59"/>
        <v>7007.6495238749994</v>
      </c>
    </row>
    <row r="1877" spans="1:9" ht="15.75" customHeight="1" x14ac:dyDescent="0.35">
      <c r="A1877" s="26" t="s">
        <v>9394</v>
      </c>
      <c r="B1877" s="25" t="s">
        <v>12291</v>
      </c>
      <c r="C1877" s="6" t="s">
        <v>9395</v>
      </c>
      <c r="D1877" s="13">
        <v>4360.6180800000002</v>
      </c>
      <c r="E1877" s="18">
        <v>21</v>
      </c>
      <c r="F1877" s="2">
        <f t="shared" si="58"/>
        <v>5276.3478768000004</v>
      </c>
      <c r="G1877" s="3">
        <v>0</v>
      </c>
      <c r="H1877" s="4">
        <v>0.7</v>
      </c>
      <c r="I1877" s="28">
        <f t="shared" si="59"/>
        <v>8969.7913905599999</v>
      </c>
    </row>
    <row r="1878" spans="1:9" ht="15.75" customHeight="1" x14ac:dyDescent="0.35">
      <c r="A1878" s="26" t="s">
        <v>9396</v>
      </c>
      <c r="B1878" s="25" t="s">
        <v>11578</v>
      </c>
      <c r="C1878" s="6" t="s">
        <v>12095</v>
      </c>
      <c r="D1878" s="13">
        <v>2112.1743824999999</v>
      </c>
      <c r="E1878" s="18">
        <v>21</v>
      </c>
      <c r="F1878" s="2">
        <f t="shared" si="58"/>
        <v>2555.7310028249999</v>
      </c>
      <c r="G1878" s="3">
        <v>0</v>
      </c>
      <c r="H1878" s="4">
        <v>0.7</v>
      </c>
      <c r="I1878" s="28">
        <f t="shared" si="59"/>
        <v>4344.7427048025002</v>
      </c>
    </row>
    <row r="1879" spans="1:9" ht="15.75" customHeight="1" x14ac:dyDescent="0.35">
      <c r="A1879" s="26" t="s">
        <v>10289</v>
      </c>
      <c r="B1879" s="25" t="s">
        <v>12969</v>
      </c>
      <c r="C1879" s="6" t="s">
        <v>10421</v>
      </c>
      <c r="D1879" s="13">
        <v>12703.611375</v>
      </c>
      <c r="E1879" s="18">
        <v>21</v>
      </c>
      <c r="F1879" s="2">
        <f t="shared" si="58"/>
        <v>15371.369763750001</v>
      </c>
      <c r="G1879" s="3">
        <v>0</v>
      </c>
      <c r="H1879" s="4">
        <v>0.7</v>
      </c>
      <c r="I1879" s="28">
        <f t="shared" si="59"/>
        <v>26131.328598374999</v>
      </c>
    </row>
    <row r="1880" spans="1:9" ht="15.75" customHeight="1" x14ac:dyDescent="0.35">
      <c r="A1880" s="26" t="s">
        <v>4254</v>
      </c>
      <c r="B1880" s="25" t="s">
        <v>12963</v>
      </c>
      <c r="C1880" s="6" t="s">
        <v>1250</v>
      </c>
      <c r="D1880" s="13">
        <v>44921.285843207239</v>
      </c>
      <c r="E1880" s="18">
        <v>21</v>
      </c>
      <c r="F1880" s="2">
        <f t="shared" si="58"/>
        <v>54354.755870280758</v>
      </c>
      <c r="G1880" s="3">
        <v>0</v>
      </c>
      <c r="H1880" s="4">
        <v>0.7</v>
      </c>
      <c r="I1880" s="28">
        <f t="shared" si="59"/>
        <v>92403.08497947728</v>
      </c>
    </row>
    <row r="1881" spans="1:9" ht="15.75" customHeight="1" x14ac:dyDescent="0.35">
      <c r="A1881" s="26" t="s">
        <v>4174</v>
      </c>
      <c r="B1881" s="25" t="s">
        <v>11855</v>
      </c>
      <c r="C1881" s="6" t="s">
        <v>1203</v>
      </c>
      <c r="D1881" s="13">
        <v>16985.779200000001</v>
      </c>
      <c r="E1881" s="18">
        <v>21</v>
      </c>
      <c r="F1881" s="2">
        <f t="shared" si="58"/>
        <v>20552.792831999999</v>
      </c>
      <c r="G1881" s="3">
        <v>0</v>
      </c>
      <c r="H1881" s="4">
        <v>0.7</v>
      </c>
      <c r="I1881" s="28">
        <f t="shared" si="59"/>
        <v>34939.747814399998</v>
      </c>
    </row>
    <row r="1882" spans="1:9" ht="15.75" customHeight="1" x14ac:dyDescent="0.35">
      <c r="A1882" s="26" t="s">
        <v>4154</v>
      </c>
      <c r="B1882" s="25" t="s">
        <v>12964</v>
      </c>
      <c r="C1882" s="6" t="s">
        <v>13140</v>
      </c>
      <c r="D1882" s="13">
        <v>226454.8</v>
      </c>
      <c r="E1882" s="18">
        <v>21</v>
      </c>
      <c r="F1882" s="2">
        <f t="shared" si="58"/>
        <v>274010.30799999996</v>
      </c>
      <c r="G1882" s="3">
        <v>0</v>
      </c>
      <c r="H1882" s="4">
        <v>0.7</v>
      </c>
      <c r="I1882" s="28">
        <f t="shared" si="59"/>
        <v>465817.5235999999</v>
      </c>
    </row>
    <row r="1883" spans="1:9" ht="15.75" customHeight="1" x14ac:dyDescent="0.35">
      <c r="A1883" s="26" t="s">
        <v>3859</v>
      </c>
      <c r="B1883" s="25" t="s">
        <v>10166</v>
      </c>
      <c r="C1883" s="6" t="s">
        <v>13408</v>
      </c>
      <c r="D1883" s="13">
        <v>904845.5</v>
      </c>
      <c r="E1883" s="18">
        <v>21</v>
      </c>
      <c r="F1883" s="2">
        <f t="shared" si="58"/>
        <v>1094863.0549999999</v>
      </c>
      <c r="G1883" s="3">
        <v>0</v>
      </c>
      <c r="H1883" s="4">
        <v>0.7</v>
      </c>
      <c r="I1883" s="28">
        <f t="shared" si="59"/>
        <v>1861267.1934999998</v>
      </c>
    </row>
    <row r="1884" spans="1:9" ht="15.75" customHeight="1" x14ac:dyDescent="0.35">
      <c r="A1884" s="26" t="s">
        <v>3609</v>
      </c>
      <c r="B1884" s="25" t="s">
        <v>11904</v>
      </c>
      <c r="C1884" s="6" t="s">
        <v>10167</v>
      </c>
      <c r="D1884" s="13">
        <v>34835.835939313503</v>
      </c>
      <c r="E1884" s="18">
        <v>21</v>
      </c>
      <c r="F1884" s="2">
        <f t="shared" si="58"/>
        <v>42151.361486569338</v>
      </c>
      <c r="G1884" s="3">
        <v>0</v>
      </c>
      <c r="H1884" s="4">
        <v>0.7</v>
      </c>
      <c r="I1884" s="28">
        <f t="shared" si="59"/>
        <v>71657.314527167866</v>
      </c>
    </row>
    <row r="1885" spans="1:9" ht="15.75" customHeight="1" x14ac:dyDescent="0.35">
      <c r="A1885" s="26" t="s">
        <v>4227</v>
      </c>
      <c r="B1885" s="25" t="s">
        <v>11905</v>
      </c>
      <c r="C1885" s="6" t="s">
        <v>268</v>
      </c>
      <c r="D1885" s="13">
        <v>1629.5899466476601</v>
      </c>
      <c r="E1885" s="18">
        <v>21</v>
      </c>
      <c r="F1885" s="2">
        <f t="shared" si="58"/>
        <v>1971.8038354436687</v>
      </c>
      <c r="G1885" s="3">
        <v>0</v>
      </c>
      <c r="H1885" s="4">
        <v>0.7</v>
      </c>
      <c r="I1885" s="28">
        <f t="shared" si="59"/>
        <v>3352.0665202542368</v>
      </c>
    </row>
    <row r="1886" spans="1:9" ht="15.75" customHeight="1" x14ac:dyDescent="0.35">
      <c r="A1886" s="26" t="s">
        <v>5674</v>
      </c>
      <c r="B1886" s="25" t="s">
        <v>12596</v>
      </c>
      <c r="C1886" s="6" t="s">
        <v>269</v>
      </c>
      <c r="D1886" s="13">
        <v>16.734397684669599</v>
      </c>
      <c r="E1886" s="18">
        <v>21</v>
      </c>
      <c r="F1886" s="2">
        <f t="shared" si="58"/>
        <v>20.248621198450216</v>
      </c>
      <c r="G1886" s="3">
        <v>0</v>
      </c>
      <c r="H1886" s="4">
        <v>0.7</v>
      </c>
      <c r="I1886" s="28">
        <f t="shared" si="59"/>
        <v>34.422656037365364</v>
      </c>
    </row>
    <row r="1887" spans="1:9" ht="15.75" customHeight="1" x14ac:dyDescent="0.35">
      <c r="A1887" s="26" t="s">
        <v>4228</v>
      </c>
      <c r="B1887" s="25" t="s">
        <v>11579</v>
      </c>
      <c r="C1887" s="6" t="s">
        <v>270</v>
      </c>
      <c r="D1887" s="13">
        <v>11002.4655884</v>
      </c>
      <c r="E1887" s="18">
        <v>21</v>
      </c>
      <c r="F1887" s="2">
        <f t="shared" si="58"/>
        <v>13312.983361964001</v>
      </c>
      <c r="G1887" s="3">
        <v>0</v>
      </c>
      <c r="H1887" s="4">
        <v>0.7</v>
      </c>
      <c r="I1887" s="28">
        <f t="shared" si="59"/>
        <v>22632.071715338803</v>
      </c>
    </row>
    <row r="1888" spans="1:9" ht="15.75" customHeight="1" x14ac:dyDescent="0.35">
      <c r="A1888" s="26" t="s">
        <v>4176</v>
      </c>
      <c r="B1888" s="25" t="s">
        <v>11580</v>
      </c>
      <c r="C1888" s="6" t="s">
        <v>271</v>
      </c>
      <c r="D1888" s="13">
        <v>17526.599999999999</v>
      </c>
      <c r="E1888" s="18">
        <v>21</v>
      </c>
      <c r="F1888" s="2">
        <f t="shared" si="58"/>
        <v>21207.185999999998</v>
      </c>
      <c r="G1888" s="3">
        <v>0</v>
      </c>
      <c r="H1888" s="4">
        <v>0.7</v>
      </c>
      <c r="I1888" s="28">
        <f t="shared" si="59"/>
        <v>36052.216199999995</v>
      </c>
    </row>
    <row r="1889" spans="1:9" ht="15.75" customHeight="1" x14ac:dyDescent="0.35">
      <c r="A1889" s="26" t="s">
        <v>4177</v>
      </c>
      <c r="B1889" s="25" t="s">
        <v>11581</v>
      </c>
      <c r="C1889" s="6" t="s">
        <v>272</v>
      </c>
      <c r="D1889" s="13">
        <v>6676.8</v>
      </c>
      <c r="E1889" s="18">
        <v>21</v>
      </c>
      <c r="F1889" s="2">
        <f t="shared" si="58"/>
        <v>8078.9279999999999</v>
      </c>
      <c r="G1889" s="3">
        <v>0</v>
      </c>
      <c r="H1889" s="4">
        <v>0.7</v>
      </c>
      <c r="I1889" s="28">
        <f t="shared" si="59"/>
        <v>13734.177599999999</v>
      </c>
    </row>
    <row r="1890" spans="1:9" ht="15.75" customHeight="1" x14ac:dyDescent="0.35">
      <c r="A1890" s="26" t="s">
        <v>4179</v>
      </c>
      <c r="B1890" s="25" t="s">
        <v>11582</v>
      </c>
      <c r="C1890" s="6" t="s">
        <v>273</v>
      </c>
      <c r="D1890" s="13">
        <v>62595</v>
      </c>
      <c r="E1890" s="18">
        <v>21</v>
      </c>
      <c r="F1890" s="2">
        <f t="shared" si="58"/>
        <v>75739.95</v>
      </c>
      <c r="G1890" s="3">
        <v>0</v>
      </c>
      <c r="H1890" s="4">
        <v>0.7</v>
      </c>
      <c r="I1890" s="28">
        <f t="shared" si="59"/>
        <v>128757.91499999999</v>
      </c>
    </row>
    <row r="1891" spans="1:9" ht="15.75" customHeight="1" x14ac:dyDescent="0.35">
      <c r="A1891" s="26" t="s">
        <v>4180</v>
      </c>
      <c r="B1891" s="25" t="s">
        <v>11583</v>
      </c>
      <c r="C1891" s="6" t="s">
        <v>274</v>
      </c>
      <c r="D1891" s="13">
        <v>61204</v>
      </c>
      <c r="E1891" s="18">
        <v>21</v>
      </c>
      <c r="F1891" s="2">
        <f t="shared" si="58"/>
        <v>74056.84</v>
      </c>
      <c r="G1891" s="3">
        <v>0</v>
      </c>
      <c r="H1891" s="4">
        <v>0.7</v>
      </c>
      <c r="I1891" s="28">
        <f t="shared" si="59"/>
        <v>125896.628</v>
      </c>
    </row>
    <row r="1892" spans="1:9" ht="15.75" customHeight="1" x14ac:dyDescent="0.35">
      <c r="A1892" s="26" t="s">
        <v>4231</v>
      </c>
      <c r="B1892" s="25" t="s">
        <v>11584</v>
      </c>
      <c r="C1892" s="6" t="s">
        <v>12096</v>
      </c>
      <c r="D1892" s="13">
        <v>7505.2223603499997</v>
      </c>
      <c r="E1892" s="18">
        <v>21</v>
      </c>
      <c r="F1892" s="2">
        <f t="shared" si="58"/>
        <v>9081.3190560234998</v>
      </c>
      <c r="G1892" s="3">
        <v>0</v>
      </c>
      <c r="H1892" s="4">
        <v>0.7</v>
      </c>
      <c r="I1892" s="28">
        <f t="shared" si="59"/>
        <v>15438.242395239949</v>
      </c>
    </row>
    <row r="1893" spans="1:9" ht="15.75" customHeight="1" x14ac:dyDescent="0.35">
      <c r="A1893" s="26" t="s">
        <v>4230</v>
      </c>
      <c r="B1893" s="25" t="s">
        <v>10653</v>
      </c>
      <c r="C1893" s="6" t="s">
        <v>12097</v>
      </c>
      <c r="D1893" s="13">
        <v>9307.5807038500006</v>
      </c>
      <c r="E1893" s="18">
        <v>21</v>
      </c>
      <c r="F1893" s="2">
        <f t="shared" si="58"/>
        <v>11262.1726516585</v>
      </c>
      <c r="G1893" s="3">
        <v>0</v>
      </c>
      <c r="H1893" s="4">
        <v>0.7</v>
      </c>
      <c r="I1893" s="28">
        <f t="shared" si="59"/>
        <v>19145.693507819451</v>
      </c>
    </row>
    <row r="1894" spans="1:9" ht="15.75" customHeight="1" x14ac:dyDescent="0.35">
      <c r="A1894" s="26" t="s">
        <v>4155</v>
      </c>
      <c r="B1894" s="25" t="s">
        <v>11585</v>
      </c>
      <c r="C1894" s="6" t="s">
        <v>275</v>
      </c>
      <c r="D1894" s="13">
        <v>41869.1</v>
      </c>
      <c r="E1894" s="18">
        <v>21</v>
      </c>
      <c r="F1894" s="2">
        <f t="shared" si="58"/>
        <v>50661.610999999997</v>
      </c>
      <c r="G1894" s="3">
        <v>0</v>
      </c>
      <c r="H1894" s="4">
        <v>0.7</v>
      </c>
      <c r="I1894" s="28">
        <f t="shared" si="59"/>
        <v>86124.738699999987</v>
      </c>
    </row>
    <row r="1895" spans="1:9" ht="15.75" customHeight="1" x14ac:dyDescent="0.35">
      <c r="A1895" s="26" t="s">
        <v>3023</v>
      </c>
      <c r="B1895" s="25" t="s">
        <v>11586</v>
      </c>
      <c r="C1895" s="6" t="s">
        <v>13141</v>
      </c>
      <c r="D1895" s="13">
        <v>15639.823953000001</v>
      </c>
      <c r="E1895" s="18">
        <v>21</v>
      </c>
      <c r="F1895" s="2">
        <f t="shared" si="58"/>
        <v>18924.186983129999</v>
      </c>
      <c r="G1895" s="3">
        <v>0</v>
      </c>
      <c r="H1895" s="4">
        <v>0.7</v>
      </c>
      <c r="I1895" s="28">
        <f t="shared" si="59"/>
        <v>32171.117871320999</v>
      </c>
    </row>
    <row r="1896" spans="1:9" ht="15.75" customHeight="1" x14ac:dyDescent="0.35">
      <c r="A1896" s="26" t="s">
        <v>9632</v>
      </c>
      <c r="B1896" s="25" t="s">
        <v>10129</v>
      </c>
      <c r="C1896" s="6" t="s">
        <v>9633</v>
      </c>
      <c r="D1896" s="13">
        <v>22301.446752</v>
      </c>
      <c r="E1896" s="18">
        <v>21</v>
      </c>
      <c r="F1896" s="2">
        <f t="shared" si="58"/>
        <v>26984.750569919997</v>
      </c>
      <c r="G1896" s="3">
        <v>0</v>
      </c>
      <c r="H1896" s="4">
        <v>0.7</v>
      </c>
      <c r="I1896" s="28">
        <f t="shared" si="59"/>
        <v>45874.075968863996</v>
      </c>
    </row>
    <row r="1897" spans="1:9" ht="15.75" customHeight="1" x14ac:dyDescent="0.35">
      <c r="A1897" s="26" t="s">
        <v>3520</v>
      </c>
      <c r="B1897" s="25" t="s">
        <v>10418</v>
      </c>
      <c r="C1897" s="6" t="s">
        <v>276</v>
      </c>
      <c r="D1897" s="13">
        <v>2947.6584022038501</v>
      </c>
      <c r="E1897" s="18">
        <v>21</v>
      </c>
      <c r="F1897" s="2">
        <f t="shared" si="58"/>
        <v>3566.6666666666588</v>
      </c>
      <c r="G1897" s="3">
        <v>0</v>
      </c>
      <c r="H1897" s="4">
        <v>0.7</v>
      </c>
      <c r="I1897" s="28">
        <f t="shared" si="59"/>
        <v>6063.3333333333194</v>
      </c>
    </row>
    <row r="1898" spans="1:9" ht="15.75" customHeight="1" x14ac:dyDescent="0.35">
      <c r="A1898" s="26" t="s">
        <v>9510</v>
      </c>
      <c r="B1898" s="25" t="s">
        <v>251</v>
      </c>
      <c r="C1898" s="6" t="s">
        <v>9511</v>
      </c>
      <c r="D1898" s="13">
        <v>0</v>
      </c>
      <c r="E1898" s="18">
        <v>21</v>
      </c>
      <c r="F1898" s="2">
        <f t="shared" si="58"/>
        <v>0</v>
      </c>
      <c r="G1898" s="3">
        <v>0</v>
      </c>
      <c r="H1898" s="4">
        <v>0.7</v>
      </c>
      <c r="I1898" s="28">
        <f t="shared" si="59"/>
        <v>0</v>
      </c>
    </row>
    <row r="1899" spans="1:9" ht="15.75" customHeight="1" x14ac:dyDescent="0.35">
      <c r="A1899" s="26" t="s">
        <v>1607</v>
      </c>
      <c r="B1899" s="25" t="s">
        <v>10288</v>
      </c>
      <c r="C1899" s="6" t="s">
        <v>12098</v>
      </c>
      <c r="D1899" s="13">
        <v>2913.5677350000001</v>
      </c>
      <c r="E1899" s="18">
        <v>21</v>
      </c>
      <c r="F1899" s="2">
        <f t="shared" si="58"/>
        <v>3525.4169593500001</v>
      </c>
      <c r="G1899" s="3">
        <v>0</v>
      </c>
      <c r="H1899" s="4">
        <v>0.7</v>
      </c>
      <c r="I1899" s="28">
        <f t="shared" si="59"/>
        <v>5993.2088308949997</v>
      </c>
    </row>
    <row r="1900" spans="1:9" ht="15.75" customHeight="1" x14ac:dyDescent="0.35">
      <c r="A1900" s="26" t="s">
        <v>9558</v>
      </c>
      <c r="B1900" s="25" t="s">
        <v>252</v>
      </c>
      <c r="C1900" s="6" t="s">
        <v>9559</v>
      </c>
      <c r="D1900" s="13">
        <v>127693.8</v>
      </c>
      <c r="E1900" s="18">
        <v>21</v>
      </c>
      <c r="F1900" s="2">
        <f t="shared" si="58"/>
        <v>154509.49800000002</v>
      </c>
      <c r="G1900" s="3">
        <v>0</v>
      </c>
      <c r="H1900" s="4">
        <v>0.7</v>
      </c>
      <c r="I1900" s="28">
        <f t="shared" si="59"/>
        <v>262666.14660000004</v>
      </c>
    </row>
    <row r="1901" spans="1:9" ht="15.75" customHeight="1" x14ac:dyDescent="0.35">
      <c r="A1901" s="26" t="s">
        <v>9327</v>
      </c>
      <c r="B1901" s="25" t="s">
        <v>1238</v>
      </c>
      <c r="C1901" s="6" t="s">
        <v>9328</v>
      </c>
      <c r="D1901" s="13">
        <v>19534.731059999998</v>
      </c>
      <c r="E1901" s="18">
        <v>21</v>
      </c>
      <c r="F1901" s="2">
        <f t="shared" si="58"/>
        <v>23637.024582599999</v>
      </c>
      <c r="G1901" s="3">
        <v>0</v>
      </c>
      <c r="H1901" s="4">
        <v>0.7</v>
      </c>
      <c r="I1901" s="28">
        <f t="shared" si="59"/>
        <v>40182.941790419995</v>
      </c>
    </row>
    <row r="1902" spans="1:9" ht="15.75" customHeight="1" x14ac:dyDescent="0.35">
      <c r="A1902" s="26" t="s">
        <v>4659</v>
      </c>
      <c r="B1902" s="25" t="s">
        <v>12896</v>
      </c>
      <c r="C1902" s="6" t="s">
        <v>1193</v>
      </c>
      <c r="D1902" s="13">
        <v>1285.7012999999999</v>
      </c>
      <c r="E1902" s="18">
        <v>21</v>
      </c>
      <c r="F1902" s="2">
        <f t="shared" si="58"/>
        <v>1555.6985729999999</v>
      </c>
      <c r="G1902" s="3">
        <v>0</v>
      </c>
      <c r="H1902" s="4">
        <v>0.7</v>
      </c>
      <c r="I1902" s="28">
        <f t="shared" si="59"/>
        <v>2644.6875740999999</v>
      </c>
    </row>
    <row r="1903" spans="1:9" ht="15.75" customHeight="1" x14ac:dyDescent="0.35">
      <c r="A1903" s="26" t="s">
        <v>4617</v>
      </c>
      <c r="B1903" s="25" t="s">
        <v>13199</v>
      </c>
      <c r="C1903" s="6" t="s">
        <v>277</v>
      </c>
      <c r="D1903" s="13">
        <v>981.74474278400498</v>
      </c>
      <c r="E1903" s="18">
        <v>21</v>
      </c>
      <c r="F1903" s="2">
        <f t="shared" si="58"/>
        <v>1187.911138768646</v>
      </c>
      <c r="G1903" s="3">
        <v>0</v>
      </c>
      <c r="H1903" s="4">
        <v>0.7</v>
      </c>
      <c r="I1903" s="28">
        <f t="shared" si="59"/>
        <v>2019.4489359066981</v>
      </c>
    </row>
    <row r="1904" spans="1:9" ht="15.75" customHeight="1" x14ac:dyDescent="0.35">
      <c r="A1904" s="26" t="s">
        <v>4618</v>
      </c>
      <c r="B1904" s="25" t="s">
        <v>4469</v>
      </c>
      <c r="C1904" s="6" t="s">
        <v>278</v>
      </c>
      <c r="D1904" s="13">
        <v>942.17820403199903</v>
      </c>
      <c r="E1904" s="18">
        <v>21</v>
      </c>
      <c r="F1904" s="2">
        <f t="shared" si="58"/>
        <v>1140.0356268787189</v>
      </c>
      <c r="G1904" s="3">
        <v>0</v>
      </c>
      <c r="H1904" s="4">
        <v>0.7</v>
      </c>
      <c r="I1904" s="28">
        <f t="shared" si="59"/>
        <v>1938.0605656938219</v>
      </c>
    </row>
    <row r="1905" spans="1:9" ht="15.75" customHeight="1" x14ac:dyDescent="0.35">
      <c r="A1905" s="26" t="s">
        <v>4661</v>
      </c>
      <c r="B1905" s="25" t="s">
        <v>13212</v>
      </c>
      <c r="C1905" s="6" t="s">
        <v>1191</v>
      </c>
      <c r="D1905" s="13">
        <v>1034.0694000000001</v>
      </c>
      <c r="E1905" s="18">
        <v>21</v>
      </c>
      <c r="F1905" s="2">
        <f t="shared" si="58"/>
        <v>1251.223974</v>
      </c>
      <c r="G1905" s="3">
        <v>0</v>
      </c>
      <c r="H1905" s="4">
        <v>0.7</v>
      </c>
      <c r="I1905" s="28">
        <f t="shared" si="59"/>
        <v>2127.0807558000001</v>
      </c>
    </row>
    <row r="1906" spans="1:9" ht="15.75" customHeight="1" x14ac:dyDescent="0.35">
      <c r="A1906" s="26" t="s">
        <v>4638</v>
      </c>
      <c r="B1906" s="25" t="s">
        <v>10737</v>
      </c>
      <c r="C1906" s="6" t="s">
        <v>921</v>
      </c>
      <c r="D1906" s="13">
        <v>985.07504159999996</v>
      </c>
      <c r="E1906" s="18">
        <v>10.5</v>
      </c>
      <c r="F1906" s="2">
        <f t="shared" si="58"/>
        <v>1088.507920968</v>
      </c>
      <c r="G1906" s="3">
        <v>0</v>
      </c>
      <c r="H1906" s="4">
        <v>0.7</v>
      </c>
      <c r="I1906" s="28">
        <f t="shared" si="59"/>
        <v>1850.4634656455999</v>
      </c>
    </row>
    <row r="1907" spans="1:9" ht="15.75" customHeight="1" x14ac:dyDescent="0.35">
      <c r="A1907" s="26" t="s">
        <v>4619</v>
      </c>
      <c r="B1907" s="25" t="s">
        <v>253</v>
      </c>
      <c r="C1907" s="6" t="s">
        <v>9517</v>
      </c>
      <c r="D1907" s="13">
        <v>1808.9326935679901</v>
      </c>
      <c r="E1907" s="18">
        <v>21</v>
      </c>
      <c r="F1907" s="2">
        <f t="shared" si="58"/>
        <v>2188.8085592172679</v>
      </c>
      <c r="G1907" s="3">
        <v>0</v>
      </c>
      <c r="H1907" s="4">
        <v>0.7</v>
      </c>
      <c r="I1907" s="28">
        <f t="shared" si="59"/>
        <v>3720.9745506693553</v>
      </c>
    </row>
    <row r="1908" spans="1:9" ht="15.75" customHeight="1" x14ac:dyDescent="0.35">
      <c r="A1908" s="26" t="s">
        <v>4662</v>
      </c>
      <c r="B1908" s="25" t="s">
        <v>4474</v>
      </c>
      <c r="C1908" s="6" t="s">
        <v>1197</v>
      </c>
      <c r="D1908" s="13">
        <v>2267.1909000000001</v>
      </c>
      <c r="E1908" s="18">
        <v>21</v>
      </c>
      <c r="F1908" s="2">
        <f t="shared" si="58"/>
        <v>2743.3009890000003</v>
      </c>
      <c r="G1908" s="3">
        <v>0</v>
      </c>
      <c r="H1908" s="4">
        <v>0.7</v>
      </c>
      <c r="I1908" s="28">
        <f t="shared" si="59"/>
        <v>4663.6116813000008</v>
      </c>
    </row>
    <row r="1909" spans="1:9" ht="15.75" customHeight="1" x14ac:dyDescent="0.35">
      <c r="A1909" s="26" t="s">
        <v>10722</v>
      </c>
      <c r="B1909" s="25" t="s">
        <v>254</v>
      </c>
      <c r="C1909" s="6" t="s">
        <v>10723</v>
      </c>
      <c r="D1909" s="13">
        <v>1932.1530959900099</v>
      </c>
      <c r="E1909" s="18">
        <v>21</v>
      </c>
      <c r="F1909" s="2">
        <f t="shared" si="58"/>
        <v>2337.9052461479118</v>
      </c>
      <c r="G1909" s="3">
        <v>0</v>
      </c>
      <c r="H1909" s="4">
        <v>0.7</v>
      </c>
      <c r="I1909" s="28">
        <f t="shared" si="59"/>
        <v>3974.4389184514498</v>
      </c>
    </row>
    <row r="1910" spans="1:9" ht="15.75" customHeight="1" x14ac:dyDescent="0.35">
      <c r="A1910" s="26" t="s">
        <v>4620</v>
      </c>
      <c r="B1910" s="25" t="s">
        <v>10739</v>
      </c>
      <c r="C1910" s="6" t="s">
        <v>279</v>
      </c>
      <c r="D1910" s="13">
        <v>938.46884102400304</v>
      </c>
      <c r="E1910" s="18">
        <v>21</v>
      </c>
      <c r="F1910" s="2">
        <f t="shared" si="58"/>
        <v>1135.5472976390438</v>
      </c>
      <c r="G1910" s="3">
        <v>0</v>
      </c>
      <c r="H1910" s="4">
        <v>0.7</v>
      </c>
      <c r="I1910" s="28">
        <f t="shared" si="59"/>
        <v>1930.4304059863744</v>
      </c>
    </row>
    <row r="1911" spans="1:9" ht="15.75" customHeight="1" x14ac:dyDescent="0.35">
      <c r="A1911" s="26" t="s">
        <v>4621</v>
      </c>
      <c r="B1911" s="25" t="s">
        <v>1239</v>
      </c>
      <c r="C1911" s="6" t="s">
        <v>280</v>
      </c>
      <c r="D1911" s="13">
        <v>2670.43225217602</v>
      </c>
      <c r="E1911" s="18">
        <v>21</v>
      </c>
      <c r="F1911" s="2">
        <f t="shared" si="58"/>
        <v>3231.2230251329843</v>
      </c>
      <c r="G1911" s="3">
        <v>0</v>
      </c>
      <c r="H1911" s="4">
        <v>0.7</v>
      </c>
      <c r="I1911" s="28">
        <f t="shared" si="59"/>
        <v>5493.0791427260729</v>
      </c>
    </row>
    <row r="1912" spans="1:9" ht="15.75" customHeight="1" x14ac:dyDescent="0.35">
      <c r="A1912" s="26" t="s">
        <v>4622</v>
      </c>
      <c r="B1912" s="25" t="s">
        <v>255</v>
      </c>
      <c r="C1912" s="6" t="s">
        <v>281</v>
      </c>
      <c r="D1912" s="13">
        <v>1489.3092477119901</v>
      </c>
      <c r="E1912" s="18">
        <v>21</v>
      </c>
      <c r="F1912" s="2">
        <f t="shared" si="58"/>
        <v>1802.0641897315081</v>
      </c>
      <c r="G1912" s="3">
        <v>0</v>
      </c>
      <c r="H1912" s="4">
        <v>0.7</v>
      </c>
      <c r="I1912" s="28">
        <f t="shared" si="59"/>
        <v>3063.5091225435635</v>
      </c>
    </row>
    <row r="1913" spans="1:9" ht="15.75" customHeight="1" x14ac:dyDescent="0.35">
      <c r="A1913" s="26" t="s">
        <v>4623</v>
      </c>
      <c r="B1913" s="25" t="s">
        <v>1240</v>
      </c>
      <c r="C1913" s="6" t="s">
        <v>282</v>
      </c>
      <c r="D1913" s="13">
        <v>2522.9850726080199</v>
      </c>
      <c r="E1913" s="18">
        <v>21</v>
      </c>
      <c r="F1913" s="2">
        <f t="shared" si="58"/>
        <v>3052.8119378557039</v>
      </c>
      <c r="G1913" s="3">
        <v>0</v>
      </c>
      <c r="H1913" s="4">
        <v>0.7</v>
      </c>
      <c r="I1913" s="28">
        <f t="shared" si="59"/>
        <v>5189.7802943546967</v>
      </c>
    </row>
    <row r="1914" spans="1:9" ht="15.75" customHeight="1" x14ac:dyDescent="0.35">
      <c r="A1914" s="26" t="s">
        <v>4624</v>
      </c>
      <c r="B1914" s="25" t="s">
        <v>1241</v>
      </c>
      <c r="C1914" s="6" t="s">
        <v>283</v>
      </c>
      <c r="D1914" s="13">
        <v>1812.642056576</v>
      </c>
      <c r="E1914" s="18">
        <v>21</v>
      </c>
      <c r="F1914" s="2">
        <f t="shared" si="58"/>
        <v>2193.29688845696</v>
      </c>
      <c r="G1914" s="3">
        <v>0</v>
      </c>
      <c r="H1914" s="4">
        <v>0.7</v>
      </c>
      <c r="I1914" s="28">
        <f t="shared" si="59"/>
        <v>3728.6047103768319</v>
      </c>
    </row>
    <row r="1915" spans="1:9" ht="15.75" customHeight="1" x14ac:dyDescent="0.35">
      <c r="A1915" s="26" t="s">
        <v>4663</v>
      </c>
      <c r="B1915" s="25" t="s">
        <v>256</v>
      </c>
      <c r="C1915" s="6" t="s">
        <v>1196</v>
      </c>
      <c r="D1915" s="13">
        <v>1599.9282000000001</v>
      </c>
      <c r="E1915" s="18">
        <v>21</v>
      </c>
      <c r="F1915" s="2">
        <f t="shared" si="58"/>
        <v>1935.9131219999999</v>
      </c>
      <c r="G1915" s="3">
        <v>0</v>
      </c>
      <c r="H1915" s="4">
        <v>0.7</v>
      </c>
      <c r="I1915" s="28">
        <f t="shared" si="59"/>
        <v>3291.0523073999998</v>
      </c>
    </row>
    <row r="1916" spans="1:9" ht="15.75" customHeight="1" x14ac:dyDescent="0.35">
      <c r="A1916" s="26" t="s">
        <v>4639</v>
      </c>
      <c r="B1916" s="25" t="s">
        <v>257</v>
      </c>
      <c r="C1916" s="6" t="s">
        <v>922</v>
      </c>
      <c r="D1916" s="13">
        <v>1565.1092555279999</v>
      </c>
      <c r="E1916" s="18">
        <v>21</v>
      </c>
      <c r="F1916" s="2">
        <f t="shared" si="58"/>
        <v>1893.78219918888</v>
      </c>
      <c r="G1916" s="3">
        <v>0</v>
      </c>
      <c r="H1916" s="4">
        <v>0.7</v>
      </c>
      <c r="I1916" s="28">
        <f t="shared" si="59"/>
        <v>3219.429738621096</v>
      </c>
    </row>
    <row r="1917" spans="1:9" ht="15.75" customHeight="1" x14ac:dyDescent="0.35">
      <c r="A1917" s="26" t="s">
        <v>4640</v>
      </c>
      <c r="B1917" s="25" t="s">
        <v>1242</v>
      </c>
      <c r="C1917" s="6" t="s">
        <v>923</v>
      </c>
      <c r="D1917" s="13">
        <v>1703.840006232</v>
      </c>
      <c r="E1917" s="18">
        <v>21</v>
      </c>
      <c r="F1917" s="2">
        <f t="shared" si="58"/>
        <v>2061.6464075407198</v>
      </c>
      <c r="G1917" s="3">
        <v>0</v>
      </c>
      <c r="H1917" s="4">
        <v>0.7</v>
      </c>
      <c r="I1917" s="28">
        <f t="shared" si="59"/>
        <v>3504.7988928192235</v>
      </c>
    </row>
    <row r="1918" spans="1:9" ht="15.75" customHeight="1" x14ac:dyDescent="0.35">
      <c r="A1918" s="26" t="s">
        <v>4625</v>
      </c>
      <c r="B1918" s="25" t="s">
        <v>258</v>
      </c>
      <c r="C1918" s="6" t="s">
        <v>10982</v>
      </c>
      <c r="D1918" s="13">
        <v>1805.22333056</v>
      </c>
      <c r="E1918" s="18">
        <v>21</v>
      </c>
      <c r="F1918" s="2">
        <f t="shared" si="58"/>
        <v>2184.3202299775999</v>
      </c>
      <c r="G1918" s="3">
        <v>0</v>
      </c>
      <c r="H1918" s="4">
        <v>0.7</v>
      </c>
      <c r="I1918" s="28">
        <f t="shared" si="59"/>
        <v>3713.3443909619195</v>
      </c>
    </row>
    <row r="1919" spans="1:9" ht="15.75" customHeight="1" x14ac:dyDescent="0.35">
      <c r="A1919" s="26" t="s">
        <v>4627</v>
      </c>
      <c r="B1919" s="25" t="s">
        <v>10029</v>
      </c>
      <c r="C1919" s="6" t="s">
        <v>924</v>
      </c>
      <c r="D1919" s="13">
        <v>4479.3698908045999</v>
      </c>
      <c r="E1919" s="18">
        <v>21</v>
      </c>
      <c r="F1919" s="2">
        <f t="shared" si="58"/>
        <v>5420.0375678735654</v>
      </c>
      <c r="G1919" s="3">
        <v>0</v>
      </c>
      <c r="H1919" s="4">
        <v>0.7</v>
      </c>
      <c r="I1919" s="28">
        <f t="shared" si="59"/>
        <v>9214.0638653850601</v>
      </c>
    </row>
    <row r="1920" spans="1:9" ht="15.75" customHeight="1" x14ac:dyDescent="0.35">
      <c r="A1920" s="26" t="s">
        <v>4641</v>
      </c>
      <c r="B1920" s="25" t="s">
        <v>1243</v>
      </c>
      <c r="C1920" s="6" t="s">
        <v>925</v>
      </c>
      <c r="D1920" s="13">
        <v>1140.866885808</v>
      </c>
      <c r="E1920" s="18">
        <v>21</v>
      </c>
      <c r="F1920" s="2">
        <f t="shared" si="58"/>
        <v>1380.4489318276801</v>
      </c>
      <c r="G1920" s="3">
        <v>0</v>
      </c>
      <c r="H1920" s="4">
        <v>0.7</v>
      </c>
      <c r="I1920" s="28">
        <f t="shared" si="59"/>
        <v>2346.7631841070561</v>
      </c>
    </row>
    <row r="1921" spans="1:9" ht="15.75" customHeight="1" x14ac:dyDescent="0.35">
      <c r="A1921" s="26" t="s">
        <v>4642</v>
      </c>
      <c r="B1921" s="25" t="s">
        <v>13100</v>
      </c>
      <c r="C1921" s="6" t="s">
        <v>926</v>
      </c>
      <c r="D1921" s="13">
        <v>1064.1232124640001</v>
      </c>
      <c r="E1921" s="18">
        <v>21</v>
      </c>
      <c r="F1921" s="2">
        <f t="shared" si="58"/>
        <v>1287.5890870814401</v>
      </c>
      <c r="G1921" s="3">
        <v>0</v>
      </c>
      <c r="H1921" s="4">
        <v>0.7</v>
      </c>
      <c r="I1921" s="28">
        <f t="shared" si="59"/>
        <v>2188.9014480384481</v>
      </c>
    </row>
    <row r="1922" spans="1:9" ht="15.75" customHeight="1" x14ac:dyDescent="0.35">
      <c r="A1922" s="26" t="s">
        <v>4643</v>
      </c>
      <c r="B1922" s="25" t="s">
        <v>10880</v>
      </c>
      <c r="C1922" s="6" t="s">
        <v>927</v>
      </c>
      <c r="D1922" s="13">
        <v>1665.425204352</v>
      </c>
      <c r="E1922" s="18">
        <v>21</v>
      </c>
      <c r="F1922" s="2">
        <f t="shared" si="58"/>
        <v>2015.1644972659201</v>
      </c>
      <c r="G1922" s="3">
        <v>0</v>
      </c>
      <c r="H1922" s="4">
        <v>0.7</v>
      </c>
      <c r="I1922" s="28">
        <f t="shared" si="59"/>
        <v>3425.7796453520641</v>
      </c>
    </row>
    <row r="1923" spans="1:9" ht="15.75" customHeight="1" x14ac:dyDescent="0.35">
      <c r="A1923" s="26" t="s">
        <v>4628</v>
      </c>
      <c r="B1923" s="25" t="s">
        <v>1244</v>
      </c>
      <c r="C1923" s="6" t="s">
        <v>928</v>
      </c>
      <c r="D1923" s="13">
        <v>2588.9939432604001</v>
      </c>
      <c r="E1923" s="18">
        <v>10.5</v>
      </c>
      <c r="F1923" s="2">
        <f t="shared" si="58"/>
        <v>2860.8383073027421</v>
      </c>
      <c r="G1923" s="3">
        <v>0</v>
      </c>
      <c r="H1923" s="4">
        <v>0.7</v>
      </c>
      <c r="I1923" s="28">
        <f t="shared" si="59"/>
        <v>4863.4251224146619</v>
      </c>
    </row>
    <row r="1924" spans="1:9" ht="15.75" customHeight="1" x14ac:dyDescent="0.35">
      <c r="A1924" s="26" t="s">
        <v>12836</v>
      </c>
      <c r="B1924" s="25" t="s">
        <v>259</v>
      </c>
      <c r="C1924" s="6" t="s">
        <v>12875</v>
      </c>
      <c r="D1924" s="13">
        <v>2848.1196215159998</v>
      </c>
      <c r="E1924" s="18">
        <v>10.5</v>
      </c>
      <c r="F1924" s="2">
        <f t="shared" si="58"/>
        <v>3147.17218177518</v>
      </c>
      <c r="G1924" s="3">
        <v>0</v>
      </c>
      <c r="H1924" s="4">
        <v>0.7</v>
      </c>
      <c r="I1924" s="28">
        <f t="shared" si="59"/>
        <v>5350.192709017806</v>
      </c>
    </row>
    <row r="1925" spans="1:9" ht="15.75" customHeight="1" x14ac:dyDescent="0.35">
      <c r="A1925" s="26" t="s">
        <v>4629</v>
      </c>
      <c r="B1925" s="25" t="s">
        <v>1245</v>
      </c>
      <c r="C1925" s="6" t="s">
        <v>929</v>
      </c>
      <c r="D1925" s="13">
        <v>8285.4288913125602</v>
      </c>
      <c r="E1925" s="18">
        <v>21</v>
      </c>
      <c r="F1925" s="2">
        <f t="shared" si="58"/>
        <v>10025.368958488198</v>
      </c>
      <c r="G1925" s="3">
        <v>0</v>
      </c>
      <c r="H1925" s="4">
        <v>0.7</v>
      </c>
      <c r="I1925" s="28">
        <f t="shared" si="59"/>
        <v>17043.127229429934</v>
      </c>
    </row>
    <row r="1926" spans="1:9" ht="15.75" customHeight="1" x14ac:dyDescent="0.35">
      <c r="A1926" s="26" t="s">
        <v>4630</v>
      </c>
      <c r="B1926" s="25" t="s">
        <v>12047</v>
      </c>
      <c r="C1926" s="6" t="s">
        <v>930</v>
      </c>
      <c r="D1926" s="13">
        <v>2175.8056036657199</v>
      </c>
      <c r="E1926" s="18">
        <v>10.5</v>
      </c>
      <c r="F1926" s="2">
        <f t="shared" ref="F1926:F1989" si="60">D1926*E1926/100+D1926</f>
        <v>2404.2651920506205</v>
      </c>
      <c r="G1926" s="3">
        <v>0</v>
      </c>
      <c r="H1926" s="4">
        <v>0.7</v>
      </c>
      <c r="I1926" s="28">
        <f t="shared" ref="I1926:I1989" si="61">IF(G1926=-1,0,F1926*((100-G1926)/100)*(1+H1926))</f>
        <v>4087.2508264860548</v>
      </c>
    </row>
    <row r="1927" spans="1:9" ht="15.75" customHeight="1" x14ac:dyDescent="0.35">
      <c r="A1927" s="26" t="s">
        <v>12837</v>
      </c>
      <c r="B1927" s="25" t="s">
        <v>9955</v>
      </c>
      <c r="C1927" s="6" t="s">
        <v>12838</v>
      </c>
      <c r="D1927" s="13">
        <v>2393.3867756104601</v>
      </c>
      <c r="E1927" s="18">
        <v>10.5</v>
      </c>
      <c r="F1927" s="2">
        <f t="shared" si="60"/>
        <v>2644.6923870495584</v>
      </c>
      <c r="G1927" s="3">
        <v>0</v>
      </c>
      <c r="H1927" s="4">
        <v>0.7</v>
      </c>
      <c r="I1927" s="28">
        <f t="shared" si="61"/>
        <v>4495.9770579842489</v>
      </c>
    </row>
    <row r="1928" spans="1:9" ht="15.75" customHeight="1" x14ac:dyDescent="0.35">
      <c r="A1928" s="26" t="s">
        <v>4631</v>
      </c>
      <c r="B1928" s="25" t="s">
        <v>10419</v>
      </c>
      <c r="C1928" s="6" t="s">
        <v>931</v>
      </c>
      <c r="D1928" s="13">
        <v>2228.8233167834401</v>
      </c>
      <c r="E1928" s="18">
        <v>10.5</v>
      </c>
      <c r="F1928" s="2">
        <f t="shared" si="60"/>
        <v>2462.8497650457011</v>
      </c>
      <c r="G1928" s="3">
        <v>0</v>
      </c>
      <c r="H1928" s="4">
        <v>0.7</v>
      </c>
      <c r="I1928" s="28">
        <f t="shared" si="61"/>
        <v>4186.8446005776914</v>
      </c>
    </row>
    <row r="1929" spans="1:9" ht="15.75" customHeight="1" x14ac:dyDescent="0.35">
      <c r="A1929" s="26" t="s">
        <v>12839</v>
      </c>
      <c r="B1929" s="25" t="s">
        <v>11870</v>
      </c>
      <c r="C1929" s="6" t="s">
        <v>12840</v>
      </c>
      <c r="D1929" s="13">
        <v>2451.7068716181602</v>
      </c>
      <c r="E1929" s="18">
        <v>10.5</v>
      </c>
      <c r="F1929" s="2">
        <f t="shared" si="60"/>
        <v>2709.1360931380668</v>
      </c>
      <c r="G1929" s="3">
        <v>0</v>
      </c>
      <c r="H1929" s="4">
        <v>0.7</v>
      </c>
      <c r="I1929" s="28">
        <f t="shared" si="61"/>
        <v>4605.5313583347133</v>
      </c>
    </row>
    <row r="1930" spans="1:9" ht="15.75" customHeight="1" x14ac:dyDescent="0.35">
      <c r="A1930" s="26" t="s">
        <v>13039</v>
      </c>
      <c r="B1930" s="25" t="s">
        <v>10882</v>
      </c>
      <c r="C1930" s="6" t="s">
        <v>13040</v>
      </c>
      <c r="D1930" s="13">
        <v>4854.9094771460404</v>
      </c>
      <c r="E1930" s="18">
        <v>10.5</v>
      </c>
      <c r="F1930" s="2">
        <f t="shared" si="60"/>
        <v>5364.6749722463746</v>
      </c>
      <c r="G1930" s="3">
        <v>0</v>
      </c>
      <c r="H1930" s="4">
        <v>0.7</v>
      </c>
      <c r="I1930" s="28">
        <f t="shared" si="61"/>
        <v>9119.9474528188366</v>
      </c>
    </row>
    <row r="1931" spans="1:9" ht="15.75" customHeight="1" x14ac:dyDescent="0.35">
      <c r="A1931" s="26" t="s">
        <v>12841</v>
      </c>
      <c r="B1931" s="25" t="s">
        <v>1246</v>
      </c>
      <c r="C1931" s="6" t="s">
        <v>12842</v>
      </c>
      <c r="D1931" s="13">
        <v>3958.5743690313602</v>
      </c>
      <c r="E1931" s="18">
        <v>21</v>
      </c>
      <c r="F1931" s="2">
        <f t="shared" si="60"/>
        <v>4789.874986527946</v>
      </c>
      <c r="G1931" s="3">
        <v>0</v>
      </c>
      <c r="H1931" s="4">
        <v>0.7</v>
      </c>
      <c r="I1931" s="28">
        <f t="shared" si="61"/>
        <v>8142.7874770975077</v>
      </c>
    </row>
    <row r="1932" spans="1:9" ht="15.75" customHeight="1" x14ac:dyDescent="0.35">
      <c r="A1932" s="26" t="s">
        <v>4632</v>
      </c>
      <c r="B1932" s="25" t="s">
        <v>260</v>
      </c>
      <c r="C1932" s="6" t="s">
        <v>932</v>
      </c>
      <c r="D1932" s="13">
        <v>2512.5344381966402</v>
      </c>
      <c r="E1932" s="18">
        <v>21</v>
      </c>
      <c r="F1932" s="2">
        <f t="shared" si="60"/>
        <v>3040.1666702179346</v>
      </c>
      <c r="G1932" s="3">
        <v>0</v>
      </c>
      <c r="H1932" s="4">
        <v>0.7</v>
      </c>
      <c r="I1932" s="28">
        <f t="shared" si="61"/>
        <v>5168.2833393704886</v>
      </c>
    </row>
    <row r="1933" spans="1:9" ht="15.75" customHeight="1" x14ac:dyDescent="0.35">
      <c r="A1933" s="26" t="s">
        <v>12843</v>
      </c>
      <c r="B1933" s="25" t="s">
        <v>1247</v>
      </c>
      <c r="C1933" s="6" t="s">
        <v>12844</v>
      </c>
      <c r="D1933" s="13">
        <v>2763.7891051726801</v>
      </c>
      <c r="E1933" s="18">
        <v>21</v>
      </c>
      <c r="F1933" s="2">
        <f t="shared" si="60"/>
        <v>3344.184817258943</v>
      </c>
      <c r="G1933" s="3">
        <v>0</v>
      </c>
      <c r="H1933" s="4">
        <v>0.7</v>
      </c>
      <c r="I1933" s="28">
        <f t="shared" si="61"/>
        <v>5685.1141893402028</v>
      </c>
    </row>
    <row r="1934" spans="1:9" ht="15.75" customHeight="1" x14ac:dyDescent="0.35">
      <c r="A1934" s="26" t="s">
        <v>4633</v>
      </c>
      <c r="B1934" s="25" t="s">
        <v>10420</v>
      </c>
      <c r="C1934" s="6" t="s">
        <v>933</v>
      </c>
      <c r="D1934" s="13">
        <v>3871.7669610266398</v>
      </c>
      <c r="E1934" s="18">
        <v>10.5</v>
      </c>
      <c r="F1934" s="2">
        <f t="shared" si="60"/>
        <v>4278.3024919344371</v>
      </c>
      <c r="G1934" s="3">
        <v>0</v>
      </c>
      <c r="H1934" s="4">
        <v>0.7</v>
      </c>
      <c r="I1934" s="28">
        <f t="shared" si="61"/>
        <v>7273.114236288543</v>
      </c>
    </row>
    <row r="1935" spans="1:9" ht="15.75" customHeight="1" x14ac:dyDescent="0.35">
      <c r="A1935" s="26" t="s">
        <v>12845</v>
      </c>
      <c r="B1935" s="25" t="s">
        <v>12538</v>
      </c>
      <c r="C1935" s="6" t="s">
        <v>12846</v>
      </c>
      <c r="D1935" s="13">
        <v>4258.9448802856796</v>
      </c>
      <c r="E1935" s="18">
        <v>10.5</v>
      </c>
      <c r="F1935" s="2">
        <f t="shared" si="60"/>
        <v>4706.1340927156762</v>
      </c>
      <c r="G1935" s="3">
        <v>0</v>
      </c>
      <c r="H1935" s="4">
        <v>0.7</v>
      </c>
      <c r="I1935" s="28">
        <f t="shared" si="61"/>
        <v>8000.4279576166491</v>
      </c>
    </row>
    <row r="1936" spans="1:9" ht="15.75" customHeight="1" x14ac:dyDescent="0.35">
      <c r="A1936" s="26" t="s">
        <v>4634</v>
      </c>
      <c r="B1936" s="25" t="s">
        <v>12540</v>
      </c>
      <c r="C1936" s="6" t="s">
        <v>934</v>
      </c>
      <c r="D1936" s="13">
        <v>4597.4411757799198</v>
      </c>
      <c r="E1936" s="18">
        <v>21</v>
      </c>
      <c r="F1936" s="2">
        <f t="shared" si="60"/>
        <v>5562.9038226937028</v>
      </c>
      <c r="G1936" s="3">
        <v>0</v>
      </c>
      <c r="H1936" s="4">
        <v>0.7</v>
      </c>
      <c r="I1936" s="28">
        <f t="shared" si="61"/>
        <v>9456.9364985792945</v>
      </c>
    </row>
    <row r="1937" spans="1:9" ht="15.75" customHeight="1" x14ac:dyDescent="0.35">
      <c r="A1937" s="26" t="s">
        <v>12847</v>
      </c>
      <c r="B1937" s="25" t="s">
        <v>10884</v>
      </c>
      <c r="C1937" s="6" t="s">
        <v>12848</v>
      </c>
      <c r="D1937" s="13">
        <v>4862.6758144665</v>
      </c>
      <c r="E1937" s="18">
        <v>21</v>
      </c>
      <c r="F1937" s="2">
        <f t="shared" si="60"/>
        <v>5883.8377355044649</v>
      </c>
      <c r="G1937" s="3">
        <v>0</v>
      </c>
      <c r="H1937" s="4">
        <v>0.7</v>
      </c>
      <c r="I1937" s="28">
        <f t="shared" si="61"/>
        <v>10002.524150357591</v>
      </c>
    </row>
    <row r="1938" spans="1:9" ht="15.75" customHeight="1" x14ac:dyDescent="0.35">
      <c r="A1938" s="26" t="s">
        <v>4635</v>
      </c>
      <c r="B1938" s="25" t="s">
        <v>261</v>
      </c>
      <c r="C1938" s="6" t="s">
        <v>935</v>
      </c>
      <c r="D1938" s="13">
        <v>2539.28486813975</v>
      </c>
      <c r="E1938" s="18">
        <v>21</v>
      </c>
      <c r="F1938" s="2">
        <f t="shared" si="60"/>
        <v>3072.5346904490975</v>
      </c>
      <c r="G1938" s="3">
        <v>0</v>
      </c>
      <c r="H1938" s="4">
        <v>0.7</v>
      </c>
      <c r="I1938" s="28">
        <f t="shared" si="61"/>
        <v>5223.3089737634655</v>
      </c>
    </row>
    <row r="1939" spans="1:9" ht="15.75" customHeight="1" x14ac:dyDescent="0.35">
      <c r="A1939" s="26" t="s">
        <v>4636</v>
      </c>
      <c r="B1939" s="25" t="s">
        <v>1248</v>
      </c>
      <c r="C1939" s="6" t="s">
        <v>936</v>
      </c>
      <c r="D1939" s="13">
        <v>4414.0839192356398</v>
      </c>
      <c r="E1939" s="18">
        <v>10.5</v>
      </c>
      <c r="F1939" s="2">
        <f t="shared" si="60"/>
        <v>4877.5627307553823</v>
      </c>
      <c r="G1939" s="3">
        <v>0</v>
      </c>
      <c r="H1939" s="4">
        <v>0.7</v>
      </c>
      <c r="I1939" s="28">
        <f t="shared" si="61"/>
        <v>8291.8566422841504</v>
      </c>
    </row>
    <row r="1940" spans="1:9" ht="15.75" customHeight="1" x14ac:dyDescent="0.35">
      <c r="A1940" s="26" t="s">
        <v>4637</v>
      </c>
      <c r="B1940" s="25" t="s">
        <v>262</v>
      </c>
      <c r="C1940" s="6" t="s">
        <v>937</v>
      </c>
      <c r="D1940" s="13">
        <v>3542.4137594429999</v>
      </c>
      <c r="E1940" s="18">
        <v>21</v>
      </c>
      <c r="F1940" s="2">
        <f t="shared" si="60"/>
        <v>4286.3206489260301</v>
      </c>
      <c r="G1940" s="3">
        <v>0</v>
      </c>
      <c r="H1940" s="4">
        <v>0.7</v>
      </c>
      <c r="I1940" s="28">
        <f t="shared" si="61"/>
        <v>7286.7451031742512</v>
      </c>
    </row>
    <row r="1941" spans="1:9" ht="15.75" customHeight="1" x14ac:dyDescent="0.35">
      <c r="A1941" s="26" t="s">
        <v>12984</v>
      </c>
      <c r="B1941" s="25" t="s">
        <v>1249</v>
      </c>
      <c r="C1941" s="6" t="s">
        <v>12985</v>
      </c>
      <c r="D1941" s="13">
        <v>4281.4979999999996</v>
      </c>
      <c r="E1941" s="18">
        <v>21</v>
      </c>
      <c r="F1941" s="2">
        <f t="shared" si="60"/>
        <v>5180.6125799999991</v>
      </c>
      <c r="G1941" s="3">
        <v>0</v>
      </c>
      <c r="H1941" s="4">
        <v>0.7</v>
      </c>
      <c r="I1941" s="28">
        <f t="shared" si="61"/>
        <v>8807.041385999999</v>
      </c>
    </row>
    <row r="1942" spans="1:9" ht="15.75" customHeight="1" x14ac:dyDescent="0.35">
      <c r="A1942" s="26" t="s">
        <v>4644</v>
      </c>
      <c r="B1942" s="25" t="s">
        <v>13115</v>
      </c>
      <c r="C1942" s="6" t="s">
        <v>938</v>
      </c>
      <c r="D1942" s="13">
        <v>1006.737318288</v>
      </c>
      <c r="E1942" s="18">
        <v>21</v>
      </c>
      <c r="F1942" s="2">
        <f t="shared" si="60"/>
        <v>1218.15215512848</v>
      </c>
      <c r="G1942" s="3">
        <v>0</v>
      </c>
      <c r="H1942" s="4">
        <v>0.7</v>
      </c>
      <c r="I1942" s="28">
        <f t="shared" si="61"/>
        <v>2070.8586637184158</v>
      </c>
    </row>
    <row r="1943" spans="1:9" ht="15.75" customHeight="1" x14ac:dyDescent="0.35">
      <c r="A1943" s="26" t="s">
        <v>4645</v>
      </c>
      <c r="B1943" s="25" t="s">
        <v>263</v>
      </c>
      <c r="C1943" s="6" t="s">
        <v>10983</v>
      </c>
      <c r="D1943" s="13">
        <v>1722.971241576</v>
      </c>
      <c r="E1943" s="18">
        <v>21</v>
      </c>
      <c r="F1943" s="2">
        <f t="shared" si="60"/>
        <v>2084.7952023069602</v>
      </c>
      <c r="G1943" s="3">
        <v>0</v>
      </c>
      <c r="H1943" s="4">
        <v>0.7</v>
      </c>
      <c r="I1943" s="28">
        <f t="shared" si="61"/>
        <v>3544.1518439218321</v>
      </c>
    </row>
    <row r="1944" spans="1:9" ht="15.75" customHeight="1" x14ac:dyDescent="0.35">
      <c r="A1944" s="26" t="s">
        <v>5678</v>
      </c>
      <c r="B1944" s="25" t="s">
        <v>264</v>
      </c>
      <c r="C1944" s="6" t="s">
        <v>13720</v>
      </c>
      <c r="D1944" s="13">
        <v>19467.045000000002</v>
      </c>
      <c r="E1944" s="18">
        <v>21</v>
      </c>
      <c r="F1944" s="2">
        <f t="shared" si="60"/>
        <v>23555.124450000003</v>
      </c>
      <c r="G1944" s="3">
        <v>0</v>
      </c>
      <c r="H1944" s="4">
        <v>0.7</v>
      </c>
      <c r="I1944" s="28">
        <f t="shared" si="61"/>
        <v>40043.711565000005</v>
      </c>
    </row>
    <row r="1945" spans="1:9" ht="15.75" customHeight="1" x14ac:dyDescent="0.35">
      <c r="A1945" s="26" t="s">
        <v>5679</v>
      </c>
      <c r="B1945" s="25" t="s">
        <v>264</v>
      </c>
      <c r="C1945" s="6" t="s">
        <v>11442</v>
      </c>
      <c r="D1945" s="13">
        <v>25956.06</v>
      </c>
      <c r="E1945" s="18">
        <v>21</v>
      </c>
      <c r="F1945" s="2">
        <f t="shared" si="60"/>
        <v>31406.832600000002</v>
      </c>
      <c r="G1945" s="3">
        <v>0</v>
      </c>
      <c r="H1945" s="4">
        <v>0.7</v>
      </c>
      <c r="I1945" s="28">
        <f t="shared" si="61"/>
        <v>53391.615420000002</v>
      </c>
    </row>
    <row r="1946" spans="1:9" ht="15.75" customHeight="1" x14ac:dyDescent="0.35">
      <c r="A1946" s="26" t="s">
        <v>3530</v>
      </c>
      <c r="B1946" s="25" t="s">
        <v>265</v>
      </c>
      <c r="C1946" s="6" t="s">
        <v>284</v>
      </c>
      <c r="D1946" s="13">
        <v>15025.582</v>
      </c>
      <c r="E1946" s="18">
        <v>21</v>
      </c>
      <c r="F1946" s="2">
        <f t="shared" si="60"/>
        <v>18180.95422</v>
      </c>
      <c r="G1946" s="3">
        <v>0</v>
      </c>
      <c r="H1946" s="4">
        <v>0.7</v>
      </c>
      <c r="I1946" s="28">
        <f t="shared" si="61"/>
        <v>30907.622174</v>
      </c>
    </row>
    <row r="1947" spans="1:9" ht="15.75" customHeight="1" x14ac:dyDescent="0.35">
      <c r="A1947" s="26" t="s">
        <v>3531</v>
      </c>
      <c r="B1947" s="25" t="s">
        <v>265</v>
      </c>
      <c r="C1947" s="6" t="s">
        <v>13213</v>
      </c>
      <c r="D1947" s="13">
        <v>25206.311000000002</v>
      </c>
      <c r="E1947" s="18">
        <v>21</v>
      </c>
      <c r="F1947" s="2">
        <f t="shared" si="60"/>
        <v>30499.636310000002</v>
      </c>
      <c r="G1947" s="3">
        <v>0</v>
      </c>
      <c r="H1947" s="4">
        <v>0.7</v>
      </c>
      <c r="I1947" s="28">
        <f t="shared" si="61"/>
        <v>51849.381727</v>
      </c>
    </row>
    <row r="1948" spans="1:9" ht="15.75" customHeight="1" x14ac:dyDescent="0.35">
      <c r="A1948" s="26" t="s">
        <v>3535</v>
      </c>
      <c r="B1948" s="25" t="s">
        <v>266</v>
      </c>
      <c r="C1948" s="6" t="s">
        <v>285</v>
      </c>
      <c r="D1948" s="13">
        <v>117289.12</v>
      </c>
      <c r="E1948" s="18">
        <v>21</v>
      </c>
      <c r="F1948" s="2">
        <f t="shared" si="60"/>
        <v>141919.8352</v>
      </c>
      <c r="G1948" s="3">
        <v>0</v>
      </c>
      <c r="H1948" s="4">
        <v>0.7</v>
      </c>
      <c r="I1948" s="28">
        <f t="shared" si="61"/>
        <v>241263.71984000001</v>
      </c>
    </row>
    <row r="1949" spans="1:9" ht="15.75" customHeight="1" x14ac:dyDescent="0.35">
      <c r="A1949" s="26" t="s">
        <v>9689</v>
      </c>
      <c r="B1949" s="25" t="s">
        <v>267</v>
      </c>
      <c r="C1949" s="6" t="s">
        <v>11760</v>
      </c>
      <c r="D1949" s="13">
        <v>23329.423999999999</v>
      </c>
      <c r="E1949" s="18">
        <v>21</v>
      </c>
      <c r="F1949" s="2">
        <f t="shared" si="60"/>
        <v>28228.603039999998</v>
      </c>
      <c r="G1949" s="3">
        <v>0</v>
      </c>
      <c r="H1949" s="4">
        <v>0.7</v>
      </c>
      <c r="I1949" s="28">
        <f t="shared" si="61"/>
        <v>47988.625167999999</v>
      </c>
    </row>
    <row r="1950" spans="1:9" ht="15.75" customHeight="1" x14ac:dyDescent="0.35">
      <c r="A1950" s="26" t="s">
        <v>9803</v>
      </c>
      <c r="B1950" s="25" t="s">
        <v>9393</v>
      </c>
      <c r="C1950" s="6" t="s">
        <v>11761</v>
      </c>
      <c r="D1950" s="13">
        <v>19410.570400000001</v>
      </c>
      <c r="E1950" s="18">
        <v>21</v>
      </c>
      <c r="F1950" s="2">
        <f t="shared" si="60"/>
        <v>23486.790184000001</v>
      </c>
      <c r="G1950" s="3">
        <v>0</v>
      </c>
      <c r="H1950" s="4">
        <v>0.7</v>
      </c>
      <c r="I1950" s="28">
        <f t="shared" si="61"/>
        <v>39927.5433128</v>
      </c>
    </row>
    <row r="1951" spans="1:9" ht="15.75" customHeight="1" x14ac:dyDescent="0.35">
      <c r="A1951" s="26" t="s">
        <v>8787</v>
      </c>
      <c r="B1951" s="25" t="s">
        <v>13139</v>
      </c>
      <c r="C1951" s="6" t="s">
        <v>11762</v>
      </c>
      <c r="D1951" s="13">
        <v>38732.116800000003</v>
      </c>
      <c r="E1951" s="18">
        <v>21</v>
      </c>
      <c r="F1951" s="2">
        <f t="shared" si="60"/>
        <v>46865.861328000006</v>
      </c>
      <c r="G1951" s="3">
        <v>0</v>
      </c>
      <c r="H1951" s="4">
        <v>0.7</v>
      </c>
      <c r="I1951" s="28">
        <f t="shared" si="61"/>
        <v>79671.964257600004</v>
      </c>
    </row>
    <row r="1952" spans="1:9" ht="15.75" customHeight="1" x14ac:dyDescent="0.35">
      <c r="A1952" s="26" t="s">
        <v>8788</v>
      </c>
      <c r="B1952" s="25" t="s">
        <v>11587</v>
      </c>
      <c r="C1952" s="6" t="s">
        <v>12099</v>
      </c>
      <c r="D1952" s="13">
        <v>43329.0936</v>
      </c>
      <c r="E1952" s="18">
        <v>21</v>
      </c>
      <c r="F1952" s="2">
        <f t="shared" si="60"/>
        <v>52428.203256000001</v>
      </c>
      <c r="G1952" s="3">
        <v>0</v>
      </c>
      <c r="H1952" s="4">
        <v>0.7</v>
      </c>
      <c r="I1952" s="28">
        <f t="shared" si="61"/>
        <v>89127.945535199993</v>
      </c>
    </row>
    <row r="1953" spans="1:9" ht="15.75" customHeight="1" x14ac:dyDescent="0.35">
      <c r="A1953" s="26" t="s">
        <v>8837</v>
      </c>
      <c r="B1953" s="25" t="s">
        <v>9395</v>
      </c>
      <c r="C1953" s="6" t="s">
        <v>8838</v>
      </c>
      <c r="D1953" s="13">
        <v>17197.211200000002</v>
      </c>
      <c r="E1953" s="18">
        <v>21</v>
      </c>
      <c r="F1953" s="2">
        <f t="shared" si="60"/>
        <v>20808.625552000001</v>
      </c>
      <c r="G1953" s="3">
        <v>0</v>
      </c>
      <c r="H1953" s="4">
        <v>0.7</v>
      </c>
      <c r="I1953" s="28">
        <f t="shared" si="61"/>
        <v>35374.663438399999</v>
      </c>
    </row>
    <row r="1954" spans="1:9" ht="15.75" customHeight="1" x14ac:dyDescent="0.35">
      <c r="A1954" s="26" t="s">
        <v>5854</v>
      </c>
      <c r="B1954" s="25" t="s">
        <v>11588</v>
      </c>
      <c r="C1954" s="6" t="s">
        <v>11763</v>
      </c>
      <c r="D1954" s="13">
        <v>23185.187999999998</v>
      </c>
      <c r="E1954" s="18">
        <v>21</v>
      </c>
      <c r="F1954" s="2">
        <f t="shared" si="60"/>
        <v>28054.07748</v>
      </c>
      <c r="G1954" s="3">
        <v>0</v>
      </c>
      <c r="H1954" s="4">
        <v>0.7</v>
      </c>
      <c r="I1954" s="28">
        <f t="shared" si="61"/>
        <v>47691.931715999999</v>
      </c>
    </row>
    <row r="1955" spans="1:9" ht="15.75" customHeight="1" x14ac:dyDescent="0.35">
      <c r="A1955" s="26" t="s">
        <v>3539</v>
      </c>
      <c r="B1955" s="25" t="s">
        <v>12095</v>
      </c>
      <c r="C1955" s="6" t="s">
        <v>11764</v>
      </c>
      <c r="D1955" s="13">
        <v>31106.098399999999</v>
      </c>
      <c r="E1955" s="18">
        <v>21</v>
      </c>
      <c r="F1955" s="2">
        <f t="shared" si="60"/>
        <v>37638.379064000001</v>
      </c>
      <c r="G1955" s="3">
        <v>0</v>
      </c>
      <c r="H1955" s="4">
        <v>0.7</v>
      </c>
      <c r="I1955" s="28">
        <f t="shared" si="61"/>
        <v>63985.244408799997</v>
      </c>
    </row>
    <row r="1956" spans="1:9" ht="15.75" customHeight="1" x14ac:dyDescent="0.35">
      <c r="A1956" s="26" t="s">
        <v>3537</v>
      </c>
      <c r="B1956" s="25" t="s">
        <v>10421</v>
      </c>
      <c r="C1956" s="6" t="s">
        <v>11765</v>
      </c>
      <c r="D1956" s="13">
        <v>26765.065600000002</v>
      </c>
      <c r="E1956" s="18">
        <v>21</v>
      </c>
      <c r="F1956" s="2">
        <f t="shared" si="60"/>
        <v>32385.729376000003</v>
      </c>
      <c r="G1956" s="3">
        <v>0</v>
      </c>
      <c r="H1956" s="4">
        <v>0.7</v>
      </c>
      <c r="I1956" s="28">
        <f t="shared" si="61"/>
        <v>55055.739939200001</v>
      </c>
    </row>
    <row r="1957" spans="1:9" ht="15.75" customHeight="1" x14ac:dyDescent="0.35">
      <c r="A1957" s="26" t="s">
        <v>3521</v>
      </c>
      <c r="B1957" s="25" t="s">
        <v>1250</v>
      </c>
      <c r="C1957" s="6" t="s">
        <v>286</v>
      </c>
      <c r="D1957" s="13">
        <v>26323.840400000001</v>
      </c>
      <c r="E1957" s="18">
        <v>21</v>
      </c>
      <c r="F1957" s="2">
        <f t="shared" si="60"/>
        <v>31851.846884000002</v>
      </c>
      <c r="G1957" s="3">
        <v>0</v>
      </c>
      <c r="H1957" s="4">
        <v>0.7</v>
      </c>
      <c r="I1957" s="28">
        <f t="shared" si="61"/>
        <v>54148.139702799999</v>
      </c>
    </row>
    <row r="1958" spans="1:9" ht="15.75" customHeight="1" x14ac:dyDescent="0.35">
      <c r="A1958" s="26" t="s">
        <v>3522</v>
      </c>
      <c r="B1958" s="25" t="s">
        <v>1203</v>
      </c>
      <c r="C1958" s="6" t="s">
        <v>10057</v>
      </c>
      <c r="D1958" s="13">
        <v>42718.03674489</v>
      </c>
      <c r="E1958" s="18">
        <v>21</v>
      </c>
      <c r="F1958" s="2">
        <f t="shared" si="60"/>
        <v>51688.824461316901</v>
      </c>
      <c r="G1958" s="3">
        <v>0</v>
      </c>
      <c r="H1958" s="4">
        <v>0.7</v>
      </c>
      <c r="I1958" s="28">
        <f t="shared" si="61"/>
        <v>87871.001584238722</v>
      </c>
    </row>
    <row r="1959" spans="1:9" ht="15.75" customHeight="1" x14ac:dyDescent="0.35">
      <c r="A1959" s="26" t="s">
        <v>3524</v>
      </c>
      <c r="B1959" s="25" t="s">
        <v>13140</v>
      </c>
      <c r="C1959" s="6" t="s">
        <v>10058</v>
      </c>
      <c r="D1959" s="13">
        <v>39006.816251130003</v>
      </c>
      <c r="E1959" s="18">
        <v>21</v>
      </c>
      <c r="F1959" s="2">
        <f t="shared" si="60"/>
        <v>47198.247663867303</v>
      </c>
      <c r="G1959" s="3">
        <v>0</v>
      </c>
      <c r="H1959" s="4">
        <v>0.7</v>
      </c>
      <c r="I1959" s="28">
        <f t="shared" si="61"/>
        <v>80237.021028574411</v>
      </c>
    </row>
    <row r="1960" spans="1:9" ht="15.75" customHeight="1" x14ac:dyDescent="0.35">
      <c r="A1960" s="26" t="s">
        <v>11589</v>
      </c>
      <c r="B1960" s="25" t="s">
        <v>13408</v>
      </c>
      <c r="C1960" s="6" t="s">
        <v>11590</v>
      </c>
      <c r="D1960" s="13">
        <v>60719.932000000001</v>
      </c>
      <c r="E1960" s="18">
        <v>21</v>
      </c>
      <c r="F1960" s="2">
        <f t="shared" si="60"/>
        <v>73471.117719999995</v>
      </c>
      <c r="G1960" s="3">
        <v>0</v>
      </c>
      <c r="H1960" s="4">
        <v>0.7</v>
      </c>
      <c r="I1960" s="28">
        <f t="shared" si="61"/>
        <v>124900.90012399999</v>
      </c>
    </row>
    <row r="1961" spans="1:9" ht="15.75" customHeight="1" x14ac:dyDescent="0.35">
      <c r="A1961" s="26" t="s">
        <v>3541</v>
      </c>
      <c r="B1961" s="25" t="s">
        <v>10167</v>
      </c>
      <c r="C1961" s="6" t="s">
        <v>1173</v>
      </c>
      <c r="D1961" s="13">
        <v>31450.51</v>
      </c>
      <c r="E1961" s="18">
        <v>21</v>
      </c>
      <c r="F1961" s="2">
        <f t="shared" si="60"/>
        <v>38055.117099999996</v>
      </c>
      <c r="G1961" s="3">
        <v>0</v>
      </c>
      <c r="H1961" s="4">
        <v>0.7</v>
      </c>
      <c r="I1961" s="28">
        <f t="shared" si="61"/>
        <v>64693.699069999988</v>
      </c>
    </row>
    <row r="1962" spans="1:9" ht="15.75" customHeight="1" x14ac:dyDescent="0.35">
      <c r="A1962" s="26" t="s">
        <v>3542</v>
      </c>
      <c r="B1962" s="25" t="s">
        <v>268</v>
      </c>
      <c r="C1962" s="6" t="s">
        <v>1174</v>
      </c>
      <c r="D1962" s="13">
        <v>42425.5</v>
      </c>
      <c r="E1962" s="18">
        <v>21</v>
      </c>
      <c r="F1962" s="2">
        <f t="shared" si="60"/>
        <v>51334.854999999996</v>
      </c>
      <c r="G1962" s="3">
        <v>0</v>
      </c>
      <c r="H1962" s="4">
        <v>0.7</v>
      </c>
      <c r="I1962" s="28">
        <f t="shared" si="61"/>
        <v>87269.253499999992</v>
      </c>
    </row>
    <row r="1963" spans="1:9" ht="15.75" customHeight="1" x14ac:dyDescent="0.35">
      <c r="A1963" s="26" t="s">
        <v>11591</v>
      </c>
      <c r="B1963" s="25" t="s">
        <v>269</v>
      </c>
      <c r="C1963" s="6" t="s">
        <v>11592</v>
      </c>
      <c r="D1963" s="13">
        <v>52158.326999999997</v>
      </c>
      <c r="E1963" s="18">
        <v>21</v>
      </c>
      <c r="F1963" s="2">
        <f t="shared" si="60"/>
        <v>63111.575669999998</v>
      </c>
      <c r="G1963" s="3">
        <v>0</v>
      </c>
      <c r="H1963" s="4">
        <v>0.7</v>
      </c>
      <c r="I1963" s="28">
        <f t="shared" si="61"/>
        <v>107289.67863899999</v>
      </c>
    </row>
    <row r="1964" spans="1:9" ht="15.75" customHeight="1" x14ac:dyDescent="0.35">
      <c r="A1964" s="26" t="s">
        <v>12058</v>
      </c>
      <c r="B1964" s="25" t="s">
        <v>270</v>
      </c>
      <c r="C1964" s="6" t="s">
        <v>12059</v>
      </c>
      <c r="D1964" s="13">
        <v>208115.68908000001</v>
      </c>
      <c r="E1964" s="18">
        <v>21</v>
      </c>
      <c r="F1964" s="2">
        <f t="shared" si="60"/>
        <v>251819.9837868</v>
      </c>
      <c r="G1964" s="3">
        <v>0</v>
      </c>
      <c r="H1964" s="4">
        <v>0.7</v>
      </c>
      <c r="I1964" s="28">
        <f t="shared" si="61"/>
        <v>428093.97243755998</v>
      </c>
    </row>
    <row r="1965" spans="1:9" ht="15.75" customHeight="1" x14ac:dyDescent="0.35">
      <c r="A1965" s="26" t="s">
        <v>13142</v>
      </c>
      <c r="B1965" s="25" t="s">
        <v>271</v>
      </c>
      <c r="C1965" s="6" t="s">
        <v>13143</v>
      </c>
      <c r="D1965" s="13">
        <v>216712.336152</v>
      </c>
      <c r="E1965" s="18">
        <v>21</v>
      </c>
      <c r="F1965" s="2">
        <f t="shared" si="60"/>
        <v>262221.92674392002</v>
      </c>
      <c r="G1965" s="3">
        <v>0</v>
      </c>
      <c r="H1965" s="4">
        <v>0.7</v>
      </c>
      <c r="I1965" s="28">
        <f t="shared" si="61"/>
        <v>445777.27546466404</v>
      </c>
    </row>
    <row r="1966" spans="1:9" ht="15.75" customHeight="1" x14ac:dyDescent="0.35">
      <c r="A1966" s="26" t="s">
        <v>12972</v>
      </c>
      <c r="B1966" s="25" t="s">
        <v>272</v>
      </c>
      <c r="C1966" s="6" t="s">
        <v>12973</v>
      </c>
      <c r="D1966" s="13">
        <v>156795.367248</v>
      </c>
      <c r="E1966" s="18">
        <v>21</v>
      </c>
      <c r="F1966" s="2">
        <f t="shared" si="60"/>
        <v>189722.39437008</v>
      </c>
      <c r="G1966" s="3">
        <v>0</v>
      </c>
      <c r="H1966" s="4">
        <v>0.7</v>
      </c>
      <c r="I1966" s="28">
        <f t="shared" si="61"/>
        <v>322528.07042913599</v>
      </c>
    </row>
    <row r="1967" spans="1:9" ht="15.75" customHeight="1" x14ac:dyDescent="0.35">
      <c r="A1967" s="26" t="s">
        <v>11374</v>
      </c>
      <c r="B1967" s="25" t="s">
        <v>273</v>
      </c>
      <c r="C1967" s="6" t="s">
        <v>11375</v>
      </c>
      <c r="D1967" s="13">
        <v>260951.6</v>
      </c>
      <c r="E1967" s="18">
        <v>21</v>
      </c>
      <c r="F1967" s="2">
        <f t="shared" si="60"/>
        <v>315751.43599999999</v>
      </c>
      <c r="G1967" s="3">
        <v>0</v>
      </c>
      <c r="H1967" s="4">
        <v>0.7</v>
      </c>
      <c r="I1967" s="28">
        <f t="shared" si="61"/>
        <v>536777.4412</v>
      </c>
    </row>
    <row r="1968" spans="1:9" ht="15.75" customHeight="1" x14ac:dyDescent="0.35">
      <c r="A1968" s="26" t="s">
        <v>13144</v>
      </c>
      <c r="B1968" s="25" t="s">
        <v>274</v>
      </c>
      <c r="C1968" s="6" t="s">
        <v>13145</v>
      </c>
      <c r="D1968" s="13">
        <v>210541.76</v>
      </c>
      <c r="E1968" s="18">
        <v>21</v>
      </c>
      <c r="F1968" s="2">
        <f t="shared" si="60"/>
        <v>254755.52960000001</v>
      </c>
      <c r="G1968" s="3">
        <v>0</v>
      </c>
      <c r="H1968" s="4">
        <v>0.7</v>
      </c>
      <c r="I1968" s="28">
        <f t="shared" si="61"/>
        <v>433084.40032000002</v>
      </c>
    </row>
    <row r="1969" spans="1:9" ht="15.75" customHeight="1" x14ac:dyDescent="0.35">
      <c r="A1969" s="26" t="s">
        <v>13146</v>
      </c>
      <c r="B1969" s="25" t="s">
        <v>12096</v>
      </c>
      <c r="C1969" s="6" t="s">
        <v>13147</v>
      </c>
      <c r="D1969" s="13">
        <v>240364.79999999999</v>
      </c>
      <c r="E1969" s="18">
        <v>21</v>
      </c>
      <c r="F1969" s="2">
        <f t="shared" si="60"/>
        <v>290841.408</v>
      </c>
      <c r="G1969" s="3">
        <v>0</v>
      </c>
      <c r="H1969" s="4">
        <v>0.7</v>
      </c>
      <c r="I1969" s="28">
        <f t="shared" si="61"/>
        <v>494430.39359999995</v>
      </c>
    </row>
    <row r="1970" spans="1:9" ht="15.75" customHeight="1" x14ac:dyDescent="0.35">
      <c r="A1970" s="26" t="s">
        <v>5681</v>
      </c>
      <c r="B1970" s="25" t="s">
        <v>12097</v>
      </c>
      <c r="C1970" s="6" t="s">
        <v>288</v>
      </c>
      <c r="D1970" s="13">
        <v>14037.037247999999</v>
      </c>
      <c r="E1970" s="18">
        <v>21</v>
      </c>
      <c r="F1970" s="2">
        <f t="shared" si="60"/>
        <v>16984.81507008</v>
      </c>
      <c r="G1970" s="3">
        <v>0</v>
      </c>
      <c r="H1970" s="4">
        <v>0.7</v>
      </c>
      <c r="I1970" s="28">
        <f t="shared" si="61"/>
        <v>28874.185619135998</v>
      </c>
    </row>
    <row r="1971" spans="1:9" ht="15.75" customHeight="1" x14ac:dyDescent="0.35">
      <c r="A1971" s="26" t="s">
        <v>5682</v>
      </c>
      <c r="B1971" s="25" t="s">
        <v>275</v>
      </c>
      <c r="C1971" s="6" t="s">
        <v>289</v>
      </c>
      <c r="D1971" s="13">
        <v>12636.707811</v>
      </c>
      <c r="E1971" s="18">
        <v>21</v>
      </c>
      <c r="F1971" s="2">
        <f t="shared" si="60"/>
        <v>15290.41645131</v>
      </c>
      <c r="G1971" s="3">
        <v>0</v>
      </c>
      <c r="H1971" s="4">
        <v>0.7</v>
      </c>
      <c r="I1971" s="28">
        <f t="shared" si="61"/>
        <v>25993.707967227001</v>
      </c>
    </row>
    <row r="1972" spans="1:9" ht="15.75" customHeight="1" x14ac:dyDescent="0.35">
      <c r="A1972" s="26" t="s">
        <v>5683</v>
      </c>
      <c r="B1972" s="25" t="s">
        <v>13141</v>
      </c>
      <c r="C1972" s="6" t="s">
        <v>290</v>
      </c>
      <c r="D1972" s="13">
        <v>17883.725340000001</v>
      </c>
      <c r="E1972" s="18">
        <v>21</v>
      </c>
      <c r="F1972" s="2">
        <f t="shared" si="60"/>
        <v>21639.307661400002</v>
      </c>
      <c r="G1972" s="3">
        <v>0</v>
      </c>
      <c r="H1972" s="4">
        <v>0.7</v>
      </c>
      <c r="I1972" s="28">
        <f t="shared" si="61"/>
        <v>36786.823024379999</v>
      </c>
    </row>
    <row r="1973" spans="1:9" ht="15.75" customHeight="1" x14ac:dyDescent="0.35">
      <c r="A1973" s="26" t="s">
        <v>5684</v>
      </c>
      <c r="B1973" s="25" t="s">
        <v>9633</v>
      </c>
      <c r="C1973" s="6" t="s">
        <v>291</v>
      </c>
      <c r="D1973" s="13">
        <v>15859.15266</v>
      </c>
      <c r="E1973" s="18">
        <v>21</v>
      </c>
      <c r="F1973" s="2">
        <f t="shared" si="60"/>
        <v>19189.574718600001</v>
      </c>
      <c r="G1973" s="3">
        <v>0</v>
      </c>
      <c r="H1973" s="4">
        <v>0.7</v>
      </c>
      <c r="I1973" s="28">
        <f t="shared" si="61"/>
        <v>32622.277021620001</v>
      </c>
    </row>
    <row r="1974" spans="1:9" ht="15.75" customHeight="1" x14ac:dyDescent="0.35">
      <c r="A1974" s="26" t="s">
        <v>5685</v>
      </c>
      <c r="B1974" s="25" t="s">
        <v>12292</v>
      </c>
      <c r="C1974" s="6" t="s">
        <v>292</v>
      </c>
      <c r="D1974" s="13">
        <v>10612.135130999999</v>
      </c>
      <c r="E1974" s="18">
        <v>21</v>
      </c>
      <c r="F1974" s="2">
        <f t="shared" si="60"/>
        <v>12840.683508509999</v>
      </c>
      <c r="G1974" s="3">
        <v>0</v>
      </c>
      <c r="H1974" s="4">
        <v>0.7</v>
      </c>
      <c r="I1974" s="28">
        <f t="shared" si="61"/>
        <v>21829.161964466999</v>
      </c>
    </row>
    <row r="1975" spans="1:9" ht="15.75" customHeight="1" x14ac:dyDescent="0.35">
      <c r="A1975" s="26" t="s">
        <v>1509</v>
      </c>
      <c r="B1975" s="25" t="s">
        <v>276</v>
      </c>
      <c r="C1975" s="6" t="s">
        <v>12541</v>
      </c>
      <c r="D1975" s="13">
        <v>1048.4725094999999</v>
      </c>
      <c r="E1975" s="18">
        <v>21</v>
      </c>
      <c r="F1975" s="2">
        <f t="shared" si="60"/>
        <v>1268.6517364949998</v>
      </c>
      <c r="G1975" s="3">
        <v>0</v>
      </c>
      <c r="H1975" s="4">
        <v>0.7</v>
      </c>
      <c r="I1975" s="28">
        <f t="shared" si="61"/>
        <v>2156.7079520414995</v>
      </c>
    </row>
    <row r="1976" spans="1:9" ht="15.75" customHeight="1" x14ac:dyDescent="0.35">
      <c r="A1976" s="26" t="s">
        <v>1510</v>
      </c>
      <c r="B1976" s="25" t="s">
        <v>9511</v>
      </c>
      <c r="C1976" s="6" t="s">
        <v>293</v>
      </c>
      <c r="D1976" s="13">
        <v>1795.729466232</v>
      </c>
      <c r="E1976" s="18">
        <v>21</v>
      </c>
      <c r="F1976" s="2">
        <f t="shared" si="60"/>
        <v>2172.83265414072</v>
      </c>
      <c r="G1976" s="3">
        <v>0</v>
      </c>
      <c r="H1976" s="4">
        <v>0.7</v>
      </c>
      <c r="I1976" s="28">
        <f t="shared" si="61"/>
        <v>3693.8155120392239</v>
      </c>
    </row>
    <row r="1977" spans="1:9" ht="15.75" customHeight="1" x14ac:dyDescent="0.35">
      <c r="A1977" s="26" t="s">
        <v>1511</v>
      </c>
      <c r="B1977" s="25" t="s">
        <v>12098</v>
      </c>
      <c r="C1977" s="6" t="s">
        <v>13513</v>
      </c>
      <c r="D1977" s="13">
        <v>1080.0057839999999</v>
      </c>
      <c r="E1977" s="18">
        <v>21</v>
      </c>
      <c r="F1977" s="2">
        <f t="shared" si="60"/>
        <v>1306.8069986400001</v>
      </c>
      <c r="G1977" s="3">
        <v>0</v>
      </c>
      <c r="H1977" s="4">
        <v>0.7</v>
      </c>
      <c r="I1977" s="28">
        <f t="shared" si="61"/>
        <v>2221.5718976880003</v>
      </c>
    </row>
    <row r="1978" spans="1:9" ht="15.75" customHeight="1" x14ac:dyDescent="0.35">
      <c r="A1978" s="26" t="s">
        <v>1512</v>
      </c>
      <c r="B1978" s="25" t="s">
        <v>9559</v>
      </c>
      <c r="C1978" s="6" t="s">
        <v>294</v>
      </c>
      <c r="D1978" s="13">
        <v>2077.0554327119999</v>
      </c>
      <c r="E1978" s="18">
        <v>21</v>
      </c>
      <c r="F1978" s="2">
        <f t="shared" si="60"/>
        <v>2513.2370735815198</v>
      </c>
      <c r="G1978" s="3">
        <v>0</v>
      </c>
      <c r="H1978" s="4">
        <v>0.7</v>
      </c>
      <c r="I1978" s="28">
        <f t="shared" si="61"/>
        <v>4272.5030250885839</v>
      </c>
    </row>
    <row r="1979" spans="1:9" ht="15.75" customHeight="1" x14ac:dyDescent="0.35">
      <c r="A1979" s="26" t="s">
        <v>1513</v>
      </c>
      <c r="B1979" s="25" t="s">
        <v>9328</v>
      </c>
      <c r="C1979" s="6" t="s">
        <v>12543</v>
      </c>
      <c r="D1979" s="13">
        <v>1048.46732180709</v>
      </c>
      <c r="E1979" s="18">
        <v>21</v>
      </c>
      <c r="F1979" s="2">
        <f t="shared" si="60"/>
        <v>1268.645459386579</v>
      </c>
      <c r="G1979" s="3">
        <v>0</v>
      </c>
      <c r="H1979" s="4">
        <v>0.7</v>
      </c>
      <c r="I1979" s="28">
        <f t="shared" si="61"/>
        <v>2156.6972809571844</v>
      </c>
    </row>
    <row r="1980" spans="1:9" ht="15.75" customHeight="1" x14ac:dyDescent="0.35">
      <c r="A1980" s="26" t="s">
        <v>12544</v>
      </c>
      <c r="B1980" s="25" t="s">
        <v>1193</v>
      </c>
      <c r="C1980" s="6" t="s">
        <v>12545</v>
      </c>
      <c r="D1980" s="13">
        <v>1080.0057839999999</v>
      </c>
      <c r="E1980" s="18">
        <v>21</v>
      </c>
      <c r="F1980" s="2">
        <f t="shared" si="60"/>
        <v>1306.8069986400001</v>
      </c>
      <c r="G1980" s="3">
        <v>0</v>
      </c>
      <c r="H1980" s="4">
        <v>0.7</v>
      </c>
      <c r="I1980" s="28">
        <f t="shared" si="61"/>
        <v>2221.5718976880003</v>
      </c>
    </row>
    <row r="1981" spans="1:9" ht="15.75" customHeight="1" x14ac:dyDescent="0.35">
      <c r="A1981" s="26" t="s">
        <v>1526</v>
      </c>
      <c r="B1981" s="25" t="s">
        <v>277</v>
      </c>
      <c r="C1981" s="6" t="s">
        <v>295</v>
      </c>
      <c r="D1981" s="13">
        <v>467.17317550799999</v>
      </c>
      <c r="E1981" s="18">
        <v>21</v>
      </c>
      <c r="F1981" s="2">
        <f t="shared" si="60"/>
        <v>565.27954236467997</v>
      </c>
      <c r="G1981" s="3">
        <v>0</v>
      </c>
      <c r="H1981" s="4">
        <v>0.7</v>
      </c>
      <c r="I1981" s="28">
        <f t="shared" si="61"/>
        <v>960.97522201995594</v>
      </c>
    </row>
    <row r="1982" spans="1:9" ht="15.75" customHeight="1" x14ac:dyDescent="0.35">
      <c r="A1982" s="26" t="s">
        <v>12626</v>
      </c>
      <c r="B1982" s="25" t="s">
        <v>1192</v>
      </c>
      <c r="C1982" s="6" t="s">
        <v>12627</v>
      </c>
      <c r="D1982" s="13">
        <v>14474.8177756</v>
      </c>
      <c r="E1982" s="18">
        <v>21</v>
      </c>
      <c r="F1982" s="2">
        <f t="shared" si="60"/>
        <v>17514.529508476</v>
      </c>
      <c r="G1982" s="3">
        <v>0</v>
      </c>
      <c r="H1982" s="4">
        <v>0.7</v>
      </c>
      <c r="I1982" s="28">
        <f t="shared" si="61"/>
        <v>29774.700164409198</v>
      </c>
    </row>
    <row r="1983" spans="1:9" ht="15.75" customHeight="1" x14ac:dyDescent="0.35">
      <c r="A1983" s="26" t="s">
        <v>1473</v>
      </c>
      <c r="B1983" s="25" t="s">
        <v>278</v>
      </c>
      <c r="C1983" s="6" t="s">
        <v>296</v>
      </c>
      <c r="D1983" s="13">
        <v>184.75060305</v>
      </c>
      <c r="E1983" s="18">
        <v>21</v>
      </c>
      <c r="F1983" s="2">
        <f t="shared" si="60"/>
        <v>223.54822969049999</v>
      </c>
      <c r="G1983" s="3">
        <v>0</v>
      </c>
      <c r="H1983" s="4">
        <v>0.7</v>
      </c>
      <c r="I1983" s="28">
        <f t="shared" si="61"/>
        <v>380.03199047384999</v>
      </c>
    </row>
    <row r="1984" spans="1:9" ht="15.75" customHeight="1" x14ac:dyDescent="0.35">
      <c r="A1984" s="26" t="s">
        <v>1474</v>
      </c>
      <c r="B1984" s="25" t="s">
        <v>1191</v>
      </c>
      <c r="C1984" s="6" t="s">
        <v>297</v>
      </c>
      <c r="D1984" s="13">
        <v>1048.9670100000001</v>
      </c>
      <c r="E1984" s="18">
        <v>21</v>
      </c>
      <c r="F1984" s="2">
        <f t="shared" si="60"/>
        <v>1269.2500821000001</v>
      </c>
      <c r="G1984" s="3">
        <v>0</v>
      </c>
      <c r="H1984" s="4">
        <v>0.7</v>
      </c>
      <c r="I1984" s="28">
        <f t="shared" si="61"/>
        <v>2157.72513957</v>
      </c>
    </row>
    <row r="1985" spans="1:9" ht="15.75" customHeight="1" x14ac:dyDescent="0.35">
      <c r="A1985" s="26" t="s">
        <v>1475</v>
      </c>
      <c r="B1985" s="25" t="s">
        <v>921</v>
      </c>
      <c r="C1985" s="6" t="s">
        <v>298</v>
      </c>
      <c r="D1985" s="13">
        <v>13.036452000000001</v>
      </c>
      <c r="E1985" s="18">
        <v>21</v>
      </c>
      <c r="F1985" s="2">
        <f t="shared" si="60"/>
        <v>15.774106920000001</v>
      </c>
      <c r="G1985" s="3">
        <v>0</v>
      </c>
      <c r="H1985" s="4">
        <v>0.7</v>
      </c>
      <c r="I1985" s="28">
        <f t="shared" si="61"/>
        <v>26.815981764</v>
      </c>
    </row>
    <row r="1986" spans="1:9" ht="15.75" customHeight="1" x14ac:dyDescent="0.35">
      <c r="A1986" s="26" t="s">
        <v>8840</v>
      </c>
      <c r="B1986" s="25" t="s">
        <v>9517</v>
      </c>
      <c r="C1986" s="6" t="s">
        <v>9147</v>
      </c>
      <c r="D1986" s="13">
        <v>1062.577945</v>
      </c>
      <c r="E1986" s="18">
        <v>21</v>
      </c>
      <c r="F1986" s="2">
        <f t="shared" si="60"/>
        <v>1285.7193134500001</v>
      </c>
      <c r="G1986" s="3">
        <v>0</v>
      </c>
      <c r="H1986" s="4">
        <v>0.7</v>
      </c>
      <c r="I1986" s="28">
        <f t="shared" si="61"/>
        <v>2185.7228328649999</v>
      </c>
    </row>
    <row r="1987" spans="1:9" ht="15.75" customHeight="1" x14ac:dyDescent="0.35">
      <c r="A1987" s="26" t="s">
        <v>8842</v>
      </c>
      <c r="B1987" s="25" t="s">
        <v>1197</v>
      </c>
      <c r="C1987" s="6" t="s">
        <v>9148</v>
      </c>
      <c r="D1987" s="13">
        <v>1062.577945</v>
      </c>
      <c r="E1987" s="18">
        <v>21</v>
      </c>
      <c r="F1987" s="2">
        <f t="shared" si="60"/>
        <v>1285.7193134500001</v>
      </c>
      <c r="G1987" s="3">
        <v>0</v>
      </c>
      <c r="H1987" s="4">
        <v>0.7</v>
      </c>
      <c r="I1987" s="28">
        <f t="shared" si="61"/>
        <v>2185.7228328649999</v>
      </c>
    </row>
    <row r="1988" spans="1:9" ht="15.75" customHeight="1" x14ac:dyDescent="0.35">
      <c r="A1988" s="26" t="s">
        <v>1476</v>
      </c>
      <c r="B1988" s="25" t="s">
        <v>10723</v>
      </c>
      <c r="C1988" s="6" t="s">
        <v>9329</v>
      </c>
      <c r="D1988" s="13">
        <v>1553.6646528000001</v>
      </c>
      <c r="E1988" s="18">
        <v>21</v>
      </c>
      <c r="F1988" s="2">
        <f t="shared" si="60"/>
        <v>1879.9342298880001</v>
      </c>
      <c r="G1988" s="3">
        <v>0</v>
      </c>
      <c r="H1988" s="4">
        <v>0.7</v>
      </c>
      <c r="I1988" s="28">
        <f t="shared" si="61"/>
        <v>3195.8881908096</v>
      </c>
    </row>
    <row r="1989" spans="1:9" ht="15.75" customHeight="1" x14ac:dyDescent="0.35">
      <c r="A1989" s="26" t="s">
        <v>1477</v>
      </c>
      <c r="B1989" s="25" t="s">
        <v>279</v>
      </c>
      <c r="C1989" s="6" t="s">
        <v>9330</v>
      </c>
      <c r="D1989" s="13">
        <v>1942.0808159999999</v>
      </c>
      <c r="E1989" s="18">
        <v>21</v>
      </c>
      <c r="F1989" s="2">
        <f t="shared" si="60"/>
        <v>2349.9177873599997</v>
      </c>
      <c r="G1989" s="3">
        <v>0</v>
      </c>
      <c r="H1989" s="4">
        <v>0.7</v>
      </c>
      <c r="I1989" s="28">
        <f t="shared" si="61"/>
        <v>3994.8602385119993</v>
      </c>
    </row>
    <row r="1990" spans="1:9" ht="15.75" customHeight="1" x14ac:dyDescent="0.35">
      <c r="A1990" s="26" t="s">
        <v>11982</v>
      </c>
      <c r="B1990" s="25" t="s">
        <v>280</v>
      </c>
      <c r="C1990" s="6" t="s">
        <v>11983</v>
      </c>
      <c r="D1990" s="13">
        <v>1519.515357984</v>
      </c>
      <c r="E1990" s="18">
        <v>21</v>
      </c>
      <c r="F1990" s="2">
        <f t="shared" ref="F1990:F2053" si="62">D1990*E1990/100+D1990</f>
        <v>1838.61358316064</v>
      </c>
      <c r="G1990" s="3">
        <v>0</v>
      </c>
      <c r="H1990" s="4">
        <v>0.7</v>
      </c>
      <c r="I1990" s="28">
        <f t="shared" ref="I1990:I2053" si="63">IF(G1990=-1,0,F1990*((100-G1990)/100)*(1+H1990))</f>
        <v>3125.6430913730878</v>
      </c>
    </row>
    <row r="1991" spans="1:9" ht="15.75" customHeight="1" x14ac:dyDescent="0.35">
      <c r="A1991" s="26" t="s">
        <v>1478</v>
      </c>
      <c r="B1991" s="25" t="s">
        <v>281</v>
      </c>
      <c r="C1991" s="6" t="s">
        <v>299</v>
      </c>
      <c r="D1991" s="13">
        <v>4769.2497975407996</v>
      </c>
      <c r="E1991" s="18">
        <v>21</v>
      </c>
      <c r="F1991" s="2">
        <f t="shared" si="62"/>
        <v>5770.7922550243675</v>
      </c>
      <c r="G1991" s="3">
        <v>0</v>
      </c>
      <c r="H1991" s="4">
        <v>0.7</v>
      </c>
      <c r="I1991" s="28">
        <f t="shared" si="63"/>
        <v>9810.3468335414236</v>
      </c>
    </row>
    <row r="1992" spans="1:9" ht="15.75" customHeight="1" x14ac:dyDescent="0.35">
      <c r="A1992" s="26" t="s">
        <v>1479</v>
      </c>
      <c r="B1992" s="25" t="s">
        <v>282</v>
      </c>
      <c r="C1992" s="6" t="s">
        <v>300</v>
      </c>
      <c r="D1992" s="13">
        <v>1492.5395225</v>
      </c>
      <c r="E1992" s="18">
        <v>21</v>
      </c>
      <c r="F1992" s="2">
        <f t="shared" si="62"/>
        <v>1805.9728222250001</v>
      </c>
      <c r="G1992" s="3">
        <v>0</v>
      </c>
      <c r="H1992" s="4">
        <v>0.7</v>
      </c>
      <c r="I1992" s="28">
        <f t="shared" si="63"/>
        <v>3070.1537977825001</v>
      </c>
    </row>
    <row r="1993" spans="1:9" ht="15.75" customHeight="1" x14ac:dyDescent="0.35">
      <c r="A1993" s="26" t="s">
        <v>1480</v>
      </c>
      <c r="B1993" s="25" t="s">
        <v>283</v>
      </c>
      <c r="C1993" s="6" t="s">
        <v>10654</v>
      </c>
      <c r="D1993" s="13">
        <v>1513.1005889999999</v>
      </c>
      <c r="E1993" s="18">
        <v>21</v>
      </c>
      <c r="F1993" s="2">
        <f t="shared" si="62"/>
        <v>1830.8517126899999</v>
      </c>
      <c r="G1993" s="3">
        <v>0</v>
      </c>
      <c r="H1993" s="4">
        <v>0.7</v>
      </c>
      <c r="I1993" s="28">
        <f t="shared" si="63"/>
        <v>3112.4479115729996</v>
      </c>
    </row>
    <row r="1994" spans="1:9" ht="15.75" customHeight="1" x14ac:dyDescent="0.35">
      <c r="A1994" s="26" t="s">
        <v>1527</v>
      </c>
      <c r="B1994" s="25" t="s">
        <v>1196</v>
      </c>
      <c r="C1994" s="6" t="s">
        <v>301</v>
      </c>
      <c r="D1994" s="13">
        <v>564.12401435000004</v>
      </c>
      <c r="E1994" s="18">
        <v>21</v>
      </c>
      <c r="F1994" s="2">
        <f t="shared" si="62"/>
        <v>682.59005736350002</v>
      </c>
      <c r="G1994" s="3">
        <v>0</v>
      </c>
      <c r="H1994" s="4">
        <v>0.7</v>
      </c>
      <c r="I1994" s="28">
        <f t="shared" si="63"/>
        <v>1160.4030975179501</v>
      </c>
    </row>
    <row r="1995" spans="1:9" ht="15.75" customHeight="1" x14ac:dyDescent="0.35">
      <c r="A1995" s="26" t="s">
        <v>8839</v>
      </c>
      <c r="B1995" s="25" t="s">
        <v>922</v>
      </c>
      <c r="C1995" s="6" t="s">
        <v>9518</v>
      </c>
      <c r="D1995" s="13">
        <v>830.74275700000203</v>
      </c>
      <c r="E1995" s="18">
        <v>21</v>
      </c>
      <c r="F1995" s="2">
        <f t="shared" si="62"/>
        <v>1005.1987359700024</v>
      </c>
      <c r="G1995" s="3">
        <v>0</v>
      </c>
      <c r="H1995" s="4">
        <v>0.7</v>
      </c>
      <c r="I1995" s="28">
        <f t="shared" si="63"/>
        <v>1708.8378511490041</v>
      </c>
    </row>
    <row r="1996" spans="1:9" ht="15.75" customHeight="1" x14ac:dyDescent="0.35">
      <c r="A1996" s="26" t="s">
        <v>8841</v>
      </c>
      <c r="B1996" s="25" t="s">
        <v>923</v>
      </c>
      <c r="C1996" s="6" t="s">
        <v>9519</v>
      </c>
      <c r="D1996" s="13">
        <v>830.74275700000203</v>
      </c>
      <c r="E1996" s="18">
        <v>21</v>
      </c>
      <c r="F1996" s="2">
        <f t="shared" si="62"/>
        <v>1005.1987359700024</v>
      </c>
      <c r="G1996" s="3">
        <v>0</v>
      </c>
      <c r="H1996" s="4">
        <v>0.7</v>
      </c>
      <c r="I1996" s="28">
        <f t="shared" si="63"/>
        <v>1708.8378511490041</v>
      </c>
    </row>
    <row r="1997" spans="1:9" ht="15.75" customHeight="1" x14ac:dyDescent="0.35">
      <c r="A1997" s="26" t="s">
        <v>1481</v>
      </c>
      <c r="B1997" s="25" t="s">
        <v>10982</v>
      </c>
      <c r="C1997" s="6" t="s">
        <v>302</v>
      </c>
      <c r="D1997" s="13">
        <v>1319.5288668650401</v>
      </c>
      <c r="E1997" s="18">
        <v>21</v>
      </c>
      <c r="F1997" s="2">
        <f t="shared" si="62"/>
        <v>1596.6299289066985</v>
      </c>
      <c r="G1997" s="3">
        <v>0</v>
      </c>
      <c r="H1997" s="4">
        <v>0.7</v>
      </c>
      <c r="I1997" s="28">
        <f t="shared" si="63"/>
        <v>2714.2708791413875</v>
      </c>
    </row>
    <row r="1998" spans="1:9" ht="15.75" customHeight="1" x14ac:dyDescent="0.35">
      <c r="A1998" s="26" t="s">
        <v>1482</v>
      </c>
      <c r="B1998" s="25" t="s">
        <v>924</v>
      </c>
      <c r="C1998" s="6" t="s">
        <v>1251</v>
      </c>
      <c r="D1998" s="13">
        <v>90.314152500000006</v>
      </c>
      <c r="E1998" s="18">
        <v>21</v>
      </c>
      <c r="F1998" s="2">
        <f t="shared" si="62"/>
        <v>109.28012452500001</v>
      </c>
      <c r="G1998" s="3">
        <v>0</v>
      </c>
      <c r="H1998" s="4">
        <v>0.7</v>
      </c>
      <c r="I1998" s="28">
        <f t="shared" si="63"/>
        <v>185.7762116925</v>
      </c>
    </row>
    <row r="1999" spans="1:9" ht="15.75" customHeight="1" x14ac:dyDescent="0.35">
      <c r="A1999" s="26" t="s">
        <v>10875</v>
      </c>
      <c r="B1999" s="25" t="s">
        <v>925</v>
      </c>
      <c r="C1999" s="6" t="s">
        <v>11455</v>
      </c>
      <c r="D1999" s="13">
        <v>1569.98236641481</v>
      </c>
      <c r="E1999" s="18">
        <v>21</v>
      </c>
      <c r="F1999" s="2">
        <f t="shared" si="62"/>
        <v>1899.6786633619201</v>
      </c>
      <c r="G1999" s="3">
        <v>0</v>
      </c>
      <c r="H1999" s="4">
        <v>0.7</v>
      </c>
      <c r="I1999" s="28">
        <f t="shared" si="63"/>
        <v>3229.453727715264</v>
      </c>
    </row>
    <row r="2000" spans="1:9" ht="15.75" customHeight="1" x14ac:dyDescent="0.35">
      <c r="A2000" s="26" t="s">
        <v>1518</v>
      </c>
      <c r="B2000" s="25" t="s">
        <v>926</v>
      </c>
      <c r="C2000" s="6" t="s">
        <v>10781</v>
      </c>
      <c r="D2000" s="13">
        <v>1340.924</v>
      </c>
      <c r="E2000" s="18">
        <v>21</v>
      </c>
      <c r="F2000" s="2">
        <f t="shared" si="62"/>
        <v>1622.5180399999999</v>
      </c>
      <c r="G2000" s="3">
        <v>0</v>
      </c>
      <c r="H2000" s="4">
        <v>0.7</v>
      </c>
      <c r="I2000" s="28">
        <f t="shared" si="63"/>
        <v>2758.2806679999999</v>
      </c>
    </row>
    <row r="2001" spans="1:9" ht="15.75" customHeight="1" x14ac:dyDescent="0.35">
      <c r="A2001" s="26" t="s">
        <v>9435</v>
      </c>
      <c r="B2001" s="25" t="s">
        <v>927</v>
      </c>
      <c r="C2001" s="6" t="s">
        <v>10573</v>
      </c>
      <c r="D2001" s="13">
        <v>1340.924</v>
      </c>
      <c r="E2001" s="18">
        <v>21</v>
      </c>
      <c r="F2001" s="2">
        <f t="shared" si="62"/>
        <v>1622.5180399999999</v>
      </c>
      <c r="G2001" s="3">
        <v>0</v>
      </c>
      <c r="H2001" s="4">
        <v>0.7</v>
      </c>
      <c r="I2001" s="28">
        <f t="shared" si="63"/>
        <v>2758.2806679999999</v>
      </c>
    </row>
    <row r="2002" spans="1:9" ht="15.75" customHeight="1" x14ac:dyDescent="0.35">
      <c r="A2002" s="26" t="s">
        <v>1483</v>
      </c>
      <c r="B2002" s="25" t="s">
        <v>928</v>
      </c>
      <c r="C2002" s="6" t="s">
        <v>303</v>
      </c>
      <c r="D2002" s="13">
        <v>1319.5288668650401</v>
      </c>
      <c r="E2002" s="18">
        <v>21</v>
      </c>
      <c r="F2002" s="2">
        <f t="shared" si="62"/>
        <v>1596.6299289066985</v>
      </c>
      <c r="G2002" s="3">
        <v>0</v>
      </c>
      <c r="H2002" s="4">
        <v>0.7</v>
      </c>
      <c r="I2002" s="28">
        <f t="shared" si="63"/>
        <v>2714.2708791413875</v>
      </c>
    </row>
    <row r="2003" spans="1:9" ht="15.75" customHeight="1" x14ac:dyDescent="0.35">
      <c r="A2003" s="26" t="s">
        <v>1486</v>
      </c>
      <c r="B2003" s="25" t="s">
        <v>12875</v>
      </c>
      <c r="C2003" s="6" t="s">
        <v>9520</v>
      </c>
      <c r="D2003" s="13">
        <v>772.78395999999896</v>
      </c>
      <c r="E2003" s="18">
        <v>21</v>
      </c>
      <c r="F2003" s="2">
        <f t="shared" si="62"/>
        <v>935.06859159999874</v>
      </c>
      <c r="G2003" s="3">
        <v>0</v>
      </c>
      <c r="H2003" s="4">
        <v>0.7</v>
      </c>
      <c r="I2003" s="28">
        <f t="shared" si="63"/>
        <v>1589.6166057199978</v>
      </c>
    </row>
    <row r="2004" spans="1:9" ht="15.75" customHeight="1" x14ac:dyDescent="0.35">
      <c r="A2004" s="26" t="s">
        <v>1488</v>
      </c>
      <c r="B2004" s="25" t="s">
        <v>929</v>
      </c>
      <c r="C2004" s="6" t="s">
        <v>9521</v>
      </c>
      <c r="D2004" s="13">
        <v>772.78395999999896</v>
      </c>
      <c r="E2004" s="18">
        <v>21</v>
      </c>
      <c r="F2004" s="2">
        <f t="shared" si="62"/>
        <v>935.06859159999874</v>
      </c>
      <c r="G2004" s="3">
        <v>0</v>
      </c>
      <c r="H2004" s="4">
        <v>0.7</v>
      </c>
      <c r="I2004" s="28">
        <f t="shared" si="63"/>
        <v>1589.6166057199978</v>
      </c>
    </row>
    <row r="2005" spans="1:9" ht="15.75" customHeight="1" x14ac:dyDescent="0.35">
      <c r="A2005" s="26" t="s">
        <v>1484</v>
      </c>
      <c r="B2005" s="25" t="s">
        <v>930</v>
      </c>
      <c r="C2005" s="6" t="s">
        <v>304</v>
      </c>
      <c r="D2005" s="13">
        <v>44.128084000000001</v>
      </c>
      <c r="E2005" s="18">
        <v>21</v>
      </c>
      <c r="F2005" s="2">
        <f t="shared" si="62"/>
        <v>53.394981639999997</v>
      </c>
      <c r="G2005" s="3">
        <v>0</v>
      </c>
      <c r="H2005" s="4">
        <v>0.7</v>
      </c>
      <c r="I2005" s="28">
        <f t="shared" si="63"/>
        <v>90.771468787999993</v>
      </c>
    </row>
    <row r="2006" spans="1:9" ht="15.75" customHeight="1" x14ac:dyDescent="0.35">
      <c r="A2006" s="26" t="s">
        <v>1485</v>
      </c>
      <c r="B2006" s="25" t="s">
        <v>12838</v>
      </c>
      <c r="C2006" s="6" t="s">
        <v>305</v>
      </c>
      <c r="D2006" s="13">
        <v>346.44485488803798</v>
      </c>
      <c r="E2006" s="18">
        <v>21</v>
      </c>
      <c r="F2006" s="2">
        <f t="shared" si="62"/>
        <v>419.19827441452594</v>
      </c>
      <c r="G2006" s="3">
        <v>0</v>
      </c>
      <c r="H2006" s="4">
        <v>0.7</v>
      </c>
      <c r="I2006" s="28">
        <f t="shared" si="63"/>
        <v>712.63706650469408</v>
      </c>
    </row>
    <row r="2007" spans="1:9" ht="15.75" customHeight="1" x14ac:dyDescent="0.35">
      <c r="A2007" s="26" t="s">
        <v>1468</v>
      </c>
      <c r="B2007" s="25" t="s">
        <v>931</v>
      </c>
      <c r="C2007" s="6" t="s">
        <v>10850</v>
      </c>
      <c r="D2007" s="13">
        <v>957.82868333988495</v>
      </c>
      <c r="E2007" s="18">
        <v>21</v>
      </c>
      <c r="F2007" s="2">
        <f t="shared" si="62"/>
        <v>1158.9727068412608</v>
      </c>
      <c r="G2007" s="3">
        <v>0</v>
      </c>
      <c r="H2007" s="4">
        <v>0.7</v>
      </c>
      <c r="I2007" s="28">
        <f t="shared" si="63"/>
        <v>1970.2536016301433</v>
      </c>
    </row>
    <row r="2008" spans="1:9" ht="15.75" customHeight="1" x14ac:dyDescent="0.35">
      <c r="A2008" s="26" t="s">
        <v>1470</v>
      </c>
      <c r="B2008" s="25" t="s">
        <v>12840</v>
      </c>
      <c r="C2008" s="6" t="s">
        <v>10851</v>
      </c>
      <c r="D2008" s="13">
        <v>1432.7075263363199</v>
      </c>
      <c r="E2008" s="18">
        <v>21</v>
      </c>
      <c r="F2008" s="2">
        <f t="shared" si="62"/>
        <v>1733.5761068669472</v>
      </c>
      <c r="G2008" s="3">
        <v>0</v>
      </c>
      <c r="H2008" s="4">
        <v>0.7</v>
      </c>
      <c r="I2008" s="28">
        <f t="shared" si="63"/>
        <v>2947.0793816738101</v>
      </c>
    </row>
    <row r="2009" spans="1:9" ht="15.75" customHeight="1" x14ac:dyDescent="0.35">
      <c r="A2009" s="26" t="s">
        <v>9057</v>
      </c>
      <c r="B2009" s="25" t="s">
        <v>13040</v>
      </c>
      <c r="C2009" s="6" t="s">
        <v>9058</v>
      </c>
      <c r="D2009" s="13">
        <v>768.66660000000002</v>
      </c>
      <c r="E2009" s="18">
        <v>21</v>
      </c>
      <c r="F2009" s="2">
        <f t="shared" si="62"/>
        <v>930.08658600000001</v>
      </c>
      <c r="G2009" s="3">
        <v>0</v>
      </c>
      <c r="H2009" s="4">
        <v>0.7</v>
      </c>
      <c r="I2009" s="28">
        <f t="shared" si="63"/>
        <v>1581.1471962000001</v>
      </c>
    </row>
    <row r="2010" spans="1:9" ht="15.75" customHeight="1" x14ac:dyDescent="0.35">
      <c r="A2010" s="26" t="s">
        <v>1487</v>
      </c>
      <c r="B2010" s="25" t="s">
        <v>12842</v>
      </c>
      <c r="C2010" s="6" t="s">
        <v>306</v>
      </c>
      <c r="D2010" s="13">
        <v>1064.115</v>
      </c>
      <c r="E2010" s="18">
        <v>21</v>
      </c>
      <c r="F2010" s="2">
        <f t="shared" si="62"/>
        <v>1287.57915</v>
      </c>
      <c r="G2010" s="3">
        <v>0</v>
      </c>
      <c r="H2010" s="4">
        <v>0.7</v>
      </c>
      <c r="I2010" s="28">
        <f t="shared" si="63"/>
        <v>2188.8845550000001</v>
      </c>
    </row>
    <row r="2011" spans="1:9" ht="15.75" customHeight="1" x14ac:dyDescent="0.35">
      <c r="A2011" s="26" t="s">
        <v>5734</v>
      </c>
      <c r="B2011" s="25" t="s">
        <v>932</v>
      </c>
      <c r="C2011" s="6" t="s">
        <v>1252</v>
      </c>
      <c r="D2011" s="13">
        <v>1.5301</v>
      </c>
      <c r="E2011" s="18">
        <v>21</v>
      </c>
      <c r="F2011" s="2">
        <f t="shared" si="62"/>
        <v>1.851421</v>
      </c>
      <c r="G2011" s="3">
        <v>0</v>
      </c>
      <c r="H2011" s="4">
        <v>0.7</v>
      </c>
      <c r="I2011" s="28">
        <f t="shared" si="63"/>
        <v>3.1474156999999998</v>
      </c>
    </row>
    <row r="2012" spans="1:9" ht="15.75" customHeight="1" x14ac:dyDescent="0.35">
      <c r="A2012" s="26" t="s">
        <v>5735</v>
      </c>
      <c r="B2012" s="25" t="s">
        <v>12844</v>
      </c>
      <c r="C2012" s="6" t="s">
        <v>1253</v>
      </c>
      <c r="D2012" s="13">
        <v>1.5301</v>
      </c>
      <c r="E2012" s="18">
        <v>21</v>
      </c>
      <c r="F2012" s="2">
        <f t="shared" si="62"/>
        <v>1.851421</v>
      </c>
      <c r="G2012" s="3">
        <v>0</v>
      </c>
      <c r="H2012" s="4">
        <v>0.7</v>
      </c>
      <c r="I2012" s="28">
        <f t="shared" si="63"/>
        <v>3.1474156999999998</v>
      </c>
    </row>
    <row r="2013" spans="1:9" ht="15.75" customHeight="1" x14ac:dyDescent="0.35">
      <c r="A2013" s="26" t="s">
        <v>5736</v>
      </c>
      <c r="B2013" s="25" t="s">
        <v>933</v>
      </c>
      <c r="C2013" s="6" t="s">
        <v>307</v>
      </c>
      <c r="D2013" s="13">
        <v>6174.3778657235998</v>
      </c>
      <c r="E2013" s="18">
        <v>21</v>
      </c>
      <c r="F2013" s="2">
        <f t="shared" si="62"/>
        <v>7470.9972175255552</v>
      </c>
      <c r="G2013" s="3">
        <v>0</v>
      </c>
      <c r="H2013" s="4">
        <v>0.7</v>
      </c>
      <c r="I2013" s="28">
        <f t="shared" si="63"/>
        <v>12700.695269793443</v>
      </c>
    </row>
    <row r="2014" spans="1:9" ht="15.75" customHeight="1" x14ac:dyDescent="0.35">
      <c r="A2014" s="26" t="s">
        <v>5737</v>
      </c>
      <c r="B2014" s="25" t="s">
        <v>12846</v>
      </c>
      <c r="C2014" s="6" t="s">
        <v>10655</v>
      </c>
      <c r="D2014" s="13">
        <v>4733.4589379999998</v>
      </c>
      <c r="E2014" s="18">
        <v>21</v>
      </c>
      <c r="F2014" s="2">
        <f t="shared" si="62"/>
        <v>5727.4853149800001</v>
      </c>
      <c r="G2014" s="3">
        <v>0</v>
      </c>
      <c r="H2014" s="4">
        <v>0.7</v>
      </c>
      <c r="I2014" s="28">
        <f t="shared" si="63"/>
        <v>9736.7250354659991</v>
      </c>
    </row>
    <row r="2015" spans="1:9" ht="15.75" customHeight="1" x14ac:dyDescent="0.35">
      <c r="A2015" s="26" t="s">
        <v>5738</v>
      </c>
      <c r="B2015" s="25" t="s">
        <v>934</v>
      </c>
      <c r="C2015" s="6" t="s">
        <v>10656</v>
      </c>
      <c r="D2015" s="13">
        <v>4262.7195000000002</v>
      </c>
      <c r="E2015" s="18">
        <v>21</v>
      </c>
      <c r="F2015" s="2">
        <f t="shared" si="62"/>
        <v>5157.8905949999998</v>
      </c>
      <c r="G2015" s="3">
        <v>0</v>
      </c>
      <c r="H2015" s="4">
        <v>0.7</v>
      </c>
      <c r="I2015" s="28">
        <f t="shared" si="63"/>
        <v>8768.4140114999991</v>
      </c>
    </row>
    <row r="2016" spans="1:9" ht="15.75" customHeight="1" x14ac:dyDescent="0.35">
      <c r="A2016" s="26" t="s">
        <v>5739</v>
      </c>
      <c r="B2016" s="25" t="s">
        <v>12848</v>
      </c>
      <c r="C2016" s="6" t="s">
        <v>308</v>
      </c>
      <c r="D2016" s="13">
        <v>78.432925999999995</v>
      </c>
      <c r="E2016" s="18">
        <v>21</v>
      </c>
      <c r="F2016" s="2">
        <f t="shared" si="62"/>
        <v>94.903840459999998</v>
      </c>
      <c r="G2016" s="3">
        <v>0</v>
      </c>
      <c r="H2016" s="4">
        <v>0.7</v>
      </c>
      <c r="I2016" s="28">
        <f t="shared" si="63"/>
        <v>161.33652878199999</v>
      </c>
    </row>
    <row r="2017" spans="1:9" ht="15.75" customHeight="1" x14ac:dyDescent="0.35">
      <c r="A2017" s="26" t="s">
        <v>5740</v>
      </c>
      <c r="B2017" s="25" t="s">
        <v>935</v>
      </c>
      <c r="C2017" s="6" t="s">
        <v>309</v>
      </c>
      <c r="D2017" s="13">
        <v>57.853081000000003</v>
      </c>
      <c r="E2017" s="18">
        <v>21</v>
      </c>
      <c r="F2017" s="2">
        <f t="shared" si="62"/>
        <v>70.00222801000001</v>
      </c>
      <c r="G2017" s="3">
        <v>0</v>
      </c>
      <c r="H2017" s="4">
        <v>0.7</v>
      </c>
      <c r="I2017" s="28">
        <f t="shared" si="63"/>
        <v>119.00378761700001</v>
      </c>
    </row>
    <row r="2018" spans="1:9" ht="15.75" customHeight="1" x14ac:dyDescent="0.35">
      <c r="A2018" s="26" t="s">
        <v>5741</v>
      </c>
      <c r="B2018" s="25" t="s">
        <v>936</v>
      </c>
      <c r="C2018" s="6" t="s">
        <v>310</v>
      </c>
      <c r="D2018" s="13">
        <v>5336.0808481187996</v>
      </c>
      <c r="E2018" s="18">
        <v>21</v>
      </c>
      <c r="F2018" s="2">
        <f t="shared" si="62"/>
        <v>6456.6578262237472</v>
      </c>
      <c r="G2018" s="3">
        <v>0</v>
      </c>
      <c r="H2018" s="4">
        <v>0.7</v>
      </c>
      <c r="I2018" s="28">
        <f t="shared" si="63"/>
        <v>10976.318304580371</v>
      </c>
    </row>
    <row r="2019" spans="1:9" ht="15.75" customHeight="1" x14ac:dyDescent="0.35">
      <c r="A2019" s="26" t="s">
        <v>5742</v>
      </c>
      <c r="B2019" s="25" t="s">
        <v>937</v>
      </c>
      <c r="C2019" s="6" t="s">
        <v>1254</v>
      </c>
      <c r="D2019" s="13">
        <v>1.5301</v>
      </c>
      <c r="E2019" s="18">
        <v>21</v>
      </c>
      <c r="F2019" s="2">
        <f t="shared" si="62"/>
        <v>1.851421</v>
      </c>
      <c r="G2019" s="3">
        <v>0</v>
      </c>
      <c r="H2019" s="4">
        <v>0.7</v>
      </c>
      <c r="I2019" s="28">
        <f t="shared" si="63"/>
        <v>3.1474156999999998</v>
      </c>
    </row>
    <row r="2020" spans="1:9" ht="15.75" customHeight="1" x14ac:dyDescent="0.35">
      <c r="A2020" s="26" t="s">
        <v>5743</v>
      </c>
      <c r="B2020" s="25" t="s">
        <v>12985</v>
      </c>
      <c r="C2020" s="6" t="s">
        <v>1255</v>
      </c>
      <c r="D2020" s="13">
        <v>1.5301</v>
      </c>
      <c r="E2020" s="18">
        <v>21</v>
      </c>
      <c r="F2020" s="2">
        <f t="shared" si="62"/>
        <v>1.851421</v>
      </c>
      <c r="G2020" s="3">
        <v>0</v>
      </c>
      <c r="H2020" s="4">
        <v>0.7</v>
      </c>
      <c r="I2020" s="28">
        <f t="shared" si="63"/>
        <v>3.1474156999999998</v>
      </c>
    </row>
    <row r="2021" spans="1:9" ht="15.75" customHeight="1" x14ac:dyDescent="0.35">
      <c r="A2021" s="26" t="s">
        <v>5744</v>
      </c>
      <c r="B2021" s="25" t="s">
        <v>938</v>
      </c>
      <c r="C2021" s="6" t="s">
        <v>311</v>
      </c>
      <c r="D2021" s="13">
        <v>9436.5698970815993</v>
      </c>
      <c r="E2021" s="18">
        <v>21</v>
      </c>
      <c r="F2021" s="2">
        <f t="shared" si="62"/>
        <v>11418.249575468735</v>
      </c>
      <c r="G2021" s="3">
        <v>0</v>
      </c>
      <c r="H2021" s="4">
        <v>0.7</v>
      </c>
      <c r="I2021" s="28">
        <f t="shared" si="63"/>
        <v>19411.024278296849</v>
      </c>
    </row>
    <row r="2022" spans="1:9" ht="15.75" customHeight="1" x14ac:dyDescent="0.35">
      <c r="A2022" s="26" t="s">
        <v>5745</v>
      </c>
      <c r="B2022" s="25" t="s">
        <v>10983</v>
      </c>
      <c r="C2022" s="6" t="s">
        <v>10657</v>
      </c>
      <c r="D2022" s="13">
        <v>6865.9704359999996</v>
      </c>
      <c r="E2022" s="18">
        <v>21</v>
      </c>
      <c r="F2022" s="2">
        <f t="shared" si="62"/>
        <v>8307.8242275599987</v>
      </c>
      <c r="G2022" s="3">
        <v>0</v>
      </c>
      <c r="H2022" s="4">
        <v>0.7</v>
      </c>
      <c r="I2022" s="28">
        <f t="shared" si="63"/>
        <v>14123.301186851997</v>
      </c>
    </row>
    <row r="2023" spans="1:9" ht="15.75" customHeight="1" x14ac:dyDescent="0.35">
      <c r="A2023" s="26" t="s">
        <v>5746</v>
      </c>
      <c r="B2023" s="25" t="s">
        <v>1194</v>
      </c>
      <c r="C2023" s="6" t="s">
        <v>10658</v>
      </c>
      <c r="D2023" s="13">
        <v>6003.4113360000001</v>
      </c>
      <c r="E2023" s="18">
        <v>21</v>
      </c>
      <c r="F2023" s="2">
        <f t="shared" si="62"/>
        <v>7264.1277165600004</v>
      </c>
      <c r="G2023" s="3">
        <v>0</v>
      </c>
      <c r="H2023" s="4">
        <v>0.7</v>
      </c>
      <c r="I2023" s="28">
        <f t="shared" si="63"/>
        <v>12349.017118152</v>
      </c>
    </row>
    <row r="2024" spans="1:9" ht="15.75" customHeight="1" x14ac:dyDescent="0.35">
      <c r="A2024" s="26" t="s">
        <v>5747</v>
      </c>
      <c r="B2024" s="25" t="s">
        <v>11441</v>
      </c>
      <c r="C2024" s="6" t="s">
        <v>312</v>
      </c>
      <c r="D2024" s="13">
        <v>8197.7095522763993</v>
      </c>
      <c r="E2024" s="18">
        <v>21</v>
      </c>
      <c r="F2024" s="2">
        <f t="shared" si="62"/>
        <v>9919.2285582544428</v>
      </c>
      <c r="G2024" s="3">
        <v>0</v>
      </c>
      <c r="H2024" s="4">
        <v>0.7</v>
      </c>
      <c r="I2024" s="28">
        <f t="shared" si="63"/>
        <v>16862.688549032551</v>
      </c>
    </row>
    <row r="2025" spans="1:9" ht="15.75" customHeight="1" x14ac:dyDescent="0.35">
      <c r="A2025" s="26" t="s">
        <v>5748</v>
      </c>
      <c r="B2025" s="25" t="s">
        <v>11442</v>
      </c>
      <c r="C2025" s="6" t="s">
        <v>1256</v>
      </c>
      <c r="D2025" s="13">
        <v>1.5301</v>
      </c>
      <c r="E2025" s="18">
        <v>21</v>
      </c>
      <c r="F2025" s="2">
        <f t="shared" si="62"/>
        <v>1.851421</v>
      </c>
      <c r="G2025" s="3">
        <v>0</v>
      </c>
      <c r="H2025" s="4">
        <v>0.7</v>
      </c>
      <c r="I2025" s="28">
        <f t="shared" si="63"/>
        <v>3.1474156999999998</v>
      </c>
    </row>
    <row r="2026" spans="1:9" ht="15.75" customHeight="1" x14ac:dyDescent="0.35">
      <c r="A2026" s="26" t="s">
        <v>5749</v>
      </c>
      <c r="B2026" s="25" t="s">
        <v>284</v>
      </c>
      <c r="C2026" s="6" t="s">
        <v>1257</v>
      </c>
      <c r="D2026" s="13">
        <v>1.5301</v>
      </c>
      <c r="E2026" s="18">
        <v>21</v>
      </c>
      <c r="F2026" s="2">
        <f t="shared" si="62"/>
        <v>1.851421</v>
      </c>
      <c r="G2026" s="3">
        <v>0</v>
      </c>
      <c r="H2026" s="4">
        <v>0.7</v>
      </c>
      <c r="I2026" s="28">
        <f t="shared" si="63"/>
        <v>3.1474156999999998</v>
      </c>
    </row>
    <row r="2027" spans="1:9" ht="15.75" customHeight="1" x14ac:dyDescent="0.35">
      <c r="A2027" s="26" t="s">
        <v>5750</v>
      </c>
      <c r="B2027" s="25" t="s">
        <v>13213</v>
      </c>
      <c r="C2027" s="6" t="s">
        <v>313</v>
      </c>
      <c r="D2027" s="13">
        <v>7071.3116409311997</v>
      </c>
      <c r="E2027" s="18">
        <v>21</v>
      </c>
      <c r="F2027" s="2">
        <f t="shared" si="62"/>
        <v>8556.287085526752</v>
      </c>
      <c r="G2027" s="3">
        <v>0</v>
      </c>
      <c r="H2027" s="4">
        <v>0.7</v>
      </c>
      <c r="I2027" s="28">
        <f t="shared" si="63"/>
        <v>14545.688045395478</v>
      </c>
    </row>
    <row r="2028" spans="1:9" ht="15.75" customHeight="1" x14ac:dyDescent="0.35">
      <c r="A2028" s="26" t="s">
        <v>5751</v>
      </c>
      <c r="B2028" s="25" t="s">
        <v>285</v>
      </c>
      <c r="C2028" s="6" t="s">
        <v>10659</v>
      </c>
      <c r="D2028" s="13">
        <v>6354.6444000000001</v>
      </c>
      <c r="E2028" s="18">
        <v>21</v>
      </c>
      <c r="F2028" s="2">
        <f t="shared" si="62"/>
        <v>7689.1197240000001</v>
      </c>
      <c r="G2028" s="3">
        <v>0</v>
      </c>
      <c r="H2028" s="4">
        <v>0.7</v>
      </c>
      <c r="I2028" s="28">
        <f t="shared" si="63"/>
        <v>13071.503530800001</v>
      </c>
    </row>
    <row r="2029" spans="1:9" ht="15.75" customHeight="1" x14ac:dyDescent="0.35">
      <c r="A2029" s="26" t="s">
        <v>5752</v>
      </c>
      <c r="B2029" s="25" t="s">
        <v>11760</v>
      </c>
      <c r="C2029" s="6" t="s">
        <v>10660</v>
      </c>
      <c r="D2029" s="13">
        <v>4854.2172119999996</v>
      </c>
      <c r="E2029" s="18">
        <v>21</v>
      </c>
      <c r="F2029" s="2">
        <f t="shared" si="62"/>
        <v>5873.6028265199993</v>
      </c>
      <c r="G2029" s="3">
        <v>0</v>
      </c>
      <c r="H2029" s="4">
        <v>0.7</v>
      </c>
      <c r="I2029" s="28">
        <f t="shared" si="63"/>
        <v>9985.1248050839986</v>
      </c>
    </row>
    <row r="2030" spans="1:9" ht="15.75" customHeight="1" x14ac:dyDescent="0.35">
      <c r="A2030" s="26" t="s">
        <v>5753</v>
      </c>
      <c r="B2030" s="25" t="s">
        <v>11761</v>
      </c>
      <c r="C2030" s="6" t="s">
        <v>314</v>
      </c>
      <c r="D2030" s="13">
        <v>88.485682999999995</v>
      </c>
      <c r="E2030" s="18">
        <v>21</v>
      </c>
      <c r="F2030" s="2">
        <f t="shared" si="62"/>
        <v>107.06767642999999</v>
      </c>
      <c r="G2030" s="3">
        <v>0</v>
      </c>
      <c r="H2030" s="4">
        <v>0.7</v>
      </c>
      <c r="I2030" s="28">
        <f t="shared" si="63"/>
        <v>182.01504993099999</v>
      </c>
    </row>
    <row r="2031" spans="1:9" ht="15.75" customHeight="1" x14ac:dyDescent="0.35">
      <c r="A2031" s="26" t="s">
        <v>5754</v>
      </c>
      <c r="B2031" s="25" t="s">
        <v>11762</v>
      </c>
      <c r="C2031" s="6" t="s">
        <v>315</v>
      </c>
      <c r="D2031" s="13">
        <v>70.415201999999994</v>
      </c>
      <c r="E2031" s="18">
        <v>21</v>
      </c>
      <c r="F2031" s="2">
        <f t="shared" si="62"/>
        <v>85.20239441999999</v>
      </c>
      <c r="G2031" s="3">
        <v>0</v>
      </c>
      <c r="H2031" s="4">
        <v>0.7</v>
      </c>
      <c r="I2031" s="28">
        <f t="shared" si="63"/>
        <v>144.84407051399998</v>
      </c>
    </row>
    <row r="2032" spans="1:9" ht="15.75" customHeight="1" x14ac:dyDescent="0.35">
      <c r="A2032" s="26" t="s">
        <v>5755</v>
      </c>
      <c r="B2032" s="25" t="s">
        <v>12099</v>
      </c>
      <c r="C2032" s="6" t="s">
        <v>316</v>
      </c>
      <c r="D2032" s="13">
        <v>6299.2213598340004</v>
      </c>
      <c r="E2032" s="18">
        <v>21</v>
      </c>
      <c r="F2032" s="2">
        <f t="shared" si="62"/>
        <v>7622.0578453991402</v>
      </c>
      <c r="G2032" s="3">
        <v>0</v>
      </c>
      <c r="H2032" s="4">
        <v>0.7</v>
      </c>
      <c r="I2032" s="28">
        <f t="shared" si="63"/>
        <v>12957.498337178538</v>
      </c>
    </row>
    <row r="2033" spans="1:9" ht="15.75" customHeight="1" x14ac:dyDescent="0.35">
      <c r="A2033" s="26" t="s">
        <v>5757</v>
      </c>
      <c r="B2033" s="25" t="s">
        <v>8838</v>
      </c>
      <c r="C2033" s="6" t="s">
        <v>1258</v>
      </c>
      <c r="D2033" s="13">
        <v>1.5301</v>
      </c>
      <c r="E2033" s="18">
        <v>21</v>
      </c>
      <c r="F2033" s="2">
        <f t="shared" si="62"/>
        <v>1.851421</v>
      </c>
      <c r="G2033" s="3">
        <v>0</v>
      </c>
      <c r="H2033" s="4">
        <v>0.7</v>
      </c>
      <c r="I2033" s="28">
        <f t="shared" si="63"/>
        <v>3.1474156999999998</v>
      </c>
    </row>
    <row r="2034" spans="1:9" ht="15.75" customHeight="1" x14ac:dyDescent="0.35">
      <c r="A2034" s="26" t="s">
        <v>5758</v>
      </c>
      <c r="B2034" s="25" t="s">
        <v>11763</v>
      </c>
      <c r="C2034" s="6" t="s">
        <v>1259</v>
      </c>
      <c r="D2034" s="13">
        <v>1.5301</v>
      </c>
      <c r="E2034" s="18">
        <v>21</v>
      </c>
      <c r="F2034" s="2">
        <f t="shared" si="62"/>
        <v>1.851421</v>
      </c>
      <c r="G2034" s="3">
        <v>0</v>
      </c>
      <c r="H2034" s="4">
        <v>0.7</v>
      </c>
      <c r="I2034" s="28">
        <f t="shared" si="63"/>
        <v>3.1474156999999998</v>
      </c>
    </row>
    <row r="2035" spans="1:9" ht="15.75" customHeight="1" x14ac:dyDescent="0.35">
      <c r="A2035" s="26" t="s">
        <v>5759</v>
      </c>
      <c r="B2035" s="25" t="s">
        <v>11764</v>
      </c>
      <c r="C2035" s="6" t="s">
        <v>317</v>
      </c>
      <c r="D2035" s="13">
        <v>11356.300238587201</v>
      </c>
      <c r="E2035" s="18">
        <v>21</v>
      </c>
      <c r="F2035" s="2">
        <f t="shared" si="62"/>
        <v>13741.123288690513</v>
      </c>
      <c r="G2035" s="3">
        <v>0</v>
      </c>
      <c r="H2035" s="4">
        <v>0.7</v>
      </c>
      <c r="I2035" s="28">
        <f t="shared" si="63"/>
        <v>23359.90959077387</v>
      </c>
    </row>
    <row r="2036" spans="1:9" ht="15.75" customHeight="1" x14ac:dyDescent="0.35">
      <c r="A2036" s="26" t="s">
        <v>5760</v>
      </c>
      <c r="B2036" s="25" t="s">
        <v>11765</v>
      </c>
      <c r="C2036" s="6" t="s">
        <v>10661</v>
      </c>
      <c r="D2036" s="13">
        <v>9965.1239999999998</v>
      </c>
      <c r="E2036" s="18">
        <v>21</v>
      </c>
      <c r="F2036" s="2">
        <f t="shared" si="62"/>
        <v>12057.80004</v>
      </c>
      <c r="G2036" s="3">
        <v>0</v>
      </c>
      <c r="H2036" s="4">
        <v>0.7</v>
      </c>
      <c r="I2036" s="28">
        <f t="shared" si="63"/>
        <v>20498.260068</v>
      </c>
    </row>
    <row r="2037" spans="1:9" ht="15.75" customHeight="1" x14ac:dyDescent="0.35">
      <c r="A2037" s="26" t="s">
        <v>5761</v>
      </c>
      <c r="B2037" s="25" t="s">
        <v>286</v>
      </c>
      <c r="C2037" s="6" t="s">
        <v>10662</v>
      </c>
      <c r="D2037" s="13">
        <v>8794.5974999999999</v>
      </c>
      <c r="E2037" s="18">
        <v>21</v>
      </c>
      <c r="F2037" s="2">
        <f t="shared" si="62"/>
        <v>10641.462975</v>
      </c>
      <c r="G2037" s="3">
        <v>0</v>
      </c>
      <c r="H2037" s="4">
        <v>0.7</v>
      </c>
      <c r="I2037" s="28">
        <f t="shared" si="63"/>
        <v>18090.487057499999</v>
      </c>
    </row>
    <row r="2038" spans="1:9" ht="15.75" customHeight="1" x14ac:dyDescent="0.35">
      <c r="A2038" s="26" t="s">
        <v>5762</v>
      </c>
      <c r="B2038" s="25" t="s">
        <v>10057</v>
      </c>
      <c r="C2038" s="6" t="s">
        <v>318</v>
      </c>
      <c r="D2038" s="13">
        <v>123.02003999999999</v>
      </c>
      <c r="E2038" s="18">
        <v>21</v>
      </c>
      <c r="F2038" s="2">
        <f t="shared" si="62"/>
        <v>148.85424839999999</v>
      </c>
      <c r="G2038" s="3">
        <v>0</v>
      </c>
      <c r="H2038" s="4">
        <v>0.7</v>
      </c>
      <c r="I2038" s="28">
        <f t="shared" si="63"/>
        <v>253.05222227999997</v>
      </c>
    </row>
    <row r="2039" spans="1:9" ht="15.75" customHeight="1" x14ac:dyDescent="0.35">
      <c r="A2039" s="26" t="s">
        <v>5763</v>
      </c>
      <c r="B2039" s="25" t="s">
        <v>10058</v>
      </c>
      <c r="C2039" s="6" t="s">
        <v>319</v>
      </c>
      <c r="D2039" s="13">
        <v>106.265445</v>
      </c>
      <c r="E2039" s="18">
        <v>21</v>
      </c>
      <c r="F2039" s="2">
        <f t="shared" si="62"/>
        <v>128.58118845000001</v>
      </c>
      <c r="G2039" s="3">
        <v>0</v>
      </c>
      <c r="H2039" s="4">
        <v>0.7</v>
      </c>
      <c r="I2039" s="28">
        <f t="shared" si="63"/>
        <v>218.58802036500001</v>
      </c>
    </row>
    <row r="2040" spans="1:9" ht="15.75" customHeight="1" x14ac:dyDescent="0.35">
      <c r="A2040" s="26" t="s">
        <v>5764</v>
      </c>
      <c r="B2040" s="25" t="s">
        <v>11590</v>
      </c>
      <c r="C2040" s="6" t="s">
        <v>320</v>
      </c>
      <c r="D2040" s="13">
        <v>10563.110510004</v>
      </c>
      <c r="E2040" s="18">
        <v>21</v>
      </c>
      <c r="F2040" s="2">
        <f t="shared" si="62"/>
        <v>12781.363717104839</v>
      </c>
      <c r="G2040" s="3">
        <v>0</v>
      </c>
      <c r="H2040" s="4">
        <v>0.7</v>
      </c>
      <c r="I2040" s="28">
        <f t="shared" si="63"/>
        <v>21728.318319078226</v>
      </c>
    </row>
    <row r="2041" spans="1:9" ht="15.75" customHeight="1" x14ac:dyDescent="0.35">
      <c r="A2041" s="26" t="s">
        <v>1490</v>
      </c>
      <c r="B2041" s="25" t="s">
        <v>1173</v>
      </c>
      <c r="C2041" s="6" t="s">
        <v>321</v>
      </c>
      <c r="D2041" s="13">
        <v>528.03751</v>
      </c>
      <c r="E2041" s="18">
        <v>21</v>
      </c>
      <c r="F2041" s="2">
        <f t="shared" si="62"/>
        <v>638.92538709999997</v>
      </c>
      <c r="G2041" s="3">
        <v>0</v>
      </c>
      <c r="H2041" s="4">
        <v>0.7</v>
      </c>
      <c r="I2041" s="28">
        <f t="shared" si="63"/>
        <v>1086.17315807</v>
      </c>
    </row>
    <row r="2042" spans="1:9" ht="15.75" customHeight="1" x14ac:dyDescent="0.35">
      <c r="A2042" s="26" t="s">
        <v>1491</v>
      </c>
      <c r="B2042" s="25" t="s">
        <v>1174</v>
      </c>
      <c r="C2042" s="6" t="s">
        <v>322</v>
      </c>
      <c r="D2042" s="13">
        <v>990.37809000000004</v>
      </c>
      <c r="E2042" s="18">
        <v>21</v>
      </c>
      <c r="F2042" s="2">
        <f t="shared" si="62"/>
        <v>1198.3574889000001</v>
      </c>
      <c r="G2042" s="3">
        <v>0</v>
      </c>
      <c r="H2042" s="4">
        <v>0.7</v>
      </c>
      <c r="I2042" s="28">
        <f t="shared" si="63"/>
        <v>2037.2077311300002</v>
      </c>
    </row>
    <row r="2043" spans="1:9" ht="15.75" customHeight="1" x14ac:dyDescent="0.35">
      <c r="A2043" s="26" t="s">
        <v>1472</v>
      </c>
      <c r="B2043" s="25" t="s">
        <v>11592</v>
      </c>
      <c r="C2043" s="6" t="s">
        <v>9331</v>
      </c>
      <c r="D2043" s="13">
        <v>4917.4080112403999</v>
      </c>
      <c r="E2043" s="18">
        <v>21</v>
      </c>
      <c r="F2043" s="2">
        <f t="shared" si="62"/>
        <v>5950.0636936008841</v>
      </c>
      <c r="G2043" s="3">
        <v>0</v>
      </c>
      <c r="H2043" s="4">
        <v>0.7</v>
      </c>
      <c r="I2043" s="28">
        <f t="shared" si="63"/>
        <v>10115.108279121503</v>
      </c>
    </row>
    <row r="2044" spans="1:9" ht="15.75" customHeight="1" x14ac:dyDescent="0.35">
      <c r="A2044" s="26" t="s">
        <v>1499</v>
      </c>
      <c r="B2044" s="25" t="s">
        <v>12059</v>
      </c>
      <c r="C2044" s="6" t="s">
        <v>10663</v>
      </c>
      <c r="D2044" s="13">
        <v>1958.5391279999999</v>
      </c>
      <c r="E2044" s="18">
        <v>21</v>
      </c>
      <c r="F2044" s="2">
        <f t="shared" si="62"/>
        <v>2369.8323448799997</v>
      </c>
      <c r="G2044" s="3">
        <v>0</v>
      </c>
      <c r="H2044" s="4">
        <v>0.7</v>
      </c>
      <c r="I2044" s="28">
        <f t="shared" si="63"/>
        <v>4028.7149862959996</v>
      </c>
    </row>
    <row r="2045" spans="1:9" ht="15.75" customHeight="1" x14ac:dyDescent="0.35">
      <c r="A2045" s="26" t="s">
        <v>11856</v>
      </c>
      <c r="B2045" s="25" t="s">
        <v>13143</v>
      </c>
      <c r="C2045" s="6" t="s">
        <v>11857</v>
      </c>
      <c r="D2045" s="13">
        <v>1646.473641696</v>
      </c>
      <c r="E2045" s="18">
        <v>21</v>
      </c>
      <c r="F2045" s="2">
        <f t="shared" si="62"/>
        <v>1992.23310645216</v>
      </c>
      <c r="G2045" s="3">
        <v>0</v>
      </c>
      <c r="H2045" s="4">
        <v>0.7</v>
      </c>
      <c r="I2045" s="28">
        <f t="shared" si="63"/>
        <v>3386.7962809686719</v>
      </c>
    </row>
    <row r="2046" spans="1:9" ht="15.75" customHeight="1" x14ac:dyDescent="0.35">
      <c r="A2046" s="26" t="s">
        <v>12242</v>
      </c>
      <c r="B2046" s="25" t="s">
        <v>12973</v>
      </c>
      <c r="C2046" s="6" t="s">
        <v>12243</v>
      </c>
      <c r="D2046" s="13">
        <v>473.030415</v>
      </c>
      <c r="E2046" s="18">
        <v>21</v>
      </c>
      <c r="F2046" s="2">
        <f t="shared" si="62"/>
        <v>572.36680215000001</v>
      </c>
      <c r="G2046" s="3">
        <v>0</v>
      </c>
      <c r="H2046" s="4">
        <v>0.7</v>
      </c>
      <c r="I2046" s="28">
        <f t="shared" si="63"/>
        <v>973.02356365499998</v>
      </c>
    </row>
    <row r="2047" spans="1:9" ht="15.75" customHeight="1" x14ac:dyDescent="0.35">
      <c r="A2047" s="26" t="s">
        <v>1492</v>
      </c>
      <c r="B2047" s="25" t="s">
        <v>11375</v>
      </c>
      <c r="C2047" s="6" t="s">
        <v>323</v>
      </c>
      <c r="D2047" s="13">
        <v>4052.7655643592002</v>
      </c>
      <c r="E2047" s="18">
        <v>21</v>
      </c>
      <c r="F2047" s="2">
        <f t="shared" si="62"/>
        <v>4903.846332874632</v>
      </c>
      <c r="G2047" s="3">
        <v>0</v>
      </c>
      <c r="H2047" s="4">
        <v>0.7</v>
      </c>
      <c r="I2047" s="28">
        <f t="shared" si="63"/>
        <v>8336.5387658868749</v>
      </c>
    </row>
    <row r="2048" spans="1:9" ht="15.75" customHeight="1" x14ac:dyDescent="0.35">
      <c r="A2048" s="26" t="s">
        <v>1493</v>
      </c>
      <c r="B2048" s="25" t="s">
        <v>13145</v>
      </c>
      <c r="C2048" s="6" t="s">
        <v>10664</v>
      </c>
      <c r="D2048" s="13">
        <v>1464.4705335000001</v>
      </c>
      <c r="E2048" s="18">
        <v>21</v>
      </c>
      <c r="F2048" s="2">
        <f t="shared" si="62"/>
        <v>1772.0093455350002</v>
      </c>
      <c r="G2048" s="3">
        <v>0</v>
      </c>
      <c r="H2048" s="4">
        <v>0.7</v>
      </c>
      <c r="I2048" s="28">
        <f t="shared" si="63"/>
        <v>3012.4158874095001</v>
      </c>
    </row>
    <row r="2049" spans="1:9" ht="15.75" customHeight="1" x14ac:dyDescent="0.35">
      <c r="A2049" s="26" t="s">
        <v>1494</v>
      </c>
      <c r="B2049" s="25" t="s">
        <v>13147</v>
      </c>
      <c r="C2049" s="6" t="s">
        <v>324</v>
      </c>
      <c r="D2049" s="13">
        <v>3081.1241158307998</v>
      </c>
      <c r="E2049" s="18">
        <v>21</v>
      </c>
      <c r="F2049" s="2">
        <f t="shared" si="62"/>
        <v>3728.1601801552679</v>
      </c>
      <c r="G2049" s="3">
        <v>0</v>
      </c>
      <c r="H2049" s="4">
        <v>0.7</v>
      </c>
      <c r="I2049" s="28">
        <f t="shared" si="63"/>
        <v>6337.8723062639556</v>
      </c>
    </row>
    <row r="2050" spans="1:9" ht="15.75" customHeight="1" x14ac:dyDescent="0.35">
      <c r="A2050" s="26" t="s">
        <v>1495</v>
      </c>
      <c r="B2050" s="25" t="s">
        <v>287</v>
      </c>
      <c r="C2050" s="6" t="s">
        <v>10665</v>
      </c>
      <c r="D2050" s="13">
        <v>1526.1148067414599</v>
      </c>
      <c r="E2050" s="18">
        <v>21</v>
      </c>
      <c r="F2050" s="2">
        <f t="shared" si="62"/>
        <v>1846.5989161571665</v>
      </c>
      <c r="G2050" s="3">
        <v>0</v>
      </c>
      <c r="H2050" s="4">
        <v>0.7</v>
      </c>
      <c r="I2050" s="28">
        <f t="shared" si="63"/>
        <v>3139.2181574671831</v>
      </c>
    </row>
    <row r="2051" spans="1:9" ht="15.75" customHeight="1" x14ac:dyDescent="0.35">
      <c r="A2051" s="26" t="s">
        <v>5648</v>
      </c>
      <c r="B2051" s="25" t="s">
        <v>288</v>
      </c>
      <c r="C2051" s="6" t="s">
        <v>10180</v>
      </c>
      <c r="D2051" s="13">
        <v>116.80227000000001</v>
      </c>
      <c r="E2051" s="18">
        <v>21</v>
      </c>
      <c r="F2051" s="2">
        <f t="shared" si="62"/>
        <v>141.33074670000002</v>
      </c>
      <c r="G2051" s="3">
        <v>0</v>
      </c>
      <c r="H2051" s="4">
        <v>0.7</v>
      </c>
      <c r="I2051" s="28">
        <f t="shared" si="63"/>
        <v>240.26226939000003</v>
      </c>
    </row>
    <row r="2052" spans="1:9" ht="15.75" customHeight="1" x14ac:dyDescent="0.35">
      <c r="A2052" s="26" t="s">
        <v>5647</v>
      </c>
      <c r="B2052" s="25" t="s">
        <v>289</v>
      </c>
      <c r="C2052" s="6" t="s">
        <v>10181</v>
      </c>
      <c r="D2052" s="13">
        <v>175.203405</v>
      </c>
      <c r="E2052" s="18">
        <v>21</v>
      </c>
      <c r="F2052" s="2">
        <f t="shared" si="62"/>
        <v>211.99612005</v>
      </c>
      <c r="G2052" s="3">
        <v>0</v>
      </c>
      <c r="H2052" s="4">
        <v>0.7</v>
      </c>
      <c r="I2052" s="28">
        <f t="shared" si="63"/>
        <v>360.39340408499999</v>
      </c>
    </row>
    <row r="2053" spans="1:9" ht="15.75" customHeight="1" x14ac:dyDescent="0.35">
      <c r="A2053" s="26" t="s">
        <v>1505</v>
      </c>
      <c r="B2053" s="25" t="s">
        <v>290</v>
      </c>
      <c r="C2053" s="6" t="s">
        <v>11988</v>
      </c>
      <c r="D2053" s="13">
        <v>892.82795550000003</v>
      </c>
      <c r="E2053" s="18">
        <v>21</v>
      </c>
      <c r="F2053" s="2">
        <f t="shared" si="62"/>
        <v>1080.3218261550001</v>
      </c>
      <c r="G2053" s="3">
        <v>0</v>
      </c>
      <c r="H2053" s="4">
        <v>0.7</v>
      </c>
      <c r="I2053" s="28">
        <f t="shared" si="63"/>
        <v>1836.5471044635001</v>
      </c>
    </row>
    <row r="2054" spans="1:9" ht="15.75" customHeight="1" x14ac:dyDescent="0.35">
      <c r="A2054" s="26" t="s">
        <v>1496</v>
      </c>
      <c r="B2054" s="25" t="s">
        <v>291</v>
      </c>
      <c r="C2054" s="6" t="s">
        <v>325</v>
      </c>
      <c r="D2054" s="13">
        <v>1194.0085595599201</v>
      </c>
      <c r="E2054" s="18">
        <v>21</v>
      </c>
      <c r="F2054" s="2">
        <f t="shared" ref="F2054:F2117" si="64">D2054*E2054/100+D2054</f>
        <v>1444.7503570675033</v>
      </c>
      <c r="G2054" s="3">
        <v>0</v>
      </c>
      <c r="H2054" s="4">
        <v>0.7</v>
      </c>
      <c r="I2054" s="28">
        <f t="shared" ref="I2054:I2117" si="65">IF(G2054=-1,0,F2054*((100-G2054)/100)*(1+H2054))</f>
        <v>2456.0756070147554</v>
      </c>
    </row>
    <row r="2055" spans="1:9" ht="15.75" customHeight="1" x14ac:dyDescent="0.35">
      <c r="A2055" s="26" t="s">
        <v>10867</v>
      </c>
      <c r="B2055" s="25" t="s">
        <v>292</v>
      </c>
      <c r="C2055" s="6" t="s">
        <v>11456</v>
      </c>
      <c r="D2055" s="13">
        <v>1487.0217852126</v>
      </c>
      <c r="E2055" s="18">
        <v>21</v>
      </c>
      <c r="F2055" s="2">
        <f t="shared" si="64"/>
        <v>1799.2963601072461</v>
      </c>
      <c r="G2055" s="3">
        <v>0</v>
      </c>
      <c r="H2055" s="4">
        <v>0.7</v>
      </c>
      <c r="I2055" s="28">
        <f t="shared" si="65"/>
        <v>3058.8038121823183</v>
      </c>
    </row>
    <row r="2056" spans="1:9" ht="15.75" customHeight="1" x14ac:dyDescent="0.35">
      <c r="A2056" s="26" t="s">
        <v>1498</v>
      </c>
      <c r="B2056" s="25" t="s">
        <v>12541</v>
      </c>
      <c r="C2056" s="6" t="s">
        <v>326</v>
      </c>
      <c r="D2056" s="13">
        <v>1194.0085595599201</v>
      </c>
      <c r="E2056" s="18">
        <v>21</v>
      </c>
      <c r="F2056" s="2">
        <f t="shared" si="64"/>
        <v>1444.7503570675033</v>
      </c>
      <c r="G2056" s="3">
        <v>0</v>
      </c>
      <c r="H2056" s="4">
        <v>0.7</v>
      </c>
      <c r="I2056" s="28">
        <f t="shared" si="65"/>
        <v>2456.0756070147554</v>
      </c>
    </row>
    <row r="2057" spans="1:9" ht="15.75" customHeight="1" x14ac:dyDescent="0.35">
      <c r="A2057" s="26" t="s">
        <v>1507</v>
      </c>
      <c r="B2057" s="25" t="s">
        <v>293</v>
      </c>
      <c r="C2057" s="6" t="s">
        <v>9342</v>
      </c>
      <c r="D2057" s="13">
        <v>864.05607294551999</v>
      </c>
      <c r="E2057" s="18">
        <v>21</v>
      </c>
      <c r="F2057" s="2">
        <f t="shared" si="64"/>
        <v>1045.5078482640793</v>
      </c>
      <c r="G2057" s="3">
        <v>0</v>
      </c>
      <c r="H2057" s="4">
        <v>0.7</v>
      </c>
      <c r="I2057" s="28">
        <f t="shared" si="65"/>
        <v>1777.3633420489348</v>
      </c>
    </row>
    <row r="2058" spans="1:9" ht="15.75" customHeight="1" x14ac:dyDescent="0.35">
      <c r="A2058" s="26" t="s">
        <v>9659</v>
      </c>
      <c r="B2058" s="25" t="s">
        <v>12542</v>
      </c>
      <c r="C2058" s="6" t="s">
        <v>10006</v>
      </c>
      <c r="D2058" s="13">
        <v>11491.299328274999</v>
      </c>
      <c r="E2058" s="18">
        <v>21</v>
      </c>
      <c r="F2058" s="2">
        <f t="shared" si="64"/>
        <v>13904.472187212748</v>
      </c>
      <c r="G2058" s="3">
        <v>0</v>
      </c>
      <c r="H2058" s="4">
        <v>0.7</v>
      </c>
      <c r="I2058" s="28">
        <f t="shared" si="65"/>
        <v>23637.602718261671</v>
      </c>
    </row>
    <row r="2059" spans="1:9" ht="15.75" customHeight="1" x14ac:dyDescent="0.35">
      <c r="A2059" s="26" t="s">
        <v>9660</v>
      </c>
      <c r="B2059" s="25" t="s">
        <v>294</v>
      </c>
      <c r="C2059" s="6" t="s">
        <v>10007</v>
      </c>
      <c r="D2059" s="13">
        <v>19408.408313755499</v>
      </c>
      <c r="E2059" s="18">
        <v>21</v>
      </c>
      <c r="F2059" s="2">
        <f t="shared" si="64"/>
        <v>23484.174059644152</v>
      </c>
      <c r="G2059" s="3">
        <v>0</v>
      </c>
      <c r="H2059" s="4">
        <v>0.7</v>
      </c>
      <c r="I2059" s="28">
        <f t="shared" si="65"/>
        <v>39923.095901395056</v>
      </c>
    </row>
    <row r="2060" spans="1:9" ht="15.75" customHeight="1" x14ac:dyDescent="0.35">
      <c r="A2060" s="26" t="s">
        <v>9828</v>
      </c>
      <c r="B2060" s="25" t="s">
        <v>12543</v>
      </c>
      <c r="C2060" s="6" t="s">
        <v>10008</v>
      </c>
      <c r="D2060" s="13">
        <v>24044.553215163</v>
      </c>
      <c r="E2060" s="18">
        <v>21</v>
      </c>
      <c r="F2060" s="2">
        <f t="shared" si="64"/>
        <v>29093.909390347231</v>
      </c>
      <c r="G2060" s="3">
        <v>0</v>
      </c>
      <c r="H2060" s="4">
        <v>0.7</v>
      </c>
      <c r="I2060" s="28">
        <f t="shared" si="65"/>
        <v>49459.645963590294</v>
      </c>
    </row>
    <row r="2061" spans="1:9" ht="15.75" customHeight="1" x14ac:dyDescent="0.35">
      <c r="A2061" s="26" t="s">
        <v>9743</v>
      </c>
      <c r="B2061" s="25" t="s">
        <v>12545</v>
      </c>
      <c r="C2061" s="6" t="s">
        <v>10009</v>
      </c>
      <c r="D2061" s="13">
        <v>12997.055791980001</v>
      </c>
      <c r="E2061" s="18">
        <v>21</v>
      </c>
      <c r="F2061" s="2">
        <f t="shared" si="64"/>
        <v>15726.437508295801</v>
      </c>
      <c r="G2061" s="3">
        <v>0</v>
      </c>
      <c r="H2061" s="4">
        <v>0.7</v>
      </c>
      <c r="I2061" s="28">
        <f t="shared" si="65"/>
        <v>26734.94376410286</v>
      </c>
    </row>
    <row r="2062" spans="1:9" ht="15.75" customHeight="1" x14ac:dyDescent="0.35">
      <c r="A2062" s="26" t="s">
        <v>9823</v>
      </c>
      <c r="B2062" s="25" t="s">
        <v>295</v>
      </c>
      <c r="C2062" s="6" t="s">
        <v>10010</v>
      </c>
      <c r="D2062" s="13">
        <v>20636.788586778002</v>
      </c>
      <c r="E2062" s="18">
        <v>21</v>
      </c>
      <c r="F2062" s="2">
        <f t="shared" si="64"/>
        <v>24970.514190001384</v>
      </c>
      <c r="G2062" s="3">
        <v>0</v>
      </c>
      <c r="H2062" s="4">
        <v>0.7</v>
      </c>
      <c r="I2062" s="28">
        <f t="shared" si="65"/>
        <v>42449.874123002352</v>
      </c>
    </row>
    <row r="2063" spans="1:9" ht="15.75" customHeight="1" x14ac:dyDescent="0.35">
      <c r="A2063" s="26" t="s">
        <v>1501</v>
      </c>
      <c r="B2063" s="25" t="s">
        <v>12627</v>
      </c>
      <c r="C2063" s="6" t="s">
        <v>10182</v>
      </c>
      <c r="D2063" s="13">
        <v>816.46003576800001</v>
      </c>
      <c r="E2063" s="18">
        <v>21</v>
      </c>
      <c r="F2063" s="2">
        <f t="shared" si="64"/>
        <v>987.91664327928004</v>
      </c>
      <c r="G2063" s="3">
        <v>0</v>
      </c>
      <c r="H2063" s="4">
        <v>0.7</v>
      </c>
      <c r="I2063" s="28">
        <f t="shared" si="65"/>
        <v>1679.458293574776</v>
      </c>
    </row>
    <row r="2064" spans="1:9" ht="15.75" customHeight="1" x14ac:dyDescent="0.35">
      <c r="A2064" s="26" t="s">
        <v>1502</v>
      </c>
      <c r="B2064" s="25" t="s">
        <v>296</v>
      </c>
      <c r="C2064" s="6" t="s">
        <v>10183</v>
      </c>
      <c r="D2064" s="13">
        <v>1396.37164261608</v>
      </c>
      <c r="E2064" s="18">
        <v>21</v>
      </c>
      <c r="F2064" s="2">
        <f t="shared" si="64"/>
        <v>1689.6096875654566</v>
      </c>
      <c r="G2064" s="3">
        <v>0</v>
      </c>
      <c r="H2064" s="4">
        <v>0.7</v>
      </c>
      <c r="I2064" s="28">
        <f t="shared" si="65"/>
        <v>2872.336468861276</v>
      </c>
    </row>
    <row r="2065" spans="1:9" ht="15.75" customHeight="1" x14ac:dyDescent="0.35">
      <c r="A2065" s="26" t="s">
        <v>1469</v>
      </c>
      <c r="B2065" s="25" t="s">
        <v>297</v>
      </c>
      <c r="C2065" s="6" t="s">
        <v>10852</v>
      </c>
      <c r="D2065" s="13">
        <v>1405.70634933612</v>
      </c>
      <c r="E2065" s="18">
        <v>21</v>
      </c>
      <c r="F2065" s="2">
        <f t="shared" si="64"/>
        <v>1700.9046826967051</v>
      </c>
      <c r="G2065" s="3">
        <v>0</v>
      </c>
      <c r="H2065" s="4">
        <v>0.7</v>
      </c>
      <c r="I2065" s="28">
        <f t="shared" si="65"/>
        <v>2891.5379605843987</v>
      </c>
    </row>
    <row r="2066" spans="1:9" ht="15.75" customHeight="1" x14ac:dyDescent="0.35">
      <c r="A2066" s="26" t="s">
        <v>1471</v>
      </c>
      <c r="B2066" s="25" t="s">
        <v>298</v>
      </c>
      <c r="C2066" s="6" t="s">
        <v>10853</v>
      </c>
      <c r="D2066" s="13">
        <v>1405.70634933612</v>
      </c>
      <c r="E2066" s="18">
        <v>21</v>
      </c>
      <c r="F2066" s="2">
        <f t="shared" si="64"/>
        <v>1700.9046826967051</v>
      </c>
      <c r="G2066" s="3">
        <v>0</v>
      </c>
      <c r="H2066" s="4">
        <v>0.7</v>
      </c>
      <c r="I2066" s="28">
        <f t="shared" si="65"/>
        <v>2891.5379605843987</v>
      </c>
    </row>
    <row r="2067" spans="1:9" ht="15.75" customHeight="1" x14ac:dyDescent="0.35">
      <c r="A2067" s="26" t="s">
        <v>5653</v>
      </c>
      <c r="B2067" s="25" t="s">
        <v>9147</v>
      </c>
      <c r="C2067" s="6" t="s">
        <v>327</v>
      </c>
      <c r="D2067" s="13">
        <v>3.5859424131155002</v>
      </c>
      <c r="E2067" s="18">
        <v>21</v>
      </c>
      <c r="F2067" s="2">
        <f t="shared" si="64"/>
        <v>4.3389903198697555</v>
      </c>
      <c r="G2067" s="3">
        <v>0</v>
      </c>
      <c r="H2067" s="4">
        <v>0.7</v>
      </c>
      <c r="I2067" s="28">
        <f t="shared" si="65"/>
        <v>7.3762835437785839</v>
      </c>
    </row>
    <row r="2068" spans="1:9" ht="15.75" customHeight="1" x14ac:dyDescent="0.35">
      <c r="A2068" s="26" t="s">
        <v>5654</v>
      </c>
      <c r="B2068" s="25" t="s">
        <v>9148</v>
      </c>
      <c r="C2068" s="6" t="s">
        <v>328</v>
      </c>
      <c r="D2068" s="13">
        <v>3.5859424131155002</v>
      </c>
      <c r="E2068" s="18">
        <v>21</v>
      </c>
      <c r="F2068" s="2">
        <f t="shared" si="64"/>
        <v>4.3389903198697555</v>
      </c>
      <c r="G2068" s="3">
        <v>0</v>
      </c>
      <c r="H2068" s="4">
        <v>0.7</v>
      </c>
      <c r="I2068" s="28">
        <f t="shared" si="65"/>
        <v>7.3762835437785839</v>
      </c>
    </row>
    <row r="2069" spans="1:9" ht="15.75" customHeight="1" x14ac:dyDescent="0.35">
      <c r="A2069" s="26" t="s">
        <v>9978</v>
      </c>
      <c r="B2069" s="25" t="s">
        <v>9329</v>
      </c>
      <c r="C2069" s="6" t="s">
        <v>9979</v>
      </c>
      <c r="D2069" s="13">
        <v>1340.924</v>
      </c>
      <c r="E2069" s="18">
        <v>21</v>
      </c>
      <c r="F2069" s="2">
        <f t="shared" si="64"/>
        <v>1622.5180399999999</v>
      </c>
      <c r="G2069" s="3">
        <v>0</v>
      </c>
      <c r="H2069" s="4">
        <v>0.7</v>
      </c>
      <c r="I2069" s="28">
        <f t="shared" si="65"/>
        <v>2758.2806679999999</v>
      </c>
    </row>
    <row r="2070" spans="1:9" ht="15.75" customHeight="1" x14ac:dyDescent="0.35">
      <c r="A2070" s="26" t="s">
        <v>1504</v>
      </c>
      <c r="B2070" s="25" t="s">
        <v>9330</v>
      </c>
      <c r="C2070" s="6" t="s">
        <v>329</v>
      </c>
      <c r="D2070" s="13">
        <v>1406.1925020000001</v>
      </c>
      <c r="E2070" s="18">
        <v>21</v>
      </c>
      <c r="F2070" s="2">
        <f t="shared" si="64"/>
        <v>1701.4929274200001</v>
      </c>
      <c r="G2070" s="3">
        <v>0</v>
      </c>
      <c r="H2070" s="4">
        <v>0.7</v>
      </c>
      <c r="I2070" s="28">
        <f t="shared" si="65"/>
        <v>2892.5379766139999</v>
      </c>
    </row>
    <row r="2071" spans="1:9" ht="15.75" customHeight="1" x14ac:dyDescent="0.35">
      <c r="A2071" s="26" t="s">
        <v>9436</v>
      </c>
      <c r="B2071" s="25" t="s">
        <v>11983</v>
      </c>
      <c r="C2071" s="6" t="s">
        <v>9980</v>
      </c>
      <c r="D2071" s="13">
        <v>1340.924</v>
      </c>
      <c r="E2071" s="18">
        <v>21</v>
      </c>
      <c r="F2071" s="2">
        <f t="shared" si="64"/>
        <v>1622.5180399999999</v>
      </c>
      <c r="G2071" s="3">
        <v>0</v>
      </c>
      <c r="H2071" s="4">
        <v>0.7</v>
      </c>
      <c r="I2071" s="28">
        <f t="shared" si="65"/>
        <v>2758.2806679999999</v>
      </c>
    </row>
    <row r="2072" spans="1:9" ht="15.75" customHeight="1" x14ac:dyDescent="0.35">
      <c r="A2072" s="26" t="s">
        <v>12897</v>
      </c>
      <c r="B2072" s="25" t="s">
        <v>299</v>
      </c>
      <c r="C2072" s="6" t="s">
        <v>12898</v>
      </c>
      <c r="D2072" s="13">
        <v>1245.6405</v>
      </c>
      <c r="E2072" s="18">
        <v>21</v>
      </c>
      <c r="F2072" s="2">
        <f t="shared" si="64"/>
        <v>1507.225005</v>
      </c>
      <c r="G2072" s="3">
        <v>0</v>
      </c>
      <c r="H2072" s="4">
        <v>0.7</v>
      </c>
      <c r="I2072" s="28">
        <f t="shared" si="65"/>
        <v>2562.2825084999999</v>
      </c>
    </row>
    <row r="2073" spans="1:9" ht="15.75" customHeight="1" x14ac:dyDescent="0.35">
      <c r="A2073" s="26" t="s">
        <v>1515</v>
      </c>
      <c r="B2073" s="25" t="s">
        <v>300</v>
      </c>
      <c r="C2073" s="6" t="s">
        <v>330</v>
      </c>
      <c r="D2073" s="13">
        <v>240.821314330652</v>
      </c>
      <c r="E2073" s="18">
        <v>21</v>
      </c>
      <c r="F2073" s="2">
        <f t="shared" si="64"/>
        <v>291.39379034008891</v>
      </c>
      <c r="G2073" s="3">
        <v>0</v>
      </c>
      <c r="H2073" s="4">
        <v>0.7</v>
      </c>
      <c r="I2073" s="28">
        <f t="shared" si="65"/>
        <v>495.36944357815116</v>
      </c>
    </row>
    <row r="2074" spans="1:9" ht="15.75" customHeight="1" x14ac:dyDescent="0.35">
      <c r="A2074" s="26" t="s">
        <v>1608</v>
      </c>
      <c r="B2074" s="25" t="s">
        <v>10654</v>
      </c>
      <c r="C2074" s="6" t="s">
        <v>8795</v>
      </c>
      <c r="D2074" s="13">
        <v>858.56971199999998</v>
      </c>
      <c r="E2074" s="18">
        <v>21</v>
      </c>
      <c r="F2074" s="2">
        <f t="shared" si="64"/>
        <v>1038.86935152</v>
      </c>
      <c r="G2074" s="3">
        <v>0</v>
      </c>
      <c r="H2074" s="4">
        <v>0.7</v>
      </c>
      <c r="I2074" s="28">
        <f t="shared" si="65"/>
        <v>1766.0778975839999</v>
      </c>
    </row>
    <row r="2075" spans="1:9" ht="15.75" customHeight="1" x14ac:dyDescent="0.35">
      <c r="A2075" s="26" t="s">
        <v>3467</v>
      </c>
      <c r="B2075" s="25" t="s">
        <v>301</v>
      </c>
      <c r="C2075" s="6" t="s">
        <v>331</v>
      </c>
      <c r="D2075" s="13">
        <v>1640.1655679759999</v>
      </c>
      <c r="E2075" s="18">
        <v>21</v>
      </c>
      <c r="F2075" s="2">
        <f t="shared" si="64"/>
        <v>1984.6003372509599</v>
      </c>
      <c r="G2075" s="3">
        <v>0</v>
      </c>
      <c r="H2075" s="4">
        <v>0.7</v>
      </c>
      <c r="I2075" s="28">
        <f t="shared" si="65"/>
        <v>3373.8205733266318</v>
      </c>
    </row>
    <row r="2076" spans="1:9" ht="15.75" customHeight="1" x14ac:dyDescent="0.35">
      <c r="A2076" s="26" t="s">
        <v>3468</v>
      </c>
      <c r="B2076" s="25" t="s">
        <v>9518</v>
      </c>
      <c r="C2076" s="6" t="s">
        <v>332</v>
      </c>
      <c r="D2076" s="13">
        <v>227.47022999999999</v>
      </c>
      <c r="E2076" s="18">
        <v>21</v>
      </c>
      <c r="F2076" s="2">
        <f t="shared" si="64"/>
        <v>275.23897829999999</v>
      </c>
      <c r="G2076" s="3">
        <v>0</v>
      </c>
      <c r="H2076" s="4">
        <v>0.7</v>
      </c>
      <c r="I2076" s="28">
        <f t="shared" si="65"/>
        <v>467.90626310999994</v>
      </c>
    </row>
    <row r="2077" spans="1:9" ht="15.75" customHeight="1" x14ac:dyDescent="0.35">
      <c r="A2077" s="26" t="s">
        <v>3469</v>
      </c>
      <c r="B2077" s="25" t="s">
        <v>9519</v>
      </c>
      <c r="C2077" s="6" t="s">
        <v>333</v>
      </c>
      <c r="D2077" s="13">
        <v>368.21161000000001</v>
      </c>
      <c r="E2077" s="18">
        <v>21</v>
      </c>
      <c r="F2077" s="2">
        <f t="shared" si="64"/>
        <v>445.53604810000002</v>
      </c>
      <c r="G2077" s="3">
        <v>0</v>
      </c>
      <c r="H2077" s="4">
        <v>0.7</v>
      </c>
      <c r="I2077" s="28">
        <f t="shared" si="65"/>
        <v>757.41128176999996</v>
      </c>
    </row>
    <row r="2078" spans="1:9" ht="15.75" customHeight="1" x14ac:dyDescent="0.35">
      <c r="A2078" s="26" t="s">
        <v>12193</v>
      </c>
      <c r="B2078" s="25" t="s">
        <v>302</v>
      </c>
      <c r="C2078" s="6" t="s">
        <v>12194</v>
      </c>
      <c r="D2078" s="13">
        <v>565.14660800000001</v>
      </c>
      <c r="E2078" s="18">
        <v>21</v>
      </c>
      <c r="F2078" s="2">
        <f t="shared" si="64"/>
        <v>683.82739568</v>
      </c>
      <c r="G2078" s="3">
        <v>0</v>
      </c>
      <c r="H2078" s="4">
        <v>0.7</v>
      </c>
      <c r="I2078" s="28">
        <f t="shared" si="65"/>
        <v>1162.5065726559999</v>
      </c>
    </row>
    <row r="2079" spans="1:9" ht="15.75" customHeight="1" x14ac:dyDescent="0.35">
      <c r="A2079" s="26" t="s">
        <v>9397</v>
      </c>
      <c r="B2079" s="25" t="s">
        <v>1251</v>
      </c>
      <c r="C2079" s="6" t="s">
        <v>11766</v>
      </c>
      <c r="D2079" s="13">
        <v>13149.9576</v>
      </c>
      <c r="E2079" s="18">
        <v>21</v>
      </c>
      <c r="F2079" s="2">
        <f t="shared" si="64"/>
        <v>15911.448695999999</v>
      </c>
      <c r="G2079" s="3">
        <v>0</v>
      </c>
      <c r="H2079" s="4">
        <v>0.7</v>
      </c>
      <c r="I2079" s="28">
        <f t="shared" si="65"/>
        <v>27049.462783199997</v>
      </c>
    </row>
    <row r="2080" spans="1:9" ht="15.75" customHeight="1" x14ac:dyDescent="0.35">
      <c r="A2080" s="26" t="s">
        <v>9398</v>
      </c>
      <c r="B2080" s="25" t="s">
        <v>11455</v>
      </c>
      <c r="C2080" s="6" t="s">
        <v>11767</v>
      </c>
      <c r="D2080" s="13">
        <v>15228.668</v>
      </c>
      <c r="E2080" s="18">
        <v>21</v>
      </c>
      <c r="F2080" s="2">
        <f t="shared" si="64"/>
        <v>18426.688279999998</v>
      </c>
      <c r="G2080" s="3">
        <v>0</v>
      </c>
      <c r="H2080" s="4">
        <v>0.7</v>
      </c>
      <c r="I2080" s="28">
        <f t="shared" si="65"/>
        <v>31325.370075999996</v>
      </c>
    </row>
    <row r="2081" spans="1:9" ht="15.75" customHeight="1" x14ac:dyDescent="0.35">
      <c r="A2081" s="26" t="s">
        <v>9399</v>
      </c>
      <c r="B2081" s="25" t="s">
        <v>10781</v>
      </c>
      <c r="C2081" s="6" t="s">
        <v>11768</v>
      </c>
      <c r="D2081" s="13">
        <v>17163.8272</v>
      </c>
      <c r="E2081" s="18">
        <v>21</v>
      </c>
      <c r="F2081" s="2">
        <f t="shared" si="64"/>
        <v>20768.230911999999</v>
      </c>
      <c r="G2081" s="3">
        <v>0</v>
      </c>
      <c r="H2081" s="4">
        <v>0.7</v>
      </c>
      <c r="I2081" s="28">
        <f t="shared" si="65"/>
        <v>35305.992550399998</v>
      </c>
    </row>
    <row r="2082" spans="1:9" ht="15.75" customHeight="1" x14ac:dyDescent="0.35">
      <c r="A2082" s="26" t="s">
        <v>9400</v>
      </c>
      <c r="B2082" s="25" t="s">
        <v>10849</v>
      </c>
      <c r="C2082" s="6" t="s">
        <v>11769</v>
      </c>
      <c r="D2082" s="13">
        <v>19389.427199999998</v>
      </c>
      <c r="E2082" s="18">
        <v>21</v>
      </c>
      <c r="F2082" s="2">
        <f t="shared" si="64"/>
        <v>23461.206911999998</v>
      </c>
      <c r="G2082" s="3">
        <v>0</v>
      </c>
      <c r="H2082" s="4">
        <v>0.7</v>
      </c>
      <c r="I2082" s="28">
        <f t="shared" si="65"/>
        <v>39884.051750399994</v>
      </c>
    </row>
    <row r="2083" spans="1:9" ht="15.75" customHeight="1" x14ac:dyDescent="0.35">
      <c r="A2083" s="26" t="s">
        <v>5860</v>
      </c>
      <c r="B2083" s="25" t="s">
        <v>10573</v>
      </c>
      <c r="C2083" s="6" t="s">
        <v>11770</v>
      </c>
      <c r="D2083" s="13">
        <v>13149.9576</v>
      </c>
      <c r="E2083" s="18">
        <v>21</v>
      </c>
      <c r="F2083" s="2">
        <f t="shared" si="64"/>
        <v>15911.448695999999</v>
      </c>
      <c r="G2083" s="3">
        <v>0</v>
      </c>
      <c r="H2083" s="4">
        <v>0.7</v>
      </c>
      <c r="I2083" s="28">
        <f t="shared" si="65"/>
        <v>27049.462783199997</v>
      </c>
    </row>
    <row r="2084" spans="1:9" ht="15.75" customHeight="1" x14ac:dyDescent="0.35">
      <c r="A2084" s="26" t="s">
        <v>3817</v>
      </c>
      <c r="B2084" s="25" t="s">
        <v>303</v>
      </c>
      <c r="C2084" s="6" t="s">
        <v>11771</v>
      </c>
      <c r="D2084" s="13">
        <v>15228.668</v>
      </c>
      <c r="E2084" s="18">
        <v>21</v>
      </c>
      <c r="F2084" s="2">
        <f t="shared" si="64"/>
        <v>18426.688279999998</v>
      </c>
      <c r="G2084" s="3">
        <v>0</v>
      </c>
      <c r="H2084" s="4">
        <v>0.7</v>
      </c>
      <c r="I2084" s="28">
        <f t="shared" si="65"/>
        <v>31325.370075999996</v>
      </c>
    </row>
    <row r="2085" spans="1:9" ht="15.75" customHeight="1" x14ac:dyDescent="0.35">
      <c r="A2085" s="26" t="s">
        <v>1396</v>
      </c>
      <c r="B2085" s="25" t="s">
        <v>9341</v>
      </c>
      <c r="C2085" s="6" t="s">
        <v>12195</v>
      </c>
      <c r="D2085" s="13">
        <v>15412.014968875301</v>
      </c>
      <c r="E2085" s="18">
        <v>10.5</v>
      </c>
      <c r="F2085" s="2">
        <f t="shared" si="64"/>
        <v>17030.276540607207</v>
      </c>
      <c r="G2085" s="3">
        <v>0</v>
      </c>
      <c r="H2085" s="4">
        <v>0.7</v>
      </c>
      <c r="I2085" s="28">
        <f t="shared" si="65"/>
        <v>28951.470119032252</v>
      </c>
    </row>
    <row r="2086" spans="1:9" ht="15.75" customHeight="1" x14ac:dyDescent="0.35">
      <c r="A2086" s="26" t="s">
        <v>1400</v>
      </c>
      <c r="B2086" s="25" t="s">
        <v>9520</v>
      </c>
      <c r="C2086" s="6" t="s">
        <v>13721</v>
      </c>
      <c r="D2086" s="13">
        <v>10736.359058632001</v>
      </c>
      <c r="E2086" s="18">
        <v>21</v>
      </c>
      <c r="F2086" s="2">
        <f t="shared" si="64"/>
        <v>12990.994460944721</v>
      </c>
      <c r="G2086" s="3">
        <v>0</v>
      </c>
      <c r="H2086" s="4">
        <v>0.7</v>
      </c>
      <c r="I2086" s="28">
        <f t="shared" si="65"/>
        <v>22084.690583606025</v>
      </c>
    </row>
    <row r="2087" spans="1:9" ht="15.75" customHeight="1" x14ac:dyDescent="0.35">
      <c r="A2087" s="26" t="s">
        <v>1397</v>
      </c>
      <c r="B2087" s="25" t="s">
        <v>9521</v>
      </c>
      <c r="C2087" s="6" t="s">
        <v>13722</v>
      </c>
      <c r="D2087" s="13">
        <v>12631.0099377103</v>
      </c>
      <c r="E2087" s="18">
        <v>10.5</v>
      </c>
      <c r="F2087" s="2">
        <f t="shared" si="64"/>
        <v>13957.265981169881</v>
      </c>
      <c r="G2087" s="3">
        <v>0</v>
      </c>
      <c r="H2087" s="4">
        <v>0.7</v>
      </c>
      <c r="I2087" s="28">
        <f t="shared" si="65"/>
        <v>23727.352167988796</v>
      </c>
    </row>
    <row r="2088" spans="1:9" ht="15.75" customHeight="1" x14ac:dyDescent="0.35">
      <c r="A2088" s="26" t="s">
        <v>10856</v>
      </c>
      <c r="B2088" s="25" t="s">
        <v>304</v>
      </c>
      <c r="C2088" s="6" t="s">
        <v>13882</v>
      </c>
      <c r="D2088" s="13">
        <v>5850.4310338499999</v>
      </c>
      <c r="E2088" s="18">
        <v>21</v>
      </c>
      <c r="F2088" s="2">
        <f t="shared" si="64"/>
        <v>7079.0215509584996</v>
      </c>
      <c r="G2088" s="3">
        <v>0</v>
      </c>
      <c r="H2088" s="4">
        <v>0.7</v>
      </c>
      <c r="I2088" s="28">
        <f t="shared" si="65"/>
        <v>12034.336636629449</v>
      </c>
    </row>
    <row r="2089" spans="1:9" ht="15.75" customHeight="1" x14ac:dyDescent="0.35">
      <c r="A2089" s="26" t="s">
        <v>1398</v>
      </c>
      <c r="B2089" s="25" t="s">
        <v>305</v>
      </c>
      <c r="C2089" s="6" t="s">
        <v>9956</v>
      </c>
      <c r="D2089" s="13">
        <v>29358.9740024569</v>
      </c>
      <c r="E2089" s="18">
        <v>10.5</v>
      </c>
      <c r="F2089" s="2">
        <f t="shared" si="64"/>
        <v>32441.666272714876</v>
      </c>
      <c r="G2089" s="3">
        <v>0</v>
      </c>
      <c r="H2089" s="4">
        <v>0.7</v>
      </c>
      <c r="I2089" s="28">
        <f t="shared" si="65"/>
        <v>55150.832663615285</v>
      </c>
    </row>
    <row r="2090" spans="1:9" ht="15.75" customHeight="1" x14ac:dyDescent="0.35">
      <c r="A2090" s="26" t="s">
        <v>1395</v>
      </c>
      <c r="B2090" s="25" t="s">
        <v>10850</v>
      </c>
      <c r="C2090" s="6" t="s">
        <v>13200</v>
      </c>
      <c r="D2090" s="13">
        <v>8292.7664995499999</v>
      </c>
      <c r="E2090" s="18">
        <v>21</v>
      </c>
      <c r="F2090" s="2">
        <f t="shared" si="64"/>
        <v>10034.2474644555</v>
      </c>
      <c r="G2090" s="3">
        <v>0</v>
      </c>
      <c r="H2090" s="4">
        <v>0.7</v>
      </c>
      <c r="I2090" s="28">
        <f t="shared" si="65"/>
        <v>17058.220689574351</v>
      </c>
    </row>
    <row r="2091" spans="1:9" ht="15.75" customHeight="1" x14ac:dyDescent="0.35">
      <c r="A2091" s="26" t="s">
        <v>1401</v>
      </c>
      <c r="B2091" s="25" t="s">
        <v>10851</v>
      </c>
      <c r="C2091" s="6" t="s">
        <v>12198</v>
      </c>
      <c r="D2091" s="13">
        <v>5990.3415000000005</v>
      </c>
      <c r="E2091" s="18">
        <v>21</v>
      </c>
      <c r="F2091" s="2">
        <f t="shared" si="64"/>
        <v>7248.3132150000001</v>
      </c>
      <c r="G2091" s="3">
        <v>0</v>
      </c>
      <c r="H2091" s="4">
        <v>0.7</v>
      </c>
      <c r="I2091" s="28">
        <f t="shared" si="65"/>
        <v>12322.132465500001</v>
      </c>
    </row>
    <row r="2092" spans="1:9" ht="15.75" customHeight="1" x14ac:dyDescent="0.35">
      <c r="A2092" s="26" t="s">
        <v>1402</v>
      </c>
      <c r="B2092" s="25" t="s">
        <v>9058</v>
      </c>
      <c r="C2092" s="6" t="s">
        <v>12199</v>
      </c>
      <c r="D2092" s="13">
        <v>6412.8577500000001</v>
      </c>
      <c r="E2092" s="18">
        <v>21</v>
      </c>
      <c r="F2092" s="2">
        <f t="shared" si="64"/>
        <v>7759.5578775000004</v>
      </c>
      <c r="G2092" s="3">
        <v>0</v>
      </c>
      <c r="H2092" s="4">
        <v>0.7</v>
      </c>
      <c r="I2092" s="28">
        <f t="shared" si="65"/>
        <v>13191.248391749999</v>
      </c>
    </row>
    <row r="2093" spans="1:9" ht="15.75" customHeight="1" x14ac:dyDescent="0.35">
      <c r="A2093" s="26" t="s">
        <v>1344</v>
      </c>
      <c r="B2093" s="25" t="s">
        <v>306</v>
      </c>
      <c r="C2093" s="6" t="s">
        <v>939</v>
      </c>
      <c r="D2093" s="13">
        <v>261723.60500000001</v>
      </c>
      <c r="E2093" s="18">
        <v>21</v>
      </c>
      <c r="F2093" s="2">
        <f t="shared" si="64"/>
        <v>316685.56205000001</v>
      </c>
      <c r="G2093" s="3">
        <v>0</v>
      </c>
      <c r="H2093" s="4">
        <v>0.7</v>
      </c>
      <c r="I2093" s="28">
        <f t="shared" si="65"/>
        <v>538365.45548500004</v>
      </c>
    </row>
    <row r="2094" spans="1:9" ht="15.75" customHeight="1" x14ac:dyDescent="0.35">
      <c r="A2094" s="26" t="s">
        <v>1360</v>
      </c>
      <c r="B2094" s="25" t="s">
        <v>1252</v>
      </c>
      <c r="C2094" s="6" t="s">
        <v>334</v>
      </c>
      <c r="D2094" s="13">
        <v>38934.090000000004</v>
      </c>
      <c r="E2094" s="18">
        <v>21</v>
      </c>
      <c r="F2094" s="2">
        <f t="shared" si="64"/>
        <v>47110.248900000006</v>
      </c>
      <c r="G2094" s="3">
        <v>0</v>
      </c>
      <c r="H2094" s="4">
        <v>0.7</v>
      </c>
      <c r="I2094" s="28">
        <f t="shared" si="65"/>
        <v>80087.42313000001</v>
      </c>
    </row>
    <row r="2095" spans="1:9" ht="15.75" customHeight="1" x14ac:dyDescent="0.35">
      <c r="A2095" s="26" t="s">
        <v>1345</v>
      </c>
      <c r="B2095" s="25" t="s">
        <v>1253</v>
      </c>
      <c r="C2095" s="6" t="s">
        <v>940</v>
      </c>
      <c r="D2095" s="13">
        <v>186018.43</v>
      </c>
      <c r="E2095" s="18">
        <v>21</v>
      </c>
      <c r="F2095" s="2">
        <f t="shared" si="64"/>
        <v>225082.3003</v>
      </c>
      <c r="G2095" s="3">
        <v>0</v>
      </c>
      <c r="H2095" s="4">
        <v>0.7</v>
      </c>
      <c r="I2095" s="28">
        <f t="shared" si="65"/>
        <v>382639.91051000002</v>
      </c>
    </row>
    <row r="2096" spans="1:9" ht="15.75" customHeight="1" x14ac:dyDescent="0.35">
      <c r="A2096" s="26" t="s">
        <v>1346</v>
      </c>
      <c r="B2096" s="25" t="s">
        <v>307</v>
      </c>
      <c r="C2096" s="6" t="s">
        <v>335</v>
      </c>
      <c r="D2096" s="13">
        <v>149247.345</v>
      </c>
      <c r="E2096" s="18">
        <v>21</v>
      </c>
      <c r="F2096" s="2">
        <f t="shared" si="64"/>
        <v>180589.28745</v>
      </c>
      <c r="G2096" s="3">
        <v>0</v>
      </c>
      <c r="H2096" s="4">
        <v>0.7</v>
      </c>
      <c r="I2096" s="28">
        <f t="shared" si="65"/>
        <v>307001.788665</v>
      </c>
    </row>
    <row r="2097" spans="1:9" ht="15.75" customHeight="1" x14ac:dyDescent="0.35">
      <c r="A2097" s="26" t="s">
        <v>1347</v>
      </c>
      <c r="B2097" s="25" t="s">
        <v>10655</v>
      </c>
      <c r="C2097" s="6" t="s">
        <v>336</v>
      </c>
      <c r="D2097" s="13">
        <v>168714.39</v>
      </c>
      <c r="E2097" s="18">
        <v>21</v>
      </c>
      <c r="F2097" s="2">
        <f t="shared" si="64"/>
        <v>204144.41190000001</v>
      </c>
      <c r="G2097" s="3">
        <v>0</v>
      </c>
      <c r="H2097" s="4">
        <v>0.7</v>
      </c>
      <c r="I2097" s="28">
        <f t="shared" si="65"/>
        <v>347045.50023000001</v>
      </c>
    </row>
    <row r="2098" spans="1:9" ht="15.75" customHeight="1" x14ac:dyDescent="0.35">
      <c r="A2098" s="26" t="s">
        <v>1361</v>
      </c>
      <c r="B2098" s="25" t="s">
        <v>10656</v>
      </c>
      <c r="C2098" s="6" t="s">
        <v>337</v>
      </c>
      <c r="D2098" s="13">
        <v>38934.090000000004</v>
      </c>
      <c r="E2098" s="18">
        <v>21</v>
      </c>
      <c r="F2098" s="2">
        <f t="shared" si="64"/>
        <v>47110.248900000006</v>
      </c>
      <c r="G2098" s="3">
        <v>0</v>
      </c>
      <c r="H2098" s="4">
        <v>0.7</v>
      </c>
      <c r="I2098" s="28">
        <f t="shared" si="65"/>
        <v>80087.42313000001</v>
      </c>
    </row>
    <row r="2099" spans="1:9" ht="15.75" customHeight="1" x14ac:dyDescent="0.35">
      <c r="A2099" s="26" t="s">
        <v>1348</v>
      </c>
      <c r="B2099" s="25" t="s">
        <v>308</v>
      </c>
      <c r="C2099" s="6" t="s">
        <v>338</v>
      </c>
      <c r="D2099" s="13">
        <v>274701.63500000001</v>
      </c>
      <c r="E2099" s="18">
        <v>21</v>
      </c>
      <c r="F2099" s="2">
        <f t="shared" si="64"/>
        <v>332388.97834999999</v>
      </c>
      <c r="G2099" s="3">
        <v>0</v>
      </c>
      <c r="H2099" s="4">
        <v>0.7</v>
      </c>
      <c r="I2099" s="28">
        <f t="shared" si="65"/>
        <v>565061.26319500001</v>
      </c>
    </row>
    <row r="2100" spans="1:9" ht="15.75" customHeight="1" x14ac:dyDescent="0.35">
      <c r="A2100" s="26" t="s">
        <v>1349</v>
      </c>
      <c r="B2100" s="25" t="s">
        <v>309</v>
      </c>
      <c r="C2100" s="6" t="s">
        <v>339</v>
      </c>
      <c r="D2100" s="13">
        <v>147084.34</v>
      </c>
      <c r="E2100" s="18">
        <v>21</v>
      </c>
      <c r="F2100" s="2">
        <f t="shared" si="64"/>
        <v>177972.0514</v>
      </c>
      <c r="G2100" s="3">
        <v>0</v>
      </c>
      <c r="H2100" s="4">
        <v>0.7</v>
      </c>
      <c r="I2100" s="28">
        <f t="shared" si="65"/>
        <v>302552.48738000001</v>
      </c>
    </row>
    <row r="2101" spans="1:9" ht="15.75" customHeight="1" x14ac:dyDescent="0.35">
      <c r="A2101" s="26" t="s">
        <v>1350</v>
      </c>
      <c r="B2101" s="25" t="s">
        <v>310</v>
      </c>
      <c r="C2101" s="6" t="s">
        <v>340</v>
      </c>
      <c r="D2101" s="13">
        <v>168714.39</v>
      </c>
      <c r="E2101" s="18">
        <v>21</v>
      </c>
      <c r="F2101" s="2">
        <f t="shared" si="64"/>
        <v>204144.41190000001</v>
      </c>
      <c r="G2101" s="3">
        <v>0</v>
      </c>
      <c r="H2101" s="4">
        <v>0.7</v>
      </c>
      <c r="I2101" s="28">
        <f t="shared" si="65"/>
        <v>347045.50023000001</v>
      </c>
    </row>
    <row r="2102" spans="1:9" ht="15.75" customHeight="1" x14ac:dyDescent="0.35">
      <c r="A2102" s="26" t="s">
        <v>1351</v>
      </c>
      <c r="B2102" s="25" t="s">
        <v>1254</v>
      </c>
      <c r="C2102" s="6" t="s">
        <v>341</v>
      </c>
      <c r="D2102" s="13">
        <v>188181.435</v>
      </c>
      <c r="E2102" s="18">
        <v>21</v>
      </c>
      <c r="F2102" s="2">
        <f t="shared" si="64"/>
        <v>227699.53635000001</v>
      </c>
      <c r="G2102" s="3">
        <v>0</v>
      </c>
      <c r="H2102" s="4">
        <v>0.7</v>
      </c>
      <c r="I2102" s="28">
        <f t="shared" si="65"/>
        <v>387089.21179500001</v>
      </c>
    </row>
    <row r="2103" spans="1:9" ht="15.75" customHeight="1" x14ac:dyDescent="0.35">
      <c r="A2103" s="26" t="s">
        <v>1352</v>
      </c>
      <c r="B2103" s="25" t="s">
        <v>1255</v>
      </c>
      <c r="C2103" s="6" t="s">
        <v>342</v>
      </c>
      <c r="D2103" s="13">
        <v>207648.48</v>
      </c>
      <c r="E2103" s="18">
        <v>21</v>
      </c>
      <c r="F2103" s="2">
        <f t="shared" si="64"/>
        <v>251254.66080000001</v>
      </c>
      <c r="G2103" s="3">
        <v>0</v>
      </c>
      <c r="H2103" s="4">
        <v>0.7</v>
      </c>
      <c r="I2103" s="28">
        <f t="shared" si="65"/>
        <v>427132.92336000002</v>
      </c>
    </row>
    <row r="2104" spans="1:9" ht="15.75" customHeight="1" x14ac:dyDescent="0.35">
      <c r="A2104" s="26" t="s">
        <v>12050</v>
      </c>
      <c r="B2104" s="25" t="s">
        <v>311</v>
      </c>
      <c r="C2104" s="6" t="s">
        <v>12051</v>
      </c>
      <c r="D2104" s="13">
        <v>3222.87745</v>
      </c>
      <c r="E2104" s="18">
        <v>21</v>
      </c>
      <c r="F2104" s="2">
        <f t="shared" si="64"/>
        <v>3899.6817145</v>
      </c>
      <c r="G2104" s="3">
        <v>0</v>
      </c>
      <c r="H2104" s="4">
        <v>0.7</v>
      </c>
      <c r="I2104" s="28">
        <f t="shared" si="65"/>
        <v>6629.4589146500002</v>
      </c>
    </row>
    <row r="2105" spans="1:9" ht="15.75" customHeight="1" x14ac:dyDescent="0.35">
      <c r="A2105" s="26" t="s">
        <v>1342</v>
      </c>
      <c r="B2105" s="25" t="s">
        <v>10657</v>
      </c>
      <c r="C2105" s="6" t="s">
        <v>343</v>
      </c>
      <c r="D2105" s="13">
        <v>95172.22</v>
      </c>
      <c r="E2105" s="18">
        <v>21</v>
      </c>
      <c r="F2105" s="2">
        <f t="shared" si="64"/>
        <v>115158.38620000001</v>
      </c>
      <c r="G2105" s="3">
        <v>0</v>
      </c>
      <c r="H2105" s="4">
        <v>0.7</v>
      </c>
      <c r="I2105" s="28">
        <f t="shared" si="65"/>
        <v>195769.25654</v>
      </c>
    </row>
    <row r="2106" spans="1:9" ht="15.75" customHeight="1" x14ac:dyDescent="0.35">
      <c r="A2106" s="26" t="s">
        <v>4240</v>
      </c>
      <c r="B2106" s="25" t="s">
        <v>10658</v>
      </c>
      <c r="C2106" s="6" t="s">
        <v>13988</v>
      </c>
      <c r="D2106" s="13">
        <v>30915.304875000002</v>
      </c>
      <c r="E2106" s="18">
        <v>21</v>
      </c>
      <c r="F2106" s="2">
        <f t="shared" si="64"/>
        <v>37407.518898750001</v>
      </c>
      <c r="G2106" s="3">
        <v>0</v>
      </c>
      <c r="H2106" s="4">
        <v>0.7</v>
      </c>
      <c r="I2106" s="28">
        <f t="shared" si="65"/>
        <v>63592.782127874998</v>
      </c>
    </row>
    <row r="2107" spans="1:9" ht="15.75" customHeight="1" x14ac:dyDescent="0.35">
      <c r="A2107" s="26" t="s">
        <v>4241</v>
      </c>
      <c r="B2107" s="25" t="s">
        <v>312</v>
      </c>
      <c r="C2107" s="6" t="s">
        <v>13989</v>
      </c>
      <c r="D2107" s="13">
        <v>43205.014125000002</v>
      </c>
      <c r="E2107" s="18">
        <v>21</v>
      </c>
      <c r="F2107" s="2">
        <f t="shared" si="64"/>
        <v>52278.067091250006</v>
      </c>
      <c r="G2107" s="3">
        <v>0</v>
      </c>
      <c r="H2107" s="4">
        <v>0.7</v>
      </c>
      <c r="I2107" s="28">
        <f t="shared" si="65"/>
        <v>88872.714055125005</v>
      </c>
    </row>
    <row r="2108" spans="1:9" ht="15.75" customHeight="1" x14ac:dyDescent="0.35">
      <c r="A2108" s="26" t="s">
        <v>11629</v>
      </c>
      <c r="B2108" s="25" t="s">
        <v>1256</v>
      </c>
      <c r="C2108" s="6" t="s">
        <v>13990</v>
      </c>
      <c r="D2108" s="13">
        <v>54104.436750000001</v>
      </c>
      <c r="E2108" s="18">
        <v>21</v>
      </c>
      <c r="F2108" s="2">
        <f t="shared" si="64"/>
        <v>65466.368467499997</v>
      </c>
      <c r="G2108" s="3">
        <v>0</v>
      </c>
      <c r="H2108" s="4">
        <v>0.7</v>
      </c>
      <c r="I2108" s="28">
        <f t="shared" si="65"/>
        <v>111292.82639474999</v>
      </c>
    </row>
    <row r="2109" spans="1:9" ht="15.75" customHeight="1" x14ac:dyDescent="0.35">
      <c r="A2109" s="26" t="s">
        <v>11279</v>
      </c>
      <c r="B2109" s="25" t="s">
        <v>1257</v>
      </c>
      <c r="C2109" s="6" t="s">
        <v>13991</v>
      </c>
      <c r="D2109" s="13">
        <v>60949.741124999993</v>
      </c>
      <c r="E2109" s="18">
        <v>21</v>
      </c>
      <c r="F2109" s="2">
        <f t="shared" si="64"/>
        <v>73749.186761249992</v>
      </c>
      <c r="G2109" s="3">
        <v>0</v>
      </c>
      <c r="H2109" s="4">
        <v>0.7</v>
      </c>
      <c r="I2109" s="28">
        <f t="shared" si="65"/>
        <v>125373.61749412498</v>
      </c>
    </row>
    <row r="2110" spans="1:9" ht="15.75" customHeight="1" x14ac:dyDescent="0.35">
      <c r="A2110" s="26" t="s">
        <v>4243</v>
      </c>
      <c r="B2110" s="25" t="s">
        <v>313</v>
      </c>
      <c r="C2110" s="6" t="s">
        <v>13992</v>
      </c>
      <c r="D2110" s="13">
        <v>15537.249</v>
      </c>
      <c r="E2110" s="18">
        <v>21</v>
      </c>
      <c r="F2110" s="2">
        <f t="shared" si="64"/>
        <v>18800.07129</v>
      </c>
      <c r="G2110" s="3">
        <v>0</v>
      </c>
      <c r="H2110" s="4">
        <v>0.7</v>
      </c>
      <c r="I2110" s="28">
        <f t="shared" si="65"/>
        <v>31960.121192999999</v>
      </c>
    </row>
    <row r="2111" spans="1:9" ht="15.75" customHeight="1" x14ac:dyDescent="0.35">
      <c r="A2111" s="26" t="s">
        <v>4244</v>
      </c>
      <c r="B2111" s="25" t="s">
        <v>10659</v>
      </c>
      <c r="C2111" s="6" t="s">
        <v>13993</v>
      </c>
      <c r="D2111" s="13">
        <v>16471.182000000001</v>
      </c>
      <c r="E2111" s="18">
        <v>21</v>
      </c>
      <c r="F2111" s="2">
        <f t="shared" si="64"/>
        <v>19930.130219999999</v>
      </c>
      <c r="G2111" s="3">
        <v>0</v>
      </c>
      <c r="H2111" s="4">
        <v>0.7</v>
      </c>
      <c r="I2111" s="28">
        <f t="shared" si="65"/>
        <v>33881.221374000001</v>
      </c>
    </row>
    <row r="2112" spans="1:9" ht="15.75" customHeight="1" x14ac:dyDescent="0.35">
      <c r="A2112" s="26" t="s">
        <v>12326</v>
      </c>
      <c r="B2112" s="25" t="s">
        <v>10660</v>
      </c>
      <c r="C2112" s="6" t="s">
        <v>13994</v>
      </c>
      <c r="D2112" s="13">
        <v>21427.394624999997</v>
      </c>
      <c r="E2112" s="18">
        <v>21</v>
      </c>
      <c r="F2112" s="2">
        <f t="shared" si="64"/>
        <v>25927.147496249996</v>
      </c>
      <c r="G2112" s="3">
        <v>0</v>
      </c>
      <c r="H2112" s="4">
        <v>0.7</v>
      </c>
      <c r="I2112" s="28">
        <f t="shared" si="65"/>
        <v>44076.150743624989</v>
      </c>
    </row>
    <row r="2113" spans="1:9" ht="15.75" customHeight="1" x14ac:dyDescent="0.35">
      <c r="A2113" s="26" t="s">
        <v>4245</v>
      </c>
      <c r="B2113" s="25" t="s">
        <v>314</v>
      </c>
      <c r="C2113" s="6" t="s">
        <v>13995</v>
      </c>
      <c r="D2113" s="13">
        <v>21926.19975</v>
      </c>
      <c r="E2113" s="18">
        <v>21</v>
      </c>
      <c r="F2113" s="2">
        <f t="shared" si="64"/>
        <v>26530.701697500001</v>
      </c>
      <c r="G2113" s="3">
        <v>0</v>
      </c>
      <c r="H2113" s="4">
        <v>0.7</v>
      </c>
      <c r="I2113" s="28">
        <f t="shared" si="65"/>
        <v>45102.192885750002</v>
      </c>
    </row>
    <row r="2114" spans="1:9" ht="15.75" customHeight="1" x14ac:dyDescent="0.35">
      <c r="A2114" s="26" t="s">
        <v>10291</v>
      </c>
      <c r="B2114" s="25" t="s">
        <v>315</v>
      </c>
      <c r="C2114" s="6" t="s">
        <v>13996</v>
      </c>
      <c r="D2114" s="13">
        <v>25078.223625000002</v>
      </c>
      <c r="E2114" s="18">
        <v>21</v>
      </c>
      <c r="F2114" s="2">
        <f t="shared" si="64"/>
        <v>30344.650586250002</v>
      </c>
      <c r="G2114" s="3">
        <v>0</v>
      </c>
      <c r="H2114" s="4">
        <v>0.7</v>
      </c>
      <c r="I2114" s="28">
        <f t="shared" si="65"/>
        <v>51585.905996624999</v>
      </c>
    </row>
    <row r="2115" spans="1:9" ht="15.75" customHeight="1" x14ac:dyDescent="0.35">
      <c r="A2115" s="26" t="s">
        <v>10886</v>
      </c>
      <c r="B2115" s="25" t="s">
        <v>316</v>
      </c>
      <c r="C2115" s="6" t="s">
        <v>13997</v>
      </c>
      <c r="D2115" s="13">
        <v>30331.596749999997</v>
      </c>
      <c r="E2115" s="18">
        <v>21</v>
      </c>
      <c r="F2115" s="2">
        <f t="shared" si="64"/>
        <v>36701.232067499994</v>
      </c>
      <c r="G2115" s="3">
        <v>0</v>
      </c>
      <c r="H2115" s="4">
        <v>0.7</v>
      </c>
      <c r="I2115" s="28">
        <f t="shared" si="65"/>
        <v>62392.094514749988</v>
      </c>
    </row>
    <row r="2116" spans="1:9" ht="15.75" customHeight="1" x14ac:dyDescent="0.35">
      <c r="A2116" s="26" t="s">
        <v>12876</v>
      </c>
      <c r="B2116" s="25" t="s">
        <v>1258</v>
      </c>
      <c r="C2116" s="6" t="s">
        <v>13998</v>
      </c>
      <c r="D2116" s="13">
        <v>36561.354375000003</v>
      </c>
      <c r="E2116" s="18">
        <v>21</v>
      </c>
      <c r="F2116" s="2">
        <f t="shared" si="64"/>
        <v>44239.238793750003</v>
      </c>
      <c r="G2116" s="3">
        <v>0</v>
      </c>
      <c r="H2116" s="4">
        <v>0.7</v>
      </c>
      <c r="I2116" s="28">
        <f t="shared" si="65"/>
        <v>75206.705949374998</v>
      </c>
    </row>
    <row r="2117" spans="1:9" ht="15.75" customHeight="1" x14ac:dyDescent="0.35">
      <c r="A2117" s="26" t="s">
        <v>13883</v>
      </c>
      <c r="B2117" s="25" t="s">
        <v>1259</v>
      </c>
      <c r="C2117" s="6" t="s">
        <v>13884</v>
      </c>
      <c r="D2117" s="13">
        <v>10061.005500000001</v>
      </c>
      <c r="E2117" s="18">
        <v>21</v>
      </c>
      <c r="F2117" s="2">
        <f t="shared" si="64"/>
        <v>12173.816655000002</v>
      </c>
      <c r="G2117" s="3">
        <v>0</v>
      </c>
      <c r="H2117" s="4">
        <v>0.7</v>
      </c>
      <c r="I2117" s="28">
        <f t="shared" si="65"/>
        <v>20695.488313500002</v>
      </c>
    </row>
    <row r="2118" spans="1:9" ht="15.75" customHeight="1" x14ac:dyDescent="0.35">
      <c r="A2118" s="26" t="s">
        <v>13885</v>
      </c>
      <c r="B2118" s="25" t="s">
        <v>317</v>
      </c>
      <c r="C2118" s="6" t="s">
        <v>13886</v>
      </c>
      <c r="D2118" s="13">
        <v>13138.739250000001</v>
      </c>
      <c r="E2118" s="18">
        <v>21</v>
      </c>
      <c r="F2118" s="2">
        <f t="shared" ref="F2118:F2181" si="66">D2118*E2118/100+D2118</f>
        <v>15897.874492500001</v>
      </c>
      <c r="G2118" s="3">
        <v>0</v>
      </c>
      <c r="H2118" s="4">
        <v>0.7</v>
      </c>
      <c r="I2118" s="28">
        <f t="shared" ref="I2118:I2181" si="67">IF(G2118=-1,0,F2118*((100-G2118)/100)*(1+H2118))</f>
        <v>27026.386637250002</v>
      </c>
    </row>
    <row r="2119" spans="1:9" ht="15.75" customHeight="1" x14ac:dyDescent="0.35">
      <c r="A2119" s="26" t="s">
        <v>9768</v>
      </c>
      <c r="B2119" s="25" t="s">
        <v>10661</v>
      </c>
      <c r="C2119" s="6" t="s">
        <v>9769</v>
      </c>
      <c r="D2119" s="13">
        <v>19709.215039800001</v>
      </c>
      <c r="E2119" s="18">
        <v>21</v>
      </c>
      <c r="F2119" s="2">
        <f t="shared" si="66"/>
        <v>23848.150198158</v>
      </c>
      <c r="G2119" s="3">
        <v>0</v>
      </c>
      <c r="H2119" s="4">
        <v>0.7</v>
      </c>
      <c r="I2119" s="28">
        <f t="shared" si="67"/>
        <v>40541.855336868597</v>
      </c>
    </row>
    <row r="2120" spans="1:9" ht="15.75" customHeight="1" x14ac:dyDescent="0.35">
      <c r="A2120" s="26" t="s">
        <v>9770</v>
      </c>
      <c r="B2120" s="25" t="s">
        <v>10662</v>
      </c>
      <c r="C2120" s="6" t="s">
        <v>9771</v>
      </c>
      <c r="D2120" s="13">
        <v>34690.274190000004</v>
      </c>
      <c r="E2120" s="18">
        <v>21</v>
      </c>
      <c r="F2120" s="2">
        <f t="shared" si="66"/>
        <v>41975.231769900005</v>
      </c>
      <c r="G2120" s="3">
        <v>0</v>
      </c>
      <c r="H2120" s="4">
        <v>0.7</v>
      </c>
      <c r="I2120" s="28">
        <f t="shared" si="67"/>
        <v>71357.894008830001</v>
      </c>
    </row>
    <row r="2121" spans="1:9" ht="15.75" customHeight="1" x14ac:dyDescent="0.35">
      <c r="A2121" s="26" t="s">
        <v>3024</v>
      </c>
      <c r="B2121" s="25" t="s">
        <v>318</v>
      </c>
      <c r="C2121" s="6" t="s">
        <v>13148</v>
      </c>
      <c r="D2121" s="13">
        <v>14644.409051999999</v>
      </c>
      <c r="E2121" s="18">
        <v>21</v>
      </c>
      <c r="F2121" s="2">
        <f t="shared" si="66"/>
        <v>17719.73495292</v>
      </c>
      <c r="G2121" s="3">
        <v>0</v>
      </c>
      <c r="H2121" s="4">
        <v>0.7</v>
      </c>
      <c r="I2121" s="28">
        <f t="shared" si="67"/>
        <v>30123.549419963998</v>
      </c>
    </row>
    <row r="2122" spans="1:9" ht="15.75" customHeight="1" x14ac:dyDescent="0.35">
      <c r="A2122" s="26" t="s">
        <v>3025</v>
      </c>
      <c r="B2122" s="25" t="s">
        <v>319</v>
      </c>
      <c r="C2122" s="6" t="s">
        <v>13149</v>
      </c>
      <c r="D2122" s="13">
        <v>5753.160699</v>
      </c>
      <c r="E2122" s="18">
        <v>21</v>
      </c>
      <c r="F2122" s="2">
        <f t="shared" si="66"/>
        <v>6961.32444579</v>
      </c>
      <c r="G2122" s="3">
        <v>0</v>
      </c>
      <c r="H2122" s="4">
        <v>0.7</v>
      </c>
      <c r="I2122" s="28">
        <f t="shared" si="67"/>
        <v>11834.251557842999</v>
      </c>
    </row>
    <row r="2123" spans="1:9" ht="15.75" customHeight="1" x14ac:dyDescent="0.35">
      <c r="A2123" s="26" t="s">
        <v>3026</v>
      </c>
      <c r="B2123" s="25" t="s">
        <v>320</v>
      </c>
      <c r="C2123" s="6" t="s">
        <v>13150</v>
      </c>
      <c r="D2123" s="13">
        <v>5753.160699</v>
      </c>
      <c r="E2123" s="18">
        <v>21</v>
      </c>
      <c r="F2123" s="2">
        <f t="shared" si="66"/>
        <v>6961.32444579</v>
      </c>
      <c r="G2123" s="3">
        <v>0</v>
      </c>
      <c r="H2123" s="4">
        <v>0.7</v>
      </c>
      <c r="I2123" s="28">
        <f t="shared" si="67"/>
        <v>11834.251557842999</v>
      </c>
    </row>
    <row r="2124" spans="1:9" ht="15.75" customHeight="1" x14ac:dyDescent="0.35">
      <c r="A2124" s="26" t="s">
        <v>3027</v>
      </c>
      <c r="B2124" s="25" t="s">
        <v>321</v>
      </c>
      <c r="C2124" s="6" t="s">
        <v>12705</v>
      </c>
      <c r="D2124" s="13">
        <v>5338.2761249999994</v>
      </c>
      <c r="E2124" s="18">
        <v>21</v>
      </c>
      <c r="F2124" s="2">
        <f t="shared" si="66"/>
        <v>6459.3141112499998</v>
      </c>
      <c r="G2124" s="3">
        <v>0</v>
      </c>
      <c r="H2124" s="4">
        <v>0.7</v>
      </c>
      <c r="I2124" s="28">
        <f t="shared" si="67"/>
        <v>10980.833989125</v>
      </c>
    </row>
    <row r="2125" spans="1:9" ht="15.75" customHeight="1" x14ac:dyDescent="0.35">
      <c r="A2125" s="26" t="s">
        <v>3028</v>
      </c>
      <c r="B2125" s="25" t="s">
        <v>322</v>
      </c>
      <c r="C2125" s="6" t="s">
        <v>12706</v>
      </c>
      <c r="D2125" s="13">
        <v>5338.2761249999994</v>
      </c>
      <c r="E2125" s="18">
        <v>21</v>
      </c>
      <c r="F2125" s="2">
        <f t="shared" si="66"/>
        <v>6459.3141112499998</v>
      </c>
      <c r="G2125" s="3">
        <v>0</v>
      </c>
      <c r="H2125" s="4">
        <v>0.7</v>
      </c>
      <c r="I2125" s="28">
        <f t="shared" si="67"/>
        <v>10980.833989125</v>
      </c>
    </row>
    <row r="2126" spans="1:9" ht="15.75" customHeight="1" x14ac:dyDescent="0.35">
      <c r="A2126" s="26" t="s">
        <v>3029</v>
      </c>
      <c r="B2126" s="25" t="s">
        <v>9331</v>
      </c>
      <c r="C2126" s="6" t="s">
        <v>13151</v>
      </c>
      <c r="D2126" s="13">
        <v>14644.409051999999</v>
      </c>
      <c r="E2126" s="18">
        <v>21</v>
      </c>
      <c r="F2126" s="2">
        <f t="shared" si="66"/>
        <v>17719.73495292</v>
      </c>
      <c r="G2126" s="3">
        <v>0</v>
      </c>
      <c r="H2126" s="4">
        <v>0.7</v>
      </c>
      <c r="I2126" s="28">
        <f t="shared" si="67"/>
        <v>30123.549419963998</v>
      </c>
    </row>
    <row r="2127" spans="1:9" ht="15.75" customHeight="1" x14ac:dyDescent="0.35">
      <c r="A2127" s="26" t="s">
        <v>3030</v>
      </c>
      <c r="B2127" s="25" t="s">
        <v>10663</v>
      </c>
      <c r="C2127" s="6" t="s">
        <v>13152</v>
      </c>
      <c r="D2127" s="13">
        <v>14644.409051999999</v>
      </c>
      <c r="E2127" s="18">
        <v>21</v>
      </c>
      <c r="F2127" s="2">
        <f t="shared" si="66"/>
        <v>17719.73495292</v>
      </c>
      <c r="G2127" s="3">
        <v>0</v>
      </c>
      <c r="H2127" s="4">
        <v>0.7</v>
      </c>
      <c r="I2127" s="28">
        <f t="shared" si="67"/>
        <v>30123.549419963998</v>
      </c>
    </row>
    <row r="2128" spans="1:9" ht="15.75" customHeight="1" x14ac:dyDescent="0.35">
      <c r="A2128" s="26" t="s">
        <v>3031</v>
      </c>
      <c r="B2128" s="25" t="s">
        <v>11857</v>
      </c>
      <c r="C2128" s="6" t="s">
        <v>13153</v>
      </c>
      <c r="D2128" s="13">
        <v>22540.242504000002</v>
      </c>
      <c r="E2128" s="18">
        <v>21</v>
      </c>
      <c r="F2128" s="2">
        <f t="shared" si="66"/>
        <v>27273.693429840001</v>
      </c>
      <c r="G2128" s="3">
        <v>0</v>
      </c>
      <c r="H2128" s="4">
        <v>0.7</v>
      </c>
      <c r="I2128" s="28">
        <f t="shared" si="67"/>
        <v>46365.278830727999</v>
      </c>
    </row>
    <row r="2129" spans="1:9" ht="15.75" customHeight="1" x14ac:dyDescent="0.35">
      <c r="A2129" s="26" t="s">
        <v>3032</v>
      </c>
      <c r="B2129" s="25" t="s">
        <v>12243</v>
      </c>
      <c r="C2129" s="6" t="s">
        <v>12878</v>
      </c>
      <c r="D2129" s="13">
        <v>5508.0821249999999</v>
      </c>
      <c r="E2129" s="18">
        <v>21</v>
      </c>
      <c r="F2129" s="2">
        <f t="shared" si="66"/>
        <v>6664.7793712499997</v>
      </c>
      <c r="G2129" s="3">
        <v>0</v>
      </c>
      <c r="H2129" s="4">
        <v>0.7</v>
      </c>
      <c r="I2129" s="28">
        <f t="shared" si="67"/>
        <v>11330.124931124999</v>
      </c>
    </row>
    <row r="2130" spans="1:9" ht="15.75" customHeight="1" x14ac:dyDescent="0.35">
      <c r="A2130" s="26" t="s">
        <v>3033</v>
      </c>
      <c r="B2130" s="25" t="s">
        <v>323</v>
      </c>
      <c r="C2130" s="6" t="s">
        <v>13154</v>
      </c>
      <c r="D2130" s="13">
        <v>5508.0821249999999</v>
      </c>
      <c r="E2130" s="18">
        <v>21</v>
      </c>
      <c r="F2130" s="2">
        <f t="shared" si="66"/>
        <v>6664.7793712499997</v>
      </c>
      <c r="G2130" s="3">
        <v>0</v>
      </c>
      <c r="H2130" s="4">
        <v>0.7</v>
      </c>
      <c r="I2130" s="28">
        <f t="shared" si="67"/>
        <v>11330.124931124999</v>
      </c>
    </row>
    <row r="2131" spans="1:9" ht="15.75" customHeight="1" x14ac:dyDescent="0.35">
      <c r="A2131" s="26" t="s">
        <v>3034</v>
      </c>
      <c r="B2131" s="25" t="s">
        <v>10664</v>
      </c>
      <c r="C2131" s="6" t="s">
        <v>13155</v>
      </c>
      <c r="D2131" s="13">
        <v>5753.160699</v>
      </c>
      <c r="E2131" s="18">
        <v>21</v>
      </c>
      <c r="F2131" s="2">
        <f t="shared" si="66"/>
        <v>6961.32444579</v>
      </c>
      <c r="G2131" s="3">
        <v>0</v>
      </c>
      <c r="H2131" s="4">
        <v>0.7</v>
      </c>
      <c r="I2131" s="28">
        <f t="shared" si="67"/>
        <v>11834.251557842999</v>
      </c>
    </row>
    <row r="2132" spans="1:9" ht="15.75" customHeight="1" x14ac:dyDescent="0.35">
      <c r="A2132" s="26" t="s">
        <v>3035</v>
      </c>
      <c r="B2132" s="25" t="s">
        <v>324</v>
      </c>
      <c r="C2132" s="6" t="s">
        <v>13156</v>
      </c>
      <c r="D2132" s="13">
        <v>7474.0474770000001</v>
      </c>
      <c r="E2132" s="18">
        <v>21</v>
      </c>
      <c r="F2132" s="2">
        <f t="shared" si="66"/>
        <v>9043.5974471699992</v>
      </c>
      <c r="G2132" s="3">
        <v>0</v>
      </c>
      <c r="H2132" s="4">
        <v>0.7</v>
      </c>
      <c r="I2132" s="28">
        <f t="shared" si="67"/>
        <v>15374.115660188998</v>
      </c>
    </row>
    <row r="2133" spans="1:9" ht="15.75" customHeight="1" x14ac:dyDescent="0.35">
      <c r="A2133" s="26" t="s">
        <v>3036</v>
      </c>
      <c r="B2133" s="25" t="s">
        <v>10665</v>
      </c>
      <c r="C2133" s="6" t="s">
        <v>13157</v>
      </c>
      <c r="D2133" s="13">
        <v>5753.160699</v>
      </c>
      <c r="E2133" s="18">
        <v>21</v>
      </c>
      <c r="F2133" s="2">
        <f t="shared" si="66"/>
        <v>6961.32444579</v>
      </c>
      <c r="G2133" s="3">
        <v>0</v>
      </c>
      <c r="H2133" s="4">
        <v>0.7</v>
      </c>
      <c r="I2133" s="28">
        <f t="shared" si="67"/>
        <v>11834.251557842999</v>
      </c>
    </row>
    <row r="2134" spans="1:9" ht="15.75" customHeight="1" x14ac:dyDescent="0.35">
      <c r="A2134" s="26" t="s">
        <v>3037</v>
      </c>
      <c r="B2134" s="25" t="s">
        <v>10180</v>
      </c>
      <c r="C2134" s="6" t="s">
        <v>12707</v>
      </c>
      <c r="D2134" s="13">
        <v>5338.2761249999994</v>
      </c>
      <c r="E2134" s="18">
        <v>21</v>
      </c>
      <c r="F2134" s="2">
        <f t="shared" si="66"/>
        <v>6459.3141112499998</v>
      </c>
      <c r="G2134" s="3">
        <v>0</v>
      </c>
      <c r="H2134" s="4">
        <v>0.7</v>
      </c>
      <c r="I2134" s="28">
        <f t="shared" si="67"/>
        <v>10980.833989125</v>
      </c>
    </row>
    <row r="2135" spans="1:9" ht="15.75" customHeight="1" x14ac:dyDescent="0.35">
      <c r="A2135" s="26" t="s">
        <v>3038</v>
      </c>
      <c r="B2135" s="25" t="s">
        <v>10181</v>
      </c>
      <c r="C2135" s="6" t="s">
        <v>13158</v>
      </c>
      <c r="D2135" s="13">
        <v>5753.160699</v>
      </c>
      <c r="E2135" s="18">
        <v>21</v>
      </c>
      <c r="F2135" s="2">
        <f t="shared" si="66"/>
        <v>6961.32444579</v>
      </c>
      <c r="G2135" s="3">
        <v>0</v>
      </c>
      <c r="H2135" s="4">
        <v>0.7</v>
      </c>
      <c r="I2135" s="28">
        <f t="shared" si="67"/>
        <v>11834.251557842999</v>
      </c>
    </row>
    <row r="2136" spans="1:9" ht="15.75" customHeight="1" x14ac:dyDescent="0.35">
      <c r="A2136" s="26" t="s">
        <v>3039</v>
      </c>
      <c r="B2136" s="25" t="s">
        <v>11988</v>
      </c>
      <c r="C2136" s="6" t="s">
        <v>12708</v>
      </c>
      <c r="D2136" s="13">
        <v>5338.2761249999994</v>
      </c>
      <c r="E2136" s="18">
        <v>21</v>
      </c>
      <c r="F2136" s="2">
        <f t="shared" si="66"/>
        <v>6459.3141112499998</v>
      </c>
      <c r="G2136" s="3">
        <v>0</v>
      </c>
      <c r="H2136" s="4">
        <v>0.7</v>
      </c>
      <c r="I2136" s="28">
        <f t="shared" si="67"/>
        <v>10980.833989125</v>
      </c>
    </row>
    <row r="2137" spans="1:9" ht="15.75" customHeight="1" x14ac:dyDescent="0.35">
      <c r="A2137" s="26" t="s">
        <v>3040</v>
      </c>
      <c r="B2137" s="25" t="s">
        <v>325</v>
      </c>
      <c r="C2137" s="6" t="s">
        <v>13159</v>
      </c>
      <c r="D2137" s="13">
        <v>14644.409051999999</v>
      </c>
      <c r="E2137" s="18">
        <v>21</v>
      </c>
      <c r="F2137" s="2">
        <f t="shared" si="66"/>
        <v>17719.73495292</v>
      </c>
      <c r="G2137" s="3">
        <v>0</v>
      </c>
      <c r="H2137" s="4">
        <v>0.7</v>
      </c>
      <c r="I2137" s="28">
        <f t="shared" si="67"/>
        <v>30123.549419963998</v>
      </c>
    </row>
    <row r="2138" spans="1:9" ht="15.75" customHeight="1" x14ac:dyDescent="0.35">
      <c r="A2138" s="26" t="s">
        <v>3041</v>
      </c>
      <c r="B2138" s="25" t="s">
        <v>11456</v>
      </c>
      <c r="C2138" s="6" t="s">
        <v>13160</v>
      </c>
      <c r="D2138" s="13">
        <v>14644.409051999999</v>
      </c>
      <c r="E2138" s="18">
        <v>21</v>
      </c>
      <c r="F2138" s="2">
        <f t="shared" si="66"/>
        <v>17719.73495292</v>
      </c>
      <c r="G2138" s="3">
        <v>0</v>
      </c>
      <c r="H2138" s="4">
        <v>0.7</v>
      </c>
      <c r="I2138" s="28">
        <f t="shared" si="67"/>
        <v>30123.549419963998</v>
      </c>
    </row>
    <row r="2139" spans="1:9" ht="15.75" customHeight="1" x14ac:dyDescent="0.35">
      <c r="A2139" s="26" t="s">
        <v>3042</v>
      </c>
      <c r="B2139" s="25" t="s">
        <v>326</v>
      </c>
      <c r="C2139" s="6" t="s">
        <v>13161</v>
      </c>
      <c r="D2139" s="13">
        <v>14644.409051999999</v>
      </c>
      <c r="E2139" s="18">
        <v>21</v>
      </c>
      <c r="F2139" s="2">
        <f t="shared" si="66"/>
        <v>17719.73495292</v>
      </c>
      <c r="G2139" s="3">
        <v>0</v>
      </c>
      <c r="H2139" s="4">
        <v>0.7</v>
      </c>
      <c r="I2139" s="28">
        <f t="shared" si="67"/>
        <v>30123.549419963998</v>
      </c>
    </row>
    <row r="2140" spans="1:9" ht="15.75" customHeight="1" x14ac:dyDescent="0.35">
      <c r="A2140" s="26" t="s">
        <v>3043</v>
      </c>
      <c r="B2140" s="25" t="s">
        <v>9342</v>
      </c>
      <c r="C2140" s="6" t="s">
        <v>13162</v>
      </c>
      <c r="D2140" s="13">
        <v>14644.409051999999</v>
      </c>
      <c r="E2140" s="18">
        <v>21</v>
      </c>
      <c r="F2140" s="2">
        <f t="shared" si="66"/>
        <v>17719.73495292</v>
      </c>
      <c r="G2140" s="3">
        <v>0</v>
      </c>
      <c r="H2140" s="4">
        <v>0.7</v>
      </c>
      <c r="I2140" s="28">
        <f t="shared" si="67"/>
        <v>30123.549419963998</v>
      </c>
    </row>
    <row r="2141" spans="1:9" ht="15.75" customHeight="1" x14ac:dyDescent="0.35">
      <c r="A2141" s="26" t="s">
        <v>3044</v>
      </c>
      <c r="B2141" s="25" t="s">
        <v>10006</v>
      </c>
      <c r="C2141" s="6" t="s">
        <v>13163</v>
      </c>
      <c r="D2141" s="13">
        <v>14644.409051999999</v>
      </c>
      <c r="E2141" s="18">
        <v>21</v>
      </c>
      <c r="F2141" s="2">
        <f t="shared" si="66"/>
        <v>17719.73495292</v>
      </c>
      <c r="G2141" s="3">
        <v>0</v>
      </c>
      <c r="H2141" s="4">
        <v>0.7</v>
      </c>
      <c r="I2141" s="28">
        <f t="shared" si="67"/>
        <v>30123.549419963998</v>
      </c>
    </row>
    <row r="2142" spans="1:9" ht="15.75" customHeight="1" x14ac:dyDescent="0.35">
      <c r="A2142" s="26" t="s">
        <v>3045</v>
      </c>
      <c r="B2142" s="25" t="s">
        <v>10007</v>
      </c>
      <c r="C2142" s="6" t="s">
        <v>13164</v>
      </c>
      <c r="D2142" s="13">
        <v>14644.409051999999</v>
      </c>
      <c r="E2142" s="18">
        <v>21</v>
      </c>
      <c r="F2142" s="2">
        <f t="shared" si="66"/>
        <v>17719.73495292</v>
      </c>
      <c r="G2142" s="3">
        <v>0</v>
      </c>
      <c r="H2142" s="4">
        <v>0.7</v>
      </c>
      <c r="I2142" s="28">
        <f t="shared" si="67"/>
        <v>30123.549419963998</v>
      </c>
    </row>
    <row r="2143" spans="1:9" ht="15.75" customHeight="1" x14ac:dyDescent="0.35">
      <c r="A2143" s="26" t="s">
        <v>3046</v>
      </c>
      <c r="B2143" s="25" t="s">
        <v>10008</v>
      </c>
      <c r="C2143" s="6" t="s">
        <v>13165</v>
      </c>
      <c r="D2143" s="13">
        <v>22540.242504000002</v>
      </c>
      <c r="E2143" s="18">
        <v>21</v>
      </c>
      <c r="F2143" s="2">
        <f t="shared" si="66"/>
        <v>27273.693429840001</v>
      </c>
      <c r="G2143" s="3">
        <v>0</v>
      </c>
      <c r="H2143" s="4">
        <v>0.7</v>
      </c>
      <c r="I2143" s="28">
        <f t="shared" si="67"/>
        <v>46365.278830727999</v>
      </c>
    </row>
    <row r="2144" spans="1:9" ht="15.75" customHeight="1" x14ac:dyDescent="0.35">
      <c r="A2144" s="26" t="s">
        <v>3047</v>
      </c>
      <c r="B2144" s="25" t="s">
        <v>10009</v>
      </c>
      <c r="C2144" s="6" t="s">
        <v>13166</v>
      </c>
      <c r="D2144" s="13">
        <v>22540.242504000002</v>
      </c>
      <c r="E2144" s="18">
        <v>21</v>
      </c>
      <c r="F2144" s="2">
        <f t="shared" si="66"/>
        <v>27273.693429840001</v>
      </c>
      <c r="G2144" s="3">
        <v>0</v>
      </c>
      <c r="H2144" s="4">
        <v>0.7</v>
      </c>
      <c r="I2144" s="28">
        <f t="shared" si="67"/>
        <v>46365.278830727999</v>
      </c>
    </row>
    <row r="2145" spans="1:9" ht="15.75" customHeight="1" x14ac:dyDescent="0.35">
      <c r="A2145" s="26" t="s">
        <v>3048</v>
      </c>
      <c r="B2145" s="25" t="s">
        <v>10010</v>
      </c>
      <c r="C2145" s="6" t="s">
        <v>13167</v>
      </c>
      <c r="D2145" s="13">
        <v>22540.242504000002</v>
      </c>
      <c r="E2145" s="18">
        <v>21</v>
      </c>
      <c r="F2145" s="2">
        <f t="shared" si="66"/>
        <v>27273.693429840001</v>
      </c>
      <c r="G2145" s="3">
        <v>0</v>
      </c>
      <c r="H2145" s="4">
        <v>0.7</v>
      </c>
      <c r="I2145" s="28">
        <f t="shared" si="67"/>
        <v>46365.278830727999</v>
      </c>
    </row>
    <row r="2146" spans="1:9" ht="15.75" customHeight="1" x14ac:dyDescent="0.35">
      <c r="A2146" s="26" t="s">
        <v>3049</v>
      </c>
      <c r="B2146" s="25" t="s">
        <v>10182</v>
      </c>
      <c r="C2146" s="6" t="s">
        <v>13168</v>
      </c>
      <c r="D2146" s="13">
        <v>22540.242504000002</v>
      </c>
      <c r="E2146" s="18">
        <v>21</v>
      </c>
      <c r="F2146" s="2">
        <f t="shared" si="66"/>
        <v>27273.693429840001</v>
      </c>
      <c r="G2146" s="3">
        <v>0</v>
      </c>
      <c r="H2146" s="4">
        <v>0.7</v>
      </c>
      <c r="I2146" s="28">
        <f t="shared" si="67"/>
        <v>46365.278830727999</v>
      </c>
    </row>
    <row r="2147" spans="1:9" ht="15.75" customHeight="1" x14ac:dyDescent="0.35">
      <c r="A2147" s="26" t="s">
        <v>3050</v>
      </c>
      <c r="B2147" s="25" t="s">
        <v>10183</v>
      </c>
      <c r="C2147" s="6" t="s">
        <v>13169</v>
      </c>
      <c r="D2147" s="13">
        <v>22540.242504000002</v>
      </c>
      <c r="E2147" s="18">
        <v>21</v>
      </c>
      <c r="F2147" s="2">
        <f t="shared" si="66"/>
        <v>27273.693429840001</v>
      </c>
      <c r="G2147" s="3">
        <v>0</v>
      </c>
      <c r="H2147" s="4">
        <v>0.7</v>
      </c>
      <c r="I2147" s="28">
        <f t="shared" si="67"/>
        <v>46365.278830727999</v>
      </c>
    </row>
    <row r="2148" spans="1:9" ht="15.75" customHeight="1" x14ac:dyDescent="0.35">
      <c r="A2148" s="26" t="s">
        <v>3051</v>
      </c>
      <c r="B2148" s="25" t="s">
        <v>10852</v>
      </c>
      <c r="C2148" s="6" t="s">
        <v>13170</v>
      </c>
      <c r="D2148" s="13">
        <v>45822.828324000002</v>
      </c>
      <c r="E2148" s="18">
        <v>21</v>
      </c>
      <c r="F2148" s="2">
        <f t="shared" si="66"/>
        <v>55445.622272040004</v>
      </c>
      <c r="G2148" s="3">
        <v>0</v>
      </c>
      <c r="H2148" s="4">
        <v>0.7</v>
      </c>
      <c r="I2148" s="28">
        <f t="shared" si="67"/>
        <v>94257.557862468006</v>
      </c>
    </row>
    <row r="2149" spans="1:9" ht="15.75" customHeight="1" x14ac:dyDescent="0.35">
      <c r="A2149" s="26" t="s">
        <v>3237</v>
      </c>
      <c r="B2149" s="25" t="s">
        <v>10853</v>
      </c>
      <c r="C2149" s="6" t="s">
        <v>10666</v>
      </c>
      <c r="D2149" s="13">
        <v>184129.67097817501</v>
      </c>
      <c r="E2149" s="18">
        <v>21</v>
      </c>
      <c r="F2149" s="2">
        <f t="shared" si="66"/>
        <v>222796.90188359175</v>
      </c>
      <c r="G2149" s="3">
        <v>0</v>
      </c>
      <c r="H2149" s="4">
        <v>0.7</v>
      </c>
      <c r="I2149" s="28">
        <f t="shared" si="67"/>
        <v>378754.73320210597</v>
      </c>
    </row>
    <row r="2150" spans="1:9" ht="15.75" customHeight="1" x14ac:dyDescent="0.35">
      <c r="A2150" s="26" t="s">
        <v>3238</v>
      </c>
      <c r="B2150" s="25" t="s">
        <v>327</v>
      </c>
      <c r="C2150" s="6" t="s">
        <v>941</v>
      </c>
      <c r="D2150" s="13">
        <v>231273.118284</v>
      </c>
      <c r="E2150" s="18">
        <v>21</v>
      </c>
      <c r="F2150" s="2">
        <f t="shared" si="66"/>
        <v>279840.47312364</v>
      </c>
      <c r="G2150" s="3">
        <v>0</v>
      </c>
      <c r="H2150" s="4">
        <v>0.7</v>
      </c>
      <c r="I2150" s="28">
        <f t="shared" si="67"/>
        <v>475728.80431018799</v>
      </c>
    </row>
    <row r="2151" spans="1:9" ht="15.75" customHeight="1" x14ac:dyDescent="0.35">
      <c r="A2151" s="26" t="s">
        <v>3239</v>
      </c>
      <c r="B2151" s="25" t="s">
        <v>328</v>
      </c>
      <c r="C2151" s="6" t="s">
        <v>10667</v>
      </c>
      <c r="D2151" s="13">
        <v>255424.62327330001</v>
      </c>
      <c r="E2151" s="18">
        <v>21</v>
      </c>
      <c r="F2151" s="2">
        <f t="shared" si="66"/>
        <v>309063.79416069301</v>
      </c>
      <c r="G2151" s="3">
        <v>0</v>
      </c>
      <c r="H2151" s="4">
        <v>0.7</v>
      </c>
      <c r="I2151" s="28">
        <f t="shared" si="67"/>
        <v>525408.45007317816</v>
      </c>
    </row>
    <row r="2152" spans="1:9" ht="15.75" customHeight="1" x14ac:dyDescent="0.35">
      <c r="A2152" s="26" t="s">
        <v>13760</v>
      </c>
      <c r="B2152" s="25" t="s">
        <v>9979</v>
      </c>
      <c r="C2152" s="6" t="s">
        <v>13761</v>
      </c>
      <c r="D2152" s="13">
        <v>73676.743686000002</v>
      </c>
      <c r="E2152" s="18">
        <v>21</v>
      </c>
      <c r="F2152" s="2">
        <f t="shared" si="66"/>
        <v>89148.859860060009</v>
      </c>
      <c r="G2152" s="3">
        <v>0</v>
      </c>
      <c r="H2152" s="4">
        <v>0.7</v>
      </c>
      <c r="I2152" s="28">
        <f t="shared" si="67"/>
        <v>151553.06176210201</v>
      </c>
    </row>
    <row r="2153" spans="1:9" ht="15.75" customHeight="1" x14ac:dyDescent="0.35">
      <c r="A2153" s="26" t="s">
        <v>9007</v>
      </c>
      <c r="B2153" s="25" t="s">
        <v>329</v>
      </c>
      <c r="C2153" s="6" t="s">
        <v>9018</v>
      </c>
      <c r="D2153" s="13">
        <v>61164.485507766403</v>
      </c>
      <c r="E2153" s="18">
        <v>21</v>
      </c>
      <c r="F2153" s="2">
        <f t="shared" si="66"/>
        <v>74009.027464397353</v>
      </c>
      <c r="G2153" s="3">
        <v>0</v>
      </c>
      <c r="H2153" s="4">
        <v>0.7</v>
      </c>
      <c r="I2153" s="28">
        <f t="shared" si="67"/>
        <v>125815.3466894755</v>
      </c>
    </row>
    <row r="2154" spans="1:9" ht="15.75" customHeight="1" x14ac:dyDescent="0.35">
      <c r="A2154" s="26" t="s">
        <v>3137</v>
      </c>
      <c r="B2154" s="25" t="s">
        <v>10854</v>
      </c>
      <c r="C2154" s="6" t="s">
        <v>1260</v>
      </c>
      <c r="D2154" s="13">
        <v>303468.53259069601</v>
      </c>
      <c r="E2154" s="18">
        <v>21</v>
      </c>
      <c r="F2154" s="2">
        <f t="shared" si="66"/>
        <v>367196.92443474219</v>
      </c>
      <c r="G2154" s="3">
        <v>0</v>
      </c>
      <c r="H2154" s="4">
        <v>0.7</v>
      </c>
      <c r="I2154" s="28">
        <f t="shared" si="67"/>
        <v>624234.77153906168</v>
      </c>
    </row>
    <row r="2155" spans="1:9" ht="15.75" customHeight="1" x14ac:dyDescent="0.35">
      <c r="A2155" s="26" t="s">
        <v>3166</v>
      </c>
      <c r="B2155" s="25" t="s">
        <v>9980</v>
      </c>
      <c r="C2155" s="6" t="s">
        <v>1100</v>
      </c>
      <c r="D2155" s="13">
        <v>413186.059824689</v>
      </c>
      <c r="E2155" s="18">
        <v>21</v>
      </c>
      <c r="F2155" s="2">
        <f t="shared" si="66"/>
        <v>499955.13238787372</v>
      </c>
      <c r="G2155" s="3">
        <v>0</v>
      </c>
      <c r="H2155" s="4">
        <v>0.7</v>
      </c>
      <c r="I2155" s="28">
        <f t="shared" si="67"/>
        <v>849923.7250593853</v>
      </c>
    </row>
    <row r="2156" spans="1:9" ht="15.75" customHeight="1" x14ac:dyDescent="0.35">
      <c r="A2156" s="26" t="s">
        <v>3138</v>
      </c>
      <c r="B2156" s="25" t="s">
        <v>12898</v>
      </c>
      <c r="C2156" s="6" t="s">
        <v>13041</v>
      </c>
      <c r="D2156" s="13">
        <v>291981.705288</v>
      </c>
      <c r="E2156" s="18">
        <v>21</v>
      </c>
      <c r="F2156" s="2">
        <f t="shared" si="66"/>
        <v>353297.86339848</v>
      </c>
      <c r="G2156" s="3">
        <v>0</v>
      </c>
      <c r="H2156" s="4">
        <v>0.7</v>
      </c>
      <c r="I2156" s="28">
        <f t="shared" si="67"/>
        <v>600606.36777741602</v>
      </c>
    </row>
    <row r="2157" spans="1:9" ht="15.75" customHeight="1" x14ac:dyDescent="0.35">
      <c r="A2157" s="26" t="s">
        <v>3139</v>
      </c>
      <c r="B2157" s="25" t="s">
        <v>330</v>
      </c>
      <c r="C2157" s="6" t="s">
        <v>1060</v>
      </c>
      <c r="D2157" s="13">
        <v>73504.877545943993</v>
      </c>
      <c r="E2157" s="18">
        <v>21</v>
      </c>
      <c r="F2157" s="2">
        <f t="shared" si="66"/>
        <v>88940.901830592236</v>
      </c>
      <c r="G2157" s="3">
        <v>0</v>
      </c>
      <c r="H2157" s="4">
        <v>0.7</v>
      </c>
      <c r="I2157" s="28">
        <f t="shared" si="67"/>
        <v>151199.53311200679</v>
      </c>
    </row>
    <row r="2158" spans="1:9" ht="15.75" customHeight="1" x14ac:dyDescent="0.35">
      <c r="A2158" s="26" t="s">
        <v>9008</v>
      </c>
      <c r="B2158" s="25" t="s">
        <v>8795</v>
      </c>
      <c r="C2158" s="6" t="s">
        <v>9158</v>
      </c>
      <c r="D2158" s="13">
        <v>85036.677940908703</v>
      </c>
      <c r="E2158" s="18">
        <v>21</v>
      </c>
      <c r="F2158" s="2">
        <f t="shared" si="66"/>
        <v>102894.38030849953</v>
      </c>
      <c r="G2158" s="3">
        <v>0</v>
      </c>
      <c r="H2158" s="4">
        <v>0.7</v>
      </c>
      <c r="I2158" s="28">
        <f t="shared" si="67"/>
        <v>174920.44652444919</v>
      </c>
    </row>
    <row r="2159" spans="1:9" ht="15.75" customHeight="1" x14ac:dyDescent="0.35">
      <c r="A2159" s="26" t="s">
        <v>12919</v>
      </c>
      <c r="B2159" s="25" t="s">
        <v>331</v>
      </c>
      <c r="C2159" s="6" t="s">
        <v>12920</v>
      </c>
      <c r="D2159" s="13">
        <v>101313.037098</v>
      </c>
      <c r="E2159" s="18">
        <v>21</v>
      </c>
      <c r="F2159" s="2">
        <f t="shared" si="66"/>
        <v>122588.77488858</v>
      </c>
      <c r="G2159" s="3">
        <v>0</v>
      </c>
      <c r="H2159" s="4">
        <v>0.7</v>
      </c>
      <c r="I2159" s="28">
        <f t="shared" si="67"/>
        <v>208400.917310586</v>
      </c>
    </row>
    <row r="2160" spans="1:9" ht="15.75" customHeight="1" x14ac:dyDescent="0.35">
      <c r="A2160" s="26" t="s">
        <v>9262</v>
      </c>
      <c r="B2160" s="25" t="s">
        <v>332</v>
      </c>
      <c r="C2160" s="6" t="s">
        <v>9263</v>
      </c>
      <c r="D2160" s="13">
        <v>108509.742437083</v>
      </c>
      <c r="E2160" s="18">
        <v>21</v>
      </c>
      <c r="F2160" s="2">
        <f t="shared" si="66"/>
        <v>131296.78834887044</v>
      </c>
      <c r="G2160" s="3">
        <v>0</v>
      </c>
      <c r="H2160" s="4">
        <v>0.7</v>
      </c>
      <c r="I2160" s="28">
        <f t="shared" si="67"/>
        <v>223204.54019307974</v>
      </c>
    </row>
    <row r="2161" spans="1:9" ht="15.75" customHeight="1" x14ac:dyDescent="0.35">
      <c r="A2161" s="26" t="s">
        <v>3142</v>
      </c>
      <c r="B2161" s="25" t="s">
        <v>333</v>
      </c>
      <c r="C2161" s="6" t="s">
        <v>9264</v>
      </c>
      <c r="D2161" s="13">
        <v>130782.18920701</v>
      </c>
      <c r="E2161" s="18">
        <v>21</v>
      </c>
      <c r="F2161" s="2">
        <f t="shared" si="66"/>
        <v>158246.44894048211</v>
      </c>
      <c r="G2161" s="3">
        <v>0</v>
      </c>
      <c r="H2161" s="4">
        <v>0.7</v>
      </c>
      <c r="I2161" s="28">
        <f t="shared" si="67"/>
        <v>269018.96319881955</v>
      </c>
    </row>
    <row r="2162" spans="1:9" ht="15.75" customHeight="1" x14ac:dyDescent="0.35">
      <c r="A2162" s="26" t="s">
        <v>3143</v>
      </c>
      <c r="B2162" s="25" t="s">
        <v>12194</v>
      </c>
      <c r="C2162" s="6" t="s">
        <v>942</v>
      </c>
      <c r="D2162" s="13">
        <v>176018.58295996999</v>
      </c>
      <c r="E2162" s="18">
        <v>21</v>
      </c>
      <c r="F2162" s="2">
        <f t="shared" si="66"/>
        <v>212982.48538156369</v>
      </c>
      <c r="G2162" s="3">
        <v>0</v>
      </c>
      <c r="H2162" s="4">
        <v>0.7</v>
      </c>
      <c r="I2162" s="28">
        <f t="shared" si="67"/>
        <v>362070.22514865827</v>
      </c>
    </row>
    <row r="2163" spans="1:9" ht="15.75" customHeight="1" x14ac:dyDescent="0.35">
      <c r="A2163" s="26" t="s">
        <v>3146</v>
      </c>
      <c r="B2163" s="25" t="s">
        <v>11766</v>
      </c>
      <c r="C2163" s="6" t="s">
        <v>13857</v>
      </c>
      <c r="D2163" s="13">
        <v>140711.12018599999</v>
      </c>
      <c r="E2163" s="18">
        <v>21</v>
      </c>
      <c r="F2163" s="2">
        <f t="shared" si="66"/>
        <v>170260.45542505998</v>
      </c>
      <c r="G2163" s="3">
        <v>0</v>
      </c>
      <c r="H2163" s="4">
        <v>0.7</v>
      </c>
      <c r="I2163" s="28">
        <f t="shared" si="67"/>
        <v>289442.77422260196</v>
      </c>
    </row>
    <row r="2164" spans="1:9" ht="15.75" customHeight="1" x14ac:dyDescent="0.35">
      <c r="A2164" s="26" t="s">
        <v>9531</v>
      </c>
      <c r="B2164" s="25" t="s">
        <v>11767</v>
      </c>
      <c r="C2164" s="6" t="s">
        <v>9532</v>
      </c>
      <c r="D2164" s="13">
        <v>140284.60353998799</v>
      </c>
      <c r="E2164" s="18">
        <v>21</v>
      </c>
      <c r="F2164" s="2">
        <f t="shared" si="66"/>
        <v>169744.37028338548</v>
      </c>
      <c r="G2164" s="3">
        <v>0</v>
      </c>
      <c r="H2164" s="4">
        <v>0.7</v>
      </c>
      <c r="I2164" s="28">
        <f t="shared" si="67"/>
        <v>288565.4294817553</v>
      </c>
    </row>
    <row r="2165" spans="1:9" ht="15.75" customHeight="1" x14ac:dyDescent="0.35">
      <c r="A2165" s="26" t="s">
        <v>12921</v>
      </c>
      <c r="B2165" s="25" t="s">
        <v>11768</v>
      </c>
      <c r="C2165" s="6" t="s">
        <v>12922</v>
      </c>
      <c r="D2165" s="13">
        <v>178881.114412</v>
      </c>
      <c r="E2165" s="18">
        <v>21</v>
      </c>
      <c r="F2165" s="2">
        <f t="shared" si="66"/>
        <v>216446.14843852</v>
      </c>
      <c r="G2165" s="3">
        <v>0</v>
      </c>
      <c r="H2165" s="4">
        <v>0.7</v>
      </c>
      <c r="I2165" s="28">
        <f t="shared" si="67"/>
        <v>367958.45234548399</v>
      </c>
    </row>
    <row r="2166" spans="1:9" ht="15.75" customHeight="1" x14ac:dyDescent="0.35">
      <c r="A2166" s="26" t="s">
        <v>9009</v>
      </c>
      <c r="B2166" s="25" t="s">
        <v>11769</v>
      </c>
      <c r="C2166" s="6" t="s">
        <v>9157</v>
      </c>
      <c r="D2166" s="13">
        <v>53988.819865236401</v>
      </c>
      <c r="E2166" s="18">
        <v>21</v>
      </c>
      <c r="F2166" s="2">
        <f t="shared" si="66"/>
        <v>65326.472036936044</v>
      </c>
      <c r="G2166" s="3">
        <v>0</v>
      </c>
      <c r="H2166" s="4">
        <v>0.7</v>
      </c>
      <c r="I2166" s="28">
        <f t="shared" si="67"/>
        <v>111055.00246279128</v>
      </c>
    </row>
    <row r="2167" spans="1:9" ht="15.75" customHeight="1" x14ac:dyDescent="0.35">
      <c r="A2167" s="26" t="s">
        <v>9265</v>
      </c>
      <c r="B2167" s="25" t="s">
        <v>11770</v>
      </c>
      <c r="C2167" s="6" t="s">
        <v>9266</v>
      </c>
      <c r="D2167" s="13">
        <v>187787.513826718</v>
      </c>
      <c r="E2167" s="18">
        <v>21</v>
      </c>
      <c r="F2167" s="2">
        <f t="shared" si="66"/>
        <v>227222.89173032879</v>
      </c>
      <c r="G2167" s="3">
        <v>0</v>
      </c>
      <c r="H2167" s="4">
        <v>0.7</v>
      </c>
      <c r="I2167" s="28">
        <f t="shared" si="67"/>
        <v>386278.91594155895</v>
      </c>
    </row>
    <row r="2168" spans="1:9" ht="15.75" customHeight="1" x14ac:dyDescent="0.35">
      <c r="A2168" s="26" t="s">
        <v>12923</v>
      </c>
      <c r="B2168" s="25" t="s">
        <v>11771</v>
      </c>
      <c r="C2168" s="6" t="s">
        <v>12924</v>
      </c>
      <c r="D2168" s="13">
        <v>225757.46666199999</v>
      </c>
      <c r="E2168" s="18">
        <v>21</v>
      </c>
      <c r="F2168" s="2">
        <f t="shared" si="66"/>
        <v>273166.53466101998</v>
      </c>
      <c r="G2168" s="3">
        <v>0</v>
      </c>
      <c r="H2168" s="4">
        <v>0.7</v>
      </c>
      <c r="I2168" s="28">
        <f t="shared" si="67"/>
        <v>464383.10892373393</v>
      </c>
    </row>
    <row r="2169" spans="1:9" ht="15.75" customHeight="1" x14ac:dyDescent="0.35">
      <c r="A2169" s="26" t="s">
        <v>9778</v>
      </c>
      <c r="B2169" s="25" t="s">
        <v>12195</v>
      </c>
      <c r="C2169" s="6" t="s">
        <v>9779</v>
      </c>
      <c r="D2169" s="13">
        <v>40789.8423114904</v>
      </c>
      <c r="E2169" s="18">
        <v>21</v>
      </c>
      <c r="F2169" s="2">
        <f t="shared" si="66"/>
        <v>49355.709196903386</v>
      </c>
      <c r="G2169" s="3">
        <v>0</v>
      </c>
      <c r="H2169" s="4">
        <v>0.7</v>
      </c>
      <c r="I2169" s="28">
        <f t="shared" si="67"/>
        <v>83904.705634735757</v>
      </c>
    </row>
    <row r="2170" spans="1:9" ht="15.75" customHeight="1" x14ac:dyDescent="0.35">
      <c r="A2170" s="26" t="s">
        <v>3150</v>
      </c>
      <c r="B2170" s="25" t="s">
        <v>12196</v>
      </c>
      <c r="C2170" s="6" t="s">
        <v>9722</v>
      </c>
      <c r="D2170" s="13">
        <v>47237.894042653003</v>
      </c>
      <c r="E2170" s="18">
        <v>21</v>
      </c>
      <c r="F2170" s="2">
        <f t="shared" si="66"/>
        <v>57157.851791610134</v>
      </c>
      <c r="G2170" s="3">
        <v>0</v>
      </c>
      <c r="H2170" s="4">
        <v>0.7</v>
      </c>
      <c r="I2170" s="28">
        <f t="shared" si="67"/>
        <v>97168.348045737221</v>
      </c>
    </row>
    <row r="2171" spans="1:9" ht="15.75" customHeight="1" x14ac:dyDescent="0.35">
      <c r="A2171" s="26" t="s">
        <v>9780</v>
      </c>
      <c r="B2171" s="25" t="s">
        <v>12197</v>
      </c>
      <c r="C2171" s="6" t="s">
        <v>9781</v>
      </c>
      <c r="D2171" s="13">
        <v>52841.274018315104</v>
      </c>
      <c r="E2171" s="18">
        <v>21</v>
      </c>
      <c r="F2171" s="2">
        <f t="shared" si="66"/>
        <v>63937.941562161272</v>
      </c>
      <c r="G2171" s="3">
        <v>0</v>
      </c>
      <c r="H2171" s="4">
        <v>0.7</v>
      </c>
      <c r="I2171" s="28">
        <f t="shared" si="67"/>
        <v>108694.50065567416</v>
      </c>
    </row>
    <row r="2172" spans="1:9" ht="15.75" customHeight="1" x14ac:dyDescent="0.35">
      <c r="A2172" s="26" t="s">
        <v>3151</v>
      </c>
      <c r="B2172" s="25" t="s">
        <v>9956</v>
      </c>
      <c r="C2172" s="6" t="s">
        <v>9533</v>
      </c>
      <c r="D2172" s="13">
        <v>58200.317309124897</v>
      </c>
      <c r="E2172" s="18">
        <v>21</v>
      </c>
      <c r="F2172" s="2">
        <f t="shared" si="66"/>
        <v>70422.383944041125</v>
      </c>
      <c r="G2172" s="3">
        <v>0</v>
      </c>
      <c r="H2172" s="4">
        <v>0.7</v>
      </c>
      <c r="I2172" s="28">
        <f t="shared" si="67"/>
        <v>119718.05270486992</v>
      </c>
    </row>
    <row r="2173" spans="1:9" ht="15.75" customHeight="1" x14ac:dyDescent="0.35">
      <c r="A2173" s="26" t="s">
        <v>9605</v>
      </c>
      <c r="B2173" s="25" t="s">
        <v>13200</v>
      </c>
      <c r="C2173" s="6" t="s">
        <v>9606</v>
      </c>
      <c r="D2173" s="13">
        <v>76754.1864040988</v>
      </c>
      <c r="E2173" s="18">
        <v>21</v>
      </c>
      <c r="F2173" s="2">
        <f t="shared" si="66"/>
        <v>92872.565548959552</v>
      </c>
      <c r="G2173" s="3">
        <v>0</v>
      </c>
      <c r="H2173" s="4">
        <v>0.7</v>
      </c>
      <c r="I2173" s="28">
        <f t="shared" si="67"/>
        <v>157883.36143323124</v>
      </c>
    </row>
    <row r="2174" spans="1:9" ht="15.75" customHeight="1" x14ac:dyDescent="0.35">
      <c r="A2174" s="26" t="s">
        <v>9690</v>
      </c>
      <c r="B2174" s="25" t="s">
        <v>12198</v>
      </c>
      <c r="C2174" s="6" t="s">
        <v>9691</v>
      </c>
      <c r="D2174" s="13">
        <v>59533.006299518704</v>
      </c>
      <c r="E2174" s="18">
        <v>21</v>
      </c>
      <c r="F2174" s="2">
        <f t="shared" si="66"/>
        <v>72034.937622417638</v>
      </c>
      <c r="G2174" s="3">
        <v>0</v>
      </c>
      <c r="H2174" s="4">
        <v>0.7</v>
      </c>
      <c r="I2174" s="28">
        <f t="shared" si="67"/>
        <v>122459.39395810998</v>
      </c>
    </row>
    <row r="2175" spans="1:9" ht="15.75" customHeight="1" x14ac:dyDescent="0.35">
      <c r="A2175" s="26" t="s">
        <v>12925</v>
      </c>
      <c r="B2175" s="25" t="s">
        <v>12199</v>
      </c>
      <c r="C2175" s="6" t="s">
        <v>12926</v>
      </c>
      <c r="D2175" s="13">
        <v>72212.961001999996</v>
      </c>
      <c r="E2175" s="18">
        <v>21</v>
      </c>
      <c r="F2175" s="2">
        <f t="shared" si="66"/>
        <v>87377.682812419996</v>
      </c>
      <c r="G2175" s="3">
        <v>0</v>
      </c>
      <c r="H2175" s="4">
        <v>0.7</v>
      </c>
      <c r="I2175" s="28">
        <f t="shared" si="67"/>
        <v>148542.06078111398</v>
      </c>
    </row>
    <row r="2176" spans="1:9" ht="15.75" customHeight="1" x14ac:dyDescent="0.35">
      <c r="A2176" s="26" t="s">
        <v>3152</v>
      </c>
      <c r="B2176" s="25" t="s">
        <v>939</v>
      </c>
      <c r="C2176" s="6" t="s">
        <v>12100</v>
      </c>
      <c r="D2176" s="13">
        <v>62873.015305662899</v>
      </c>
      <c r="E2176" s="18">
        <v>21</v>
      </c>
      <c r="F2176" s="2">
        <f t="shared" si="66"/>
        <v>76076.348519852108</v>
      </c>
      <c r="G2176" s="3">
        <v>0</v>
      </c>
      <c r="H2176" s="4">
        <v>0.7</v>
      </c>
      <c r="I2176" s="28">
        <f t="shared" si="67"/>
        <v>129329.79248374858</v>
      </c>
    </row>
    <row r="2177" spans="1:9" ht="15.75" customHeight="1" x14ac:dyDescent="0.35">
      <c r="A2177" s="26" t="s">
        <v>9267</v>
      </c>
      <c r="B2177" s="25" t="s">
        <v>334</v>
      </c>
      <c r="C2177" s="6" t="s">
        <v>9268</v>
      </c>
      <c r="D2177" s="13">
        <v>90361.3476864759</v>
      </c>
      <c r="E2177" s="18">
        <v>21</v>
      </c>
      <c r="F2177" s="2">
        <f t="shared" si="66"/>
        <v>109337.23070063585</v>
      </c>
      <c r="G2177" s="3">
        <v>0</v>
      </c>
      <c r="H2177" s="4">
        <v>0.7</v>
      </c>
      <c r="I2177" s="28">
        <f t="shared" si="67"/>
        <v>185873.29219108092</v>
      </c>
    </row>
    <row r="2178" spans="1:9" ht="15.75" customHeight="1" x14ac:dyDescent="0.35">
      <c r="A2178" s="26" t="s">
        <v>3117</v>
      </c>
      <c r="B2178" s="25" t="s">
        <v>940</v>
      </c>
      <c r="C2178" s="6" t="s">
        <v>1102</v>
      </c>
      <c r="D2178" s="13">
        <v>117320.178248</v>
      </c>
      <c r="E2178" s="18">
        <v>21</v>
      </c>
      <c r="F2178" s="2">
        <f t="shared" si="66"/>
        <v>141957.41568008001</v>
      </c>
      <c r="G2178" s="3">
        <v>0</v>
      </c>
      <c r="H2178" s="4">
        <v>0.7</v>
      </c>
      <c r="I2178" s="28">
        <f t="shared" si="67"/>
        <v>241327.60665613602</v>
      </c>
    </row>
    <row r="2179" spans="1:9" ht="15.75" customHeight="1" x14ac:dyDescent="0.35">
      <c r="A2179" s="26" t="s">
        <v>3118</v>
      </c>
      <c r="B2179" s="25" t="s">
        <v>335</v>
      </c>
      <c r="C2179" s="6" t="s">
        <v>1103</v>
      </c>
      <c r="D2179" s="13">
        <v>107638.65081332999</v>
      </c>
      <c r="E2179" s="18">
        <v>21</v>
      </c>
      <c r="F2179" s="2">
        <f t="shared" si="66"/>
        <v>130242.76748412929</v>
      </c>
      <c r="G2179" s="3">
        <v>0</v>
      </c>
      <c r="H2179" s="4">
        <v>0.7</v>
      </c>
      <c r="I2179" s="28">
        <f t="shared" si="67"/>
        <v>221412.70472301979</v>
      </c>
    </row>
    <row r="2180" spans="1:9" ht="15.75" customHeight="1" x14ac:dyDescent="0.35">
      <c r="A2180" s="26" t="s">
        <v>11974</v>
      </c>
      <c r="B2180" s="25" t="s">
        <v>336</v>
      </c>
      <c r="C2180" s="6" t="s">
        <v>11975</v>
      </c>
      <c r="D2180" s="13">
        <v>75845.507566490996</v>
      </c>
      <c r="E2180" s="18">
        <v>21</v>
      </c>
      <c r="F2180" s="2">
        <f t="shared" si="66"/>
        <v>91773.064155454107</v>
      </c>
      <c r="G2180" s="3">
        <v>0</v>
      </c>
      <c r="H2180" s="4">
        <v>0.7</v>
      </c>
      <c r="I2180" s="28">
        <f t="shared" si="67"/>
        <v>156014.20906427197</v>
      </c>
    </row>
    <row r="2181" spans="1:9" ht="15.75" customHeight="1" x14ac:dyDescent="0.35">
      <c r="A2181" s="26" t="s">
        <v>9010</v>
      </c>
      <c r="B2181" s="25" t="s">
        <v>337</v>
      </c>
      <c r="C2181" s="6" t="s">
        <v>9019</v>
      </c>
      <c r="D2181" s="13">
        <v>82475.976087858595</v>
      </c>
      <c r="E2181" s="18">
        <v>21</v>
      </c>
      <c r="F2181" s="2">
        <f t="shared" si="66"/>
        <v>99795.931066308898</v>
      </c>
      <c r="G2181" s="3">
        <v>0</v>
      </c>
      <c r="H2181" s="4">
        <v>0.7</v>
      </c>
      <c r="I2181" s="28">
        <f t="shared" si="67"/>
        <v>169653.08281272513</v>
      </c>
    </row>
    <row r="2182" spans="1:9" ht="15.75" customHeight="1" x14ac:dyDescent="0.35">
      <c r="A2182" s="26" t="s">
        <v>9269</v>
      </c>
      <c r="B2182" s="25" t="s">
        <v>338</v>
      </c>
      <c r="C2182" s="6" t="s">
        <v>9270</v>
      </c>
      <c r="D2182" s="13">
        <v>108171.058091436</v>
      </c>
      <c r="E2182" s="18">
        <v>21</v>
      </c>
      <c r="F2182" s="2">
        <f t="shared" ref="F2182:F2245" si="68">D2182*E2182/100+D2182</f>
        <v>130886.98029063756</v>
      </c>
      <c r="G2182" s="3">
        <v>0</v>
      </c>
      <c r="H2182" s="4">
        <v>0.7</v>
      </c>
      <c r="I2182" s="28">
        <f t="shared" ref="I2182:I2245" si="69">IF(G2182=-1,0,F2182*((100-G2182)/100)*(1+H2182))</f>
        <v>222507.86649408384</v>
      </c>
    </row>
    <row r="2183" spans="1:9" ht="15.75" customHeight="1" x14ac:dyDescent="0.35">
      <c r="A2183" s="26" t="s">
        <v>12927</v>
      </c>
      <c r="B2183" s="25" t="s">
        <v>339</v>
      </c>
      <c r="C2183" s="6" t="s">
        <v>12928</v>
      </c>
      <c r="D2183" s="13">
        <v>93469.299377999996</v>
      </c>
      <c r="E2183" s="18">
        <v>21</v>
      </c>
      <c r="F2183" s="2">
        <f t="shared" si="68"/>
        <v>113097.85224738</v>
      </c>
      <c r="G2183" s="3">
        <v>0</v>
      </c>
      <c r="H2183" s="4">
        <v>0.7</v>
      </c>
      <c r="I2183" s="28">
        <f t="shared" si="69"/>
        <v>192266.348820546</v>
      </c>
    </row>
    <row r="2184" spans="1:9" ht="15.75" customHeight="1" x14ac:dyDescent="0.35">
      <c r="A2184" s="26" t="s">
        <v>13907</v>
      </c>
      <c r="B2184" s="25" t="s">
        <v>340</v>
      </c>
      <c r="C2184" s="6" t="s">
        <v>13930</v>
      </c>
      <c r="D2184" s="13">
        <v>100816.839578</v>
      </c>
      <c r="E2184" s="18">
        <v>21</v>
      </c>
      <c r="F2184" s="2">
        <f t="shared" si="68"/>
        <v>121988.37588938</v>
      </c>
      <c r="G2184" s="3">
        <v>0</v>
      </c>
      <c r="H2184" s="4">
        <v>0.7</v>
      </c>
      <c r="I2184" s="28">
        <f t="shared" si="69"/>
        <v>207380.23901194599</v>
      </c>
    </row>
    <row r="2185" spans="1:9" ht="15.75" customHeight="1" x14ac:dyDescent="0.35">
      <c r="A2185" s="26" t="s">
        <v>9782</v>
      </c>
      <c r="B2185" s="25" t="s">
        <v>341</v>
      </c>
      <c r="C2185" s="6" t="s">
        <v>9783</v>
      </c>
      <c r="D2185" s="13">
        <v>117853.113462379</v>
      </c>
      <c r="E2185" s="18">
        <v>21</v>
      </c>
      <c r="F2185" s="2">
        <f t="shared" si="68"/>
        <v>142602.26728947859</v>
      </c>
      <c r="G2185" s="3">
        <v>0</v>
      </c>
      <c r="H2185" s="4">
        <v>0.7</v>
      </c>
      <c r="I2185" s="28">
        <f t="shared" si="69"/>
        <v>242423.8543921136</v>
      </c>
    </row>
    <row r="2186" spans="1:9" ht="15.75" customHeight="1" x14ac:dyDescent="0.35">
      <c r="A2186" s="26" t="s">
        <v>9784</v>
      </c>
      <c r="B2186" s="25" t="s">
        <v>342</v>
      </c>
      <c r="C2186" s="6" t="s">
        <v>9785</v>
      </c>
      <c r="D2186" s="13">
        <v>111681.792244208</v>
      </c>
      <c r="E2186" s="18">
        <v>21</v>
      </c>
      <c r="F2186" s="2">
        <f t="shared" si="68"/>
        <v>135134.96861549167</v>
      </c>
      <c r="G2186" s="3">
        <v>0</v>
      </c>
      <c r="H2186" s="4">
        <v>0.7</v>
      </c>
      <c r="I2186" s="28">
        <f t="shared" si="69"/>
        <v>229729.44664633583</v>
      </c>
    </row>
    <row r="2187" spans="1:9" ht="15.75" customHeight="1" x14ac:dyDescent="0.35">
      <c r="A2187" s="26" t="s">
        <v>12929</v>
      </c>
      <c r="B2187" s="25" t="s">
        <v>12051</v>
      </c>
      <c r="C2187" s="6" t="s">
        <v>12930</v>
      </c>
      <c r="D2187" s="13">
        <v>141301.78607999999</v>
      </c>
      <c r="E2187" s="18">
        <v>21</v>
      </c>
      <c r="F2187" s="2">
        <f t="shared" si="68"/>
        <v>170975.16115679999</v>
      </c>
      <c r="G2187" s="3">
        <v>0</v>
      </c>
      <c r="H2187" s="4">
        <v>0.7</v>
      </c>
      <c r="I2187" s="28">
        <f t="shared" si="69"/>
        <v>290657.77396655997</v>
      </c>
    </row>
    <row r="2188" spans="1:9" ht="15.75" customHeight="1" x14ac:dyDescent="0.35">
      <c r="A2188" s="26" t="s">
        <v>9271</v>
      </c>
      <c r="B2188" s="25" t="s">
        <v>8968</v>
      </c>
      <c r="C2188" s="6" t="s">
        <v>9272</v>
      </c>
      <c r="D2188" s="13">
        <v>119620.865083328</v>
      </c>
      <c r="E2188" s="18">
        <v>21</v>
      </c>
      <c r="F2188" s="2">
        <f t="shared" si="68"/>
        <v>144741.24675082689</v>
      </c>
      <c r="G2188" s="3">
        <v>0</v>
      </c>
      <c r="H2188" s="4">
        <v>0.7</v>
      </c>
      <c r="I2188" s="28">
        <f t="shared" si="69"/>
        <v>246060.1194764057</v>
      </c>
    </row>
    <row r="2189" spans="1:9" ht="15.75" customHeight="1" x14ac:dyDescent="0.35">
      <c r="A2189" s="26" t="s">
        <v>12931</v>
      </c>
      <c r="B2189" s="25" t="s">
        <v>343</v>
      </c>
      <c r="C2189" s="6" t="s">
        <v>12932</v>
      </c>
      <c r="D2189" s="13">
        <v>145100.559786</v>
      </c>
      <c r="E2189" s="18">
        <v>21</v>
      </c>
      <c r="F2189" s="2">
        <f t="shared" si="68"/>
        <v>175571.67734106001</v>
      </c>
      <c r="G2189" s="3">
        <v>0</v>
      </c>
      <c r="H2189" s="4">
        <v>0.7</v>
      </c>
      <c r="I2189" s="28">
        <f t="shared" si="69"/>
        <v>298471.85147980199</v>
      </c>
    </row>
    <row r="2190" spans="1:9" ht="15.75" customHeight="1" x14ac:dyDescent="0.35">
      <c r="A2190" s="26" t="s">
        <v>12933</v>
      </c>
      <c r="B2190" s="25" t="s">
        <v>11628</v>
      </c>
      <c r="C2190" s="6" t="s">
        <v>12934</v>
      </c>
      <c r="D2190" s="13">
        <v>159480.74560600001</v>
      </c>
      <c r="E2190" s="18">
        <v>21</v>
      </c>
      <c r="F2190" s="2">
        <f t="shared" si="68"/>
        <v>192971.70218326</v>
      </c>
      <c r="G2190" s="3">
        <v>0</v>
      </c>
      <c r="H2190" s="4">
        <v>0.7</v>
      </c>
      <c r="I2190" s="28">
        <f t="shared" si="69"/>
        <v>328051.89371154201</v>
      </c>
    </row>
    <row r="2191" spans="1:9" ht="15.75" customHeight="1" x14ac:dyDescent="0.35">
      <c r="A2191" s="26" t="s">
        <v>9512</v>
      </c>
      <c r="B2191" s="25" t="s">
        <v>12060</v>
      </c>
      <c r="C2191" s="6" t="s">
        <v>9513</v>
      </c>
      <c r="D2191" s="13">
        <v>143207.440901853</v>
      </c>
      <c r="E2191" s="18">
        <v>21</v>
      </c>
      <c r="F2191" s="2">
        <f t="shared" si="68"/>
        <v>173281.00349124213</v>
      </c>
      <c r="G2191" s="3">
        <v>0</v>
      </c>
      <c r="H2191" s="4">
        <v>0.7</v>
      </c>
      <c r="I2191" s="28">
        <f t="shared" si="69"/>
        <v>294577.70593511162</v>
      </c>
    </row>
    <row r="2192" spans="1:9" ht="15.75" customHeight="1" x14ac:dyDescent="0.35">
      <c r="A2192" s="26" t="s">
        <v>13043</v>
      </c>
      <c r="B2192" s="25" t="s">
        <v>11630</v>
      </c>
      <c r="C2192" s="6" t="s">
        <v>13044</v>
      </c>
      <c r="D2192" s="13">
        <v>183175.13141199999</v>
      </c>
      <c r="E2192" s="18">
        <v>21</v>
      </c>
      <c r="F2192" s="2">
        <f t="shared" si="68"/>
        <v>221641.90900851999</v>
      </c>
      <c r="G2192" s="3">
        <v>0</v>
      </c>
      <c r="H2192" s="4">
        <v>0.7</v>
      </c>
      <c r="I2192" s="28">
        <f t="shared" si="69"/>
        <v>376791.24531448394</v>
      </c>
    </row>
    <row r="2193" spans="1:9" ht="15.75" customHeight="1" x14ac:dyDescent="0.35">
      <c r="A2193" s="26" t="s">
        <v>8999</v>
      </c>
      <c r="B2193" s="25" t="s">
        <v>9766</v>
      </c>
      <c r="C2193" s="6" t="s">
        <v>9020</v>
      </c>
      <c r="D2193" s="13">
        <v>142910.05345497499</v>
      </c>
      <c r="E2193" s="18">
        <v>21</v>
      </c>
      <c r="F2193" s="2">
        <f t="shared" si="68"/>
        <v>172921.16468051972</v>
      </c>
      <c r="G2193" s="3">
        <v>0</v>
      </c>
      <c r="H2193" s="4">
        <v>0.7</v>
      </c>
      <c r="I2193" s="28">
        <f t="shared" si="69"/>
        <v>293965.97995688353</v>
      </c>
    </row>
    <row r="2194" spans="1:9" ht="15.75" customHeight="1" x14ac:dyDescent="0.35">
      <c r="A2194" s="26" t="s">
        <v>9273</v>
      </c>
      <c r="B2194" s="25" t="s">
        <v>11280</v>
      </c>
      <c r="C2194" s="6" t="s">
        <v>9274</v>
      </c>
      <c r="D2194" s="13">
        <v>170087.93225603001</v>
      </c>
      <c r="E2194" s="18">
        <v>21</v>
      </c>
      <c r="F2194" s="2">
        <f t="shared" si="68"/>
        <v>205806.39802979631</v>
      </c>
      <c r="G2194" s="3">
        <v>0</v>
      </c>
      <c r="H2194" s="4">
        <v>0.7</v>
      </c>
      <c r="I2194" s="28">
        <f t="shared" si="69"/>
        <v>349870.87665065372</v>
      </c>
    </row>
    <row r="2195" spans="1:9" ht="15.75" customHeight="1" x14ac:dyDescent="0.35">
      <c r="A2195" s="26" t="s">
        <v>3128</v>
      </c>
      <c r="B2195" s="25" t="s">
        <v>10885</v>
      </c>
      <c r="C2195" s="6" t="s">
        <v>1104</v>
      </c>
      <c r="D2195" s="13">
        <v>220963.43324441899</v>
      </c>
      <c r="E2195" s="18">
        <v>21</v>
      </c>
      <c r="F2195" s="2">
        <f t="shared" si="68"/>
        <v>267365.75422574696</v>
      </c>
      <c r="G2195" s="3">
        <v>0</v>
      </c>
      <c r="H2195" s="4">
        <v>0.7</v>
      </c>
      <c r="I2195" s="28">
        <f t="shared" si="69"/>
        <v>454521.7821837698</v>
      </c>
    </row>
    <row r="2196" spans="1:9" ht="15.75" customHeight="1" x14ac:dyDescent="0.35">
      <c r="A2196" s="26" t="s">
        <v>12935</v>
      </c>
      <c r="B2196" s="25" t="s">
        <v>10290</v>
      </c>
      <c r="C2196" s="6" t="s">
        <v>12936</v>
      </c>
      <c r="D2196" s="13">
        <v>138816.02734999999</v>
      </c>
      <c r="E2196" s="18">
        <v>21</v>
      </c>
      <c r="F2196" s="2">
        <f t="shared" si="68"/>
        <v>167967.3930935</v>
      </c>
      <c r="G2196" s="3">
        <v>0</v>
      </c>
      <c r="H2196" s="4">
        <v>0.7</v>
      </c>
      <c r="I2196" s="28">
        <f t="shared" si="69"/>
        <v>285544.56825894996</v>
      </c>
    </row>
    <row r="2197" spans="1:9" ht="15.75" customHeight="1" x14ac:dyDescent="0.35">
      <c r="A2197" s="26" t="s">
        <v>12937</v>
      </c>
      <c r="B2197" s="25" t="s">
        <v>9767</v>
      </c>
      <c r="C2197" s="6" t="s">
        <v>12938</v>
      </c>
      <c r="D2197" s="13">
        <v>144896.35542199999</v>
      </c>
      <c r="E2197" s="18">
        <v>21</v>
      </c>
      <c r="F2197" s="2">
        <f t="shared" si="68"/>
        <v>175324.59006061999</v>
      </c>
      <c r="G2197" s="3">
        <v>0</v>
      </c>
      <c r="H2197" s="4">
        <v>0.7</v>
      </c>
      <c r="I2197" s="28">
        <f t="shared" si="69"/>
        <v>298051.80310305394</v>
      </c>
    </row>
    <row r="2198" spans="1:9" ht="15.75" customHeight="1" x14ac:dyDescent="0.35">
      <c r="A2198" s="26" t="s">
        <v>3129</v>
      </c>
      <c r="B2198" s="25" t="s">
        <v>12327</v>
      </c>
      <c r="C2198" s="6" t="s">
        <v>344</v>
      </c>
      <c r="D2198" s="13">
        <v>24525.515406620299</v>
      </c>
      <c r="E2198" s="18">
        <v>21</v>
      </c>
      <c r="F2198" s="2">
        <f t="shared" si="68"/>
        <v>29675.873642010563</v>
      </c>
      <c r="G2198" s="3">
        <v>0</v>
      </c>
      <c r="H2198" s="4">
        <v>0.7</v>
      </c>
      <c r="I2198" s="28">
        <f t="shared" si="69"/>
        <v>50448.98519141796</v>
      </c>
    </row>
    <row r="2199" spans="1:9" ht="15.75" customHeight="1" x14ac:dyDescent="0.35">
      <c r="A2199" s="26" t="s">
        <v>9661</v>
      </c>
      <c r="B2199" s="25" t="s">
        <v>11495</v>
      </c>
      <c r="C2199" s="6" t="s">
        <v>9662</v>
      </c>
      <c r="D2199" s="13">
        <v>153475.984636393</v>
      </c>
      <c r="E2199" s="18">
        <v>21</v>
      </c>
      <c r="F2199" s="2">
        <f t="shared" si="68"/>
        <v>185705.94141003554</v>
      </c>
      <c r="G2199" s="3">
        <v>0</v>
      </c>
      <c r="H2199" s="4">
        <v>0.7</v>
      </c>
      <c r="I2199" s="28">
        <f t="shared" si="69"/>
        <v>315700.10039706039</v>
      </c>
    </row>
    <row r="2200" spans="1:9" ht="15.75" customHeight="1" x14ac:dyDescent="0.35">
      <c r="A2200" s="26" t="s">
        <v>11976</v>
      </c>
      <c r="B2200" s="25" t="s">
        <v>10292</v>
      </c>
      <c r="C2200" s="6" t="s">
        <v>11977</v>
      </c>
      <c r="D2200" s="13">
        <v>401781.66290009301</v>
      </c>
      <c r="E2200" s="18">
        <v>21</v>
      </c>
      <c r="F2200" s="2">
        <f t="shared" si="68"/>
        <v>486155.81210911256</v>
      </c>
      <c r="G2200" s="3">
        <v>0</v>
      </c>
      <c r="H2200" s="4">
        <v>0.7</v>
      </c>
      <c r="I2200" s="28">
        <f t="shared" si="69"/>
        <v>826464.88058549131</v>
      </c>
    </row>
    <row r="2201" spans="1:9" ht="15.75" customHeight="1" x14ac:dyDescent="0.35">
      <c r="A2201" s="26" t="s">
        <v>3130</v>
      </c>
      <c r="B2201" s="25" t="s">
        <v>10887</v>
      </c>
      <c r="C2201" s="6" t="s">
        <v>10984</v>
      </c>
      <c r="D2201" s="13">
        <v>450793.43437404401</v>
      </c>
      <c r="E2201" s="18">
        <v>21</v>
      </c>
      <c r="F2201" s="2">
        <f t="shared" si="68"/>
        <v>545460.05559259327</v>
      </c>
      <c r="G2201" s="3">
        <v>0</v>
      </c>
      <c r="H2201" s="4">
        <v>0.7</v>
      </c>
      <c r="I2201" s="28">
        <f t="shared" si="69"/>
        <v>927282.09450740856</v>
      </c>
    </row>
    <row r="2202" spans="1:9" ht="15.75" customHeight="1" x14ac:dyDescent="0.35">
      <c r="A2202" s="26" t="s">
        <v>13675</v>
      </c>
      <c r="B2202" s="25" t="s">
        <v>12877</v>
      </c>
      <c r="C2202" s="6" t="s">
        <v>13676</v>
      </c>
      <c r="D2202" s="13">
        <v>173855.20606999999</v>
      </c>
      <c r="E2202" s="18">
        <v>21</v>
      </c>
      <c r="F2202" s="2">
        <f t="shared" si="68"/>
        <v>210364.79934469998</v>
      </c>
      <c r="G2202" s="3">
        <v>0</v>
      </c>
      <c r="H2202" s="4">
        <v>0.7</v>
      </c>
      <c r="I2202" s="28">
        <f t="shared" si="69"/>
        <v>357620.15888598992</v>
      </c>
    </row>
    <row r="2203" spans="1:9" ht="15.75" customHeight="1" x14ac:dyDescent="0.35">
      <c r="A2203" s="26" t="s">
        <v>13409</v>
      </c>
      <c r="B2203" s="25" t="s">
        <v>10059</v>
      </c>
      <c r="C2203" s="6" t="s">
        <v>13410</v>
      </c>
      <c r="D2203" s="13">
        <v>232314.90773400001</v>
      </c>
      <c r="E2203" s="18">
        <v>21</v>
      </c>
      <c r="F2203" s="2">
        <f t="shared" si="68"/>
        <v>281101.03835814004</v>
      </c>
      <c r="G2203" s="3">
        <v>0</v>
      </c>
      <c r="H2203" s="4">
        <v>0.7</v>
      </c>
      <c r="I2203" s="28">
        <f t="shared" si="69"/>
        <v>477871.76520883804</v>
      </c>
    </row>
    <row r="2204" spans="1:9" ht="15.75" customHeight="1" x14ac:dyDescent="0.35">
      <c r="A2204" s="26" t="s">
        <v>9880</v>
      </c>
      <c r="B2204" s="25" t="s">
        <v>9769</v>
      </c>
      <c r="C2204" s="6" t="s">
        <v>9881</v>
      </c>
      <c r="D2204" s="13">
        <v>184954.821469054</v>
      </c>
      <c r="E2204" s="18">
        <v>21</v>
      </c>
      <c r="F2204" s="2">
        <f t="shared" si="68"/>
        <v>223795.33397755533</v>
      </c>
      <c r="G2204" s="3">
        <v>0</v>
      </c>
      <c r="H2204" s="4">
        <v>0.7</v>
      </c>
      <c r="I2204" s="28">
        <f t="shared" si="69"/>
        <v>380452.06776184408</v>
      </c>
    </row>
    <row r="2205" spans="1:9" ht="15.75" customHeight="1" x14ac:dyDescent="0.35">
      <c r="A2205" s="26" t="s">
        <v>3127</v>
      </c>
      <c r="B2205" s="25" t="s">
        <v>9771</v>
      </c>
      <c r="C2205" s="6" t="s">
        <v>13045</v>
      </c>
      <c r="D2205" s="13">
        <v>234461.916234</v>
      </c>
      <c r="E2205" s="18">
        <v>21</v>
      </c>
      <c r="F2205" s="2">
        <f t="shared" si="68"/>
        <v>283698.91864314</v>
      </c>
      <c r="G2205" s="3">
        <v>0</v>
      </c>
      <c r="H2205" s="4">
        <v>0.7</v>
      </c>
      <c r="I2205" s="28">
        <f t="shared" si="69"/>
        <v>482288.16169333801</v>
      </c>
    </row>
    <row r="2206" spans="1:9" ht="15.75" customHeight="1" x14ac:dyDescent="0.35">
      <c r="A2206" s="26" t="s">
        <v>9882</v>
      </c>
      <c r="B2206" s="25" t="s">
        <v>9772</v>
      </c>
      <c r="C2206" s="6" t="s">
        <v>9883</v>
      </c>
      <c r="D2206" s="13">
        <v>209941.583318516</v>
      </c>
      <c r="E2206" s="18">
        <v>21</v>
      </c>
      <c r="F2206" s="2">
        <f t="shared" si="68"/>
        <v>254029.31581540435</v>
      </c>
      <c r="G2206" s="3">
        <v>0</v>
      </c>
      <c r="H2206" s="4">
        <v>0.7</v>
      </c>
      <c r="I2206" s="28">
        <f t="shared" si="69"/>
        <v>431849.83688618738</v>
      </c>
    </row>
    <row r="2207" spans="1:9" ht="15.75" customHeight="1" x14ac:dyDescent="0.35">
      <c r="A2207" s="26" t="s">
        <v>3134</v>
      </c>
      <c r="B2207" s="25" t="s">
        <v>9773</v>
      </c>
      <c r="C2207" s="6" t="s">
        <v>13046</v>
      </c>
      <c r="D2207" s="13">
        <v>260333.845772</v>
      </c>
      <c r="E2207" s="18">
        <v>21</v>
      </c>
      <c r="F2207" s="2">
        <f t="shared" si="68"/>
        <v>315003.95338412002</v>
      </c>
      <c r="G2207" s="3">
        <v>0</v>
      </c>
      <c r="H2207" s="4">
        <v>0.7</v>
      </c>
      <c r="I2207" s="28">
        <f t="shared" si="69"/>
        <v>535506.72075300396</v>
      </c>
    </row>
    <row r="2208" spans="1:9" ht="15.75" customHeight="1" x14ac:dyDescent="0.35">
      <c r="A2208" s="26" t="s">
        <v>3133</v>
      </c>
      <c r="B2208" s="25" t="s">
        <v>13148</v>
      </c>
      <c r="C2208" s="6" t="s">
        <v>9275</v>
      </c>
      <c r="D2208" s="13">
        <v>245937.33138071201</v>
      </c>
      <c r="E2208" s="18">
        <v>21</v>
      </c>
      <c r="F2208" s="2">
        <f t="shared" si="68"/>
        <v>297584.17097066157</v>
      </c>
      <c r="G2208" s="3">
        <v>0</v>
      </c>
      <c r="H2208" s="4">
        <v>0.7</v>
      </c>
      <c r="I2208" s="28">
        <f t="shared" si="69"/>
        <v>505893.09065012465</v>
      </c>
    </row>
    <row r="2209" spans="1:9" ht="15.75" customHeight="1" x14ac:dyDescent="0.35">
      <c r="A2209" s="26" t="s">
        <v>9276</v>
      </c>
      <c r="B2209" s="25" t="s">
        <v>13149</v>
      </c>
      <c r="C2209" s="6" t="s">
        <v>9277</v>
      </c>
      <c r="D2209" s="13">
        <v>273190.38852467103</v>
      </c>
      <c r="E2209" s="18">
        <v>21</v>
      </c>
      <c r="F2209" s="2">
        <f t="shared" si="68"/>
        <v>330560.37011485198</v>
      </c>
      <c r="G2209" s="3">
        <v>0</v>
      </c>
      <c r="H2209" s="4">
        <v>0.7</v>
      </c>
      <c r="I2209" s="28">
        <f t="shared" si="69"/>
        <v>561952.62919524836</v>
      </c>
    </row>
    <row r="2210" spans="1:9" ht="15.75" customHeight="1" x14ac:dyDescent="0.35">
      <c r="A2210" s="26" t="s">
        <v>9613</v>
      </c>
      <c r="B2210" s="25" t="s">
        <v>13150</v>
      </c>
      <c r="C2210" s="6" t="s">
        <v>10985</v>
      </c>
      <c r="D2210" s="13">
        <v>328532.040778547</v>
      </c>
      <c r="E2210" s="18">
        <v>21</v>
      </c>
      <c r="F2210" s="2">
        <f t="shared" si="68"/>
        <v>397523.76934204187</v>
      </c>
      <c r="G2210" s="3">
        <v>0</v>
      </c>
      <c r="H2210" s="4">
        <v>0.7</v>
      </c>
      <c r="I2210" s="28">
        <f t="shared" si="69"/>
        <v>675790.4078814711</v>
      </c>
    </row>
    <row r="2211" spans="1:9" ht="15.75" customHeight="1" x14ac:dyDescent="0.35">
      <c r="A2211" s="26" t="s">
        <v>3135</v>
      </c>
      <c r="B2211" s="25" t="s">
        <v>12705</v>
      </c>
      <c r="C2211" s="6" t="s">
        <v>9723</v>
      </c>
      <c r="D2211" s="13">
        <v>284687.02996688499</v>
      </c>
      <c r="E2211" s="18">
        <v>21</v>
      </c>
      <c r="F2211" s="2">
        <f t="shared" si="68"/>
        <v>344471.30625993083</v>
      </c>
      <c r="G2211" s="3">
        <v>0</v>
      </c>
      <c r="H2211" s="4">
        <v>0.7</v>
      </c>
      <c r="I2211" s="28">
        <f t="shared" si="69"/>
        <v>585601.22064188239</v>
      </c>
    </row>
    <row r="2212" spans="1:9" ht="15.75" customHeight="1" x14ac:dyDescent="0.35">
      <c r="A2212" s="26" t="s">
        <v>3136</v>
      </c>
      <c r="B2212" s="25" t="s">
        <v>12706</v>
      </c>
      <c r="C2212" s="6" t="s">
        <v>10986</v>
      </c>
      <c r="D2212" s="13">
        <v>359714.28086036298</v>
      </c>
      <c r="E2212" s="18">
        <v>21</v>
      </c>
      <c r="F2212" s="2">
        <f t="shared" si="68"/>
        <v>435254.27984103921</v>
      </c>
      <c r="G2212" s="3">
        <v>0</v>
      </c>
      <c r="H2212" s="4">
        <v>0.7</v>
      </c>
      <c r="I2212" s="28">
        <f t="shared" si="69"/>
        <v>739932.2757297667</v>
      </c>
    </row>
    <row r="2213" spans="1:9" ht="15.75" customHeight="1" x14ac:dyDescent="0.35">
      <c r="A2213" s="26" t="s">
        <v>9614</v>
      </c>
      <c r="B2213" s="25" t="s">
        <v>13151</v>
      </c>
      <c r="C2213" s="6" t="s">
        <v>10987</v>
      </c>
      <c r="D2213" s="13">
        <v>723760.09224073798</v>
      </c>
      <c r="E2213" s="18">
        <v>21</v>
      </c>
      <c r="F2213" s="2">
        <f t="shared" si="68"/>
        <v>875749.71161129302</v>
      </c>
      <c r="G2213" s="3">
        <v>0</v>
      </c>
      <c r="H2213" s="4">
        <v>0.7</v>
      </c>
      <c r="I2213" s="28">
        <f t="shared" si="69"/>
        <v>1488774.509739198</v>
      </c>
    </row>
    <row r="2214" spans="1:9" ht="15.75" customHeight="1" x14ac:dyDescent="0.35">
      <c r="A2214" s="26" t="s">
        <v>12597</v>
      </c>
      <c r="B2214" s="25" t="s">
        <v>13152</v>
      </c>
      <c r="C2214" s="6" t="s">
        <v>13214</v>
      </c>
      <c r="D2214" s="13">
        <v>37532.328265879201</v>
      </c>
      <c r="E2214" s="18">
        <v>21</v>
      </c>
      <c r="F2214" s="2">
        <f t="shared" si="68"/>
        <v>45414.117201713831</v>
      </c>
      <c r="G2214" s="3">
        <v>0</v>
      </c>
      <c r="H2214" s="4">
        <v>0.7</v>
      </c>
      <c r="I2214" s="28">
        <f t="shared" si="69"/>
        <v>77203.999242913516</v>
      </c>
    </row>
    <row r="2215" spans="1:9" ht="15.75" customHeight="1" x14ac:dyDescent="0.35">
      <c r="A2215" s="26" t="s">
        <v>12609</v>
      </c>
      <c r="B2215" s="25" t="s">
        <v>13153</v>
      </c>
      <c r="C2215" s="6" t="s">
        <v>13215</v>
      </c>
      <c r="D2215" s="13">
        <v>31381.4395144224</v>
      </c>
      <c r="E2215" s="18">
        <v>21</v>
      </c>
      <c r="F2215" s="2">
        <f t="shared" si="68"/>
        <v>37971.541812451105</v>
      </c>
      <c r="G2215" s="3">
        <v>0</v>
      </c>
      <c r="H2215" s="4">
        <v>0.7</v>
      </c>
      <c r="I2215" s="28">
        <f t="shared" si="69"/>
        <v>64551.621081166879</v>
      </c>
    </row>
    <row r="2216" spans="1:9" ht="15.75" customHeight="1" x14ac:dyDescent="0.35">
      <c r="A2216" s="26" t="s">
        <v>12598</v>
      </c>
      <c r="B2216" s="25" t="s">
        <v>12878</v>
      </c>
      <c r="C2216" s="6" t="s">
        <v>13216</v>
      </c>
      <c r="D2216" s="13">
        <v>35397.044099819999</v>
      </c>
      <c r="E2216" s="18">
        <v>21</v>
      </c>
      <c r="F2216" s="2">
        <f t="shared" si="68"/>
        <v>42830.423360782203</v>
      </c>
      <c r="G2216" s="3">
        <v>0</v>
      </c>
      <c r="H2216" s="4">
        <v>0.7</v>
      </c>
      <c r="I2216" s="28">
        <f t="shared" si="69"/>
        <v>72811.719713329745</v>
      </c>
    </row>
    <row r="2217" spans="1:9" ht="15.75" customHeight="1" x14ac:dyDescent="0.35">
      <c r="A2217" s="26" t="s">
        <v>13826</v>
      </c>
      <c r="B2217" s="25" t="s">
        <v>13154</v>
      </c>
      <c r="C2217" s="6" t="s">
        <v>13827</v>
      </c>
      <c r="D2217" s="13">
        <v>69600.297947403596</v>
      </c>
      <c r="E2217" s="18">
        <v>21</v>
      </c>
      <c r="F2217" s="2">
        <f t="shared" si="68"/>
        <v>84216.360516358356</v>
      </c>
      <c r="G2217" s="3">
        <v>0</v>
      </c>
      <c r="H2217" s="4">
        <v>0.7</v>
      </c>
      <c r="I2217" s="28">
        <f t="shared" si="69"/>
        <v>143167.81287780919</v>
      </c>
    </row>
    <row r="2218" spans="1:9" ht="15.75" customHeight="1" x14ac:dyDescent="0.35">
      <c r="A2218" s="26" t="s">
        <v>12610</v>
      </c>
      <c r="B2218" s="25" t="s">
        <v>13155</v>
      </c>
      <c r="C2218" s="6" t="s">
        <v>12986</v>
      </c>
      <c r="D2218" s="13">
        <v>49133.0894311296</v>
      </c>
      <c r="E2218" s="18">
        <v>21</v>
      </c>
      <c r="F2218" s="2">
        <f t="shared" si="68"/>
        <v>59451.038211666819</v>
      </c>
      <c r="G2218" s="3">
        <v>0</v>
      </c>
      <c r="H2218" s="4">
        <v>0.7</v>
      </c>
      <c r="I2218" s="28">
        <f t="shared" si="69"/>
        <v>101066.76495983358</v>
      </c>
    </row>
    <row r="2219" spans="1:9" ht="15.75" customHeight="1" x14ac:dyDescent="0.35">
      <c r="A2219" s="26" t="s">
        <v>12987</v>
      </c>
      <c r="B2219" s="25" t="s">
        <v>13156</v>
      </c>
      <c r="C2219" s="6" t="s">
        <v>12988</v>
      </c>
      <c r="D2219" s="13">
        <v>89986.984075404005</v>
      </c>
      <c r="E2219" s="18">
        <v>21</v>
      </c>
      <c r="F2219" s="2">
        <f t="shared" si="68"/>
        <v>108884.25073123885</v>
      </c>
      <c r="G2219" s="3">
        <v>0</v>
      </c>
      <c r="H2219" s="4">
        <v>0.7</v>
      </c>
      <c r="I2219" s="28">
        <f t="shared" si="69"/>
        <v>185103.22624310604</v>
      </c>
    </row>
    <row r="2220" spans="1:9" ht="15.75" customHeight="1" x14ac:dyDescent="0.35">
      <c r="A2220" s="26" t="s">
        <v>12599</v>
      </c>
      <c r="B2220" s="25" t="s">
        <v>13157</v>
      </c>
      <c r="C2220" s="6" t="s">
        <v>13672</v>
      </c>
      <c r="D2220" s="13">
        <v>31616.6537224044</v>
      </c>
      <c r="E2220" s="18">
        <v>21</v>
      </c>
      <c r="F2220" s="2">
        <f t="shared" si="68"/>
        <v>38256.151004109328</v>
      </c>
      <c r="G2220" s="3">
        <v>0</v>
      </c>
      <c r="H2220" s="4">
        <v>0.7</v>
      </c>
      <c r="I2220" s="28">
        <f t="shared" si="69"/>
        <v>65035.456706985853</v>
      </c>
    </row>
    <row r="2221" spans="1:9" ht="15.75" customHeight="1" x14ac:dyDescent="0.35">
      <c r="A2221" s="26" t="s">
        <v>13673</v>
      </c>
      <c r="B2221" s="25" t="s">
        <v>12707</v>
      </c>
      <c r="C2221" s="6" t="s">
        <v>13674</v>
      </c>
      <c r="D2221" s="13">
        <v>144576.39414174799</v>
      </c>
      <c r="E2221" s="18">
        <v>21</v>
      </c>
      <c r="F2221" s="2">
        <f t="shared" si="68"/>
        <v>174937.43691151508</v>
      </c>
      <c r="G2221" s="3">
        <v>0</v>
      </c>
      <c r="H2221" s="4">
        <v>0.7</v>
      </c>
      <c r="I2221" s="28">
        <f t="shared" si="69"/>
        <v>297393.64274957561</v>
      </c>
    </row>
    <row r="2222" spans="1:9" ht="15.75" customHeight="1" x14ac:dyDescent="0.35">
      <c r="A2222" s="26" t="s">
        <v>3250</v>
      </c>
      <c r="B2222" s="25" t="s">
        <v>13158</v>
      </c>
      <c r="C2222" s="6" t="s">
        <v>9156</v>
      </c>
      <c r="D2222" s="13">
        <v>4173.3660681123802</v>
      </c>
      <c r="E2222" s="18">
        <v>21</v>
      </c>
      <c r="F2222" s="2">
        <f t="shared" si="68"/>
        <v>5049.7729424159797</v>
      </c>
      <c r="G2222" s="3">
        <v>0</v>
      </c>
      <c r="H2222" s="4">
        <v>0.7</v>
      </c>
      <c r="I2222" s="28">
        <f t="shared" si="69"/>
        <v>8584.614002107166</v>
      </c>
    </row>
    <row r="2223" spans="1:9" ht="15.75" customHeight="1" x14ac:dyDescent="0.35">
      <c r="A2223" s="26" t="s">
        <v>9402</v>
      </c>
      <c r="B2223" s="25" t="s">
        <v>12708</v>
      </c>
      <c r="C2223" s="6" t="s">
        <v>9534</v>
      </c>
      <c r="D2223" s="13">
        <v>5073.7306892912602</v>
      </c>
      <c r="E2223" s="18">
        <v>21</v>
      </c>
      <c r="F2223" s="2">
        <f t="shared" si="68"/>
        <v>6139.214134042425</v>
      </c>
      <c r="G2223" s="3">
        <v>0</v>
      </c>
      <c r="H2223" s="4">
        <v>0.7</v>
      </c>
      <c r="I2223" s="28">
        <f t="shared" si="69"/>
        <v>10436.664027872122</v>
      </c>
    </row>
    <row r="2224" spans="1:9" ht="15.75" customHeight="1" x14ac:dyDescent="0.35">
      <c r="A2224" s="26" t="s">
        <v>3249</v>
      </c>
      <c r="B2224" s="25" t="s">
        <v>13159</v>
      </c>
      <c r="C2224" s="6" t="s">
        <v>9535</v>
      </c>
      <c r="D2224" s="13">
        <v>9057.8441380078093</v>
      </c>
      <c r="E2224" s="18">
        <v>21</v>
      </c>
      <c r="F2224" s="2">
        <f t="shared" si="68"/>
        <v>10959.991406989449</v>
      </c>
      <c r="G2224" s="3">
        <v>0</v>
      </c>
      <c r="H2224" s="4">
        <v>0.7</v>
      </c>
      <c r="I2224" s="28">
        <f t="shared" si="69"/>
        <v>18631.985391882063</v>
      </c>
    </row>
    <row r="2225" spans="1:9" ht="15.75" customHeight="1" x14ac:dyDescent="0.35">
      <c r="A2225" s="26" t="s">
        <v>9536</v>
      </c>
      <c r="B2225" s="25" t="s">
        <v>13160</v>
      </c>
      <c r="C2225" s="6" t="s">
        <v>9537</v>
      </c>
      <c r="D2225" s="13">
        <v>10274.656743711401</v>
      </c>
      <c r="E2225" s="18">
        <v>21</v>
      </c>
      <c r="F2225" s="2">
        <f t="shared" si="68"/>
        <v>12432.334659890796</v>
      </c>
      <c r="G2225" s="3">
        <v>0</v>
      </c>
      <c r="H2225" s="4">
        <v>0.7</v>
      </c>
      <c r="I2225" s="28">
        <f t="shared" si="69"/>
        <v>21134.96892181435</v>
      </c>
    </row>
    <row r="2226" spans="1:9" ht="15.75" customHeight="1" x14ac:dyDescent="0.35">
      <c r="A2226" s="26" t="s">
        <v>3252</v>
      </c>
      <c r="B2226" s="25" t="s">
        <v>13161</v>
      </c>
      <c r="C2226" s="6" t="s">
        <v>9505</v>
      </c>
      <c r="D2226" s="13">
        <v>10274.7198332391</v>
      </c>
      <c r="E2226" s="18">
        <v>21</v>
      </c>
      <c r="F2226" s="2">
        <f t="shared" si="68"/>
        <v>12432.410998219311</v>
      </c>
      <c r="G2226" s="3">
        <v>0</v>
      </c>
      <c r="H2226" s="4">
        <v>0.7</v>
      </c>
      <c r="I2226" s="28">
        <f t="shared" si="69"/>
        <v>21135.098696972829</v>
      </c>
    </row>
    <row r="2227" spans="1:9" ht="15.75" customHeight="1" x14ac:dyDescent="0.35">
      <c r="A2227" s="26" t="s">
        <v>3164</v>
      </c>
      <c r="B2227" s="25" t="s">
        <v>13162</v>
      </c>
      <c r="C2227" s="6" t="s">
        <v>345</v>
      </c>
      <c r="D2227" s="13">
        <v>23991.623722897501</v>
      </c>
      <c r="E2227" s="18">
        <v>21</v>
      </c>
      <c r="F2227" s="2">
        <f t="shared" si="68"/>
        <v>29029.864704705975</v>
      </c>
      <c r="G2227" s="3">
        <v>0</v>
      </c>
      <c r="H2227" s="4">
        <v>0.7</v>
      </c>
      <c r="I2227" s="28">
        <f t="shared" si="69"/>
        <v>49350.769998000156</v>
      </c>
    </row>
    <row r="2228" spans="1:9" ht="15.75" customHeight="1" x14ac:dyDescent="0.35">
      <c r="A2228" s="26" t="s">
        <v>9059</v>
      </c>
      <c r="B2228" s="25" t="s">
        <v>13163</v>
      </c>
      <c r="C2228" s="6" t="s">
        <v>9278</v>
      </c>
      <c r="D2228" s="13">
        <v>406106.82487711002</v>
      </c>
      <c r="E2228" s="18">
        <v>21</v>
      </c>
      <c r="F2228" s="2">
        <f t="shared" si="68"/>
        <v>491389.25810130313</v>
      </c>
      <c r="G2228" s="3">
        <v>0</v>
      </c>
      <c r="H2228" s="4">
        <v>0.7</v>
      </c>
      <c r="I2228" s="28">
        <f t="shared" si="69"/>
        <v>835361.73877221532</v>
      </c>
    </row>
    <row r="2229" spans="1:9" ht="15.75" customHeight="1" x14ac:dyDescent="0.35">
      <c r="A2229" s="26" t="s">
        <v>12939</v>
      </c>
      <c r="B2229" s="25" t="s">
        <v>13164</v>
      </c>
      <c r="C2229" s="6" t="s">
        <v>12940</v>
      </c>
      <c r="D2229" s="13">
        <v>392426.30006890401</v>
      </c>
      <c r="E2229" s="18">
        <v>21</v>
      </c>
      <c r="F2229" s="2">
        <f t="shared" si="68"/>
        <v>474835.82308337383</v>
      </c>
      <c r="G2229" s="3">
        <v>0</v>
      </c>
      <c r="H2229" s="4">
        <v>0.7</v>
      </c>
      <c r="I2229" s="28">
        <f t="shared" si="69"/>
        <v>807220.89924173546</v>
      </c>
    </row>
    <row r="2230" spans="1:9" ht="15.75" customHeight="1" x14ac:dyDescent="0.35">
      <c r="A2230" s="26" t="s">
        <v>9279</v>
      </c>
      <c r="B2230" s="25" t="s">
        <v>13165</v>
      </c>
      <c r="C2230" s="6" t="s">
        <v>9280</v>
      </c>
      <c r="D2230" s="13">
        <v>215122.10852215599</v>
      </c>
      <c r="E2230" s="18">
        <v>21</v>
      </c>
      <c r="F2230" s="2">
        <f t="shared" si="68"/>
        <v>260297.75131180877</v>
      </c>
      <c r="G2230" s="3">
        <v>0</v>
      </c>
      <c r="H2230" s="4">
        <v>0.7</v>
      </c>
      <c r="I2230" s="28">
        <f t="shared" si="69"/>
        <v>442506.17723007489</v>
      </c>
    </row>
    <row r="2231" spans="1:9" ht="15.75" customHeight="1" x14ac:dyDescent="0.35">
      <c r="A2231" s="26" t="s">
        <v>12941</v>
      </c>
      <c r="B2231" s="25" t="s">
        <v>13166</v>
      </c>
      <c r="C2231" s="6" t="s">
        <v>12942</v>
      </c>
      <c r="D2231" s="13">
        <v>206001.68341283899</v>
      </c>
      <c r="E2231" s="18">
        <v>21</v>
      </c>
      <c r="F2231" s="2">
        <f t="shared" si="68"/>
        <v>249262.03692953518</v>
      </c>
      <c r="G2231" s="3">
        <v>0</v>
      </c>
      <c r="H2231" s="4">
        <v>0.7</v>
      </c>
      <c r="I2231" s="28">
        <f t="shared" si="69"/>
        <v>423745.46278020978</v>
      </c>
    </row>
    <row r="2232" spans="1:9" ht="15.75" customHeight="1" x14ac:dyDescent="0.35">
      <c r="A2232" s="26" t="s">
        <v>9281</v>
      </c>
      <c r="B2232" s="25" t="s">
        <v>13167</v>
      </c>
      <c r="C2232" s="6" t="s">
        <v>9282</v>
      </c>
      <c r="D2232" s="13">
        <v>1281259.5904775599</v>
      </c>
      <c r="E2232" s="18">
        <v>21</v>
      </c>
      <c r="F2232" s="2">
        <f t="shared" si="68"/>
        <v>1550324.1044778475</v>
      </c>
      <c r="G2232" s="3">
        <v>0</v>
      </c>
      <c r="H2232" s="4">
        <v>0.7</v>
      </c>
      <c r="I2232" s="28">
        <f t="shared" si="69"/>
        <v>2635550.9776123408</v>
      </c>
    </row>
    <row r="2233" spans="1:9" ht="15.75" customHeight="1" x14ac:dyDescent="0.35">
      <c r="A2233" s="26" t="s">
        <v>3256</v>
      </c>
      <c r="B2233" s="25" t="s">
        <v>13168</v>
      </c>
      <c r="C2233" s="6" t="s">
        <v>9283</v>
      </c>
      <c r="D2233" s="13">
        <v>376313.886655649</v>
      </c>
      <c r="E2233" s="18">
        <v>21</v>
      </c>
      <c r="F2233" s="2">
        <f t="shared" si="68"/>
        <v>455339.80285333528</v>
      </c>
      <c r="G2233" s="3">
        <v>0</v>
      </c>
      <c r="H2233" s="4">
        <v>0.7</v>
      </c>
      <c r="I2233" s="28">
        <f t="shared" si="69"/>
        <v>774077.66485066991</v>
      </c>
    </row>
    <row r="2234" spans="1:9" ht="15.75" customHeight="1" x14ac:dyDescent="0.35">
      <c r="A2234" s="26" t="s">
        <v>3257</v>
      </c>
      <c r="B2234" s="25" t="s">
        <v>13169</v>
      </c>
      <c r="C2234" s="6" t="s">
        <v>9284</v>
      </c>
      <c r="D2234" s="13">
        <v>376313.88665564999</v>
      </c>
      <c r="E2234" s="18">
        <v>21</v>
      </c>
      <c r="F2234" s="2">
        <f t="shared" si="68"/>
        <v>455339.8028533365</v>
      </c>
      <c r="G2234" s="3">
        <v>0</v>
      </c>
      <c r="H2234" s="4">
        <v>0.7</v>
      </c>
      <c r="I2234" s="28">
        <f t="shared" si="69"/>
        <v>774077.66485067201</v>
      </c>
    </row>
    <row r="2235" spans="1:9" ht="15.75" customHeight="1" x14ac:dyDescent="0.35">
      <c r="A2235" s="26" t="s">
        <v>12943</v>
      </c>
      <c r="B2235" s="25" t="s">
        <v>13170</v>
      </c>
      <c r="C2235" s="6" t="s">
        <v>12944</v>
      </c>
      <c r="D2235" s="13">
        <v>342784.41240621702</v>
      </c>
      <c r="E2235" s="18">
        <v>21</v>
      </c>
      <c r="F2235" s="2">
        <f t="shared" si="68"/>
        <v>414769.13901152258</v>
      </c>
      <c r="G2235" s="3">
        <v>0</v>
      </c>
      <c r="H2235" s="4">
        <v>0.7</v>
      </c>
      <c r="I2235" s="28">
        <f t="shared" si="69"/>
        <v>705107.53631958831</v>
      </c>
    </row>
    <row r="2236" spans="1:9" ht="15.75" customHeight="1" x14ac:dyDescent="0.35">
      <c r="A2236" s="26" t="s">
        <v>3258</v>
      </c>
      <c r="B2236" s="25" t="s">
        <v>10666</v>
      </c>
      <c r="C2236" s="6" t="s">
        <v>9285</v>
      </c>
      <c r="D2236" s="13">
        <v>731147.39916803595</v>
      </c>
      <c r="E2236" s="18">
        <v>21</v>
      </c>
      <c r="F2236" s="2">
        <f t="shared" si="68"/>
        <v>884688.35299332347</v>
      </c>
      <c r="G2236" s="3">
        <v>0</v>
      </c>
      <c r="H2236" s="4">
        <v>0.7</v>
      </c>
      <c r="I2236" s="28">
        <f t="shared" si="69"/>
        <v>1503970.2000886498</v>
      </c>
    </row>
    <row r="2237" spans="1:9" ht="15.75" customHeight="1" x14ac:dyDescent="0.35">
      <c r="A2237" s="26" t="s">
        <v>3259</v>
      </c>
      <c r="B2237" s="25" t="s">
        <v>941</v>
      </c>
      <c r="C2237" s="6" t="s">
        <v>9286</v>
      </c>
      <c r="D2237" s="13">
        <v>674863.46081579197</v>
      </c>
      <c r="E2237" s="18">
        <v>21</v>
      </c>
      <c r="F2237" s="2">
        <f t="shared" si="68"/>
        <v>816584.78758710832</v>
      </c>
      <c r="G2237" s="3">
        <v>0</v>
      </c>
      <c r="H2237" s="4">
        <v>0.7</v>
      </c>
      <c r="I2237" s="28">
        <f t="shared" si="69"/>
        <v>1388194.1388980842</v>
      </c>
    </row>
    <row r="2238" spans="1:9" ht="15.75" customHeight="1" x14ac:dyDescent="0.35">
      <c r="A2238" s="26" t="s">
        <v>12945</v>
      </c>
      <c r="B2238" s="25" t="s">
        <v>10667</v>
      </c>
      <c r="C2238" s="6" t="s">
        <v>12946</v>
      </c>
      <c r="D2238" s="13">
        <v>647502.14261877898</v>
      </c>
      <c r="E2238" s="18">
        <v>21</v>
      </c>
      <c r="F2238" s="2">
        <f t="shared" si="68"/>
        <v>783477.59256872255</v>
      </c>
      <c r="G2238" s="3">
        <v>0</v>
      </c>
      <c r="H2238" s="4">
        <v>0.7</v>
      </c>
      <c r="I2238" s="28">
        <f t="shared" si="69"/>
        <v>1331911.9073668283</v>
      </c>
    </row>
    <row r="2239" spans="1:9" ht="15.75" customHeight="1" x14ac:dyDescent="0.35">
      <c r="A2239" s="26" t="s">
        <v>3260</v>
      </c>
      <c r="B2239" s="25" t="s">
        <v>9018</v>
      </c>
      <c r="C2239" s="6" t="s">
        <v>346</v>
      </c>
      <c r="D2239" s="13">
        <v>323137.696573733</v>
      </c>
      <c r="E2239" s="18">
        <v>21</v>
      </c>
      <c r="F2239" s="2">
        <f t="shared" si="68"/>
        <v>390996.61285421695</v>
      </c>
      <c r="G2239" s="3">
        <v>0</v>
      </c>
      <c r="H2239" s="4">
        <v>0.7</v>
      </c>
      <c r="I2239" s="28">
        <f t="shared" si="69"/>
        <v>664694.24185216881</v>
      </c>
    </row>
    <row r="2240" spans="1:9" ht="15.75" customHeight="1" x14ac:dyDescent="0.35">
      <c r="A2240" s="26" t="s">
        <v>3255</v>
      </c>
      <c r="B2240" s="25" t="s">
        <v>1260</v>
      </c>
      <c r="C2240" s="6" t="s">
        <v>9287</v>
      </c>
      <c r="D2240" s="13">
        <v>992718.19539883197</v>
      </c>
      <c r="E2240" s="18">
        <v>21</v>
      </c>
      <c r="F2240" s="2">
        <f t="shared" si="68"/>
        <v>1201189.0164325866</v>
      </c>
      <c r="G2240" s="3">
        <v>0</v>
      </c>
      <c r="H2240" s="4">
        <v>0.7</v>
      </c>
      <c r="I2240" s="28">
        <f t="shared" si="69"/>
        <v>2042021.3279353972</v>
      </c>
    </row>
    <row r="2241" spans="1:9" ht="15.75" customHeight="1" x14ac:dyDescent="0.35">
      <c r="A2241" s="26" t="s">
        <v>12947</v>
      </c>
      <c r="B2241" s="25" t="s">
        <v>1100</v>
      </c>
      <c r="C2241" s="6" t="s">
        <v>12948</v>
      </c>
      <c r="D2241" s="13">
        <v>951676.32527597004</v>
      </c>
      <c r="E2241" s="18">
        <v>21</v>
      </c>
      <c r="F2241" s="2">
        <f t="shared" si="68"/>
        <v>1151528.3535839238</v>
      </c>
      <c r="G2241" s="3">
        <v>0</v>
      </c>
      <c r="H2241" s="4">
        <v>0.7</v>
      </c>
      <c r="I2241" s="28">
        <f t="shared" si="69"/>
        <v>1957598.2010926704</v>
      </c>
    </row>
    <row r="2242" spans="1:9" ht="15.75" customHeight="1" x14ac:dyDescent="0.35">
      <c r="A2242" s="26" t="s">
        <v>3261</v>
      </c>
      <c r="B2242" s="25" t="s">
        <v>13041</v>
      </c>
      <c r="C2242" s="6" t="s">
        <v>1136</v>
      </c>
      <c r="D2242" s="13">
        <v>951676.32527597004</v>
      </c>
      <c r="E2242" s="18">
        <v>21</v>
      </c>
      <c r="F2242" s="2">
        <f t="shared" si="68"/>
        <v>1151528.3535839238</v>
      </c>
      <c r="G2242" s="3">
        <v>0</v>
      </c>
      <c r="H2242" s="4">
        <v>0.7</v>
      </c>
      <c r="I2242" s="28">
        <f t="shared" si="69"/>
        <v>1957598.2010926704</v>
      </c>
    </row>
    <row r="2243" spans="1:9" ht="15.75" customHeight="1" x14ac:dyDescent="0.35">
      <c r="A2243" s="26" t="s">
        <v>13234</v>
      </c>
      <c r="B2243" s="25" t="s">
        <v>1060</v>
      </c>
      <c r="C2243" s="6" t="s">
        <v>13235</v>
      </c>
      <c r="D2243" s="13">
        <v>34021.974515594899</v>
      </c>
      <c r="E2243" s="18">
        <v>21</v>
      </c>
      <c r="F2243" s="2">
        <f t="shared" si="68"/>
        <v>41166.589163869823</v>
      </c>
      <c r="G2243" s="3">
        <v>0</v>
      </c>
      <c r="H2243" s="4">
        <v>0.7</v>
      </c>
      <c r="I2243" s="28">
        <f t="shared" si="69"/>
        <v>69983.201578578693</v>
      </c>
    </row>
    <row r="2244" spans="1:9" ht="15.75" customHeight="1" x14ac:dyDescent="0.35">
      <c r="A2244" s="26" t="s">
        <v>3242</v>
      </c>
      <c r="B2244" s="25" t="s">
        <v>9158</v>
      </c>
      <c r="C2244" s="6" t="s">
        <v>347</v>
      </c>
      <c r="D2244" s="13">
        <v>28931.645283606002</v>
      </c>
      <c r="E2244" s="18">
        <v>21</v>
      </c>
      <c r="F2244" s="2">
        <f t="shared" si="68"/>
        <v>35007.290793163265</v>
      </c>
      <c r="G2244" s="3">
        <v>0</v>
      </c>
      <c r="H2244" s="4">
        <v>0.7</v>
      </c>
      <c r="I2244" s="28">
        <f t="shared" si="69"/>
        <v>59512.394348377551</v>
      </c>
    </row>
    <row r="2245" spans="1:9" ht="15.75" customHeight="1" x14ac:dyDescent="0.35">
      <c r="A2245" s="26" t="s">
        <v>3243</v>
      </c>
      <c r="B2245" s="25" t="s">
        <v>12920</v>
      </c>
      <c r="C2245" s="6" t="s">
        <v>348</v>
      </c>
      <c r="D2245" s="13">
        <v>28931.645283606002</v>
      </c>
      <c r="E2245" s="18">
        <v>21</v>
      </c>
      <c r="F2245" s="2">
        <f t="shared" si="68"/>
        <v>35007.290793163265</v>
      </c>
      <c r="G2245" s="3">
        <v>0</v>
      </c>
      <c r="H2245" s="4">
        <v>0.7</v>
      </c>
      <c r="I2245" s="28">
        <f t="shared" si="69"/>
        <v>59512.394348377551</v>
      </c>
    </row>
    <row r="2246" spans="1:9" ht="15.75" customHeight="1" x14ac:dyDescent="0.35">
      <c r="A2246" s="26" t="s">
        <v>3245</v>
      </c>
      <c r="B2246" s="25" t="s">
        <v>1101</v>
      </c>
      <c r="C2246" s="6" t="s">
        <v>349</v>
      </c>
      <c r="D2246" s="13">
        <v>62971.651361174401</v>
      </c>
      <c r="E2246" s="18">
        <v>21</v>
      </c>
      <c r="F2246" s="2">
        <f t="shared" ref="F2246:F2309" si="70">D2246*E2246/100+D2246</f>
        <v>76195.69814702103</v>
      </c>
      <c r="G2246" s="3">
        <v>0</v>
      </c>
      <c r="H2246" s="4">
        <v>0.7</v>
      </c>
      <c r="I2246" s="28">
        <f t="shared" ref="I2246:I2309" si="71">IF(G2246=-1,0,F2246*((100-G2246)/100)*(1+H2246))</f>
        <v>129532.68684993575</v>
      </c>
    </row>
    <row r="2247" spans="1:9" ht="15.75" customHeight="1" x14ac:dyDescent="0.35">
      <c r="A2247" s="26" t="s">
        <v>3246</v>
      </c>
      <c r="B2247" s="25" t="s">
        <v>9263</v>
      </c>
      <c r="C2247" s="6" t="s">
        <v>350</v>
      </c>
      <c r="D2247" s="13">
        <v>44758.843463177996</v>
      </c>
      <c r="E2247" s="18">
        <v>21</v>
      </c>
      <c r="F2247" s="2">
        <f t="shared" si="70"/>
        <v>54158.200590445376</v>
      </c>
      <c r="G2247" s="3">
        <v>0</v>
      </c>
      <c r="H2247" s="4">
        <v>0.7</v>
      </c>
      <c r="I2247" s="28">
        <f t="shared" si="71"/>
        <v>92068.941003757136</v>
      </c>
    </row>
    <row r="2248" spans="1:9" ht="15.75" customHeight="1" x14ac:dyDescent="0.35">
      <c r="A2248" s="26" t="s">
        <v>3247</v>
      </c>
      <c r="B2248" s="25" t="s">
        <v>9264</v>
      </c>
      <c r="C2248" s="6" t="s">
        <v>351</v>
      </c>
      <c r="D2248" s="13">
        <v>44758.843463177996</v>
      </c>
      <c r="E2248" s="18">
        <v>21</v>
      </c>
      <c r="F2248" s="2">
        <f t="shared" si="70"/>
        <v>54158.200590445376</v>
      </c>
      <c r="G2248" s="3">
        <v>0</v>
      </c>
      <c r="H2248" s="4">
        <v>0.7</v>
      </c>
      <c r="I2248" s="28">
        <f t="shared" si="71"/>
        <v>92068.941003757136</v>
      </c>
    </row>
    <row r="2249" spans="1:9" ht="15.75" customHeight="1" x14ac:dyDescent="0.35">
      <c r="A2249" s="26" t="s">
        <v>3203</v>
      </c>
      <c r="B2249" s="25" t="s">
        <v>942</v>
      </c>
      <c r="C2249" s="6" t="s">
        <v>10622</v>
      </c>
      <c r="D2249" s="13">
        <v>40085.778273128002</v>
      </c>
      <c r="E2249" s="18">
        <v>21</v>
      </c>
      <c r="F2249" s="2">
        <f t="shared" si="70"/>
        <v>48503.791710484882</v>
      </c>
      <c r="G2249" s="3">
        <v>0</v>
      </c>
      <c r="H2249" s="4">
        <v>0.7</v>
      </c>
      <c r="I2249" s="28">
        <f t="shared" si="71"/>
        <v>82456.445907824294</v>
      </c>
    </row>
    <row r="2250" spans="1:9" ht="15.75" customHeight="1" x14ac:dyDescent="0.35">
      <c r="A2250" s="26" t="s">
        <v>3204</v>
      </c>
      <c r="B2250" s="25" t="s">
        <v>13042</v>
      </c>
      <c r="C2250" s="6" t="s">
        <v>10623</v>
      </c>
      <c r="D2250" s="13">
        <v>82153.297994039996</v>
      </c>
      <c r="E2250" s="18">
        <v>21</v>
      </c>
      <c r="F2250" s="2">
        <f t="shared" si="70"/>
        <v>99405.490572788403</v>
      </c>
      <c r="G2250" s="3">
        <v>0</v>
      </c>
      <c r="H2250" s="4">
        <v>0.7</v>
      </c>
      <c r="I2250" s="28">
        <f t="shared" si="71"/>
        <v>168989.33397374029</v>
      </c>
    </row>
    <row r="2251" spans="1:9" ht="15.75" customHeight="1" x14ac:dyDescent="0.35">
      <c r="A2251" s="26" t="s">
        <v>3251</v>
      </c>
      <c r="B2251" s="25" t="s">
        <v>9532</v>
      </c>
      <c r="C2251" s="6" t="s">
        <v>9401</v>
      </c>
      <c r="D2251" s="13">
        <v>5073.7306892912602</v>
      </c>
      <c r="E2251" s="18">
        <v>21</v>
      </c>
      <c r="F2251" s="2">
        <f t="shared" si="70"/>
        <v>6139.214134042425</v>
      </c>
      <c r="G2251" s="3">
        <v>0</v>
      </c>
      <c r="H2251" s="4">
        <v>0.7</v>
      </c>
      <c r="I2251" s="28">
        <f t="shared" si="71"/>
        <v>10436.664027872122</v>
      </c>
    </row>
    <row r="2252" spans="1:9" ht="15.75" customHeight="1" x14ac:dyDescent="0.35">
      <c r="A2252" s="26" t="s">
        <v>3454</v>
      </c>
      <c r="B2252" s="25" t="s">
        <v>1061</v>
      </c>
      <c r="C2252" s="6" t="s">
        <v>943</v>
      </c>
      <c r="D2252" s="13">
        <v>6443.1120000000001</v>
      </c>
      <c r="E2252" s="18">
        <v>21</v>
      </c>
      <c r="F2252" s="2">
        <f t="shared" si="70"/>
        <v>7796.1655200000005</v>
      </c>
      <c r="G2252" s="3">
        <v>0</v>
      </c>
      <c r="H2252" s="4">
        <v>0.7</v>
      </c>
      <c r="I2252" s="28">
        <f t="shared" si="71"/>
        <v>13253.481384000001</v>
      </c>
    </row>
    <row r="2253" spans="1:9" ht="15.75" customHeight="1" x14ac:dyDescent="0.35">
      <c r="A2253" s="26" t="s">
        <v>3455</v>
      </c>
      <c r="B2253" s="25" t="s">
        <v>12922</v>
      </c>
      <c r="C2253" s="6" t="s">
        <v>944</v>
      </c>
      <c r="D2253" s="13">
        <v>6443.1120000000001</v>
      </c>
      <c r="E2253" s="18">
        <v>21</v>
      </c>
      <c r="F2253" s="2">
        <f t="shared" si="70"/>
        <v>7796.1655200000005</v>
      </c>
      <c r="G2253" s="3">
        <v>0</v>
      </c>
      <c r="H2253" s="4">
        <v>0.7</v>
      </c>
      <c r="I2253" s="28">
        <f t="shared" si="71"/>
        <v>13253.481384000001</v>
      </c>
    </row>
    <row r="2254" spans="1:9" ht="15.75" customHeight="1" x14ac:dyDescent="0.35">
      <c r="A2254" s="26" t="s">
        <v>3456</v>
      </c>
      <c r="B2254" s="25" t="s">
        <v>9157</v>
      </c>
      <c r="C2254" s="6" t="s">
        <v>352</v>
      </c>
      <c r="D2254" s="13">
        <v>498.68929654375103</v>
      </c>
      <c r="E2254" s="18">
        <v>21</v>
      </c>
      <c r="F2254" s="2">
        <f t="shared" si="70"/>
        <v>603.41404881793869</v>
      </c>
      <c r="G2254" s="3">
        <v>0</v>
      </c>
      <c r="H2254" s="4">
        <v>0.7</v>
      </c>
      <c r="I2254" s="28">
        <f t="shared" si="71"/>
        <v>1025.8038829904958</v>
      </c>
    </row>
    <row r="2255" spans="1:9" ht="15.75" customHeight="1" x14ac:dyDescent="0.35">
      <c r="A2255" s="26" t="s">
        <v>3457</v>
      </c>
      <c r="B2255" s="25" t="s">
        <v>9266</v>
      </c>
      <c r="C2255" s="6" t="s">
        <v>353</v>
      </c>
      <c r="D2255" s="13">
        <v>379.77680129999999</v>
      </c>
      <c r="E2255" s="18">
        <v>21</v>
      </c>
      <c r="F2255" s="2">
        <f t="shared" si="70"/>
        <v>459.529929573</v>
      </c>
      <c r="G2255" s="3">
        <v>0</v>
      </c>
      <c r="H2255" s="4">
        <v>0.7</v>
      </c>
      <c r="I2255" s="28">
        <f t="shared" si="71"/>
        <v>781.20088027409997</v>
      </c>
    </row>
    <row r="2256" spans="1:9" ht="15.75" customHeight="1" x14ac:dyDescent="0.35">
      <c r="A2256" s="26" t="s">
        <v>3458</v>
      </c>
      <c r="B2256" s="25" t="s">
        <v>12924</v>
      </c>
      <c r="C2256" s="6" t="s">
        <v>945</v>
      </c>
      <c r="D2256" s="13">
        <v>191.33238384000001</v>
      </c>
      <c r="E2256" s="18">
        <v>21</v>
      </c>
      <c r="F2256" s="2">
        <f t="shared" si="70"/>
        <v>231.5121844464</v>
      </c>
      <c r="G2256" s="3">
        <v>0</v>
      </c>
      <c r="H2256" s="4">
        <v>0.7</v>
      </c>
      <c r="I2256" s="28">
        <f t="shared" si="71"/>
        <v>393.57071355888002</v>
      </c>
    </row>
    <row r="2257" spans="1:9" ht="15.75" customHeight="1" x14ac:dyDescent="0.35">
      <c r="A2257" s="26" t="s">
        <v>3459</v>
      </c>
      <c r="B2257" s="25" t="s">
        <v>9779</v>
      </c>
      <c r="C2257" s="6" t="s">
        <v>946</v>
      </c>
      <c r="D2257" s="13">
        <v>147.21208944</v>
      </c>
      <c r="E2257" s="18">
        <v>21</v>
      </c>
      <c r="F2257" s="2">
        <f t="shared" si="70"/>
        <v>178.1266282224</v>
      </c>
      <c r="G2257" s="3">
        <v>0</v>
      </c>
      <c r="H2257" s="4">
        <v>0.7</v>
      </c>
      <c r="I2257" s="28">
        <f t="shared" si="71"/>
        <v>302.81526797807999</v>
      </c>
    </row>
    <row r="2258" spans="1:9" ht="15.75" customHeight="1" x14ac:dyDescent="0.35">
      <c r="A2258" s="26" t="s">
        <v>5786</v>
      </c>
      <c r="B2258" s="25" t="s">
        <v>9722</v>
      </c>
      <c r="C2258" s="6" t="s">
        <v>8916</v>
      </c>
      <c r="D2258" s="13">
        <v>20865</v>
      </c>
      <c r="E2258" s="18">
        <v>21</v>
      </c>
      <c r="F2258" s="2">
        <f t="shared" si="70"/>
        <v>25246.65</v>
      </c>
      <c r="G2258" s="3">
        <v>0</v>
      </c>
      <c r="H2258" s="4">
        <v>0.7</v>
      </c>
      <c r="I2258" s="28">
        <f t="shared" si="71"/>
        <v>42919.305</v>
      </c>
    </row>
    <row r="2259" spans="1:9" ht="15.75" customHeight="1" x14ac:dyDescent="0.35">
      <c r="A2259" s="26" t="s">
        <v>5787</v>
      </c>
      <c r="B2259" s="25" t="s">
        <v>9781</v>
      </c>
      <c r="C2259" s="6" t="s">
        <v>1187</v>
      </c>
      <c r="D2259" s="13">
        <v>29020.692004200002</v>
      </c>
      <c r="E2259" s="18">
        <v>21</v>
      </c>
      <c r="F2259" s="2">
        <f t="shared" si="70"/>
        <v>35115.037325082005</v>
      </c>
      <c r="G2259" s="3">
        <v>0</v>
      </c>
      <c r="H2259" s="4">
        <v>0.7</v>
      </c>
      <c r="I2259" s="28">
        <f t="shared" si="71"/>
        <v>59695.563452639406</v>
      </c>
    </row>
    <row r="2260" spans="1:9" ht="15.75" customHeight="1" x14ac:dyDescent="0.35">
      <c r="A2260" s="26" t="s">
        <v>2311</v>
      </c>
      <c r="B2260" s="25" t="s">
        <v>9533</v>
      </c>
      <c r="C2260" s="6" t="s">
        <v>1157</v>
      </c>
      <c r="D2260" s="13">
        <v>583.89589700000101</v>
      </c>
      <c r="E2260" s="18">
        <v>21</v>
      </c>
      <c r="F2260" s="2">
        <f t="shared" si="70"/>
        <v>706.51403537000124</v>
      </c>
      <c r="G2260" s="3">
        <v>0</v>
      </c>
      <c r="H2260" s="4">
        <v>0.7</v>
      </c>
      <c r="I2260" s="28">
        <f t="shared" si="71"/>
        <v>1201.073860129002</v>
      </c>
    </row>
    <row r="2261" spans="1:9" ht="15.75" customHeight="1" x14ac:dyDescent="0.35">
      <c r="A2261" s="26" t="s">
        <v>2312</v>
      </c>
      <c r="B2261" s="25" t="s">
        <v>9606</v>
      </c>
      <c r="C2261" s="6" t="s">
        <v>1158</v>
      </c>
      <c r="D2261" s="13">
        <v>530.0732385</v>
      </c>
      <c r="E2261" s="18">
        <v>21</v>
      </c>
      <c r="F2261" s="2">
        <f t="shared" si="70"/>
        <v>641.38861858500002</v>
      </c>
      <c r="G2261" s="3">
        <v>0</v>
      </c>
      <c r="H2261" s="4">
        <v>0.7</v>
      </c>
      <c r="I2261" s="28">
        <f t="shared" si="71"/>
        <v>1090.3606515945</v>
      </c>
    </row>
    <row r="2262" spans="1:9" ht="15.75" customHeight="1" x14ac:dyDescent="0.35">
      <c r="A2262" s="26" t="s">
        <v>2313</v>
      </c>
      <c r="B2262" s="25" t="s">
        <v>9691</v>
      </c>
      <c r="C2262" s="6" t="s">
        <v>1159</v>
      </c>
      <c r="D2262" s="13">
        <v>569.34673250000003</v>
      </c>
      <c r="E2262" s="18">
        <v>21</v>
      </c>
      <c r="F2262" s="2">
        <f t="shared" si="70"/>
        <v>688.90954632500006</v>
      </c>
      <c r="G2262" s="3">
        <v>0</v>
      </c>
      <c r="H2262" s="4">
        <v>0.7</v>
      </c>
      <c r="I2262" s="28">
        <f t="shared" si="71"/>
        <v>1171.1462287525001</v>
      </c>
    </row>
    <row r="2263" spans="1:9" ht="15.75" customHeight="1" x14ac:dyDescent="0.35">
      <c r="A2263" s="26" t="s">
        <v>2369</v>
      </c>
      <c r="B2263" s="25" t="s">
        <v>12926</v>
      </c>
      <c r="C2263" s="6" t="s">
        <v>12709</v>
      </c>
      <c r="D2263" s="13">
        <v>461.44377503639998</v>
      </c>
      <c r="E2263" s="18">
        <v>21</v>
      </c>
      <c r="F2263" s="2">
        <f t="shared" si="70"/>
        <v>558.34696779404396</v>
      </c>
      <c r="G2263" s="3">
        <v>0</v>
      </c>
      <c r="H2263" s="4">
        <v>0.7</v>
      </c>
      <c r="I2263" s="28">
        <f t="shared" si="71"/>
        <v>949.18984524987468</v>
      </c>
    </row>
    <row r="2264" spans="1:9" ht="15.75" customHeight="1" x14ac:dyDescent="0.35">
      <c r="A2264" s="26" t="s">
        <v>2370</v>
      </c>
      <c r="B2264" s="25" t="s">
        <v>12100</v>
      </c>
      <c r="C2264" s="6" t="s">
        <v>12710</v>
      </c>
      <c r="D2264" s="13">
        <v>388.10790869760001</v>
      </c>
      <c r="E2264" s="18">
        <v>21</v>
      </c>
      <c r="F2264" s="2">
        <f t="shared" si="70"/>
        <v>469.61056952409604</v>
      </c>
      <c r="G2264" s="3">
        <v>0</v>
      </c>
      <c r="H2264" s="4">
        <v>0.7</v>
      </c>
      <c r="I2264" s="28">
        <f t="shared" si="71"/>
        <v>798.33796819096324</v>
      </c>
    </row>
    <row r="2265" spans="1:9" ht="15.75" customHeight="1" x14ac:dyDescent="0.35">
      <c r="A2265" s="26" t="s">
        <v>2371</v>
      </c>
      <c r="B2265" s="25" t="s">
        <v>9268</v>
      </c>
      <c r="C2265" s="6" t="s">
        <v>12711</v>
      </c>
      <c r="D2265" s="13">
        <v>175.56071729039999</v>
      </c>
      <c r="E2265" s="18">
        <v>21</v>
      </c>
      <c r="F2265" s="2">
        <f t="shared" si="70"/>
        <v>212.428467921384</v>
      </c>
      <c r="G2265" s="3">
        <v>0</v>
      </c>
      <c r="H2265" s="4">
        <v>0.7</v>
      </c>
      <c r="I2265" s="28">
        <f t="shared" si="71"/>
        <v>361.1283954663528</v>
      </c>
    </row>
    <row r="2266" spans="1:9" ht="15.75" customHeight="1" x14ac:dyDescent="0.35">
      <c r="A2266" s="26" t="s">
        <v>2372</v>
      </c>
      <c r="B2266" s="25" t="s">
        <v>1102</v>
      </c>
      <c r="C2266" s="6" t="s">
        <v>12712</v>
      </c>
      <c r="D2266" s="13">
        <v>579.94100746920003</v>
      </c>
      <c r="E2266" s="18">
        <v>21</v>
      </c>
      <c r="F2266" s="2">
        <f t="shared" si="70"/>
        <v>701.72861903773207</v>
      </c>
      <c r="G2266" s="3">
        <v>0</v>
      </c>
      <c r="H2266" s="4">
        <v>0.7</v>
      </c>
      <c r="I2266" s="28">
        <f t="shared" si="71"/>
        <v>1192.9386523641444</v>
      </c>
    </row>
    <row r="2267" spans="1:9" ht="15.75" customHeight="1" x14ac:dyDescent="0.35">
      <c r="A2267" s="26" t="s">
        <v>2373</v>
      </c>
      <c r="B2267" s="25" t="s">
        <v>1103</v>
      </c>
      <c r="C2267" s="6" t="s">
        <v>12713</v>
      </c>
      <c r="D2267" s="13">
        <v>145.1534533956</v>
      </c>
      <c r="E2267" s="18">
        <v>21</v>
      </c>
      <c r="F2267" s="2">
        <f t="shared" si="70"/>
        <v>175.63567860867599</v>
      </c>
      <c r="G2267" s="3">
        <v>0</v>
      </c>
      <c r="H2267" s="4">
        <v>0.7</v>
      </c>
      <c r="I2267" s="28">
        <f t="shared" si="71"/>
        <v>298.58065363474918</v>
      </c>
    </row>
    <row r="2268" spans="1:9" ht="15.75" customHeight="1" x14ac:dyDescent="0.35">
      <c r="A2268" s="26" t="s">
        <v>13623</v>
      </c>
      <c r="B2268" s="25" t="s">
        <v>11975</v>
      </c>
      <c r="C2268" s="6" t="s">
        <v>13624</v>
      </c>
      <c r="D2268" s="13">
        <v>159.66939413879999</v>
      </c>
      <c r="E2268" s="18">
        <v>21</v>
      </c>
      <c r="F2268" s="2">
        <f t="shared" si="70"/>
        <v>193.19996690794798</v>
      </c>
      <c r="G2268" s="3">
        <v>0</v>
      </c>
      <c r="H2268" s="4">
        <v>0.7</v>
      </c>
      <c r="I2268" s="28">
        <f t="shared" si="71"/>
        <v>328.43994374351155</v>
      </c>
    </row>
    <row r="2269" spans="1:9" ht="15.75" customHeight="1" x14ac:dyDescent="0.35">
      <c r="A2269" s="26" t="s">
        <v>2374</v>
      </c>
      <c r="B2269" s="25" t="s">
        <v>9019</v>
      </c>
      <c r="C2269" s="6" t="s">
        <v>12714</v>
      </c>
      <c r="D2269" s="13">
        <v>141.37859431800001</v>
      </c>
      <c r="E2269" s="18">
        <v>21</v>
      </c>
      <c r="F2269" s="2">
        <f t="shared" si="70"/>
        <v>171.06809912478002</v>
      </c>
      <c r="G2269" s="3">
        <v>0</v>
      </c>
      <c r="H2269" s="4">
        <v>0.7</v>
      </c>
      <c r="I2269" s="28">
        <f t="shared" si="71"/>
        <v>290.815768512126</v>
      </c>
    </row>
    <row r="2270" spans="1:9" ht="15.75" customHeight="1" x14ac:dyDescent="0.35">
      <c r="A2270" s="26" t="s">
        <v>2375</v>
      </c>
      <c r="B2270" s="25" t="s">
        <v>9270</v>
      </c>
      <c r="C2270" s="6" t="s">
        <v>12715</v>
      </c>
      <c r="D2270" s="13">
        <v>157.04366408640001</v>
      </c>
      <c r="E2270" s="18">
        <v>21</v>
      </c>
      <c r="F2270" s="2">
        <f t="shared" si="70"/>
        <v>190.02283354454403</v>
      </c>
      <c r="G2270" s="3">
        <v>0</v>
      </c>
      <c r="H2270" s="4">
        <v>0.7</v>
      </c>
      <c r="I2270" s="28">
        <f t="shared" si="71"/>
        <v>323.03881702572482</v>
      </c>
    </row>
    <row r="2271" spans="1:9" ht="15.75" customHeight="1" x14ac:dyDescent="0.35">
      <c r="A2271" s="26" t="s">
        <v>2471</v>
      </c>
      <c r="B2271" s="25" t="s">
        <v>12928</v>
      </c>
      <c r="C2271" s="6" t="s">
        <v>354</v>
      </c>
      <c r="D2271" s="13">
        <v>800.03011164375005</v>
      </c>
      <c r="E2271" s="18">
        <v>21</v>
      </c>
      <c r="F2271" s="2">
        <f t="shared" si="70"/>
        <v>968.03643508893754</v>
      </c>
      <c r="G2271" s="3">
        <v>0</v>
      </c>
      <c r="H2271" s="4">
        <v>0.7</v>
      </c>
      <c r="I2271" s="28">
        <f t="shared" si="71"/>
        <v>1645.6619396511937</v>
      </c>
    </row>
    <row r="2272" spans="1:9" ht="15.75" customHeight="1" x14ac:dyDescent="0.35">
      <c r="A2272" s="26" t="s">
        <v>2472</v>
      </c>
      <c r="B2272" s="25" t="s">
        <v>9783</v>
      </c>
      <c r="C2272" s="6" t="s">
        <v>355</v>
      </c>
      <c r="D2272" s="13">
        <v>583.35509358750005</v>
      </c>
      <c r="E2272" s="18">
        <v>21</v>
      </c>
      <c r="F2272" s="2">
        <f t="shared" si="70"/>
        <v>705.85966324087508</v>
      </c>
      <c r="G2272" s="3">
        <v>0</v>
      </c>
      <c r="H2272" s="4">
        <v>0.7</v>
      </c>
      <c r="I2272" s="28">
        <f t="shared" si="71"/>
        <v>1199.9614275094875</v>
      </c>
    </row>
    <row r="2273" spans="1:9" ht="15.75" customHeight="1" x14ac:dyDescent="0.35">
      <c r="A2273" s="26" t="s">
        <v>2473</v>
      </c>
      <c r="B2273" s="25" t="s">
        <v>9785</v>
      </c>
      <c r="C2273" s="6" t="s">
        <v>356</v>
      </c>
      <c r="D2273" s="13">
        <v>583.35509358750005</v>
      </c>
      <c r="E2273" s="18">
        <v>21</v>
      </c>
      <c r="F2273" s="2">
        <f t="shared" si="70"/>
        <v>705.85966324087508</v>
      </c>
      <c r="G2273" s="3">
        <v>0</v>
      </c>
      <c r="H2273" s="4">
        <v>0.7</v>
      </c>
      <c r="I2273" s="28">
        <f t="shared" si="71"/>
        <v>1199.9614275094875</v>
      </c>
    </row>
    <row r="2274" spans="1:9" ht="15.75" customHeight="1" x14ac:dyDescent="0.35">
      <c r="A2274" s="26" t="s">
        <v>2474</v>
      </c>
      <c r="B2274" s="25" t="s">
        <v>12930</v>
      </c>
      <c r="C2274" s="6" t="s">
        <v>357</v>
      </c>
      <c r="D2274" s="13">
        <v>700.02673999374997</v>
      </c>
      <c r="E2274" s="18">
        <v>21</v>
      </c>
      <c r="F2274" s="2">
        <f t="shared" si="70"/>
        <v>847.03235539243747</v>
      </c>
      <c r="G2274" s="3">
        <v>0</v>
      </c>
      <c r="H2274" s="4">
        <v>0.7</v>
      </c>
      <c r="I2274" s="28">
        <f t="shared" si="71"/>
        <v>1439.9550041671437</v>
      </c>
    </row>
    <row r="2275" spans="1:9" ht="15.75" customHeight="1" x14ac:dyDescent="0.35">
      <c r="A2275" s="26" t="s">
        <v>8859</v>
      </c>
      <c r="B2275" s="25" t="s">
        <v>9272</v>
      </c>
      <c r="C2275" s="6" t="s">
        <v>8865</v>
      </c>
      <c r="D2275" s="13">
        <v>123.057648807795</v>
      </c>
      <c r="E2275" s="18">
        <v>21</v>
      </c>
      <c r="F2275" s="2">
        <f t="shared" si="70"/>
        <v>148.89975505743195</v>
      </c>
      <c r="G2275" s="3">
        <v>0</v>
      </c>
      <c r="H2275" s="4">
        <v>0.7</v>
      </c>
      <c r="I2275" s="28">
        <f t="shared" si="71"/>
        <v>253.12958359763431</v>
      </c>
    </row>
    <row r="2276" spans="1:9" ht="15.75" customHeight="1" x14ac:dyDescent="0.35">
      <c r="A2276" s="26" t="s">
        <v>10194</v>
      </c>
      <c r="B2276" s="25" t="s">
        <v>12932</v>
      </c>
      <c r="C2276" s="6" t="s">
        <v>10195</v>
      </c>
      <c r="D2276" s="13">
        <v>124.35007249781999</v>
      </c>
      <c r="E2276" s="18">
        <v>21</v>
      </c>
      <c r="F2276" s="2">
        <f t="shared" si="70"/>
        <v>150.46358772236221</v>
      </c>
      <c r="G2276" s="3">
        <v>0</v>
      </c>
      <c r="H2276" s="4">
        <v>0.7</v>
      </c>
      <c r="I2276" s="28">
        <f t="shared" si="71"/>
        <v>255.78809912801574</v>
      </c>
    </row>
    <row r="2277" spans="1:9" ht="15.75" customHeight="1" x14ac:dyDescent="0.35">
      <c r="A2277" s="26" t="s">
        <v>10196</v>
      </c>
      <c r="B2277" s="25" t="s">
        <v>12934</v>
      </c>
      <c r="C2277" s="6" t="s">
        <v>10197</v>
      </c>
      <c r="D2277" s="13">
        <v>162.033364595466</v>
      </c>
      <c r="E2277" s="18">
        <v>21</v>
      </c>
      <c r="F2277" s="2">
        <f t="shared" si="70"/>
        <v>196.06037116051385</v>
      </c>
      <c r="G2277" s="3">
        <v>0</v>
      </c>
      <c r="H2277" s="4">
        <v>0.7</v>
      </c>
      <c r="I2277" s="28">
        <f t="shared" si="71"/>
        <v>333.30263097287354</v>
      </c>
    </row>
    <row r="2278" spans="1:9" ht="15.75" customHeight="1" x14ac:dyDescent="0.35">
      <c r="A2278" s="26" t="s">
        <v>8860</v>
      </c>
      <c r="B2278" s="25" t="s">
        <v>9513</v>
      </c>
      <c r="C2278" s="6" t="s">
        <v>8866</v>
      </c>
      <c r="D2278" s="13">
        <v>190.29899577239399</v>
      </c>
      <c r="E2278" s="18">
        <v>21</v>
      </c>
      <c r="F2278" s="2">
        <f t="shared" si="70"/>
        <v>230.26178488459675</v>
      </c>
      <c r="G2278" s="3">
        <v>0</v>
      </c>
      <c r="H2278" s="4">
        <v>0.7</v>
      </c>
      <c r="I2278" s="28">
        <f t="shared" si="71"/>
        <v>391.44503430381445</v>
      </c>
    </row>
    <row r="2279" spans="1:9" ht="15.75" customHeight="1" x14ac:dyDescent="0.35">
      <c r="A2279" s="26" t="s">
        <v>11593</v>
      </c>
      <c r="B2279" s="25" t="s">
        <v>13044</v>
      </c>
      <c r="C2279" s="6" t="s">
        <v>11594</v>
      </c>
      <c r="D2279" s="13">
        <v>523.75312425617994</v>
      </c>
      <c r="E2279" s="18">
        <v>21</v>
      </c>
      <c r="F2279" s="2">
        <f t="shared" si="70"/>
        <v>633.74128034997773</v>
      </c>
      <c r="G2279" s="3">
        <v>0</v>
      </c>
      <c r="H2279" s="4">
        <v>0.7</v>
      </c>
      <c r="I2279" s="28">
        <f t="shared" si="71"/>
        <v>1077.360176594962</v>
      </c>
    </row>
    <row r="2280" spans="1:9" ht="15.75" customHeight="1" x14ac:dyDescent="0.35">
      <c r="A2280" s="26" t="s">
        <v>11595</v>
      </c>
      <c r="B2280" s="25" t="s">
        <v>9020</v>
      </c>
      <c r="C2280" s="6" t="s">
        <v>11596</v>
      </c>
      <c r="D2280" s="13">
        <v>556.83286621501497</v>
      </c>
      <c r="E2280" s="18">
        <v>21</v>
      </c>
      <c r="F2280" s="2">
        <f t="shared" si="70"/>
        <v>673.76776812016806</v>
      </c>
      <c r="G2280" s="3">
        <v>0</v>
      </c>
      <c r="H2280" s="4">
        <v>0.7</v>
      </c>
      <c r="I2280" s="28">
        <f t="shared" si="71"/>
        <v>1145.4052058042857</v>
      </c>
    </row>
    <row r="2281" spans="1:9" ht="15.75" customHeight="1" x14ac:dyDescent="0.35">
      <c r="A2281" s="26" t="s">
        <v>2376</v>
      </c>
      <c r="B2281" s="25" t="s">
        <v>9274</v>
      </c>
      <c r="C2281" s="6" t="s">
        <v>10988</v>
      </c>
      <c r="D2281" s="13">
        <v>175.56071729039999</v>
      </c>
      <c r="E2281" s="18">
        <v>21</v>
      </c>
      <c r="F2281" s="2">
        <f t="shared" si="70"/>
        <v>212.428467921384</v>
      </c>
      <c r="G2281" s="3">
        <v>0</v>
      </c>
      <c r="H2281" s="4">
        <v>0.7</v>
      </c>
      <c r="I2281" s="28">
        <f t="shared" si="71"/>
        <v>361.1283954663528</v>
      </c>
    </row>
    <row r="2282" spans="1:9" ht="15.75" customHeight="1" x14ac:dyDescent="0.35">
      <c r="A2282" s="26" t="s">
        <v>2378</v>
      </c>
      <c r="B2282" s="25" t="s">
        <v>1104</v>
      </c>
      <c r="C2282" s="6" t="s">
        <v>10989</v>
      </c>
      <c r="D2282" s="13">
        <v>141.37859431800001</v>
      </c>
      <c r="E2282" s="18">
        <v>21</v>
      </c>
      <c r="F2282" s="2">
        <f t="shared" si="70"/>
        <v>171.06809912478002</v>
      </c>
      <c r="G2282" s="3">
        <v>0</v>
      </c>
      <c r="H2282" s="4">
        <v>0.7</v>
      </c>
      <c r="I2282" s="28">
        <f t="shared" si="71"/>
        <v>290.815768512126</v>
      </c>
    </row>
    <row r="2283" spans="1:9" ht="15.75" customHeight="1" x14ac:dyDescent="0.35">
      <c r="A2283" s="26" t="s">
        <v>2379</v>
      </c>
      <c r="B2283" s="25" t="s">
        <v>12936</v>
      </c>
      <c r="C2283" s="6" t="s">
        <v>10990</v>
      </c>
      <c r="D2283" s="13">
        <v>157.04366408640001</v>
      </c>
      <c r="E2283" s="18">
        <v>21</v>
      </c>
      <c r="F2283" s="2">
        <f t="shared" si="70"/>
        <v>190.02283354454403</v>
      </c>
      <c r="G2283" s="3">
        <v>0</v>
      </c>
      <c r="H2283" s="4">
        <v>0.7</v>
      </c>
      <c r="I2283" s="28">
        <f t="shared" si="71"/>
        <v>323.03881702572482</v>
      </c>
    </row>
    <row r="2284" spans="1:9" ht="15.75" customHeight="1" x14ac:dyDescent="0.35">
      <c r="A2284" s="26" t="s">
        <v>10184</v>
      </c>
      <c r="B2284" s="25" t="s">
        <v>12938</v>
      </c>
      <c r="C2284" s="6" t="s">
        <v>10185</v>
      </c>
      <c r="D2284" s="13">
        <v>3970.1052451125001</v>
      </c>
      <c r="E2284" s="18">
        <v>21</v>
      </c>
      <c r="F2284" s="2">
        <f t="shared" si="70"/>
        <v>4803.8273465861257</v>
      </c>
      <c r="G2284" s="3">
        <v>0</v>
      </c>
      <c r="H2284" s="4">
        <v>0.7</v>
      </c>
      <c r="I2284" s="28">
        <f t="shared" si="71"/>
        <v>8166.5064891964139</v>
      </c>
    </row>
    <row r="2285" spans="1:9" ht="15.75" customHeight="1" x14ac:dyDescent="0.35">
      <c r="A2285" s="26" t="s">
        <v>10130</v>
      </c>
      <c r="B2285" s="25" t="s">
        <v>344</v>
      </c>
      <c r="C2285" s="6" t="s">
        <v>10186</v>
      </c>
      <c r="D2285" s="13">
        <v>3409.4282156999998</v>
      </c>
      <c r="E2285" s="18">
        <v>21</v>
      </c>
      <c r="F2285" s="2">
        <f t="shared" si="70"/>
        <v>4125.4081409969995</v>
      </c>
      <c r="G2285" s="3">
        <v>0</v>
      </c>
      <c r="H2285" s="4">
        <v>0.7</v>
      </c>
      <c r="I2285" s="28">
        <f t="shared" si="71"/>
        <v>7013.193839694899</v>
      </c>
    </row>
    <row r="2286" spans="1:9" ht="15.75" customHeight="1" x14ac:dyDescent="0.35">
      <c r="A2286" s="26" t="s">
        <v>2293</v>
      </c>
      <c r="B2286" s="25" t="s">
        <v>9662</v>
      </c>
      <c r="C2286" s="6" t="s">
        <v>8799</v>
      </c>
      <c r="D2286" s="13">
        <v>1993.8371266125</v>
      </c>
      <c r="E2286" s="18">
        <v>21</v>
      </c>
      <c r="F2286" s="2">
        <f t="shared" si="70"/>
        <v>2412.5429232011252</v>
      </c>
      <c r="G2286" s="3">
        <v>0</v>
      </c>
      <c r="H2286" s="4">
        <v>0.7</v>
      </c>
      <c r="I2286" s="28">
        <f t="shared" si="71"/>
        <v>4101.3229694419124</v>
      </c>
    </row>
    <row r="2287" spans="1:9" ht="15.75" customHeight="1" x14ac:dyDescent="0.35">
      <c r="A2287" s="26" t="s">
        <v>12101</v>
      </c>
      <c r="B2287" s="25" t="s">
        <v>11977</v>
      </c>
      <c r="C2287" s="6" t="s">
        <v>12102</v>
      </c>
      <c r="D2287" s="13">
        <v>5151.5060103551896</v>
      </c>
      <c r="E2287" s="18">
        <v>21</v>
      </c>
      <c r="F2287" s="2">
        <f t="shared" si="70"/>
        <v>6233.3222725297792</v>
      </c>
      <c r="G2287" s="3">
        <v>0</v>
      </c>
      <c r="H2287" s="4">
        <v>0.7</v>
      </c>
      <c r="I2287" s="28">
        <f t="shared" si="71"/>
        <v>10596.647863300625</v>
      </c>
    </row>
    <row r="2288" spans="1:9" ht="15.75" customHeight="1" x14ac:dyDescent="0.35">
      <c r="A2288" s="26" t="s">
        <v>2294</v>
      </c>
      <c r="B2288" s="25" t="s">
        <v>10984</v>
      </c>
      <c r="C2288" s="6" t="s">
        <v>8800</v>
      </c>
      <c r="D2288" s="13">
        <v>1712.8757134125001</v>
      </c>
      <c r="E2288" s="18">
        <v>21</v>
      </c>
      <c r="F2288" s="2">
        <f t="shared" si="70"/>
        <v>2072.5796132291252</v>
      </c>
      <c r="G2288" s="3">
        <v>0</v>
      </c>
      <c r="H2288" s="4">
        <v>0.7</v>
      </c>
      <c r="I2288" s="28">
        <f t="shared" si="71"/>
        <v>3523.3853424895128</v>
      </c>
    </row>
    <row r="2289" spans="1:9" ht="15.75" customHeight="1" x14ac:dyDescent="0.35">
      <c r="A2289" s="26" t="s">
        <v>2295</v>
      </c>
      <c r="B2289" s="25" t="s">
        <v>13410</v>
      </c>
      <c r="C2289" s="6" t="s">
        <v>8801</v>
      </c>
      <c r="D2289" s="13">
        <v>1902.5787806999999</v>
      </c>
      <c r="E2289" s="18">
        <v>21</v>
      </c>
      <c r="F2289" s="2">
        <f t="shared" si="70"/>
        <v>2302.120324647</v>
      </c>
      <c r="G2289" s="3">
        <v>0</v>
      </c>
      <c r="H2289" s="4">
        <v>0.7</v>
      </c>
      <c r="I2289" s="28">
        <f t="shared" si="71"/>
        <v>3913.6045518998999</v>
      </c>
    </row>
    <row r="2290" spans="1:9" ht="15.75" customHeight="1" x14ac:dyDescent="0.35">
      <c r="A2290" s="26" t="s">
        <v>1731</v>
      </c>
      <c r="B2290" s="25" t="s">
        <v>9881</v>
      </c>
      <c r="C2290" s="6" t="s">
        <v>358</v>
      </c>
      <c r="D2290" s="13">
        <v>2062.1321435268901</v>
      </c>
      <c r="E2290" s="18">
        <v>21</v>
      </c>
      <c r="F2290" s="2">
        <f t="shared" si="70"/>
        <v>2495.1798936675368</v>
      </c>
      <c r="G2290" s="3">
        <v>0</v>
      </c>
      <c r="H2290" s="4">
        <v>0.7</v>
      </c>
      <c r="I2290" s="28">
        <f t="shared" si="71"/>
        <v>4241.8058192348126</v>
      </c>
    </row>
    <row r="2291" spans="1:9" ht="15.75" customHeight="1" x14ac:dyDescent="0.35">
      <c r="A2291" s="26" t="s">
        <v>1732</v>
      </c>
      <c r="B2291" s="25" t="s">
        <v>13045</v>
      </c>
      <c r="C2291" s="6" t="s">
        <v>359</v>
      </c>
      <c r="D2291" s="13">
        <v>3245.4483796332001</v>
      </c>
      <c r="E2291" s="18">
        <v>21</v>
      </c>
      <c r="F2291" s="2">
        <f t="shared" si="70"/>
        <v>3926.9925393561721</v>
      </c>
      <c r="G2291" s="3">
        <v>0</v>
      </c>
      <c r="H2291" s="4">
        <v>0.7</v>
      </c>
      <c r="I2291" s="28">
        <f t="shared" si="71"/>
        <v>6675.8873169054923</v>
      </c>
    </row>
    <row r="2292" spans="1:9" ht="15.75" customHeight="1" x14ac:dyDescent="0.35">
      <c r="A2292" s="26" t="s">
        <v>1737</v>
      </c>
      <c r="B2292" s="25" t="s">
        <v>9883</v>
      </c>
      <c r="C2292" s="6" t="s">
        <v>9560</v>
      </c>
      <c r="D2292" s="13">
        <v>2449.234736676</v>
      </c>
      <c r="E2292" s="18">
        <v>21</v>
      </c>
      <c r="F2292" s="2">
        <f t="shared" si="70"/>
        <v>2963.5740313779602</v>
      </c>
      <c r="G2292" s="3">
        <v>0</v>
      </c>
      <c r="H2292" s="4">
        <v>0.7</v>
      </c>
      <c r="I2292" s="28">
        <f t="shared" si="71"/>
        <v>5038.0758533425324</v>
      </c>
    </row>
    <row r="2293" spans="1:9" ht="15.75" customHeight="1" x14ac:dyDescent="0.35">
      <c r="A2293" s="26" t="s">
        <v>1734</v>
      </c>
      <c r="B2293" s="25" t="s">
        <v>13046</v>
      </c>
      <c r="C2293" s="6" t="s">
        <v>360</v>
      </c>
      <c r="D2293" s="13">
        <v>2527.7681713284001</v>
      </c>
      <c r="E2293" s="18">
        <v>21</v>
      </c>
      <c r="F2293" s="2">
        <f t="shared" si="70"/>
        <v>3058.5994873073641</v>
      </c>
      <c r="G2293" s="3">
        <v>0</v>
      </c>
      <c r="H2293" s="4">
        <v>0.7</v>
      </c>
      <c r="I2293" s="28">
        <f t="shared" si="71"/>
        <v>5199.6191284225188</v>
      </c>
    </row>
    <row r="2294" spans="1:9" ht="15.75" customHeight="1" x14ac:dyDescent="0.35">
      <c r="A2294" s="26" t="s">
        <v>1735</v>
      </c>
      <c r="B2294" s="25" t="s">
        <v>9275</v>
      </c>
      <c r="C2294" s="6" t="s">
        <v>361</v>
      </c>
      <c r="D2294" s="13">
        <v>3115.4608334303998</v>
      </c>
      <c r="E2294" s="18">
        <v>21</v>
      </c>
      <c r="F2294" s="2">
        <f t="shared" si="70"/>
        <v>3769.7076084507835</v>
      </c>
      <c r="G2294" s="3">
        <v>0</v>
      </c>
      <c r="H2294" s="4">
        <v>0.7</v>
      </c>
      <c r="I2294" s="28">
        <f t="shared" si="71"/>
        <v>6408.5029343663318</v>
      </c>
    </row>
    <row r="2295" spans="1:9" ht="15.75" customHeight="1" x14ac:dyDescent="0.35">
      <c r="A2295" s="26" t="s">
        <v>2380</v>
      </c>
      <c r="B2295" s="25" t="s">
        <v>9277</v>
      </c>
      <c r="C2295" s="6" t="s">
        <v>1175</v>
      </c>
      <c r="D2295" s="13">
        <v>3287.4434152091999</v>
      </c>
      <c r="E2295" s="18">
        <v>21</v>
      </c>
      <c r="F2295" s="2">
        <f t="shared" si="70"/>
        <v>3977.8065324031318</v>
      </c>
      <c r="G2295" s="3">
        <v>0</v>
      </c>
      <c r="H2295" s="4">
        <v>0.7</v>
      </c>
      <c r="I2295" s="28">
        <f t="shared" si="71"/>
        <v>6762.2711050853241</v>
      </c>
    </row>
    <row r="2296" spans="1:9" ht="15.75" customHeight="1" x14ac:dyDescent="0.35">
      <c r="A2296" s="26" t="s">
        <v>1736</v>
      </c>
      <c r="B2296" s="25" t="s">
        <v>10985</v>
      </c>
      <c r="C2296" s="6" t="s">
        <v>362</v>
      </c>
      <c r="D2296" s="13">
        <v>4653.2470059036004</v>
      </c>
      <c r="E2296" s="18">
        <v>21</v>
      </c>
      <c r="F2296" s="2">
        <f t="shared" si="70"/>
        <v>5630.4288771433567</v>
      </c>
      <c r="G2296" s="3">
        <v>0</v>
      </c>
      <c r="H2296" s="4">
        <v>0.7</v>
      </c>
      <c r="I2296" s="28">
        <f t="shared" si="71"/>
        <v>9571.7290911437067</v>
      </c>
    </row>
    <row r="2297" spans="1:9" ht="15.75" customHeight="1" x14ac:dyDescent="0.35">
      <c r="A2297" s="26" t="s">
        <v>1738</v>
      </c>
      <c r="B2297" s="25" t="s">
        <v>9723</v>
      </c>
      <c r="C2297" s="6" t="s">
        <v>1188</v>
      </c>
      <c r="D2297" s="13">
        <v>4434.0098161320002</v>
      </c>
      <c r="E2297" s="18">
        <v>21</v>
      </c>
      <c r="F2297" s="2">
        <f t="shared" si="70"/>
        <v>5365.1518775197201</v>
      </c>
      <c r="G2297" s="3">
        <v>0</v>
      </c>
      <c r="H2297" s="4">
        <v>0.7</v>
      </c>
      <c r="I2297" s="28">
        <f t="shared" si="71"/>
        <v>9120.7581917835232</v>
      </c>
    </row>
    <row r="2298" spans="1:9" ht="15.75" customHeight="1" x14ac:dyDescent="0.35">
      <c r="A2298" s="26" t="s">
        <v>1741</v>
      </c>
      <c r="B2298" s="25" t="s">
        <v>10986</v>
      </c>
      <c r="C2298" s="6" t="s">
        <v>1177</v>
      </c>
      <c r="D2298" s="13">
        <v>2650.0566276755999</v>
      </c>
      <c r="E2298" s="18">
        <v>21</v>
      </c>
      <c r="F2298" s="2">
        <f t="shared" si="70"/>
        <v>3206.5685194874759</v>
      </c>
      <c r="G2298" s="3">
        <v>0</v>
      </c>
      <c r="H2298" s="4">
        <v>0.7</v>
      </c>
      <c r="I2298" s="28">
        <f t="shared" si="71"/>
        <v>5451.1664831287089</v>
      </c>
    </row>
    <row r="2299" spans="1:9" ht="15.75" customHeight="1" x14ac:dyDescent="0.35">
      <c r="A2299" s="26" t="s">
        <v>1742</v>
      </c>
      <c r="B2299" s="25" t="s">
        <v>10987</v>
      </c>
      <c r="C2299" s="6" t="s">
        <v>1178</v>
      </c>
      <c r="D2299" s="13">
        <v>2354.8619347077602</v>
      </c>
      <c r="E2299" s="18">
        <v>21</v>
      </c>
      <c r="F2299" s="2">
        <f t="shared" si="70"/>
        <v>2849.3829409963901</v>
      </c>
      <c r="G2299" s="3">
        <v>0</v>
      </c>
      <c r="H2299" s="4">
        <v>0.7</v>
      </c>
      <c r="I2299" s="28">
        <f t="shared" si="71"/>
        <v>4843.9509996938632</v>
      </c>
    </row>
    <row r="2300" spans="1:9" ht="15.75" customHeight="1" x14ac:dyDescent="0.35">
      <c r="A2300" s="26" t="s">
        <v>1744</v>
      </c>
      <c r="B2300" s="25" t="s">
        <v>13214</v>
      </c>
      <c r="C2300" s="6" t="s">
        <v>365</v>
      </c>
      <c r="D2300" s="13">
        <v>4434.0098161320002</v>
      </c>
      <c r="E2300" s="18">
        <v>21</v>
      </c>
      <c r="F2300" s="2">
        <f t="shared" si="70"/>
        <v>5365.1518775197201</v>
      </c>
      <c r="G2300" s="3">
        <v>0</v>
      </c>
      <c r="H2300" s="4">
        <v>0.7</v>
      </c>
      <c r="I2300" s="28">
        <f t="shared" si="71"/>
        <v>9120.7581917835232</v>
      </c>
    </row>
    <row r="2301" spans="1:9" ht="15.75" customHeight="1" x14ac:dyDescent="0.35">
      <c r="A2301" s="26" t="s">
        <v>11871</v>
      </c>
      <c r="B2301" s="25" t="s">
        <v>13215</v>
      </c>
      <c r="C2301" s="6" t="s">
        <v>11872</v>
      </c>
      <c r="D2301" s="13">
        <v>1544.6693339999999</v>
      </c>
      <c r="E2301" s="18">
        <v>21</v>
      </c>
      <c r="F2301" s="2">
        <f t="shared" si="70"/>
        <v>1869.0498941399999</v>
      </c>
      <c r="G2301" s="3">
        <v>0</v>
      </c>
      <c r="H2301" s="4">
        <v>0.7</v>
      </c>
      <c r="I2301" s="28">
        <f t="shared" si="71"/>
        <v>3177.3848200379998</v>
      </c>
    </row>
    <row r="2302" spans="1:9" ht="15.75" customHeight="1" x14ac:dyDescent="0.35">
      <c r="A2302" s="26" t="s">
        <v>1609</v>
      </c>
      <c r="B2302" s="25" t="s">
        <v>13216</v>
      </c>
      <c r="C2302" s="6" t="s">
        <v>366</v>
      </c>
      <c r="D2302" s="13">
        <v>618.25957830000004</v>
      </c>
      <c r="E2302" s="18">
        <v>21</v>
      </c>
      <c r="F2302" s="2">
        <f t="shared" si="70"/>
        <v>748.09408974300004</v>
      </c>
      <c r="G2302" s="3">
        <v>0</v>
      </c>
      <c r="H2302" s="4">
        <v>0.7</v>
      </c>
      <c r="I2302" s="28">
        <f t="shared" si="71"/>
        <v>1271.7599525631001</v>
      </c>
    </row>
    <row r="2303" spans="1:9" ht="15.75" customHeight="1" x14ac:dyDescent="0.35">
      <c r="A2303" s="26" t="s">
        <v>3072</v>
      </c>
      <c r="B2303" s="25" t="s">
        <v>13217</v>
      </c>
      <c r="C2303" s="6" t="s">
        <v>10624</v>
      </c>
      <c r="D2303" s="13">
        <v>48336.666786736256</v>
      </c>
      <c r="E2303" s="18">
        <v>21</v>
      </c>
      <c r="F2303" s="2">
        <f t="shared" si="70"/>
        <v>58487.366811950866</v>
      </c>
      <c r="G2303" s="3">
        <v>0</v>
      </c>
      <c r="H2303" s="4">
        <v>0.7</v>
      </c>
      <c r="I2303" s="28">
        <f t="shared" si="71"/>
        <v>99428.523580316469</v>
      </c>
    </row>
    <row r="2304" spans="1:9" ht="15.75" customHeight="1" x14ac:dyDescent="0.35">
      <c r="A2304" s="26" t="s">
        <v>10301</v>
      </c>
      <c r="B2304" s="25" t="s">
        <v>12986</v>
      </c>
      <c r="C2304" s="6" t="s">
        <v>10888</v>
      </c>
      <c r="D2304" s="13">
        <v>57383.815125000001</v>
      </c>
      <c r="E2304" s="18">
        <v>21</v>
      </c>
      <c r="F2304" s="2">
        <f t="shared" si="70"/>
        <v>69434.416301250007</v>
      </c>
      <c r="G2304" s="3">
        <v>0</v>
      </c>
      <c r="H2304" s="4">
        <v>0.7</v>
      </c>
      <c r="I2304" s="28">
        <f t="shared" si="71"/>
        <v>118038.50771212501</v>
      </c>
    </row>
    <row r="2305" spans="1:9" ht="15.75" customHeight="1" x14ac:dyDescent="0.35">
      <c r="A2305" s="26" t="s">
        <v>11531</v>
      </c>
      <c r="B2305" s="25" t="s">
        <v>12988</v>
      </c>
      <c r="C2305" s="6" t="s">
        <v>11532</v>
      </c>
      <c r="D2305" s="13">
        <v>50878.122750000002</v>
      </c>
      <c r="E2305" s="18">
        <v>21</v>
      </c>
      <c r="F2305" s="2">
        <f t="shared" si="70"/>
        <v>61562.528527500006</v>
      </c>
      <c r="G2305" s="3">
        <v>0</v>
      </c>
      <c r="H2305" s="4">
        <v>0.7</v>
      </c>
      <c r="I2305" s="28">
        <f t="shared" si="71"/>
        <v>104656.29849675001</v>
      </c>
    </row>
    <row r="2306" spans="1:9" ht="15.75" customHeight="1" x14ac:dyDescent="0.35">
      <c r="A2306" s="26" t="s">
        <v>10293</v>
      </c>
      <c r="B2306" s="25" t="s">
        <v>9156</v>
      </c>
      <c r="C2306" s="6" t="s">
        <v>10294</v>
      </c>
      <c r="D2306" s="13">
        <v>50878.122750000002</v>
      </c>
      <c r="E2306" s="18">
        <v>21</v>
      </c>
      <c r="F2306" s="2">
        <f t="shared" si="70"/>
        <v>61562.528527500006</v>
      </c>
      <c r="G2306" s="3">
        <v>0</v>
      </c>
      <c r="H2306" s="4">
        <v>0.7</v>
      </c>
      <c r="I2306" s="28">
        <f t="shared" si="71"/>
        <v>104656.29849675001</v>
      </c>
    </row>
    <row r="2307" spans="1:9" ht="15.75" customHeight="1" x14ac:dyDescent="0.35">
      <c r="A2307" s="26" t="s">
        <v>10889</v>
      </c>
      <c r="B2307" s="25" t="s">
        <v>9534</v>
      </c>
      <c r="C2307" s="6" t="s">
        <v>10890</v>
      </c>
      <c r="D2307" s="13">
        <v>57383.815125000001</v>
      </c>
      <c r="E2307" s="18">
        <v>21</v>
      </c>
      <c r="F2307" s="2">
        <f t="shared" si="70"/>
        <v>69434.416301250007</v>
      </c>
      <c r="G2307" s="3">
        <v>0</v>
      </c>
      <c r="H2307" s="4">
        <v>0.7</v>
      </c>
      <c r="I2307" s="28">
        <f t="shared" si="71"/>
        <v>118038.50771212501</v>
      </c>
    </row>
    <row r="2308" spans="1:9" ht="15.75" customHeight="1" x14ac:dyDescent="0.35">
      <c r="A2308" s="26" t="s">
        <v>10891</v>
      </c>
      <c r="B2308" s="25" t="s">
        <v>9535</v>
      </c>
      <c r="C2308" s="6" t="s">
        <v>10892</v>
      </c>
      <c r="D2308" s="13">
        <v>57383.815125000001</v>
      </c>
      <c r="E2308" s="18">
        <v>21</v>
      </c>
      <c r="F2308" s="2">
        <f t="shared" si="70"/>
        <v>69434.416301250007</v>
      </c>
      <c r="G2308" s="3">
        <v>0</v>
      </c>
      <c r="H2308" s="4">
        <v>0.7</v>
      </c>
      <c r="I2308" s="28">
        <f t="shared" si="71"/>
        <v>118038.50771212501</v>
      </c>
    </row>
    <row r="2309" spans="1:9" ht="15.75" customHeight="1" x14ac:dyDescent="0.35">
      <c r="A2309" s="26" t="s">
        <v>10295</v>
      </c>
      <c r="B2309" s="25" t="s">
        <v>9537</v>
      </c>
      <c r="C2309" s="6" t="s">
        <v>10296</v>
      </c>
      <c r="D2309" s="13">
        <v>50878.122750000002</v>
      </c>
      <c r="E2309" s="18">
        <v>21</v>
      </c>
      <c r="F2309" s="2">
        <f t="shared" si="70"/>
        <v>61562.528527500006</v>
      </c>
      <c r="G2309" s="3">
        <v>0</v>
      </c>
      <c r="H2309" s="4">
        <v>0.7</v>
      </c>
      <c r="I2309" s="28">
        <f t="shared" si="71"/>
        <v>104656.29849675001</v>
      </c>
    </row>
    <row r="2310" spans="1:9" ht="15.75" customHeight="1" x14ac:dyDescent="0.35">
      <c r="A2310" s="26" t="s">
        <v>10893</v>
      </c>
      <c r="B2310" s="25" t="s">
        <v>9505</v>
      </c>
      <c r="C2310" s="6" t="s">
        <v>10894</v>
      </c>
      <c r="D2310" s="13">
        <v>57383.815125000001</v>
      </c>
      <c r="E2310" s="18">
        <v>21</v>
      </c>
      <c r="F2310" s="2">
        <f t="shared" ref="F2310:F2373" si="72">D2310*E2310/100+D2310</f>
        <v>69434.416301250007</v>
      </c>
      <c r="G2310" s="3">
        <v>0</v>
      </c>
      <c r="H2310" s="4">
        <v>0.7</v>
      </c>
      <c r="I2310" s="28">
        <f t="shared" ref="I2310:I2373" si="73">IF(G2310=-1,0,F2310*((100-G2310)/100)*(1+H2310))</f>
        <v>118038.50771212501</v>
      </c>
    </row>
    <row r="2311" spans="1:9" ht="15.75" customHeight="1" x14ac:dyDescent="0.35">
      <c r="A2311" s="26" t="s">
        <v>11496</v>
      </c>
      <c r="B2311" s="25" t="s">
        <v>345</v>
      </c>
      <c r="C2311" s="6" t="s">
        <v>11497</v>
      </c>
      <c r="D2311" s="13">
        <v>59433.337910851849</v>
      </c>
      <c r="E2311" s="18">
        <v>21</v>
      </c>
      <c r="F2311" s="2">
        <f t="shared" si="72"/>
        <v>71914.338872130742</v>
      </c>
      <c r="G2311" s="3">
        <v>0</v>
      </c>
      <c r="H2311" s="4">
        <v>0.7</v>
      </c>
      <c r="I2311" s="28">
        <f t="shared" si="73"/>
        <v>122254.37608262226</v>
      </c>
    </row>
    <row r="2312" spans="1:9" ht="15.75" customHeight="1" x14ac:dyDescent="0.35">
      <c r="A2312" s="26" t="s">
        <v>11498</v>
      </c>
      <c r="B2312" s="25" t="s">
        <v>9278</v>
      </c>
      <c r="C2312" s="6" t="s">
        <v>11499</v>
      </c>
      <c r="D2312" s="13">
        <v>227242.87950000001</v>
      </c>
      <c r="E2312" s="18">
        <v>21</v>
      </c>
      <c r="F2312" s="2">
        <f t="shared" si="72"/>
        <v>274963.88419499999</v>
      </c>
      <c r="G2312" s="3">
        <v>0</v>
      </c>
      <c r="H2312" s="4">
        <v>0.7</v>
      </c>
      <c r="I2312" s="28">
        <f t="shared" si="73"/>
        <v>467438.60313149996</v>
      </c>
    </row>
    <row r="2313" spans="1:9" ht="15.75" customHeight="1" x14ac:dyDescent="0.35">
      <c r="A2313" s="26" t="s">
        <v>10895</v>
      </c>
      <c r="B2313" s="25" t="s">
        <v>12940</v>
      </c>
      <c r="C2313" s="6" t="s">
        <v>12200</v>
      </c>
      <c r="D2313" s="13">
        <v>227242.87950000001</v>
      </c>
      <c r="E2313" s="18">
        <v>21</v>
      </c>
      <c r="F2313" s="2">
        <f t="shared" si="72"/>
        <v>274963.88419499999</v>
      </c>
      <c r="G2313" s="3">
        <v>0</v>
      </c>
      <c r="H2313" s="4">
        <v>0.7</v>
      </c>
      <c r="I2313" s="28">
        <f t="shared" si="73"/>
        <v>467438.60313149996</v>
      </c>
    </row>
    <row r="2314" spans="1:9" ht="15.75" customHeight="1" x14ac:dyDescent="0.35">
      <c r="A2314" s="26" t="s">
        <v>10297</v>
      </c>
      <c r="B2314" s="25" t="s">
        <v>9280</v>
      </c>
      <c r="C2314" s="6" t="s">
        <v>10298</v>
      </c>
      <c r="D2314" s="13">
        <v>50878.122750000002</v>
      </c>
      <c r="E2314" s="18">
        <v>21</v>
      </c>
      <c r="F2314" s="2">
        <f t="shared" si="72"/>
        <v>61562.528527500006</v>
      </c>
      <c r="G2314" s="3">
        <v>0</v>
      </c>
      <c r="H2314" s="4">
        <v>0.7</v>
      </c>
      <c r="I2314" s="28">
        <f t="shared" si="73"/>
        <v>104656.29849675001</v>
      </c>
    </row>
    <row r="2315" spans="1:9" ht="15.75" customHeight="1" x14ac:dyDescent="0.35">
      <c r="A2315" s="26" t="s">
        <v>10299</v>
      </c>
      <c r="B2315" s="25" t="s">
        <v>12942</v>
      </c>
      <c r="C2315" s="6" t="s">
        <v>10300</v>
      </c>
      <c r="D2315" s="13">
        <v>50878.122750000002</v>
      </c>
      <c r="E2315" s="18">
        <v>21</v>
      </c>
      <c r="F2315" s="2">
        <f t="shared" si="72"/>
        <v>61562.528527500006</v>
      </c>
      <c r="G2315" s="3">
        <v>0</v>
      </c>
      <c r="H2315" s="4">
        <v>0.7</v>
      </c>
      <c r="I2315" s="28">
        <f t="shared" si="73"/>
        <v>104656.29849675001</v>
      </c>
    </row>
    <row r="2316" spans="1:9" ht="15.75" customHeight="1" x14ac:dyDescent="0.35">
      <c r="A2316" s="26" t="s">
        <v>10896</v>
      </c>
      <c r="B2316" s="25" t="s">
        <v>9282</v>
      </c>
      <c r="C2316" s="6" t="s">
        <v>12201</v>
      </c>
      <c r="D2316" s="13">
        <v>227242.87950000001</v>
      </c>
      <c r="E2316" s="18">
        <v>21</v>
      </c>
      <c r="F2316" s="2">
        <f t="shared" si="72"/>
        <v>274963.88419499999</v>
      </c>
      <c r="G2316" s="3">
        <v>0</v>
      </c>
      <c r="H2316" s="4">
        <v>0.7</v>
      </c>
      <c r="I2316" s="28">
        <f t="shared" si="73"/>
        <v>467438.60313149996</v>
      </c>
    </row>
    <row r="2317" spans="1:9" ht="15.75" customHeight="1" x14ac:dyDescent="0.35">
      <c r="A2317" s="26" t="s">
        <v>12600</v>
      </c>
      <c r="B2317" s="25" t="s">
        <v>9283</v>
      </c>
      <c r="C2317" s="6" t="s">
        <v>12601</v>
      </c>
      <c r="D2317" s="13">
        <v>152676.140526</v>
      </c>
      <c r="E2317" s="18">
        <v>21</v>
      </c>
      <c r="F2317" s="2">
        <f t="shared" si="72"/>
        <v>184738.13003646</v>
      </c>
      <c r="G2317" s="3">
        <v>0</v>
      </c>
      <c r="H2317" s="4">
        <v>0.7</v>
      </c>
      <c r="I2317" s="28">
        <f t="shared" si="73"/>
        <v>314054.82106198202</v>
      </c>
    </row>
    <row r="2318" spans="1:9" ht="15.75" customHeight="1" x14ac:dyDescent="0.35">
      <c r="A2318" s="26" t="s">
        <v>3073</v>
      </c>
      <c r="B2318" s="25" t="s">
        <v>9284</v>
      </c>
      <c r="C2318" s="6" t="s">
        <v>9634</v>
      </c>
      <c r="D2318" s="13">
        <v>155487.181824</v>
      </c>
      <c r="E2318" s="18">
        <v>21</v>
      </c>
      <c r="F2318" s="2">
        <f t="shared" si="72"/>
        <v>188139.49000704</v>
      </c>
      <c r="G2318" s="3">
        <v>0</v>
      </c>
      <c r="H2318" s="4">
        <v>0.7</v>
      </c>
      <c r="I2318" s="28">
        <f t="shared" si="73"/>
        <v>319837.13301196799</v>
      </c>
    </row>
    <row r="2319" spans="1:9" ht="15.75" customHeight="1" x14ac:dyDescent="0.35">
      <c r="A2319" s="26" t="s">
        <v>3074</v>
      </c>
      <c r="B2319" s="25" t="s">
        <v>12944</v>
      </c>
      <c r="C2319" s="6" t="s">
        <v>947</v>
      </c>
      <c r="D2319" s="13">
        <v>245923.28607599999</v>
      </c>
      <c r="E2319" s="18">
        <v>21</v>
      </c>
      <c r="F2319" s="2">
        <f t="shared" si="72"/>
        <v>297567.17615195998</v>
      </c>
      <c r="G2319" s="3">
        <v>0</v>
      </c>
      <c r="H2319" s="4">
        <v>0.7</v>
      </c>
      <c r="I2319" s="28">
        <f t="shared" si="73"/>
        <v>505864.19945833198</v>
      </c>
    </row>
    <row r="2320" spans="1:9" ht="15.75" customHeight="1" x14ac:dyDescent="0.35">
      <c r="A2320" s="26" t="s">
        <v>3075</v>
      </c>
      <c r="B2320" s="25" t="s">
        <v>9285</v>
      </c>
      <c r="C2320" s="6" t="s">
        <v>948</v>
      </c>
      <c r="D2320" s="13">
        <v>172812.85187400001</v>
      </c>
      <c r="E2320" s="18">
        <v>21</v>
      </c>
      <c r="F2320" s="2">
        <f t="shared" si="72"/>
        <v>209103.55076754</v>
      </c>
      <c r="G2320" s="3">
        <v>0</v>
      </c>
      <c r="H2320" s="4">
        <v>0.7</v>
      </c>
      <c r="I2320" s="28">
        <f t="shared" si="73"/>
        <v>355476.036304818</v>
      </c>
    </row>
    <row r="2321" spans="1:9" ht="15.75" customHeight="1" x14ac:dyDescent="0.35">
      <c r="A2321" s="26" t="s">
        <v>3076</v>
      </c>
      <c r="B2321" s="25" t="s">
        <v>9286</v>
      </c>
      <c r="C2321" s="6" t="s">
        <v>949</v>
      </c>
      <c r="D2321" s="13">
        <v>194436.84546000001</v>
      </c>
      <c r="E2321" s="18">
        <v>21</v>
      </c>
      <c r="F2321" s="2">
        <f t="shared" si="72"/>
        <v>235268.58300660001</v>
      </c>
      <c r="G2321" s="3">
        <v>0</v>
      </c>
      <c r="H2321" s="4">
        <v>0.7</v>
      </c>
      <c r="I2321" s="28">
        <f t="shared" si="73"/>
        <v>399956.59111122001</v>
      </c>
    </row>
    <row r="2322" spans="1:9" ht="15.75" customHeight="1" x14ac:dyDescent="0.35">
      <c r="A2322" s="26" t="s">
        <v>3077</v>
      </c>
      <c r="B2322" s="25" t="s">
        <v>12946</v>
      </c>
      <c r="C2322" s="6" t="s">
        <v>950</v>
      </c>
      <c r="D2322" s="13">
        <v>229890.22781400001</v>
      </c>
      <c r="E2322" s="18">
        <v>21</v>
      </c>
      <c r="F2322" s="2">
        <f t="shared" si="72"/>
        <v>278167.17565494002</v>
      </c>
      <c r="G2322" s="3">
        <v>0</v>
      </c>
      <c r="H2322" s="4">
        <v>0.7</v>
      </c>
      <c r="I2322" s="28">
        <f t="shared" si="73"/>
        <v>472884.19861339801</v>
      </c>
    </row>
    <row r="2323" spans="1:9" ht="15.75" customHeight="1" x14ac:dyDescent="0.35">
      <c r="A2323" s="26" t="s">
        <v>9635</v>
      </c>
      <c r="B2323" s="25" t="s">
        <v>346</v>
      </c>
      <c r="C2323" s="6" t="s">
        <v>9636</v>
      </c>
      <c r="D2323" s="13">
        <v>155487.181824</v>
      </c>
      <c r="E2323" s="18">
        <v>21</v>
      </c>
      <c r="F2323" s="2">
        <f t="shared" si="72"/>
        <v>188139.49000704</v>
      </c>
      <c r="G2323" s="3">
        <v>0</v>
      </c>
      <c r="H2323" s="4">
        <v>0.7</v>
      </c>
      <c r="I2323" s="28">
        <f t="shared" si="73"/>
        <v>319837.13301196799</v>
      </c>
    </row>
    <row r="2324" spans="1:9" ht="15.75" customHeight="1" x14ac:dyDescent="0.35">
      <c r="A2324" s="26" t="s">
        <v>3078</v>
      </c>
      <c r="B2324" s="25" t="s">
        <v>9287</v>
      </c>
      <c r="C2324" s="6" t="s">
        <v>951</v>
      </c>
      <c r="D2324" s="13">
        <v>312827.62633200001</v>
      </c>
      <c r="E2324" s="18">
        <v>21</v>
      </c>
      <c r="F2324" s="2">
        <f t="shared" si="72"/>
        <v>378521.42786172003</v>
      </c>
      <c r="G2324" s="3">
        <v>0</v>
      </c>
      <c r="H2324" s="4">
        <v>0.7</v>
      </c>
      <c r="I2324" s="28">
        <f t="shared" si="73"/>
        <v>643486.42736492399</v>
      </c>
    </row>
    <row r="2325" spans="1:9" ht="15.75" customHeight="1" x14ac:dyDescent="0.35">
      <c r="A2325" s="26" t="s">
        <v>12611</v>
      </c>
      <c r="B2325" s="25" t="s">
        <v>12948</v>
      </c>
      <c r="C2325" s="6" t="s">
        <v>12612</v>
      </c>
      <c r="D2325" s="13">
        <v>404766.58645800001</v>
      </c>
      <c r="E2325" s="18">
        <v>21</v>
      </c>
      <c r="F2325" s="2">
        <f t="shared" si="72"/>
        <v>489767.56961418001</v>
      </c>
      <c r="G2325" s="3">
        <v>0</v>
      </c>
      <c r="H2325" s="4">
        <v>0.7</v>
      </c>
      <c r="I2325" s="28">
        <f t="shared" si="73"/>
        <v>832604.86834410601</v>
      </c>
    </row>
    <row r="2326" spans="1:9" ht="15.75" customHeight="1" x14ac:dyDescent="0.35">
      <c r="A2326" s="26" t="s">
        <v>3079</v>
      </c>
      <c r="B2326" s="25" t="s">
        <v>1136</v>
      </c>
      <c r="C2326" s="6" t="s">
        <v>952</v>
      </c>
      <c r="D2326" s="13">
        <v>427916.79637200001</v>
      </c>
      <c r="E2326" s="18">
        <v>21</v>
      </c>
      <c r="F2326" s="2">
        <f t="shared" si="72"/>
        <v>517779.32361011999</v>
      </c>
      <c r="G2326" s="3">
        <v>0</v>
      </c>
      <c r="H2326" s="4">
        <v>0.7</v>
      </c>
      <c r="I2326" s="28">
        <f t="shared" si="73"/>
        <v>880224.85013720393</v>
      </c>
    </row>
    <row r="2327" spans="1:9" ht="15.75" customHeight="1" x14ac:dyDescent="0.35">
      <c r="A2327" s="26" t="s">
        <v>9011</v>
      </c>
      <c r="B2327" s="25" t="s">
        <v>13235</v>
      </c>
      <c r="C2327" s="6" t="s">
        <v>9021</v>
      </c>
      <c r="D2327" s="13">
        <v>498223.97609400004</v>
      </c>
      <c r="E2327" s="18">
        <v>21</v>
      </c>
      <c r="F2327" s="2">
        <f t="shared" si="72"/>
        <v>602851.01107374008</v>
      </c>
      <c r="G2327" s="3">
        <v>0</v>
      </c>
      <c r="H2327" s="4">
        <v>0.7</v>
      </c>
      <c r="I2327" s="28">
        <f t="shared" si="73"/>
        <v>1024846.7188253581</v>
      </c>
    </row>
    <row r="2328" spans="1:9" ht="15.75" customHeight="1" x14ac:dyDescent="0.35">
      <c r="A2328" s="26" t="s">
        <v>3080</v>
      </c>
      <c r="B2328" s="25" t="s">
        <v>347</v>
      </c>
      <c r="C2328" s="6" t="s">
        <v>953</v>
      </c>
      <c r="D2328" s="13">
        <v>155487.181824</v>
      </c>
      <c r="E2328" s="18">
        <v>21</v>
      </c>
      <c r="F2328" s="2">
        <f t="shared" si="72"/>
        <v>188139.49000704</v>
      </c>
      <c r="G2328" s="3">
        <v>0</v>
      </c>
      <c r="H2328" s="4">
        <v>0.7</v>
      </c>
      <c r="I2328" s="28">
        <f t="shared" si="73"/>
        <v>319837.13301196799</v>
      </c>
    </row>
    <row r="2329" spans="1:9" ht="15.75" customHeight="1" x14ac:dyDescent="0.35">
      <c r="A2329" s="26" t="s">
        <v>3081</v>
      </c>
      <c r="B2329" s="25" t="s">
        <v>348</v>
      </c>
      <c r="C2329" s="6" t="s">
        <v>954</v>
      </c>
      <c r="D2329" s="13">
        <v>167977.23789600001</v>
      </c>
      <c r="E2329" s="18">
        <v>21</v>
      </c>
      <c r="F2329" s="2">
        <f t="shared" si="72"/>
        <v>203252.45785415999</v>
      </c>
      <c r="G2329" s="3">
        <v>0</v>
      </c>
      <c r="H2329" s="4">
        <v>0.7</v>
      </c>
      <c r="I2329" s="28">
        <f t="shared" si="73"/>
        <v>345529.17835207196</v>
      </c>
    </row>
    <row r="2330" spans="1:9" ht="15.75" customHeight="1" x14ac:dyDescent="0.35">
      <c r="A2330" s="26" t="s">
        <v>3082</v>
      </c>
      <c r="B2330" s="25" t="s">
        <v>349</v>
      </c>
      <c r="C2330" s="6" t="s">
        <v>955</v>
      </c>
      <c r="D2330" s="13">
        <v>167977.23789600001</v>
      </c>
      <c r="E2330" s="18">
        <v>21</v>
      </c>
      <c r="F2330" s="2">
        <f t="shared" si="72"/>
        <v>203252.45785415999</v>
      </c>
      <c r="G2330" s="3">
        <v>0</v>
      </c>
      <c r="H2330" s="4">
        <v>0.7</v>
      </c>
      <c r="I2330" s="28">
        <f t="shared" si="73"/>
        <v>345529.17835207196</v>
      </c>
    </row>
    <row r="2331" spans="1:9" ht="15.75" customHeight="1" x14ac:dyDescent="0.35">
      <c r="A2331" s="26" t="s">
        <v>3618</v>
      </c>
      <c r="B2331" s="25" t="s">
        <v>350</v>
      </c>
      <c r="C2331" s="6" t="s">
        <v>367</v>
      </c>
      <c r="D2331" s="13">
        <v>15648.75</v>
      </c>
      <c r="E2331" s="18">
        <v>21</v>
      </c>
      <c r="F2331" s="2">
        <f t="shared" si="72"/>
        <v>18934.987499999999</v>
      </c>
      <c r="G2331" s="3">
        <v>0</v>
      </c>
      <c r="H2331" s="4">
        <v>0.7</v>
      </c>
      <c r="I2331" s="28">
        <f t="shared" si="73"/>
        <v>32189.478749999998</v>
      </c>
    </row>
    <row r="2332" spans="1:9" ht="15.75" customHeight="1" x14ac:dyDescent="0.35">
      <c r="A2332" s="26" t="s">
        <v>3620</v>
      </c>
      <c r="B2332" s="25" t="s">
        <v>351</v>
      </c>
      <c r="C2332" s="6" t="s">
        <v>13514</v>
      </c>
      <c r="D2332" s="13">
        <v>40072.912132500001</v>
      </c>
      <c r="E2332" s="18">
        <v>21</v>
      </c>
      <c r="F2332" s="2">
        <f t="shared" si="72"/>
        <v>48488.223680324998</v>
      </c>
      <c r="G2332" s="3">
        <v>0</v>
      </c>
      <c r="H2332" s="4">
        <v>0.7</v>
      </c>
      <c r="I2332" s="28">
        <f t="shared" si="73"/>
        <v>82429.980256552488</v>
      </c>
    </row>
    <row r="2333" spans="1:9" ht="15.75" customHeight="1" x14ac:dyDescent="0.35">
      <c r="A2333" s="26" t="s">
        <v>3619</v>
      </c>
      <c r="B2333" s="25" t="s">
        <v>10622</v>
      </c>
      <c r="C2333" s="6" t="s">
        <v>368</v>
      </c>
      <c r="D2333" s="13">
        <v>23577.45</v>
      </c>
      <c r="E2333" s="18">
        <v>21</v>
      </c>
      <c r="F2333" s="2">
        <f t="shared" si="72"/>
        <v>28528.714500000002</v>
      </c>
      <c r="G2333" s="3">
        <v>0</v>
      </c>
      <c r="H2333" s="4">
        <v>0.7</v>
      </c>
      <c r="I2333" s="28">
        <f t="shared" si="73"/>
        <v>48498.81465</v>
      </c>
    </row>
    <row r="2334" spans="1:9" ht="15.75" customHeight="1" x14ac:dyDescent="0.35">
      <c r="A2334" s="26" t="s">
        <v>3621</v>
      </c>
      <c r="B2334" s="25" t="s">
        <v>10623</v>
      </c>
      <c r="C2334" s="6" t="s">
        <v>11294</v>
      </c>
      <c r="D2334" s="13">
        <v>8137.35</v>
      </c>
      <c r="E2334" s="18">
        <v>21</v>
      </c>
      <c r="F2334" s="2">
        <f t="shared" si="72"/>
        <v>9846.1935000000012</v>
      </c>
      <c r="G2334" s="3">
        <v>0</v>
      </c>
      <c r="H2334" s="4">
        <v>0.7</v>
      </c>
      <c r="I2334" s="28">
        <f t="shared" si="73"/>
        <v>16738.52895</v>
      </c>
    </row>
    <row r="2335" spans="1:9" ht="15.75" customHeight="1" x14ac:dyDescent="0.35">
      <c r="A2335" s="26" t="s">
        <v>3623</v>
      </c>
      <c r="B2335" s="25" t="s">
        <v>9401</v>
      </c>
      <c r="C2335" s="6" t="s">
        <v>13515</v>
      </c>
      <c r="D2335" s="13">
        <v>22163.2307325</v>
      </c>
      <c r="E2335" s="18">
        <v>21</v>
      </c>
      <c r="F2335" s="2">
        <f t="shared" si="72"/>
        <v>26817.509186324998</v>
      </c>
      <c r="G2335" s="3">
        <v>0</v>
      </c>
      <c r="H2335" s="4">
        <v>0.7</v>
      </c>
      <c r="I2335" s="28">
        <f t="shared" si="73"/>
        <v>45589.765616752498</v>
      </c>
    </row>
    <row r="2336" spans="1:9" ht="15.75" customHeight="1" x14ac:dyDescent="0.35">
      <c r="A2336" s="26" t="s">
        <v>12546</v>
      </c>
      <c r="B2336" s="25" t="s">
        <v>943</v>
      </c>
      <c r="C2336" s="6" t="s">
        <v>12547</v>
      </c>
      <c r="D2336" s="13">
        <v>1512.7125000000001</v>
      </c>
      <c r="E2336" s="18">
        <v>21</v>
      </c>
      <c r="F2336" s="2">
        <f t="shared" si="72"/>
        <v>1830.3821250000001</v>
      </c>
      <c r="G2336" s="3">
        <v>0</v>
      </c>
      <c r="H2336" s="4">
        <v>0.7</v>
      </c>
      <c r="I2336" s="28">
        <f t="shared" si="73"/>
        <v>3111.6496124999999</v>
      </c>
    </row>
    <row r="2337" spans="1:9" ht="15.75" customHeight="1" x14ac:dyDescent="0.35">
      <c r="A2337" s="26" t="s">
        <v>9307</v>
      </c>
      <c r="B2337" s="25" t="s">
        <v>944</v>
      </c>
      <c r="C2337" s="6" t="s">
        <v>9308</v>
      </c>
      <c r="D2337" s="13">
        <v>28795.652964000001</v>
      </c>
      <c r="E2337" s="18">
        <v>21</v>
      </c>
      <c r="F2337" s="2">
        <f t="shared" si="72"/>
        <v>34842.740086440004</v>
      </c>
      <c r="G2337" s="3">
        <v>0</v>
      </c>
      <c r="H2337" s="4">
        <v>0.7</v>
      </c>
      <c r="I2337" s="28">
        <f t="shared" si="73"/>
        <v>59232.658146948008</v>
      </c>
    </row>
    <row r="2338" spans="1:9" ht="15.75" customHeight="1" x14ac:dyDescent="0.35">
      <c r="A2338" s="26" t="s">
        <v>13688</v>
      </c>
      <c r="B2338" s="25" t="s">
        <v>352</v>
      </c>
      <c r="C2338" s="6" t="s">
        <v>13828</v>
      </c>
      <c r="D2338" s="13">
        <v>78314.364671399991</v>
      </c>
      <c r="E2338" s="18">
        <v>21</v>
      </c>
      <c r="F2338" s="2">
        <f t="shared" si="72"/>
        <v>94760.381252393985</v>
      </c>
      <c r="G2338" s="3">
        <v>0</v>
      </c>
      <c r="H2338" s="4">
        <v>0.7</v>
      </c>
      <c r="I2338" s="28">
        <f t="shared" si="73"/>
        <v>161092.64812906977</v>
      </c>
    </row>
    <row r="2339" spans="1:9" ht="15.75" customHeight="1" x14ac:dyDescent="0.35">
      <c r="A2339" s="26" t="s">
        <v>9744</v>
      </c>
      <c r="B2339" s="25" t="s">
        <v>353</v>
      </c>
      <c r="C2339" s="6" t="s">
        <v>9745</v>
      </c>
      <c r="D2339" s="13">
        <v>1941.3938901240001</v>
      </c>
      <c r="E2339" s="18">
        <v>21</v>
      </c>
      <c r="F2339" s="2">
        <f t="shared" si="72"/>
        <v>2349.0866070500401</v>
      </c>
      <c r="G2339" s="3">
        <v>0</v>
      </c>
      <c r="H2339" s="4">
        <v>0.7</v>
      </c>
      <c r="I2339" s="28">
        <f t="shared" si="73"/>
        <v>3993.4472319850679</v>
      </c>
    </row>
    <row r="2340" spans="1:9" ht="15.75" customHeight="1" x14ac:dyDescent="0.35">
      <c r="A2340" s="26" t="s">
        <v>3827</v>
      </c>
      <c r="B2340" s="25" t="s">
        <v>945</v>
      </c>
      <c r="C2340" s="6" t="s">
        <v>11482</v>
      </c>
      <c r="D2340" s="13">
        <v>10614.063474299999</v>
      </c>
      <c r="E2340" s="18">
        <v>21</v>
      </c>
      <c r="F2340" s="2">
        <f t="shared" si="72"/>
        <v>12843.016803903</v>
      </c>
      <c r="G2340" s="3">
        <v>0</v>
      </c>
      <c r="H2340" s="4">
        <v>0.7</v>
      </c>
      <c r="I2340" s="28">
        <f t="shared" si="73"/>
        <v>21833.1285666351</v>
      </c>
    </row>
    <row r="2341" spans="1:9" ht="15.75" customHeight="1" x14ac:dyDescent="0.35">
      <c r="A2341" s="26" t="s">
        <v>3828</v>
      </c>
      <c r="B2341" s="25" t="s">
        <v>946</v>
      </c>
      <c r="C2341" s="6" t="s">
        <v>11483</v>
      </c>
      <c r="D2341" s="13">
        <v>10614.063474299999</v>
      </c>
      <c r="E2341" s="18">
        <v>21</v>
      </c>
      <c r="F2341" s="2">
        <f t="shared" si="72"/>
        <v>12843.016803903</v>
      </c>
      <c r="G2341" s="3">
        <v>0</v>
      </c>
      <c r="H2341" s="4">
        <v>0.7</v>
      </c>
      <c r="I2341" s="28">
        <f t="shared" si="73"/>
        <v>21833.1285666351</v>
      </c>
    </row>
    <row r="2342" spans="1:9" ht="15.75" customHeight="1" x14ac:dyDescent="0.35">
      <c r="A2342" s="26" t="s">
        <v>3829</v>
      </c>
      <c r="B2342" s="25" t="s">
        <v>8916</v>
      </c>
      <c r="C2342" s="6" t="s">
        <v>11484</v>
      </c>
      <c r="D2342" s="13">
        <v>3971.8416964849998</v>
      </c>
      <c r="E2342" s="18">
        <v>21</v>
      </c>
      <c r="F2342" s="2">
        <f t="shared" si="72"/>
        <v>4805.9284527468499</v>
      </c>
      <c r="G2342" s="3">
        <v>0</v>
      </c>
      <c r="H2342" s="4">
        <v>0.7</v>
      </c>
      <c r="I2342" s="28">
        <f t="shared" si="73"/>
        <v>8170.0783696696444</v>
      </c>
    </row>
    <row r="2343" spans="1:9" ht="15.75" customHeight="1" x14ac:dyDescent="0.35">
      <c r="A2343" s="26" t="s">
        <v>3830</v>
      </c>
      <c r="B2343" s="25" t="s">
        <v>1187</v>
      </c>
      <c r="C2343" s="6" t="s">
        <v>11485</v>
      </c>
      <c r="D2343" s="13">
        <v>9208.2058555500007</v>
      </c>
      <c r="E2343" s="18">
        <v>21</v>
      </c>
      <c r="F2343" s="2">
        <f t="shared" si="72"/>
        <v>11141.929085215501</v>
      </c>
      <c r="G2343" s="3">
        <v>0</v>
      </c>
      <c r="H2343" s="4">
        <v>0.7</v>
      </c>
      <c r="I2343" s="28">
        <f t="shared" si="73"/>
        <v>18941.279444866352</v>
      </c>
    </row>
    <row r="2344" spans="1:9" ht="15.75" customHeight="1" x14ac:dyDescent="0.35">
      <c r="A2344" s="26" t="s">
        <v>3826</v>
      </c>
      <c r="B2344" s="25" t="s">
        <v>1157</v>
      </c>
      <c r="C2344" s="6" t="s">
        <v>11486</v>
      </c>
      <c r="D2344" s="13">
        <v>5488.6711183199996</v>
      </c>
      <c r="E2344" s="18">
        <v>21</v>
      </c>
      <c r="F2344" s="2">
        <f t="shared" si="72"/>
        <v>6641.2920531671998</v>
      </c>
      <c r="G2344" s="3">
        <v>0</v>
      </c>
      <c r="H2344" s="4">
        <v>0.7</v>
      </c>
      <c r="I2344" s="28">
        <f t="shared" si="73"/>
        <v>11290.19649038424</v>
      </c>
    </row>
    <row r="2345" spans="1:9" ht="15.75" customHeight="1" x14ac:dyDescent="0.35">
      <c r="A2345" s="26" t="s">
        <v>3831</v>
      </c>
      <c r="B2345" s="25" t="s">
        <v>1158</v>
      </c>
      <c r="C2345" s="6" t="s">
        <v>12103</v>
      </c>
      <c r="D2345" s="13">
        <v>26587.309710000001</v>
      </c>
      <c r="E2345" s="18">
        <v>21</v>
      </c>
      <c r="F2345" s="2">
        <f t="shared" si="72"/>
        <v>32170.6447491</v>
      </c>
      <c r="G2345" s="3">
        <v>0</v>
      </c>
      <c r="H2345" s="4">
        <v>0.7</v>
      </c>
      <c r="I2345" s="28">
        <f t="shared" si="73"/>
        <v>54690.096073469998</v>
      </c>
    </row>
    <row r="2346" spans="1:9" ht="15.75" customHeight="1" x14ac:dyDescent="0.35">
      <c r="A2346" s="26" t="s">
        <v>3832</v>
      </c>
      <c r="B2346" s="25" t="s">
        <v>1159</v>
      </c>
      <c r="C2346" s="6" t="s">
        <v>12104</v>
      </c>
      <c r="D2346" s="13">
        <v>26587.309710000001</v>
      </c>
      <c r="E2346" s="18">
        <v>21</v>
      </c>
      <c r="F2346" s="2">
        <f t="shared" si="72"/>
        <v>32170.6447491</v>
      </c>
      <c r="G2346" s="3">
        <v>0</v>
      </c>
      <c r="H2346" s="4">
        <v>0.7</v>
      </c>
      <c r="I2346" s="28">
        <f t="shared" si="73"/>
        <v>54690.096073469998</v>
      </c>
    </row>
    <row r="2347" spans="1:9" ht="15.75" customHeight="1" x14ac:dyDescent="0.35">
      <c r="A2347" s="26" t="s">
        <v>2884</v>
      </c>
      <c r="B2347" s="25" t="s">
        <v>12709</v>
      </c>
      <c r="C2347" s="6" t="s">
        <v>369</v>
      </c>
      <c r="D2347" s="13">
        <v>6987.2048006150153</v>
      </c>
      <c r="E2347" s="18">
        <v>21</v>
      </c>
      <c r="F2347" s="2">
        <f t="shared" si="72"/>
        <v>8454.5178087441691</v>
      </c>
      <c r="G2347" s="3">
        <v>0</v>
      </c>
      <c r="H2347" s="4">
        <v>0.7</v>
      </c>
      <c r="I2347" s="28">
        <f t="shared" si="73"/>
        <v>14372.680274865086</v>
      </c>
    </row>
    <row r="2348" spans="1:9" ht="15.75" customHeight="1" x14ac:dyDescent="0.35">
      <c r="A2348" s="26" t="s">
        <v>2885</v>
      </c>
      <c r="B2348" s="25" t="s">
        <v>12710</v>
      </c>
      <c r="C2348" s="6" t="s">
        <v>11631</v>
      </c>
      <c r="D2348" s="13">
        <v>6987.2048006150007</v>
      </c>
      <c r="E2348" s="18">
        <v>21</v>
      </c>
      <c r="F2348" s="2">
        <f t="shared" si="72"/>
        <v>8454.5178087441509</v>
      </c>
      <c r="G2348" s="3">
        <v>0</v>
      </c>
      <c r="H2348" s="4">
        <v>0.7</v>
      </c>
      <c r="I2348" s="28">
        <f t="shared" si="73"/>
        <v>14372.680274865055</v>
      </c>
    </row>
    <row r="2349" spans="1:9" ht="15.75" customHeight="1" x14ac:dyDescent="0.35">
      <c r="A2349" s="26" t="s">
        <v>4985</v>
      </c>
      <c r="B2349" s="25" t="s">
        <v>12711</v>
      </c>
      <c r="C2349" s="6" t="s">
        <v>370</v>
      </c>
      <c r="D2349" s="13">
        <v>4474.4654312627099</v>
      </c>
      <c r="E2349" s="18">
        <v>21</v>
      </c>
      <c r="F2349" s="2">
        <f t="shared" si="72"/>
        <v>5414.1031718278791</v>
      </c>
      <c r="G2349" s="3">
        <v>0</v>
      </c>
      <c r="H2349" s="4">
        <v>0.7</v>
      </c>
      <c r="I2349" s="28">
        <f t="shared" si="73"/>
        <v>9203.9753921073934</v>
      </c>
    </row>
    <row r="2350" spans="1:9" ht="15.75" customHeight="1" x14ac:dyDescent="0.35">
      <c r="A2350" s="26" t="s">
        <v>4723</v>
      </c>
      <c r="B2350" s="25" t="s">
        <v>12712</v>
      </c>
      <c r="C2350" s="6" t="s">
        <v>371</v>
      </c>
      <c r="D2350" s="13">
        <v>810.49581724799998</v>
      </c>
      <c r="E2350" s="18">
        <v>21</v>
      </c>
      <c r="F2350" s="2">
        <f t="shared" si="72"/>
        <v>980.6999388700799</v>
      </c>
      <c r="G2350" s="3">
        <v>0</v>
      </c>
      <c r="H2350" s="4">
        <v>0.7</v>
      </c>
      <c r="I2350" s="28">
        <f t="shared" si="73"/>
        <v>1667.1898960791359</v>
      </c>
    </row>
    <row r="2351" spans="1:9" ht="15.75" customHeight="1" x14ac:dyDescent="0.35">
      <c r="A2351" s="26" t="s">
        <v>1353</v>
      </c>
      <c r="B2351" s="25" t="s">
        <v>12713</v>
      </c>
      <c r="C2351" s="6" t="s">
        <v>372</v>
      </c>
      <c r="D2351" s="13">
        <v>140595.32500000001</v>
      </c>
      <c r="E2351" s="18">
        <v>21</v>
      </c>
      <c r="F2351" s="2">
        <f t="shared" si="72"/>
        <v>170120.34325000001</v>
      </c>
      <c r="G2351" s="3">
        <v>0</v>
      </c>
      <c r="H2351" s="4">
        <v>0.7</v>
      </c>
      <c r="I2351" s="28">
        <f t="shared" si="73"/>
        <v>289204.58352500002</v>
      </c>
    </row>
    <row r="2352" spans="1:9" ht="15.75" customHeight="1" x14ac:dyDescent="0.35">
      <c r="A2352" s="26" t="s">
        <v>3070</v>
      </c>
      <c r="B2352" s="25" t="s">
        <v>12714</v>
      </c>
      <c r="C2352" s="6" t="s">
        <v>9060</v>
      </c>
      <c r="D2352" s="13">
        <v>16611.878400000001</v>
      </c>
      <c r="E2352" s="18">
        <v>21</v>
      </c>
      <c r="F2352" s="2">
        <f t="shared" si="72"/>
        <v>20100.372864000001</v>
      </c>
      <c r="G2352" s="3">
        <v>0</v>
      </c>
      <c r="H2352" s="4">
        <v>0.7</v>
      </c>
      <c r="I2352" s="28">
        <f t="shared" si="73"/>
        <v>34170.633868800003</v>
      </c>
    </row>
    <row r="2353" spans="1:9" ht="15.75" customHeight="1" x14ac:dyDescent="0.35">
      <c r="A2353" s="26" t="s">
        <v>3083</v>
      </c>
      <c r="B2353" s="25" t="s">
        <v>12715</v>
      </c>
      <c r="C2353" s="6" t="s">
        <v>9061</v>
      </c>
      <c r="D2353" s="13">
        <v>15919.7168</v>
      </c>
      <c r="E2353" s="18">
        <v>21</v>
      </c>
      <c r="F2353" s="2">
        <f t="shared" si="72"/>
        <v>19262.857327999998</v>
      </c>
      <c r="G2353" s="3">
        <v>0</v>
      </c>
      <c r="H2353" s="4">
        <v>0.7</v>
      </c>
      <c r="I2353" s="28">
        <f t="shared" si="73"/>
        <v>32746.857457599996</v>
      </c>
    </row>
    <row r="2354" spans="1:9" ht="15.75" customHeight="1" x14ac:dyDescent="0.35">
      <c r="A2354" s="26" t="s">
        <v>3085</v>
      </c>
      <c r="B2354" s="25" t="s">
        <v>354</v>
      </c>
      <c r="C2354" s="6" t="s">
        <v>1105</v>
      </c>
      <c r="D2354" s="13">
        <v>15919.7168</v>
      </c>
      <c r="E2354" s="18">
        <v>21</v>
      </c>
      <c r="F2354" s="2">
        <f t="shared" si="72"/>
        <v>19262.857327999998</v>
      </c>
      <c r="G2354" s="3">
        <v>0</v>
      </c>
      <c r="H2354" s="4">
        <v>0.7</v>
      </c>
      <c r="I2354" s="28">
        <f t="shared" si="73"/>
        <v>32746.857457599996</v>
      </c>
    </row>
    <row r="2355" spans="1:9" ht="15.75" customHeight="1" x14ac:dyDescent="0.35">
      <c r="A2355" s="26" t="s">
        <v>3071</v>
      </c>
      <c r="B2355" s="25" t="s">
        <v>355</v>
      </c>
      <c r="C2355" s="6" t="s">
        <v>9062</v>
      </c>
      <c r="D2355" s="13">
        <v>26886.152150000002</v>
      </c>
      <c r="E2355" s="18">
        <v>21</v>
      </c>
      <c r="F2355" s="2">
        <f t="shared" si="72"/>
        <v>32532.2441015</v>
      </c>
      <c r="G2355" s="3">
        <v>0</v>
      </c>
      <c r="H2355" s="4">
        <v>0.7</v>
      </c>
      <c r="I2355" s="28">
        <f t="shared" si="73"/>
        <v>55304.814972549997</v>
      </c>
    </row>
    <row r="2356" spans="1:9" ht="15.75" customHeight="1" x14ac:dyDescent="0.35">
      <c r="A2356" s="26" t="s">
        <v>3086</v>
      </c>
      <c r="B2356" s="25" t="s">
        <v>356</v>
      </c>
      <c r="C2356" s="6" t="s">
        <v>9063</v>
      </c>
      <c r="D2356" s="13">
        <v>25912.799900000002</v>
      </c>
      <c r="E2356" s="18">
        <v>21</v>
      </c>
      <c r="F2356" s="2">
        <f t="shared" si="72"/>
        <v>31354.487879</v>
      </c>
      <c r="G2356" s="3">
        <v>0</v>
      </c>
      <c r="H2356" s="4">
        <v>0.7</v>
      </c>
      <c r="I2356" s="28">
        <f t="shared" si="73"/>
        <v>53302.629394299998</v>
      </c>
    </row>
    <row r="2357" spans="1:9" ht="15.75" customHeight="1" x14ac:dyDescent="0.35">
      <c r="A2357" s="26" t="s">
        <v>3087</v>
      </c>
      <c r="B2357" s="25" t="s">
        <v>357</v>
      </c>
      <c r="C2357" s="6" t="s">
        <v>1106</v>
      </c>
      <c r="D2357" s="13">
        <v>25912.799900000002</v>
      </c>
      <c r="E2357" s="18">
        <v>21</v>
      </c>
      <c r="F2357" s="2">
        <f t="shared" si="72"/>
        <v>31354.487879</v>
      </c>
      <c r="G2357" s="3">
        <v>0</v>
      </c>
      <c r="H2357" s="4">
        <v>0.7</v>
      </c>
      <c r="I2357" s="28">
        <f t="shared" si="73"/>
        <v>53302.629394299998</v>
      </c>
    </row>
    <row r="2358" spans="1:9" ht="15.75" customHeight="1" x14ac:dyDescent="0.35">
      <c r="A2358" s="26" t="s">
        <v>3088</v>
      </c>
      <c r="B2358" s="25" t="s">
        <v>8865</v>
      </c>
      <c r="C2358" s="6" t="s">
        <v>1107</v>
      </c>
      <c r="D2358" s="13">
        <v>122959.20965737499</v>
      </c>
      <c r="E2358" s="18">
        <v>21</v>
      </c>
      <c r="F2358" s="2">
        <f t="shared" si="72"/>
        <v>148780.64368542374</v>
      </c>
      <c r="G2358" s="3">
        <v>0</v>
      </c>
      <c r="H2358" s="4">
        <v>0.7</v>
      </c>
      <c r="I2358" s="28">
        <f t="shared" si="73"/>
        <v>252927.09426522034</v>
      </c>
    </row>
    <row r="2359" spans="1:9" ht="15.75" customHeight="1" x14ac:dyDescent="0.35">
      <c r="A2359" s="26" t="s">
        <v>3089</v>
      </c>
      <c r="B2359" s="25" t="s">
        <v>10195</v>
      </c>
      <c r="C2359" s="6" t="s">
        <v>9064</v>
      </c>
      <c r="D2359" s="13">
        <v>122959.20965737499</v>
      </c>
      <c r="E2359" s="18">
        <v>21</v>
      </c>
      <c r="F2359" s="2">
        <f t="shared" si="72"/>
        <v>148780.64368542374</v>
      </c>
      <c r="G2359" s="3">
        <v>0</v>
      </c>
      <c r="H2359" s="4">
        <v>0.7</v>
      </c>
      <c r="I2359" s="28">
        <f t="shared" si="73"/>
        <v>252927.09426522034</v>
      </c>
    </row>
    <row r="2360" spans="1:9" ht="15.75" customHeight="1" x14ac:dyDescent="0.35">
      <c r="A2360" s="26" t="s">
        <v>2879</v>
      </c>
      <c r="B2360" s="25" t="s">
        <v>10197</v>
      </c>
      <c r="C2360" s="6" t="s">
        <v>12105</v>
      </c>
      <c r="D2360" s="13">
        <v>3093.0971500000001</v>
      </c>
      <c r="E2360" s="18">
        <v>21</v>
      </c>
      <c r="F2360" s="2">
        <f t="shared" si="72"/>
        <v>3742.6475515000002</v>
      </c>
      <c r="G2360" s="3">
        <v>0</v>
      </c>
      <c r="H2360" s="4">
        <v>0.7</v>
      </c>
      <c r="I2360" s="28">
        <f t="shared" si="73"/>
        <v>6362.5008375500001</v>
      </c>
    </row>
    <row r="2361" spans="1:9" ht="15.75" customHeight="1" x14ac:dyDescent="0.35">
      <c r="A2361" s="26" t="s">
        <v>2880</v>
      </c>
      <c r="B2361" s="25" t="s">
        <v>8866</v>
      </c>
      <c r="C2361" s="6" t="s">
        <v>12106</v>
      </c>
      <c r="D2361" s="13">
        <v>3093.0971500000001</v>
      </c>
      <c r="E2361" s="18">
        <v>21</v>
      </c>
      <c r="F2361" s="2">
        <f t="shared" si="72"/>
        <v>3742.6475515000002</v>
      </c>
      <c r="G2361" s="3">
        <v>0</v>
      </c>
      <c r="H2361" s="4">
        <v>0.7</v>
      </c>
      <c r="I2361" s="28">
        <f t="shared" si="73"/>
        <v>6362.5008375500001</v>
      </c>
    </row>
    <row r="2362" spans="1:9" ht="15.75" customHeight="1" x14ac:dyDescent="0.35">
      <c r="A2362" s="26" t="s">
        <v>3084</v>
      </c>
      <c r="B2362" s="25" t="s">
        <v>11594</v>
      </c>
      <c r="C2362" s="6" t="s">
        <v>12107</v>
      </c>
      <c r="D2362" s="13">
        <v>2509.0858000000003</v>
      </c>
      <c r="E2362" s="18">
        <v>21</v>
      </c>
      <c r="F2362" s="2">
        <f t="shared" si="72"/>
        <v>3035.9938180000004</v>
      </c>
      <c r="G2362" s="3">
        <v>0</v>
      </c>
      <c r="H2362" s="4">
        <v>0.7</v>
      </c>
      <c r="I2362" s="28">
        <f t="shared" si="73"/>
        <v>5161.1894906000007</v>
      </c>
    </row>
    <row r="2363" spans="1:9" ht="15.75" customHeight="1" x14ac:dyDescent="0.35">
      <c r="A2363" s="26" t="s">
        <v>11560</v>
      </c>
      <c r="B2363" s="25" t="s">
        <v>11596</v>
      </c>
      <c r="C2363" s="6" t="s">
        <v>11561</v>
      </c>
      <c r="D2363" s="13">
        <v>252926.03700000001</v>
      </c>
      <c r="E2363" s="18">
        <v>21</v>
      </c>
      <c r="F2363" s="2">
        <f t="shared" si="72"/>
        <v>306040.50477</v>
      </c>
      <c r="G2363" s="3">
        <v>0</v>
      </c>
      <c r="H2363" s="4">
        <v>0.7</v>
      </c>
      <c r="I2363" s="28">
        <f t="shared" si="73"/>
        <v>520268.85810899996</v>
      </c>
    </row>
    <row r="2364" spans="1:9" ht="15.75" customHeight="1" x14ac:dyDescent="0.35">
      <c r="A2364" s="26" t="s">
        <v>12628</v>
      </c>
      <c r="B2364" s="25" t="s">
        <v>10988</v>
      </c>
      <c r="C2364" s="6" t="s">
        <v>12629</v>
      </c>
      <c r="D2364" s="13">
        <v>316605.409575</v>
      </c>
      <c r="E2364" s="18">
        <v>21</v>
      </c>
      <c r="F2364" s="2">
        <f t="shared" si="72"/>
        <v>383092.54558575002</v>
      </c>
      <c r="G2364" s="3">
        <v>0</v>
      </c>
      <c r="H2364" s="4">
        <v>0.7</v>
      </c>
      <c r="I2364" s="28">
        <f t="shared" si="73"/>
        <v>651257.32749577507</v>
      </c>
    </row>
    <row r="2365" spans="1:9" ht="15.75" customHeight="1" x14ac:dyDescent="0.35">
      <c r="A2365" s="26" t="s">
        <v>11873</v>
      </c>
      <c r="B2365" s="25" t="s">
        <v>10989</v>
      </c>
      <c r="C2365" s="6" t="s">
        <v>11874</v>
      </c>
      <c r="D2365" s="13">
        <v>252926.03700000001</v>
      </c>
      <c r="E2365" s="18">
        <v>21</v>
      </c>
      <c r="F2365" s="2">
        <f t="shared" si="72"/>
        <v>306040.50477</v>
      </c>
      <c r="G2365" s="3">
        <v>0</v>
      </c>
      <c r="H2365" s="4">
        <v>0.7</v>
      </c>
      <c r="I2365" s="28">
        <f t="shared" si="73"/>
        <v>520268.85810899996</v>
      </c>
    </row>
    <row r="2366" spans="1:9" ht="15.75" customHeight="1" x14ac:dyDescent="0.35">
      <c r="A2366" s="26" t="s">
        <v>12997</v>
      </c>
      <c r="B2366" s="25" t="s">
        <v>10990</v>
      </c>
      <c r="C2366" s="6" t="s">
        <v>12998</v>
      </c>
      <c r="D2366" s="13">
        <v>332278.50337499997</v>
      </c>
      <c r="E2366" s="18">
        <v>21</v>
      </c>
      <c r="F2366" s="2">
        <f t="shared" si="72"/>
        <v>402056.98908374994</v>
      </c>
      <c r="G2366" s="3">
        <v>0</v>
      </c>
      <c r="H2366" s="4">
        <v>0.7</v>
      </c>
      <c r="I2366" s="28">
        <f t="shared" si="73"/>
        <v>683496.8814423749</v>
      </c>
    </row>
    <row r="2367" spans="1:9" ht="15.75" customHeight="1" x14ac:dyDescent="0.35">
      <c r="A2367" s="26" t="s">
        <v>12999</v>
      </c>
      <c r="B2367" s="25" t="s">
        <v>10185</v>
      </c>
      <c r="C2367" s="6" t="s">
        <v>13000</v>
      </c>
      <c r="D2367" s="13">
        <v>332278.50337499997</v>
      </c>
      <c r="E2367" s="18">
        <v>21</v>
      </c>
      <c r="F2367" s="2">
        <f t="shared" si="72"/>
        <v>402056.98908374994</v>
      </c>
      <c r="G2367" s="3">
        <v>0</v>
      </c>
      <c r="H2367" s="4">
        <v>0.7</v>
      </c>
      <c r="I2367" s="28">
        <f t="shared" si="73"/>
        <v>683496.8814423749</v>
      </c>
    </row>
    <row r="2368" spans="1:9" ht="15.75" customHeight="1" x14ac:dyDescent="0.35">
      <c r="A2368" s="26" t="s">
        <v>13101</v>
      </c>
      <c r="B2368" s="25" t="s">
        <v>10186</v>
      </c>
      <c r="C2368" s="6" t="s">
        <v>13102</v>
      </c>
      <c r="D2368" s="13">
        <v>246421.64242800002</v>
      </c>
      <c r="E2368" s="18">
        <v>21</v>
      </c>
      <c r="F2368" s="2">
        <f t="shared" si="72"/>
        <v>298170.18733788002</v>
      </c>
      <c r="G2368" s="3">
        <v>0</v>
      </c>
      <c r="H2368" s="4">
        <v>0.7</v>
      </c>
      <c r="I2368" s="28">
        <f t="shared" si="73"/>
        <v>506889.31847439602</v>
      </c>
    </row>
    <row r="2369" spans="1:9" ht="15.75" customHeight="1" x14ac:dyDescent="0.35">
      <c r="A2369" s="26" t="s">
        <v>3064</v>
      </c>
      <c r="B2369" s="25" t="s">
        <v>8799</v>
      </c>
      <c r="C2369" s="6" t="s">
        <v>1261</v>
      </c>
      <c r="D2369" s="13">
        <v>301482.23250600003</v>
      </c>
      <c r="E2369" s="18">
        <v>21</v>
      </c>
      <c r="F2369" s="2">
        <f t="shared" si="72"/>
        <v>364793.50133226003</v>
      </c>
      <c r="G2369" s="3">
        <v>0</v>
      </c>
      <c r="H2369" s="4">
        <v>0.7</v>
      </c>
      <c r="I2369" s="28">
        <f t="shared" si="73"/>
        <v>620148.952264842</v>
      </c>
    </row>
    <row r="2370" spans="1:9" ht="15.75" customHeight="1" x14ac:dyDescent="0.35">
      <c r="A2370" s="26" t="s">
        <v>3065</v>
      </c>
      <c r="B2370" s="25" t="s">
        <v>12102</v>
      </c>
      <c r="C2370" s="6" t="s">
        <v>1262</v>
      </c>
      <c r="D2370" s="13">
        <v>455653.44208800001</v>
      </c>
      <c r="E2370" s="18">
        <v>21</v>
      </c>
      <c r="F2370" s="2">
        <f t="shared" si="72"/>
        <v>551340.66492648004</v>
      </c>
      <c r="G2370" s="3">
        <v>0</v>
      </c>
      <c r="H2370" s="4">
        <v>0.7</v>
      </c>
      <c r="I2370" s="28">
        <f t="shared" si="73"/>
        <v>937279.13037501602</v>
      </c>
    </row>
    <row r="2371" spans="1:9" ht="15.75" customHeight="1" x14ac:dyDescent="0.35">
      <c r="A2371" s="26" t="s">
        <v>12630</v>
      </c>
      <c r="B2371" s="25" t="s">
        <v>8800</v>
      </c>
      <c r="C2371" s="6" t="s">
        <v>12631</v>
      </c>
      <c r="D2371" s="13">
        <v>316677.57712500001</v>
      </c>
      <c r="E2371" s="18">
        <v>21</v>
      </c>
      <c r="F2371" s="2">
        <f t="shared" si="72"/>
        <v>383179.86832125002</v>
      </c>
      <c r="G2371" s="3">
        <v>0</v>
      </c>
      <c r="H2371" s="4">
        <v>0.7</v>
      </c>
      <c r="I2371" s="28">
        <f t="shared" si="73"/>
        <v>651405.77614612505</v>
      </c>
    </row>
    <row r="2372" spans="1:9" ht="15.75" customHeight="1" x14ac:dyDescent="0.35">
      <c r="A2372" s="26" t="s">
        <v>3066</v>
      </c>
      <c r="B2372" s="25" t="s">
        <v>8801</v>
      </c>
      <c r="C2372" s="6" t="s">
        <v>9584</v>
      </c>
      <c r="D2372" s="13">
        <v>479831.51197799999</v>
      </c>
      <c r="E2372" s="18">
        <v>21</v>
      </c>
      <c r="F2372" s="2">
        <f t="shared" si="72"/>
        <v>580596.12949337997</v>
      </c>
      <c r="G2372" s="3">
        <v>0</v>
      </c>
      <c r="H2372" s="4">
        <v>0.7</v>
      </c>
      <c r="I2372" s="28">
        <f t="shared" si="73"/>
        <v>987013.42013874592</v>
      </c>
    </row>
    <row r="2373" spans="1:9" ht="15.75" customHeight="1" x14ac:dyDescent="0.35">
      <c r="A2373" s="26" t="s">
        <v>11875</v>
      </c>
      <c r="B2373" s="25" t="s">
        <v>358</v>
      </c>
      <c r="C2373" s="6" t="s">
        <v>11876</v>
      </c>
      <c r="D2373" s="13">
        <v>316677.57712500001</v>
      </c>
      <c r="E2373" s="18">
        <v>21</v>
      </c>
      <c r="F2373" s="2">
        <f t="shared" si="72"/>
        <v>383179.86832125002</v>
      </c>
      <c r="G2373" s="3">
        <v>0</v>
      </c>
      <c r="H2373" s="4">
        <v>0.7</v>
      </c>
      <c r="I2373" s="28">
        <f t="shared" si="73"/>
        <v>651405.77614612505</v>
      </c>
    </row>
    <row r="2374" spans="1:9" ht="15.75" customHeight="1" x14ac:dyDescent="0.35">
      <c r="A2374" s="26" t="s">
        <v>13001</v>
      </c>
      <c r="B2374" s="25" t="s">
        <v>359</v>
      </c>
      <c r="C2374" s="6" t="s">
        <v>13002</v>
      </c>
      <c r="D2374" s="13">
        <v>414507.05887500005</v>
      </c>
      <c r="E2374" s="18">
        <v>21</v>
      </c>
      <c r="F2374" s="2">
        <f t="shared" ref="F2374:F2437" si="74">D2374*E2374/100+D2374</f>
        <v>501553.54123875004</v>
      </c>
      <c r="G2374" s="3">
        <v>0</v>
      </c>
      <c r="H2374" s="4">
        <v>0.7</v>
      </c>
      <c r="I2374" s="28">
        <f t="shared" ref="I2374:I2437" si="75">IF(G2374=-1,0,F2374*((100-G2374)/100)*(1+H2374))</f>
        <v>852641.0201058751</v>
      </c>
    </row>
    <row r="2375" spans="1:9" ht="15.75" customHeight="1" x14ac:dyDescent="0.35">
      <c r="A2375" s="26" t="s">
        <v>9615</v>
      </c>
      <c r="B2375" s="25" t="s">
        <v>9560</v>
      </c>
      <c r="C2375" s="6" t="s">
        <v>9616</v>
      </c>
      <c r="D2375" s="13">
        <v>1080156.245688</v>
      </c>
      <c r="E2375" s="18">
        <v>21</v>
      </c>
      <c r="F2375" s="2">
        <f t="shared" si="74"/>
        <v>1306989.0572824799</v>
      </c>
      <c r="G2375" s="3">
        <v>0</v>
      </c>
      <c r="H2375" s="4">
        <v>0.7</v>
      </c>
      <c r="I2375" s="28">
        <f t="shared" si="75"/>
        <v>2221881.397380216</v>
      </c>
    </row>
    <row r="2376" spans="1:9" ht="15.75" customHeight="1" x14ac:dyDescent="0.35">
      <c r="A2376" s="26" t="s">
        <v>13003</v>
      </c>
      <c r="B2376" s="25" t="s">
        <v>360</v>
      </c>
      <c r="C2376" s="6" t="s">
        <v>13004</v>
      </c>
      <c r="D2376" s="13">
        <v>414507.05887500005</v>
      </c>
      <c r="E2376" s="18">
        <v>21</v>
      </c>
      <c r="F2376" s="2">
        <f t="shared" si="74"/>
        <v>501553.54123875004</v>
      </c>
      <c r="G2376" s="3">
        <v>0</v>
      </c>
      <c r="H2376" s="4">
        <v>0.7</v>
      </c>
      <c r="I2376" s="28">
        <f t="shared" si="75"/>
        <v>852641.0201058751</v>
      </c>
    </row>
    <row r="2377" spans="1:9" ht="15.75" customHeight="1" x14ac:dyDescent="0.35">
      <c r="A2377" s="26" t="s">
        <v>9617</v>
      </c>
      <c r="B2377" s="25" t="s">
        <v>361</v>
      </c>
      <c r="C2377" s="6" t="s">
        <v>9618</v>
      </c>
      <c r="D2377" s="13">
        <v>1192021.6730760001</v>
      </c>
      <c r="E2377" s="18">
        <v>21</v>
      </c>
      <c r="F2377" s="2">
        <f t="shared" si="74"/>
        <v>1442346.2244219601</v>
      </c>
      <c r="G2377" s="3">
        <v>0</v>
      </c>
      <c r="H2377" s="4">
        <v>0.7</v>
      </c>
      <c r="I2377" s="28">
        <f t="shared" si="75"/>
        <v>2451988.5815173322</v>
      </c>
    </row>
    <row r="2378" spans="1:9" ht="15.75" customHeight="1" x14ac:dyDescent="0.35">
      <c r="A2378" s="26" t="s">
        <v>3067</v>
      </c>
      <c r="B2378" s="25" t="s">
        <v>1175</v>
      </c>
      <c r="C2378" s="6" t="s">
        <v>9619</v>
      </c>
      <c r="D2378" s="13">
        <v>2021535.8209800001</v>
      </c>
      <c r="E2378" s="18">
        <v>21</v>
      </c>
      <c r="F2378" s="2">
        <f t="shared" si="74"/>
        <v>2446058.3433858003</v>
      </c>
      <c r="G2378" s="3">
        <v>0</v>
      </c>
      <c r="H2378" s="4">
        <v>0.7</v>
      </c>
      <c r="I2378" s="28">
        <f t="shared" si="75"/>
        <v>4158299.1837558602</v>
      </c>
    </row>
    <row r="2379" spans="1:9" ht="15.75" customHeight="1" x14ac:dyDescent="0.35">
      <c r="A2379" s="26" t="s">
        <v>13545</v>
      </c>
      <c r="B2379" s="25" t="s">
        <v>362</v>
      </c>
      <c r="C2379" s="6" t="s">
        <v>13546</v>
      </c>
      <c r="D2379" s="13">
        <v>400667.86987499997</v>
      </c>
      <c r="E2379" s="18">
        <v>21</v>
      </c>
      <c r="F2379" s="2">
        <f t="shared" si="74"/>
        <v>484808.12254874996</v>
      </c>
      <c r="G2379" s="3">
        <v>0</v>
      </c>
      <c r="H2379" s="4">
        <v>0.7</v>
      </c>
      <c r="I2379" s="28">
        <f t="shared" si="75"/>
        <v>824173.80833287491</v>
      </c>
    </row>
    <row r="2380" spans="1:9" ht="15.75" customHeight="1" x14ac:dyDescent="0.35">
      <c r="A2380" s="26" t="s">
        <v>3068</v>
      </c>
      <c r="B2380" s="25" t="s">
        <v>1188</v>
      </c>
      <c r="C2380" s="6" t="s">
        <v>1263</v>
      </c>
      <c r="D2380" s="13">
        <v>2989818.8524620002</v>
      </c>
      <c r="E2380" s="18">
        <v>21</v>
      </c>
      <c r="F2380" s="2">
        <f t="shared" si="74"/>
        <v>3617680.8114790204</v>
      </c>
      <c r="G2380" s="3">
        <v>0</v>
      </c>
      <c r="H2380" s="4">
        <v>0.7</v>
      </c>
      <c r="I2380" s="28">
        <f t="shared" si="75"/>
        <v>6150057.3795143347</v>
      </c>
    </row>
    <row r="2381" spans="1:9" ht="15.75" customHeight="1" x14ac:dyDescent="0.35">
      <c r="A2381" s="26" t="s">
        <v>3342</v>
      </c>
      <c r="B2381" s="25" t="s">
        <v>1176</v>
      </c>
      <c r="C2381" s="6" t="s">
        <v>3343</v>
      </c>
      <c r="D2381" s="13">
        <v>281072.98252800002</v>
      </c>
      <c r="E2381" s="18">
        <v>21</v>
      </c>
      <c r="F2381" s="2">
        <f t="shared" si="74"/>
        <v>340098.30885888002</v>
      </c>
      <c r="G2381" s="3">
        <v>0</v>
      </c>
      <c r="H2381" s="4">
        <v>0.7</v>
      </c>
      <c r="I2381" s="28">
        <f t="shared" si="75"/>
        <v>578167.12506009603</v>
      </c>
    </row>
    <row r="2382" spans="1:9" ht="15.75" customHeight="1" x14ac:dyDescent="0.35">
      <c r="A2382" s="26" t="s">
        <v>3069</v>
      </c>
      <c r="B2382" s="25" t="s">
        <v>363</v>
      </c>
      <c r="C2382" s="6" t="s">
        <v>1264</v>
      </c>
      <c r="D2382" s="13">
        <v>285472.534698</v>
      </c>
      <c r="E2382" s="18">
        <v>21</v>
      </c>
      <c r="F2382" s="2">
        <f t="shared" si="74"/>
        <v>345421.76698458003</v>
      </c>
      <c r="G2382" s="3">
        <v>0</v>
      </c>
      <c r="H2382" s="4">
        <v>0.7</v>
      </c>
      <c r="I2382" s="28">
        <f t="shared" si="75"/>
        <v>587217.00387378607</v>
      </c>
    </row>
    <row r="2383" spans="1:9" ht="15.75" customHeight="1" x14ac:dyDescent="0.35">
      <c r="A2383" s="26" t="s">
        <v>10302</v>
      </c>
      <c r="B2383" s="25" t="s">
        <v>1177</v>
      </c>
      <c r="C2383" s="6" t="s">
        <v>13005</v>
      </c>
      <c r="D2383" s="13">
        <v>207078.41699999999</v>
      </c>
      <c r="E2383" s="18">
        <v>21</v>
      </c>
      <c r="F2383" s="2">
        <f t="shared" si="74"/>
        <v>250564.88456999999</v>
      </c>
      <c r="G2383" s="3">
        <v>0</v>
      </c>
      <c r="H2383" s="4">
        <v>0.7</v>
      </c>
      <c r="I2383" s="28">
        <f t="shared" si="75"/>
        <v>425960.30376899999</v>
      </c>
    </row>
    <row r="2384" spans="1:9" ht="15.75" customHeight="1" x14ac:dyDescent="0.35">
      <c r="A2384" s="26" t="s">
        <v>12879</v>
      </c>
      <c r="B2384" s="25" t="s">
        <v>1178</v>
      </c>
      <c r="C2384" s="6" t="s">
        <v>13006</v>
      </c>
      <c r="D2384" s="13">
        <v>207078.41699999999</v>
      </c>
      <c r="E2384" s="18">
        <v>21</v>
      </c>
      <c r="F2384" s="2">
        <f t="shared" si="74"/>
        <v>250564.88456999999</v>
      </c>
      <c r="G2384" s="3">
        <v>0</v>
      </c>
      <c r="H2384" s="4">
        <v>0.7</v>
      </c>
      <c r="I2384" s="28">
        <f t="shared" si="75"/>
        <v>425960.30376899999</v>
      </c>
    </row>
    <row r="2385" spans="1:9" ht="15.75" customHeight="1" x14ac:dyDescent="0.35">
      <c r="A2385" s="26" t="s">
        <v>13743</v>
      </c>
      <c r="B2385" s="25" t="s">
        <v>9403</v>
      </c>
      <c r="C2385" s="6" t="s">
        <v>13744</v>
      </c>
      <c r="D2385" s="13">
        <v>115672.17374999999</v>
      </c>
      <c r="E2385" s="18">
        <v>21</v>
      </c>
      <c r="F2385" s="2">
        <f t="shared" si="74"/>
        <v>139963.33023749999</v>
      </c>
      <c r="G2385" s="3">
        <v>0</v>
      </c>
      <c r="H2385" s="4">
        <v>0.7</v>
      </c>
      <c r="I2385" s="28">
        <f t="shared" si="75"/>
        <v>237937.66140374998</v>
      </c>
    </row>
    <row r="2386" spans="1:9" ht="15.75" customHeight="1" x14ac:dyDescent="0.35">
      <c r="A2386" s="26" t="s">
        <v>10303</v>
      </c>
      <c r="B2386" s="25" t="s">
        <v>364</v>
      </c>
      <c r="C2386" s="6" t="s">
        <v>13007</v>
      </c>
      <c r="D2386" s="13">
        <v>258030.82987500002</v>
      </c>
      <c r="E2386" s="18">
        <v>21</v>
      </c>
      <c r="F2386" s="2">
        <f t="shared" si="74"/>
        <v>312217.30414875003</v>
      </c>
      <c r="G2386" s="3">
        <v>0</v>
      </c>
      <c r="H2386" s="4">
        <v>0.7</v>
      </c>
      <c r="I2386" s="28">
        <f t="shared" si="75"/>
        <v>530769.41705287504</v>
      </c>
    </row>
    <row r="2387" spans="1:9" ht="15.75" customHeight="1" x14ac:dyDescent="0.35">
      <c r="A2387" s="26" t="s">
        <v>13745</v>
      </c>
      <c r="B2387" s="25" t="s">
        <v>365</v>
      </c>
      <c r="C2387" s="6" t="s">
        <v>13746</v>
      </c>
      <c r="D2387" s="13">
        <v>256767.89775</v>
      </c>
      <c r="E2387" s="18">
        <v>21</v>
      </c>
      <c r="F2387" s="2">
        <f t="shared" si="74"/>
        <v>310689.15627749998</v>
      </c>
      <c r="G2387" s="3">
        <v>0</v>
      </c>
      <c r="H2387" s="4">
        <v>0.7</v>
      </c>
      <c r="I2387" s="28">
        <f t="shared" si="75"/>
        <v>528171.56567175</v>
      </c>
    </row>
    <row r="2388" spans="1:9" ht="15.75" customHeight="1" x14ac:dyDescent="0.35">
      <c r="A2388" s="26" t="s">
        <v>13008</v>
      </c>
      <c r="B2388" s="25" t="s">
        <v>11872</v>
      </c>
      <c r="C2388" s="6" t="s">
        <v>13009</v>
      </c>
      <c r="D2388" s="13">
        <v>256767.89775</v>
      </c>
      <c r="E2388" s="18">
        <v>21</v>
      </c>
      <c r="F2388" s="2">
        <f t="shared" si="74"/>
        <v>310689.15627749998</v>
      </c>
      <c r="G2388" s="3">
        <v>0</v>
      </c>
      <c r="H2388" s="4">
        <v>0.7</v>
      </c>
      <c r="I2388" s="28">
        <f t="shared" si="75"/>
        <v>528171.56567175</v>
      </c>
    </row>
    <row r="2389" spans="1:9" ht="15.75" customHeight="1" x14ac:dyDescent="0.35">
      <c r="A2389" s="26" t="s">
        <v>13747</v>
      </c>
      <c r="B2389" s="25" t="s">
        <v>366</v>
      </c>
      <c r="C2389" s="6" t="s">
        <v>13748</v>
      </c>
      <c r="D2389" s="13">
        <v>400667.86987499997</v>
      </c>
      <c r="E2389" s="18">
        <v>21</v>
      </c>
      <c r="F2389" s="2">
        <f t="shared" si="74"/>
        <v>484808.12254874996</v>
      </c>
      <c r="G2389" s="3">
        <v>0</v>
      </c>
      <c r="H2389" s="4">
        <v>0.7</v>
      </c>
      <c r="I2389" s="28">
        <f t="shared" si="75"/>
        <v>824173.80833287491</v>
      </c>
    </row>
    <row r="2390" spans="1:9" ht="15.75" customHeight="1" x14ac:dyDescent="0.35">
      <c r="A2390" s="26" t="s">
        <v>2877</v>
      </c>
      <c r="B2390" s="25" t="s">
        <v>10624</v>
      </c>
      <c r="C2390" s="6" t="s">
        <v>12108</v>
      </c>
      <c r="D2390" s="13">
        <v>3093.0971500000001</v>
      </c>
      <c r="E2390" s="18">
        <v>21</v>
      </c>
      <c r="F2390" s="2">
        <f t="shared" si="74"/>
        <v>3742.6475515000002</v>
      </c>
      <c r="G2390" s="3">
        <v>0</v>
      </c>
      <c r="H2390" s="4">
        <v>0.7</v>
      </c>
      <c r="I2390" s="28">
        <f t="shared" si="75"/>
        <v>6362.5008375500001</v>
      </c>
    </row>
    <row r="2391" spans="1:9" ht="15.75" customHeight="1" x14ac:dyDescent="0.35">
      <c r="A2391" s="26" t="s">
        <v>4724</v>
      </c>
      <c r="B2391" s="25" t="s">
        <v>10888</v>
      </c>
      <c r="C2391" s="6" t="s">
        <v>1108</v>
      </c>
      <c r="D2391" s="13">
        <v>798.55147516624902</v>
      </c>
      <c r="E2391" s="18">
        <v>10.5</v>
      </c>
      <c r="F2391" s="2">
        <f t="shared" si="74"/>
        <v>882.39938005870522</v>
      </c>
      <c r="G2391" s="3">
        <v>0</v>
      </c>
      <c r="H2391" s="4">
        <v>0.7</v>
      </c>
      <c r="I2391" s="28">
        <f t="shared" si="75"/>
        <v>1500.0789460997989</v>
      </c>
    </row>
    <row r="2392" spans="1:9" ht="15.75" customHeight="1" x14ac:dyDescent="0.35">
      <c r="A2392" s="26" t="s">
        <v>4725</v>
      </c>
      <c r="B2392" s="25" t="s">
        <v>11532</v>
      </c>
      <c r="C2392" s="6" t="s">
        <v>1109</v>
      </c>
      <c r="D2392" s="13">
        <v>798.55147516624902</v>
      </c>
      <c r="E2392" s="18">
        <v>10.5</v>
      </c>
      <c r="F2392" s="2">
        <f t="shared" si="74"/>
        <v>882.39938005870522</v>
      </c>
      <c r="G2392" s="3">
        <v>0</v>
      </c>
      <c r="H2392" s="4">
        <v>0.7</v>
      </c>
      <c r="I2392" s="28">
        <f t="shared" si="75"/>
        <v>1500.0789460997989</v>
      </c>
    </row>
    <row r="2393" spans="1:9" ht="15.75" customHeight="1" x14ac:dyDescent="0.35">
      <c r="A2393" s="26" t="s">
        <v>3090</v>
      </c>
      <c r="B2393" s="25" t="s">
        <v>10294</v>
      </c>
      <c r="C2393" s="6" t="s">
        <v>11457</v>
      </c>
      <c r="D2393" s="13">
        <v>13681.15100558375</v>
      </c>
      <c r="E2393" s="18">
        <v>10.5</v>
      </c>
      <c r="F2393" s="2">
        <f t="shared" si="74"/>
        <v>15117.671861170043</v>
      </c>
      <c r="G2393" s="3">
        <v>0</v>
      </c>
      <c r="H2393" s="4">
        <v>0.7</v>
      </c>
      <c r="I2393" s="28">
        <f t="shared" si="75"/>
        <v>25700.042163989074</v>
      </c>
    </row>
    <row r="2394" spans="1:9" ht="15.75" customHeight="1" x14ac:dyDescent="0.35">
      <c r="A2394" s="26" t="s">
        <v>3091</v>
      </c>
      <c r="B2394" s="25" t="s">
        <v>10890</v>
      </c>
      <c r="C2394" s="6" t="s">
        <v>10668</v>
      </c>
      <c r="D2394" s="13">
        <v>26903.288557112501</v>
      </c>
      <c r="E2394" s="18">
        <v>21</v>
      </c>
      <c r="F2394" s="2">
        <f t="shared" si="74"/>
        <v>32552.979154106128</v>
      </c>
      <c r="G2394" s="3">
        <v>0</v>
      </c>
      <c r="H2394" s="4">
        <v>0.7</v>
      </c>
      <c r="I2394" s="28">
        <f t="shared" si="75"/>
        <v>55340.064561980413</v>
      </c>
    </row>
    <row r="2395" spans="1:9" ht="15.75" customHeight="1" x14ac:dyDescent="0.35">
      <c r="A2395" s="26" t="s">
        <v>8816</v>
      </c>
      <c r="B2395" s="25" t="s">
        <v>10892</v>
      </c>
      <c r="C2395" s="6" t="s">
        <v>8817</v>
      </c>
      <c r="D2395" s="13">
        <v>14777.683145826251</v>
      </c>
      <c r="E2395" s="18">
        <v>21</v>
      </c>
      <c r="F2395" s="2">
        <f t="shared" si="74"/>
        <v>17880.996606449764</v>
      </c>
      <c r="G2395" s="3">
        <v>0</v>
      </c>
      <c r="H2395" s="4">
        <v>0.7</v>
      </c>
      <c r="I2395" s="28">
        <f t="shared" si="75"/>
        <v>30397.694230964596</v>
      </c>
    </row>
    <row r="2396" spans="1:9" ht="15.75" customHeight="1" x14ac:dyDescent="0.35">
      <c r="A2396" s="26" t="s">
        <v>8917</v>
      </c>
      <c r="B2396" s="25" t="s">
        <v>10296</v>
      </c>
      <c r="C2396" s="6" t="s">
        <v>8918</v>
      </c>
      <c r="D2396" s="13">
        <v>39602.660785967499</v>
      </c>
      <c r="E2396" s="18">
        <v>21</v>
      </c>
      <c r="F2396" s="2">
        <f t="shared" si="74"/>
        <v>47919.219551020673</v>
      </c>
      <c r="G2396" s="3">
        <v>0</v>
      </c>
      <c r="H2396" s="4">
        <v>0.7</v>
      </c>
      <c r="I2396" s="28">
        <f t="shared" si="75"/>
        <v>81462.673236735136</v>
      </c>
    </row>
    <row r="2397" spans="1:9" ht="15.75" customHeight="1" x14ac:dyDescent="0.35">
      <c r="A2397" s="26" t="s">
        <v>2878</v>
      </c>
      <c r="B2397" s="25" t="s">
        <v>10894</v>
      </c>
      <c r="C2397" s="6" t="s">
        <v>12109</v>
      </c>
      <c r="D2397" s="13">
        <v>2509.0858000000003</v>
      </c>
      <c r="E2397" s="18">
        <v>21</v>
      </c>
      <c r="F2397" s="2">
        <f t="shared" si="74"/>
        <v>3035.9938180000004</v>
      </c>
      <c r="G2397" s="3">
        <v>0</v>
      </c>
      <c r="H2397" s="4">
        <v>0.7</v>
      </c>
      <c r="I2397" s="28">
        <f t="shared" si="75"/>
        <v>5161.1894906000007</v>
      </c>
    </row>
    <row r="2398" spans="1:9" ht="15.75" customHeight="1" x14ac:dyDescent="0.35">
      <c r="A2398" s="26" t="s">
        <v>5772</v>
      </c>
      <c r="B2398" s="25" t="s">
        <v>11497</v>
      </c>
      <c r="C2398" s="6" t="s">
        <v>374</v>
      </c>
      <c r="D2398" s="13">
        <v>13723.75031625</v>
      </c>
      <c r="E2398" s="18">
        <v>21</v>
      </c>
      <c r="F2398" s="2">
        <f t="shared" si="74"/>
        <v>16605.737882662499</v>
      </c>
      <c r="G2398" s="3">
        <v>0</v>
      </c>
      <c r="H2398" s="4">
        <v>0.7</v>
      </c>
      <c r="I2398" s="28">
        <f t="shared" si="75"/>
        <v>28229.754400526246</v>
      </c>
    </row>
    <row r="2399" spans="1:9" ht="15.75" customHeight="1" x14ac:dyDescent="0.35">
      <c r="A2399" s="26" t="s">
        <v>5773</v>
      </c>
      <c r="B2399" s="25" t="s">
        <v>11499</v>
      </c>
      <c r="C2399" s="6" t="s">
        <v>375</v>
      </c>
      <c r="D2399" s="13">
        <v>6008.1810750000004</v>
      </c>
      <c r="E2399" s="18">
        <v>21</v>
      </c>
      <c r="F2399" s="2">
        <f t="shared" si="74"/>
        <v>7269.8991007500008</v>
      </c>
      <c r="G2399" s="3">
        <v>0</v>
      </c>
      <c r="H2399" s="4">
        <v>0.7</v>
      </c>
      <c r="I2399" s="28">
        <f t="shared" si="75"/>
        <v>12358.828471275001</v>
      </c>
    </row>
    <row r="2400" spans="1:9" ht="15.75" customHeight="1" x14ac:dyDescent="0.35">
      <c r="A2400" s="26" t="s">
        <v>5774</v>
      </c>
      <c r="B2400" s="25" t="s">
        <v>12200</v>
      </c>
      <c r="C2400" s="6" t="s">
        <v>376</v>
      </c>
      <c r="D2400" s="13">
        <v>8251.7423624999992</v>
      </c>
      <c r="E2400" s="18">
        <v>21</v>
      </c>
      <c r="F2400" s="2">
        <f t="shared" si="74"/>
        <v>9984.6082586249995</v>
      </c>
      <c r="G2400" s="3">
        <v>0</v>
      </c>
      <c r="H2400" s="4">
        <v>0.7</v>
      </c>
      <c r="I2400" s="28">
        <f t="shared" si="75"/>
        <v>16973.834039662499</v>
      </c>
    </row>
    <row r="2401" spans="1:9" ht="15.75" customHeight="1" x14ac:dyDescent="0.35">
      <c r="A2401" s="26" t="s">
        <v>5776</v>
      </c>
      <c r="B2401" s="25" t="s">
        <v>10298</v>
      </c>
      <c r="C2401" s="6" t="s">
        <v>378</v>
      </c>
      <c r="D2401" s="13">
        <v>15400.717312500001</v>
      </c>
      <c r="E2401" s="18">
        <v>21</v>
      </c>
      <c r="F2401" s="2">
        <f t="shared" si="74"/>
        <v>18634.867948125</v>
      </c>
      <c r="G2401" s="3">
        <v>0</v>
      </c>
      <c r="H2401" s="4">
        <v>0.7</v>
      </c>
      <c r="I2401" s="28">
        <f t="shared" si="75"/>
        <v>31679.275511812499</v>
      </c>
    </row>
    <row r="2402" spans="1:9" ht="15.75" customHeight="1" x14ac:dyDescent="0.35">
      <c r="A2402" s="26" t="s">
        <v>5777</v>
      </c>
      <c r="B2402" s="25" t="s">
        <v>10300</v>
      </c>
      <c r="C2402" s="6" t="s">
        <v>379</v>
      </c>
      <c r="D2402" s="13">
        <v>24641.147700000001</v>
      </c>
      <c r="E2402" s="18">
        <v>21</v>
      </c>
      <c r="F2402" s="2">
        <f t="shared" si="74"/>
        <v>29815.788717000003</v>
      </c>
      <c r="G2402" s="3">
        <v>0</v>
      </c>
      <c r="H2402" s="4">
        <v>0.7</v>
      </c>
      <c r="I2402" s="28">
        <f t="shared" si="75"/>
        <v>50686.840818900004</v>
      </c>
    </row>
    <row r="2403" spans="1:9" ht="15.75" customHeight="1" x14ac:dyDescent="0.35">
      <c r="A2403" s="26" t="s">
        <v>5778</v>
      </c>
      <c r="B2403" s="25" t="s">
        <v>12201</v>
      </c>
      <c r="C2403" s="6" t="s">
        <v>380</v>
      </c>
      <c r="D2403" s="13">
        <v>18959.994202499998</v>
      </c>
      <c r="E2403" s="18">
        <v>21</v>
      </c>
      <c r="F2403" s="2">
        <f t="shared" si="74"/>
        <v>22941.592985024996</v>
      </c>
      <c r="G2403" s="3">
        <v>0</v>
      </c>
      <c r="H2403" s="4">
        <v>0.7</v>
      </c>
      <c r="I2403" s="28">
        <f t="shared" si="75"/>
        <v>39000.70807454249</v>
      </c>
    </row>
    <row r="2404" spans="1:9" ht="15.75" customHeight="1" x14ac:dyDescent="0.35">
      <c r="A2404" s="26" t="s">
        <v>5775</v>
      </c>
      <c r="B2404" s="25" t="s">
        <v>12601</v>
      </c>
      <c r="C2404" s="6" t="s">
        <v>13749</v>
      </c>
      <c r="D2404" s="13">
        <v>11122.74028125</v>
      </c>
      <c r="E2404" s="18">
        <v>21</v>
      </c>
      <c r="F2404" s="2">
        <f t="shared" si="74"/>
        <v>13458.515740312501</v>
      </c>
      <c r="G2404" s="3">
        <v>0</v>
      </c>
      <c r="H2404" s="4">
        <v>0.7</v>
      </c>
      <c r="I2404" s="28">
        <f t="shared" si="75"/>
        <v>22879.476758531251</v>
      </c>
    </row>
    <row r="2405" spans="1:9" ht="15.75" customHeight="1" x14ac:dyDescent="0.35">
      <c r="A2405" s="26" t="s">
        <v>11443</v>
      </c>
      <c r="B2405" s="25" t="s">
        <v>9634</v>
      </c>
      <c r="C2405" s="6" t="s">
        <v>11444</v>
      </c>
      <c r="D2405" s="13">
        <v>19659.681112499999</v>
      </c>
      <c r="E2405" s="18">
        <v>21</v>
      </c>
      <c r="F2405" s="2">
        <f t="shared" si="74"/>
        <v>23788.214146124999</v>
      </c>
      <c r="G2405" s="3">
        <v>0</v>
      </c>
      <c r="H2405" s="4">
        <v>0.7</v>
      </c>
      <c r="I2405" s="28">
        <f t="shared" si="75"/>
        <v>40439.964048412498</v>
      </c>
    </row>
    <row r="2406" spans="1:9" ht="15.75" customHeight="1" x14ac:dyDescent="0.35">
      <c r="A2406" s="26" t="s">
        <v>5780</v>
      </c>
      <c r="B2406" s="25" t="s">
        <v>947</v>
      </c>
      <c r="C2406" s="6" t="s">
        <v>10422</v>
      </c>
      <c r="D2406" s="13">
        <v>4156.1988343200001</v>
      </c>
      <c r="E2406" s="18">
        <v>21</v>
      </c>
      <c r="F2406" s="2">
        <f t="shared" si="74"/>
        <v>5029.0005895271997</v>
      </c>
      <c r="G2406" s="3">
        <v>0</v>
      </c>
      <c r="H2406" s="4">
        <v>0.7</v>
      </c>
      <c r="I2406" s="28">
        <f t="shared" si="75"/>
        <v>8549.30100219624</v>
      </c>
    </row>
    <row r="2407" spans="1:9" ht="15.75" customHeight="1" x14ac:dyDescent="0.35">
      <c r="A2407" s="26" t="s">
        <v>2323</v>
      </c>
      <c r="B2407" s="25" t="s">
        <v>948</v>
      </c>
      <c r="C2407" s="6" t="s">
        <v>13254</v>
      </c>
      <c r="D2407" s="13">
        <v>489.856902882496</v>
      </c>
      <c r="E2407" s="18">
        <v>21</v>
      </c>
      <c r="F2407" s="2">
        <f t="shared" si="74"/>
        <v>592.72685248782022</v>
      </c>
      <c r="G2407" s="3">
        <v>0</v>
      </c>
      <c r="H2407" s="4">
        <v>0.7</v>
      </c>
      <c r="I2407" s="28">
        <f t="shared" si="75"/>
        <v>1007.6356492292944</v>
      </c>
    </row>
    <row r="2408" spans="1:9" ht="15.75" customHeight="1" x14ac:dyDescent="0.35">
      <c r="A2408" s="26" t="s">
        <v>3263</v>
      </c>
      <c r="B2408" s="25" t="s">
        <v>949</v>
      </c>
      <c r="C2408" s="6" t="s">
        <v>381</v>
      </c>
      <c r="D2408" s="13">
        <v>23360.399837798399</v>
      </c>
      <c r="E2408" s="18">
        <v>21</v>
      </c>
      <c r="F2408" s="2">
        <f t="shared" si="74"/>
        <v>28266.083803736063</v>
      </c>
      <c r="G2408" s="3">
        <v>0</v>
      </c>
      <c r="H2408" s="4">
        <v>0.7</v>
      </c>
      <c r="I2408" s="28">
        <f t="shared" si="75"/>
        <v>48052.342466351307</v>
      </c>
    </row>
    <row r="2409" spans="1:9" ht="15.75" customHeight="1" x14ac:dyDescent="0.35">
      <c r="A2409" s="26" t="s">
        <v>4384</v>
      </c>
      <c r="B2409" s="25" t="s">
        <v>950</v>
      </c>
      <c r="C2409" s="6" t="s">
        <v>956</v>
      </c>
      <c r="D2409" s="13">
        <v>5180.9375787596337</v>
      </c>
      <c r="E2409" s="18">
        <v>21</v>
      </c>
      <c r="F2409" s="2">
        <f t="shared" si="74"/>
        <v>6268.9344702991566</v>
      </c>
      <c r="G2409" s="3">
        <v>0</v>
      </c>
      <c r="H2409" s="4">
        <v>0.7</v>
      </c>
      <c r="I2409" s="28">
        <f t="shared" si="75"/>
        <v>10657.188599508567</v>
      </c>
    </row>
    <row r="2410" spans="1:9" ht="15.75" customHeight="1" x14ac:dyDescent="0.35">
      <c r="A2410" s="26" t="s">
        <v>12244</v>
      </c>
      <c r="B2410" s="25" t="s">
        <v>9636</v>
      </c>
      <c r="C2410" s="6" t="s">
        <v>12245</v>
      </c>
      <c r="D2410" s="13">
        <v>15904.575765</v>
      </c>
      <c r="E2410" s="18">
        <v>21</v>
      </c>
      <c r="F2410" s="2">
        <f t="shared" si="74"/>
        <v>19244.536675650001</v>
      </c>
      <c r="G2410" s="3">
        <v>0</v>
      </c>
      <c r="H2410" s="4">
        <v>0.7</v>
      </c>
      <c r="I2410" s="28">
        <f t="shared" si="75"/>
        <v>32715.712348605</v>
      </c>
    </row>
    <row r="2411" spans="1:9" ht="15.75" customHeight="1" x14ac:dyDescent="0.35">
      <c r="A2411" s="26" t="s">
        <v>5288</v>
      </c>
      <c r="B2411" s="25" t="s">
        <v>951</v>
      </c>
      <c r="C2411" s="6" t="s">
        <v>9607</v>
      </c>
      <c r="D2411" s="13">
        <v>65928.392399999997</v>
      </c>
      <c r="E2411" s="18">
        <v>21</v>
      </c>
      <c r="F2411" s="2">
        <f t="shared" si="74"/>
        <v>79773.354804000002</v>
      </c>
      <c r="G2411" s="3">
        <v>0</v>
      </c>
      <c r="H2411" s="4">
        <v>0.7</v>
      </c>
      <c r="I2411" s="28">
        <f t="shared" si="75"/>
        <v>135614.7031668</v>
      </c>
    </row>
    <row r="2412" spans="1:9" ht="15.75" customHeight="1" x14ac:dyDescent="0.35">
      <c r="A2412" s="26" t="s">
        <v>5290</v>
      </c>
      <c r="B2412" s="25" t="s">
        <v>12612</v>
      </c>
      <c r="C2412" s="6" t="s">
        <v>9608</v>
      </c>
      <c r="D2412" s="13">
        <v>125973.41120000002</v>
      </c>
      <c r="E2412" s="18">
        <v>21</v>
      </c>
      <c r="F2412" s="2">
        <f t="shared" si="74"/>
        <v>152427.82755200003</v>
      </c>
      <c r="G2412" s="3">
        <v>0</v>
      </c>
      <c r="H2412" s="4">
        <v>0.7</v>
      </c>
      <c r="I2412" s="28">
        <f t="shared" si="75"/>
        <v>259127.30683840005</v>
      </c>
    </row>
    <row r="2413" spans="1:9" ht="15.75" customHeight="1" x14ac:dyDescent="0.35">
      <c r="A2413" s="26" t="s">
        <v>5291</v>
      </c>
      <c r="B2413" s="25" t="s">
        <v>952</v>
      </c>
      <c r="C2413" s="6" t="s">
        <v>9609</v>
      </c>
      <c r="D2413" s="13">
        <v>155044.19839999999</v>
      </c>
      <c r="E2413" s="18">
        <v>21</v>
      </c>
      <c r="F2413" s="2">
        <f t="shared" si="74"/>
        <v>187603.480064</v>
      </c>
      <c r="G2413" s="3">
        <v>0</v>
      </c>
      <c r="H2413" s="4">
        <v>0.7</v>
      </c>
      <c r="I2413" s="28">
        <f t="shared" si="75"/>
        <v>318925.91610879998</v>
      </c>
    </row>
    <row r="2414" spans="1:9" ht="15.75" customHeight="1" x14ac:dyDescent="0.35">
      <c r="A2414" s="26" t="s">
        <v>4385</v>
      </c>
      <c r="B2414" s="25" t="s">
        <v>9021</v>
      </c>
      <c r="C2414" s="6" t="s">
        <v>13010</v>
      </c>
      <c r="D2414" s="13">
        <v>21630.05</v>
      </c>
      <c r="E2414" s="18">
        <v>21</v>
      </c>
      <c r="F2414" s="2">
        <f t="shared" si="74"/>
        <v>26172.360499999999</v>
      </c>
      <c r="G2414" s="3">
        <v>0</v>
      </c>
      <c r="H2414" s="4">
        <v>0.7</v>
      </c>
      <c r="I2414" s="28">
        <f t="shared" si="75"/>
        <v>44493.012849999999</v>
      </c>
    </row>
    <row r="2415" spans="1:9" ht="15.75" customHeight="1" x14ac:dyDescent="0.35">
      <c r="A2415" s="26" t="s">
        <v>5289</v>
      </c>
      <c r="B2415" s="25" t="s">
        <v>953</v>
      </c>
      <c r="C2415" s="6" t="s">
        <v>9610</v>
      </c>
      <c r="D2415" s="13">
        <v>87212.361600000004</v>
      </c>
      <c r="E2415" s="18">
        <v>21</v>
      </c>
      <c r="F2415" s="2">
        <f t="shared" si="74"/>
        <v>105526.957536</v>
      </c>
      <c r="G2415" s="3">
        <v>0</v>
      </c>
      <c r="H2415" s="4">
        <v>0.7</v>
      </c>
      <c r="I2415" s="28">
        <f t="shared" si="75"/>
        <v>179395.8278112</v>
      </c>
    </row>
    <row r="2416" spans="1:9" ht="15.75" customHeight="1" x14ac:dyDescent="0.35">
      <c r="A2416" s="26" t="s">
        <v>10060</v>
      </c>
      <c r="B2416" s="25" t="s">
        <v>954</v>
      </c>
      <c r="C2416" s="6" t="s">
        <v>10061</v>
      </c>
      <c r="D2416" s="13">
        <v>73562.45542770793</v>
      </c>
      <c r="E2416" s="18">
        <v>21</v>
      </c>
      <c r="F2416" s="2">
        <f t="shared" si="74"/>
        <v>89010.571067526587</v>
      </c>
      <c r="G2416" s="3">
        <v>0</v>
      </c>
      <c r="H2416" s="4">
        <v>0.7</v>
      </c>
      <c r="I2416" s="28">
        <f t="shared" si="75"/>
        <v>151317.9708147952</v>
      </c>
    </row>
    <row r="2417" spans="1:9" ht="15.75" customHeight="1" x14ac:dyDescent="0.35">
      <c r="A2417" s="26" t="s">
        <v>9591</v>
      </c>
      <c r="B2417" s="25" t="s">
        <v>955</v>
      </c>
      <c r="C2417" s="6" t="s">
        <v>10740</v>
      </c>
      <c r="D2417" s="13">
        <v>3102.6978319999998</v>
      </c>
      <c r="E2417" s="18">
        <v>21</v>
      </c>
      <c r="F2417" s="2">
        <f t="shared" si="74"/>
        <v>3754.2643767199997</v>
      </c>
      <c r="G2417" s="3">
        <v>0</v>
      </c>
      <c r="H2417" s="4">
        <v>0.7</v>
      </c>
      <c r="I2417" s="28">
        <f t="shared" si="75"/>
        <v>6382.2494404239997</v>
      </c>
    </row>
    <row r="2418" spans="1:9" ht="15.75" customHeight="1" x14ac:dyDescent="0.35">
      <c r="A2418" s="26" t="s">
        <v>10741</v>
      </c>
      <c r="B2418" s="25" t="s">
        <v>367</v>
      </c>
      <c r="C2418" s="6" t="s">
        <v>10742</v>
      </c>
      <c r="D2418" s="13">
        <v>2249.9295000000002</v>
      </c>
      <c r="E2418" s="18">
        <v>21</v>
      </c>
      <c r="F2418" s="2">
        <f t="shared" si="74"/>
        <v>2722.4146950000004</v>
      </c>
      <c r="G2418" s="3">
        <v>0</v>
      </c>
      <c r="H2418" s="4">
        <v>0.7</v>
      </c>
      <c r="I2418" s="28">
        <f t="shared" si="75"/>
        <v>4628.1049815000006</v>
      </c>
    </row>
    <row r="2419" spans="1:9" ht="15.75" customHeight="1" x14ac:dyDescent="0.35">
      <c r="A2419" s="26" t="s">
        <v>10743</v>
      </c>
      <c r="B2419" s="25" t="s">
        <v>368</v>
      </c>
      <c r="C2419" s="6" t="s">
        <v>10744</v>
      </c>
      <c r="D2419" s="13">
        <v>3852.4736250000001</v>
      </c>
      <c r="E2419" s="18">
        <v>21</v>
      </c>
      <c r="F2419" s="2">
        <f t="shared" si="74"/>
        <v>4661.4930862500005</v>
      </c>
      <c r="G2419" s="3">
        <v>0</v>
      </c>
      <c r="H2419" s="4">
        <v>0.7</v>
      </c>
      <c r="I2419" s="28">
        <f t="shared" si="75"/>
        <v>7924.5382466250003</v>
      </c>
    </row>
    <row r="2420" spans="1:9" ht="15.75" customHeight="1" x14ac:dyDescent="0.35">
      <c r="A2420" s="26" t="s">
        <v>13011</v>
      </c>
      <c r="B2420" s="25" t="s">
        <v>9753</v>
      </c>
      <c r="C2420" s="6" t="s">
        <v>13012</v>
      </c>
      <c r="D2420" s="13">
        <v>352355.10879999999</v>
      </c>
      <c r="E2420" s="18">
        <v>21</v>
      </c>
      <c r="F2420" s="2">
        <f t="shared" si="74"/>
        <v>426349.68164799997</v>
      </c>
      <c r="G2420" s="3">
        <v>0</v>
      </c>
      <c r="H2420" s="4">
        <v>0.7</v>
      </c>
      <c r="I2420" s="28">
        <f t="shared" si="75"/>
        <v>724794.45880159992</v>
      </c>
    </row>
    <row r="2421" spans="1:9" ht="15.75" customHeight="1" x14ac:dyDescent="0.35">
      <c r="A2421" s="26" t="s">
        <v>13013</v>
      </c>
      <c r="B2421" s="25" t="s">
        <v>11294</v>
      </c>
      <c r="C2421" s="6" t="s">
        <v>13014</v>
      </c>
      <c r="D2421" s="13">
        <v>391212.15879999998</v>
      </c>
      <c r="E2421" s="18">
        <v>21</v>
      </c>
      <c r="F2421" s="2">
        <f t="shared" si="74"/>
        <v>473366.71214799996</v>
      </c>
      <c r="G2421" s="3">
        <v>0</v>
      </c>
      <c r="H2421" s="4">
        <v>0.7</v>
      </c>
      <c r="I2421" s="28">
        <f t="shared" si="75"/>
        <v>804723.41065159987</v>
      </c>
    </row>
    <row r="2422" spans="1:9" ht="15.75" customHeight="1" x14ac:dyDescent="0.35">
      <c r="A2422" s="26" t="s">
        <v>13015</v>
      </c>
      <c r="B2422" s="25" t="s">
        <v>12547</v>
      </c>
      <c r="C2422" s="6" t="s">
        <v>13016</v>
      </c>
      <c r="D2422" s="13">
        <v>482154.89350000001</v>
      </c>
      <c r="E2422" s="18">
        <v>21</v>
      </c>
      <c r="F2422" s="2">
        <f t="shared" si="74"/>
        <v>583407.42113499995</v>
      </c>
      <c r="G2422" s="3">
        <v>0</v>
      </c>
      <c r="H2422" s="4">
        <v>0.7</v>
      </c>
      <c r="I2422" s="28">
        <f t="shared" si="75"/>
        <v>991792.61592949985</v>
      </c>
    </row>
    <row r="2423" spans="1:9" ht="15.75" customHeight="1" x14ac:dyDescent="0.35">
      <c r="A2423" s="26" t="s">
        <v>13017</v>
      </c>
      <c r="B2423" s="25" t="s">
        <v>9308</v>
      </c>
      <c r="C2423" s="6" t="s">
        <v>13018</v>
      </c>
      <c r="D2423" s="13">
        <v>465968.12549476803</v>
      </c>
      <c r="E2423" s="18">
        <v>21</v>
      </c>
      <c r="F2423" s="2">
        <f t="shared" si="74"/>
        <v>563821.43184866931</v>
      </c>
      <c r="G2423" s="3">
        <v>0</v>
      </c>
      <c r="H2423" s="4">
        <v>0.7</v>
      </c>
      <c r="I2423" s="28">
        <f t="shared" si="75"/>
        <v>958496.43414273777</v>
      </c>
    </row>
    <row r="2424" spans="1:9" ht="15.75" customHeight="1" x14ac:dyDescent="0.35">
      <c r="A2424" s="26" t="s">
        <v>2619</v>
      </c>
      <c r="B2424" s="25" t="s">
        <v>9309</v>
      </c>
      <c r="C2424" s="6" t="s">
        <v>8851</v>
      </c>
      <c r="D2424" s="13">
        <v>776.94816387239996</v>
      </c>
      <c r="E2424" s="18">
        <v>21</v>
      </c>
      <c r="F2424" s="2">
        <f t="shared" si="74"/>
        <v>940.10727828560391</v>
      </c>
      <c r="G2424" s="3">
        <v>0</v>
      </c>
      <c r="H2424" s="4">
        <v>0.7</v>
      </c>
      <c r="I2424" s="28">
        <f t="shared" si="75"/>
        <v>1598.1823730855267</v>
      </c>
    </row>
    <row r="2425" spans="1:9" ht="15.75" customHeight="1" x14ac:dyDescent="0.35">
      <c r="A2425" s="26" t="s">
        <v>1563</v>
      </c>
      <c r="B2425" s="25" t="s">
        <v>9745</v>
      </c>
      <c r="C2425" s="6" t="s">
        <v>13796</v>
      </c>
      <c r="D2425" s="13">
        <v>53.072000000000003</v>
      </c>
      <c r="E2425" s="18">
        <v>21</v>
      </c>
      <c r="F2425" s="2">
        <f t="shared" si="74"/>
        <v>64.217120000000008</v>
      </c>
      <c r="G2425" s="3">
        <v>0</v>
      </c>
      <c r="H2425" s="4">
        <v>0.7</v>
      </c>
      <c r="I2425" s="28">
        <f t="shared" si="75"/>
        <v>109.169104</v>
      </c>
    </row>
    <row r="2426" spans="1:9" ht="15.75" customHeight="1" x14ac:dyDescent="0.35">
      <c r="A2426" s="26" t="s">
        <v>1564</v>
      </c>
      <c r="B2426" s="25" t="s">
        <v>11482</v>
      </c>
      <c r="C2426" s="6" t="s">
        <v>13829</v>
      </c>
      <c r="D2426" s="13">
        <v>82.176000000000002</v>
      </c>
      <c r="E2426" s="18">
        <v>21</v>
      </c>
      <c r="F2426" s="2">
        <f t="shared" si="74"/>
        <v>99.432960000000008</v>
      </c>
      <c r="G2426" s="3">
        <v>0</v>
      </c>
      <c r="H2426" s="4">
        <v>0.7</v>
      </c>
      <c r="I2426" s="28">
        <f t="shared" si="75"/>
        <v>169.03603200000001</v>
      </c>
    </row>
    <row r="2427" spans="1:9" ht="15.75" customHeight="1" x14ac:dyDescent="0.35">
      <c r="A2427" s="26" t="s">
        <v>4387</v>
      </c>
      <c r="B2427" s="25" t="s">
        <v>11483</v>
      </c>
      <c r="C2427" s="6" t="s">
        <v>10423</v>
      </c>
      <c r="D2427" s="13">
        <v>13444.805087999999</v>
      </c>
      <c r="E2427" s="18">
        <v>21</v>
      </c>
      <c r="F2427" s="2">
        <f t="shared" si="74"/>
        <v>16268.214156479999</v>
      </c>
      <c r="G2427" s="3">
        <v>0</v>
      </c>
      <c r="H2427" s="4">
        <v>0.7</v>
      </c>
      <c r="I2427" s="28">
        <f t="shared" si="75"/>
        <v>27655.964066015997</v>
      </c>
    </row>
    <row r="2428" spans="1:9" ht="15.75" customHeight="1" x14ac:dyDescent="0.35">
      <c r="A2428" s="26" t="s">
        <v>12246</v>
      </c>
      <c r="B2428" s="25" t="s">
        <v>11484</v>
      </c>
      <c r="C2428" s="6" t="s">
        <v>12247</v>
      </c>
      <c r="D2428" s="13">
        <v>10181.264535</v>
      </c>
      <c r="E2428" s="18">
        <v>21</v>
      </c>
      <c r="F2428" s="2">
        <f t="shared" si="74"/>
        <v>12319.330087350001</v>
      </c>
      <c r="G2428" s="3">
        <v>0</v>
      </c>
      <c r="H2428" s="4">
        <v>0.7</v>
      </c>
      <c r="I2428" s="28">
        <f t="shared" si="75"/>
        <v>20942.861148495002</v>
      </c>
    </row>
    <row r="2429" spans="1:9" ht="15.75" customHeight="1" x14ac:dyDescent="0.35">
      <c r="A2429" s="26" t="s">
        <v>5583</v>
      </c>
      <c r="B2429" s="25" t="s">
        <v>11485</v>
      </c>
      <c r="C2429" s="6" t="s">
        <v>10424</v>
      </c>
      <c r="D2429" s="13">
        <v>93441.816000000006</v>
      </c>
      <c r="E2429" s="18">
        <v>21</v>
      </c>
      <c r="F2429" s="2">
        <f t="shared" si="74"/>
        <v>113064.59736000001</v>
      </c>
      <c r="G2429" s="3">
        <v>0</v>
      </c>
      <c r="H2429" s="4">
        <v>0.7</v>
      </c>
      <c r="I2429" s="28">
        <f t="shared" si="75"/>
        <v>192209.81551200003</v>
      </c>
    </row>
    <row r="2430" spans="1:9" ht="15.75" customHeight="1" x14ac:dyDescent="0.35">
      <c r="A2430" s="26" t="s">
        <v>5584</v>
      </c>
      <c r="B2430" s="25" t="s">
        <v>11486</v>
      </c>
      <c r="C2430" s="6" t="s">
        <v>382</v>
      </c>
      <c r="D2430" s="13">
        <v>497.73341581785576</v>
      </c>
      <c r="E2430" s="18">
        <v>21</v>
      </c>
      <c r="F2430" s="2">
        <f t="shared" si="74"/>
        <v>602.2574331396055</v>
      </c>
      <c r="G2430" s="3">
        <v>0</v>
      </c>
      <c r="H2430" s="4">
        <v>0.7</v>
      </c>
      <c r="I2430" s="28">
        <f t="shared" si="75"/>
        <v>1023.8376363373293</v>
      </c>
    </row>
    <row r="2431" spans="1:9" ht="15.75" customHeight="1" x14ac:dyDescent="0.35">
      <c r="A2431" s="26" t="s">
        <v>5575</v>
      </c>
      <c r="B2431" s="25" t="s">
        <v>12103</v>
      </c>
      <c r="C2431" s="6" t="s">
        <v>10062</v>
      </c>
      <c r="D2431" s="13">
        <v>58014.129536446599</v>
      </c>
      <c r="E2431" s="18">
        <v>10.5</v>
      </c>
      <c r="F2431" s="2">
        <f t="shared" si="74"/>
        <v>64105.613137773493</v>
      </c>
      <c r="G2431" s="3">
        <v>0</v>
      </c>
      <c r="H2431" s="4">
        <v>0.7</v>
      </c>
      <c r="I2431" s="28">
        <f t="shared" si="75"/>
        <v>108979.54233421493</v>
      </c>
    </row>
    <row r="2432" spans="1:9" ht="15.75" customHeight="1" x14ac:dyDescent="0.35">
      <c r="A2432" s="26" t="s">
        <v>5586</v>
      </c>
      <c r="B2432" s="25" t="s">
        <v>12104</v>
      </c>
      <c r="C2432" s="6" t="s">
        <v>383</v>
      </c>
      <c r="D2432" s="13">
        <v>497.73341581785576</v>
      </c>
      <c r="E2432" s="18">
        <v>21</v>
      </c>
      <c r="F2432" s="2">
        <f t="shared" si="74"/>
        <v>602.2574331396055</v>
      </c>
      <c r="G2432" s="3">
        <v>0</v>
      </c>
      <c r="H2432" s="4">
        <v>0.7</v>
      </c>
      <c r="I2432" s="28">
        <f t="shared" si="75"/>
        <v>1023.8376363373293</v>
      </c>
    </row>
    <row r="2433" spans="1:9" ht="15.75" customHeight="1" x14ac:dyDescent="0.35">
      <c r="A2433" s="26" t="s">
        <v>5535</v>
      </c>
      <c r="B2433" s="25" t="s">
        <v>369</v>
      </c>
      <c r="C2433" s="6" t="s">
        <v>10063</v>
      </c>
      <c r="D2433" s="13">
        <v>12131.252302400519</v>
      </c>
      <c r="E2433" s="18">
        <v>21</v>
      </c>
      <c r="F2433" s="2">
        <f t="shared" si="74"/>
        <v>14678.815285904628</v>
      </c>
      <c r="G2433" s="3">
        <v>0</v>
      </c>
      <c r="H2433" s="4">
        <v>0.7</v>
      </c>
      <c r="I2433" s="28">
        <f t="shared" si="75"/>
        <v>24953.985986037867</v>
      </c>
    </row>
    <row r="2434" spans="1:9" ht="15.75" customHeight="1" x14ac:dyDescent="0.35">
      <c r="A2434" s="26" t="s">
        <v>5537</v>
      </c>
      <c r="B2434" s="25" t="s">
        <v>11631</v>
      </c>
      <c r="C2434" s="6" t="s">
        <v>385</v>
      </c>
      <c r="D2434" s="13">
        <v>50200.507289736939</v>
      </c>
      <c r="E2434" s="18">
        <v>21</v>
      </c>
      <c r="F2434" s="2">
        <f t="shared" si="74"/>
        <v>60742.613820581697</v>
      </c>
      <c r="G2434" s="3">
        <v>0</v>
      </c>
      <c r="H2434" s="4">
        <v>0.7</v>
      </c>
      <c r="I2434" s="28">
        <f t="shared" si="75"/>
        <v>103262.44349498888</v>
      </c>
    </row>
    <row r="2435" spans="1:9" ht="15.75" customHeight="1" x14ac:dyDescent="0.35">
      <c r="A2435" s="26" t="s">
        <v>5538</v>
      </c>
      <c r="B2435" s="25" t="s">
        <v>370</v>
      </c>
      <c r="C2435" s="6" t="s">
        <v>386</v>
      </c>
      <c r="D2435" s="13">
        <v>6734.2141489464057</v>
      </c>
      <c r="E2435" s="18">
        <v>21</v>
      </c>
      <c r="F2435" s="2">
        <f t="shared" si="74"/>
        <v>8148.3991202251509</v>
      </c>
      <c r="G2435" s="3">
        <v>0</v>
      </c>
      <c r="H2435" s="4">
        <v>0.7</v>
      </c>
      <c r="I2435" s="28">
        <f t="shared" si="75"/>
        <v>13852.278504382757</v>
      </c>
    </row>
    <row r="2436" spans="1:9" ht="15.75" customHeight="1" x14ac:dyDescent="0.35">
      <c r="A2436" s="26" t="s">
        <v>5539</v>
      </c>
      <c r="B2436" s="25" t="s">
        <v>371</v>
      </c>
      <c r="C2436" s="6" t="s">
        <v>387</v>
      </c>
      <c r="D2436" s="13">
        <v>4635.0085003710938</v>
      </c>
      <c r="E2436" s="18">
        <v>10.5</v>
      </c>
      <c r="F2436" s="2">
        <f t="shared" si="74"/>
        <v>5121.6843929100587</v>
      </c>
      <c r="G2436" s="3">
        <v>0</v>
      </c>
      <c r="H2436" s="4">
        <v>0.7</v>
      </c>
      <c r="I2436" s="28">
        <f t="shared" si="75"/>
        <v>8706.8634679470997</v>
      </c>
    </row>
    <row r="2437" spans="1:9" ht="15.75" customHeight="1" x14ac:dyDescent="0.35">
      <c r="A2437" s="26" t="s">
        <v>5533</v>
      </c>
      <c r="B2437" s="25" t="s">
        <v>372</v>
      </c>
      <c r="C2437" s="6" t="s">
        <v>11533</v>
      </c>
      <c r="D2437" s="13">
        <v>4623.7307728522683</v>
      </c>
      <c r="E2437" s="18">
        <v>21</v>
      </c>
      <c r="F2437" s="2">
        <f t="shared" si="74"/>
        <v>5594.7142351512448</v>
      </c>
      <c r="G2437" s="3">
        <v>0</v>
      </c>
      <c r="H2437" s="4">
        <v>0.7</v>
      </c>
      <c r="I2437" s="28">
        <f t="shared" si="75"/>
        <v>9511.0141997571154</v>
      </c>
    </row>
    <row r="2438" spans="1:9" ht="15.75" customHeight="1" x14ac:dyDescent="0.35">
      <c r="A2438" s="26" t="s">
        <v>5587</v>
      </c>
      <c r="B2438" s="25" t="s">
        <v>9060</v>
      </c>
      <c r="C2438" s="6" t="s">
        <v>388</v>
      </c>
      <c r="D2438" s="13">
        <v>1534.0031682782626</v>
      </c>
      <c r="E2438" s="18">
        <v>21</v>
      </c>
      <c r="F2438" s="2">
        <f t="shared" ref="F2438:F2501" si="76">D2438*E2438/100+D2438</f>
        <v>1856.1438336166977</v>
      </c>
      <c r="G2438" s="3">
        <v>0</v>
      </c>
      <c r="H2438" s="4">
        <v>0.7</v>
      </c>
      <c r="I2438" s="28">
        <f t="shared" ref="I2438:I2501" si="77">IF(G2438=-1,0,F2438*((100-G2438)/100)*(1+H2438))</f>
        <v>3155.4445171483862</v>
      </c>
    </row>
    <row r="2439" spans="1:9" ht="15.75" customHeight="1" x14ac:dyDescent="0.35">
      <c r="A2439" s="26" t="s">
        <v>5540</v>
      </c>
      <c r="B2439" s="25" t="s">
        <v>9061</v>
      </c>
      <c r="C2439" s="6" t="s">
        <v>389</v>
      </c>
      <c r="D2439" s="13">
        <v>291.62871094360298</v>
      </c>
      <c r="E2439" s="18">
        <v>21</v>
      </c>
      <c r="F2439" s="2">
        <f t="shared" si="76"/>
        <v>352.87074024175962</v>
      </c>
      <c r="G2439" s="3">
        <v>0</v>
      </c>
      <c r="H2439" s="4">
        <v>0.7</v>
      </c>
      <c r="I2439" s="28">
        <f t="shared" si="77"/>
        <v>599.88025841099136</v>
      </c>
    </row>
    <row r="2440" spans="1:9" ht="15.75" customHeight="1" x14ac:dyDescent="0.35">
      <c r="A2440" s="26" t="s">
        <v>5541</v>
      </c>
      <c r="B2440" s="25" t="s">
        <v>1105</v>
      </c>
      <c r="C2440" s="6" t="s">
        <v>10064</v>
      </c>
      <c r="D2440" s="13">
        <v>291.621759</v>
      </c>
      <c r="E2440" s="18">
        <v>21</v>
      </c>
      <c r="F2440" s="2">
        <f t="shared" si="76"/>
        <v>352.86232839000002</v>
      </c>
      <c r="G2440" s="3">
        <v>0</v>
      </c>
      <c r="H2440" s="4">
        <v>0.7</v>
      </c>
      <c r="I2440" s="28">
        <f t="shared" si="77"/>
        <v>599.86595826300004</v>
      </c>
    </row>
    <row r="2441" spans="1:9" ht="15.75" customHeight="1" x14ac:dyDescent="0.35">
      <c r="A2441" s="26" t="s">
        <v>5531</v>
      </c>
      <c r="B2441" s="25" t="s">
        <v>9062</v>
      </c>
      <c r="C2441" s="6" t="s">
        <v>9143</v>
      </c>
      <c r="D2441" s="13">
        <v>6995.7913494683125</v>
      </c>
      <c r="E2441" s="18">
        <v>10.5</v>
      </c>
      <c r="F2441" s="2">
        <f t="shared" si="76"/>
        <v>7730.3494411624852</v>
      </c>
      <c r="G2441" s="3">
        <v>0</v>
      </c>
      <c r="H2441" s="4">
        <v>0.7</v>
      </c>
      <c r="I2441" s="28">
        <f t="shared" si="77"/>
        <v>13141.594049976224</v>
      </c>
    </row>
    <row r="2442" spans="1:9" ht="15.75" customHeight="1" x14ac:dyDescent="0.35">
      <c r="A2442" s="26" t="s">
        <v>5532</v>
      </c>
      <c r="B2442" s="25" t="s">
        <v>9063</v>
      </c>
      <c r="C2442" s="6" t="s">
        <v>9144</v>
      </c>
      <c r="D2442" s="13">
        <v>6750.3249863290775</v>
      </c>
      <c r="E2442" s="18">
        <v>10.5</v>
      </c>
      <c r="F2442" s="2">
        <f t="shared" si="76"/>
        <v>7459.1091098936304</v>
      </c>
      <c r="G2442" s="3">
        <v>0</v>
      </c>
      <c r="H2442" s="4">
        <v>0.7</v>
      </c>
      <c r="I2442" s="28">
        <f t="shared" si="77"/>
        <v>12680.485486819171</v>
      </c>
    </row>
    <row r="2443" spans="1:9" ht="15.75" customHeight="1" x14ac:dyDescent="0.35">
      <c r="A2443" s="26" t="s">
        <v>5588</v>
      </c>
      <c r="B2443" s="25" t="s">
        <v>1106</v>
      </c>
      <c r="C2443" s="6" t="s">
        <v>390</v>
      </c>
      <c r="D2443" s="13">
        <v>434.19298367313348</v>
      </c>
      <c r="E2443" s="18">
        <v>21</v>
      </c>
      <c r="F2443" s="2">
        <f t="shared" si="76"/>
        <v>525.37351024449151</v>
      </c>
      <c r="G2443" s="3">
        <v>0</v>
      </c>
      <c r="H2443" s="4">
        <v>0.7</v>
      </c>
      <c r="I2443" s="28">
        <f t="shared" si="77"/>
        <v>893.13496741563551</v>
      </c>
    </row>
    <row r="2444" spans="1:9" ht="15.75" customHeight="1" x14ac:dyDescent="0.35">
      <c r="A2444" s="26" t="s">
        <v>5589</v>
      </c>
      <c r="B2444" s="25" t="s">
        <v>1107</v>
      </c>
      <c r="C2444" s="6" t="s">
        <v>391</v>
      </c>
      <c r="D2444" s="13">
        <v>497.73341581785576</v>
      </c>
      <c r="E2444" s="18">
        <v>21</v>
      </c>
      <c r="F2444" s="2">
        <f t="shared" si="76"/>
        <v>602.2574331396055</v>
      </c>
      <c r="G2444" s="3">
        <v>0</v>
      </c>
      <c r="H2444" s="4">
        <v>0.7</v>
      </c>
      <c r="I2444" s="28">
        <f t="shared" si="77"/>
        <v>1023.8376363373293</v>
      </c>
    </row>
    <row r="2445" spans="1:9" ht="15.75" customHeight="1" x14ac:dyDescent="0.35">
      <c r="A2445" s="26" t="s">
        <v>5543</v>
      </c>
      <c r="B2445" s="25" t="s">
        <v>9064</v>
      </c>
      <c r="C2445" s="6" t="s">
        <v>10065</v>
      </c>
      <c r="D2445" s="13">
        <v>15200.387857199999</v>
      </c>
      <c r="E2445" s="18">
        <v>10.5</v>
      </c>
      <c r="F2445" s="2">
        <f t="shared" si="76"/>
        <v>16796.428582205997</v>
      </c>
      <c r="G2445" s="3">
        <v>0</v>
      </c>
      <c r="H2445" s="4">
        <v>0.7</v>
      </c>
      <c r="I2445" s="28">
        <f t="shared" si="77"/>
        <v>28553.928589750194</v>
      </c>
    </row>
    <row r="2446" spans="1:9" ht="15.75" customHeight="1" x14ac:dyDescent="0.35">
      <c r="A2446" s="26" t="s">
        <v>5590</v>
      </c>
      <c r="B2446" s="25" t="s">
        <v>12105</v>
      </c>
      <c r="C2446" s="6" t="s">
        <v>392</v>
      </c>
      <c r="D2446" s="13">
        <v>434.19298367313348</v>
      </c>
      <c r="E2446" s="18">
        <v>21</v>
      </c>
      <c r="F2446" s="2">
        <f t="shared" si="76"/>
        <v>525.37351024449151</v>
      </c>
      <c r="G2446" s="3">
        <v>0</v>
      </c>
      <c r="H2446" s="4">
        <v>0.7</v>
      </c>
      <c r="I2446" s="28">
        <f t="shared" si="77"/>
        <v>893.13496741563551</v>
      </c>
    </row>
    <row r="2447" spans="1:9" ht="15.75" customHeight="1" x14ac:dyDescent="0.35">
      <c r="A2447" s="26" t="s">
        <v>5591</v>
      </c>
      <c r="B2447" s="25" t="s">
        <v>12106</v>
      </c>
      <c r="C2447" s="6" t="s">
        <v>393</v>
      </c>
      <c r="D2447" s="13">
        <v>497.73341581785576</v>
      </c>
      <c r="E2447" s="18">
        <v>21</v>
      </c>
      <c r="F2447" s="2">
        <f t="shared" si="76"/>
        <v>602.2574331396055</v>
      </c>
      <c r="G2447" s="3">
        <v>0</v>
      </c>
      <c r="H2447" s="4">
        <v>0.7</v>
      </c>
      <c r="I2447" s="28">
        <f t="shared" si="77"/>
        <v>1023.8376363373293</v>
      </c>
    </row>
    <row r="2448" spans="1:9" ht="15.75" customHeight="1" x14ac:dyDescent="0.35">
      <c r="A2448" s="26" t="s">
        <v>5592</v>
      </c>
      <c r="B2448" s="25" t="s">
        <v>12107</v>
      </c>
      <c r="C2448" s="6" t="s">
        <v>394</v>
      </c>
      <c r="D2448" s="13">
        <v>1712.0617680973965</v>
      </c>
      <c r="E2448" s="18">
        <v>21</v>
      </c>
      <c r="F2448" s="2">
        <f t="shared" si="76"/>
        <v>2071.5947393978495</v>
      </c>
      <c r="G2448" s="3">
        <v>0</v>
      </c>
      <c r="H2448" s="4">
        <v>0.7</v>
      </c>
      <c r="I2448" s="28">
        <f t="shared" si="77"/>
        <v>3521.711056976344</v>
      </c>
    </row>
    <row r="2449" spans="1:9" ht="15.75" customHeight="1" x14ac:dyDescent="0.35">
      <c r="A2449" s="26" t="s">
        <v>5593</v>
      </c>
      <c r="B2449" s="25" t="s">
        <v>11561</v>
      </c>
      <c r="C2449" s="6" t="s">
        <v>395</v>
      </c>
      <c r="D2449" s="13">
        <v>543.97672608584446</v>
      </c>
      <c r="E2449" s="18">
        <v>21</v>
      </c>
      <c r="F2449" s="2">
        <f t="shared" si="76"/>
        <v>658.21183856387177</v>
      </c>
      <c r="G2449" s="3">
        <v>0</v>
      </c>
      <c r="H2449" s="4">
        <v>0.7</v>
      </c>
      <c r="I2449" s="28">
        <f t="shared" si="77"/>
        <v>1118.9601255585819</v>
      </c>
    </row>
    <row r="2450" spans="1:9" ht="15.75" customHeight="1" x14ac:dyDescent="0.35">
      <c r="A2450" s="26" t="s">
        <v>5544</v>
      </c>
      <c r="B2450" s="25" t="s">
        <v>12629</v>
      </c>
      <c r="C2450" s="6" t="s">
        <v>10066</v>
      </c>
      <c r="D2450" s="13">
        <v>3415.8174959999997</v>
      </c>
      <c r="E2450" s="18">
        <v>10.5</v>
      </c>
      <c r="F2450" s="2">
        <f t="shared" si="76"/>
        <v>3774.4783330799996</v>
      </c>
      <c r="G2450" s="3">
        <v>0</v>
      </c>
      <c r="H2450" s="4">
        <v>0.7</v>
      </c>
      <c r="I2450" s="28">
        <f t="shared" si="77"/>
        <v>6416.6131662359994</v>
      </c>
    </row>
    <row r="2451" spans="1:9" ht="15.75" customHeight="1" x14ac:dyDescent="0.35">
      <c r="A2451" s="26" t="s">
        <v>5594</v>
      </c>
      <c r="B2451" s="25" t="s">
        <v>11874</v>
      </c>
      <c r="C2451" s="6" t="s">
        <v>396</v>
      </c>
      <c r="D2451" s="13">
        <v>458.90312396753239</v>
      </c>
      <c r="E2451" s="18">
        <v>21</v>
      </c>
      <c r="F2451" s="2">
        <f t="shared" si="76"/>
        <v>555.27278000071419</v>
      </c>
      <c r="G2451" s="3">
        <v>0</v>
      </c>
      <c r="H2451" s="4">
        <v>0.7</v>
      </c>
      <c r="I2451" s="28">
        <f t="shared" si="77"/>
        <v>943.96372600121413</v>
      </c>
    </row>
    <row r="2452" spans="1:9" ht="15.75" customHeight="1" x14ac:dyDescent="0.35">
      <c r="A2452" s="26" t="s">
        <v>10304</v>
      </c>
      <c r="B2452" s="25" t="s">
        <v>12998</v>
      </c>
      <c r="C2452" s="6" t="s">
        <v>10305</v>
      </c>
      <c r="D2452" s="13">
        <v>5560.2236413043474</v>
      </c>
      <c r="E2452" s="18">
        <v>10.5</v>
      </c>
      <c r="F2452" s="2">
        <f t="shared" si="76"/>
        <v>6144.0471236413041</v>
      </c>
      <c r="G2452" s="3">
        <v>0</v>
      </c>
      <c r="H2452" s="4">
        <v>0.7</v>
      </c>
      <c r="I2452" s="28">
        <f t="shared" si="77"/>
        <v>10444.880110190217</v>
      </c>
    </row>
    <row r="2453" spans="1:9" ht="15.75" customHeight="1" x14ac:dyDescent="0.35">
      <c r="A2453" s="26" t="s">
        <v>11501</v>
      </c>
      <c r="B2453" s="25" t="s">
        <v>13000</v>
      </c>
      <c r="C2453" s="6" t="s">
        <v>11502</v>
      </c>
      <c r="D2453" s="13">
        <v>5560.2236413043474</v>
      </c>
      <c r="E2453" s="18">
        <v>10.5</v>
      </c>
      <c r="F2453" s="2">
        <f t="shared" si="76"/>
        <v>6144.0471236413041</v>
      </c>
      <c r="G2453" s="3">
        <v>0</v>
      </c>
      <c r="H2453" s="4">
        <v>0.7</v>
      </c>
      <c r="I2453" s="28">
        <f t="shared" si="77"/>
        <v>10444.880110190217</v>
      </c>
    </row>
    <row r="2454" spans="1:9" ht="15.75" customHeight="1" x14ac:dyDescent="0.35">
      <c r="A2454" s="26" t="s">
        <v>10308</v>
      </c>
      <c r="B2454" s="25" t="s">
        <v>13102</v>
      </c>
      <c r="C2454" s="6" t="s">
        <v>12515</v>
      </c>
      <c r="D2454" s="13">
        <v>5772.5178354870868</v>
      </c>
      <c r="E2454" s="18">
        <v>10.5</v>
      </c>
      <c r="F2454" s="2">
        <f t="shared" si="76"/>
        <v>6378.632208213231</v>
      </c>
      <c r="G2454" s="3">
        <v>0</v>
      </c>
      <c r="H2454" s="4">
        <v>0.7</v>
      </c>
      <c r="I2454" s="28">
        <f t="shared" si="77"/>
        <v>10843.674753962492</v>
      </c>
    </row>
    <row r="2455" spans="1:9" ht="15.75" customHeight="1" x14ac:dyDescent="0.35">
      <c r="A2455" s="26" t="s">
        <v>10306</v>
      </c>
      <c r="B2455" s="25" t="s">
        <v>1261</v>
      </c>
      <c r="C2455" s="6" t="s">
        <v>10307</v>
      </c>
      <c r="D2455" s="13">
        <v>5772.5178354870868</v>
      </c>
      <c r="E2455" s="18">
        <v>10.5</v>
      </c>
      <c r="F2455" s="2">
        <f t="shared" si="76"/>
        <v>6378.632208213231</v>
      </c>
      <c r="G2455" s="3">
        <v>0</v>
      </c>
      <c r="H2455" s="4">
        <v>0.7</v>
      </c>
      <c r="I2455" s="28">
        <f t="shared" si="77"/>
        <v>10843.674753962492</v>
      </c>
    </row>
    <row r="2456" spans="1:9" ht="15.75" customHeight="1" x14ac:dyDescent="0.35">
      <c r="A2456" s="26" t="s">
        <v>5305</v>
      </c>
      <c r="B2456" s="25" t="s">
        <v>1262</v>
      </c>
      <c r="C2456" s="6" t="s">
        <v>10425</v>
      </c>
      <c r="D2456" s="13">
        <v>4528.4728320000004</v>
      </c>
      <c r="E2456" s="18">
        <v>10.5</v>
      </c>
      <c r="F2456" s="2">
        <f t="shared" si="76"/>
        <v>5003.9624793600005</v>
      </c>
      <c r="G2456" s="3">
        <v>0</v>
      </c>
      <c r="H2456" s="4">
        <v>0.7</v>
      </c>
      <c r="I2456" s="28">
        <f t="shared" si="77"/>
        <v>8506.7362149119999</v>
      </c>
    </row>
    <row r="2457" spans="1:9" ht="15.75" customHeight="1" x14ac:dyDescent="0.35">
      <c r="A2457" s="26" t="s">
        <v>11597</v>
      </c>
      <c r="B2457" s="25" t="s">
        <v>12631</v>
      </c>
      <c r="C2457" s="6" t="s">
        <v>11598</v>
      </c>
      <c r="D2457" s="13">
        <v>4827.8271599999998</v>
      </c>
      <c r="E2457" s="18">
        <v>21</v>
      </c>
      <c r="F2457" s="2">
        <f t="shared" si="76"/>
        <v>5841.6708636000003</v>
      </c>
      <c r="G2457" s="3">
        <v>0</v>
      </c>
      <c r="H2457" s="4">
        <v>0.7</v>
      </c>
      <c r="I2457" s="28">
        <f t="shared" si="77"/>
        <v>9930.8404681200009</v>
      </c>
    </row>
    <row r="2458" spans="1:9" ht="15.75" customHeight="1" x14ac:dyDescent="0.35">
      <c r="A2458" s="26" t="s">
        <v>5306</v>
      </c>
      <c r="B2458" s="25" t="s">
        <v>3063</v>
      </c>
      <c r="C2458" s="6" t="s">
        <v>10426</v>
      </c>
      <c r="D2458" s="13">
        <v>4528.4728320000004</v>
      </c>
      <c r="E2458" s="18">
        <v>10.5</v>
      </c>
      <c r="F2458" s="2">
        <f t="shared" si="76"/>
        <v>5003.9624793600005</v>
      </c>
      <c r="G2458" s="3">
        <v>0</v>
      </c>
      <c r="H2458" s="4">
        <v>0.7</v>
      </c>
      <c r="I2458" s="28">
        <f t="shared" si="77"/>
        <v>8506.7362149119999</v>
      </c>
    </row>
    <row r="2459" spans="1:9" ht="15.75" customHeight="1" x14ac:dyDescent="0.35">
      <c r="A2459" s="26" t="s">
        <v>11599</v>
      </c>
      <c r="B2459" s="25" t="s">
        <v>9584</v>
      </c>
      <c r="C2459" s="6" t="s">
        <v>11600</v>
      </c>
      <c r="D2459" s="13">
        <v>4827.8271599999998</v>
      </c>
      <c r="E2459" s="18">
        <v>21</v>
      </c>
      <c r="F2459" s="2">
        <f t="shared" si="76"/>
        <v>5841.6708636000003</v>
      </c>
      <c r="G2459" s="3">
        <v>0</v>
      </c>
      <c r="H2459" s="4">
        <v>0.7</v>
      </c>
      <c r="I2459" s="28">
        <f t="shared" si="77"/>
        <v>9930.8404681200009</v>
      </c>
    </row>
    <row r="2460" spans="1:9" ht="15.75" customHeight="1" x14ac:dyDescent="0.35">
      <c r="A2460" s="26" t="s">
        <v>5307</v>
      </c>
      <c r="B2460" s="25" t="s">
        <v>11876</v>
      </c>
      <c r="C2460" s="6" t="s">
        <v>10427</v>
      </c>
      <c r="D2460" s="13">
        <v>4528.4728320000004</v>
      </c>
      <c r="E2460" s="18">
        <v>10.5</v>
      </c>
      <c r="F2460" s="2">
        <f t="shared" si="76"/>
        <v>5003.9624793600005</v>
      </c>
      <c r="G2460" s="3">
        <v>0</v>
      </c>
      <c r="H2460" s="4">
        <v>0.7</v>
      </c>
      <c r="I2460" s="28">
        <f t="shared" si="77"/>
        <v>8506.7362149119999</v>
      </c>
    </row>
    <row r="2461" spans="1:9" ht="15.75" customHeight="1" x14ac:dyDescent="0.35">
      <c r="A2461" s="26" t="s">
        <v>5308</v>
      </c>
      <c r="B2461" s="25" t="s">
        <v>9086</v>
      </c>
      <c r="C2461" s="6" t="s">
        <v>9663</v>
      </c>
      <c r="D2461" s="13">
        <v>8109.2376883050001</v>
      </c>
      <c r="E2461" s="18">
        <v>10.5</v>
      </c>
      <c r="F2461" s="2">
        <f t="shared" si="76"/>
        <v>8960.7076455770257</v>
      </c>
      <c r="G2461" s="3">
        <v>0</v>
      </c>
      <c r="H2461" s="4">
        <v>0.7</v>
      </c>
      <c r="I2461" s="28">
        <f t="shared" si="77"/>
        <v>15233.202997480943</v>
      </c>
    </row>
    <row r="2462" spans="1:9" ht="15.75" customHeight="1" x14ac:dyDescent="0.35">
      <c r="A2462" s="26" t="s">
        <v>5310</v>
      </c>
      <c r="B2462" s="25" t="s">
        <v>13002</v>
      </c>
      <c r="C2462" s="6" t="s">
        <v>10428</v>
      </c>
      <c r="D2462" s="13">
        <v>6147.3297599999996</v>
      </c>
      <c r="E2462" s="18">
        <v>10.5</v>
      </c>
      <c r="F2462" s="2">
        <f t="shared" si="76"/>
        <v>6792.7993847999996</v>
      </c>
      <c r="G2462" s="3">
        <v>0</v>
      </c>
      <c r="H2462" s="4">
        <v>0.7</v>
      </c>
      <c r="I2462" s="28">
        <f t="shared" si="77"/>
        <v>11547.758954159999</v>
      </c>
    </row>
    <row r="2463" spans="1:9" ht="15.75" customHeight="1" x14ac:dyDescent="0.35">
      <c r="A2463" s="26" t="s">
        <v>11500</v>
      </c>
      <c r="B2463" s="25" t="s">
        <v>9616</v>
      </c>
      <c r="C2463" s="6" t="s">
        <v>13103</v>
      </c>
      <c r="D2463" s="13">
        <v>5688.5010000000002</v>
      </c>
      <c r="E2463" s="18">
        <v>10.5</v>
      </c>
      <c r="F2463" s="2">
        <f t="shared" si="76"/>
        <v>6285.7936050000008</v>
      </c>
      <c r="G2463" s="3">
        <v>0</v>
      </c>
      <c r="H2463" s="4">
        <v>0.7</v>
      </c>
      <c r="I2463" s="28">
        <f t="shared" si="77"/>
        <v>10685.849128500002</v>
      </c>
    </row>
    <row r="2464" spans="1:9" ht="15.75" customHeight="1" x14ac:dyDescent="0.35">
      <c r="A2464" s="26" t="s">
        <v>5311</v>
      </c>
      <c r="B2464" s="25" t="s">
        <v>9084</v>
      </c>
      <c r="C2464" s="6" t="s">
        <v>10429</v>
      </c>
      <c r="D2464" s="13">
        <v>6147.3297599999996</v>
      </c>
      <c r="E2464" s="18">
        <v>10.5</v>
      </c>
      <c r="F2464" s="2">
        <f t="shared" si="76"/>
        <v>6792.7993847999996</v>
      </c>
      <c r="G2464" s="3">
        <v>0</v>
      </c>
      <c r="H2464" s="4">
        <v>0.7</v>
      </c>
      <c r="I2464" s="28">
        <f t="shared" si="77"/>
        <v>11547.758954159999</v>
      </c>
    </row>
    <row r="2465" spans="1:9" ht="15.75" customHeight="1" x14ac:dyDescent="0.35">
      <c r="A2465" s="26" t="s">
        <v>10309</v>
      </c>
      <c r="B2465" s="25" t="s">
        <v>13004</v>
      </c>
      <c r="C2465" s="6" t="s">
        <v>13104</v>
      </c>
      <c r="D2465" s="13">
        <v>5688.5010000000002</v>
      </c>
      <c r="E2465" s="18">
        <v>10.5</v>
      </c>
      <c r="F2465" s="2">
        <f t="shared" si="76"/>
        <v>6285.7936050000008</v>
      </c>
      <c r="G2465" s="3">
        <v>0</v>
      </c>
      <c r="H2465" s="4">
        <v>0.7</v>
      </c>
      <c r="I2465" s="28">
        <f t="shared" si="77"/>
        <v>10685.849128500002</v>
      </c>
    </row>
    <row r="2466" spans="1:9" ht="15.75" customHeight="1" x14ac:dyDescent="0.35">
      <c r="A2466" s="26" t="s">
        <v>9437</v>
      </c>
      <c r="B2466" s="25" t="s">
        <v>9618</v>
      </c>
      <c r="C2466" s="6" t="s">
        <v>12293</v>
      </c>
      <c r="D2466" s="13">
        <v>5622.0825960000002</v>
      </c>
      <c r="E2466" s="18">
        <v>10.5</v>
      </c>
      <c r="F2466" s="2">
        <f t="shared" si="76"/>
        <v>6212.4012685799999</v>
      </c>
      <c r="G2466" s="3">
        <v>0</v>
      </c>
      <c r="H2466" s="4">
        <v>0.7</v>
      </c>
      <c r="I2466" s="28">
        <f t="shared" si="77"/>
        <v>10561.082156585999</v>
      </c>
    </row>
    <row r="2467" spans="1:9" ht="15.75" customHeight="1" x14ac:dyDescent="0.35">
      <c r="A2467" s="26" t="s">
        <v>5300</v>
      </c>
      <c r="B2467" s="25" t="s">
        <v>9085</v>
      </c>
      <c r="C2467" s="6" t="s">
        <v>11601</v>
      </c>
      <c r="D2467" s="13">
        <v>13492.448232601035</v>
      </c>
      <c r="E2467" s="18">
        <v>21</v>
      </c>
      <c r="F2467" s="2">
        <f t="shared" si="76"/>
        <v>16325.862361447253</v>
      </c>
      <c r="G2467" s="3">
        <v>0</v>
      </c>
      <c r="H2467" s="4">
        <v>0.7</v>
      </c>
      <c r="I2467" s="28">
        <f t="shared" si="77"/>
        <v>27753.966014460329</v>
      </c>
    </row>
    <row r="2468" spans="1:9" ht="15.75" customHeight="1" x14ac:dyDescent="0.35">
      <c r="A2468" s="26" t="s">
        <v>5303</v>
      </c>
      <c r="B2468" s="25" t="s">
        <v>9619</v>
      </c>
      <c r="C2468" s="6" t="s">
        <v>10430</v>
      </c>
      <c r="D2468" s="13">
        <v>5222.1881789999998</v>
      </c>
      <c r="E2468" s="18">
        <v>10.5</v>
      </c>
      <c r="F2468" s="2">
        <f t="shared" si="76"/>
        <v>5770.5179377949999</v>
      </c>
      <c r="G2468" s="3">
        <v>0</v>
      </c>
      <c r="H2468" s="4">
        <v>0.7</v>
      </c>
      <c r="I2468" s="28">
        <f t="shared" si="77"/>
        <v>9809.8804942514998</v>
      </c>
    </row>
    <row r="2469" spans="1:9" ht="15.75" customHeight="1" x14ac:dyDescent="0.35">
      <c r="A2469" s="26" t="s">
        <v>5304</v>
      </c>
      <c r="B2469" s="25" t="s">
        <v>1263</v>
      </c>
      <c r="C2469" s="6" t="s">
        <v>10431</v>
      </c>
      <c r="D2469" s="13">
        <v>5222.1881789999998</v>
      </c>
      <c r="E2469" s="18">
        <v>10.5</v>
      </c>
      <c r="F2469" s="2">
        <f t="shared" si="76"/>
        <v>5770.5179377949999</v>
      </c>
      <c r="G2469" s="3">
        <v>0</v>
      </c>
      <c r="H2469" s="4">
        <v>0.7</v>
      </c>
      <c r="I2469" s="28">
        <f t="shared" si="77"/>
        <v>9809.8804942514998</v>
      </c>
    </row>
    <row r="2470" spans="1:9" ht="15.75" customHeight="1" x14ac:dyDescent="0.35">
      <c r="A2470" s="26" t="s">
        <v>5377</v>
      </c>
      <c r="B2470" s="25" t="s">
        <v>3343</v>
      </c>
      <c r="C2470" s="6" t="s">
        <v>11281</v>
      </c>
      <c r="D2470" s="13">
        <v>13188.9229875</v>
      </c>
      <c r="E2470" s="18">
        <v>10.5</v>
      </c>
      <c r="F2470" s="2">
        <f t="shared" si="76"/>
        <v>14573.759901187501</v>
      </c>
      <c r="G2470" s="3">
        <v>0</v>
      </c>
      <c r="H2470" s="4">
        <v>0.7</v>
      </c>
      <c r="I2470" s="28">
        <f t="shared" si="77"/>
        <v>24775.391832018751</v>
      </c>
    </row>
    <row r="2471" spans="1:9" ht="15.75" customHeight="1" x14ac:dyDescent="0.35">
      <c r="A2471" s="26" t="s">
        <v>5379</v>
      </c>
      <c r="B2471" s="25" t="s">
        <v>1264</v>
      </c>
      <c r="C2471" s="6" t="s">
        <v>11282</v>
      </c>
      <c r="D2471" s="13">
        <v>10966.43535</v>
      </c>
      <c r="E2471" s="18">
        <v>10.5</v>
      </c>
      <c r="F2471" s="2">
        <f t="shared" si="76"/>
        <v>12117.911061749999</v>
      </c>
      <c r="G2471" s="3">
        <v>0</v>
      </c>
      <c r="H2471" s="4">
        <v>0.7</v>
      </c>
      <c r="I2471" s="28">
        <f t="shared" si="77"/>
        <v>20600.448804975</v>
      </c>
    </row>
    <row r="2472" spans="1:9" ht="15.75" customHeight="1" x14ac:dyDescent="0.35">
      <c r="A2472" s="26" t="s">
        <v>5595</v>
      </c>
      <c r="B2472" s="25" t="s">
        <v>13005</v>
      </c>
      <c r="C2472" s="6" t="s">
        <v>10067</v>
      </c>
      <c r="D2472" s="13">
        <v>24851.370086399998</v>
      </c>
      <c r="E2472" s="18">
        <v>21</v>
      </c>
      <c r="F2472" s="2">
        <f t="shared" si="76"/>
        <v>30070.157804543996</v>
      </c>
      <c r="G2472" s="3">
        <v>0</v>
      </c>
      <c r="H2472" s="4">
        <v>0.7</v>
      </c>
      <c r="I2472" s="28">
        <f t="shared" si="77"/>
        <v>51119.268267724794</v>
      </c>
    </row>
    <row r="2473" spans="1:9" ht="15.75" customHeight="1" x14ac:dyDescent="0.35">
      <c r="A2473" s="26" t="s">
        <v>5604</v>
      </c>
      <c r="B2473" s="25" t="s">
        <v>13006</v>
      </c>
      <c r="C2473" s="6" t="s">
        <v>10068</v>
      </c>
      <c r="D2473" s="13">
        <v>1941.5132879999999</v>
      </c>
      <c r="E2473" s="18">
        <v>21</v>
      </c>
      <c r="F2473" s="2">
        <f t="shared" si="76"/>
        <v>2349.2310784799997</v>
      </c>
      <c r="G2473" s="3">
        <v>0</v>
      </c>
      <c r="H2473" s="4">
        <v>0.7</v>
      </c>
      <c r="I2473" s="28">
        <f t="shared" si="77"/>
        <v>3993.6928334159993</v>
      </c>
    </row>
    <row r="2474" spans="1:9" ht="15.75" customHeight="1" x14ac:dyDescent="0.35">
      <c r="A2474" s="26" t="s">
        <v>5605</v>
      </c>
      <c r="B2474" s="25" t="s">
        <v>13007</v>
      </c>
      <c r="C2474" s="6" t="s">
        <v>10069</v>
      </c>
      <c r="D2474" s="13">
        <v>1976.8135296</v>
      </c>
      <c r="E2474" s="18">
        <v>21</v>
      </c>
      <c r="F2474" s="2">
        <f t="shared" si="76"/>
        <v>2391.9443708160002</v>
      </c>
      <c r="G2474" s="3">
        <v>0</v>
      </c>
      <c r="H2474" s="4">
        <v>0.7</v>
      </c>
      <c r="I2474" s="28">
        <f t="shared" si="77"/>
        <v>4066.3054303872</v>
      </c>
    </row>
    <row r="2475" spans="1:9" ht="15.75" customHeight="1" x14ac:dyDescent="0.35">
      <c r="A2475" s="26" t="s">
        <v>5607</v>
      </c>
      <c r="B2475" s="25" t="s">
        <v>13009</v>
      </c>
      <c r="C2475" s="6" t="s">
        <v>10070</v>
      </c>
      <c r="D2475" s="13">
        <v>1111.6286970327151</v>
      </c>
      <c r="E2475" s="18">
        <v>21</v>
      </c>
      <c r="F2475" s="2">
        <f t="shared" si="76"/>
        <v>1345.0707234095853</v>
      </c>
      <c r="G2475" s="3">
        <v>0</v>
      </c>
      <c r="H2475" s="4">
        <v>0.7</v>
      </c>
      <c r="I2475" s="28">
        <f t="shared" si="77"/>
        <v>2286.620229796295</v>
      </c>
    </row>
    <row r="2476" spans="1:9" ht="15.75" customHeight="1" x14ac:dyDescent="0.35">
      <c r="A2476" s="26" t="s">
        <v>5596</v>
      </c>
      <c r="B2476" s="25" t="s">
        <v>12108</v>
      </c>
      <c r="C2476" s="6" t="s">
        <v>11534</v>
      </c>
      <c r="D2476" s="13">
        <v>1308.6180533635295</v>
      </c>
      <c r="E2476" s="18">
        <v>21</v>
      </c>
      <c r="F2476" s="2">
        <f t="shared" si="76"/>
        <v>1583.4278445698706</v>
      </c>
      <c r="G2476" s="3">
        <v>0</v>
      </c>
      <c r="H2476" s="4">
        <v>0.7</v>
      </c>
      <c r="I2476" s="28">
        <f t="shared" si="77"/>
        <v>2691.8273357687799</v>
      </c>
    </row>
    <row r="2477" spans="1:9" ht="15.75" customHeight="1" x14ac:dyDescent="0.35">
      <c r="A2477" s="26" t="s">
        <v>5466</v>
      </c>
      <c r="B2477" s="25" t="s">
        <v>1108</v>
      </c>
      <c r="C2477" s="6" t="s">
        <v>11877</v>
      </c>
      <c r="D2477" s="13">
        <v>8317.8338024255499</v>
      </c>
      <c r="E2477" s="18">
        <v>10.5</v>
      </c>
      <c r="F2477" s="2">
        <f t="shared" si="76"/>
        <v>9191.2063516802318</v>
      </c>
      <c r="G2477" s="3">
        <v>0</v>
      </c>
      <c r="H2477" s="4">
        <v>0.7</v>
      </c>
      <c r="I2477" s="28">
        <f t="shared" si="77"/>
        <v>15625.050797856393</v>
      </c>
    </row>
    <row r="2478" spans="1:9" ht="15.75" customHeight="1" x14ac:dyDescent="0.35">
      <c r="A2478" s="26" t="s">
        <v>5612</v>
      </c>
      <c r="B2478" s="25" t="s">
        <v>1109</v>
      </c>
      <c r="C2478" s="6" t="s">
        <v>397</v>
      </c>
      <c r="D2478" s="13">
        <v>6576.4351346402427</v>
      </c>
      <c r="E2478" s="18">
        <v>21</v>
      </c>
      <c r="F2478" s="2">
        <f t="shared" si="76"/>
        <v>7957.4865129146938</v>
      </c>
      <c r="G2478" s="3">
        <v>0</v>
      </c>
      <c r="H2478" s="4">
        <v>0.7</v>
      </c>
      <c r="I2478" s="28">
        <f t="shared" si="77"/>
        <v>13527.72707195498</v>
      </c>
    </row>
    <row r="2479" spans="1:9" ht="15.75" customHeight="1" x14ac:dyDescent="0.35">
      <c r="A2479" s="26" t="s">
        <v>9404</v>
      </c>
      <c r="B2479" s="25" t="s">
        <v>11457</v>
      </c>
      <c r="C2479" s="6" t="s">
        <v>9405</v>
      </c>
      <c r="D2479" s="13">
        <v>3302.0780410800003</v>
      </c>
      <c r="E2479" s="18">
        <v>10.5</v>
      </c>
      <c r="F2479" s="2">
        <f t="shared" si="76"/>
        <v>3648.7962353934004</v>
      </c>
      <c r="G2479" s="3">
        <v>0</v>
      </c>
      <c r="H2479" s="4">
        <v>0.7</v>
      </c>
      <c r="I2479" s="28">
        <f t="shared" si="77"/>
        <v>6202.9536001687802</v>
      </c>
    </row>
    <row r="2480" spans="1:9" ht="15.75" customHeight="1" x14ac:dyDescent="0.35">
      <c r="A2480" s="26" t="s">
        <v>9406</v>
      </c>
      <c r="B2480" s="25" t="s">
        <v>10668</v>
      </c>
      <c r="C2480" s="6" t="s">
        <v>9407</v>
      </c>
      <c r="D2480" s="13">
        <v>3302.0780410800003</v>
      </c>
      <c r="E2480" s="18">
        <v>10.5</v>
      </c>
      <c r="F2480" s="2">
        <f t="shared" si="76"/>
        <v>3648.7962353934004</v>
      </c>
      <c r="G2480" s="3">
        <v>0</v>
      </c>
      <c r="H2480" s="4">
        <v>0.7</v>
      </c>
      <c r="I2480" s="28">
        <f t="shared" si="77"/>
        <v>6202.9536001687802</v>
      </c>
    </row>
    <row r="2481" spans="1:9" ht="15.75" customHeight="1" x14ac:dyDescent="0.35">
      <c r="A2481" s="26" t="s">
        <v>5475</v>
      </c>
      <c r="B2481" s="25" t="s">
        <v>8817</v>
      </c>
      <c r="C2481" s="6" t="s">
        <v>11989</v>
      </c>
      <c r="D2481" s="13">
        <v>5546.41256983125</v>
      </c>
      <c r="E2481" s="18">
        <v>10.5</v>
      </c>
      <c r="F2481" s="2">
        <f t="shared" si="76"/>
        <v>6128.7858896635316</v>
      </c>
      <c r="G2481" s="3">
        <v>0</v>
      </c>
      <c r="H2481" s="4">
        <v>0.7</v>
      </c>
      <c r="I2481" s="28">
        <f t="shared" si="77"/>
        <v>10418.936012428003</v>
      </c>
    </row>
    <row r="2482" spans="1:9" ht="15.75" customHeight="1" x14ac:dyDescent="0.35">
      <c r="A2482" s="26" t="s">
        <v>5474</v>
      </c>
      <c r="B2482" s="25" t="s">
        <v>8918</v>
      </c>
      <c r="C2482" s="6" t="s">
        <v>957</v>
      </c>
      <c r="D2482" s="13">
        <v>5546.41256983125</v>
      </c>
      <c r="E2482" s="18">
        <v>10.5</v>
      </c>
      <c r="F2482" s="2">
        <f t="shared" si="76"/>
        <v>6128.7858896635316</v>
      </c>
      <c r="G2482" s="3">
        <v>0</v>
      </c>
      <c r="H2482" s="4">
        <v>0.7</v>
      </c>
      <c r="I2482" s="28">
        <f t="shared" si="77"/>
        <v>10418.936012428003</v>
      </c>
    </row>
    <row r="2483" spans="1:9" ht="15.75" customHeight="1" x14ac:dyDescent="0.35">
      <c r="A2483" s="26" t="s">
        <v>5488</v>
      </c>
      <c r="B2483" s="25" t="s">
        <v>12109</v>
      </c>
      <c r="C2483" s="6" t="s">
        <v>10071</v>
      </c>
      <c r="D2483" s="13">
        <v>837.08293500000002</v>
      </c>
      <c r="E2483" s="18">
        <v>10.5</v>
      </c>
      <c r="F2483" s="2">
        <f t="shared" si="76"/>
        <v>924.97664317500005</v>
      </c>
      <c r="G2483" s="3">
        <v>0</v>
      </c>
      <c r="H2483" s="4">
        <v>0.7</v>
      </c>
      <c r="I2483" s="28">
        <f t="shared" si="77"/>
        <v>1572.4602933975</v>
      </c>
    </row>
    <row r="2484" spans="1:9" ht="15.75" customHeight="1" x14ac:dyDescent="0.35">
      <c r="A2484" s="26" t="s">
        <v>5490</v>
      </c>
      <c r="B2484" s="25" t="s">
        <v>373</v>
      </c>
      <c r="C2484" s="6" t="s">
        <v>10073</v>
      </c>
      <c r="D2484" s="13">
        <v>837.08293500000002</v>
      </c>
      <c r="E2484" s="18">
        <v>10.5</v>
      </c>
      <c r="F2484" s="2">
        <f t="shared" si="76"/>
        <v>924.97664317500005</v>
      </c>
      <c r="G2484" s="3">
        <v>0</v>
      </c>
      <c r="H2484" s="4">
        <v>0.7</v>
      </c>
      <c r="I2484" s="28">
        <f t="shared" si="77"/>
        <v>1572.4602933975</v>
      </c>
    </row>
    <row r="2485" spans="1:9" ht="15.75" customHeight="1" x14ac:dyDescent="0.35">
      <c r="A2485" s="26" t="s">
        <v>5554</v>
      </c>
      <c r="B2485" s="25" t="s">
        <v>374</v>
      </c>
      <c r="C2485" s="6" t="s">
        <v>13958</v>
      </c>
      <c r="D2485" s="13">
        <v>9562.7802928125002</v>
      </c>
      <c r="E2485" s="18">
        <v>10.5</v>
      </c>
      <c r="F2485" s="2">
        <f t="shared" si="76"/>
        <v>10566.872223557813</v>
      </c>
      <c r="G2485" s="3">
        <v>0</v>
      </c>
      <c r="H2485" s="4">
        <v>0.7</v>
      </c>
      <c r="I2485" s="28">
        <f t="shared" si="77"/>
        <v>17963.682780048282</v>
      </c>
    </row>
    <row r="2486" spans="1:9" ht="15.75" customHeight="1" x14ac:dyDescent="0.35">
      <c r="A2486" s="26" t="s">
        <v>5477</v>
      </c>
      <c r="B2486" s="25" t="s">
        <v>375</v>
      </c>
      <c r="C2486" s="6" t="s">
        <v>10074</v>
      </c>
      <c r="D2486" s="13">
        <v>1099.8880425</v>
      </c>
      <c r="E2486" s="18">
        <v>10.5</v>
      </c>
      <c r="F2486" s="2">
        <f t="shared" si="76"/>
        <v>1215.3762869625</v>
      </c>
      <c r="G2486" s="3">
        <v>0</v>
      </c>
      <c r="H2486" s="4">
        <v>0.7</v>
      </c>
      <c r="I2486" s="28">
        <f t="shared" si="77"/>
        <v>2066.1396878362498</v>
      </c>
    </row>
    <row r="2487" spans="1:9" ht="15.75" customHeight="1" x14ac:dyDescent="0.35">
      <c r="A2487" s="26" t="s">
        <v>5478</v>
      </c>
      <c r="B2487" s="25" t="s">
        <v>376</v>
      </c>
      <c r="C2487" s="6" t="s">
        <v>11990</v>
      </c>
      <c r="D2487" s="13">
        <v>1099.8880425</v>
      </c>
      <c r="E2487" s="18">
        <v>10.5</v>
      </c>
      <c r="F2487" s="2">
        <f t="shared" si="76"/>
        <v>1215.3762869625</v>
      </c>
      <c r="G2487" s="3">
        <v>0</v>
      </c>
      <c r="H2487" s="4">
        <v>0.7</v>
      </c>
      <c r="I2487" s="28">
        <f t="shared" si="77"/>
        <v>2066.1396878362498</v>
      </c>
    </row>
    <row r="2488" spans="1:9" ht="15.75" customHeight="1" x14ac:dyDescent="0.35">
      <c r="A2488" s="26" t="s">
        <v>5480</v>
      </c>
      <c r="B2488" s="25" t="s">
        <v>377</v>
      </c>
      <c r="C2488" s="6" t="s">
        <v>12849</v>
      </c>
      <c r="D2488" s="13">
        <v>1156.803375</v>
      </c>
      <c r="E2488" s="18">
        <v>10.5</v>
      </c>
      <c r="F2488" s="2">
        <f t="shared" si="76"/>
        <v>1278.267729375</v>
      </c>
      <c r="G2488" s="3">
        <v>0</v>
      </c>
      <c r="H2488" s="4">
        <v>0.7</v>
      </c>
      <c r="I2488" s="28">
        <f t="shared" si="77"/>
        <v>2173.0551399374999</v>
      </c>
    </row>
    <row r="2489" spans="1:9" ht="15.75" customHeight="1" x14ac:dyDescent="0.35">
      <c r="A2489" s="26" t="s">
        <v>5479</v>
      </c>
      <c r="B2489" s="25" t="s">
        <v>378</v>
      </c>
      <c r="C2489" s="6" t="s">
        <v>10075</v>
      </c>
      <c r="D2489" s="13">
        <v>4163.7846249999993</v>
      </c>
      <c r="E2489" s="18">
        <v>10.5</v>
      </c>
      <c r="F2489" s="2">
        <f t="shared" si="76"/>
        <v>4600.982010624999</v>
      </c>
      <c r="G2489" s="3">
        <v>0</v>
      </c>
      <c r="H2489" s="4">
        <v>0.7</v>
      </c>
      <c r="I2489" s="28">
        <f t="shared" si="77"/>
        <v>7821.6694180624982</v>
      </c>
    </row>
    <row r="2490" spans="1:9" ht="15.75" customHeight="1" x14ac:dyDescent="0.35">
      <c r="A2490" s="26" t="s">
        <v>5555</v>
      </c>
      <c r="B2490" s="25" t="s">
        <v>379</v>
      </c>
      <c r="C2490" s="6" t="s">
        <v>13959</v>
      </c>
      <c r="D2490" s="13">
        <v>5629.8694139999998</v>
      </c>
      <c r="E2490" s="18">
        <v>10.5</v>
      </c>
      <c r="F2490" s="2">
        <f t="shared" si="76"/>
        <v>6221.00570247</v>
      </c>
      <c r="G2490" s="3">
        <v>0</v>
      </c>
      <c r="H2490" s="4">
        <v>0.7</v>
      </c>
      <c r="I2490" s="28">
        <f t="shared" si="77"/>
        <v>10575.709694199</v>
      </c>
    </row>
    <row r="2491" spans="1:9" ht="15.75" customHeight="1" x14ac:dyDescent="0.35">
      <c r="A2491" s="26" t="s">
        <v>5483</v>
      </c>
      <c r="B2491" s="25" t="s">
        <v>380</v>
      </c>
      <c r="C2491" s="6" t="s">
        <v>10076</v>
      </c>
      <c r="D2491" s="13">
        <v>1284.8249700000001</v>
      </c>
      <c r="E2491" s="18">
        <v>10.5</v>
      </c>
      <c r="F2491" s="2">
        <f t="shared" si="76"/>
        <v>1419.7315918500001</v>
      </c>
      <c r="G2491" s="3">
        <v>0</v>
      </c>
      <c r="H2491" s="4">
        <v>0.7</v>
      </c>
      <c r="I2491" s="28">
        <f t="shared" si="77"/>
        <v>2413.5437061450002</v>
      </c>
    </row>
    <row r="2492" spans="1:9" ht="15.75" customHeight="1" x14ac:dyDescent="0.35">
      <c r="A2492" s="26" t="s">
        <v>5484</v>
      </c>
      <c r="B2492" s="25" t="s">
        <v>11444</v>
      </c>
      <c r="C2492" s="6" t="s">
        <v>11991</v>
      </c>
      <c r="D2492" s="13">
        <v>1284.8249700000001</v>
      </c>
      <c r="E2492" s="18">
        <v>10.5</v>
      </c>
      <c r="F2492" s="2">
        <f t="shared" si="76"/>
        <v>1419.7315918500001</v>
      </c>
      <c r="G2492" s="3">
        <v>0</v>
      </c>
      <c r="H2492" s="4">
        <v>0.7</v>
      </c>
      <c r="I2492" s="28">
        <f t="shared" si="77"/>
        <v>2413.5437061450002</v>
      </c>
    </row>
    <row r="2493" spans="1:9" ht="15.75" customHeight="1" x14ac:dyDescent="0.35">
      <c r="A2493" s="26" t="s">
        <v>5481</v>
      </c>
      <c r="B2493" s="25" t="s">
        <v>10422</v>
      </c>
      <c r="C2493" s="6" t="s">
        <v>12850</v>
      </c>
      <c r="D2493" s="13">
        <v>1315.9965</v>
      </c>
      <c r="E2493" s="18">
        <v>10.5</v>
      </c>
      <c r="F2493" s="2">
        <f t="shared" si="76"/>
        <v>1454.1761325</v>
      </c>
      <c r="G2493" s="3">
        <v>0</v>
      </c>
      <c r="H2493" s="4">
        <v>0.7</v>
      </c>
      <c r="I2493" s="28">
        <f t="shared" si="77"/>
        <v>2472.09942525</v>
      </c>
    </row>
    <row r="2494" spans="1:9" ht="15.75" customHeight="1" x14ac:dyDescent="0.35">
      <c r="A2494" s="26" t="s">
        <v>9076</v>
      </c>
      <c r="B2494" s="25" t="s">
        <v>13254</v>
      </c>
      <c r="C2494" s="6" t="s">
        <v>13858</v>
      </c>
      <c r="D2494" s="13">
        <v>1820.1687075</v>
      </c>
      <c r="E2494" s="18">
        <v>10.5</v>
      </c>
      <c r="F2494" s="2">
        <f t="shared" si="76"/>
        <v>2011.2864217874999</v>
      </c>
      <c r="G2494" s="3">
        <v>0</v>
      </c>
      <c r="H2494" s="4">
        <v>0.7</v>
      </c>
      <c r="I2494" s="28">
        <f t="shared" si="77"/>
        <v>3419.1869170387499</v>
      </c>
    </row>
    <row r="2495" spans="1:9" ht="15.75" customHeight="1" x14ac:dyDescent="0.35">
      <c r="A2495" s="26" t="s">
        <v>9077</v>
      </c>
      <c r="B2495" s="25" t="s">
        <v>381</v>
      </c>
      <c r="C2495" s="6" t="s">
        <v>13859</v>
      </c>
      <c r="D2495" s="13">
        <v>1820.1687075</v>
      </c>
      <c r="E2495" s="18">
        <v>10.5</v>
      </c>
      <c r="F2495" s="2">
        <f t="shared" si="76"/>
        <v>2011.2864217874999</v>
      </c>
      <c r="G2495" s="3">
        <v>0</v>
      </c>
      <c r="H2495" s="4">
        <v>0.7</v>
      </c>
      <c r="I2495" s="28">
        <f t="shared" si="77"/>
        <v>3419.1869170387499</v>
      </c>
    </row>
    <row r="2496" spans="1:9" ht="15.75" customHeight="1" x14ac:dyDescent="0.35">
      <c r="A2496" s="26" t="s">
        <v>9830</v>
      </c>
      <c r="B2496" s="25" t="s">
        <v>956</v>
      </c>
      <c r="C2496" s="6" t="s">
        <v>9885</v>
      </c>
      <c r="D2496" s="13">
        <v>798.92752680000001</v>
      </c>
      <c r="E2496" s="18">
        <v>10.5</v>
      </c>
      <c r="F2496" s="2">
        <f t="shared" si="76"/>
        <v>882.81491711399997</v>
      </c>
      <c r="G2496" s="3">
        <v>0</v>
      </c>
      <c r="H2496" s="4">
        <v>0.7</v>
      </c>
      <c r="I2496" s="28">
        <f t="shared" si="77"/>
        <v>1500.7853590937998</v>
      </c>
    </row>
    <row r="2497" spans="1:9" ht="15.75" customHeight="1" x14ac:dyDescent="0.35">
      <c r="A2497" s="26" t="s">
        <v>5486</v>
      </c>
      <c r="B2497" s="25" t="s">
        <v>12245</v>
      </c>
      <c r="C2497" s="6" t="s">
        <v>11992</v>
      </c>
      <c r="D2497" s="13">
        <v>759.21475499999997</v>
      </c>
      <c r="E2497" s="18">
        <v>10.5</v>
      </c>
      <c r="F2497" s="2">
        <f t="shared" si="76"/>
        <v>838.93230427499998</v>
      </c>
      <c r="G2497" s="3">
        <v>0</v>
      </c>
      <c r="H2497" s="4">
        <v>0.7</v>
      </c>
      <c r="I2497" s="28">
        <f t="shared" si="77"/>
        <v>1426.1849172674999</v>
      </c>
    </row>
    <row r="2498" spans="1:9" ht="15.75" customHeight="1" x14ac:dyDescent="0.35">
      <c r="A2498" s="26" t="s">
        <v>5485</v>
      </c>
      <c r="B2498" s="25" t="s">
        <v>9607</v>
      </c>
      <c r="C2498" s="6" t="s">
        <v>11993</v>
      </c>
      <c r="D2498" s="13">
        <v>2739.6945154800001</v>
      </c>
      <c r="E2498" s="18">
        <v>10.5</v>
      </c>
      <c r="F2498" s="2">
        <f t="shared" si="76"/>
        <v>3027.3624396054001</v>
      </c>
      <c r="G2498" s="3">
        <v>0</v>
      </c>
      <c r="H2498" s="4">
        <v>0.7</v>
      </c>
      <c r="I2498" s="28">
        <f t="shared" si="77"/>
        <v>5146.5161473291801</v>
      </c>
    </row>
    <row r="2499" spans="1:9" ht="15.75" customHeight="1" x14ac:dyDescent="0.35">
      <c r="A2499" s="26" t="s">
        <v>5487</v>
      </c>
      <c r="B2499" s="25" t="s">
        <v>9608</v>
      </c>
      <c r="C2499" s="6" t="s">
        <v>11984</v>
      </c>
      <c r="D2499" s="13">
        <v>759.21475499999997</v>
      </c>
      <c r="E2499" s="18">
        <v>10.5</v>
      </c>
      <c r="F2499" s="2">
        <f t="shared" si="76"/>
        <v>838.93230427499998</v>
      </c>
      <c r="G2499" s="3">
        <v>0</v>
      </c>
      <c r="H2499" s="4">
        <v>0.7</v>
      </c>
      <c r="I2499" s="28">
        <f t="shared" si="77"/>
        <v>1426.1849172674999</v>
      </c>
    </row>
    <row r="2500" spans="1:9" ht="15.75" customHeight="1" x14ac:dyDescent="0.35">
      <c r="A2500" s="26" t="s">
        <v>9078</v>
      </c>
      <c r="B2500" s="25" t="s">
        <v>9609</v>
      </c>
      <c r="C2500" s="6" t="s">
        <v>10079</v>
      </c>
      <c r="D2500" s="13">
        <v>934.41816000000006</v>
      </c>
      <c r="E2500" s="18">
        <v>10.5</v>
      </c>
      <c r="F2500" s="2">
        <f t="shared" si="76"/>
        <v>1032.5320668000002</v>
      </c>
      <c r="G2500" s="3">
        <v>0</v>
      </c>
      <c r="H2500" s="4">
        <v>0.7</v>
      </c>
      <c r="I2500" s="28">
        <f t="shared" si="77"/>
        <v>1755.3045135600003</v>
      </c>
    </row>
    <row r="2501" spans="1:9" ht="15.75" customHeight="1" x14ac:dyDescent="0.35">
      <c r="A2501" s="26" t="s">
        <v>5489</v>
      </c>
      <c r="B2501" s="25" t="s">
        <v>13010</v>
      </c>
      <c r="C2501" s="6" t="s">
        <v>10080</v>
      </c>
      <c r="D2501" s="13">
        <v>2736.201325</v>
      </c>
      <c r="E2501" s="18">
        <v>10.5</v>
      </c>
      <c r="F2501" s="2">
        <f t="shared" si="76"/>
        <v>3023.5024641250002</v>
      </c>
      <c r="G2501" s="3">
        <v>0</v>
      </c>
      <c r="H2501" s="4">
        <v>0.7</v>
      </c>
      <c r="I2501" s="28">
        <f t="shared" si="77"/>
        <v>5139.9541890125001</v>
      </c>
    </row>
    <row r="2502" spans="1:9" ht="15.75" customHeight="1" x14ac:dyDescent="0.35">
      <c r="A2502" s="26" t="s">
        <v>5491</v>
      </c>
      <c r="B2502" s="25" t="s">
        <v>9610</v>
      </c>
      <c r="C2502" s="6" t="s">
        <v>10081</v>
      </c>
      <c r="D2502" s="13">
        <v>2736.201325</v>
      </c>
      <c r="E2502" s="18">
        <v>10.5</v>
      </c>
      <c r="F2502" s="2">
        <f t="shared" ref="F2502:F2565" si="78">D2502*E2502/100+D2502</f>
        <v>3023.5024641250002</v>
      </c>
      <c r="G2502" s="3">
        <v>0</v>
      </c>
      <c r="H2502" s="4">
        <v>0.7</v>
      </c>
      <c r="I2502" s="28">
        <f t="shared" ref="I2502:I2565" si="79">IF(G2502=-1,0,F2502*((100-G2502)/100)*(1+H2502))</f>
        <v>5139.9541890125001</v>
      </c>
    </row>
    <row r="2503" spans="1:9" ht="15.75" customHeight="1" x14ac:dyDescent="0.35">
      <c r="A2503" s="26" t="s">
        <v>9408</v>
      </c>
      <c r="B2503" s="25" t="s">
        <v>10061</v>
      </c>
      <c r="C2503" s="6" t="s">
        <v>9409</v>
      </c>
      <c r="D2503" s="13">
        <v>3304.9124428319997</v>
      </c>
      <c r="E2503" s="18">
        <v>10.5</v>
      </c>
      <c r="F2503" s="2">
        <f t="shared" si="78"/>
        <v>3651.9282493293595</v>
      </c>
      <c r="G2503" s="3">
        <v>0</v>
      </c>
      <c r="H2503" s="4">
        <v>0.7</v>
      </c>
      <c r="I2503" s="28">
        <f t="shared" si="79"/>
        <v>6208.2780238599107</v>
      </c>
    </row>
    <row r="2504" spans="1:9" ht="15.75" customHeight="1" x14ac:dyDescent="0.35">
      <c r="A2504" s="26" t="s">
        <v>9410</v>
      </c>
      <c r="B2504" s="25" t="s">
        <v>10740</v>
      </c>
      <c r="C2504" s="6" t="s">
        <v>9411</v>
      </c>
      <c r="D2504" s="13">
        <v>3302.0780410800003</v>
      </c>
      <c r="E2504" s="18">
        <v>10.5</v>
      </c>
      <c r="F2504" s="2">
        <f t="shared" si="78"/>
        <v>3648.7962353934004</v>
      </c>
      <c r="G2504" s="3">
        <v>0</v>
      </c>
      <c r="H2504" s="4">
        <v>0.7</v>
      </c>
      <c r="I2504" s="28">
        <f t="shared" si="79"/>
        <v>6202.9536001687802</v>
      </c>
    </row>
    <row r="2505" spans="1:9" ht="15.75" customHeight="1" x14ac:dyDescent="0.35">
      <c r="A2505" s="26" t="s">
        <v>9692</v>
      </c>
      <c r="B2505" s="25" t="s">
        <v>10742</v>
      </c>
      <c r="C2505" s="6" t="s">
        <v>9693</v>
      </c>
      <c r="D2505" s="13">
        <v>44501.984799999998</v>
      </c>
      <c r="E2505" s="18">
        <v>21</v>
      </c>
      <c r="F2505" s="2">
        <f t="shared" si="78"/>
        <v>53847.401608</v>
      </c>
      <c r="G2505" s="3">
        <v>0</v>
      </c>
      <c r="H2505" s="4">
        <v>0.7</v>
      </c>
      <c r="I2505" s="28">
        <f t="shared" si="79"/>
        <v>91540.582733599993</v>
      </c>
    </row>
    <row r="2506" spans="1:9" ht="15.75" customHeight="1" x14ac:dyDescent="0.35">
      <c r="A2506" s="26" t="s">
        <v>9412</v>
      </c>
      <c r="B2506" s="25" t="s">
        <v>10744</v>
      </c>
      <c r="C2506" s="6" t="s">
        <v>9798</v>
      </c>
      <c r="D2506" s="13">
        <v>44501.984799999998</v>
      </c>
      <c r="E2506" s="18">
        <v>21</v>
      </c>
      <c r="F2506" s="2">
        <f t="shared" si="78"/>
        <v>53847.401608</v>
      </c>
      <c r="G2506" s="3">
        <v>0</v>
      </c>
      <c r="H2506" s="4">
        <v>0.7</v>
      </c>
      <c r="I2506" s="28">
        <f t="shared" si="79"/>
        <v>91540.582733599993</v>
      </c>
    </row>
    <row r="2507" spans="1:9" ht="15.75" customHeight="1" x14ac:dyDescent="0.35">
      <c r="A2507" s="26" t="s">
        <v>9413</v>
      </c>
      <c r="B2507" s="25" t="s">
        <v>13012</v>
      </c>
      <c r="C2507" s="6" t="s">
        <v>9799</v>
      </c>
      <c r="D2507" s="13">
        <v>112620.924</v>
      </c>
      <c r="E2507" s="18">
        <v>21</v>
      </c>
      <c r="F2507" s="2">
        <f t="shared" si="78"/>
        <v>136271.31803999998</v>
      </c>
      <c r="G2507" s="3">
        <v>0</v>
      </c>
      <c r="H2507" s="4">
        <v>0.7</v>
      </c>
      <c r="I2507" s="28">
        <f t="shared" si="79"/>
        <v>231661.24066799995</v>
      </c>
    </row>
    <row r="2508" spans="1:9" ht="15.75" customHeight="1" x14ac:dyDescent="0.35">
      <c r="A2508" s="26" t="s">
        <v>9069</v>
      </c>
      <c r="B2508" s="25" t="s">
        <v>13014</v>
      </c>
      <c r="C2508" s="6" t="s">
        <v>9070</v>
      </c>
      <c r="D2508" s="13">
        <v>9234.20308037012</v>
      </c>
      <c r="E2508" s="18">
        <v>21</v>
      </c>
      <c r="F2508" s="2">
        <f t="shared" si="78"/>
        <v>11173.385727247845</v>
      </c>
      <c r="G2508" s="3">
        <v>0</v>
      </c>
      <c r="H2508" s="4">
        <v>0.7</v>
      </c>
      <c r="I2508" s="28">
        <f t="shared" si="79"/>
        <v>18994.755736321338</v>
      </c>
    </row>
    <row r="2509" spans="1:9" ht="15.75" customHeight="1" x14ac:dyDescent="0.35">
      <c r="A2509" s="26" t="s">
        <v>9071</v>
      </c>
      <c r="B2509" s="25" t="s">
        <v>13016</v>
      </c>
      <c r="C2509" s="6" t="s">
        <v>9072</v>
      </c>
      <c r="D2509" s="13">
        <v>5048.0415123124703</v>
      </c>
      <c r="E2509" s="18">
        <v>21</v>
      </c>
      <c r="F2509" s="2">
        <f t="shared" si="78"/>
        <v>6108.1302298980891</v>
      </c>
      <c r="G2509" s="3">
        <v>0</v>
      </c>
      <c r="H2509" s="4">
        <v>0.7</v>
      </c>
      <c r="I2509" s="28">
        <f t="shared" si="79"/>
        <v>10383.821390826752</v>
      </c>
    </row>
    <row r="2510" spans="1:9" ht="15.75" customHeight="1" x14ac:dyDescent="0.35">
      <c r="A2510" s="26" t="s">
        <v>4299</v>
      </c>
      <c r="B2510" s="25" t="s">
        <v>13018</v>
      </c>
      <c r="C2510" s="6" t="s">
        <v>10671</v>
      </c>
      <c r="D2510" s="13">
        <v>33091.472699999998</v>
      </c>
      <c r="E2510" s="18">
        <v>21</v>
      </c>
      <c r="F2510" s="2">
        <f t="shared" si="78"/>
        <v>40040.681966999997</v>
      </c>
      <c r="G2510" s="3">
        <v>0</v>
      </c>
      <c r="H2510" s="4">
        <v>0.7</v>
      </c>
      <c r="I2510" s="28">
        <f t="shared" si="79"/>
        <v>68069.159343899999</v>
      </c>
    </row>
    <row r="2511" spans="1:9" ht="15.75" customHeight="1" x14ac:dyDescent="0.35">
      <c r="A2511" s="26" t="s">
        <v>4292</v>
      </c>
      <c r="B2511" s="25" t="s">
        <v>8851</v>
      </c>
      <c r="C2511" s="6" t="s">
        <v>10672</v>
      </c>
      <c r="D2511" s="13">
        <v>71720.049024000007</v>
      </c>
      <c r="E2511" s="18">
        <v>21</v>
      </c>
      <c r="F2511" s="2">
        <f t="shared" si="78"/>
        <v>86781.259319040008</v>
      </c>
      <c r="G2511" s="3">
        <v>0</v>
      </c>
      <c r="H2511" s="4">
        <v>0.7</v>
      </c>
      <c r="I2511" s="28">
        <f t="shared" si="79"/>
        <v>147528.14084236801</v>
      </c>
    </row>
    <row r="2512" spans="1:9" ht="15.75" customHeight="1" x14ac:dyDescent="0.35">
      <c r="A2512" s="26" t="s">
        <v>10310</v>
      </c>
      <c r="B2512" s="25" t="s">
        <v>10423</v>
      </c>
      <c r="C2512" s="6" t="s">
        <v>11310</v>
      </c>
      <c r="D2512" s="13">
        <v>3810.0221250000004</v>
      </c>
      <c r="E2512" s="18">
        <v>10.5</v>
      </c>
      <c r="F2512" s="2">
        <f t="shared" si="78"/>
        <v>4210.0744481250003</v>
      </c>
      <c r="G2512" s="3">
        <v>0</v>
      </c>
      <c r="H2512" s="4">
        <v>0.7</v>
      </c>
      <c r="I2512" s="28">
        <f t="shared" si="79"/>
        <v>7157.1265618125008</v>
      </c>
    </row>
    <row r="2513" spans="1:9" ht="15.75" customHeight="1" x14ac:dyDescent="0.35">
      <c r="A2513" s="26" t="s">
        <v>5882</v>
      </c>
      <c r="B2513" s="25" t="s">
        <v>12247</v>
      </c>
      <c r="C2513" s="6" t="s">
        <v>13723</v>
      </c>
      <c r="D2513" s="13">
        <v>2039.65112</v>
      </c>
      <c r="E2513" s="18">
        <v>21</v>
      </c>
      <c r="F2513" s="2">
        <f t="shared" si="78"/>
        <v>2467.9778551999998</v>
      </c>
      <c r="G2513" s="3">
        <v>0</v>
      </c>
      <c r="H2513" s="4">
        <v>0.7</v>
      </c>
      <c r="I2513" s="28">
        <f t="shared" si="79"/>
        <v>4195.5623538399996</v>
      </c>
    </row>
    <row r="2514" spans="1:9" ht="15.75" customHeight="1" x14ac:dyDescent="0.35">
      <c r="A2514" s="26" t="s">
        <v>12650</v>
      </c>
      <c r="B2514" s="25" t="s">
        <v>1069</v>
      </c>
      <c r="C2514" s="6" t="s">
        <v>13724</v>
      </c>
      <c r="D2514" s="13">
        <v>10638.7400925</v>
      </c>
      <c r="E2514" s="18">
        <v>10.5</v>
      </c>
      <c r="F2514" s="2">
        <f t="shared" si="78"/>
        <v>11755.807802212501</v>
      </c>
      <c r="G2514" s="3">
        <v>0</v>
      </c>
      <c r="H2514" s="4">
        <v>0.7</v>
      </c>
      <c r="I2514" s="28">
        <f t="shared" si="79"/>
        <v>19984.873263761252</v>
      </c>
    </row>
    <row r="2515" spans="1:9" ht="15.75" customHeight="1" x14ac:dyDescent="0.35">
      <c r="A2515" s="26" t="s">
        <v>12652</v>
      </c>
      <c r="B2515" s="25" t="s">
        <v>10424</v>
      </c>
      <c r="C2515" s="6" t="s">
        <v>13725</v>
      </c>
      <c r="D2515" s="13">
        <v>6891.3339300000007</v>
      </c>
      <c r="E2515" s="18">
        <v>10.5</v>
      </c>
      <c r="F2515" s="2">
        <f t="shared" si="78"/>
        <v>7614.9239926500004</v>
      </c>
      <c r="G2515" s="3">
        <v>0</v>
      </c>
      <c r="H2515" s="4">
        <v>0.7</v>
      </c>
      <c r="I2515" s="28">
        <f t="shared" si="79"/>
        <v>12945.370787505</v>
      </c>
    </row>
    <row r="2516" spans="1:9" ht="15.75" customHeight="1" x14ac:dyDescent="0.35">
      <c r="A2516" s="26" t="s">
        <v>10857</v>
      </c>
      <c r="B2516" s="25" t="s">
        <v>382</v>
      </c>
      <c r="C2516" s="6" t="s">
        <v>11314</v>
      </c>
      <c r="D2516" s="13">
        <v>10638.7400925</v>
      </c>
      <c r="E2516" s="18">
        <v>10.5</v>
      </c>
      <c r="F2516" s="2">
        <f t="shared" si="78"/>
        <v>11755.807802212501</v>
      </c>
      <c r="G2516" s="3">
        <v>0</v>
      </c>
      <c r="H2516" s="4">
        <v>0.7</v>
      </c>
      <c r="I2516" s="28">
        <f t="shared" si="79"/>
        <v>19984.873263761252</v>
      </c>
    </row>
    <row r="2517" spans="1:9" ht="15.75" customHeight="1" x14ac:dyDescent="0.35">
      <c r="A2517" s="26" t="s">
        <v>9990</v>
      </c>
      <c r="B2517" s="25" t="s">
        <v>10062</v>
      </c>
      <c r="C2517" s="6" t="s">
        <v>13726</v>
      </c>
      <c r="D2517" s="13">
        <v>6866.5301250000002</v>
      </c>
      <c r="E2517" s="18">
        <v>10.5</v>
      </c>
      <c r="F2517" s="2">
        <f t="shared" si="78"/>
        <v>7587.5157881249997</v>
      </c>
      <c r="G2517" s="3">
        <v>0</v>
      </c>
      <c r="H2517" s="4">
        <v>0.7</v>
      </c>
      <c r="I2517" s="28">
        <f t="shared" si="79"/>
        <v>12898.776839812499</v>
      </c>
    </row>
    <row r="2518" spans="1:9" ht="15.75" customHeight="1" x14ac:dyDescent="0.35">
      <c r="A2518" s="26" t="s">
        <v>10311</v>
      </c>
      <c r="B2518" s="25" t="s">
        <v>383</v>
      </c>
      <c r="C2518" s="6" t="s">
        <v>11319</v>
      </c>
      <c r="D2518" s="13">
        <v>2292.3809999999999</v>
      </c>
      <c r="E2518" s="18">
        <v>10.5</v>
      </c>
      <c r="F2518" s="2">
        <f t="shared" si="78"/>
        <v>2533.081005</v>
      </c>
      <c r="G2518" s="3">
        <v>0</v>
      </c>
      <c r="H2518" s="4">
        <v>0.7</v>
      </c>
      <c r="I2518" s="28">
        <f t="shared" si="79"/>
        <v>4306.2377084999998</v>
      </c>
    </row>
    <row r="2519" spans="1:9" ht="15.75" customHeight="1" x14ac:dyDescent="0.35">
      <c r="A2519" s="26" t="s">
        <v>5883</v>
      </c>
      <c r="B2519" s="25" t="s">
        <v>10063</v>
      </c>
      <c r="C2519" s="6" t="s">
        <v>13727</v>
      </c>
      <c r="D2519" s="13">
        <v>1732.551704</v>
      </c>
      <c r="E2519" s="18">
        <v>21</v>
      </c>
      <c r="F2519" s="2">
        <f t="shared" si="78"/>
        <v>2096.3875618399998</v>
      </c>
      <c r="G2519" s="3">
        <v>0</v>
      </c>
      <c r="H2519" s="4">
        <v>0.7</v>
      </c>
      <c r="I2519" s="28">
        <f t="shared" si="79"/>
        <v>3563.8588551279995</v>
      </c>
    </row>
    <row r="2520" spans="1:9" ht="15.75" customHeight="1" x14ac:dyDescent="0.35">
      <c r="A2520" s="26" t="s">
        <v>9418</v>
      </c>
      <c r="B2520" s="25" t="s">
        <v>384</v>
      </c>
      <c r="C2520" s="6" t="s">
        <v>11322</v>
      </c>
      <c r="D2520" s="13">
        <v>7394.3623728000002</v>
      </c>
      <c r="E2520" s="18">
        <v>10.5</v>
      </c>
      <c r="F2520" s="2">
        <f t="shared" si="78"/>
        <v>8170.7704219440002</v>
      </c>
      <c r="G2520" s="3">
        <v>0</v>
      </c>
      <c r="H2520" s="4">
        <v>0.7</v>
      </c>
      <c r="I2520" s="28">
        <f t="shared" si="79"/>
        <v>13890.309717304801</v>
      </c>
    </row>
    <row r="2521" spans="1:9" ht="15.75" customHeight="1" x14ac:dyDescent="0.35">
      <c r="A2521" s="26" t="s">
        <v>5467</v>
      </c>
      <c r="B2521" s="25" t="s">
        <v>385</v>
      </c>
      <c r="C2521" s="6" t="s">
        <v>12024</v>
      </c>
      <c r="D2521" s="13">
        <v>3565.9260000000004</v>
      </c>
      <c r="E2521" s="18">
        <v>10.5</v>
      </c>
      <c r="F2521" s="2">
        <f t="shared" si="78"/>
        <v>3940.3482300000005</v>
      </c>
      <c r="G2521" s="3">
        <v>0</v>
      </c>
      <c r="H2521" s="4">
        <v>0.7</v>
      </c>
      <c r="I2521" s="28">
        <f t="shared" si="79"/>
        <v>6698.5919910000011</v>
      </c>
    </row>
    <row r="2522" spans="1:9" ht="15.75" customHeight="1" x14ac:dyDescent="0.35">
      <c r="A2522" s="26" t="s">
        <v>5468</v>
      </c>
      <c r="B2522" s="25" t="s">
        <v>386</v>
      </c>
      <c r="C2522" s="6" t="s">
        <v>12025</v>
      </c>
      <c r="D2522" s="13">
        <v>3565.9260000000004</v>
      </c>
      <c r="E2522" s="18">
        <v>10.5</v>
      </c>
      <c r="F2522" s="2">
        <f t="shared" si="78"/>
        <v>3940.3482300000005</v>
      </c>
      <c r="G2522" s="3">
        <v>0</v>
      </c>
      <c r="H2522" s="4">
        <v>0.7</v>
      </c>
      <c r="I2522" s="28">
        <f t="shared" si="79"/>
        <v>6698.5919910000011</v>
      </c>
    </row>
    <row r="2523" spans="1:9" ht="15.75" customHeight="1" x14ac:dyDescent="0.35">
      <c r="A2523" s="26" t="s">
        <v>5454</v>
      </c>
      <c r="B2523" s="25" t="s">
        <v>387</v>
      </c>
      <c r="C2523" s="6" t="s">
        <v>11535</v>
      </c>
      <c r="D2523" s="13">
        <v>5703.8441849999999</v>
      </c>
      <c r="E2523" s="18">
        <v>10.5</v>
      </c>
      <c r="F2523" s="2">
        <f t="shared" si="78"/>
        <v>6302.7478244249996</v>
      </c>
      <c r="G2523" s="3">
        <v>0</v>
      </c>
      <c r="H2523" s="4">
        <v>0.7</v>
      </c>
      <c r="I2523" s="28">
        <f t="shared" si="79"/>
        <v>10714.6713015225</v>
      </c>
    </row>
    <row r="2524" spans="1:9" ht="15.75" customHeight="1" x14ac:dyDescent="0.35">
      <c r="A2524" s="26" t="s">
        <v>5453</v>
      </c>
      <c r="B2524" s="25" t="s">
        <v>11533</v>
      </c>
      <c r="C2524" s="6" t="s">
        <v>13088</v>
      </c>
      <c r="D2524" s="13">
        <v>5703.8441849999999</v>
      </c>
      <c r="E2524" s="18">
        <v>10.5</v>
      </c>
      <c r="F2524" s="2">
        <f t="shared" si="78"/>
        <v>6302.7478244249996</v>
      </c>
      <c r="G2524" s="3">
        <v>0</v>
      </c>
      <c r="H2524" s="4">
        <v>0.7</v>
      </c>
      <c r="I2524" s="28">
        <f t="shared" si="79"/>
        <v>10714.6713015225</v>
      </c>
    </row>
    <row r="2525" spans="1:9" ht="15.75" customHeight="1" x14ac:dyDescent="0.35">
      <c r="A2525" s="26" t="s">
        <v>5470</v>
      </c>
      <c r="B2525" s="25" t="s">
        <v>388</v>
      </c>
      <c r="C2525" s="6" t="s">
        <v>13105</v>
      </c>
      <c r="D2525" s="13">
        <v>6297.5890574999848</v>
      </c>
      <c r="E2525" s="18">
        <v>10.5</v>
      </c>
      <c r="F2525" s="2">
        <f t="shared" si="78"/>
        <v>6958.8359085374832</v>
      </c>
      <c r="G2525" s="3">
        <v>0</v>
      </c>
      <c r="H2525" s="4">
        <v>0.7</v>
      </c>
      <c r="I2525" s="28">
        <f t="shared" si="79"/>
        <v>11830.021044513722</v>
      </c>
    </row>
    <row r="2526" spans="1:9" ht="15.75" customHeight="1" x14ac:dyDescent="0.35">
      <c r="A2526" s="26" t="s">
        <v>5469</v>
      </c>
      <c r="B2526" s="25" t="s">
        <v>389</v>
      </c>
      <c r="C2526" s="6" t="s">
        <v>13089</v>
      </c>
      <c r="D2526" s="13">
        <v>6297.5890574999848</v>
      </c>
      <c r="E2526" s="18">
        <v>10.5</v>
      </c>
      <c r="F2526" s="2">
        <f t="shared" si="78"/>
        <v>6958.8359085374832</v>
      </c>
      <c r="G2526" s="3">
        <v>0</v>
      </c>
      <c r="H2526" s="4">
        <v>0.7</v>
      </c>
      <c r="I2526" s="28">
        <f t="shared" si="79"/>
        <v>11830.021044513722</v>
      </c>
    </row>
    <row r="2527" spans="1:9" ht="15.75" customHeight="1" x14ac:dyDescent="0.35">
      <c r="A2527" s="26" t="s">
        <v>5458</v>
      </c>
      <c r="B2527" s="25" t="s">
        <v>10064</v>
      </c>
      <c r="C2527" s="6" t="s">
        <v>11536</v>
      </c>
      <c r="D2527" s="13">
        <v>2910.3232275</v>
      </c>
      <c r="E2527" s="18">
        <v>10.5</v>
      </c>
      <c r="F2527" s="2">
        <f t="shared" si="78"/>
        <v>3215.9071663875002</v>
      </c>
      <c r="G2527" s="3">
        <v>0</v>
      </c>
      <c r="H2527" s="4">
        <v>0.7</v>
      </c>
      <c r="I2527" s="28">
        <f t="shared" si="79"/>
        <v>5467.0421828587505</v>
      </c>
    </row>
    <row r="2528" spans="1:9" ht="15.75" customHeight="1" x14ac:dyDescent="0.35">
      <c r="A2528" s="26" t="s">
        <v>5608</v>
      </c>
      <c r="B2528" s="25" t="s">
        <v>9143</v>
      </c>
      <c r="C2528" s="6" t="s">
        <v>11537</v>
      </c>
      <c r="D2528" s="13">
        <v>2910.3232275</v>
      </c>
      <c r="E2528" s="18">
        <v>10.5</v>
      </c>
      <c r="F2528" s="2">
        <f t="shared" si="78"/>
        <v>3215.9071663875002</v>
      </c>
      <c r="G2528" s="3">
        <v>0</v>
      </c>
      <c r="H2528" s="4">
        <v>0.7</v>
      </c>
      <c r="I2528" s="28">
        <f t="shared" si="79"/>
        <v>5467.0421828587505</v>
      </c>
    </row>
    <row r="2529" spans="1:9" ht="15.75" customHeight="1" x14ac:dyDescent="0.35">
      <c r="A2529" s="26" t="s">
        <v>5452</v>
      </c>
      <c r="B2529" s="25" t="s">
        <v>9144</v>
      </c>
      <c r="C2529" s="6" t="s">
        <v>11538</v>
      </c>
      <c r="D2529" s="13">
        <v>3552.7357125000003</v>
      </c>
      <c r="E2529" s="18">
        <v>10.5</v>
      </c>
      <c r="F2529" s="2">
        <f t="shared" si="78"/>
        <v>3925.7729623125006</v>
      </c>
      <c r="G2529" s="3">
        <v>0</v>
      </c>
      <c r="H2529" s="4">
        <v>0.7</v>
      </c>
      <c r="I2529" s="28">
        <f t="shared" si="79"/>
        <v>6673.8140359312511</v>
      </c>
    </row>
    <row r="2530" spans="1:9" ht="15.75" customHeight="1" x14ac:dyDescent="0.35">
      <c r="A2530" s="26" t="s">
        <v>5461</v>
      </c>
      <c r="B2530" s="25" t="s">
        <v>390</v>
      </c>
      <c r="C2530" s="6" t="s">
        <v>13090</v>
      </c>
      <c r="D2530" s="13">
        <v>3552.7357125000003</v>
      </c>
      <c r="E2530" s="18">
        <v>10.5</v>
      </c>
      <c r="F2530" s="2">
        <f t="shared" si="78"/>
        <v>3925.7729623125006</v>
      </c>
      <c r="G2530" s="3">
        <v>0</v>
      </c>
      <c r="H2530" s="4">
        <v>0.7</v>
      </c>
      <c r="I2530" s="28">
        <f t="shared" si="79"/>
        <v>6673.8140359312511</v>
      </c>
    </row>
    <row r="2531" spans="1:9" ht="15.75" customHeight="1" x14ac:dyDescent="0.35">
      <c r="A2531" s="26" t="s">
        <v>5459</v>
      </c>
      <c r="B2531" s="25" t="s">
        <v>391</v>
      </c>
      <c r="C2531" s="6" t="s">
        <v>10991</v>
      </c>
      <c r="D2531" s="13">
        <v>5119.8328350000002</v>
      </c>
      <c r="E2531" s="18">
        <v>10.5</v>
      </c>
      <c r="F2531" s="2">
        <f t="shared" si="78"/>
        <v>5657.4152826750005</v>
      </c>
      <c r="G2531" s="3">
        <v>0</v>
      </c>
      <c r="H2531" s="4">
        <v>0.7</v>
      </c>
      <c r="I2531" s="28">
        <f t="shared" si="79"/>
        <v>9617.6059805475015</v>
      </c>
    </row>
    <row r="2532" spans="1:9" ht="15.75" customHeight="1" x14ac:dyDescent="0.35">
      <c r="A2532" s="26" t="s">
        <v>5465</v>
      </c>
      <c r="B2532" s="25" t="s">
        <v>10065</v>
      </c>
      <c r="C2532" s="6" t="s">
        <v>11539</v>
      </c>
      <c r="D2532" s="13">
        <v>3606.2700862500001</v>
      </c>
      <c r="E2532" s="18">
        <v>10.5</v>
      </c>
      <c r="F2532" s="2">
        <f t="shared" si="78"/>
        <v>3984.9284453062501</v>
      </c>
      <c r="G2532" s="3">
        <v>0</v>
      </c>
      <c r="H2532" s="4">
        <v>0.7</v>
      </c>
      <c r="I2532" s="28">
        <f t="shared" si="79"/>
        <v>6774.3783570206251</v>
      </c>
    </row>
    <row r="2533" spans="1:9" ht="15.75" customHeight="1" x14ac:dyDescent="0.35">
      <c r="A2533" s="26" t="s">
        <v>5562</v>
      </c>
      <c r="B2533" s="25" t="s">
        <v>392</v>
      </c>
      <c r="C2533" s="6" t="s">
        <v>5888</v>
      </c>
      <c r="D2533" s="13">
        <v>5420.8271519999998</v>
      </c>
      <c r="E2533" s="18">
        <v>10.5</v>
      </c>
      <c r="F2533" s="2">
        <f t="shared" si="78"/>
        <v>5990.0140029599997</v>
      </c>
      <c r="G2533" s="3">
        <v>0</v>
      </c>
      <c r="H2533" s="4">
        <v>0.7</v>
      </c>
      <c r="I2533" s="28">
        <f t="shared" si="79"/>
        <v>10183.023805031999</v>
      </c>
    </row>
    <row r="2534" spans="1:9" ht="15.75" customHeight="1" x14ac:dyDescent="0.35">
      <c r="A2534" s="26" t="s">
        <v>5565</v>
      </c>
      <c r="B2534" s="25" t="s">
        <v>393</v>
      </c>
      <c r="C2534" s="6" t="s">
        <v>11540</v>
      </c>
      <c r="D2534" s="13">
        <v>7589.5519439999998</v>
      </c>
      <c r="E2534" s="18">
        <v>10.5</v>
      </c>
      <c r="F2534" s="2">
        <f t="shared" si="78"/>
        <v>8386.4548981200005</v>
      </c>
      <c r="G2534" s="3">
        <v>0</v>
      </c>
      <c r="H2534" s="4">
        <v>0.7</v>
      </c>
      <c r="I2534" s="28">
        <f t="shared" si="79"/>
        <v>14256.973326804</v>
      </c>
    </row>
    <row r="2535" spans="1:9" ht="15.75" customHeight="1" x14ac:dyDescent="0.35">
      <c r="A2535" s="26" t="s">
        <v>5563</v>
      </c>
      <c r="B2535" s="25" t="s">
        <v>394</v>
      </c>
      <c r="C2535" s="6" t="s">
        <v>10432</v>
      </c>
      <c r="D2535" s="13">
        <v>6346.2566699999998</v>
      </c>
      <c r="E2535" s="18">
        <v>10.5</v>
      </c>
      <c r="F2535" s="2">
        <f t="shared" si="78"/>
        <v>7012.61362035</v>
      </c>
      <c r="G2535" s="3">
        <v>0</v>
      </c>
      <c r="H2535" s="4">
        <v>0.7</v>
      </c>
      <c r="I2535" s="28">
        <f t="shared" si="79"/>
        <v>11921.443154594999</v>
      </c>
    </row>
    <row r="2536" spans="1:9" ht="15.75" customHeight="1" x14ac:dyDescent="0.35">
      <c r="A2536" s="26" t="s">
        <v>5564</v>
      </c>
      <c r="B2536" s="25" t="s">
        <v>395</v>
      </c>
      <c r="C2536" s="6" t="s">
        <v>10433</v>
      </c>
      <c r="D2536" s="13">
        <v>6346.2566699999998</v>
      </c>
      <c r="E2536" s="18">
        <v>10.5</v>
      </c>
      <c r="F2536" s="2">
        <f t="shared" si="78"/>
        <v>7012.61362035</v>
      </c>
      <c r="G2536" s="3">
        <v>0</v>
      </c>
      <c r="H2536" s="4">
        <v>0.7</v>
      </c>
      <c r="I2536" s="28">
        <f t="shared" si="79"/>
        <v>11921.443154594999</v>
      </c>
    </row>
    <row r="2537" spans="1:9" ht="15.75" customHeight="1" x14ac:dyDescent="0.35">
      <c r="A2537" s="26" t="s">
        <v>9414</v>
      </c>
      <c r="B2537" s="25" t="s">
        <v>10066</v>
      </c>
      <c r="C2537" s="6" t="s">
        <v>10434</v>
      </c>
      <c r="D2537" s="13">
        <v>9573.1140491999995</v>
      </c>
      <c r="E2537" s="18">
        <v>10.5</v>
      </c>
      <c r="F2537" s="2">
        <f t="shared" si="78"/>
        <v>10578.291024365999</v>
      </c>
      <c r="G2537" s="3">
        <v>0</v>
      </c>
      <c r="H2537" s="4">
        <v>0.7</v>
      </c>
      <c r="I2537" s="28">
        <f t="shared" si="79"/>
        <v>17983.094741422199</v>
      </c>
    </row>
    <row r="2538" spans="1:9" ht="15.75" customHeight="1" x14ac:dyDescent="0.35">
      <c r="A2538" s="26" t="s">
        <v>9415</v>
      </c>
      <c r="B2538" s="25" t="s">
        <v>396</v>
      </c>
      <c r="C2538" s="6" t="s">
        <v>10435</v>
      </c>
      <c r="D2538" s="13">
        <v>9573.1140491999995</v>
      </c>
      <c r="E2538" s="18">
        <v>10.5</v>
      </c>
      <c r="F2538" s="2">
        <f t="shared" si="78"/>
        <v>10578.291024365999</v>
      </c>
      <c r="G2538" s="3">
        <v>0</v>
      </c>
      <c r="H2538" s="4">
        <v>0.7</v>
      </c>
      <c r="I2538" s="28">
        <f t="shared" si="79"/>
        <v>17983.094741422199</v>
      </c>
    </row>
    <row r="2539" spans="1:9" ht="15.75" customHeight="1" x14ac:dyDescent="0.35">
      <c r="A2539" s="26" t="s">
        <v>5567</v>
      </c>
      <c r="B2539" s="25" t="s">
        <v>10305</v>
      </c>
      <c r="C2539" s="6" t="s">
        <v>9416</v>
      </c>
      <c r="D2539" s="13">
        <v>1977.851772</v>
      </c>
      <c r="E2539" s="18">
        <v>10.5</v>
      </c>
      <c r="F2539" s="2">
        <f t="shared" si="78"/>
        <v>2185.52620806</v>
      </c>
      <c r="G2539" s="3">
        <v>0</v>
      </c>
      <c r="H2539" s="4">
        <v>0.7</v>
      </c>
      <c r="I2539" s="28">
        <f t="shared" si="79"/>
        <v>3715.3945537019999</v>
      </c>
    </row>
    <row r="2540" spans="1:9" ht="15.75" customHeight="1" x14ac:dyDescent="0.35">
      <c r="A2540" s="26" t="s">
        <v>5568</v>
      </c>
      <c r="B2540" s="25" t="s">
        <v>11502</v>
      </c>
      <c r="C2540" s="6" t="s">
        <v>9522</v>
      </c>
      <c r="D2540" s="13">
        <v>1977.851772</v>
      </c>
      <c r="E2540" s="18">
        <v>10.5</v>
      </c>
      <c r="F2540" s="2">
        <f t="shared" si="78"/>
        <v>2185.52620806</v>
      </c>
      <c r="G2540" s="3">
        <v>0</v>
      </c>
      <c r="H2540" s="4">
        <v>0.7</v>
      </c>
      <c r="I2540" s="28">
        <f t="shared" si="79"/>
        <v>3715.3945537019999</v>
      </c>
    </row>
    <row r="2541" spans="1:9" ht="15.75" customHeight="1" x14ac:dyDescent="0.35">
      <c r="A2541" s="26" t="s">
        <v>5569</v>
      </c>
      <c r="B2541" s="25" t="s">
        <v>12515</v>
      </c>
      <c r="C2541" s="6" t="s">
        <v>9523</v>
      </c>
      <c r="D2541" s="13">
        <v>1977.851772</v>
      </c>
      <c r="E2541" s="18">
        <v>10.5</v>
      </c>
      <c r="F2541" s="2">
        <f t="shared" si="78"/>
        <v>2185.52620806</v>
      </c>
      <c r="G2541" s="3">
        <v>0</v>
      </c>
      <c r="H2541" s="4">
        <v>0.7</v>
      </c>
      <c r="I2541" s="28">
        <f t="shared" si="79"/>
        <v>3715.3945537019999</v>
      </c>
    </row>
    <row r="2542" spans="1:9" ht="15.75" customHeight="1" x14ac:dyDescent="0.35">
      <c r="A2542" s="26" t="s">
        <v>5570</v>
      </c>
      <c r="B2542" s="25" t="s">
        <v>10307</v>
      </c>
      <c r="C2542" s="6" t="s">
        <v>9524</v>
      </c>
      <c r="D2542" s="13">
        <v>1977.851772</v>
      </c>
      <c r="E2542" s="18">
        <v>10.5</v>
      </c>
      <c r="F2542" s="2">
        <f t="shared" si="78"/>
        <v>2185.52620806</v>
      </c>
      <c r="G2542" s="3">
        <v>0</v>
      </c>
      <c r="H2542" s="4">
        <v>0.7</v>
      </c>
      <c r="I2542" s="28">
        <f t="shared" si="79"/>
        <v>3715.3945537019999</v>
      </c>
    </row>
    <row r="2543" spans="1:9" ht="15.75" customHeight="1" x14ac:dyDescent="0.35">
      <c r="A2543" s="26" t="s">
        <v>9417</v>
      </c>
      <c r="B2543" s="25" t="s">
        <v>10425</v>
      </c>
      <c r="C2543" s="6" t="s">
        <v>13269</v>
      </c>
      <c r="D2543" s="13">
        <v>817.61589000000004</v>
      </c>
      <c r="E2543" s="18">
        <v>10.5</v>
      </c>
      <c r="F2543" s="2">
        <f t="shared" si="78"/>
        <v>903.46555845</v>
      </c>
      <c r="G2543" s="3">
        <v>0</v>
      </c>
      <c r="H2543" s="4">
        <v>0.7</v>
      </c>
      <c r="I2543" s="28">
        <f t="shared" si="79"/>
        <v>1535.891449365</v>
      </c>
    </row>
    <row r="2544" spans="1:9" ht="15.75" customHeight="1" x14ac:dyDescent="0.35">
      <c r="A2544" s="26" t="s">
        <v>5571</v>
      </c>
      <c r="B2544" s="25" t="s">
        <v>11598</v>
      </c>
      <c r="C2544" s="6" t="s">
        <v>10436</v>
      </c>
      <c r="D2544" s="13">
        <v>817.61589000000004</v>
      </c>
      <c r="E2544" s="18">
        <v>10.5</v>
      </c>
      <c r="F2544" s="2">
        <f t="shared" si="78"/>
        <v>903.46555845</v>
      </c>
      <c r="G2544" s="3">
        <v>0</v>
      </c>
      <c r="H2544" s="4">
        <v>0.7</v>
      </c>
      <c r="I2544" s="28">
        <f t="shared" si="79"/>
        <v>1535.891449365</v>
      </c>
    </row>
    <row r="2545" spans="1:9" ht="15.75" customHeight="1" x14ac:dyDescent="0.35">
      <c r="A2545" s="26" t="s">
        <v>10858</v>
      </c>
      <c r="B2545" s="25" t="s">
        <v>10426</v>
      </c>
      <c r="C2545" s="6" t="s">
        <v>13106</v>
      </c>
      <c r="D2545" s="13">
        <v>817.61589000000004</v>
      </c>
      <c r="E2545" s="18">
        <v>10.5</v>
      </c>
      <c r="F2545" s="2">
        <f t="shared" si="78"/>
        <v>903.46555845</v>
      </c>
      <c r="G2545" s="3">
        <v>0</v>
      </c>
      <c r="H2545" s="4">
        <v>0.7</v>
      </c>
      <c r="I2545" s="28">
        <f t="shared" si="79"/>
        <v>1535.891449365</v>
      </c>
    </row>
    <row r="2546" spans="1:9" ht="15.75" customHeight="1" x14ac:dyDescent="0.35">
      <c r="A2546" s="26" t="s">
        <v>5573</v>
      </c>
      <c r="B2546" s="25" t="s">
        <v>11600</v>
      </c>
      <c r="C2546" s="6" t="s">
        <v>10437</v>
      </c>
      <c r="D2546" s="13">
        <v>817.61589000000004</v>
      </c>
      <c r="E2546" s="18">
        <v>10.5</v>
      </c>
      <c r="F2546" s="2">
        <f t="shared" si="78"/>
        <v>903.46555845</v>
      </c>
      <c r="G2546" s="3">
        <v>0</v>
      </c>
      <c r="H2546" s="4">
        <v>0.7</v>
      </c>
      <c r="I2546" s="28">
        <f t="shared" si="79"/>
        <v>1535.891449365</v>
      </c>
    </row>
    <row r="2547" spans="1:9" ht="15.75" customHeight="1" x14ac:dyDescent="0.35">
      <c r="A2547" s="26" t="s">
        <v>5439</v>
      </c>
      <c r="B2547" s="25" t="s">
        <v>10427</v>
      </c>
      <c r="C2547" s="6" t="s">
        <v>11602</v>
      </c>
      <c r="D2547" s="13">
        <v>21481.884157500001</v>
      </c>
      <c r="E2547" s="18">
        <v>10.5</v>
      </c>
      <c r="F2547" s="2">
        <f t="shared" si="78"/>
        <v>23737.481994037502</v>
      </c>
      <c r="G2547" s="3">
        <v>0</v>
      </c>
      <c r="H2547" s="4">
        <v>0.7</v>
      </c>
      <c r="I2547" s="28">
        <f t="shared" si="79"/>
        <v>40353.719389863749</v>
      </c>
    </row>
    <row r="2548" spans="1:9" ht="15.75" customHeight="1" x14ac:dyDescent="0.35">
      <c r="A2548" s="26" t="s">
        <v>5436</v>
      </c>
      <c r="B2548" s="25" t="s">
        <v>9663</v>
      </c>
      <c r="C2548" s="6" t="s">
        <v>11603</v>
      </c>
      <c r="D2548" s="13">
        <v>55174.2776208</v>
      </c>
      <c r="E2548" s="18">
        <v>10.5</v>
      </c>
      <c r="F2548" s="2">
        <f t="shared" si="78"/>
        <v>60967.576770984</v>
      </c>
      <c r="G2548" s="3">
        <v>0</v>
      </c>
      <c r="H2548" s="4">
        <v>0.7</v>
      </c>
      <c r="I2548" s="28">
        <f t="shared" si="79"/>
        <v>103644.8805106728</v>
      </c>
    </row>
    <row r="2549" spans="1:9" ht="15.75" customHeight="1" x14ac:dyDescent="0.35">
      <c r="A2549" s="26" t="s">
        <v>11503</v>
      </c>
      <c r="B2549" s="25" t="s">
        <v>10428</v>
      </c>
      <c r="C2549" s="6" t="s">
        <v>11504</v>
      </c>
      <c r="D2549" s="13">
        <v>2366.6711250000003</v>
      </c>
      <c r="E2549" s="18">
        <v>10.5</v>
      </c>
      <c r="F2549" s="2">
        <f t="shared" si="78"/>
        <v>2615.1715931250005</v>
      </c>
      <c r="G2549" s="3">
        <v>0</v>
      </c>
      <c r="H2549" s="4">
        <v>0.7</v>
      </c>
      <c r="I2549" s="28">
        <f t="shared" si="79"/>
        <v>4445.7917083125012</v>
      </c>
    </row>
    <row r="2550" spans="1:9" ht="15.75" customHeight="1" x14ac:dyDescent="0.35">
      <c r="A2550" s="26" t="s">
        <v>5407</v>
      </c>
      <c r="B2550" s="25" t="s">
        <v>13103</v>
      </c>
      <c r="C2550" s="6" t="s">
        <v>9998</v>
      </c>
      <c r="D2550" s="13">
        <v>1849.369275</v>
      </c>
      <c r="E2550" s="18">
        <v>10.5</v>
      </c>
      <c r="F2550" s="2">
        <f t="shared" si="78"/>
        <v>2043.5530488750001</v>
      </c>
      <c r="G2550" s="3">
        <v>0</v>
      </c>
      <c r="H2550" s="4">
        <v>0.7</v>
      </c>
      <c r="I2550" s="28">
        <f t="shared" si="79"/>
        <v>3474.0401830874998</v>
      </c>
    </row>
    <row r="2551" spans="1:9" ht="15.75" customHeight="1" x14ac:dyDescent="0.35">
      <c r="A2551" s="26" t="s">
        <v>5408</v>
      </c>
      <c r="B2551" s="25" t="s">
        <v>10429</v>
      </c>
      <c r="C2551" s="6" t="s">
        <v>12571</v>
      </c>
      <c r="D2551" s="13">
        <v>1849.369275</v>
      </c>
      <c r="E2551" s="18">
        <v>10.5</v>
      </c>
      <c r="F2551" s="2">
        <f t="shared" si="78"/>
        <v>2043.5530488750001</v>
      </c>
      <c r="G2551" s="3">
        <v>0</v>
      </c>
      <c r="H2551" s="4">
        <v>0.7</v>
      </c>
      <c r="I2551" s="28">
        <f t="shared" si="79"/>
        <v>3474.0401830874998</v>
      </c>
    </row>
    <row r="2552" spans="1:9" ht="15.75" customHeight="1" x14ac:dyDescent="0.35">
      <c r="A2552" s="26" t="s">
        <v>11505</v>
      </c>
      <c r="B2552" s="25" t="s">
        <v>13104</v>
      </c>
      <c r="C2552" s="6" t="s">
        <v>11506</v>
      </c>
      <c r="D2552" s="13">
        <v>4001.0538750000001</v>
      </c>
      <c r="E2552" s="18">
        <v>10.5</v>
      </c>
      <c r="F2552" s="2">
        <f t="shared" si="78"/>
        <v>4421.1645318749997</v>
      </c>
      <c r="G2552" s="3">
        <v>0</v>
      </c>
      <c r="H2552" s="4">
        <v>0.7</v>
      </c>
      <c r="I2552" s="28">
        <f t="shared" si="79"/>
        <v>7515.979704187499</v>
      </c>
    </row>
    <row r="2553" spans="1:9" ht="15.75" customHeight="1" x14ac:dyDescent="0.35">
      <c r="A2553" s="26" t="s">
        <v>5412</v>
      </c>
      <c r="B2553" s="25" t="s">
        <v>12613</v>
      </c>
      <c r="C2553" s="6" t="s">
        <v>9999</v>
      </c>
      <c r="D2553" s="13">
        <v>2861.6556150000001</v>
      </c>
      <c r="E2553" s="18">
        <v>10.5</v>
      </c>
      <c r="F2553" s="2">
        <f t="shared" si="78"/>
        <v>3162.1294545750002</v>
      </c>
      <c r="G2553" s="3">
        <v>0</v>
      </c>
      <c r="H2553" s="4">
        <v>0.7</v>
      </c>
      <c r="I2553" s="28">
        <f t="shared" si="79"/>
        <v>5375.6200727775004</v>
      </c>
    </row>
    <row r="2554" spans="1:9" ht="15.75" customHeight="1" x14ac:dyDescent="0.35">
      <c r="A2554" s="26" t="s">
        <v>10198</v>
      </c>
      <c r="B2554" s="25" t="s">
        <v>12293</v>
      </c>
      <c r="C2554" s="6" t="s">
        <v>12989</v>
      </c>
      <c r="D2554" s="13">
        <v>2861.6556150000001</v>
      </c>
      <c r="E2554" s="18">
        <v>10.5</v>
      </c>
      <c r="F2554" s="2">
        <f t="shared" si="78"/>
        <v>3162.1294545750002</v>
      </c>
      <c r="G2554" s="3">
        <v>0</v>
      </c>
      <c r="H2554" s="4">
        <v>0.7</v>
      </c>
      <c r="I2554" s="28">
        <f t="shared" si="79"/>
        <v>5375.6200727775004</v>
      </c>
    </row>
    <row r="2555" spans="1:9" ht="15.75" customHeight="1" x14ac:dyDescent="0.35">
      <c r="A2555" s="26" t="s">
        <v>5437</v>
      </c>
      <c r="B2555" s="25" t="s">
        <v>11601</v>
      </c>
      <c r="C2555" s="6" t="s">
        <v>11604</v>
      </c>
      <c r="D2555" s="13">
        <v>1511.965499616</v>
      </c>
      <c r="E2555" s="18">
        <v>10.5</v>
      </c>
      <c r="F2555" s="2">
        <f t="shared" si="78"/>
        <v>1670.7218770756799</v>
      </c>
      <c r="G2555" s="3">
        <v>0</v>
      </c>
      <c r="H2555" s="4">
        <v>0.7</v>
      </c>
      <c r="I2555" s="28">
        <f t="shared" si="79"/>
        <v>2840.2271910286559</v>
      </c>
    </row>
    <row r="2556" spans="1:9" ht="15.75" customHeight="1" x14ac:dyDescent="0.35">
      <c r="A2556" s="26" t="s">
        <v>10312</v>
      </c>
      <c r="B2556" s="25" t="s">
        <v>10430</v>
      </c>
      <c r="C2556" s="6" t="s">
        <v>10313</v>
      </c>
      <c r="D2556" s="13">
        <v>5805.2426249999999</v>
      </c>
      <c r="E2556" s="18">
        <v>10.5</v>
      </c>
      <c r="F2556" s="2">
        <f t="shared" si="78"/>
        <v>6414.7931006250001</v>
      </c>
      <c r="G2556" s="3">
        <v>0</v>
      </c>
      <c r="H2556" s="4">
        <v>0.7</v>
      </c>
      <c r="I2556" s="28">
        <f t="shared" si="79"/>
        <v>10905.1482710625</v>
      </c>
    </row>
    <row r="2557" spans="1:9" ht="15.75" customHeight="1" x14ac:dyDescent="0.35">
      <c r="A2557" s="26" t="s">
        <v>5418</v>
      </c>
      <c r="B2557" s="25" t="s">
        <v>10431</v>
      </c>
      <c r="C2557" s="6" t="s">
        <v>10000</v>
      </c>
      <c r="D2557" s="13">
        <v>4243.8158100000001</v>
      </c>
      <c r="E2557" s="18">
        <v>10.5</v>
      </c>
      <c r="F2557" s="2">
        <f t="shared" si="78"/>
        <v>4689.4164700500005</v>
      </c>
      <c r="G2557" s="3">
        <v>0</v>
      </c>
      <c r="H2557" s="4">
        <v>0.7</v>
      </c>
      <c r="I2557" s="28">
        <f t="shared" si="79"/>
        <v>7972.0079990850008</v>
      </c>
    </row>
    <row r="2558" spans="1:9" ht="15.75" customHeight="1" x14ac:dyDescent="0.35">
      <c r="A2558" s="26" t="s">
        <v>11605</v>
      </c>
      <c r="B2558" s="25" t="s">
        <v>11281</v>
      </c>
      <c r="C2558" s="6" t="s">
        <v>13116</v>
      </c>
      <c r="D2558" s="13">
        <v>4243.8158100000001</v>
      </c>
      <c r="E2558" s="18">
        <v>10.5</v>
      </c>
      <c r="F2558" s="2">
        <f t="shared" si="78"/>
        <v>4689.4164700500005</v>
      </c>
      <c r="G2558" s="3">
        <v>0</v>
      </c>
      <c r="H2558" s="4">
        <v>0.7</v>
      </c>
      <c r="I2558" s="28">
        <f t="shared" si="79"/>
        <v>7972.0079990850008</v>
      </c>
    </row>
    <row r="2559" spans="1:9" ht="15.75" customHeight="1" x14ac:dyDescent="0.35">
      <c r="A2559" s="26" t="s">
        <v>9829</v>
      </c>
      <c r="B2559" s="25" t="s">
        <v>11282</v>
      </c>
      <c r="C2559" s="6" t="s">
        <v>11606</v>
      </c>
      <c r="D2559" s="13">
        <v>35648.052803999999</v>
      </c>
      <c r="E2559" s="18">
        <v>10.5</v>
      </c>
      <c r="F2559" s="2">
        <f t="shared" si="78"/>
        <v>39391.098348419997</v>
      </c>
      <c r="G2559" s="3">
        <v>0</v>
      </c>
      <c r="H2559" s="4">
        <v>0.7</v>
      </c>
      <c r="I2559" s="28">
        <f t="shared" si="79"/>
        <v>66964.867192313992</v>
      </c>
    </row>
    <row r="2560" spans="1:9" ht="15.75" customHeight="1" x14ac:dyDescent="0.35">
      <c r="A2560" s="26" t="s">
        <v>5432</v>
      </c>
      <c r="B2560" s="25" t="s">
        <v>10067</v>
      </c>
      <c r="C2560" s="6" t="s">
        <v>11607</v>
      </c>
      <c r="D2560" s="13">
        <v>6477.0752124000001</v>
      </c>
      <c r="E2560" s="18">
        <v>10.5</v>
      </c>
      <c r="F2560" s="2">
        <f t="shared" si="78"/>
        <v>7157.168109702</v>
      </c>
      <c r="G2560" s="3">
        <v>0</v>
      </c>
      <c r="H2560" s="4">
        <v>0.7</v>
      </c>
      <c r="I2560" s="28">
        <f t="shared" si="79"/>
        <v>12167.185786493399</v>
      </c>
    </row>
    <row r="2561" spans="1:9" ht="15.75" customHeight="1" x14ac:dyDescent="0.35">
      <c r="A2561" s="26" t="s">
        <v>10314</v>
      </c>
      <c r="B2561" s="25" t="s">
        <v>10068</v>
      </c>
      <c r="C2561" s="6" t="s">
        <v>13714</v>
      </c>
      <c r="D2561" s="13">
        <v>7789.8502499999995</v>
      </c>
      <c r="E2561" s="18">
        <v>10.5</v>
      </c>
      <c r="F2561" s="2">
        <f t="shared" si="78"/>
        <v>8607.7845262499995</v>
      </c>
      <c r="G2561" s="3">
        <v>0</v>
      </c>
      <c r="H2561" s="4">
        <v>0.7</v>
      </c>
      <c r="I2561" s="28">
        <f t="shared" si="79"/>
        <v>14633.233694624998</v>
      </c>
    </row>
    <row r="2562" spans="1:9" ht="15.75" customHeight="1" x14ac:dyDescent="0.35">
      <c r="A2562" s="26" t="s">
        <v>5415</v>
      </c>
      <c r="B2562" s="25" t="s">
        <v>10069</v>
      </c>
      <c r="C2562" s="6" t="s">
        <v>11608</v>
      </c>
      <c r="D2562" s="13">
        <v>5596.7754375000004</v>
      </c>
      <c r="E2562" s="18">
        <v>10.5</v>
      </c>
      <c r="F2562" s="2">
        <f t="shared" si="78"/>
        <v>6184.4368584375006</v>
      </c>
      <c r="G2562" s="3">
        <v>0</v>
      </c>
      <c r="H2562" s="4">
        <v>0.7</v>
      </c>
      <c r="I2562" s="28">
        <f t="shared" si="79"/>
        <v>10513.542659343751</v>
      </c>
    </row>
    <row r="2563" spans="1:9" ht="15.75" customHeight="1" x14ac:dyDescent="0.35">
      <c r="A2563" s="26" t="s">
        <v>10745</v>
      </c>
      <c r="B2563" s="25" t="s">
        <v>10070</v>
      </c>
      <c r="C2563" s="6" t="s">
        <v>10746</v>
      </c>
      <c r="D2563" s="13">
        <v>5285.3027174999997</v>
      </c>
      <c r="E2563" s="18">
        <v>10.5</v>
      </c>
      <c r="F2563" s="2">
        <f t="shared" si="78"/>
        <v>5840.2595028374999</v>
      </c>
      <c r="G2563" s="3">
        <v>0</v>
      </c>
      <c r="H2563" s="4">
        <v>0.7</v>
      </c>
      <c r="I2563" s="28">
        <f t="shared" si="79"/>
        <v>9928.4411548237495</v>
      </c>
    </row>
    <row r="2564" spans="1:9" ht="15.75" customHeight="1" x14ac:dyDescent="0.35">
      <c r="A2564" s="26" t="s">
        <v>5426</v>
      </c>
      <c r="B2564" s="25" t="s">
        <v>11534</v>
      </c>
      <c r="C2564" s="6" t="s">
        <v>10199</v>
      </c>
      <c r="D2564" s="13">
        <v>5285.3027174999997</v>
      </c>
      <c r="E2564" s="18">
        <v>10.5</v>
      </c>
      <c r="F2564" s="2">
        <f t="shared" si="78"/>
        <v>5840.2595028374999</v>
      </c>
      <c r="G2564" s="3">
        <v>0</v>
      </c>
      <c r="H2564" s="4">
        <v>0.7</v>
      </c>
      <c r="I2564" s="28">
        <f t="shared" si="79"/>
        <v>9928.4411548237495</v>
      </c>
    </row>
    <row r="2565" spans="1:9" ht="15.75" customHeight="1" x14ac:dyDescent="0.35">
      <c r="A2565" s="26" t="s">
        <v>5438</v>
      </c>
      <c r="B2565" s="25" t="s">
        <v>11877</v>
      </c>
      <c r="C2565" s="6" t="s">
        <v>11609</v>
      </c>
      <c r="D2565" s="13">
        <v>9375.328872</v>
      </c>
      <c r="E2565" s="18">
        <v>10.5</v>
      </c>
      <c r="F2565" s="2">
        <f t="shared" si="78"/>
        <v>10359.738403560001</v>
      </c>
      <c r="G2565" s="3">
        <v>0</v>
      </c>
      <c r="H2565" s="4">
        <v>0.7</v>
      </c>
      <c r="I2565" s="28">
        <f t="shared" si="79"/>
        <v>17611.555286052</v>
      </c>
    </row>
    <row r="2566" spans="1:9" ht="15.75" customHeight="1" x14ac:dyDescent="0.35">
      <c r="A2566" s="26" t="s">
        <v>13762</v>
      </c>
      <c r="B2566" s="25" t="s">
        <v>397</v>
      </c>
      <c r="C2566" s="6" t="s">
        <v>13763</v>
      </c>
      <c r="D2566" s="13">
        <v>10347.553125</v>
      </c>
      <c r="E2566" s="18">
        <v>10.5</v>
      </c>
      <c r="F2566" s="2">
        <f t="shared" ref="F2566:F2629" si="80">D2566*E2566/100+D2566</f>
        <v>11434.046203125001</v>
      </c>
      <c r="G2566" s="3">
        <v>0</v>
      </c>
      <c r="H2566" s="4">
        <v>0.7</v>
      </c>
      <c r="I2566" s="28">
        <f t="shared" ref="I2566:I2629" si="81">IF(G2566=-1,0,F2566*((100-G2566)/100)*(1+H2566))</f>
        <v>19437.878545312502</v>
      </c>
    </row>
    <row r="2567" spans="1:9" ht="15.75" customHeight="1" x14ac:dyDescent="0.35">
      <c r="A2567" s="26" t="s">
        <v>13697</v>
      </c>
      <c r="B2567" s="25" t="s">
        <v>9405</v>
      </c>
      <c r="C2567" s="6" t="s">
        <v>13698</v>
      </c>
      <c r="D2567" s="13">
        <v>9869.9737499999992</v>
      </c>
      <c r="E2567" s="18">
        <v>10.5</v>
      </c>
      <c r="F2567" s="2">
        <f t="shared" si="80"/>
        <v>10906.32099375</v>
      </c>
      <c r="G2567" s="3">
        <v>0</v>
      </c>
      <c r="H2567" s="4">
        <v>0.7</v>
      </c>
      <c r="I2567" s="28">
        <f t="shared" si="81"/>
        <v>18540.745689374999</v>
      </c>
    </row>
    <row r="2568" spans="1:9" ht="15.75" customHeight="1" x14ac:dyDescent="0.35">
      <c r="A2568" s="26" t="s">
        <v>9538</v>
      </c>
      <c r="B2568" s="25" t="s">
        <v>9407</v>
      </c>
      <c r="C2568" s="6" t="s">
        <v>10001</v>
      </c>
      <c r="D2568" s="13">
        <v>9548.5855725000001</v>
      </c>
      <c r="E2568" s="18">
        <v>10.5</v>
      </c>
      <c r="F2568" s="2">
        <f t="shared" si="80"/>
        <v>10551.1870576125</v>
      </c>
      <c r="G2568" s="3">
        <v>0</v>
      </c>
      <c r="H2568" s="4">
        <v>0.7</v>
      </c>
      <c r="I2568" s="28">
        <f t="shared" si="81"/>
        <v>17937.01799794125</v>
      </c>
    </row>
    <row r="2569" spans="1:9" ht="15.75" customHeight="1" x14ac:dyDescent="0.35">
      <c r="A2569" s="26" t="s">
        <v>5440</v>
      </c>
      <c r="B2569" s="25" t="s">
        <v>11989</v>
      </c>
      <c r="C2569" s="6" t="s">
        <v>11610</v>
      </c>
      <c r="D2569" s="13">
        <v>18594.921384000001</v>
      </c>
      <c r="E2569" s="18">
        <v>10.5</v>
      </c>
      <c r="F2569" s="2">
        <f t="shared" si="80"/>
        <v>20547.388129320003</v>
      </c>
      <c r="G2569" s="3">
        <v>0</v>
      </c>
      <c r="H2569" s="4">
        <v>0.7</v>
      </c>
      <c r="I2569" s="28">
        <f t="shared" si="81"/>
        <v>34930.559819844006</v>
      </c>
    </row>
    <row r="2570" spans="1:9" ht="15.75" customHeight="1" x14ac:dyDescent="0.35">
      <c r="A2570" s="26" t="s">
        <v>5441</v>
      </c>
      <c r="B2570" s="25" t="s">
        <v>957</v>
      </c>
      <c r="C2570" s="6" t="s">
        <v>11611</v>
      </c>
      <c r="D2570" s="13">
        <v>72520.660606680001</v>
      </c>
      <c r="E2570" s="18">
        <v>10.5</v>
      </c>
      <c r="F2570" s="2">
        <f t="shared" si="80"/>
        <v>80135.329970381397</v>
      </c>
      <c r="G2570" s="3">
        <v>0</v>
      </c>
      <c r="H2570" s="4">
        <v>0.7</v>
      </c>
      <c r="I2570" s="28">
        <f t="shared" si="81"/>
        <v>136230.06094964838</v>
      </c>
    </row>
    <row r="2571" spans="1:9" ht="15.75" customHeight="1" x14ac:dyDescent="0.35">
      <c r="A2571" s="26" t="s">
        <v>5429</v>
      </c>
      <c r="B2571" s="25" t="s">
        <v>10071</v>
      </c>
      <c r="C2571" s="6" t="s">
        <v>11541</v>
      </c>
      <c r="D2571" s="13">
        <v>41571.225696000001</v>
      </c>
      <c r="E2571" s="18">
        <v>10.5</v>
      </c>
      <c r="F2571" s="2">
        <f t="shared" si="80"/>
        <v>45936.204394079999</v>
      </c>
      <c r="G2571" s="3">
        <v>0</v>
      </c>
      <c r="H2571" s="4">
        <v>0.7</v>
      </c>
      <c r="I2571" s="28">
        <f t="shared" si="81"/>
        <v>78091.547469935991</v>
      </c>
    </row>
    <row r="2572" spans="1:9" ht="15.75" customHeight="1" x14ac:dyDescent="0.35">
      <c r="A2572" s="26" t="s">
        <v>9539</v>
      </c>
      <c r="B2572" s="25" t="s">
        <v>10072</v>
      </c>
      <c r="C2572" s="6" t="s">
        <v>10316</v>
      </c>
      <c r="D2572" s="13">
        <v>16858.46097</v>
      </c>
      <c r="E2572" s="18">
        <v>10.5</v>
      </c>
      <c r="F2572" s="2">
        <f t="shared" si="80"/>
        <v>18628.599371849999</v>
      </c>
      <c r="G2572" s="3">
        <v>0</v>
      </c>
      <c r="H2572" s="4">
        <v>0.7</v>
      </c>
      <c r="I2572" s="28">
        <f t="shared" si="81"/>
        <v>31668.618932144997</v>
      </c>
    </row>
    <row r="2573" spans="1:9" ht="15.75" customHeight="1" x14ac:dyDescent="0.35">
      <c r="A2573" s="26" t="s">
        <v>5430</v>
      </c>
      <c r="B2573" s="25" t="s">
        <v>10625</v>
      </c>
      <c r="C2573" s="6" t="s">
        <v>12294</v>
      </c>
      <c r="D2573" s="13">
        <v>23274.799002</v>
      </c>
      <c r="E2573" s="18">
        <v>10.5</v>
      </c>
      <c r="F2573" s="2">
        <f t="shared" si="80"/>
        <v>25718.652897209999</v>
      </c>
      <c r="G2573" s="3">
        <v>0</v>
      </c>
      <c r="H2573" s="4">
        <v>0.7</v>
      </c>
      <c r="I2573" s="28">
        <f t="shared" si="81"/>
        <v>43721.709925256997</v>
      </c>
    </row>
    <row r="2574" spans="1:9" ht="15.75" customHeight="1" x14ac:dyDescent="0.35">
      <c r="A2574" s="26" t="s">
        <v>5613</v>
      </c>
      <c r="B2574" s="25" t="s">
        <v>10073</v>
      </c>
      <c r="C2574" s="6" t="s">
        <v>398</v>
      </c>
      <c r="D2574" s="13">
        <v>3755.9457432714235</v>
      </c>
      <c r="E2574" s="18">
        <v>21</v>
      </c>
      <c r="F2574" s="2">
        <f t="shared" si="80"/>
        <v>4544.6943493584222</v>
      </c>
      <c r="G2574" s="3">
        <v>0</v>
      </c>
      <c r="H2574" s="4">
        <v>0.7</v>
      </c>
      <c r="I2574" s="28">
        <f t="shared" si="81"/>
        <v>7725.9803939093172</v>
      </c>
    </row>
    <row r="2575" spans="1:9" ht="15.75" customHeight="1" x14ac:dyDescent="0.35">
      <c r="A2575" s="26" t="s">
        <v>5614</v>
      </c>
      <c r="B2575" s="25" t="s">
        <v>10074</v>
      </c>
      <c r="C2575" s="6" t="s">
        <v>399</v>
      </c>
      <c r="D2575" s="13">
        <v>3755.9457432714235</v>
      </c>
      <c r="E2575" s="18">
        <v>21</v>
      </c>
      <c r="F2575" s="2">
        <f t="shared" si="80"/>
        <v>4544.6943493584222</v>
      </c>
      <c r="G2575" s="3">
        <v>0</v>
      </c>
      <c r="H2575" s="4">
        <v>0.7</v>
      </c>
      <c r="I2575" s="28">
        <f t="shared" si="81"/>
        <v>7725.9803939093172</v>
      </c>
    </row>
    <row r="2576" spans="1:9" ht="15.75" customHeight="1" x14ac:dyDescent="0.35">
      <c r="A2576" s="26" t="s">
        <v>10013</v>
      </c>
      <c r="B2576" s="25" t="s">
        <v>11990</v>
      </c>
      <c r="C2576" s="6" t="s">
        <v>10014</v>
      </c>
      <c r="D2576" s="13">
        <v>689.99859500000002</v>
      </c>
      <c r="E2576" s="18">
        <v>21</v>
      </c>
      <c r="F2576" s="2">
        <f t="shared" si="80"/>
        <v>834.89829995000002</v>
      </c>
      <c r="G2576" s="3">
        <v>0</v>
      </c>
      <c r="H2576" s="4">
        <v>0.7</v>
      </c>
      <c r="I2576" s="28">
        <f t="shared" si="81"/>
        <v>1419.3271099149999</v>
      </c>
    </row>
    <row r="2577" spans="1:9" ht="15.75" customHeight="1" x14ac:dyDescent="0.35">
      <c r="A2577" s="26" t="s">
        <v>10015</v>
      </c>
      <c r="B2577" s="25" t="s">
        <v>12849</v>
      </c>
      <c r="C2577" s="6" t="s">
        <v>10016</v>
      </c>
      <c r="D2577" s="13">
        <v>689.99859500000002</v>
      </c>
      <c r="E2577" s="18">
        <v>21</v>
      </c>
      <c r="F2577" s="2">
        <f t="shared" si="80"/>
        <v>834.89829995000002</v>
      </c>
      <c r="G2577" s="3">
        <v>0</v>
      </c>
      <c r="H2577" s="4">
        <v>0.7</v>
      </c>
      <c r="I2577" s="28">
        <f t="shared" si="81"/>
        <v>1419.3271099149999</v>
      </c>
    </row>
    <row r="2578" spans="1:9" ht="15.75" customHeight="1" x14ac:dyDescent="0.35">
      <c r="A2578" s="26" t="s">
        <v>5556</v>
      </c>
      <c r="B2578" s="25" t="s">
        <v>10075</v>
      </c>
      <c r="C2578" s="6" t="s">
        <v>958</v>
      </c>
      <c r="D2578" s="13">
        <v>5877.9222866487498</v>
      </c>
      <c r="E2578" s="18">
        <v>10.5</v>
      </c>
      <c r="F2578" s="2">
        <f t="shared" si="80"/>
        <v>6495.1041267468681</v>
      </c>
      <c r="G2578" s="3">
        <v>0</v>
      </c>
      <c r="H2578" s="4">
        <v>0.7</v>
      </c>
      <c r="I2578" s="28">
        <f t="shared" si="81"/>
        <v>11041.677015469675</v>
      </c>
    </row>
    <row r="2579" spans="1:9" ht="15.75" customHeight="1" x14ac:dyDescent="0.35">
      <c r="A2579" s="26" t="s">
        <v>5610</v>
      </c>
      <c r="B2579" s="25" t="s">
        <v>10076</v>
      </c>
      <c r="C2579" s="6" t="s">
        <v>12608</v>
      </c>
      <c r="D2579" s="13">
        <v>5119.8328350000002</v>
      </c>
      <c r="E2579" s="18">
        <v>10.5</v>
      </c>
      <c r="F2579" s="2">
        <f t="shared" si="80"/>
        <v>5657.4152826750005</v>
      </c>
      <c r="G2579" s="3">
        <v>0</v>
      </c>
      <c r="H2579" s="4">
        <v>0.7</v>
      </c>
      <c r="I2579" s="28">
        <f t="shared" si="81"/>
        <v>9617.6059805475015</v>
      </c>
    </row>
    <row r="2580" spans="1:9" ht="15.75" customHeight="1" x14ac:dyDescent="0.35">
      <c r="A2580" s="26" t="s">
        <v>5557</v>
      </c>
      <c r="B2580" s="25" t="s">
        <v>11991</v>
      </c>
      <c r="C2580" s="6" t="s">
        <v>10438</v>
      </c>
      <c r="D2580" s="13">
        <v>6197.1844240800001</v>
      </c>
      <c r="E2580" s="18">
        <v>10.5</v>
      </c>
      <c r="F2580" s="2">
        <f t="shared" si="80"/>
        <v>6847.8887886084003</v>
      </c>
      <c r="G2580" s="3">
        <v>0</v>
      </c>
      <c r="H2580" s="4">
        <v>0.7</v>
      </c>
      <c r="I2580" s="28">
        <f t="shared" si="81"/>
        <v>11641.41094063428</v>
      </c>
    </row>
    <row r="2581" spans="1:9" ht="15.75" customHeight="1" x14ac:dyDescent="0.35">
      <c r="A2581" s="26" t="s">
        <v>5558</v>
      </c>
      <c r="B2581" s="25" t="s">
        <v>12850</v>
      </c>
      <c r="C2581" s="6" t="s">
        <v>10439</v>
      </c>
      <c r="D2581" s="13">
        <v>6197.1844240800001</v>
      </c>
      <c r="E2581" s="18">
        <v>10.5</v>
      </c>
      <c r="F2581" s="2">
        <f t="shared" si="80"/>
        <v>6847.8887886084003</v>
      </c>
      <c r="G2581" s="3">
        <v>0</v>
      </c>
      <c r="H2581" s="4">
        <v>0.7</v>
      </c>
      <c r="I2581" s="28">
        <f t="shared" si="81"/>
        <v>11641.41094063428</v>
      </c>
    </row>
    <row r="2582" spans="1:9" ht="15.75" customHeight="1" x14ac:dyDescent="0.35">
      <c r="A2582" s="26" t="s">
        <v>9592</v>
      </c>
      <c r="B2582" s="25" t="s">
        <v>10077</v>
      </c>
      <c r="C2582" s="6" t="s">
        <v>10992</v>
      </c>
      <c r="D2582" s="13">
        <v>7589.5519439999998</v>
      </c>
      <c r="E2582" s="18">
        <v>10.5</v>
      </c>
      <c r="F2582" s="2">
        <f t="shared" si="80"/>
        <v>8386.4548981200005</v>
      </c>
      <c r="G2582" s="3">
        <v>0</v>
      </c>
      <c r="H2582" s="4">
        <v>0.7</v>
      </c>
      <c r="I2582" s="28">
        <f t="shared" si="81"/>
        <v>14256.973326804</v>
      </c>
    </row>
    <row r="2583" spans="1:9" ht="15.75" customHeight="1" x14ac:dyDescent="0.35">
      <c r="A2583" s="26" t="s">
        <v>5446</v>
      </c>
      <c r="B2583" s="25" t="s">
        <v>12621</v>
      </c>
      <c r="C2583" s="6" t="s">
        <v>10440</v>
      </c>
      <c r="D2583" s="13">
        <v>758.41892216999997</v>
      </c>
      <c r="E2583" s="18">
        <v>10.5</v>
      </c>
      <c r="F2583" s="2">
        <f t="shared" si="80"/>
        <v>838.05290899784995</v>
      </c>
      <c r="G2583" s="3">
        <v>0</v>
      </c>
      <c r="H2583" s="4">
        <v>0.7</v>
      </c>
      <c r="I2583" s="28">
        <f t="shared" si="81"/>
        <v>1424.6899452963448</v>
      </c>
    </row>
    <row r="2584" spans="1:9" ht="15.75" customHeight="1" x14ac:dyDescent="0.35">
      <c r="A2584" s="26" t="s">
        <v>5530</v>
      </c>
      <c r="B2584" s="25" t="s">
        <v>9884</v>
      </c>
      <c r="C2584" s="6" t="s">
        <v>9142</v>
      </c>
      <c r="D2584" s="13">
        <v>11804.354377265183</v>
      </c>
      <c r="E2584" s="18">
        <v>10.5</v>
      </c>
      <c r="F2584" s="2">
        <f t="shared" si="80"/>
        <v>13043.811586878026</v>
      </c>
      <c r="G2584" s="3">
        <v>0</v>
      </c>
      <c r="H2584" s="4">
        <v>0.7</v>
      </c>
      <c r="I2584" s="28">
        <f t="shared" si="81"/>
        <v>22174.479697692645</v>
      </c>
    </row>
    <row r="2585" spans="1:9" ht="15.75" customHeight="1" x14ac:dyDescent="0.35">
      <c r="A2585" s="26" t="s">
        <v>5312</v>
      </c>
      <c r="B2585" s="25" t="s">
        <v>9885</v>
      </c>
      <c r="C2585" s="6" t="s">
        <v>10443</v>
      </c>
      <c r="D2585" s="13">
        <v>8961.0626429999993</v>
      </c>
      <c r="E2585" s="18">
        <v>10.5</v>
      </c>
      <c r="F2585" s="2">
        <f t="shared" si="80"/>
        <v>9901.9742205149996</v>
      </c>
      <c r="G2585" s="3">
        <v>0</v>
      </c>
      <c r="H2585" s="4">
        <v>0.7</v>
      </c>
      <c r="I2585" s="28">
        <f t="shared" si="81"/>
        <v>16833.356174875498</v>
      </c>
    </row>
    <row r="2586" spans="1:9" ht="15.75" customHeight="1" x14ac:dyDescent="0.35">
      <c r="A2586" s="26" t="s">
        <v>5314</v>
      </c>
      <c r="B2586" s="25" t="s">
        <v>11992</v>
      </c>
      <c r="C2586" s="6" t="s">
        <v>10444</v>
      </c>
      <c r="D2586" s="13">
        <v>3934.9614388499999</v>
      </c>
      <c r="E2586" s="18">
        <v>10.5</v>
      </c>
      <c r="F2586" s="2">
        <f t="shared" si="80"/>
        <v>4348.1323899292502</v>
      </c>
      <c r="G2586" s="3">
        <v>0</v>
      </c>
      <c r="H2586" s="4">
        <v>0.7</v>
      </c>
      <c r="I2586" s="28">
        <f t="shared" si="81"/>
        <v>7391.825062879725</v>
      </c>
    </row>
    <row r="2587" spans="1:9" ht="15.75" customHeight="1" x14ac:dyDescent="0.35">
      <c r="A2587" s="26" t="s">
        <v>5319</v>
      </c>
      <c r="B2587" s="25" t="s">
        <v>11993</v>
      </c>
      <c r="C2587" s="6" t="s">
        <v>10445</v>
      </c>
      <c r="D2587" s="13">
        <v>5839.6252590000004</v>
      </c>
      <c r="E2587" s="18">
        <v>10.5</v>
      </c>
      <c r="F2587" s="2">
        <f t="shared" si="80"/>
        <v>6452.7859111950002</v>
      </c>
      <c r="G2587" s="3">
        <v>0</v>
      </c>
      <c r="H2587" s="4">
        <v>0.7</v>
      </c>
      <c r="I2587" s="28">
        <f t="shared" si="81"/>
        <v>10969.7360490315</v>
      </c>
    </row>
    <row r="2588" spans="1:9" ht="15.75" customHeight="1" x14ac:dyDescent="0.35">
      <c r="A2588" s="26" t="s">
        <v>5548</v>
      </c>
      <c r="B2588" s="25" t="s">
        <v>11984</v>
      </c>
      <c r="C2588" s="6" t="s">
        <v>10446</v>
      </c>
      <c r="D2588" s="13">
        <v>1230.3172440000001</v>
      </c>
      <c r="E2588" s="18">
        <v>10.5</v>
      </c>
      <c r="F2588" s="2">
        <f t="shared" si="80"/>
        <v>1359.50055462</v>
      </c>
      <c r="G2588" s="3">
        <v>0</v>
      </c>
      <c r="H2588" s="4">
        <v>0.7</v>
      </c>
      <c r="I2588" s="28">
        <f t="shared" si="81"/>
        <v>2311.1509428539998</v>
      </c>
    </row>
    <row r="2589" spans="1:9" ht="15.75" customHeight="1" x14ac:dyDescent="0.35">
      <c r="A2589" s="26" t="s">
        <v>5550</v>
      </c>
      <c r="B2589" s="25" t="s">
        <v>10078</v>
      </c>
      <c r="C2589" s="6" t="s">
        <v>10447</v>
      </c>
      <c r="D2589" s="13">
        <v>1736.4604140000001</v>
      </c>
      <c r="E2589" s="18">
        <v>10.5</v>
      </c>
      <c r="F2589" s="2">
        <f t="shared" si="80"/>
        <v>1918.7887574700001</v>
      </c>
      <c r="G2589" s="3">
        <v>0</v>
      </c>
      <c r="H2589" s="4">
        <v>0.7</v>
      </c>
      <c r="I2589" s="28">
        <f t="shared" si="81"/>
        <v>3261.9408876990001</v>
      </c>
    </row>
    <row r="2590" spans="1:9" ht="15.75" customHeight="1" x14ac:dyDescent="0.35">
      <c r="A2590" s="26" t="s">
        <v>5552</v>
      </c>
      <c r="B2590" s="25" t="s">
        <v>10079</v>
      </c>
      <c r="C2590" s="6" t="s">
        <v>10448</v>
      </c>
      <c r="D2590" s="13">
        <v>911.05770600000005</v>
      </c>
      <c r="E2590" s="18">
        <v>10.5</v>
      </c>
      <c r="F2590" s="2">
        <f t="shared" si="80"/>
        <v>1006.7187651300001</v>
      </c>
      <c r="G2590" s="3">
        <v>0</v>
      </c>
      <c r="H2590" s="4">
        <v>0.7</v>
      </c>
      <c r="I2590" s="28">
        <f t="shared" si="81"/>
        <v>1711.4219007210002</v>
      </c>
    </row>
    <row r="2591" spans="1:9" ht="15.75" customHeight="1" x14ac:dyDescent="0.35">
      <c r="A2591" s="26" t="s">
        <v>5600</v>
      </c>
      <c r="B2591" s="25" t="s">
        <v>10080</v>
      </c>
      <c r="C2591" s="6" t="s">
        <v>13047</v>
      </c>
      <c r="D2591" s="13">
        <v>20202.466700000001</v>
      </c>
      <c r="E2591" s="18">
        <v>21</v>
      </c>
      <c r="F2591" s="2">
        <f t="shared" si="80"/>
        <v>24444.984707000003</v>
      </c>
      <c r="G2591" s="3">
        <v>0</v>
      </c>
      <c r="H2591" s="4">
        <v>0.7</v>
      </c>
      <c r="I2591" s="28">
        <f t="shared" si="81"/>
        <v>41556.474001900002</v>
      </c>
    </row>
    <row r="2592" spans="1:9" ht="15.75" customHeight="1" x14ac:dyDescent="0.35">
      <c r="A2592" s="26" t="s">
        <v>5444</v>
      </c>
      <c r="B2592" s="25" t="s">
        <v>13171</v>
      </c>
      <c r="C2592" s="6" t="s">
        <v>10449</v>
      </c>
      <c r="D2592" s="13">
        <v>21550.018814999999</v>
      </c>
      <c r="E2592" s="18">
        <v>10.5</v>
      </c>
      <c r="F2592" s="2">
        <f t="shared" si="80"/>
        <v>23812.770790574999</v>
      </c>
      <c r="G2592" s="3">
        <v>0</v>
      </c>
      <c r="H2592" s="4">
        <v>0.7</v>
      </c>
      <c r="I2592" s="28">
        <f t="shared" si="81"/>
        <v>40481.710343977495</v>
      </c>
    </row>
    <row r="2593" spans="1:9" ht="15.75" customHeight="1" x14ac:dyDescent="0.35">
      <c r="A2593" s="26" t="s">
        <v>5443</v>
      </c>
      <c r="B2593" s="25" t="s">
        <v>10081</v>
      </c>
      <c r="C2593" s="6" t="s">
        <v>10450</v>
      </c>
      <c r="D2593" s="13">
        <v>21550.018814999999</v>
      </c>
      <c r="E2593" s="18">
        <v>10.5</v>
      </c>
      <c r="F2593" s="2">
        <f t="shared" si="80"/>
        <v>23812.770790574999</v>
      </c>
      <c r="G2593" s="3">
        <v>0</v>
      </c>
      <c r="H2593" s="4">
        <v>0.7</v>
      </c>
      <c r="I2593" s="28">
        <f t="shared" si="81"/>
        <v>40481.710343977495</v>
      </c>
    </row>
    <row r="2594" spans="1:9" ht="15.75" customHeight="1" x14ac:dyDescent="0.35">
      <c r="A2594" s="26" t="s">
        <v>5617</v>
      </c>
      <c r="B2594" s="25" t="s">
        <v>10669</v>
      </c>
      <c r="C2594" s="6" t="s">
        <v>400</v>
      </c>
      <c r="D2594" s="13">
        <v>42847.431611231055</v>
      </c>
      <c r="E2594" s="18">
        <v>21</v>
      </c>
      <c r="F2594" s="2">
        <f t="shared" si="80"/>
        <v>51845.392249589575</v>
      </c>
      <c r="G2594" s="3">
        <v>0</v>
      </c>
      <c r="H2594" s="4">
        <v>0.7</v>
      </c>
      <c r="I2594" s="28">
        <f t="shared" si="81"/>
        <v>88137.166824302272</v>
      </c>
    </row>
    <row r="2595" spans="1:9" ht="15.75" customHeight="1" x14ac:dyDescent="0.35">
      <c r="A2595" s="26" t="s">
        <v>5618</v>
      </c>
      <c r="B2595" s="25" t="s">
        <v>10670</v>
      </c>
      <c r="C2595" s="6" t="s">
        <v>400</v>
      </c>
      <c r="D2595" s="13">
        <v>71991.812853089999</v>
      </c>
      <c r="E2595" s="18">
        <v>21</v>
      </c>
      <c r="F2595" s="2">
        <f t="shared" si="80"/>
        <v>87110.093552238905</v>
      </c>
      <c r="G2595" s="3">
        <v>0</v>
      </c>
      <c r="H2595" s="4">
        <v>0.7</v>
      </c>
      <c r="I2595" s="28">
        <f t="shared" si="81"/>
        <v>148087.15903880613</v>
      </c>
    </row>
    <row r="2596" spans="1:9" ht="15.75" customHeight="1" x14ac:dyDescent="0.35">
      <c r="A2596" s="26" t="s">
        <v>5616</v>
      </c>
      <c r="B2596" s="25" t="s">
        <v>9409</v>
      </c>
      <c r="C2596" s="6" t="s">
        <v>12393</v>
      </c>
      <c r="D2596" s="13">
        <v>24793.228630817393</v>
      </c>
      <c r="E2596" s="18">
        <v>21</v>
      </c>
      <c r="F2596" s="2">
        <f t="shared" si="80"/>
        <v>29999.806643289045</v>
      </c>
      <c r="G2596" s="3">
        <v>0</v>
      </c>
      <c r="H2596" s="4">
        <v>0.7</v>
      </c>
      <c r="I2596" s="28">
        <f t="shared" si="81"/>
        <v>50999.671293591375</v>
      </c>
    </row>
    <row r="2597" spans="1:9" ht="15.75" customHeight="1" x14ac:dyDescent="0.35">
      <c r="A2597" s="26" t="s">
        <v>5621</v>
      </c>
      <c r="B2597" s="25" t="s">
        <v>9411</v>
      </c>
      <c r="C2597" s="6" t="s">
        <v>9957</v>
      </c>
      <c r="D2597" s="13">
        <v>67627.540741279998</v>
      </c>
      <c r="E2597" s="18">
        <v>21</v>
      </c>
      <c r="F2597" s="2">
        <f t="shared" si="80"/>
        <v>81829.324296948791</v>
      </c>
      <c r="G2597" s="3">
        <v>0</v>
      </c>
      <c r="H2597" s="4">
        <v>0.7</v>
      </c>
      <c r="I2597" s="28">
        <f t="shared" si="81"/>
        <v>139109.85130481294</v>
      </c>
    </row>
    <row r="2598" spans="1:9" ht="15.75" customHeight="1" x14ac:dyDescent="0.35">
      <c r="A2598" s="26" t="s">
        <v>5619</v>
      </c>
      <c r="B2598" s="25" t="s">
        <v>9693</v>
      </c>
      <c r="C2598" s="6" t="s">
        <v>401</v>
      </c>
      <c r="D2598" s="13">
        <v>42847.431611231055</v>
      </c>
      <c r="E2598" s="18">
        <v>21</v>
      </c>
      <c r="F2598" s="2">
        <f t="shared" si="80"/>
        <v>51845.392249589575</v>
      </c>
      <c r="G2598" s="3">
        <v>0</v>
      </c>
      <c r="H2598" s="4">
        <v>0.7</v>
      </c>
      <c r="I2598" s="28">
        <f t="shared" si="81"/>
        <v>88137.166824302272</v>
      </c>
    </row>
    <row r="2599" spans="1:9" ht="15.75" customHeight="1" x14ac:dyDescent="0.35">
      <c r="A2599" s="26" t="s">
        <v>5620</v>
      </c>
      <c r="B2599" s="25" t="s">
        <v>9798</v>
      </c>
      <c r="C2599" s="6" t="s">
        <v>402</v>
      </c>
      <c r="D2599" s="13">
        <v>38474.667619182605</v>
      </c>
      <c r="E2599" s="18">
        <v>21</v>
      </c>
      <c r="F2599" s="2">
        <f t="shared" si="80"/>
        <v>46554.347819210954</v>
      </c>
      <c r="G2599" s="3">
        <v>0</v>
      </c>
      <c r="H2599" s="4">
        <v>0.7</v>
      </c>
      <c r="I2599" s="28">
        <f t="shared" si="81"/>
        <v>79142.39129265862</v>
      </c>
    </row>
    <row r="2600" spans="1:9" ht="15.75" customHeight="1" x14ac:dyDescent="0.35">
      <c r="A2600" s="26" t="s">
        <v>5625</v>
      </c>
      <c r="B2600" s="25" t="s">
        <v>9799</v>
      </c>
      <c r="C2600" s="6" t="s">
        <v>9958</v>
      </c>
      <c r="D2600" s="13">
        <v>20308.848780349999</v>
      </c>
      <c r="E2600" s="18">
        <v>21</v>
      </c>
      <c r="F2600" s="2">
        <f t="shared" si="80"/>
        <v>24573.707024223499</v>
      </c>
      <c r="G2600" s="3">
        <v>0</v>
      </c>
      <c r="H2600" s="4">
        <v>0.7</v>
      </c>
      <c r="I2600" s="28">
        <f t="shared" si="81"/>
        <v>41775.301941179947</v>
      </c>
    </row>
    <row r="2601" spans="1:9" ht="15.75" customHeight="1" x14ac:dyDescent="0.35">
      <c r="A2601" s="26" t="s">
        <v>5623</v>
      </c>
      <c r="B2601" s="25" t="s">
        <v>9070</v>
      </c>
      <c r="C2601" s="6" t="s">
        <v>403</v>
      </c>
      <c r="D2601" s="13">
        <v>42847.431611231055</v>
      </c>
      <c r="E2601" s="18">
        <v>21</v>
      </c>
      <c r="F2601" s="2">
        <f t="shared" si="80"/>
        <v>51845.392249589575</v>
      </c>
      <c r="G2601" s="3">
        <v>0</v>
      </c>
      <c r="H2601" s="4">
        <v>0.7</v>
      </c>
      <c r="I2601" s="28">
        <f t="shared" si="81"/>
        <v>88137.166824302272</v>
      </c>
    </row>
    <row r="2602" spans="1:9" ht="15.75" customHeight="1" x14ac:dyDescent="0.35">
      <c r="A2602" s="26" t="s">
        <v>5624</v>
      </c>
      <c r="B2602" s="25" t="s">
        <v>9072</v>
      </c>
      <c r="C2602" s="6" t="s">
        <v>404</v>
      </c>
      <c r="D2602" s="13">
        <v>24793.228630817393</v>
      </c>
      <c r="E2602" s="18">
        <v>21</v>
      </c>
      <c r="F2602" s="2">
        <f t="shared" si="80"/>
        <v>29999.806643289045</v>
      </c>
      <c r="G2602" s="3">
        <v>0</v>
      </c>
      <c r="H2602" s="4">
        <v>0.7</v>
      </c>
      <c r="I2602" s="28">
        <f t="shared" si="81"/>
        <v>50999.671293591375</v>
      </c>
    </row>
    <row r="2603" spans="1:9" ht="15.75" customHeight="1" x14ac:dyDescent="0.35">
      <c r="A2603" s="26" t="s">
        <v>5626</v>
      </c>
      <c r="B2603" s="25" t="s">
        <v>10671</v>
      </c>
      <c r="C2603" s="6" t="s">
        <v>405</v>
      </c>
      <c r="D2603" s="13">
        <v>12422.155207563628</v>
      </c>
      <c r="E2603" s="18">
        <v>21</v>
      </c>
      <c r="F2603" s="2">
        <f t="shared" si="80"/>
        <v>15030.80780115199</v>
      </c>
      <c r="G2603" s="3">
        <v>0</v>
      </c>
      <c r="H2603" s="4">
        <v>0.7</v>
      </c>
      <c r="I2603" s="28">
        <f t="shared" si="81"/>
        <v>25552.373261958382</v>
      </c>
    </row>
    <row r="2604" spans="1:9" ht="15.75" customHeight="1" x14ac:dyDescent="0.35">
      <c r="A2604" s="26" t="s">
        <v>5627</v>
      </c>
      <c r="B2604" s="25" t="s">
        <v>10672</v>
      </c>
      <c r="C2604" s="6" t="s">
        <v>406</v>
      </c>
      <c r="D2604" s="13">
        <v>6649.9425422956283</v>
      </c>
      <c r="E2604" s="18">
        <v>21</v>
      </c>
      <c r="F2604" s="2">
        <f t="shared" si="80"/>
        <v>8046.4304761777103</v>
      </c>
      <c r="G2604" s="3">
        <v>0</v>
      </c>
      <c r="H2604" s="4">
        <v>0.7</v>
      </c>
      <c r="I2604" s="28">
        <f t="shared" si="81"/>
        <v>13678.931809502106</v>
      </c>
    </row>
    <row r="2605" spans="1:9" ht="15.75" customHeight="1" x14ac:dyDescent="0.35">
      <c r="A2605" s="26" t="s">
        <v>2848</v>
      </c>
      <c r="B2605" s="25" t="s">
        <v>12651</v>
      </c>
      <c r="C2605" s="6" t="s">
        <v>9082</v>
      </c>
      <c r="D2605" s="13">
        <v>4516.3544400000001</v>
      </c>
      <c r="E2605" s="18">
        <v>21</v>
      </c>
      <c r="F2605" s="2">
        <f t="shared" si="80"/>
        <v>5464.7888724000004</v>
      </c>
      <c r="G2605" s="3">
        <v>0</v>
      </c>
      <c r="H2605" s="4">
        <v>0.7</v>
      </c>
      <c r="I2605" s="28">
        <f t="shared" si="81"/>
        <v>9290.1410830799996</v>
      </c>
    </row>
    <row r="2606" spans="1:9" ht="15.75" customHeight="1" x14ac:dyDescent="0.35">
      <c r="A2606" s="26" t="s">
        <v>4726</v>
      </c>
      <c r="B2606" s="25" t="s">
        <v>12653</v>
      </c>
      <c r="C2606" s="6" t="s">
        <v>9092</v>
      </c>
      <c r="D2606" s="13">
        <v>420.39447423999798</v>
      </c>
      <c r="E2606" s="18">
        <v>21</v>
      </c>
      <c r="F2606" s="2">
        <f t="shared" si="80"/>
        <v>508.67731383039757</v>
      </c>
      <c r="G2606" s="3">
        <v>0</v>
      </c>
      <c r="H2606" s="4">
        <v>0.7</v>
      </c>
      <c r="I2606" s="28">
        <f t="shared" si="81"/>
        <v>864.75143351167583</v>
      </c>
    </row>
    <row r="2607" spans="1:9" ht="15.75" customHeight="1" x14ac:dyDescent="0.35">
      <c r="A2607" s="26" t="s">
        <v>9438</v>
      </c>
      <c r="B2607" s="25" t="s">
        <v>11307</v>
      </c>
      <c r="C2607" s="6" t="s">
        <v>10451</v>
      </c>
      <c r="D2607" s="13">
        <v>34775</v>
      </c>
      <c r="E2607" s="18">
        <v>10.5</v>
      </c>
      <c r="F2607" s="2">
        <f t="shared" si="80"/>
        <v>38426.375</v>
      </c>
      <c r="G2607" s="3">
        <v>0</v>
      </c>
      <c r="H2607" s="4">
        <v>0.7</v>
      </c>
      <c r="I2607" s="28">
        <f t="shared" si="81"/>
        <v>65324.837500000001</v>
      </c>
    </row>
    <row r="2608" spans="1:9" ht="15.75" customHeight="1" x14ac:dyDescent="0.35">
      <c r="A2608" s="26" t="s">
        <v>9439</v>
      </c>
      <c r="B2608" s="25" t="s">
        <v>11308</v>
      </c>
      <c r="C2608" s="6" t="s">
        <v>10452</v>
      </c>
      <c r="D2608" s="13">
        <v>34775</v>
      </c>
      <c r="E2608" s="18">
        <v>10.5</v>
      </c>
      <c r="F2608" s="2">
        <f t="shared" si="80"/>
        <v>38426.375</v>
      </c>
      <c r="G2608" s="3">
        <v>0</v>
      </c>
      <c r="H2608" s="4">
        <v>0.7</v>
      </c>
      <c r="I2608" s="28">
        <f t="shared" si="81"/>
        <v>65324.837500000001</v>
      </c>
    </row>
    <row r="2609" spans="1:9" ht="15.75" customHeight="1" x14ac:dyDescent="0.35">
      <c r="A2609" s="26" t="s">
        <v>9440</v>
      </c>
      <c r="B2609" s="25" t="s">
        <v>11309</v>
      </c>
      <c r="C2609" s="6" t="s">
        <v>10453</v>
      </c>
      <c r="D2609" s="13">
        <v>34775</v>
      </c>
      <c r="E2609" s="18">
        <v>10.5</v>
      </c>
      <c r="F2609" s="2">
        <f t="shared" si="80"/>
        <v>38426.375</v>
      </c>
      <c r="G2609" s="3">
        <v>0</v>
      </c>
      <c r="H2609" s="4">
        <v>0.7</v>
      </c>
      <c r="I2609" s="28">
        <f t="shared" si="81"/>
        <v>65324.837500000001</v>
      </c>
    </row>
    <row r="2610" spans="1:9" ht="15.75" customHeight="1" x14ac:dyDescent="0.35">
      <c r="A2610" s="26" t="s">
        <v>5628</v>
      </c>
      <c r="B2610" s="25" t="s">
        <v>11310</v>
      </c>
      <c r="C2610" s="6" t="s">
        <v>407</v>
      </c>
      <c r="D2610" s="13">
        <v>752.72573999999997</v>
      </c>
      <c r="E2610" s="18">
        <v>21</v>
      </c>
      <c r="F2610" s="2">
        <f t="shared" si="80"/>
        <v>910.79814539999995</v>
      </c>
      <c r="G2610" s="3">
        <v>0</v>
      </c>
      <c r="H2610" s="4">
        <v>0.7</v>
      </c>
      <c r="I2610" s="28">
        <f t="shared" si="81"/>
        <v>1548.3568471799999</v>
      </c>
    </row>
    <row r="2611" spans="1:9" ht="15.75" customHeight="1" x14ac:dyDescent="0.35">
      <c r="A2611" s="26" t="s">
        <v>9637</v>
      </c>
      <c r="B2611" s="25" t="s">
        <v>11311</v>
      </c>
      <c r="C2611" s="6" t="s">
        <v>9638</v>
      </c>
      <c r="D2611" s="13">
        <v>39961.949976000004</v>
      </c>
      <c r="E2611" s="18">
        <v>10.5</v>
      </c>
      <c r="F2611" s="2">
        <f t="shared" si="80"/>
        <v>44157.954723480005</v>
      </c>
      <c r="G2611" s="3">
        <v>0</v>
      </c>
      <c r="H2611" s="4">
        <v>0.7</v>
      </c>
      <c r="I2611" s="28">
        <f t="shared" si="81"/>
        <v>75068.523029916003</v>
      </c>
    </row>
    <row r="2612" spans="1:9" ht="15.75" customHeight="1" x14ac:dyDescent="0.35">
      <c r="A2612" s="26" t="s">
        <v>9639</v>
      </c>
      <c r="B2612" s="25" t="s">
        <v>11312</v>
      </c>
      <c r="C2612" s="6" t="s">
        <v>9640</v>
      </c>
      <c r="D2612" s="13">
        <v>39961.949976000004</v>
      </c>
      <c r="E2612" s="18">
        <v>10.5</v>
      </c>
      <c r="F2612" s="2">
        <f t="shared" si="80"/>
        <v>44157.954723480005</v>
      </c>
      <c r="G2612" s="3">
        <v>0</v>
      </c>
      <c r="H2612" s="4">
        <v>0.7</v>
      </c>
      <c r="I2612" s="28">
        <f t="shared" si="81"/>
        <v>75068.523029916003</v>
      </c>
    </row>
    <row r="2613" spans="1:9" ht="15.75" customHeight="1" x14ac:dyDescent="0.35">
      <c r="A2613" s="26" t="s">
        <v>5449</v>
      </c>
      <c r="B2613" s="25" t="s">
        <v>11313</v>
      </c>
      <c r="C2613" s="6" t="s">
        <v>10454</v>
      </c>
      <c r="D2613" s="13">
        <v>37990.327658400005</v>
      </c>
      <c r="E2613" s="18">
        <v>10.5</v>
      </c>
      <c r="F2613" s="2">
        <f t="shared" si="80"/>
        <v>41979.312062532008</v>
      </c>
      <c r="G2613" s="3">
        <v>0</v>
      </c>
      <c r="H2613" s="4">
        <v>0.7</v>
      </c>
      <c r="I2613" s="28">
        <f t="shared" si="81"/>
        <v>71364.83050630441</v>
      </c>
    </row>
    <row r="2614" spans="1:9" ht="15.75" customHeight="1" x14ac:dyDescent="0.35">
      <c r="A2614" s="26" t="s">
        <v>5445</v>
      </c>
      <c r="B2614" s="25" t="s">
        <v>11314</v>
      </c>
      <c r="C2614" s="6" t="s">
        <v>9786</v>
      </c>
      <c r="D2614" s="13">
        <v>40069.408064399999</v>
      </c>
      <c r="E2614" s="18">
        <v>10.5</v>
      </c>
      <c r="F2614" s="2">
        <f t="shared" si="80"/>
        <v>44276.695911162002</v>
      </c>
      <c r="G2614" s="3">
        <v>0</v>
      </c>
      <c r="H2614" s="4">
        <v>0.7</v>
      </c>
      <c r="I2614" s="28">
        <f t="shared" si="81"/>
        <v>75270.383048975404</v>
      </c>
    </row>
    <row r="2615" spans="1:9" ht="15.75" customHeight="1" x14ac:dyDescent="0.35">
      <c r="A2615" s="26" t="s">
        <v>5450</v>
      </c>
      <c r="B2615" s="25" t="s">
        <v>11315</v>
      </c>
      <c r="C2615" s="6" t="s">
        <v>959</v>
      </c>
      <c r="D2615" s="13">
        <v>37652.379757199997</v>
      </c>
      <c r="E2615" s="18">
        <v>10.5</v>
      </c>
      <c r="F2615" s="2">
        <f t="shared" si="80"/>
        <v>41605.879631705997</v>
      </c>
      <c r="G2615" s="3">
        <v>0</v>
      </c>
      <c r="H2615" s="4">
        <v>0.7</v>
      </c>
      <c r="I2615" s="28">
        <f t="shared" si="81"/>
        <v>70729.995373900194</v>
      </c>
    </row>
    <row r="2616" spans="1:9" ht="15.75" customHeight="1" x14ac:dyDescent="0.35">
      <c r="A2616" s="26" t="s">
        <v>5451</v>
      </c>
      <c r="B2616" s="25" t="s">
        <v>11316</v>
      </c>
      <c r="C2616" s="6" t="s">
        <v>960</v>
      </c>
      <c r="D2616" s="13">
        <v>49360.639301999996</v>
      </c>
      <c r="E2616" s="18">
        <v>10.5</v>
      </c>
      <c r="F2616" s="2">
        <f t="shared" si="80"/>
        <v>54543.506428709996</v>
      </c>
      <c r="G2616" s="3">
        <v>0</v>
      </c>
      <c r="H2616" s="4">
        <v>0.7</v>
      </c>
      <c r="I2616" s="28">
        <f t="shared" si="81"/>
        <v>92723.960928806991</v>
      </c>
    </row>
    <row r="2617" spans="1:9" ht="15.75" customHeight="1" x14ac:dyDescent="0.35">
      <c r="A2617" s="26" t="s">
        <v>5559</v>
      </c>
      <c r="B2617" s="25" t="s">
        <v>11317</v>
      </c>
      <c r="C2617" s="6" t="s">
        <v>10455</v>
      </c>
      <c r="D2617" s="13">
        <v>1643.3065349999999</v>
      </c>
      <c r="E2617" s="18">
        <v>10.5</v>
      </c>
      <c r="F2617" s="2">
        <f t="shared" si="80"/>
        <v>1815.8537211749999</v>
      </c>
      <c r="G2617" s="3">
        <v>0</v>
      </c>
      <c r="H2617" s="4">
        <v>0.7</v>
      </c>
      <c r="I2617" s="28">
        <f t="shared" si="81"/>
        <v>3086.9513259974997</v>
      </c>
    </row>
    <row r="2618" spans="1:9" ht="15.75" customHeight="1" x14ac:dyDescent="0.35">
      <c r="A2618" s="26" t="s">
        <v>5560</v>
      </c>
      <c r="B2618" s="25" t="s">
        <v>11318</v>
      </c>
      <c r="C2618" s="6" t="s">
        <v>10456</v>
      </c>
      <c r="D2618" s="13">
        <v>1643.3065349999999</v>
      </c>
      <c r="E2618" s="18">
        <v>10.5</v>
      </c>
      <c r="F2618" s="2">
        <f t="shared" si="80"/>
        <v>1815.8537211749999</v>
      </c>
      <c r="G2618" s="3">
        <v>0</v>
      </c>
      <c r="H2618" s="4">
        <v>0.7</v>
      </c>
      <c r="I2618" s="28">
        <f t="shared" si="81"/>
        <v>3086.9513259974997</v>
      </c>
    </row>
    <row r="2619" spans="1:9" ht="15.75" customHeight="1" x14ac:dyDescent="0.35">
      <c r="A2619" s="26" t="s">
        <v>4283</v>
      </c>
      <c r="B2619" s="25" t="s">
        <v>11319</v>
      </c>
      <c r="C2619" s="6" t="s">
        <v>10457</v>
      </c>
      <c r="D2619" s="13">
        <v>147617.37119999999</v>
      </c>
      <c r="E2619" s="18">
        <v>21</v>
      </c>
      <c r="F2619" s="2">
        <f t="shared" si="80"/>
        <v>178617.01915199999</v>
      </c>
      <c r="G2619" s="3">
        <v>0</v>
      </c>
      <c r="H2619" s="4">
        <v>0.7</v>
      </c>
      <c r="I2619" s="28">
        <f t="shared" si="81"/>
        <v>303648.93255839997</v>
      </c>
    </row>
    <row r="2620" spans="1:9" ht="15.75" customHeight="1" x14ac:dyDescent="0.35">
      <c r="A2620" s="26" t="s">
        <v>4986</v>
      </c>
      <c r="B2620" s="25" t="s">
        <v>11320</v>
      </c>
      <c r="C2620" s="6" t="s">
        <v>9096</v>
      </c>
      <c r="D2620" s="13">
        <v>1307.74513123319</v>
      </c>
      <c r="E2620" s="18">
        <v>21</v>
      </c>
      <c r="F2620" s="2">
        <f t="shared" si="80"/>
        <v>1582.3716087921598</v>
      </c>
      <c r="G2620" s="3">
        <v>0</v>
      </c>
      <c r="H2620" s="4">
        <v>0.7</v>
      </c>
      <c r="I2620" s="28">
        <f t="shared" si="81"/>
        <v>2690.0317349466718</v>
      </c>
    </row>
    <row r="2621" spans="1:9" ht="15.75" customHeight="1" x14ac:dyDescent="0.35">
      <c r="A2621" s="26" t="s">
        <v>5629</v>
      </c>
      <c r="B2621" s="25" t="s">
        <v>11321</v>
      </c>
      <c r="C2621" s="6" t="s">
        <v>408</v>
      </c>
      <c r="D2621" s="13">
        <v>23764.122200742673</v>
      </c>
      <c r="E2621" s="18">
        <v>21</v>
      </c>
      <c r="F2621" s="2">
        <f t="shared" si="80"/>
        <v>28754.587862898636</v>
      </c>
      <c r="G2621" s="3">
        <v>0</v>
      </c>
      <c r="H2621" s="4">
        <v>0.7</v>
      </c>
      <c r="I2621" s="28">
        <f t="shared" si="81"/>
        <v>48882.799366927677</v>
      </c>
    </row>
    <row r="2622" spans="1:9" ht="15.75" customHeight="1" x14ac:dyDescent="0.35">
      <c r="A2622" s="26" t="s">
        <v>10859</v>
      </c>
      <c r="B2622" s="25" t="s">
        <v>12654</v>
      </c>
      <c r="C2622" s="6" t="s">
        <v>13566</v>
      </c>
      <c r="D2622" s="13">
        <v>856.54998000000001</v>
      </c>
      <c r="E2622" s="18">
        <v>10.5</v>
      </c>
      <c r="F2622" s="2">
        <f t="shared" si="80"/>
        <v>946.48772789999998</v>
      </c>
      <c r="G2622" s="3">
        <v>0</v>
      </c>
      <c r="H2622" s="4">
        <v>0.7</v>
      </c>
      <c r="I2622" s="28">
        <f t="shared" si="81"/>
        <v>1609.02913743</v>
      </c>
    </row>
    <row r="2623" spans="1:9" ht="15.75" customHeight="1" x14ac:dyDescent="0.35">
      <c r="A2623" s="26" t="s">
        <v>9419</v>
      </c>
      <c r="B2623" s="25" t="s">
        <v>11322</v>
      </c>
      <c r="C2623" s="6" t="s">
        <v>13567</v>
      </c>
      <c r="D2623" s="13">
        <v>827.34941249999997</v>
      </c>
      <c r="E2623" s="18">
        <v>10.5</v>
      </c>
      <c r="F2623" s="2">
        <f t="shared" si="80"/>
        <v>914.22110081250003</v>
      </c>
      <c r="G2623" s="3">
        <v>0</v>
      </c>
      <c r="H2623" s="4">
        <v>0.7</v>
      </c>
      <c r="I2623" s="28">
        <f t="shared" si="81"/>
        <v>1554.1758713812501</v>
      </c>
    </row>
    <row r="2624" spans="1:9" ht="15.75" customHeight="1" x14ac:dyDescent="0.35">
      <c r="A2624" s="26" t="s">
        <v>5337</v>
      </c>
      <c r="B2624" s="25" t="s">
        <v>12024</v>
      </c>
      <c r="C2624" s="6" t="s">
        <v>10458</v>
      </c>
      <c r="D2624" s="13">
        <v>1744.5977640000001</v>
      </c>
      <c r="E2624" s="18">
        <v>10.5</v>
      </c>
      <c r="F2624" s="2">
        <f t="shared" si="80"/>
        <v>1927.7805292200001</v>
      </c>
      <c r="G2624" s="3">
        <v>0</v>
      </c>
      <c r="H2624" s="4">
        <v>0.7</v>
      </c>
      <c r="I2624" s="28">
        <f t="shared" si="81"/>
        <v>3277.2268996739999</v>
      </c>
    </row>
    <row r="2625" spans="1:9" ht="15.75" customHeight="1" x14ac:dyDescent="0.35">
      <c r="A2625" s="26" t="s">
        <v>5339</v>
      </c>
      <c r="B2625" s="25" t="s">
        <v>12025</v>
      </c>
      <c r="C2625" s="6" t="s">
        <v>10459</v>
      </c>
      <c r="D2625" s="13">
        <v>1616.8288500000001</v>
      </c>
      <c r="E2625" s="18">
        <v>10.5</v>
      </c>
      <c r="F2625" s="2">
        <f t="shared" si="80"/>
        <v>1786.5958792500001</v>
      </c>
      <c r="G2625" s="3">
        <v>0</v>
      </c>
      <c r="H2625" s="4">
        <v>0.7</v>
      </c>
      <c r="I2625" s="28">
        <f t="shared" si="81"/>
        <v>3037.212994725</v>
      </c>
    </row>
    <row r="2626" spans="1:9" ht="15.75" customHeight="1" x14ac:dyDescent="0.35">
      <c r="A2626" s="26" t="s">
        <v>5338</v>
      </c>
      <c r="B2626" s="25" t="s">
        <v>11535</v>
      </c>
      <c r="C2626" s="6" t="s">
        <v>10462</v>
      </c>
      <c r="D2626" s="13">
        <v>1652.7708990000001</v>
      </c>
      <c r="E2626" s="18">
        <v>10.5</v>
      </c>
      <c r="F2626" s="2">
        <f t="shared" si="80"/>
        <v>1826.3118433950001</v>
      </c>
      <c r="G2626" s="3">
        <v>0</v>
      </c>
      <c r="H2626" s="4">
        <v>0.7</v>
      </c>
      <c r="I2626" s="28">
        <f t="shared" si="81"/>
        <v>3104.7301337715003</v>
      </c>
    </row>
    <row r="2627" spans="1:9" ht="15.75" customHeight="1" x14ac:dyDescent="0.35">
      <c r="A2627" s="26" t="s">
        <v>10861</v>
      </c>
      <c r="B2627" s="25" t="s">
        <v>13088</v>
      </c>
      <c r="C2627" s="6" t="s">
        <v>13568</v>
      </c>
      <c r="D2627" s="13">
        <v>856.54998000000001</v>
      </c>
      <c r="E2627" s="18">
        <v>10.5</v>
      </c>
      <c r="F2627" s="2">
        <f t="shared" si="80"/>
        <v>946.48772789999998</v>
      </c>
      <c r="G2627" s="3">
        <v>0</v>
      </c>
      <c r="H2627" s="4">
        <v>0.7</v>
      </c>
      <c r="I2627" s="28">
        <f t="shared" si="81"/>
        <v>1609.02913743</v>
      </c>
    </row>
    <row r="2628" spans="1:9" ht="15.75" customHeight="1" x14ac:dyDescent="0.35">
      <c r="A2628" s="26" t="s">
        <v>5340</v>
      </c>
      <c r="B2628" s="25" t="s">
        <v>13105</v>
      </c>
      <c r="C2628" s="6" t="s">
        <v>13578</v>
      </c>
      <c r="D2628" s="13">
        <v>856.54998000000001</v>
      </c>
      <c r="E2628" s="18">
        <v>10.5</v>
      </c>
      <c r="F2628" s="2">
        <f t="shared" si="80"/>
        <v>946.48772789999998</v>
      </c>
      <c r="G2628" s="3">
        <v>0</v>
      </c>
      <c r="H2628" s="4">
        <v>0.7</v>
      </c>
      <c r="I2628" s="28">
        <f t="shared" si="81"/>
        <v>1609.02913743</v>
      </c>
    </row>
    <row r="2629" spans="1:9" ht="15.75" customHeight="1" x14ac:dyDescent="0.35">
      <c r="A2629" s="26" t="s">
        <v>9306</v>
      </c>
      <c r="B2629" s="25" t="s">
        <v>13089</v>
      </c>
      <c r="C2629" s="6" t="s">
        <v>9332</v>
      </c>
      <c r="D2629" s="13">
        <v>3714.69422414172</v>
      </c>
      <c r="E2629" s="18">
        <v>21</v>
      </c>
      <c r="F2629" s="2">
        <f t="shared" si="80"/>
        <v>4494.780011211481</v>
      </c>
      <c r="G2629" s="3">
        <v>0</v>
      </c>
      <c r="H2629" s="4">
        <v>0.7</v>
      </c>
      <c r="I2629" s="28">
        <f t="shared" si="81"/>
        <v>7641.1260190595176</v>
      </c>
    </row>
    <row r="2630" spans="1:9" ht="15.75" customHeight="1" x14ac:dyDescent="0.35">
      <c r="A2630" s="26" t="s">
        <v>9023</v>
      </c>
      <c r="B2630" s="25" t="s">
        <v>11536</v>
      </c>
      <c r="C2630" s="6" t="s">
        <v>9024</v>
      </c>
      <c r="D2630" s="13">
        <v>22034.112736284998</v>
      </c>
      <c r="E2630" s="18">
        <v>21</v>
      </c>
      <c r="F2630" s="2">
        <f t="shared" ref="F2630:F2693" si="82">D2630*E2630/100+D2630</f>
        <v>26661.276410904848</v>
      </c>
      <c r="G2630" s="3">
        <v>0</v>
      </c>
      <c r="H2630" s="4">
        <v>0.7</v>
      </c>
      <c r="I2630" s="28">
        <f t="shared" ref="I2630:I2693" si="83">IF(G2630=-1,0,F2630*((100-G2630)/100)*(1+H2630))</f>
        <v>45324.169898538239</v>
      </c>
    </row>
    <row r="2631" spans="1:9" ht="15.75" customHeight="1" x14ac:dyDescent="0.35">
      <c r="A2631" s="26" t="s">
        <v>9025</v>
      </c>
      <c r="B2631" s="25" t="s">
        <v>11537</v>
      </c>
      <c r="C2631" s="6" t="s">
        <v>9026</v>
      </c>
      <c r="D2631" s="13">
        <v>38055.706995280001</v>
      </c>
      <c r="E2631" s="18">
        <v>21</v>
      </c>
      <c r="F2631" s="2">
        <f t="shared" si="82"/>
        <v>46047.4054642888</v>
      </c>
      <c r="G2631" s="3">
        <v>0</v>
      </c>
      <c r="H2631" s="4">
        <v>0.7</v>
      </c>
      <c r="I2631" s="28">
        <f t="shared" si="83"/>
        <v>78280.589289290961</v>
      </c>
    </row>
    <row r="2632" spans="1:9" ht="15.75" customHeight="1" x14ac:dyDescent="0.35">
      <c r="A2632" s="26" t="s">
        <v>3317</v>
      </c>
      <c r="B2632" s="25" t="s">
        <v>11538</v>
      </c>
      <c r="C2632" s="6" t="s">
        <v>9027</v>
      </c>
      <c r="D2632" s="13">
        <v>19635.378506379999</v>
      </c>
      <c r="E2632" s="18">
        <v>21</v>
      </c>
      <c r="F2632" s="2">
        <f t="shared" si="82"/>
        <v>23758.807992719798</v>
      </c>
      <c r="G2632" s="3">
        <v>0</v>
      </c>
      <c r="H2632" s="4">
        <v>0.7</v>
      </c>
      <c r="I2632" s="28">
        <f t="shared" si="83"/>
        <v>40389.973587623652</v>
      </c>
    </row>
    <row r="2633" spans="1:9" ht="15.75" customHeight="1" x14ac:dyDescent="0.35">
      <c r="A2633" s="26" t="s">
        <v>5849</v>
      </c>
      <c r="B2633" s="25" t="s">
        <v>13090</v>
      </c>
      <c r="C2633" s="6" t="s">
        <v>1265</v>
      </c>
      <c r="D2633" s="13">
        <v>24498.720000000001</v>
      </c>
      <c r="E2633" s="18">
        <v>21</v>
      </c>
      <c r="F2633" s="2">
        <f t="shared" si="82"/>
        <v>29643.451200000003</v>
      </c>
      <c r="G2633" s="3">
        <v>0</v>
      </c>
      <c r="H2633" s="4">
        <v>0.7</v>
      </c>
      <c r="I2633" s="28">
        <f t="shared" si="83"/>
        <v>50393.867040000005</v>
      </c>
    </row>
    <row r="2634" spans="1:9" ht="15.75" customHeight="1" x14ac:dyDescent="0.35">
      <c r="A2634" s="26" t="s">
        <v>3318</v>
      </c>
      <c r="B2634" s="25" t="s">
        <v>10991</v>
      </c>
      <c r="C2634" s="6" t="s">
        <v>409</v>
      </c>
      <c r="D2634" s="13">
        <v>10076.6616132</v>
      </c>
      <c r="E2634" s="18">
        <v>21</v>
      </c>
      <c r="F2634" s="2">
        <f t="shared" si="82"/>
        <v>12192.760551972</v>
      </c>
      <c r="G2634" s="3">
        <v>0</v>
      </c>
      <c r="H2634" s="4">
        <v>0.7</v>
      </c>
      <c r="I2634" s="28">
        <f t="shared" si="83"/>
        <v>20727.6929383524</v>
      </c>
    </row>
    <row r="2635" spans="1:9" ht="15.75" customHeight="1" x14ac:dyDescent="0.35">
      <c r="A2635" s="26" t="s">
        <v>3650</v>
      </c>
      <c r="B2635" s="25" t="s">
        <v>11539</v>
      </c>
      <c r="C2635" s="6" t="s">
        <v>410</v>
      </c>
      <c r="D2635" s="13">
        <v>7002.4258668000002</v>
      </c>
      <c r="E2635" s="18">
        <v>21</v>
      </c>
      <c r="F2635" s="2">
        <f t="shared" si="82"/>
        <v>8472.9352988280007</v>
      </c>
      <c r="G2635" s="3">
        <v>0</v>
      </c>
      <c r="H2635" s="4">
        <v>0.7</v>
      </c>
      <c r="I2635" s="28">
        <f t="shared" si="83"/>
        <v>14403.9900080076</v>
      </c>
    </row>
    <row r="2636" spans="1:9" ht="15.75" customHeight="1" x14ac:dyDescent="0.35">
      <c r="A2636" s="26" t="s">
        <v>11994</v>
      </c>
      <c r="B2636" s="25" t="s">
        <v>5888</v>
      </c>
      <c r="C2636" s="6" t="s">
        <v>11995</v>
      </c>
      <c r="D2636" s="13">
        <v>11812.129874999999</v>
      </c>
      <c r="E2636" s="18">
        <v>21</v>
      </c>
      <c r="F2636" s="2">
        <f t="shared" si="82"/>
        <v>14292.677148749997</v>
      </c>
      <c r="G2636" s="3">
        <v>0</v>
      </c>
      <c r="H2636" s="4">
        <v>0.7</v>
      </c>
      <c r="I2636" s="28">
        <f t="shared" si="83"/>
        <v>24297.551152874996</v>
      </c>
    </row>
    <row r="2637" spans="1:9" ht="15.75" customHeight="1" x14ac:dyDescent="0.35">
      <c r="A2637" s="26" t="s">
        <v>11507</v>
      </c>
      <c r="B2637" s="25" t="s">
        <v>11540</v>
      </c>
      <c r="C2637" s="6" t="s">
        <v>11508</v>
      </c>
      <c r="D2637" s="13">
        <v>11812.129874999999</v>
      </c>
      <c r="E2637" s="18">
        <v>21</v>
      </c>
      <c r="F2637" s="2">
        <f t="shared" si="82"/>
        <v>14292.677148749997</v>
      </c>
      <c r="G2637" s="3">
        <v>0</v>
      </c>
      <c r="H2637" s="4">
        <v>0.7</v>
      </c>
      <c r="I2637" s="28">
        <f t="shared" si="83"/>
        <v>24297.551152874996</v>
      </c>
    </row>
    <row r="2638" spans="1:9" ht="15.75" customHeight="1" x14ac:dyDescent="0.35">
      <c r="A2638" s="26" t="s">
        <v>11996</v>
      </c>
      <c r="B2638" s="25" t="s">
        <v>10432</v>
      </c>
      <c r="C2638" s="6" t="s">
        <v>11997</v>
      </c>
      <c r="D2638" s="13">
        <v>13000.771875</v>
      </c>
      <c r="E2638" s="18">
        <v>21</v>
      </c>
      <c r="F2638" s="2">
        <f t="shared" si="82"/>
        <v>15730.93396875</v>
      </c>
      <c r="G2638" s="3">
        <v>0</v>
      </c>
      <c r="H2638" s="4">
        <v>0.7</v>
      </c>
      <c r="I2638" s="28">
        <f t="shared" si="83"/>
        <v>26742.587746875</v>
      </c>
    </row>
    <row r="2639" spans="1:9" ht="15.75" customHeight="1" x14ac:dyDescent="0.35">
      <c r="A2639" s="26" t="s">
        <v>11509</v>
      </c>
      <c r="B2639" s="25" t="s">
        <v>10433</v>
      </c>
      <c r="C2639" s="6" t="s">
        <v>11510</v>
      </c>
      <c r="D2639" s="13">
        <v>13000.771875</v>
      </c>
      <c r="E2639" s="18">
        <v>21</v>
      </c>
      <c r="F2639" s="2">
        <f t="shared" si="82"/>
        <v>15730.93396875</v>
      </c>
      <c r="G2639" s="3">
        <v>0</v>
      </c>
      <c r="H2639" s="4">
        <v>0.7</v>
      </c>
      <c r="I2639" s="28">
        <f t="shared" si="83"/>
        <v>26742.587746875</v>
      </c>
    </row>
    <row r="2640" spans="1:9" ht="15.75" customHeight="1" x14ac:dyDescent="0.35">
      <c r="A2640" s="26" t="s">
        <v>11998</v>
      </c>
      <c r="B2640" s="25" t="s">
        <v>10434</v>
      </c>
      <c r="C2640" s="6" t="s">
        <v>11999</v>
      </c>
      <c r="D2640" s="13">
        <v>9201.3626249999998</v>
      </c>
      <c r="E2640" s="18">
        <v>21</v>
      </c>
      <c r="F2640" s="2">
        <f t="shared" si="82"/>
        <v>11133.64877625</v>
      </c>
      <c r="G2640" s="3">
        <v>0</v>
      </c>
      <c r="H2640" s="4">
        <v>0.7</v>
      </c>
      <c r="I2640" s="28">
        <f t="shared" si="83"/>
        <v>18927.202919625001</v>
      </c>
    </row>
    <row r="2641" spans="1:9" ht="15.75" customHeight="1" x14ac:dyDescent="0.35">
      <c r="A2641" s="26" t="s">
        <v>11511</v>
      </c>
      <c r="B2641" s="25" t="s">
        <v>10435</v>
      </c>
      <c r="C2641" s="6" t="s">
        <v>11512</v>
      </c>
      <c r="D2641" s="13">
        <v>9201.3626249999998</v>
      </c>
      <c r="E2641" s="18">
        <v>21</v>
      </c>
      <c r="F2641" s="2">
        <f t="shared" si="82"/>
        <v>11133.64877625</v>
      </c>
      <c r="G2641" s="3">
        <v>0</v>
      </c>
      <c r="H2641" s="4">
        <v>0.7</v>
      </c>
      <c r="I2641" s="28">
        <f t="shared" si="83"/>
        <v>18927.202919625001</v>
      </c>
    </row>
    <row r="2642" spans="1:9" ht="15.75" customHeight="1" x14ac:dyDescent="0.35">
      <c r="A2642" s="26" t="s">
        <v>11632</v>
      </c>
      <c r="B2642" s="25" t="s">
        <v>9416</v>
      </c>
      <c r="C2642" s="6" t="s">
        <v>11633</v>
      </c>
      <c r="D2642" s="13">
        <v>10453.681875</v>
      </c>
      <c r="E2642" s="18">
        <v>21</v>
      </c>
      <c r="F2642" s="2">
        <f t="shared" si="82"/>
        <v>12648.95506875</v>
      </c>
      <c r="G2642" s="3">
        <v>0</v>
      </c>
      <c r="H2642" s="4">
        <v>0.7</v>
      </c>
      <c r="I2642" s="28">
        <f t="shared" si="83"/>
        <v>21503.223616874999</v>
      </c>
    </row>
    <row r="2643" spans="1:9" ht="15.75" customHeight="1" x14ac:dyDescent="0.35">
      <c r="A2643" s="26" t="s">
        <v>11513</v>
      </c>
      <c r="B2643" s="25" t="s">
        <v>9522</v>
      </c>
      <c r="C2643" s="6" t="s">
        <v>11514</v>
      </c>
      <c r="D2643" s="13">
        <v>10453.681875</v>
      </c>
      <c r="E2643" s="18">
        <v>21</v>
      </c>
      <c r="F2643" s="2">
        <f t="shared" si="82"/>
        <v>12648.95506875</v>
      </c>
      <c r="G2643" s="3">
        <v>0</v>
      </c>
      <c r="H2643" s="4">
        <v>0.7</v>
      </c>
      <c r="I2643" s="28">
        <f t="shared" si="83"/>
        <v>21503.223616874999</v>
      </c>
    </row>
    <row r="2644" spans="1:9" ht="15.75" customHeight="1" x14ac:dyDescent="0.35">
      <c r="A2644" s="26" t="s">
        <v>3639</v>
      </c>
      <c r="B2644" s="25" t="s">
        <v>9523</v>
      </c>
      <c r="C2644" s="6" t="s">
        <v>10464</v>
      </c>
      <c r="D2644" s="13">
        <v>12745.005507</v>
      </c>
      <c r="E2644" s="18">
        <v>21</v>
      </c>
      <c r="F2644" s="2">
        <f t="shared" si="82"/>
        <v>15421.456663469999</v>
      </c>
      <c r="G2644" s="3">
        <v>0</v>
      </c>
      <c r="H2644" s="4">
        <v>0.7</v>
      </c>
      <c r="I2644" s="28">
        <f t="shared" si="83"/>
        <v>26216.476327898996</v>
      </c>
    </row>
    <row r="2645" spans="1:9" ht="15.75" customHeight="1" x14ac:dyDescent="0.35">
      <c r="A2645" s="26" t="s">
        <v>3640</v>
      </c>
      <c r="B2645" s="25" t="s">
        <v>9524</v>
      </c>
      <c r="C2645" s="6" t="s">
        <v>10465</v>
      </c>
      <c r="D2645" s="13">
        <v>12745.005507</v>
      </c>
      <c r="E2645" s="18">
        <v>21</v>
      </c>
      <c r="F2645" s="2">
        <f t="shared" si="82"/>
        <v>15421.456663469999</v>
      </c>
      <c r="G2645" s="3">
        <v>0</v>
      </c>
      <c r="H2645" s="4">
        <v>0.7</v>
      </c>
      <c r="I2645" s="28">
        <f t="shared" si="83"/>
        <v>26216.476327898996</v>
      </c>
    </row>
    <row r="2646" spans="1:9" ht="15.75" customHeight="1" x14ac:dyDescent="0.35">
      <c r="A2646" s="26" t="s">
        <v>3641</v>
      </c>
      <c r="B2646" s="25" t="s">
        <v>13269</v>
      </c>
      <c r="C2646" s="6" t="s">
        <v>10466</v>
      </c>
      <c r="D2646" s="13">
        <v>24180.999336000001</v>
      </c>
      <c r="E2646" s="18">
        <v>21</v>
      </c>
      <c r="F2646" s="2">
        <f t="shared" si="82"/>
        <v>29259.00919656</v>
      </c>
      <c r="G2646" s="3">
        <v>0</v>
      </c>
      <c r="H2646" s="4">
        <v>0.7</v>
      </c>
      <c r="I2646" s="28">
        <f t="shared" si="83"/>
        <v>49740.315634152001</v>
      </c>
    </row>
    <row r="2647" spans="1:9" ht="15.75" customHeight="1" x14ac:dyDescent="0.35">
      <c r="A2647" s="26" t="s">
        <v>3642</v>
      </c>
      <c r="B2647" s="25" t="s">
        <v>10436</v>
      </c>
      <c r="C2647" s="6" t="s">
        <v>10467</v>
      </c>
      <c r="D2647" s="13">
        <v>24180.999336000001</v>
      </c>
      <c r="E2647" s="18">
        <v>21</v>
      </c>
      <c r="F2647" s="2">
        <f t="shared" si="82"/>
        <v>29259.00919656</v>
      </c>
      <c r="G2647" s="3">
        <v>0</v>
      </c>
      <c r="H2647" s="4">
        <v>0.7</v>
      </c>
      <c r="I2647" s="28">
        <f t="shared" si="83"/>
        <v>49740.315634152001</v>
      </c>
    </row>
    <row r="2648" spans="1:9" ht="15.75" customHeight="1" x14ac:dyDescent="0.35">
      <c r="A2648" s="26" t="s">
        <v>3654</v>
      </c>
      <c r="B2648" s="25" t="s">
        <v>13106</v>
      </c>
      <c r="C2648" s="6" t="s">
        <v>10673</v>
      </c>
      <c r="D2648" s="13">
        <v>42969.789954</v>
      </c>
      <c r="E2648" s="18">
        <v>21</v>
      </c>
      <c r="F2648" s="2">
        <f t="shared" si="82"/>
        <v>51993.44584434</v>
      </c>
      <c r="G2648" s="3">
        <v>0</v>
      </c>
      <c r="H2648" s="4">
        <v>0.7</v>
      </c>
      <c r="I2648" s="28">
        <f t="shared" si="83"/>
        <v>88388.857935377993</v>
      </c>
    </row>
    <row r="2649" spans="1:9" ht="15.75" customHeight="1" x14ac:dyDescent="0.35">
      <c r="A2649" s="26" t="s">
        <v>3655</v>
      </c>
      <c r="B2649" s="25" t="s">
        <v>10437</v>
      </c>
      <c r="C2649" s="6" t="s">
        <v>12000</v>
      </c>
      <c r="D2649" s="13">
        <v>3640.337415</v>
      </c>
      <c r="E2649" s="18">
        <v>21</v>
      </c>
      <c r="F2649" s="2">
        <f t="shared" si="82"/>
        <v>4404.8082721499995</v>
      </c>
      <c r="G2649" s="3">
        <v>0</v>
      </c>
      <c r="H2649" s="4">
        <v>0.7</v>
      </c>
      <c r="I2649" s="28">
        <f t="shared" si="83"/>
        <v>7488.174062654999</v>
      </c>
    </row>
    <row r="2650" spans="1:9" ht="15.75" customHeight="1" x14ac:dyDescent="0.35">
      <c r="A2650" s="26" t="s">
        <v>3657</v>
      </c>
      <c r="B2650" s="25" t="s">
        <v>11602</v>
      </c>
      <c r="C2650" s="6" t="s">
        <v>12606</v>
      </c>
      <c r="D2650" s="13">
        <v>3017.391975</v>
      </c>
      <c r="E2650" s="18">
        <v>21</v>
      </c>
      <c r="F2650" s="2">
        <f t="shared" si="82"/>
        <v>3651.0442897499997</v>
      </c>
      <c r="G2650" s="3">
        <v>0</v>
      </c>
      <c r="H2650" s="4">
        <v>0.7</v>
      </c>
      <c r="I2650" s="28">
        <f t="shared" si="83"/>
        <v>6206.7752925749992</v>
      </c>
    </row>
    <row r="2651" spans="1:9" ht="15.75" customHeight="1" x14ac:dyDescent="0.35">
      <c r="A2651" s="26" t="s">
        <v>3656</v>
      </c>
      <c r="B2651" s="25" t="s">
        <v>11603</v>
      </c>
      <c r="C2651" s="6" t="s">
        <v>12001</v>
      </c>
      <c r="D2651" s="13">
        <v>5859.5805450000007</v>
      </c>
      <c r="E2651" s="18">
        <v>21</v>
      </c>
      <c r="F2651" s="2">
        <f t="shared" si="82"/>
        <v>7090.0924594500011</v>
      </c>
      <c r="G2651" s="3">
        <v>0</v>
      </c>
      <c r="H2651" s="4">
        <v>0.7</v>
      </c>
      <c r="I2651" s="28">
        <f t="shared" si="83"/>
        <v>12053.157181065002</v>
      </c>
    </row>
    <row r="2652" spans="1:9" ht="15.75" customHeight="1" x14ac:dyDescent="0.35">
      <c r="A2652" s="26" t="s">
        <v>3658</v>
      </c>
      <c r="B2652" s="25" t="s">
        <v>9997</v>
      </c>
      <c r="C2652" s="6" t="s">
        <v>10468</v>
      </c>
      <c r="D2652" s="13">
        <v>46512.24957054</v>
      </c>
      <c r="E2652" s="18">
        <v>21</v>
      </c>
      <c r="F2652" s="2">
        <f t="shared" si="82"/>
        <v>56279.821980353401</v>
      </c>
      <c r="G2652" s="3">
        <v>0</v>
      </c>
      <c r="H2652" s="4">
        <v>0.7</v>
      </c>
      <c r="I2652" s="28">
        <f t="shared" si="83"/>
        <v>95675.697366600783</v>
      </c>
    </row>
    <row r="2653" spans="1:9" ht="15.75" customHeight="1" x14ac:dyDescent="0.35">
      <c r="A2653" s="26" t="s">
        <v>3659</v>
      </c>
      <c r="B2653" s="25" t="s">
        <v>11504</v>
      </c>
      <c r="C2653" s="6" t="s">
        <v>13656</v>
      </c>
      <c r="D2653" s="13">
        <v>13142.850981</v>
      </c>
      <c r="E2653" s="18">
        <v>21</v>
      </c>
      <c r="F2653" s="2">
        <f t="shared" si="82"/>
        <v>15902.849687009999</v>
      </c>
      <c r="G2653" s="3">
        <v>0</v>
      </c>
      <c r="H2653" s="4">
        <v>0.7</v>
      </c>
      <c r="I2653" s="28">
        <f t="shared" si="83"/>
        <v>27034.844467916999</v>
      </c>
    </row>
    <row r="2654" spans="1:9" ht="15.75" customHeight="1" x14ac:dyDescent="0.35">
      <c r="A2654" s="26" t="s">
        <v>3660</v>
      </c>
      <c r="B2654" s="25" t="s">
        <v>9998</v>
      </c>
      <c r="C2654" s="6" t="s">
        <v>12297</v>
      </c>
      <c r="D2654" s="13">
        <v>12871.610154</v>
      </c>
      <c r="E2654" s="18">
        <v>21</v>
      </c>
      <c r="F2654" s="2">
        <f t="shared" si="82"/>
        <v>15574.64828634</v>
      </c>
      <c r="G2654" s="3">
        <v>0</v>
      </c>
      <c r="H2654" s="4">
        <v>0.7</v>
      </c>
      <c r="I2654" s="28">
        <f t="shared" si="83"/>
        <v>26476.902086777998</v>
      </c>
    </row>
    <row r="2655" spans="1:9" ht="15.75" customHeight="1" x14ac:dyDescent="0.35">
      <c r="A2655" s="26" t="s">
        <v>3643</v>
      </c>
      <c r="B2655" s="25" t="s">
        <v>12571</v>
      </c>
      <c r="C2655" s="6" t="s">
        <v>10469</v>
      </c>
      <c r="D2655" s="13">
        <v>33321.208869000002</v>
      </c>
      <c r="E2655" s="18">
        <v>21</v>
      </c>
      <c r="F2655" s="2">
        <f t="shared" si="82"/>
        <v>40318.662731490003</v>
      </c>
      <c r="G2655" s="3">
        <v>0</v>
      </c>
      <c r="H2655" s="4">
        <v>0.7</v>
      </c>
      <c r="I2655" s="28">
        <f t="shared" si="83"/>
        <v>68541.726643533009</v>
      </c>
    </row>
    <row r="2656" spans="1:9" ht="15.75" customHeight="1" x14ac:dyDescent="0.35">
      <c r="A2656" s="26" t="s">
        <v>3644</v>
      </c>
      <c r="B2656" s="25" t="s">
        <v>11506</v>
      </c>
      <c r="C2656" s="6" t="s">
        <v>10470</v>
      </c>
      <c r="D2656" s="13">
        <v>33321.208869000002</v>
      </c>
      <c r="E2656" s="18">
        <v>21</v>
      </c>
      <c r="F2656" s="2">
        <f t="shared" si="82"/>
        <v>40318.662731490003</v>
      </c>
      <c r="G2656" s="3">
        <v>0</v>
      </c>
      <c r="H2656" s="4">
        <v>0.7</v>
      </c>
      <c r="I2656" s="28">
        <f t="shared" si="83"/>
        <v>68541.726643533009</v>
      </c>
    </row>
    <row r="2657" spans="1:9" ht="15.75" customHeight="1" x14ac:dyDescent="0.35">
      <c r="A2657" s="26" t="s">
        <v>3645</v>
      </c>
      <c r="B2657" s="25" t="s">
        <v>9999</v>
      </c>
      <c r="C2657" s="6" t="s">
        <v>10471</v>
      </c>
      <c r="D2657" s="13">
        <v>11782.2181179406</v>
      </c>
      <c r="E2657" s="18">
        <v>21</v>
      </c>
      <c r="F2657" s="2">
        <f t="shared" si="82"/>
        <v>14256.483922708125</v>
      </c>
      <c r="G2657" s="3">
        <v>0</v>
      </c>
      <c r="H2657" s="4">
        <v>0.7</v>
      </c>
      <c r="I2657" s="28">
        <f t="shared" si="83"/>
        <v>24236.022668603811</v>
      </c>
    </row>
    <row r="2658" spans="1:9" ht="15.75" customHeight="1" x14ac:dyDescent="0.35">
      <c r="A2658" s="26" t="s">
        <v>3646</v>
      </c>
      <c r="B2658" s="25" t="s">
        <v>12989</v>
      </c>
      <c r="C2658" s="6" t="s">
        <v>10472</v>
      </c>
      <c r="D2658" s="13">
        <v>11782.2181179406</v>
      </c>
      <c r="E2658" s="18">
        <v>21</v>
      </c>
      <c r="F2658" s="2">
        <f t="shared" si="82"/>
        <v>14256.483922708125</v>
      </c>
      <c r="G2658" s="3">
        <v>0</v>
      </c>
      <c r="H2658" s="4">
        <v>0.7</v>
      </c>
      <c r="I2658" s="28">
        <f t="shared" si="83"/>
        <v>24236.022668603811</v>
      </c>
    </row>
    <row r="2659" spans="1:9" ht="15.75" customHeight="1" x14ac:dyDescent="0.35">
      <c r="A2659" s="26" t="s">
        <v>3647</v>
      </c>
      <c r="B2659" s="25" t="s">
        <v>11376</v>
      </c>
      <c r="C2659" s="6" t="s">
        <v>10473</v>
      </c>
      <c r="D2659" s="13">
        <v>22434.260823000001</v>
      </c>
      <c r="E2659" s="18">
        <v>21</v>
      </c>
      <c r="F2659" s="2">
        <f t="shared" si="82"/>
        <v>27145.455595830001</v>
      </c>
      <c r="G2659" s="3">
        <v>0</v>
      </c>
      <c r="H2659" s="4">
        <v>0.7</v>
      </c>
      <c r="I2659" s="28">
        <f t="shared" si="83"/>
        <v>46147.274512910997</v>
      </c>
    </row>
    <row r="2660" spans="1:9" ht="15.75" customHeight="1" x14ac:dyDescent="0.35">
      <c r="A2660" s="26" t="s">
        <v>3648</v>
      </c>
      <c r="B2660" s="25" t="s">
        <v>11604</v>
      </c>
      <c r="C2660" s="6" t="s">
        <v>10474</v>
      </c>
      <c r="D2660" s="13">
        <v>22434.260823000001</v>
      </c>
      <c r="E2660" s="18">
        <v>21</v>
      </c>
      <c r="F2660" s="2">
        <f t="shared" si="82"/>
        <v>27145.455595830001</v>
      </c>
      <c r="G2660" s="3">
        <v>0</v>
      </c>
      <c r="H2660" s="4">
        <v>0.7</v>
      </c>
      <c r="I2660" s="28">
        <f t="shared" si="83"/>
        <v>46147.274512910997</v>
      </c>
    </row>
    <row r="2661" spans="1:9" ht="15.75" customHeight="1" x14ac:dyDescent="0.35">
      <c r="A2661" s="26" t="s">
        <v>3662</v>
      </c>
      <c r="B2661" s="25" t="s">
        <v>10313</v>
      </c>
      <c r="C2661" s="6" t="s">
        <v>13184</v>
      </c>
      <c r="D2661" s="13">
        <v>2589.1169850000001</v>
      </c>
      <c r="E2661" s="18">
        <v>21</v>
      </c>
      <c r="F2661" s="2">
        <f t="shared" si="82"/>
        <v>3132.8315518500003</v>
      </c>
      <c r="G2661" s="3">
        <v>0</v>
      </c>
      <c r="H2661" s="4">
        <v>0.7</v>
      </c>
      <c r="I2661" s="28">
        <f t="shared" si="83"/>
        <v>5325.8136381450004</v>
      </c>
    </row>
    <row r="2662" spans="1:9" ht="15.75" customHeight="1" x14ac:dyDescent="0.35">
      <c r="A2662" s="26" t="s">
        <v>3664</v>
      </c>
      <c r="B2662" s="25" t="s">
        <v>10000</v>
      </c>
      <c r="C2662" s="6" t="s">
        <v>12622</v>
      </c>
      <c r="D2662" s="13">
        <v>2180.3090400000001</v>
      </c>
      <c r="E2662" s="18">
        <v>21</v>
      </c>
      <c r="F2662" s="2">
        <f t="shared" si="82"/>
        <v>2638.1739384000002</v>
      </c>
      <c r="G2662" s="3">
        <v>0</v>
      </c>
      <c r="H2662" s="4">
        <v>0.7</v>
      </c>
      <c r="I2662" s="28">
        <f t="shared" si="83"/>
        <v>4484.8956952799999</v>
      </c>
    </row>
    <row r="2663" spans="1:9" ht="15.75" customHeight="1" x14ac:dyDescent="0.35">
      <c r="A2663" s="26" t="s">
        <v>3661</v>
      </c>
      <c r="B2663" s="25" t="s">
        <v>13116</v>
      </c>
      <c r="C2663" s="6" t="s">
        <v>12002</v>
      </c>
      <c r="D2663" s="13">
        <v>5119.8328350000002</v>
      </c>
      <c r="E2663" s="18">
        <v>10.5</v>
      </c>
      <c r="F2663" s="2">
        <f t="shared" si="82"/>
        <v>5657.4152826750005</v>
      </c>
      <c r="G2663" s="3">
        <v>0</v>
      </c>
      <c r="H2663" s="4">
        <v>0.7</v>
      </c>
      <c r="I2663" s="28">
        <f t="shared" si="83"/>
        <v>9617.6059805475015</v>
      </c>
    </row>
    <row r="2664" spans="1:9" ht="15.75" customHeight="1" x14ac:dyDescent="0.35">
      <c r="A2664" s="26" t="s">
        <v>13334</v>
      </c>
      <c r="B2664" s="25" t="s">
        <v>11606</v>
      </c>
      <c r="C2664" s="6" t="s">
        <v>13764</v>
      </c>
      <c r="D2664" s="13">
        <v>3051.3404958045498</v>
      </c>
      <c r="E2664" s="18">
        <v>21</v>
      </c>
      <c r="F2664" s="2">
        <f t="shared" si="82"/>
        <v>3692.1219999235054</v>
      </c>
      <c r="G2664" s="3">
        <v>0</v>
      </c>
      <c r="H2664" s="4">
        <v>0.7</v>
      </c>
      <c r="I2664" s="28">
        <f t="shared" si="83"/>
        <v>6276.6073998699594</v>
      </c>
    </row>
    <row r="2665" spans="1:9" ht="15.75" customHeight="1" x14ac:dyDescent="0.35">
      <c r="A2665" s="26" t="s">
        <v>13908</v>
      </c>
      <c r="B2665" s="25" t="s">
        <v>11607</v>
      </c>
      <c r="C2665" s="6" t="s">
        <v>13931</v>
      </c>
      <c r="D2665" s="13">
        <v>3617.2917696846198</v>
      </c>
      <c r="E2665" s="18">
        <v>21</v>
      </c>
      <c r="F2665" s="2">
        <f t="shared" si="82"/>
        <v>4376.9230413183896</v>
      </c>
      <c r="G2665" s="3">
        <v>0</v>
      </c>
      <c r="H2665" s="4">
        <v>0.7</v>
      </c>
      <c r="I2665" s="28">
        <f t="shared" si="83"/>
        <v>7440.7691702412621</v>
      </c>
    </row>
    <row r="2666" spans="1:9" ht="15.75" customHeight="1" x14ac:dyDescent="0.35">
      <c r="A2666" s="26" t="s">
        <v>13338</v>
      </c>
      <c r="B2666" s="25" t="s">
        <v>10315</v>
      </c>
      <c r="C2666" s="6" t="s">
        <v>13765</v>
      </c>
      <c r="D2666" s="13">
        <v>2532.6142227672599</v>
      </c>
      <c r="E2666" s="18">
        <v>21</v>
      </c>
      <c r="F2666" s="2">
        <f t="shared" si="82"/>
        <v>3064.4632095483844</v>
      </c>
      <c r="G2666" s="3">
        <v>0</v>
      </c>
      <c r="H2666" s="4">
        <v>0.7</v>
      </c>
      <c r="I2666" s="28">
        <f t="shared" si="83"/>
        <v>5209.5874562322533</v>
      </c>
    </row>
    <row r="2667" spans="1:9" ht="15.75" customHeight="1" x14ac:dyDescent="0.35">
      <c r="A2667" s="26" t="s">
        <v>13766</v>
      </c>
      <c r="B2667" s="25" t="s">
        <v>10840</v>
      </c>
      <c r="C2667" s="6" t="s">
        <v>13767</v>
      </c>
      <c r="D2667" s="13">
        <v>4767.4965994377199</v>
      </c>
      <c r="E2667" s="18">
        <v>21</v>
      </c>
      <c r="F2667" s="2">
        <f t="shared" si="82"/>
        <v>5768.6708853196415</v>
      </c>
      <c r="G2667" s="3">
        <v>0</v>
      </c>
      <c r="H2667" s="4">
        <v>0.7</v>
      </c>
      <c r="I2667" s="28">
        <f t="shared" si="83"/>
        <v>9806.7405050433899</v>
      </c>
    </row>
    <row r="2668" spans="1:9" ht="15.75" customHeight="1" x14ac:dyDescent="0.35">
      <c r="A2668" s="26" t="s">
        <v>13768</v>
      </c>
      <c r="B2668" s="25" t="s">
        <v>11608</v>
      </c>
      <c r="C2668" s="6" t="s">
        <v>13769</v>
      </c>
      <c r="D2668" s="13">
        <v>3730.0522806659901</v>
      </c>
      <c r="E2668" s="18">
        <v>21</v>
      </c>
      <c r="F2668" s="2">
        <f t="shared" si="82"/>
        <v>4513.3632596058478</v>
      </c>
      <c r="G2668" s="3">
        <v>0</v>
      </c>
      <c r="H2668" s="4">
        <v>0.7</v>
      </c>
      <c r="I2668" s="28">
        <f t="shared" si="83"/>
        <v>7672.717541329941</v>
      </c>
    </row>
    <row r="2669" spans="1:9" ht="15.75" customHeight="1" x14ac:dyDescent="0.35">
      <c r="A2669" s="26" t="s">
        <v>13048</v>
      </c>
      <c r="B2669" s="25" t="s">
        <v>10746</v>
      </c>
      <c r="C2669" s="6" t="s">
        <v>13049</v>
      </c>
      <c r="D2669" s="13">
        <v>32989.782786108699</v>
      </c>
      <c r="E2669" s="18">
        <v>10.5</v>
      </c>
      <c r="F2669" s="2">
        <f t="shared" si="82"/>
        <v>36453.709978650113</v>
      </c>
      <c r="G2669" s="3">
        <v>0</v>
      </c>
      <c r="H2669" s="4">
        <v>0.7</v>
      </c>
      <c r="I2669" s="28">
        <f t="shared" si="83"/>
        <v>61971.306963705189</v>
      </c>
    </row>
    <row r="2670" spans="1:9" ht="15.75" customHeight="1" x14ac:dyDescent="0.35">
      <c r="A2670" s="26" t="s">
        <v>13050</v>
      </c>
      <c r="B2670" s="25" t="s">
        <v>10199</v>
      </c>
      <c r="C2670" s="6" t="s">
        <v>13051</v>
      </c>
      <c r="D2670" s="13">
        <v>32989.782786108699</v>
      </c>
      <c r="E2670" s="18">
        <v>10.5</v>
      </c>
      <c r="F2670" s="2">
        <f t="shared" si="82"/>
        <v>36453.709978650113</v>
      </c>
      <c r="G2670" s="3">
        <v>0</v>
      </c>
      <c r="H2670" s="4">
        <v>0.7</v>
      </c>
      <c r="I2670" s="28">
        <f t="shared" si="83"/>
        <v>61971.306963705189</v>
      </c>
    </row>
    <row r="2671" spans="1:9" ht="15.75" customHeight="1" x14ac:dyDescent="0.35">
      <c r="A2671" s="26" t="s">
        <v>13052</v>
      </c>
      <c r="B2671" s="25" t="s">
        <v>11609</v>
      </c>
      <c r="C2671" s="6" t="s">
        <v>13053</v>
      </c>
      <c r="D2671" s="13">
        <v>29172.188748239001</v>
      </c>
      <c r="E2671" s="18">
        <v>10.5</v>
      </c>
      <c r="F2671" s="2">
        <f t="shared" si="82"/>
        <v>32235.268566804098</v>
      </c>
      <c r="G2671" s="3">
        <v>0</v>
      </c>
      <c r="H2671" s="4">
        <v>0.7</v>
      </c>
      <c r="I2671" s="28">
        <f t="shared" si="83"/>
        <v>54799.956563566964</v>
      </c>
    </row>
    <row r="2672" spans="1:9" ht="15.75" customHeight="1" x14ac:dyDescent="0.35">
      <c r="A2672" s="26" t="s">
        <v>13054</v>
      </c>
      <c r="B2672" s="25" t="s">
        <v>10001</v>
      </c>
      <c r="C2672" s="6" t="s">
        <v>13055</v>
      </c>
      <c r="D2672" s="13">
        <v>29172.188748239001</v>
      </c>
      <c r="E2672" s="18">
        <v>10.5</v>
      </c>
      <c r="F2672" s="2">
        <f t="shared" si="82"/>
        <v>32235.268566804098</v>
      </c>
      <c r="G2672" s="3">
        <v>0</v>
      </c>
      <c r="H2672" s="4">
        <v>0.7</v>
      </c>
      <c r="I2672" s="28">
        <f t="shared" si="83"/>
        <v>54799.956563566964</v>
      </c>
    </row>
    <row r="2673" spans="1:9" ht="15.75" customHeight="1" x14ac:dyDescent="0.35">
      <c r="A2673" s="26" t="s">
        <v>13056</v>
      </c>
      <c r="B2673" s="25" t="s">
        <v>11610</v>
      </c>
      <c r="C2673" s="6" t="s">
        <v>13057</v>
      </c>
      <c r="D2673" s="13">
        <v>39881.3347791864</v>
      </c>
      <c r="E2673" s="18">
        <v>10.5</v>
      </c>
      <c r="F2673" s="2">
        <f t="shared" si="82"/>
        <v>44068.874931000973</v>
      </c>
      <c r="G2673" s="3">
        <v>0</v>
      </c>
      <c r="H2673" s="4">
        <v>0.7</v>
      </c>
      <c r="I2673" s="28">
        <f t="shared" si="83"/>
        <v>74917.087382701648</v>
      </c>
    </row>
    <row r="2674" spans="1:9" ht="15.75" customHeight="1" x14ac:dyDescent="0.35">
      <c r="A2674" s="26" t="s">
        <v>13058</v>
      </c>
      <c r="B2674" s="25" t="s">
        <v>11611</v>
      </c>
      <c r="C2674" s="6" t="s">
        <v>13059</v>
      </c>
      <c r="D2674" s="13">
        <v>39881.3347791864</v>
      </c>
      <c r="E2674" s="18">
        <v>10.5</v>
      </c>
      <c r="F2674" s="2">
        <f t="shared" si="82"/>
        <v>44068.874931000973</v>
      </c>
      <c r="G2674" s="3">
        <v>0</v>
      </c>
      <c r="H2674" s="4">
        <v>0.7</v>
      </c>
      <c r="I2674" s="28">
        <f t="shared" si="83"/>
        <v>74917.087382701648</v>
      </c>
    </row>
    <row r="2675" spans="1:9" ht="15.75" customHeight="1" x14ac:dyDescent="0.35">
      <c r="A2675" s="26" t="s">
        <v>13060</v>
      </c>
      <c r="B2675" s="25" t="s">
        <v>11541</v>
      </c>
      <c r="C2675" s="6" t="s">
        <v>13061</v>
      </c>
      <c r="D2675" s="13">
        <v>46507.5833286794</v>
      </c>
      <c r="E2675" s="18">
        <v>10.5</v>
      </c>
      <c r="F2675" s="2">
        <f t="shared" si="82"/>
        <v>51390.879578190739</v>
      </c>
      <c r="G2675" s="3">
        <v>0</v>
      </c>
      <c r="H2675" s="4">
        <v>0.7</v>
      </c>
      <c r="I2675" s="28">
        <f t="shared" si="83"/>
        <v>87364.495282924254</v>
      </c>
    </row>
    <row r="2676" spans="1:9" ht="15.75" customHeight="1" x14ac:dyDescent="0.35">
      <c r="A2676" s="26" t="s">
        <v>13062</v>
      </c>
      <c r="B2676" s="25" t="s">
        <v>10316</v>
      </c>
      <c r="C2676" s="6" t="s">
        <v>13063</v>
      </c>
      <c r="D2676" s="13">
        <v>46507.5833286794</v>
      </c>
      <c r="E2676" s="18">
        <v>10.5</v>
      </c>
      <c r="F2676" s="2">
        <f t="shared" si="82"/>
        <v>51390.879578190739</v>
      </c>
      <c r="G2676" s="3">
        <v>0</v>
      </c>
      <c r="H2676" s="4">
        <v>0.7</v>
      </c>
      <c r="I2676" s="28">
        <f t="shared" si="83"/>
        <v>87364.495282924254</v>
      </c>
    </row>
    <row r="2677" spans="1:9" ht="15.75" customHeight="1" x14ac:dyDescent="0.35">
      <c r="A2677" s="26" t="s">
        <v>9441</v>
      </c>
      <c r="B2677" s="25" t="s">
        <v>11612</v>
      </c>
      <c r="C2677" s="6" t="s">
        <v>9442</v>
      </c>
      <c r="D2677" s="13">
        <v>2452.2634499999999</v>
      </c>
      <c r="E2677" s="18">
        <v>10.5</v>
      </c>
      <c r="F2677" s="2">
        <f t="shared" si="82"/>
        <v>2709.75111225</v>
      </c>
      <c r="G2677" s="3">
        <v>0</v>
      </c>
      <c r="H2677" s="4">
        <v>0.7</v>
      </c>
      <c r="I2677" s="28">
        <f t="shared" si="83"/>
        <v>4606.5768908250002</v>
      </c>
    </row>
    <row r="2678" spans="1:9" ht="15.75" customHeight="1" x14ac:dyDescent="0.35">
      <c r="A2678" s="26" t="s">
        <v>9443</v>
      </c>
      <c r="B2678" s="25" t="s">
        <v>11613</v>
      </c>
      <c r="C2678" s="6" t="s">
        <v>9444</v>
      </c>
      <c r="D2678" s="13">
        <v>1725.40226032335</v>
      </c>
      <c r="E2678" s="18">
        <v>10.5</v>
      </c>
      <c r="F2678" s="2">
        <f t="shared" si="82"/>
        <v>1906.5694976573018</v>
      </c>
      <c r="G2678" s="3">
        <v>0</v>
      </c>
      <c r="H2678" s="4">
        <v>0.7</v>
      </c>
      <c r="I2678" s="28">
        <f t="shared" si="83"/>
        <v>3241.1681460174132</v>
      </c>
    </row>
    <row r="2679" spans="1:9" ht="15.75" customHeight="1" x14ac:dyDescent="0.35">
      <c r="A2679" s="26" t="s">
        <v>9445</v>
      </c>
      <c r="B2679" s="25" t="s">
        <v>12294</v>
      </c>
      <c r="C2679" s="6" t="s">
        <v>9446</v>
      </c>
      <c r="D2679" s="13">
        <v>3758.9688500000002</v>
      </c>
      <c r="E2679" s="18">
        <v>21</v>
      </c>
      <c r="F2679" s="2">
        <f t="shared" si="82"/>
        <v>4548.3523084999997</v>
      </c>
      <c r="G2679" s="3">
        <v>0</v>
      </c>
      <c r="H2679" s="4">
        <v>0.7</v>
      </c>
      <c r="I2679" s="28">
        <f t="shared" si="83"/>
        <v>7732.1989244499991</v>
      </c>
    </row>
    <row r="2680" spans="1:9" ht="15.75" customHeight="1" x14ac:dyDescent="0.35">
      <c r="A2680" s="26" t="s">
        <v>4717</v>
      </c>
      <c r="B2680" s="25" t="s">
        <v>398</v>
      </c>
      <c r="C2680" s="6" t="s">
        <v>10475</v>
      </c>
      <c r="D2680" s="13">
        <v>2051.3501919202499</v>
      </c>
      <c r="E2680" s="18">
        <v>21</v>
      </c>
      <c r="F2680" s="2">
        <f t="shared" si="82"/>
        <v>2482.1337322235022</v>
      </c>
      <c r="G2680" s="3">
        <v>0</v>
      </c>
      <c r="H2680" s="4">
        <v>0.7</v>
      </c>
      <c r="I2680" s="28">
        <f t="shared" si="83"/>
        <v>4219.627344779954</v>
      </c>
    </row>
    <row r="2681" spans="1:9" ht="15.75" customHeight="1" x14ac:dyDescent="0.35">
      <c r="A2681" s="26" t="s">
        <v>4719</v>
      </c>
      <c r="B2681" s="25" t="s">
        <v>399</v>
      </c>
      <c r="C2681" s="6" t="s">
        <v>10476</v>
      </c>
      <c r="D2681" s="13">
        <v>1995.7773653967399</v>
      </c>
      <c r="E2681" s="18">
        <v>21</v>
      </c>
      <c r="F2681" s="2">
        <f t="shared" si="82"/>
        <v>2414.8906121300552</v>
      </c>
      <c r="G2681" s="3">
        <v>0</v>
      </c>
      <c r="H2681" s="4">
        <v>0.7</v>
      </c>
      <c r="I2681" s="28">
        <f t="shared" si="83"/>
        <v>4105.3140406210932</v>
      </c>
    </row>
    <row r="2682" spans="1:9" ht="15.75" customHeight="1" x14ac:dyDescent="0.35">
      <c r="A2682" s="26" t="s">
        <v>13255</v>
      </c>
      <c r="B2682" s="25" t="s">
        <v>10014</v>
      </c>
      <c r="C2682" s="6" t="s">
        <v>13256</v>
      </c>
      <c r="D2682" s="13">
        <v>2257.9877929244999</v>
      </c>
      <c r="E2682" s="18">
        <v>21</v>
      </c>
      <c r="F2682" s="2">
        <f t="shared" si="82"/>
        <v>2732.1652294386449</v>
      </c>
      <c r="G2682" s="3">
        <v>0</v>
      </c>
      <c r="H2682" s="4">
        <v>0.7</v>
      </c>
      <c r="I2682" s="28">
        <f t="shared" si="83"/>
        <v>4644.6808900456963</v>
      </c>
    </row>
    <row r="2683" spans="1:9" ht="15.75" customHeight="1" x14ac:dyDescent="0.35">
      <c r="A2683" s="26" t="s">
        <v>4720</v>
      </c>
      <c r="B2683" s="25" t="s">
        <v>10016</v>
      </c>
      <c r="C2683" s="6" t="s">
        <v>10477</v>
      </c>
      <c r="D2683" s="13">
        <v>1373.179138123</v>
      </c>
      <c r="E2683" s="18">
        <v>21</v>
      </c>
      <c r="F2683" s="2">
        <f t="shared" si="82"/>
        <v>1661.54675712883</v>
      </c>
      <c r="G2683" s="3">
        <v>0</v>
      </c>
      <c r="H2683" s="4">
        <v>0.7</v>
      </c>
      <c r="I2683" s="28">
        <f t="shared" si="83"/>
        <v>2824.6294871190107</v>
      </c>
    </row>
    <row r="2684" spans="1:9" ht="15.75" customHeight="1" x14ac:dyDescent="0.35">
      <c r="A2684" s="26" t="s">
        <v>4721</v>
      </c>
      <c r="B2684" s="25" t="s">
        <v>958</v>
      </c>
      <c r="C2684" s="6" t="s">
        <v>10478</v>
      </c>
      <c r="D2684" s="13">
        <v>1984.93424045803</v>
      </c>
      <c r="E2684" s="18">
        <v>21</v>
      </c>
      <c r="F2684" s="2">
        <f t="shared" si="82"/>
        <v>2401.7704309542164</v>
      </c>
      <c r="G2684" s="3">
        <v>0</v>
      </c>
      <c r="H2684" s="4">
        <v>0.7</v>
      </c>
      <c r="I2684" s="28">
        <f t="shared" si="83"/>
        <v>4083.0097326221676</v>
      </c>
    </row>
    <row r="2685" spans="1:9" ht="15.75" customHeight="1" x14ac:dyDescent="0.35">
      <c r="A2685" s="26" t="s">
        <v>4722</v>
      </c>
      <c r="B2685" s="25" t="s">
        <v>12608</v>
      </c>
      <c r="C2685" s="6" t="s">
        <v>10479</v>
      </c>
      <c r="D2685" s="13">
        <v>1379.3131108054899</v>
      </c>
      <c r="E2685" s="18">
        <v>21</v>
      </c>
      <c r="F2685" s="2">
        <f t="shared" si="82"/>
        <v>1668.9688640746429</v>
      </c>
      <c r="G2685" s="3">
        <v>0</v>
      </c>
      <c r="H2685" s="4">
        <v>0.7</v>
      </c>
      <c r="I2685" s="28">
        <f t="shared" si="83"/>
        <v>2837.2470689268926</v>
      </c>
    </row>
    <row r="2686" spans="1:9" ht="15.75" customHeight="1" x14ac:dyDescent="0.35">
      <c r="A2686" s="26" t="s">
        <v>5019</v>
      </c>
      <c r="B2686" s="25" t="s">
        <v>10438</v>
      </c>
      <c r="C2686" s="6" t="s">
        <v>411</v>
      </c>
      <c r="D2686" s="13">
        <v>9565.1938923400103</v>
      </c>
      <c r="E2686" s="18">
        <v>21</v>
      </c>
      <c r="F2686" s="2">
        <f t="shared" si="82"/>
        <v>11573.884609731413</v>
      </c>
      <c r="G2686" s="3">
        <v>0</v>
      </c>
      <c r="H2686" s="4">
        <v>0.7</v>
      </c>
      <c r="I2686" s="28">
        <f t="shared" si="83"/>
        <v>19675.6038365434</v>
      </c>
    </row>
    <row r="2687" spans="1:9" ht="15.75" customHeight="1" x14ac:dyDescent="0.35">
      <c r="A2687" s="26" t="s">
        <v>5020</v>
      </c>
      <c r="B2687" s="25" t="s">
        <v>10439</v>
      </c>
      <c r="C2687" s="6" t="s">
        <v>412</v>
      </c>
      <c r="D2687" s="13">
        <v>9565.1938923400103</v>
      </c>
      <c r="E2687" s="18">
        <v>21</v>
      </c>
      <c r="F2687" s="2">
        <f t="shared" si="82"/>
        <v>11573.884609731413</v>
      </c>
      <c r="G2687" s="3">
        <v>0</v>
      </c>
      <c r="H2687" s="4">
        <v>0.7</v>
      </c>
      <c r="I2687" s="28">
        <f t="shared" si="83"/>
        <v>19675.6038365434</v>
      </c>
    </row>
    <row r="2688" spans="1:9" ht="15.75" customHeight="1" x14ac:dyDescent="0.35">
      <c r="A2688" s="26" t="s">
        <v>5021</v>
      </c>
      <c r="B2688" s="25" t="s">
        <v>10992</v>
      </c>
      <c r="C2688" s="6" t="s">
        <v>413</v>
      </c>
      <c r="D2688" s="13">
        <v>9565.1938923400103</v>
      </c>
      <c r="E2688" s="18">
        <v>21</v>
      </c>
      <c r="F2688" s="2">
        <f t="shared" si="82"/>
        <v>11573.884609731413</v>
      </c>
      <c r="G2688" s="3">
        <v>0</v>
      </c>
      <c r="H2688" s="4">
        <v>0.7</v>
      </c>
      <c r="I2688" s="28">
        <f t="shared" si="83"/>
        <v>19675.6038365434</v>
      </c>
    </row>
    <row r="2689" spans="1:9" ht="15.75" customHeight="1" x14ac:dyDescent="0.35">
      <c r="A2689" s="26" t="s">
        <v>5022</v>
      </c>
      <c r="B2689" s="25" t="s">
        <v>10440</v>
      </c>
      <c r="C2689" s="6" t="s">
        <v>414</v>
      </c>
      <c r="D2689" s="13">
        <v>9565.1938923400103</v>
      </c>
      <c r="E2689" s="18">
        <v>21</v>
      </c>
      <c r="F2689" s="2">
        <f t="shared" si="82"/>
        <v>11573.884609731413</v>
      </c>
      <c r="G2689" s="3">
        <v>0</v>
      </c>
      <c r="H2689" s="4">
        <v>0.7</v>
      </c>
      <c r="I2689" s="28">
        <f t="shared" si="83"/>
        <v>19675.6038365434</v>
      </c>
    </row>
    <row r="2690" spans="1:9" ht="15.75" customHeight="1" x14ac:dyDescent="0.35">
      <c r="A2690" s="26" t="s">
        <v>5023</v>
      </c>
      <c r="B2690" s="25" t="s">
        <v>10441</v>
      </c>
      <c r="C2690" s="6" t="s">
        <v>415</v>
      </c>
      <c r="D2690" s="13">
        <v>9565.1938923400103</v>
      </c>
      <c r="E2690" s="18">
        <v>21</v>
      </c>
      <c r="F2690" s="2">
        <f t="shared" si="82"/>
        <v>11573.884609731413</v>
      </c>
      <c r="G2690" s="3">
        <v>0</v>
      </c>
      <c r="H2690" s="4">
        <v>0.7</v>
      </c>
      <c r="I2690" s="28">
        <f t="shared" si="83"/>
        <v>19675.6038365434</v>
      </c>
    </row>
    <row r="2691" spans="1:9" ht="15.75" customHeight="1" x14ac:dyDescent="0.35">
      <c r="A2691" s="26" t="s">
        <v>5024</v>
      </c>
      <c r="B2691" s="25" t="s">
        <v>10442</v>
      </c>
      <c r="C2691" s="6" t="s">
        <v>416</v>
      </c>
      <c r="D2691" s="13">
        <v>9565.1938923400103</v>
      </c>
      <c r="E2691" s="18">
        <v>21</v>
      </c>
      <c r="F2691" s="2">
        <f t="shared" si="82"/>
        <v>11573.884609731413</v>
      </c>
      <c r="G2691" s="3">
        <v>0</v>
      </c>
      <c r="H2691" s="4">
        <v>0.7</v>
      </c>
      <c r="I2691" s="28">
        <f t="shared" si="83"/>
        <v>19675.6038365434</v>
      </c>
    </row>
    <row r="2692" spans="1:9" ht="15.75" customHeight="1" x14ac:dyDescent="0.35">
      <c r="A2692" s="26" t="s">
        <v>5025</v>
      </c>
      <c r="B2692" s="25" t="s">
        <v>9142</v>
      </c>
      <c r="C2692" s="6" t="s">
        <v>417</v>
      </c>
      <c r="D2692" s="13">
        <v>9565.1938923400103</v>
      </c>
      <c r="E2692" s="18">
        <v>21</v>
      </c>
      <c r="F2692" s="2">
        <f t="shared" si="82"/>
        <v>11573.884609731413</v>
      </c>
      <c r="G2692" s="3">
        <v>0</v>
      </c>
      <c r="H2692" s="4">
        <v>0.7</v>
      </c>
      <c r="I2692" s="28">
        <f t="shared" si="83"/>
        <v>19675.6038365434</v>
      </c>
    </row>
    <row r="2693" spans="1:9" ht="15.75" customHeight="1" x14ac:dyDescent="0.35">
      <c r="A2693" s="26" t="s">
        <v>5018</v>
      </c>
      <c r="B2693" s="25" t="s">
        <v>10443</v>
      </c>
      <c r="C2693" s="6" t="s">
        <v>10480</v>
      </c>
      <c r="D2693" s="13">
        <v>9565.1938923400103</v>
      </c>
      <c r="E2693" s="18">
        <v>21</v>
      </c>
      <c r="F2693" s="2">
        <f t="shared" si="82"/>
        <v>11573.884609731413</v>
      </c>
      <c r="G2693" s="3">
        <v>0</v>
      </c>
      <c r="H2693" s="4">
        <v>0.7</v>
      </c>
      <c r="I2693" s="28">
        <f t="shared" si="83"/>
        <v>19675.6038365434</v>
      </c>
    </row>
    <row r="2694" spans="1:9" ht="15.75" customHeight="1" x14ac:dyDescent="0.35">
      <c r="A2694" s="26" t="s">
        <v>5026</v>
      </c>
      <c r="B2694" s="25" t="s">
        <v>10444</v>
      </c>
      <c r="C2694" s="6" t="s">
        <v>418</v>
      </c>
      <c r="D2694" s="13">
        <v>9565.1938923400103</v>
      </c>
      <c r="E2694" s="18">
        <v>21</v>
      </c>
      <c r="F2694" s="2">
        <f t="shared" ref="F2694:F2757" si="84">D2694*E2694/100+D2694</f>
        <v>11573.884609731413</v>
      </c>
      <c r="G2694" s="3">
        <v>0</v>
      </c>
      <c r="H2694" s="4">
        <v>0.7</v>
      </c>
      <c r="I2694" s="28">
        <f t="shared" ref="I2694:I2757" si="85">IF(G2694=-1,0,F2694*((100-G2694)/100)*(1+H2694))</f>
        <v>19675.6038365434</v>
      </c>
    </row>
    <row r="2695" spans="1:9" ht="15.75" customHeight="1" x14ac:dyDescent="0.35">
      <c r="A2695" s="26" t="s">
        <v>4851</v>
      </c>
      <c r="B2695" s="25" t="s">
        <v>10445</v>
      </c>
      <c r="C2695" s="6" t="s">
        <v>419</v>
      </c>
      <c r="D2695" s="13">
        <v>1324.3265879999999</v>
      </c>
      <c r="E2695" s="18">
        <v>10.5</v>
      </c>
      <c r="F2695" s="2">
        <f t="shared" si="84"/>
        <v>1463.38087974</v>
      </c>
      <c r="G2695" s="3">
        <v>0</v>
      </c>
      <c r="H2695" s="4">
        <v>0.7</v>
      </c>
      <c r="I2695" s="28">
        <f t="shared" si="85"/>
        <v>2487.7474955580001</v>
      </c>
    </row>
    <row r="2696" spans="1:9" ht="15.75" customHeight="1" x14ac:dyDescent="0.35">
      <c r="A2696" s="26" t="s">
        <v>4852</v>
      </c>
      <c r="B2696" s="25" t="s">
        <v>10446</v>
      </c>
      <c r="C2696" s="6" t="s">
        <v>420</v>
      </c>
      <c r="D2696" s="13">
        <v>1225.647657</v>
      </c>
      <c r="E2696" s="18">
        <v>21</v>
      </c>
      <c r="F2696" s="2">
        <f t="shared" si="84"/>
        <v>1483.03366497</v>
      </c>
      <c r="G2696" s="3">
        <v>0</v>
      </c>
      <c r="H2696" s="4">
        <v>0.7</v>
      </c>
      <c r="I2696" s="28">
        <f t="shared" si="85"/>
        <v>2521.1572304490001</v>
      </c>
    </row>
    <row r="2697" spans="1:9" ht="15.75" customHeight="1" x14ac:dyDescent="0.35">
      <c r="A2697" s="26" t="s">
        <v>4853</v>
      </c>
      <c r="B2697" s="25" t="s">
        <v>10447</v>
      </c>
      <c r="C2697" s="6" t="s">
        <v>421</v>
      </c>
      <c r="D2697" s="13">
        <v>1180.4582399999999</v>
      </c>
      <c r="E2697" s="18">
        <v>10.5</v>
      </c>
      <c r="F2697" s="2">
        <f t="shared" si="84"/>
        <v>1304.4063552</v>
      </c>
      <c r="G2697" s="3">
        <v>0</v>
      </c>
      <c r="H2697" s="4">
        <v>0.7</v>
      </c>
      <c r="I2697" s="28">
        <f t="shared" si="85"/>
        <v>2217.4908038399999</v>
      </c>
    </row>
    <row r="2698" spans="1:9" ht="15.75" customHeight="1" x14ac:dyDescent="0.35">
      <c r="A2698" s="26" t="s">
        <v>4854</v>
      </c>
      <c r="B2698" s="25" t="s">
        <v>10448</v>
      </c>
      <c r="C2698" s="6" t="s">
        <v>422</v>
      </c>
      <c r="D2698" s="13">
        <v>1845.3882329999999</v>
      </c>
      <c r="E2698" s="18">
        <v>21</v>
      </c>
      <c r="F2698" s="2">
        <f t="shared" si="84"/>
        <v>2232.9197619299998</v>
      </c>
      <c r="G2698" s="3">
        <v>0</v>
      </c>
      <c r="H2698" s="4">
        <v>0.7</v>
      </c>
      <c r="I2698" s="28">
        <f t="shared" si="85"/>
        <v>3795.9635952809995</v>
      </c>
    </row>
    <row r="2699" spans="1:9" ht="15.75" customHeight="1" x14ac:dyDescent="0.35">
      <c r="A2699" s="26" t="s">
        <v>4855</v>
      </c>
      <c r="B2699" s="25" t="s">
        <v>13047</v>
      </c>
      <c r="C2699" s="6" t="s">
        <v>423</v>
      </c>
      <c r="D2699" s="13">
        <v>1705.208817</v>
      </c>
      <c r="E2699" s="18">
        <v>10.5</v>
      </c>
      <c r="F2699" s="2">
        <f t="shared" si="84"/>
        <v>1884.2557427849999</v>
      </c>
      <c r="G2699" s="3">
        <v>0</v>
      </c>
      <c r="H2699" s="4">
        <v>0.7</v>
      </c>
      <c r="I2699" s="28">
        <f t="shared" si="85"/>
        <v>3203.2347627344998</v>
      </c>
    </row>
    <row r="2700" spans="1:9" ht="15.75" customHeight="1" x14ac:dyDescent="0.35">
      <c r="A2700" s="26" t="s">
        <v>4856</v>
      </c>
      <c r="B2700" s="25" t="s">
        <v>10449</v>
      </c>
      <c r="C2700" s="6" t="s">
        <v>424</v>
      </c>
      <c r="D2700" s="13">
        <v>1705.208817</v>
      </c>
      <c r="E2700" s="18">
        <v>21</v>
      </c>
      <c r="F2700" s="2">
        <f t="shared" si="84"/>
        <v>2063.3026685699997</v>
      </c>
      <c r="G2700" s="3">
        <v>0</v>
      </c>
      <c r="H2700" s="4">
        <v>0.7</v>
      </c>
      <c r="I2700" s="28">
        <f t="shared" si="85"/>
        <v>3507.6145365689995</v>
      </c>
    </row>
    <row r="2701" spans="1:9" ht="15.75" customHeight="1" x14ac:dyDescent="0.35">
      <c r="A2701" s="26" t="s">
        <v>4857</v>
      </c>
      <c r="B2701" s="25" t="s">
        <v>10450</v>
      </c>
      <c r="C2701" s="6" t="s">
        <v>425</v>
      </c>
      <c r="D2701" s="13">
        <v>2268.6931800000002</v>
      </c>
      <c r="E2701" s="18">
        <v>10.5</v>
      </c>
      <c r="F2701" s="2">
        <f t="shared" si="84"/>
        <v>2506.9059639000002</v>
      </c>
      <c r="G2701" s="3">
        <v>0</v>
      </c>
      <c r="H2701" s="4">
        <v>0.7</v>
      </c>
      <c r="I2701" s="28">
        <f t="shared" si="85"/>
        <v>4261.7401386299998</v>
      </c>
    </row>
    <row r="2702" spans="1:9" ht="15.75" customHeight="1" x14ac:dyDescent="0.35">
      <c r="A2702" s="26" t="s">
        <v>4858</v>
      </c>
      <c r="B2702" s="25" t="s">
        <v>400</v>
      </c>
      <c r="C2702" s="6" t="s">
        <v>961</v>
      </c>
      <c r="D2702" s="13">
        <v>9305.3309700000009</v>
      </c>
      <c r="E2702" s="18">
        <v>21</v>
      </c>
      <c r="F2702" s="2">
        <f t="shared" si="84"/>
        <v>11259.450473700001</v>
      </c>
      <c r="G2702" s="3">
        <v>0</v>
      </c>
      <c r="H2702" s="4">
        <v>0.7</v>
      </c>
      <c r="I2702" s="28">
        <f t="shared" si="85"/>
        <v>19141.06580529</v>
      </c>
    </row>
    <row r="2703" spans="1:9" ht="15.75" customHeight="1" x14ac:dyDescent="0.35">
      <c r="A2703" s="26" t="s">
        <v>4859</v>
      </c>
      <c r="B2703" s="25" t="s">
        <v>400</v>
      </c>
      <c r="C2703" s="6" t="s">
        <v>10993</v>
      </c>
      <c r="D2703" s="13">
        <v>1705.208817</v>
      </c>
      <c r="E2703" s="18">
        <v>21</v>
      </c>
      <c r="F2703" s="2">
        <f t="shared" si="84"/>
        <v>2063.3026685699997</v>
      </c>
      <c r="G2703" s="3">
        <v>0</v>
      </c>
      <c r="H2703" s="4">
        <v>0.7</v>
      </c>
      <c r="I2703" s="28">
        <f t="shared" si="85"/>
        <v>3507.6145365689995</v>
      </c>
    </row>
    <row r="2704" spans="1:9" ht="15.75" customHeight="1" x14ac:dyDescent="0.35">
      <c r="A2704" s="26" t="s">
        <v>4860</v>
      </c>
      <c r="B2704" s="25" t="s">
        <v>12393</v>
      </c>
      <c r="C2704" s="6" t="s">
        <v>426</v>
      </c>
      <c r="D2704" s="13">
        <v>1180.4582399999999</v>
      </c>
      <c r="E2704" s="18">
        <v>21</v>
      </c>
      <c r="F2704" s="2">
        <f t="shared" si="84"/>
        <v>1428.3544703999999</v>
      </c>
      <c r="G2704" s="3">
        <v>0</v>
      </c>
      <c r="H2704" s="4">
        <v>0.7</v>
      </c>
      <c r="I2704" s="28">
        <f t="shared" si="85"/>
        <v>2428.2025996799998</v>
      </c>
    </row>
    <row r="2705" spans="1:9" ht="15.75" customHeight="1" x14ac:dyDescent="0.35">
      <c r="A2705" s="26" t="s">
        <v>5263</v>
      </c>
      <c r="B2705" s="25" t="s">
        <v>9957</v>
      </c>
      <c r="C2705" s="6" t="s">
        <v>427</v>
      </c>
      <c r="D2705" s="13">
        <v>57.865935885238699</v>
      </c>
      <c r="E2705" s="18">
        <v>21</v>
      </c>
      <c r="F2705" s="2">
        <f t="shared" si="84"/>
        <v>70.017782421138833</v>
      </c>
      <c r="G2705" s="3">
        <v>0</v>
      </c>
      <c r="H2705" s="4">
        <v>0.7</v>
      </c>
      <c r="I2705" s="28">
        <f t="shared" si="85"/>
        <v>119.03023011593601</v>
      </c>
    </row>
    <row r="2706" spans="1:9" ht="15.75" customHeight="1" x14ac:dyDescent="0.35">
      <c r="A2706" s="26" t="s">
        <v>5264</v>
      </c>
      <c r="B2706" s="25" t="s">
        <v>401</v>
      </c>
      <c r="C2706" s="6" t="s">
        <v>428</v>
      </c>
      <c r="D2706" s="13">
        <v>12.4550145253181</v>
      </c>
      <c r="E2706" s="18">
        <v>21</v>
      </c>
      <c r="F2706" s="2">
        <f t="shared" si="84"/>
        <v>15.070567575634902</v>
      </c>
      <c r="G2706" s="3">
        <v>0</v>
      </c>
      <c r="H2706" s="4">
        <v>0.7</v>
      </c>
      <c r="I2706" s="28">
        <f t="shared" si="85"/>
        <v>25.619964878579331</v>
      </c>
    </row>
    <row r="2707" spans="1:9" ht="15.75" customHeight="1" x14ac:dyDescent="0.35">
      <c r="A2707" s="26" t="s">
        <v>4861</v>
      </c>
      <c r="B2707" s="25" t="s">
        <v>402</v>
      </c>
      <c r="C2707" s="6" t="s">
        <v>429</v>
      </c>
      <c r="D2707" s="13">
        <v>1668.319497</v>
      </c>
      <c r="E2707" s="18">
        <v>21</v>
      </c>
      <c r="F2707" s="2">
        <f t="shared" si="84"/>
        <v>2018.6665913699999</v>
      </c>
      <c r="G2707" s="3">
        <v>0</v>
      </c>
      <c r="H2707" s="4">
        <v>0.7</v>
      </c>
      <c r="I2707" s="28">
        <f t="shared" si="85"/>
        <v>3431.7332053289997</v>
      </c>
    </row>
    <row r="2708" spans="1:9" ht="15.75" customHeight="1" x14ac:dyDescent="0.35">
      <c r="A2708" s="26" t="s">
        <v>13625</v>
      </c>
      <c r="B2708" s="25" t="s">
        <v>9958</v>
      </c>
      <c r="C2708" s="6" t="s">
        <v>13626</v>
      </c>
      <c r="D2708" s="13">
        <v>1287.20504724486</v>
      </c>
      <c r="E2708" s="18">
        <v>21</v>
      </c>
      <c r="F2708" s="2">
        <f t="shared" si="84"/>
        <v>1557.5181071662805</v>
      </c>
      <c r="G2708" s="3">
        <v>0</v>
      </c>
      <c r="H2708" s="4">
        <v>0.7</v>
      </c>
      <c r="I2708" s="28">
        <f t="shared" si="85"/>
        <v>2647.7807821826768</v>
      </c>
    </row>
    <row r="2709" spans="1:9" ht="15.75" customHeight="1" x14ac:dyDescent="0.35">
      <c r="A2709" s="26" t="s">
        <v>13579</v>
      </c>
      <c r="B2709" s="25" t="s">
        <v>403</v>
      </c>
      <c r="C2709" s="6" t="s">
        <v>13580</v>
      </c>
      <c r="D2709" s="13">
        <v>1989.32569764665</v>
      </c>
      <c r="E2709" s="18">
        <v>21</v>
      </c>
      <c r="F2709" s="2">
        <f t="shared" si="84"/>
        <v>2407.0840941524466</v>
      </c>
      <c r="G2709" s="3">
        <v>0</v>
      </c>
      <c r="H2709" s="4">
        <v>0.7</v>
      </c>
      <c r="I2709" s="28">
        <f t="shared" si="85"/>
        <v>4092.0429600591592</v>
      </c>
    </row>
    <row r="2710" spans="1:9" ht="15.75" customHeight="1" x14ac:dyDescent="0.35">
      <c r="A2710" s="26" t="s">
        <v>13581</v>
      </c>
      <c r="B2710" s="25" t="s">
        <v>404</v>
      </c>
      <c r="C2710" s="6" t="s">
        <v>13582</v>
      </c>
      <c r="D2710" s="13">
        <v>8363.4880684339696</v>
      </c>
      <c r="E2710" s="18">
        <v>21</v>
      </c>
      <c r="F2710" s="2">
        <f t="shared" si="84"/>
        <v>10119.820562805104</v>
      </c>
      <c r="G2710" s="3">
        <v>0</v>
      </c>
      <c r="H2710" s="4">
        <v>0.7</v>
      </c>
      <c r="I2710" s="28">
        <f t="shared" si="85"/>
        <v>17203.694956768675</v>
      </c>
    </row>
    <row r="2711" spans="1:9" ht="15.75" customHeight="1" x14ac:dyDescent="0.35">
      <c r="A2711" s="26" t="s">
        <v>13583</v>
      </c>
      <c r="B2711" s="25" t="s">
        <v>405</v>
      </c>
      <c r="C2711" s="6" t="s">
        <v>13627</v>
      </c>
      <c r="D2711" s="13">
        <v>9042.2036208118097</v>
      </c>
      <c r="E2711" s="18">
        <v>21</v>
      </c>
      <c r="F2711" s="2">
        <f t="shared" si="84"/>
        <v>10941.066381182289</v>
      </c>
      <c r="G2711" s="3">
        <v>0</v>
      </c>
      <c r="H2711" s="4">
        <v>0.7</v>
      </c>
      <c r="I2711" s="28">
        <f t="shared" si="85"/>
        <v>18599.812848009889</v>
      </c>
    </row>
    <row r="2712" spans="1:9" ht="15.75" customHeight="1" x14ac:dyDescent="0.35">
      <c r="A2712" s="26" t="s">
        <v>1616</v>
      </c>
      <c r="B2712" s="25" t="s">
        <v>406</v>
      </c>
      <c r="C2712" s="6" t="s">
        <v>13561</v>
      </c>
      <c r="D2712" s="13">
        <v>2337.2370084959998</v>
      </c>
      <c r="E2712" s="18">
        <v>21</v>
      </c>
      <c r="F2712" s="2">
        <f t="shared" si="84"/>
        <v>2828.0567802801597</v>
      </c>
      <c r="G2712" s="3">
        <v>0</v>
      </c>
      <c r="H2712" s="4">
        <v>0.7</v>
      </c>
      <c r="I2712" s="28">
        <f t="shared" si="85"/>
        <v>4807.6965264762712</v>
      </c>
    </row>
    <row r="2713" spans="1:9" ht="15.75" customHeight="1" x14ac:dyDescent="0.35">
      <c r="A2713" s="26" t="s">
        <v>13336</v>
      </c>
      <c r="B2713" s="25" t="s">
        <v>9082</v>
      </c>
      <c r="C2713" s="6" t="s">
        <v>13770</v>
      </c>
      <c r="D2713" s="13">
        <v>4248.7829727043099</v>
      </c>
      <c r="E2713" s="18">
        <v>21</v>
      </c>
      <c r="F2713" s="2">
        <f t="shared" si="84"/>
        <v>5141.0273969722148</v>
      </c>
      <c r="G2713" s="3">
        <v>0</v>
      </c>
      <c r="H2713" s="4">
        <v>0.7</v>
      </c>
      <c r="I2713" s="28">
        <f t="shared" si="85"/>
        <v>8739.7465748527648</v>
      </c>
    </row>
    <row r="2714" spans="1:9" ht="15.75" customHeight="1" x14ac:dyDescent="0.35">
      <c r="A2714" s="26" t="s">
        <v>12248</v>
      </c>
      <c r="B2714" s="25" t="s">
        <v>9092</v>
      </c>
      <c r="C2714" s="6" t="s">
        <v>12249</v>
      </c>
      <c r="D2714" s="13">
        <v>22075.62903</v>
      </c>
      <c r="E2714" s="18">
        <v>21</v>
      </c>
      <c r="F2714" s="2">
        <f t="shared" si="84"/>
        <v>26711.5111263</v>
      </c>
      <c r="G2714" s="3">
        <v>0</v>
      </c>
      <c r="H2714" s="4">
        <v>0.7</v>
      </c>
      <c r="I2714" s="28">
        <f t="shared" si="85"/>
        <v>45409.568914709998</v>
      </c>
    </row>
    <row r="2715" spans="1:9" ht="15.75" customHeight="1" x14ac:dyDescent="0.35">
      <c r="A2715" s="26" t="s">
        <v>3909</v>
      </c>
      <c r="B2715" s="25" t="s">
        <v>10451</v>
      </c>
      <c r="C2715" s="6" t="s">
        <v>430</v>
      </c>
      <c r="D2715" s="13">
        <v>12606.576180160755</v>
      </c>
      <c r="E2715" s="18">
        <v>21</v>
      </c>
      <c r="F2715" s="2">
        <f t="shared" si="84"/>
        <v>15253.957177994514</v>
      </c>
      <c r="G2715" s="3">
        <v>0</v>
      </c>
      <c r="H2715" s="4">
        <v>0.7</v>
      </c>
      <c r="I2715" s="28">
        <f t="shared" si="85"/>
        <v>25931.727202590675</v>
      </c>
    </row>
    <row r="2716" spans="1:9" ht="15.75" customHeight="1" x14ac:dyDescent="0.35">
      <c r="A2716" s="26" t="s">
        <v>3910</v>
      </c>
      <c r="B2716" s="25" t="s">
        <v>10452</v>
      </c>
      <c r="C2716" s="6" t="s">
        <v>431</v>
      </c>
      <c r="D2716" s="13">
        <v>12606.576180160755</v>
      </c>
      <c r="E2716" s="18">
        <v>21</v>
      </c>
      <c r="F2716" s="2">
        <f t="shared" si="84"/>
        <v>15253.957177994514</v>
      </c>
      <c r="G2716" s="3">
        <v>0</v>
      </c>
      <c r="H2716" s="4">
        <v>0.7</v>
      </c>
      <c r="I2716" s="28">
        <f t="shared" si="85"/>
        <v>25931.727202590675</v>
      </c>
    </row>
    <row r="2717" spans="1:9" ht="15.75" customHeight="1" x14ac:dyDescent="0.35">
      <c r="A2717" s="26" t="s">
        <v>3543</v>
      </c>
      <c r="B2717" s="25" t="s">
        <v>10453</v>
      </c>
      <c r="C2717" s="6" t="s">
        <v>12003</v>
      </c>
      <c r="D2717" s="13">
        <v>15797.5070175</v>
      </c>
      <c r="E2717" s="18">
        <v>21</v>
      </c>
      <c r="F2717" s="2">
        <f t="shared" si="84"/>
        <v>19114.983491175</v>
      </c>
      <c r="G2717" s="3">
        <v>0</v>
      </c>
      <c r="H2717" s="4">
        <v>0.7</v>
      </c>
      <c r="I2717" s="28">
        <f t="shared" si="85"/>
        <v>32495.471934997498</v>
      </c>
    </row>
    <row r="2718" spans="1:9" ht="15.75" customHeight="1" x14ac:dyDescent="0.35">
      <c r="A2718" s="26" t="s">
        <v>3544</v>
      </c>
      <c r="B2718" s="25" t="s">
        <v>407</v>
      </c>
      <c r="C2718" s="6" t="s">
        <v>12004</v>
      </c>
      <c r="D2718" s="13">
        <v>10862.61111</v>
      </c>
      <c r="E2718" s="18">
        <v>21</v>
      </c>
      <c r="F2718" s="2">
        <f t="shared" si="84"/>
        <v>13143.7594431</v>
      </c>
      <c r="G2718" s="3">
        <v>0</v>
      </c>
      <c r="H2718" s="4">
        <v>0.7</v>
      </c>
      <c r="I2718" s="28">
        <f t="shared" si="85"/>
        <v>22344.391053269999</v>
      </c>
    </row>
    <row r="2719" spans="1:9" ht="15.75" customHeight="1" x14ac:dyDescent="0.35">
      <c r="A2719" s="26" t="s">
        <v>3545</v>
      </c>
      <c r="B2719" s="25" t="s">
        <v>9638</v>
      </c>
      <c r="C2719" s="6" t="s">
        <v>12633</v>
      </c>
      <c r="D2719" s="13">
        <v>17539.807545</v>
      </c>
      <c r="E2719" s="18">
        <v>21</v>
      </c>
      <c r="F2719" s="2">
        <f t="shared" si="84"/>
        <v>21223.167129450001</v>
      </c>
      <c r="G2719" s="3">
        <v>0</v>
      </c>
      <c r="H2719" s="4">
        <v>0.7</v>
      </c>
      <c r="I2719" s="28">
        <f t="shared" si="85"/>
        <v>36079.384120064999</v>
      </c>
    </row>
    <row r="2720" spans="1:9" ht="15.75" customHeight="1" x14ac:dyDescent="0.35">
      <c r="A2720" s="26" t="s">
        <v>9420</v>
      </c>
      <c r="B2720" s="25" t="s">
        <v>9640</v>
      </c>
      <c r="C2720" s="6" t="s">
        <v>12005</v>
      </c>
      <c r="D2720" s="13">
        <v>13208.3900325</v>
      </c>
      <c r="E2720" s="18">
        <v>21</v>
      </c>
      <c r="F2720" s="2">
        <f t="shared" si="84"/>
        <v>15982.151939325</v>
      </c>
      <c r="G2720" s="3">
        <v>0</v>
      </c>
      <c r="H2720" s="4">
        <v>0.7</v>
      </c>
      <c r="I2720" s="28">
        <f t="shared" si="85"/>
        <v>27169.6582968525</v>
      </c>
    </row>
    <row r="2721" spans="1:9" ht="15.75" customHeight="1" x14ac:dyDescent="0.35">
      <c r="A2721" s="26" t="s">
        <v>10317</v>
      </c>
      <c r="B2721" s="25" t="s">
        <v>10454</v>
      </c>
      <c r="C2721" s="6" t="s">
        <v>10841</v>
      </c>
      <c r="D2721" s="13">
        <v>38389.012739999998</v>
      </c>
      <c r="E2721" s="18">
        <v>21</v>
      </c>
      <c r="F2721" s="2">
        <f t="shared" si="84"/>
        <v>46450.7054154</v>
      </c>
      <c r="G2721" s="3">
        <v>0</v>
      </c>
      <c r="H2721" s="4">
        <v>0.7</v>
      </c>
      <c r="I2721" s="28">
        <f t="shared" si="85"/>
        <v>78966.199206179997</v>
      </c>
    </row>
    <row r="2722" spans="1:9" ht="15.75" customHeight="1" x14ac:dyDescent="0.35">
      <c r="A2722" s="26" t="s">
        <v>8969</v>
      </c>
      <c r="B2722" s="25" t="s">
        <v>9786</v>
      </c>
      <c r="C2722" s="6" t="s">
        <v>9028</v>
      </c>
      <c r="D2722" s="13">
        <v>32644.071460000003</v>
      </c>
      <c r="E2722" s="18">
        <v>21</v>
      </c>
      <c r="F2722" s="2">
        <f t="shared" si="84"/>
        <v>39499.326466600003</v>
      </c>
      <c r="G2722" s="3">
        <v>0</v>
      </c>
      <c r="H2722" s="4">
        <v>0.7</v>
      </c>
      <c r="I2722" s="28">
        <f t="shared" si="85"/>
        <v>67148.854993219997</v>
      </c>
    </row>
    <row r="2723" spans="1:9" ht="15.75" customHeight="1" x14ac:dyDescent="0.35">
      <c r="A2723" s="26" t="s">
        <v>3615</v>
      </c>
      <c r="B2723" s="25" t="s">
        <v>959</v>
      </c>
      <c r="C2723" s="6" t="s">
        <v>432</v>
      </c>
      <c r="D2723" s="13">
        <v>90846.209999999992</v>
      </c>
      <c r="E2723" s="18">
        <v>21</v>
      </c>
      <c r="F2723" s="2">
        <f t="shared" si="84"/>
        <v>109923.91409999999</v>
      </c>
      <c r="G2723" s="3">
        <v>0</v>
      </c>
      <c r="H2723" s="4">
        <v>0.7</v>
      </c>
      <c r="I2723" s="28">
        <f t="shared" si="85"/>
        <v>186870.65396999998</v>
      </c>
    </row>
    <row r="2724" spans="1:9" ht="15.75" customHeight="1" x14ac:dyDescent="0.35">
      <c r="A2724" s="26" t="s">
        <v>3509</v>
      </c>
      <c r="B2724" s="25" t="s">
        <v>960</v>
      </c>
      <c r="C2724" s="6" t="s">
        <v>12632</v>
      </c>
      <c r="D2724" s="13">
        <v>56697.768562500001</v>
      </c>
      <c r="E2724" s="18">
        <v>21</v>
      </c>
      <c r="F2724" s="2">
        <f t="shared" si="84"/>
        <v>68604.299960625009</v>
      </c>
      <c r="G2724" s="3">
        <v>0</v>
      </c>
      <c r="H2724" s="4">
        <v>0.7</v>
      </c>
      <c r="I2724" s="28">
        <f t="shared" si="85"/>
        <v>116627.30993306251</v>
      </c>
    </row>
    <row r="2725" spans="1:9" ht="15.75" customHeight="1" x14ac:dyDescent="0.35">
      <c r="A2725" s="26" t="s">
        <v>10768</v>
      </c>
      <c r="B2725" s="25" t="s">
        <v>10455</v>
      </c>
      <c r="C2725" s="6" t="s">
        <v>10769</v>
      </c>
      <c r="D2725" s="13">
        <v>89246.56</v>
      </c>
      <c r="E2725" s="18">
        <v>21</v>
      </c>
      <c r="F2725" s="2">
        <f t="shared" si="84"/>
        <v>107988.3376</v>
      </c>
      <c r="G2725" s="3">
        <v>0</v>
      </c>
      <c r="H2725" s="4">
        <v>0.7</v>
      </c>
      <c r="I2725" s="28">
        <f t="shared" si="85"/>
        <v>183580.17392</v>
      </c>
    </row>
    <row r="2726" spans="1:9" ht="15.75" customHeight="1" x14ac:dyDescent="0.35">
      <c r="A2726" s="26" t="s">
        <v>3502</v>
      </c>
      <c r="B2726" s="25" t="s">
        <v>10456</v>
      </c>
      <c r="C2726" s="6" t="s">
        <v>10481</v>
      </c>
      <c r="D2726" s="13">
        <v>119626</v>
      </c>
      <c r="E2726" s="18">
        <v>21</v>
      </c>
      <c r="F2726" s="2">
        <f t="shared" si="84"/>
        <v>144747.46</v>
      </c>
      <c r="G2726" s="3">
        <v>0</v>
      </c>
      <c r="H2726" s="4">
        <v>0.7</v>
      </c>
      <c r="I2726" s="28">
        <f t="shared" si="85"/>
        <v>246070.68199999997</v>
      </c>
    </row>
    <row r="2727" spans="1:9" ht="15.75" customHeight="1" x14ac:dyDescent="0.35">
      <c r="A2727" s="26" t="s">
        <v>3503</v>
      </c>
      <c r="B2727" s="25" t="s">
        <v>10457</v>
      </c>
      <c r="C2727" s="6" t="s">
        <v>10770</v>
      </c>
      <c r="D2727" s="13">
        <v>114062</v>
      </c>
      <c r="E2727" s="18">
        <v>21</v>
      </c>
      <c r="F2727" s="2">
        <f t="shared" si="84"/>
        <v>138015.01999999999</v>
      </c>
      <c r="G2727" s="3">
        <v>0</v>
      </c>
      <c r="H2727" s="4">
        <v>0.7</v>
      </c>
      <c r="I2727" s="28">
        <f t="shared" si="85"/>
        <v>234625.53399999999</v>
      </c>
    </row>
    <row r="2728" spans="1:9" ht="15.75" customHeight="1" x14ac:dyDescent="0.35">
      <c r="A2728" s="26" t="s">
        <v>3511</v>
      </c>
      <c r="B2728" s="25" t="s">
        <v>9096</v>
      </c>
      <c r="C2728" s="6" t="s">
        <v>10482</v>
      </c>
      <c r="D2728" s="13">
        <v>511219.86386328004</v>
      </c>
      <c r="E2728" s="18">
        <v>21</v>
      </c>
      <c r="F2728" s="2">
        <f t="shared" si="84"/>
        <v>618576.03527456883</v>
      </c>
      <c r="G2728" s="3">
        <v>0</v>
      </c>
      <c r="H2728" s="4">
        <v>0.7</v>
      </c>
      <c r="I2728" s="28">
        <f t="shared" si="85"/>
        <v>1051579.2599667669</v>
      </c>
    </row>
    <row r="2729" spans="1:9" ht="15.75" customHeight="1" x14ac:dyDescent="0.35">
      <c r="A2729" s="26" t="s">
        <v>10771</v>
      </c>
      <c r="B2729" s="25" t="s">
        <v>408</v>
      </c>
      <c r="C2729" s="6" t="s">
        <v>13172</v>
      </c>
      <c r="D2729" s="13">
        <v>24333.806249999998</v>
      </c>
      <c r="E2729" s="18">
        <v>21</v>
      </c>
      <c r="F2729" s="2">
        <f t="shared" si="84"/>
        <v>29443.905562499996</v>
      </c>
      <c r="G2729" s="3">
        <v>0</v>
      </c>
      <c r="H2729" s="4">
        <v>0.7</v>
      </c>
      <c r="I2729" s="28">
        <f t="shared" si="85"/>
        <v>50054.639456249992</v>
      </c>
    </row>
    <row r="2730" spans="1:9" ht="15.75" customHeight="1" x14ac:dyDescent="0.35">
      <c r="A2730" s="26" t="s">
        <v>5292</v>
      </c>
      <c r="B2730" s="25" t="s">
        <v>10860</v>
      </c>
      <c r="C2730" s="6" t="s">
        <v>433</v>
      </c>
      <c r="D2730" s="13">
        <v>34672.969572415153</v>
      </c>
      <c r="E2730" s="18">
        <v>21</v>
      </c>
      <c r="F2730" s="2">
        <f t="shared" si="84"/>
        <v>41954.293182622336</v>
      </c>
      <c r="G2730" s="3">
        <v>0</v>
      </c>
      <c r="H2730" s="4">
        <v>0.7</v>
      </c>
      <c r="I2730" s="28">
        <f t="shared" si="85"/>
        <v>71322.298410457966</v>
      </c>
    </row>
    <row r="2731" spans="1:9" ht="15.75" customHeight="1" x14ac:dyDescent="0.35">
      <c r="A2731" s="26" t="s">
        <v>5293</v>
      </c>
      <c r="B2731" s="25" t="s">
        <v>10458</v>
      </c>
      <c r="C2731" s="6" t="s">
        <v>12026</v>
      </c>
      <c r="D2731" s="13">
        <v>13870.2695625</v>
      </c>
      <c r="E2731" s="18">
        <v>21</v>
      </c>
      <c r="F2731" s="2">
        <f t="shared" si="84"/>
        <v>16783.026170624998</v>
      </c>
      <c r="G2731" s="3">
        <v>0</v>
      </c>
      <c r="H2731" s="4">
        <v>0.7</v>
      </c>
      <c r="I2731" s="28">
        <f t="shared" si="85"/>
        <v>28531.144490062496</v>
      </c>
    </row>
    <row r="2732" spans="1:9" ht="15.75" customHeight="1" x14ac:dyDescent="0.35">
      <c r="A2732" s="26" t="s">
        <v>5297</v>
      </c>
      <c r="B2732" s="25" t="s">
        <v>10459</v>
      </c>
      <c r="C2732" s="6" t="s">
        <v>11957</v>
      </c>
      <c r="D2732" s="13">
        <v>15441.733124999999</v>
      </c>
      <c r="E2732" s="18">
        <v>21</v>
      </c>
      <c r="F2732" s="2">
        <f t="shared" si="84"/>
        <v>18684.49708125</v>
      </c>
      <c r="G2732" s="3">
        <v>0</v>
      </c>
      <c r="H2732" s="4">
        <v>0.7</v>
      </c>
      <c r="I2732" s="28">
        <f t="shared" si="85"/>
        <v>31763.645038125</v>
      </c>
    </row>
    <row r="2733" spans="1:9" ht="15.75" customHeight="1" x14ac:dyDescent="0.35">
      <c r="A2733" s="26" t="s">
        <v>13019</v>
      </c>
      <c r="B2733" s="25" t="s">
        <v>10460</v>
      </c>
      <c r="C2733" s="6" t="s">
        <v>13020</v>
      </c>
      <c r="D2733" s="13">
        <v>25956.059567622142</v>
      </c>
      <c r="E2733" s="18">
        <v>21</v>
      </c>
      <c r="F2733" s="2">
        <f t="shared" si="84"/>
        <v>31406.832076822793</v>
      </c>
      <c r="G2733" s="3">
        <v>0</v>
      </c>
      <c r="H2733" s="4">
        <v>0.7</v>
      </c>
      <c r="I2733" s="28">
        <f t="shared" si="85"/>
        <v>53391.614530598745</v>
      </c>
    </row>
    <row r="2734" spans="1:9" ht="15.75" customHeight="1" x14ac:dyDescent="0.35">
      <c r="A2734" s="26" t="s">
        <v>5298</v>
      </c>
      <c r="B2734" s="25" t="s">
        <v>10461</v>
      </c>
      <c r="C2734" s="6" t="s">
        <v>12027</v>
      </c>
      <c r="D2734" s="13">
        <v>16790.326312500001</v>
      </c>
      <c r="E2734" s="18">
        <v>21</v>
      </c>
      <c r="F2734" s="2">
        <f t="shared" si="84"/>
        <v>20316.294838125003</v>
      </c>
      <c r="G2734" s="3">
        <v>0</v>
      </c>
      <c r="H2734" s="4">
        <v>0.7</v>
      </c>
      <c r="I2734" s="28">
        <f t="shared" si="85"/>
        <v>34537.701224812503</v>
      </c>
    </row>
    <row r="2735" spans="1:9" ht="15.75" customHeight="1" x14ac:dyDescent="0.35">
      <c r="A2735" s="26" t="s">
        <v>12880</v>
      </c>
      <c r="B2735" s="25" t="s">
        <v>10462</v>
      </c>
      <c r="C2735" s="6" t="s">
        <v>12881</v>
      </c>
      <c r="D2735" s="13">
        <v>27232.63725</v>
      </c>
      <c r="E2735" s="18">
        <v>21</v>
      </c>
      <c r="F2735" s="2">
        <f t="shared" si="84"/>
        <v>32951.491072500001</v>
      </c>
      <c r="G2735" s="3">
        <v>0</v>
      </c>
      <c r="H2735" s="4">
        <v>0.7</v>
      </c>
      <c r="I2735" s="28">
        <f t="shared" si="85"/>
        <v>56017.534823249996</v>
      </c>
    </row>
    <row r="2736" spans="1:9" ht="15.75" customHeight="1" x14ac:dyDescent="0.35">
      <c r="A2736" s="26" t="s">
        <v>11377</v>
      </c>
      <c r="B2736" s="25" t="s">
        <v>10862</v>
      </c>
      <c r="C2736" s="6" t="s">
        <v>11378</v>
      </c>
      <c r="D2736" s="13">
        <v>260566.397325</v>
      </c>
      <c r="E2736" s="18">
        <v>21</v>
      </c>
      <c r="F2736" s="2">
        <f t="shared" si="84"/>
        <v>315285.34076325002</v>
      </c>
      <c r="G2736" s="3">
        <v>0</v>
      </c>
      <c r="H2736" s="4">
        <v>0.7</v>
      </c>
      <c r="I2736" s="28">
        <f t="shared" si="85"/>
        <v>535985.07929752499</v>
      </c>
    </row>
    <row r="2737" spans="1:9" ht="15.75" customHeight="1" x14ac:dyDescent="0.35">
      <c r="A2737" s="26" t="s">
        <v>9611</v>
      </c>
      <c r="B2737" s="25" t="s">
        <v>10463</v>
      </c>
      <c r="C2737" s="6" t="s">
        <v>13107</v>
      </c>
      <c r="D2737" s="13">
        <v>320124.74</v>
      </c>
      <c r="E2737" s="18">
        <v>21</v>
      </c>
      <c r="F2737" s="2">
        <f t="shared" si="84"/>
        <v>387350.93539999996</v>
      </c>
      <c r="G2737" s="3">
        <v>0</v>
      </c>
      <c r="H2737" s="4">
        <v>0.7</v>
      </c>
      <c r="I2737" s="28">
        <f t="shared" si="85"/>
        <v>658496.59017999994</v>
      </c>
    </row>
    <row r="2738" spans="1:9" ht="15.75" customHeight="1" x14ac:dyDescent="0.35">
      <c r="A2738" s="26" t="s">
        <v>12949</v>
      </c>
      <c r="B2738" s="25" t="s">
        <v>13333</v>
      </c>
      <c r="C2738" s="6" t="s">
        <v>12950</v>
      </c>
      <c r="D2738" s="13">
        <v>31838.625000000004</v>
      </c>
      <c r="E2738" s="18">
        <v>21</v>
      </c>
      <c r="F2738" s="2">
        <f t="shared" si="84"/>
        <v>38524.736250000002</v>
      </c>
      <c r="G2738" s="3">
        <v>0</v>
      </c>
      <c r="H2738" s="4">
        <v>0.7</v>
      </c>
      <c r="I2738" s="28">
        <f t="shared" si="85"/>
        <v>65492.051625</v>
      </c>
    </row>
    <row r="2739" spans="1:9" ht="15.75" customHeight="1" x14ac:dyDescent="0.35">
      <c r="A2739" s="26" t="s">
        <v>13980</v>
      </c>
      <c r="B2739" s="25" t="s">
        <v>12295</v>
      </c>
      <c r="C2739" s="6" t="s">
        <v>13981</v>
      </c>
      <c r="D2739" s="13">
        <v>64312.701699999998</v>
      </c>
      <c r="E2739" s="18">
        <v>21</v>
      </c>
      <c r="F2739" s="2">
        <f t="shared" si="84"/>
        <v>77818.369057000004</v>
      </c>
      <c r="G2739" s="3">
        <v>0</v>
      </c>
      <c r="H2739" s="4">
        <v>0.7</v>
      </c>
      <c r="I2739" s="28">
        <f t="shared" si="85"/>
        <v>132291.22739690001</v>
      </c>
    </row>
    <row r="2740" spans="1:9" ht="15.75" customHeight="1" x14ac:dyDescent="0.35">
      <c r="A2740" s="26" t="s">
        <v>1687</v>
      </c>
      <c r="B2740" s="25" t="s">
        <v>12296</v>
      </c>
      <c r="C2740" s="6" t="s">
        <v>434</v>
      </c>
      <c r="D2740" s="13">
        <v>824.33219440000005</v>
      </c>
      <c r="E2740" s="18">
        <v>21</v>
      </c>
      <c r="F2740" s="2">
        <f t="shared" si="84"/>
        <v>997.44195522400003</v>
      </c>
      <c r="G2740" s="3">
        <v>0</v>
      </c>
      <c r="H2740" s="4">
        <v>0.7</v>
      </c>
      <c r="I2740" s="28">
        <f t="shared" si="85"/>
        <v>1695.6513238808</v>
      </c>
    </row>
    <row r="2741" spans="1:9" ht="15.75" customHeight="1" x14ac:dyDescent="0.35">
      <c r="A2741" s="26" t="s">
        <v>1688</v>
      </c>
      <c r="B2741" s="25" t="s">
        <v>10863</v>
      </c>
      <c r="C2741" s="6" t="s">
        <v>435</v>
      </c>
      <c r="D2741" s="13">
        <v>7136.1966676000002</v>
      </c>
      <c r="E2741" s="18">
        <v>21</v>
      </c>
      <c r="F2741" s="2">
        <f t="shared" si="84"/>
        <v>8634.7979677959993</v>
      </c>
      <c r="G2741" s="3">
        <v>0</v>
      </c>
      <c r="H2741" s="4">
        <v>0.7</v>
      </c>
      <c r="I2741" s="28">
        <f t="shared" si="85"/>
        <v>14679.156545253198</v>
      </c>
    </row>
    <row r="2742" spans="1:9" ht="15.75" customHeight="1" x14ac:dyDescent="0.35">
      <c r="A2742" s="26" t="s">
        <v>1689</v>
      </c>
      <c r="B2742" s="25" t="s">
        <v>9332</v>
      </c>
      <c r="C2742" s="6" t="s">
        <v>436</v>
      </c>
      <c r="D2742" s="13">
        <v>1027.1806116</v>
      </c>
      <c r="E2742" s="18">
        <v>21</v>
      </c>
      <c r="F2742" s="2">
        <f t="shared" si="84"/>
        <v>1242.888540036</v>
      </c>
      <c r="G2742" s="3">
        <v>0</v>
      </c>
      <c r="H2742" s="4">
        <v>0.7</v>
      </c>
      <c r="I2742" s="28">
        <f t="shared" si="85"/>
        <v>2112.9105180612</v>
      </c>
    </row>
    <row r="2743" spans="1:9" ht="15.75" customHeight="1" x14ac:dyDescent="0.35">
      <c r="A2743" s="26" t="s">
        <v>1690</v>
      </c>
      <c r="B2743" s="25" t="s">
        <v>9024</v>
      </c>
      <c r="C2743" s="6" t="s">
        <v>1160</v>
      </c>
      <c r="D2743" s="13">
        <v>456.93070280000001</v>
      </c>
      <c r="E2743" s="18">
        <v>21</v>
      </c>
      <c r="F2743" s="2">
        <f t="shared" si="84"/>
        <v>552.88615038800003</v>
      </c>
      <c r="G2743" s="3">
        <v>0</v>
      </c>
      <c r="H2743" s="4">
        <v>0.7</v>
      </c>
      <c r="I2743" s="28">
        <f t="shared" si="85"/>
        <v>939.90645565960006</v>
      </c>
    </row>
    <row r="2744" spans="1:9" ht="15.75" customHeight="1" x14ac:dyDescent="0.35">
      <c r="A2744" s="26" t="s">
        <v>1691</v>
      </c>
      <c r="B2744" s="25" t="s">
        <v>9026</v>
      </c>
      <c r="C2744" s="6" t="s">
        <v>437</v>
      </c>
      <c r="D2744" s="13">
        <v>1248.0658476000001</v>
      </c>
      <c r="E2744" s="18">
        <v>21</v>
      </c>
      <c r="F2744" s="2">
        <f t="shared" si="84"/>
        <v>1510.1596755960002</v>
      </c>
      <c r="G2744" s="3">
        <v>0</v>
      </c>
      <c r="H2744" s="4">
        <v>0.7</v>
      </c>
      <c r="I2744" s="28">
        <f t="shared" si="85"/>
        <v>2567.2714485132001</v>
      </c>
    </row>
    <row r="2745" spans="1:9" ht="15.75" customHeight="1" x14ac:dyDescent="0.35">
      <c r="A2745" s="26" t="s">
        <v>1692</v>
      </c>
      <c r="B2745" s="25" t="s">
        <v>9027</v>
      </c>
      <c r="C2745" s="6" t="s">
        <v>438</v>
      </c>
      <c r="D2745" s="13">
        <v>1775.8340599999999</v>
      </c>
      <c r="E2745" s="18">
        <v>21</v>
      </c>
      <c r="F2745" s="2">
        <f t="shared" si="84"/>
        <v>2148.7592126</v>
      </c>
      <c r="G2745" s="3">
        <v>0</v>
      </c>
      <c r="H2745" s="4">
        <v>0.7</v>
      </c>
      <c r="I2745" s="28">
        <f t="shared" si="85"/>
        <v>3652.89066142</v>
      </c>
    </row>
    <row r="2746" spans="1:9" ht="15.75" customHeight="1" x14ac:dyDescent="0.35">
      <c r="A2746" s="26" t="s">
        <v>1693</v>
      </c>
      <c r="B2746" s="25" t="s">
        <v>1265</v>
      </c>
      <c r="C2746" s="6" t="s">
        <v>439</v>
      </c>
      <c r="D2746" s="13">
        <v>497.60688119999998</v>
      </c>
      <c r="E2746" s="18">
        <v>21</v>
      </c>
      <c r="F2746" s="2">
        <f t="shared" si="84"/>
        <v>602.10432625199996</v>
      </c>
      <c r="G2746" s="3">
        <v>0</v>
      </c>
      <c r="H2746" s="4">
        <v>0.7</v>
      </c>
      <c r="I2746" s="28">
        <f t="shared" si="85"/>
        <v>1023.5773546283999</v>
      </c>
    </row>
    <row r="2747" spans="1:9" ht="15.75" customHeight="1" x14ac:dyDescent="0.35">
      <c r="A2747" s="26" t="s">
        <v>1694</v>
      </c>
      <c r="B2747" s="25" t="s">
        <v>409</v>
      </c>
      <c r="C2747" s="6" t="s">
        <v>440</v>
      </c>
      <c r="D2747" s="13">
        <v>2872.1078671999999</v>
      </c>
      <c r="E2747" s="18">
        <v>21</v>
      </c>
      <c r="F2747" s="2">
        <f t="shared" si="84"/>
        <v>3475.2505193119996</v>
      </c>
      <c r="G2747" s="3">
        <v>0</v>
      </c>
      <c r="H2747" s="4">
        <v>0.7</v>
      </c>
      <c r="I2747" s="28">
        <f t="shared" si="85"/>
        <v>5907.9258828303991</v>
      </c>
    </row>
    <row r="2748" spans="1:9" ht="15.75" customHeight="1" x14ac:dyDescent="0.35">
      <c r="A2748" s="26" t="s">
        <v>1695</v>
      </c>
      <c r="B2748" s="25" t="s">
        <v>410</v>
      </c>
      <c r="C2748" s="6" t="s">
        <v>441</v>
      </c>
      <c r="D2748" s="13">
        <v>511.26149359999999</v>
      </c>
      <c r="E2748" s="18">
        <v>21</v>
      </c>
      <c r="F2748" s="2">
        <f t="shared" si="84"/>
        <v>618.62640725599999</v>
      </c>
      <c r="G2748" s="3">
        <v>0</v>
      </c>
      <c r="H2748" s="4">
        <v>0.7</v>
      </c>
      <c r="I2748" s="28">
        <f t="shared" si="85"/>
        <v>1051.6648923352</v>
      </c>
    </row>
    <row r="2749" spans="1:9" ht="15.75" customHeight="1" x14ac:dyDescent="0.35">
      <c r="A2749" s="26" t="s">
        <v>1696</v>
      </c>
      <c r="B2749" s="25" t="s">
        <v>11995</v>
      </c>
      <c r="C2749" s="6" t="s">
        <v>442</v>
      </c>
      <c r="D2749" s="13">
        <v>4235.1331879999998</v>
      </c>
      <c r="E2749" s="18">
        <v>21</v>
      </c>
      <c r="F2749" s="2">
        <f t="shared" si="84"/>
        <v>5124.5111574799994</v>
      </c>
      <c r="G2749" s="3">
        <v>0</v>
      </c>
      <c r="H2749" s="4">
        <v>0.7</v>
      </c>
      <c r="I2749" s="28">
        <f t="shared" si="85"/>
        <v>8711.6689677159993</v>
      </c>
    </row>
    <row r="2750" spans="1:9" ht="15.75" customHeight="1" x14ac:dyDescent="0.35">
      <c r="A2750" s="26" t="s">
        <v>1697</v>
      </c>
      <c r="B2750" s="25" t="s">
        <v>11508</v>
      </c>
      <c r="C2750" s="6" t="s">
        <v>443</v>
      </c>
      <c r="D2750" s="13">
        <v>5647.4522103999998</v>
      </c>
      <c r="E2750" s="18">
        <v>21</v>
      </c>
      <c r="F2750" s="2">
        <f t="shared" si="84"/>
        <v>6833.4171745839994</v>
      </c>
      <c r="G2750" s="3">
        <v>0</v>
      </c>
      <c r="H2750" s="4">
        <v>0.7</v>
      </c>
      <c r="I2750" s="28">
        <f t="shared" si="85"/>
        <v>11616.809196792799</v>
      </c>
    </row>
    <row r="2751" spans="1:9" ht="15.75" customHeight="1" x14ac:dyDescent="0.35">
      <c r="A2751" s="26" t="s">
        <v>5028</v>
      </c>
      <c r="B2751" s="25" t="s">
        <v>11997</v>
      </c>
      <c r="C2751" s="6" t="s">
        <v>444</v>
      </c>
      <c r="D2751" s="13">
        <v>175.85889514412199</v>
      </c>
      <c r="E2751" s="18">
        <v>21</v>
      </c>
      <c r="F2751" s="2">
        <f t="shared" si="84"/>
        <v>212.78926312438762</v>
      </c>
      <c r="G2751" s="3">
        <v>0</v>
      </c>
      <c r="H2751" s="4">
        <v>0.7</v>
      </c>
      <c r="I2751" s="28">
        <f t="shared" si="85"/>
        <v>361.74174731145894</v>
      </c>
    </row>
    <row r="2752" spans="1:9" ht="15.75" customHeight="1" x14ac:dyDescent="0.35">
      <c r="A2752" s="26" t="s">
        <v>5029</v>
      </c>
      <c r="B2752" s="25" t="s">
        <v>11510</v>
      </c>
      <c r="C2752" s="6" t="s">
        <v>445</v>
      </c>
      <c r="D2752" s="13">
        <v>175.85889514412199</v>
      </c>
      <c r="E2752" s="18">
        <v>21</v>
      </c>
      <c r="F2752" s="2">
        <f t="shared" si="84"/>
        <v>212.78926312438762</v>
      </c>
      <c r="G2752" s="3">
        <v>0</v>
      </c>
      <c r="H2752" s="4">
        <v>0.7</v>
      </c>
      <c r="I2752" s="28">
        <f t="shared" si="85"/>
        <v>361.74174731145894</v>
      </c>
    </row>
    <row r="2753" spans="1:9" ht="15.75" customHeight="1" x14ac:dyDescent="0.35">
      <c r="A2753" s="26" t="s">
        <v>5027</v>
      </c>
      <c r="B2753" s="25" t="s">
        <v>11999</v>
      </c>
      <c r="C2753" s="6" t="s">
        <v>10674</v>
      </c>
      <c r="D2753" s="13">
        <v>175.85889514412199</v>
      </c>
      <c r="E2753" s="18">
        <v>21</v>
      </c>
      <c r="F2753" s="2">
        <f t="shared" si="84"/>
        <v>212.78926312438762</v>
      </c>
      <c r="G2753" s="3">
        <v>0</v>
      </c>
      <c r="H2753" s="4">
        <v>0.7</v>
      </c>
      <c r="I2753" s="28">
        <f t="shared" si="85"/>
        <v>361.74174731145894</v>
      </c>
    </row>
    <row r="2754" spans="1:9" ht="15.75" customHeight="1" x14ac:dyDescent="0.35">
      <c r="A2754" s="26" t="s">
        <v>3465</v>
      </c>
      <c r="B2754" s="25" t="s">
        <v>11512</v>
      </c>
      <c r="C2754" s="6" t="s">
        <v>10082</v>
      </c>
      <c r="D2754" s="13">
        <v>2484.5765559615002</v>
      </c>
      <c r="E2754" s="18">
        <v>21</v>
      </c>
      <c r="F2754" s="2">
        <f t="shared" si="84"/>
        <v>3006.3376327134151</v>
      </c>
      <c r="G2754" s="3">
        <v>0</v>
      </c>
      <c r="H2754" s="4">
        <v>0.7</v>
      </c>
      <c r="I2754" s="28">
        <f t="shared" si="85"/>
        <v>5110.7739756128058</v>
      </c>
    </row>
    <row r="2755" spans="1:9" ht="15.75" customHeight="1" x14ac:dyDescent="0.35">
      <c r="A2755" s="26" t="s">
        <v>5156</v>
      </c>
      <c r="B2755" s="25" t="s">
        <v>11633</v>
      </c>
      <c r="C2755" s="6" t="s">
        <v>10994</v>
      </c>
      <c r="D2755" s="13">
        <v>811.51134517440005</v>
      </c>
      <c r="E2755" s="18">
        <v>21</v>
      </c>
      <c r="F2755" s="2">
        <f t="shared" si="84"/>
        <v>981.92872766102403</v>
      </c>
      <c r="G2755" s="3">
        <v>0</v>
      </c>
      <c r="H2755" s="4">
        <v>0.7</v>
      </c>
      <c r="I2755" s="28">
        <f t="shared" si="85"/>
        <v>1669.2788370237408</v>
      </c>
    </row>
    <row r="2756" spans="1:9" ht="15.75" customHeight="1" x14ac:dyDescent="0.35">
      <c r="A2756" s="26" t="s">
        <v>5157</v>
      </c>
      <c r="B2756" s="25" t="s">
        <v>11514</v>
      </c>
      <c r="C2756" s="6" t="s">
        <v>10995</v>
      </c>
      <c r="D2756" s="13">
        <v>811.51134517440005</v>
      </c>
      <c r="E2756" s="18">
        <v>21</v>
      </c>
      <c r="F2756" s="2">
        <f t="shared" si="84"/>
        <v>981.92872766102403</v>
      </c>
      <c r="G2756" s="3">
        <v>0</v>
      </c>
      <c r="H2756" s="4">
        <v>0.7</v>
      </c>
      <c r="I2756" s="28">
        <f t="shared" si="85"/>
        <v>1669.2788370237408</v>
      </c>
    </row>
    <row r="2757" spans="1:9" ht="15.75" customHeight="1" x14ac:dyDescent="0.35">
      <c r="A2757" s="26" t="s">
        <v>5158</v>
      </c>
      <c r="B2757" s="25" t="s">
        <v>10464</v>
      </c>
      <c r="C2757" s="6" t="s">
        <v>10996</v>
      </c>
      <c r="D2757" s="13">
        <v>2120.3812129500002</v>
      </c>
      <c r="E2757" s="18">
        <v>21</v>
      </c>
      <c r="F2757" s="2">
        <f t="shared" si="84"/>
        <v>2565.6612676695004</v>
      </c>
      <c r="G2757" s="3">
        <v>0</v>
      </c>
      <c r="H2757" s="4">
        <v>0.7</v>
      </c>
      <c r="I2757" s="28">
        <f t="shared" si="85"/>
        <v>4361.6241550381501</v>
      </c>
    </row>
    <row r="2758" spans="1:9" ht="15.75" customHeight="1" x14ac:dyDescent="0.35">
      <c r="A2758" s="26" t="s">
        <v>5159</v>
      </c>
      <c r="B2758" s="25" t="s">
        <v>10465</v>
      </c>
      <c r="C2758" s="6" t="s">
        <v>10997</v>
      </c>
      <c r="D2758" s="13">
        <v>2120.3812129500002</v>
      </c>
      <c r="E2758" s="18">
        <v>21</v>
      </c>
      <c r="F2758" s="2">
        <f t="shared" ref="F2758:F2821" si="86">D2758*E2758/100+D2758</f>
        <v>2565.6612676695004</v>
      </c>
      <c r="G2758" s="3">
        <v>0</v>
      </c>
      <c r="H2758" s="4">
        <v>0.7</v>
      </c>
      <c r="I2758" s="28">
        <f t="shared" ref="I2758:I2821" si="87">IF(G2758=-1,0,F2758*((100-G2758)/100)*(1+H2758))</f>
        <v>4361.6241550381501</v>
      </c>
    </row>
    <row r="2759" spans="1:9" ht="15.75" customHeight="1" x14ac:dyDescent="0.35">
      <c r="A2759" s="26" t="s">
        <v>5160</v>
      </c>
      <c r="B2759" s="25" t="s">
        <v>10466</v>
      </c>
      <c r="C2759" s="6" t="s">
        <v>10998</v>
      </c>
      <c r="D2759" s="13">
        <v>811.51134517440005</v>
      </c>
      <c r="E2759" s="18">
        <v>21</v>
      </c>
      <c r="F2759" s="2">
        <f t="shared" si="86"/>
        <v>981.92872766102403</v>
      </c>
      <c r="G2759" s="3">
        <v>0</v>
      </c>
      <c r="H2759" s="4">
        <v>0.7</v>
      </c>
      <c r="I2759" s="28">
        <f t="shared" si="87"/>
        <v>1669.2788370237408</v>
      </c>
    </row>
    <row r="2760" spans="1:9" ht="15.75" customHeight="1" x14ac:dyDescent="0.35">
      <c r="A2760" s="26" t="s">
        <v>5161</v>
      </c>
      <c r="B2760" s="25" t="s">
        <v>10467</v>
      </c>
      <c r="C2760" s="6" t="s">
        <v>446</v>
      </c>
      <c r="D2760" s="13">
        <v>5271.23080131603</v>
      </c>
      <c r="E2760" s="18">
        <v>21</v>
      </c>
      <c r="F2760" s="2">
        <f t="shared" si="86"/>
        <v>6378.1892695923962</v>
      </c>
      <c r="G2760" s="3">
        <v>0</v>
      </c>
      <c r="H2760" s="4">
        <v>0.7</v>
      </c>
      <c r="I2760" s="28">
        <f t="shared" si="87"/>
        <v>10842.921758307073</v>
      </c>
    </row>
    <row r="2761" spans="1:9" ht="15.75" customHeight="1" x14ac:dyDescent="0.35">
      <c r="A2761" s="26" t="s">
        <v>5162</v>
      </c>
      <c r="B2761" s="25" t="s">
        <v>10673</v>
      </c>
      <c r="C2761" s="6" t="s">
        <v>447</v>
      </c>
      <c r="D2761" s="13">
        <v>5271.2215516116003</v>
      </c>
      <c r="E2761" s="18">
        <v>21</v>
      </c>
      <c r="F2761" s="2">
        <f t="shared" si="86"/>
        <v>6378.1780774500367</v>
      </c>
      <c r="G2761" s="3">
        <v>0</v>
      </c>
      <c r="H2761" s="4">
        <v>0.7</v>
      </c>
      <c r="I2761" s="28">
        <f t="shared" si="87"/>
        <v>10842.902731665063</v>
      </c>
    </row>
    <row r="2762" spans="1:9" ht="15.75" customHeight="1" x14ac:dyDescent="0.35">
      <c r="A2762" s="26" t="s">
        <v>5163</v>
      </c>
      <c r="B2762" s="25" t="s">
        <v>12000</v>
      </c>
      <c r="C2762" s="6" t="s">
        <v>10999</v>
      </c>
      <c r="D2762" s="13">
        <v>1631.0624714999999</v>
      </c>
      <c r="E2762" s="18">
        <v>21</v>
      </c>
      <c r="F2762" s="2">
        <f t="shared" si="86"/>
        <v>1973.5855905149999</v>
      </c>
      <c r="G2762" s="3">
        <v>0</v>
      </c>
      <c r="H2762" s="4">
        <v>0.7</v>
      </c>
      <c r="I2762" s="28">
        <f t="shared" si="87"/>
        <v>3355.0955038754996</v>
      </c>
    </row>
    <row r="2763" spans="1:9" ht="15.75" customHeight="1" x14ac:dyDescent="0.35">
      <c r="A2763" s="26" t="s">
        <v>5164</v>
      </c>
      <c r="B2763" s="25" t="s">
        <v>12606</v>
      </c>
      <c r="C2763" s="6" t="s">
        <v>11000</v>
      </c>
      <c r="D2763" s="13">
        <v>2120.3812129500002</v>
      </c>
      <c r="E2763" s="18">
        <v>21</v>
      </c>
      <c r="F2763" s="2">
        <f t="shared" si="86"/>
        <v>2565.6612676695004</v>
      </c>
      <c r="G2763" s="3">
        <v>0</v>
      </c>
      <c r="H2763" s="4">
        <v>0.7</v>
      </c>
      <c r="I2763" s="28">
        <f t="shared" si="87"/>
        <v>4361.6241550381501</v>
      </c>
    </row>
    <row r="2764" spans="1:9" ht="15.75" customHeight="1" x14ac:dyDescent="0.35">
      <c r="A2764" s="26" t="s">
        <v>3464</v>
      </c>
      <c r="B2764" s="25" t="s">
        <v>12001</v>
      </c>
      <c r="C2764" s="6" t="s">
        <v>13887</v>
      </c>
      <c r="D2764" s="13">
        <v>7344.1095000000005</v>
      </c>
      <c r="E2764" s="18">
        <v>21</v>
      </c>
      <c r="F2764" s="2">
        <f t="shared" si="86"/>
        <v>8886.3724950000014</v>
      </c>
      <c r="G2764" s="3">
        <v>0</v>
      </c>
      <c r="H2764" s="4">
        <v>0.7</v>
      </c>
      <c r="I2764" s="28">
        <f t="shared" si="87"/>
        <v>15106.833241500002</v>
      </c>
    </row>
    <row r="2765" spans="1:9" ht="15.75" customHeight="1" x14ac:dyDescent="0.35">
      <c r="A2765" s="26" t="s">
        <v>13584</v>
      </c>
      <c r="B2765" s="25" t="s">
        <v>10468</v>
      </c>
      <c r="C2765" s="6" t="s">
        <v>13585</v>
      </c>
      <c r="D2765" s="13">
        <v>15335.705449999999</v>
      </c>
      <c r="E2765" s="18">
        <v>21</v>
      </c>
      <c r="F2765" s="2">
        <f t="shared" si="86"/>
        <v>18556.203594499999</v>
      </c>
      <c r="G2765" s="3">
        <v>0</v>
      </c>
      <c r="H2765" s="4">
        <v>0.7</v>
      </c>
      <c r="I2765" s="28">
        <f t="shared" si="87"/>
        <v>31545.546110649997</v>
      </c>
    </row>
    <row r="2766" spans="1:9" ht="15.75" customHeight="1" x14ac:dyDescent="0.35">
      <c r="A2766" s="26" t="s">
        <v>3463</v>
      </c>
      <c r="B2766" s="25" t="s">
        <v>12297</v>
      </c>
      <c r="C2766" s="6" t="s">
        <v>11958</v>
      </c>
      <c r="D2766" s="13">
        <v>22255.198875000002</v>
      </c>
      <c r="E2766" s="18">
        <v>21</v>
      </c>
      <c r="F2766" s="2">
        <f t="shared" si="86"/>
        <v>26928.790638750004</v>
      </c>
      <c r="G2766" s="3">
        <v>0</v>
      </c>
      <c r="H2766" s="4">
        <v>0.7</v>
      </c>
      <c r="I2766" s="28">
        <f t="shared" si="87"/>
        <v>45778.944085875009</v>
      </c>
    </row>
    <row r="2767" spans="1:9" ht="15.75" customHeight="1" x14ac:dyDescent="0.35">
      <c r="A2767" s="26" t="s">
        <v>11959</v>
      </c>
      <c r="B2767" s="25" t="s">
        <v>10469</v>
      </c>
      <c r="C2767" s="6" t="s">
        <v>11960</v>
      </c>
      <c r="D2767" s="13">
        <v>17415.727875</v>
      </c>
      <c r="E2767" s="18">
        <v>21</v>
      </c>
      <c r="F2767" s="2">
        <f t="shared" si="86"/>
        <v>21073.03072875</v>
      </c>
      <c r="G2767" s="3">
        <v>0</v>
      </c>
      <c r="H2767" s="4">
        <v>0.7</v>
      </c>
      <c r="I2767" s="28">
        <f t="shared" si="87"/>
        <v>35824.152238875002</v>
      </c>
    </row>
    <row r="2768" spans="1:9" ht="15.75" customHeight="1" x14ac:dyDescent="0.35">
      <c r="A2768" s="26" t="s">
        <v>5165</v>
      </c>
      <c r="B2768" s="25" t="s">
        <v>10470</v>
      </c>
      <c r="C2768" s="6" t="s">
        <v>448</v>
      </c>
      <c r="D2768" s="13">
        <v>441.80140895279999</v>
      </c>
      <c r="E2768" s="18">
        <v>21</v>
      </c>
      <c r="F2768" s="2">
        <f t="shared" si="86"/>
        <v>534.57970483288796</v>
      </c>
      <c r="G2768" s="3">
        <v>0</v>
      </c>
      <c r="H2768" s="4">
        <v>0.7</v>
      </c>
      <c r="I2768" s="28">
        <f t="shared" si="87"/>
        <v>908.78549821590946</v>
      </c>
    </row>
    <row r="2769" spans="1:9" ht="15.75" customHeight="1" x14ac:dyDescent="0.35">
      <c r="A2769" s="26" t="s">
        <v>5166</v>
      </c>
      <c r="B2769" s="25" t="s">
        <v>10471</v>
      </c>
      <c r="C2769" s="6" t="s">
        <v>449</v>
      </c>
      <c r="D2769" s="13">
        <v>441.80140895279999</v>
      </c>
      <c r="E2769" s="18">
        <v>21</v>
      </c>
      <c r="F2769" s="2">
        <f t="shared" si="86"/>
        <v>534.57970483288796</v>
      </c>
      <c r="G2769" s="3">
        <v>0</v>
      </c>
      <c r="H2769" s="4">
        <v>0.7</v>
      </c>
      <c r="I2769" s="28">
        <f t="shared" si="87"/>
        <v>908.78549821590946</v>
      </c>
    </row>
    <row r="2770" spans="1:9" ht="15.75" customHeight="1" x14ac:dyDescent="0.35">
      <c r="A2770" s="26" t="s">
        <v>5167</v>
      </c>
      <c r="B2770" s="25" t="s">
        <v>10472</v>
      </c>
      <c r="C2770" s="6" t="s">
        <v>450</v>
      </c>
      <c r="D2770" s="13">
        <v>441.80140895279999</v>
      </c>
      <c r="E2770" s="18">
        <v>21</v>
      </c>
      <c r="F2770" s="2">
        <f t="shared" si="86"/>
        <v>534.57970483288796</v>
      </c>
      <c r="G2770" s="3">
        <v>0</v>
      </c>
      <c r="H2770" s="4">
        <v>0.7</v>
      </c>
      <c r="I2770" s="28">
        <f t="shared" si="87"/>
        <v>908.78549821590946</v>
      </c>
    </row>
    <row r="2771" spans="1:9" ht="15.75" customHeight="1" x14ac:dyDescent="0.35">
      <c r="A2771" s="26" t="s">
        <v>5168</v>
      </c>
      <c r="B2771" s="25" t="s">
        <v>10473</v>
      </c>
      <c r="C2771" s="6" t="s">
        <v>451</v>
      </c>
      <c r="D2771" s="13">
        <v>1530.78275844</v>
      </c>
      <c r="E2771" s="18">
        <v>21</v>
      </c>
      <c r="F2771" s="2">
        <f t="shared" si="86"/>
        <v>1852.2471377124</v>
      </c>
      <c r="G2771" s="3">
        <v>0</v>
      </c>
      <c r="H2771" s="4">
        <v>0.7</v>
      </c>
      <c r="I2771" s="28">
        <f t="shared" si="87"/>
        <v>3148.8201341110798</v>
      </c>
    </row>
    <row r="2772" spans="1:9" ht="15.75" customHeight="1" x14ac:dyDescent="0.35">
      <c r="A2772" s="26" t="s">
        <v>5169</v>
      </c>
      <c r="B2772" s="25" t="s">
        <v>10474</v>
      </c>
      <c r="C2772" s="6" t="s">
        <v>452</v>
      </c>
      <c r="D2772" s="13">
        <v>462.92633009999997</v>
      </c>
      <c r="E2772" s="18">
        <v>21</v>
      </c>
      <c r="F2772" s="2">
        <f t="shared" si="86"/>
        <v>560.14085942099996</v>
      </c>
      <c r="G2772" s="3">
        <v>0</v>
      </c>
      <c r="H2772" s="4">
        <v>0.7</v>
      </c>
      <c r="I2772" s="28">
        <f t="shared" si="87"/>
        <v>952.23946101569993</v>
      </c>
    </row>
    <row r="2773" spans="1:9" ht="15.75" customHeight="1" x14ac:dyDescent="0.35">
      <c r="A2773" s="26" t="s">
        <v>5170</v>
      </c>
      <c r="B2773" s="25" t="s">
        <v>13184</v>
      </c>
      <c r="C2773" s="6" t="s">
        <v>453</v>
      </c>
      <c r="D2773" s="13">
        <v>462.92633009999997</v>
      </c>
      <c r="E2773" s="18">
        <v>21</v>
      </c>
      <c r="F2773" s="2">
        <f t="shared" si="86"/>
        <v>560.14085942099996</v>
      </c>
      <c r="G2773" s="3">
        <v>0</v>
      </c>
      <c r="H2773" s="4">
        <v>0.7</v>
      </c>
      <c r="I2773" s="28">
        <f t="shared" si="87"/>
        <v>952.23946101569993</v>
      </c>
    </row>
    <row r="2774" spans="1:9" ht="15.75" customHeight="1" x14ac:dyDescent="0.35">
      <c r="A2774" s="26" t="s">
        <v>5171</v>
      </c>
      <c r="B2774" s="25" t="s">
        <v>12622</v>
      </c>
      <c r="C2774" s="6" t="s">
        <v>454</v>
      </c>
      <c r="D2774" s="13">
        <v>2310.4995492384</v>
      </c>
      <c r="E2774" s="18">
        <v>21</v>
      </c>
      <c r="F2774" s="2">
        <f t="shared" si="86"/>
        <v>2795.7044545784638</v>
      </c>
      <c r="G2774" s="3">
        <v>0</v>
      </c>
      <c r="H2774" s="4">
        <v>0.7</v>
      </c>
      <c r="I2774" s="28">
        <f t="shared" si="87"/>
        <v>4752.6975727833888</v>
      </c>
    </row>
    <row r="2775" spans="1:9" ht="15.75" customHeight="1" x14ac:dyDescent="0.35">
      <c r="A2775" s="26" t="s">
        <v>5172</v>
      </c>
      <c r="B2775" s="25" t="s">
        <v>12002</v>
      </c>
      <c r="C2775" s="6" t="s">
        <v>455</v>
      </c>
      <c r="D2775" s="13">
        <v>1530.78275844</v>
      </c>
      <c r="E2775" s="18">
        <v>21</v>
      </c>
      <c r="F2775" s="2">
        <f t="shared" si="86"/>
        <v>1852.2471377124</v>
      </c>
      <c r="G2775" s="3">
        <v>0</v>
      </c>
      <c r="H2775" s="4">
        <v>0.7</v>
      </c>
      <c r="I2775" s="28">
        <f t="shared" si="87"/>
        <v>3148.8201341110798</v>
      </c>
    </row>
    <row r="2776" spans="1:9" ht="15.75" customHeight="1" x14ac:dyDescent="0.35">
      <c r="A2776" s="26" t="s">
        <v>5173</v>
      </c>
      <c r="B2776" s="25" t="s">
        <v>13049</v>
      </c>
      <c r="C2776" s="6" t="s">
        <v>456</v>
      </c>
      <c r="D2776" s="13">
        <v>462.92633009999997</v>
      </c>
      <c r="E2776" s="18">
        <v>21</v>
      </c>
      <c r="F2776" s="2">
        <f t="shared" si="86"/>
        <v>560.14085942099996</v>
      </c>
      <c r="G2776" s="3">
        <v>0</v>
      </c>
      <c r="H2776" s="4">
        <v>0.7</v>
      </c>
      <c r="I2776" s="28">
        <f t="shared" si="87"/>
        <v>952.23946101569993</v>
      </c>
    </row>
    <row r="2777" spans="1:9" ht="15.75" customHeight="1" x14ac:dyDescent="0.35">
      <c r="A2777" s="26" t="s">
        <v>5174</v>
      </c>
      <c r="B2777" s="25" t="s">
        <v>13051</v>
      </c>
      <c r="C2777" s="6" t="s">
        <v>457</v>
      </c>
      <c r="D2777" s="13">
        <v>1530.78275844</v>
      </c>
      <c r="E2777" s="18">
        <v>21</v>
      </c>
      <c r="F2777" s="2">
        <f t="shared" si="86"/>
        <v>1852.2471377124</v>
      </c>
      <c r="G2777" s="3">
        <v>0</v>
      </c>
      <c r="H2777" s="4">
        <v>0.7</v>
      </c>
      <c r="I2777" s="28">
        <f t="shared" si="87"/>
        <v>3148.8201341110798</v>
      </c>
    </row>
    <row r="2778" spans="1:9" ht="15.75" customHeight="1" x14ac:dyDescent="0.35">
      <c r="A2778" s="26" t="s">
        <v>5175</v>
      </c>
      <c r="B2778" s="25" t="s">
        <v>13053</v>
      </c>
      <c r="C2778" s="6" t="s">
        <v>1161</v>
      </c>
      <c r="D2778" s="13">
        <v>2310.4995492384</v>
      </c>
      <c r="E2778" s="18">
        <v>21</v>
      </c>
      <c r="F2778" s="2">
        <f t="shared" si="86"/>
        <v>2795.7044545784638</v>
      </c>
      <c r="G2778" s="3">
        <v>0</v>
      </c>
      <c r="H2778" s="4">
        <v>0.7</v>
      </c>
      <c r="I2778" s="28">
        <f t="shared" si="87"/>
        <v>4752.6975727833888</v>
      </c>
    </row>
    <row r="2779" spans="1:9" ht="15.75" customHeight="1" x14ac:dyDescent="0.35">
      <c r="A2779" s="26" t="s">
        <v>10782</v>
      </c>
      <c r="B2779" s="25" t="s">
        <v>13055</v>
      </c>
      <c r="C2779" s="6" t="s">
        <v>12018</v>
      </c>
      <c r="D2779" s="13">
        <v>46504.607499999998</v>
      </c>
      <c r="E2779" s="18">
        <v>10.5</v>
      </c>
      <c r="F2779" s="2">
        <f t="shared" si="86"/>
        <v>51387.591287499999</v>
      </c>
      <c r="G2779" s="3">
        <v>0</v>
      </c>
      <c r="H2779" s="4">
        <v>0.7</v>
      </c>
      <c r="I2779" s="28">
        <f t="shared" si="87"/>
        <v>87358.905188749995</v>
      </c>
    </row>
    <row r="2780" spans="1:9" ht="15.75" customHeight="1" x14ac:dyDescent="0.35">
      <c r="A2780" s="26" t="s">
        <v>3059</v>
      </c>
      <c r="B2780" s="25" t="s">
        <v>13057</v>
      </c>
      <c r="C2780" s="6" t="s">
        <v>13836</v>
      </c>
      <c r="D2780" s="13">
        <v>25956.06</v>
      </c>
      <c r="E2780" s="18">
        <v>10.5</v>
      </c>
      <c r="F2780" s="2">
        <f t="shared" si="86"/>
        <v>28681.446300000003</v>
      </c>
      <c r="G2780" s="3">
        <v>0</v>
      </c>
      <c r="H2780" s="4">
        <v>0.7</v>
      </c>
      <c r="I2780" s="28">
        <f t="shared" si="87"/>
        <v>48758.458710000006</v>
      </c>
    </row>
    <row r="2781" spans="1:9" ht="15.75" customHeight="1" x14ac:dyDescent="0.35">
      <c r="A2781" s="26" t="s">
        <v>12328</v>
      </c>
      <c r="B2781" s="25" t="s">
        <v>13059</v>
      </c>
      <c r="C2781" s="6" t="s">
        <v>12548</v>
      </c>
      <c r="D2781" s="13">
        <v>207778.86675000002</v>
      </c>
      <c r="E2781" s="18">
        <v>21</v>
      </c>
      <c r="F2781" s="2">
        <f t="shared" si="86"/>
        <v>251412.42876750001</v>
      </c>
      <c r="G2781" s="3">
        <v>0</v>
      </c>
      <c r="H2781" s="4">
        <v>0.7</v>
      </c>
      <c r="I2781" s="28">
        <f t="shared" si="87"/>
        <v>427401.12890474999</v>
      </c>
    </row>
    <row r="2782" spans="1:9" ht="15.75" customHeight="1" x14ac:dyDescent="0.35">
      <c r="A2782" s="26" t="s">
        <v>12329</v>
      </c>
      <c r="B2782" s="25" t="s">
        <v>13061</v>
      </c>
      <c r="C2782" s="6" t="s">
        <v>13236</v>
      </c>
      <c r="D2782" s="13">
        <v>236189.53312500002</v>
      </c>
      <c r="E2782" s="18">
        <v>10.5</v>
      </c>
      <c r="F2782" s="2">
        <f t="shared" si="86"/>
        <v>260989.43410312501</v>
      </c>
      <c r="G2782" s="3">
        <v>0</v>
      </c>
      <c r="H2782" s="4">
        <v>0.7</v>
      </c>
      <c r="I2782" s="28">
        <f t="shared" si="87"/>
        <v>443682.0379753125</v>
      </c>
    </row>
    <row r="2783" spans="1:9" ht="15.75" customHeight="1" x14ac:dyDescent="0.35">
      <c r="A2783" s="26" t="s">
        <v>3060</v>
      </c>
      <c r="B2783" s="25" t="s">
        <v>13063</v>
      </c>
      <c r="C2783" s="6" t="s">
        <v>12202</v>
      </c>
      <c r="D2783" s="13">
        <v>177102.69102288748</v>
      </c>
      <c r="E2783" s="18">
        <v>10.5</v>
      </c>
      <c r="F2783" s="2">
        <f t="shared" si="86"/>
        <v>195698.47358029065</v>
      </c>
      <c r="G2783" s="3">
        <v>0</v>
      </c>
      <c r="H2783" s="4">
        <v>0.7</v>
      </c>
      <c r="I2783" s="28">
        <f t="shared" si="87"/>
        <v>332687.40508649411</v>
      </c>
    </row>
    <row r="2784" spans="1:9" ht="15.75" customHeight="1" x14ac:dyDescent="0.35">
      <c r="A2784" s="26" t="s">
        <v>2849</v>
      </c>
      <c r="B2784" s="25" t="s">
        <v>9525</v>
      </c>
      <c r="C2784" s="6" t="s">
        <v>11634</v>
      </c>
      <c r="D2784" s="13">
        <v>3799.4092500000002</v>
      </c>
      <c r="E2784" s="18">
        <v>21</v>
      </c>
      <c r="F2784" s="2">
        <f t="shared" si="86"/>
        <v>4597.2851925000004</v>
      </c>
      <c r="G2784" s="3">
        <v>0</v>
      </c>
      <c r="H2784" s="4">
        <v>0.7</v>
      </c>
      <c r="I2784" s="28">
        <f t="shared" si="87"/>
        <v>7815.3848272500009</v>
      </c>
    </row>
    <row r="2785" spans="1:9" ht="15.75" customHeight="1" x14ac:dyDescent="0.35">
      <c r="A2785" s="26" t="s">
        <v>2861</v>
      </c>
      <c r="B2785" s="25" t="s">
        <v>9442</v>
      </c>
      <c r="C2785" s="6" t="s">
        <v>12620</v>
      </c>
      <c r="D2785" s="13">
        <v>2918.5406250000001</v>
      </c>
      <c r="E2785" s="18">
        <v>21</v>
      </c>
      <c r="F2785" s="2">
        <f t="shared" si="86"/>
        <v>3531.4341562500003</v>
      </c>
      <c r="G2785" s="3">
        <v>0</v>
      </c>
      <c r="H2785" s="4">
        <v>0.7</v>
      </c>
      <c r="I2785" s="28">
        <f t="shared" si="87"/>
        <v>6003.4380656250005</v>
      </c>
    </row>
    <row r="2786" spans="1:9" ht="15.75" customHeight="1" x14ac:dyDescent="0.35">
      <c r="A2786" s="26" t="s">
        <v>2478</v>
      </c>
      <c r="B2786" s="25" t="s">
        <v>9540</v>
      </c>
      <c r="C2786" s="6" t="s">
        <v>458</v>
      </c>
      <c r="D2786" s="13">
        <v>3505.1593395</v>
      </c>
      <c r="E2786" s="18">
        <v>21</v>
      </c>
      <c r="F2786" s="2">
        <f t="shared" si="86"/>
        <v>4241.2428007950002</v>
      </c>
      <c r="G2786" s="3">
        <v>0</v>
      </c>
      <c r="H2786" s="4">
        <v>0.7</v>
      </c>
      <c r="I2786" s="28">
        <f t="shared" si="87"/>
        <v>7210.1127613515</v>
      </c>
    </row>
    <row r="2787" spans="1:9" ht="15.75" customHeight="1" x14ac:dyDescent="0.35">
      <c r="A2787" s="26" t="s">
        <v>2479</v>
      </c>
      <c r="B2787" s="25" t="s">
        <v>9444</v>
      </c>
      <c r="C2787" s="6" t="s">
        <v>459</v>
      </c>
      <c r="D2787" s="13">
        <v>3862.3472744999999</v>
      </c>
      <c r="E2787" s="18">
        <v>21</v>
      </c>
      <c r="F2787" s="2">
        <f t="shared" si="86"/>
        <v>4673.4402021449996</v>
      </c>
      <c r="G2787" s="3">
        <v>0</v>
      </c>
      <c r="H2787" s="4">
        <v>0.7</v>
      </c>
      <c r="I2787" s="28">
        <f t="shared" si="87"/>
        <v>7944.8483436464994</v>
      </c>
    </row>
    <row r="2788" spans="1:9" ht="15.75" customHeight="1" x14ac:dyDescent="0.35">
      <c r="A2788" s="26" t="s">
        <v>2480</v>
      </c>
      <c r="B2788" s="25" t="s">
        <v>9446</v>
      </c>
      <c r="C2788" s="6" t="s">
        <v>460</v>
      </c>
      <c r="D2788" s="13">
        <v>4356.3449280000004</v>
      </c>
      <c r="E2788" s="18">
        <v>21</v>
      </c>
      <c r="F2788" s="2">
        <f t="shared" si="86"/>
        <v>5271.1773628800001</v>
      </c>
      <c r="G2788" s="3">
        <v>0</v>
      </c>
      <c r="H2788" s="4">
        <v>0.7</v>
      </c>
      <c r="I2788" s="28">
        <f t="shared" si="87"/>
        <v>8961.0015168959999</v>
      </c>
    </row>
    <row r="2789" spans="1:9" ht="15.75" customHeight="1" x14ac:dyDescent="0.35">
      <c r="A2789" s="26" t="s">
        <v>2481</v>
      </c>
      <c r="B2789" s="25" t="s">
        <v>10475</v>
      </c>
      <c r="C2789" s="6" t="s">
        <v>461</v>
      </c>
      <c r="D2789" s="13">
        <v>6219.1137060000001</v>
      </c>
      <c r="E2789" s="18">
        <v>21</v>
      </c>
      <c r="F2789" s="2">
        <f t="shared" si="86"/>
        <v>7525.1275842599998</v>
      </c>
      <c r="G2789" s="3">
        <v>0</v>
      </c>
      <c r="H2789" s="4">
        <v>0.7</v>
      </c>
      <c r="I2789" s="28">
        <f t="shared" si="87"/>
        <v>12792.716893241999</v>
      </c>
    </row>
    <row r="2790" spans="1:9" ht="15.75" customHeight="1" x14ac:dyDescent="0.35">
      <c r="A2790" s="26" t="s">
        <v>13860</v>
      </c>
      <c r="B2790" s="25" t="s">
        <v>10476</v>
      </c>
      <c r="C2790" s="6" t="s">
        <v>13861</v>
      </c>
      <c r="D2790" s="13">
        <v>8387.8510170000009</v>
      </c>
      <c r="E2790" s="18">
        <v>21</v>
      </c>
      <c r="F2790" s="2">
        <f t="shared" si="86"/>
        <v>10149.299730570001</v>
      </c>
      <c r="G2790" s="3">
        <v>0</v>
      </c>
      <c r="H2790" s="4">
        <v>0.7</v>
      </c>
      <c r="I2790" s="28">
        <f t="shared" si="87"/>
        <v>17253.809541969</v>
      </c>
    </row>
    <row r="2791" spans="1:9" ht="15.75" customHeight="1" x14ac:dyDescent="0.35">
      <c r="A2791" s="26" t="s">
        <v>2482</v>
      </c>
      <c r="B2791" s="25" t="s">
        <v>13256</v>
      </c>
      <c r="C2791" s="6" t="s">
        <v>462</v>
      </c>
      <c r="D2791" s="13">
        <v>3123.0356430000002</v>
      </c>
      <c r="E2791" s="18">
        <v>21</v>
      </c>
      <c r="F2791" s="2">
        <f t="shared" si="86"/>
        <v>3778.8731280300003</v>
      </c>
      <c r="G2791" s="3">
        <v>0</v>
      </c>
      <c r="H2791" s="4">
        <v>0.7</v>
      </c>
      <c r="I2791" s="28">
        <f t="shared" si="87"/>
        <v>6424.0843176510007</v>
      </c>
    </row>
    <row r="2792" spans="1:9" ht="15.75" customHeight="1" x14ac:dyDescent="0.35">
      <c r="A2792" s="26" t="s">
        <v>1728</v>
      </c>
      <c r="B2792" s="25" t="s">
        <v>10477</v>
      </c>
      <c r="C2792" s="6" t="s">
        <v>1184</v>
      </c>
      <c r="D2792" s="13">
        <v>8214.1974642000005</v>
      </c>
      <c r="E2792" s="18">
        <v>21</v>
      </c>
      <c r="F2792" s="2">
        <f t="shared" si="86"/>
        <v>9939.1789316819995</v>
      </c>
      <c r="G2792" s="3">
        <v>0</v>
      </c>
      <c r="H2792" s="4">
        <v>0.7</v>
      </c>
      <c r="I2792" s="28">
        <f t="shared" si="87"/>
        <v>16896.604183859399</v>
      </c>
    </row>
    <row r="2793" spans="1:9" ht="15.75" customHeight="1" x14ac:dyDescent="0.35">
      <c r="A2793" s="26" t="s">
        <v>1729</v>
      </c>
      <c r="B2793" s="25" t="s">
        <v>10478</v>
      </c>
      <c r="C2793" s="6" t="s">
        <v>1185</v>
      </c>
      <c r="D2793" s="13">
        <v>8664.2980788000004</v>
      </c>
      <c r="E2793" s="18">
        <v>21</v>
      </c>
      <c r="F2793" s="2">
        <f t="shared" si="86"/>
        <v>10483.800675348</v>
      </c>
      <c r="G2793" s="3">
        <v>0</v>
      </c>
      <c r="H2793" s="4">
        <v>0.7</v>
      </c>
      <c r="I2793" s="28">
        <f t="shared" si="87"/>
        <v>17822.461148091599</v>
      </c>
    </row>
    <row r="2794" spans="1:9" ht="15.75" customHeight="1" x14ac:dyDescent="0.35">
      <c r="A2794" s="26" t="s">
        <v>10131</v>
      </c>
      <c r="B2794" s="25" t="s">
        <v>10479</v>
      </c>
      <c r="C2794" s="6" t="s">
        <v>10132</v>
      </c>
      <c r="D2794" s="13">
        <v>5096.5234307000001</v>
      </c>
      <c r="E2794" s="18">
        <v>21</v>
      </c>
      <c r="F2794" s="2">
        <f t="shared" si="86"/>
        <v>6166.7933511470001</v>
      </c>
      <c r="G2794" s="3">
        <v>0</v>
      </c>
      <c r="H2794" s="4">
        <v>0.7</v>
      </c>
      <c r="I2794" s="28">
        <f t="shared" si="87"/>
        <v>10483.5486969499</v>
      </c>
    </row>
    <row r="2795" spans="1:9" ht="15.75" customHeight="1" x14ac:dyDescent="0.35">
      <c r="A2795" s="26" t="s">
        <v>12110</v>
      </c>
      <c r="B2795" s="25" t="s">
        <v>411</v>
      </c>
      <c r="C2795" s="6" t="s">
        <v>12111</v>
      </c>
      <c r="D2795" s="13">
        <v>10019.6541211</v>
      </c>
      <c r="E2795" s="18">
        <v>21</v>
      </c>
      <c r="F2795" s="2">
        <f t="shared" si="86"/>
        <v>12123.781486531001</v>
      </c>
      <c r="G2795" s="3">
        <v>0</v>
      </c>
      <c r="H2795" s="4">
        <v>0.7</v>
      </c>
      <c r="I2795" s="28">
        <f t="shared" si="87"/>
        <v>20610.4285271027</v>
      </c>
    </row>
    <row r="2796" spans="1:9" ht="15.75" customHeight="1" x14ac:dyDescent="0.35">
      <c r="A2796" s="26" t="s">
        <v>3348</v>
      </c>
      <c r="B2796" s="25" t="s">
        <v>412</v>
      </c>
      <c r="C2796" s="6" t="s">
        <v>10133</v>
      </c>
      <c r="D2796" s="13">
        <v>7493.5888013999902</v>
      </c>
      <c r="E2796" s="18">
        <v>21</v>
      </c>
      <c r="F2796" s="2">
        <f t="shared" si="86"/>
        <v>9067.2424496939875</v>
      </c>
      <c r="G2796" s="3">
        <v>0</v>
      </c>
      <c r="H2796" s="4">
        <v>0.7</v>
      </c>
      <c r="I2796" s="28">
        <f t="shared" si="87"/>
        <v>15414.312164479777</v>
      </c>
    </row>
    <row r="2797" spans="1:9" ht="15.75" customHeight="1" x14ac:dyDescent="0.35">
      <c r="A2797" s="26" t="s">
        <v>2729</v>
      </c>
      <c r="B2797" s="25" t="s">
        <v>413</v>
      </c>
      <c r="C2797" s="6" t="s">
        <v>10134</v>
      </c>
      <c r="D2797" s="13">
        <v>3998.7764154000001</v>
      </c>
      <c r="E2797" s="18">
        <v>21</v>
      </c>
      <c r="F2797" s="2">
        <f t="shared" si="86"/>
        <v>4838.5194626339999</v>
      </c>
      <c r="G2797" s="3">
        <v>0</v>
      </c>
      <c r="H2797" s="4">
        <v>0.7</v>
      </c>
      <c r="I2797" s="28">
        <f t="shared" si="87"/>
        <v>8225.4830864777996</v>
      </c>
    </row>
    <row r="2798" spans="1:9" ht="15.75" customHeight="1" x14ac:dyDescent="0.35">
      <c r="A2798" s="26" t="s">
        <v>2730</v>
      </c>
      <c r="B2798" s="25" t="s">
        <v>414</v>
      </c>
      <c r="C2798" s="6" t="s">
        <v>10135</v>
      </c>
      <c r="D2798" s="13">
        <v>2952.5606643000001</v>
      </c>
      <c r="E2798" s="18">
        <v>21</v>
      </c>
      <c r="F2798" s="2">
        <f t="shared" si="86"/>
        <v>3572.5984038030001</v>
      </c>
      <c r="G2798" s="3">
        <v>0</v>
      </c>
      <c r="H2798" s="4">
        <v>0.7</v>
      </c>
      <c r="I2798" s="28">
        <f t="shared" si="87"/>
        <v>6073.4172864651</v>
      </c>
    </row>
    <row r="2799" spans="1:9" ht="15.75" customHeight="1" x14ac:dyDescent="0.35">
      <c r="A2799" s="26" t="s">
        <v>2731</v>
      </c>
      <c r="B2799" s="25" t="s">
        <v>415</v>
      </c>
      <c r="C2799" s="6" t="s">
        <v>10136</v>
      </c>
      <c r="D2799" s="13">
        <v>3472.0728743999998</v>
      </c>
      <c r="E2799" s="18">
        <v>21</v>
      </c>
      <c r="F2799" s="2">
        <f t="shared" si="86"/>
        <v>4201.2081780239996</v>
      </c>
      <c r="G2799" s="3">
        <v>0</v>
      </c>
      <c r="H2799" s="4">
        <v>0.7</v>
      </c>
      <c r="I2799" s="28">
        <f t="shared" si="87"/>
        <v>7142.0539026407987</v>
      </c>
    </row>
    <row r="2800" spans="1:9" ht="15.75" customHeight="1" x14ac:dyDescent="0.35">
      <c r="A2800" s="26" t="s">
        <v>2999</v>
      </c>
      <c r="B2800" s="25" t="s">
        <v>416</v>
      </c>
      <c r="C2800" s="6" t="s">
        <v>463</v>
      </c>
      <c r="D2800" s="13">
        <v>47421.722808174105</v>
      </c>
      <c r="E2800" s="18">
        <v>21</v>
      </c>
      <c r="F2800" s="2">
        <f t="shared" si="86"/>
        <v>57380.28459789067</v>
      </c>
      <c r="G2800" s="3">
        <v>0</v>
      </c>
      <c r="H2800" s="4">
        <v>0.7</v>
      </c>
      <c r="I2800" s="28">
        <f t="shared" si="87"/>
        <v>97546.48381641414</v>
      </c>
    </row>
    <row r="2801" spans="1:9" ht="15.75" customHeight="1" x14ac:dyDescent="0.35">
      <c r="A2801" s="26" t="s">
        <v>3649</v>
      </c>
      <c r="B2801" s="25" t="s">
        <v>417</v>
      </c>
      <c r="C2801" s="6" t="s">
        <v>1162</v>
      </c>
      <c r="D2801" s="13">
        <v>51475.192989999996</v>
      </c>
      <c r="E2801" s="18">
        <v>21</v>
      </c>
      <c r="F2801" s="2">
        <f t="shared" si="86"/>
        <v>62284.983517899993</v>
      </c>
      <c r="G2801" s="3">
        <v>0</v>
      </c>
      <c r="H2801" s="4">
        <v>0.7</v>
      </c>
      <c r="I2801" s="28">
        <f t="shared" si="87"/>
        <v>105884.47198042998</v>
      </c>
    </row>
    <row r="2802" spans="1:9" ht="15.75" customHeight="1" x14ac:dyDescent="0.35">
      <c r="A2802" s="26" t="s">
        <v>13689</v>
      </c>
      <c r="B2802" s="25" t="s">
        <v>10480</v>
      </c>
      <c r="C2802" s="6" t="s">
        <v>13690</v>
      </c>
      <c r="D2802" s="13">
        <v>15505.410374999999</v>
      </c>
      <c r="E2802" s="18">
        <v>21</v>
      </c>
      <c r="F2802" s="2">
        <f t="shared" si="86"/>
        <v>18761.546553749999</v>
      </c>
      <c r="G2802" s="3">
        <v>0</v>
      </c>
      <c r="H2802" s="4">
        <v>0.7</v>
      </c>
      <c r="I2802" s="28">
        <f t="shared" si="87"/>
        <v>31894.629141374997</v>
      </c>
    </row>
    <row r="2803" spans="1:9" ht="15.75" customHeight="1" x14ac:dyDescent="0.35">
      <c r="A2803" s="26" t="s">
        <v>2796</v>
      </c>
      <c r="B2803" s="25" t="s">
        <v>418</v>
      </c>
      <c r="C2803" s="6" t="s">
        <v>1266</v>
      </c>
      <c r="D2803" s="13">
        <v>9537.2795453649996</v>
      </c>
      <c r="E2803" s="18">
        <v>21</v>
      </c>
      <c r="F2803" s="2">
        <f t="shared" si="86"/>
        <v>11540.108249891649</v>
      </c>
      <c r="G2803" s="3">
        <v>0</v>
      </c>
      <c r="H2803" s="4">
        <v>0.7</v>
      </c>
      <c r="I2803" s="28">
        <f t="shared" si="87"/>
        <v>19618.184024815804</v>
      </c>
    </row>
    <row r="2804" spans="1:9" ht="15.75" customHeight="1" x14ac:dyDescent="0.35">
      <c r="A2804" s="26" t="s">
        <v>2795</v>
      </c>
      <c r="B2804" s="25" t="s">
        <v>419</v>
      </c>
      <c r="C2804" s="6" t="s">
        <v>13654</v>
      </c>
      <c r="D2804" s="13">
        <v>21172.685625000002</v>
      </c>
      <c r="E2804" s="18">
        <v>21</v>
      </c>
      <c r="F2804" s="2">
        <f t="shared" si="86"/>
        <v>25618.949606250004</v>
      </c>
      <c r="G2804" s="3">
        <v>0</v>
      </c>
      <c r="H2804" s="4">
        <v>0.7</v>
      </c>
      <c r="I2804" s="28">
        <f t="shared" si="87"/>
        <v>43552.214330625007</v>
      </c>
    </row>
    <row r="2805" spans="1:9" ht="15.75" customHeight="1" x14ac:dyDescent="0.35">
      <c r="A2805" s="26" t="s">
        <v>2797</v>
      </c>
      <c r="B2805" s="25" t="s">
        <v>420</v>
      </c>
      <c r="C2805" s="6" t="s">
        <v>13655</v>
      </c>
      <c r="D2805" s="13">
        <v>21172.685625000002</v>
      </c>
      <c r="E2805" s="18">
        <v>21</v>
      </c>
      <c r="F2805" s="2">
        <f t="shared" si="86"/>
        <v>25618.949606250004</v>
      </c>
      <c r="G2805" s="3">
        <v>0</v>
      </c>
      <c r="H2805" s="4">
        <v>0.7</v>
      </c>
      <c r="I2805" s="28">
        <f t="shared" si="87"/>
        <v>43552.214330625007</v>
      </c>
    </row>
    <row r="2806" spans="1:9" ht="15.75" customHeight="1" x14ac:dyDescent="0.35">
      <c r="A2806" s="26" t="s">
        <v>12250</v>
      </c>
      <c r="B2806" s="25" t="s">
        <v>421</v>
      </c>
      <c r="C2806" s="6" t="s">
        <v>12251</v>
      </c>
      <c r="D2806" s="13">
        <v>18805.16547</v>
      </c>
      <c r="E2806" s="18">
        <v>21</v>
      </c>
      <c r="F2806" s="2">
        <f t="shared" si="86"/>
        <v>22754.250218699999</v>
      </c>
      <c r="G2806" s="3">
        <v>0</v>
      </c>
      <c r="H2806" s="4">
        <v>0.7</v>
      </c>
      <c r="I2806" s="28">
        <f t="shared" si="87"/>
        <v>38682.225371789995</v>
      </c>
    </row>
    <row r="2807" spans="1:9" ht="15.75" customHeight="1" x14ac:dyDescent="0.35">
      <c r="A2807" s="26" t="s">
        <v>10318</v>
      </c>
      <c r="B2807" s="25" t="s">
        <v>422</v>
      </c>
      <c r="C2807" s="6" t="s">
        <v>10319</v>
      </c>
      <c r="D2807" s="13">
        <v>21448.620374999999</v>
      </c>
      <c r="E2807" s="18">
        <v>21</v>
      </c>
      <c r="F2807" s="2">
        <f t="shared" si="86"/>
        <v>25952.830653749999</v>
      </c>
      <c r="G2807" s="3">
        <v>0</v>
      </c>
      <c r="H2807" s="4">
        <v>0.7</v>
      </c>
      <c r="I2807" s="28">
        <f t="shared" si="87"/>
        <v>44119.812111374995</v>
      </c>
    </row>
    <row r="2808" spans="1:9" ht="15.75" customHeight="1" x14ac:dyDescent="0.35">
      <c r="A2808" s="26" t="s">
        <v>11515</v>
      </c>
      <c r="B2808" s="25" t="s">
        <v>423</v>
      </c>
      <c r="C2808" s="6" t="s">
        <v>11516</v>
      </c>
      <c r="D2808" s="13">
        <v>21448.620374999999</v>
      </c>
      <c r="E2808" s="18">
        <v>21</v>
      </c>
      <c r="F2808" s="2">
        <f t="shared" si="86"/>
        <v>25952.830653749999</v>
      </c>
      <c r="G2808" s="3">
        <v>0</v>
      </c>
      <c r="H2808" s="4">
        <v>0.7</v>
      </c>
      <c r="I2808" s="28">
        <f t="shared" si="87"/>
        <v>44119.812111374995</v>
      </c>
    </row>
    <row r="2809" spans="1:9" ht="15.75" customHeight="1" x14ac:dyDescent="0.35">
      <c r="A2809" s="26" t="s">
        <v>3001</v>
      </c>
      <c r="B2809" s="25" t="s">
        <v>424</v>
      </c>
      <c r="C2809" s="6" t="s">
        <v>1267</v>
      </c>
      <c r="D2809" s="13">
        <v>35313.21963</v>
      </c>
      <c r="E2809" s="18">
        <v>21</v>
      </c>
      <c r="F2809" s="2">
        <f t="shared" si="86"/>
        <v>42728.995752299998</v>
      </c>
      <c r="G2809" s="3">
        <v>0</v>
      </c>
      <c r="H2809" s="4">
        <v>0.7</v>
      </c>
      <c r="I2809" s="28">
        <f t="shared" si="87"/>
        <v>72639.292778909992</v>
      </c>
    </row>
    <row r="2810" spans="1:9" ht="15.75" customHeight="1" x14ac:dyDescent="0.35">
      <c r="A2810" s="26" t="s">
        <v>3004</v>
      </c>
      <c r="B2810" s="25" t="s">
        <v>425</v>
      </c>
      <c r="C2810" s="6" t="s">
        <v>965</v>
      </c>
      <c r="D2810" s="13">
        <v>31715.709713999997</v>
      </c>
      <c r="E2810" s="18">
        <v>21</v>
      </c>
      <c r="F2810" s="2">
        <f t="shared" si="86"/>
        <v>38376.008753939997</v>
      </c>
      <c r="G2810" s="3">
        <v>0</v>
      </c>
      <c r="H2810" s="4">
        <v>0.7</v>
      </c>
      <c r="I2810" s="28">
        <f t="shared" si="87"/>
        <v>65239.214881697997</v>
      </c>
    </row>
    <row r="2811" spans="1:9" ht="15.75" customHeight="1" x14ac:dyDescent="0.35">
      <c r="A2811" s="26" t="s">
        <v>3005</v>
      </c>
      <c r="B2811" s="25" t="s">
        <v>961</v>
      </c>
      <c r="C2811" s="6" t="s">
        <v>966</v>
      </c>
      <c r="D2811" s="13">
        <v>17213.004527062498</v>
      </c>
      <c r="E2811" s="18">
        <v>21</v>
      </c>
      <c r="F2811" s="2">
        <f t="shared" si="86"/>
        <v>20827.735477745624</v>
      </c>
      <c r="G2811" s="3">
        <v>0</v>
      </c>
      <c r="H2811" s="4">
        <v>0.7</v>
      </c>
      <c r="I2811" s="28">
        <f t="shared" si="87"/>
        <v>35407.150312167563</v>
      </c>
    </row>
    <row r="2812" spans="1:9" ht="15.75" customHeight="1" x14ac:dyDescent="0.35">
      <c r="A2812" s="26" t="s">
        <v>3006</v>
      </c>
      <c r="B2812" s="25" t="s">
        <v>10993</v>
      </c>
      <c r="C2812" s="6" t="s">
        <v>967</v>
      </c>
      <c r="D2812" s="13">
        <v>31715.709713999997</v>
      </c>
      <c r="E2812" s="18">
        <v>21</v>
      </c>
      <c r="F2812" s="2">
        <f t="shared" si="86"/>
        <v>38376.008753939997</v>
      </c>
      <c r="G2812" s="3">
        <v>0</v>
      </c>
      <c r="H2812" s="4">
        <v>0.7</v>
      </c>
      <c r="I2812" s="28">
        <f t="shared" si="87"/>
        <v>65239.214881697997</v>
      </c>
    </row>
    <row r="2813" spans="1:9" ht="15.75" customHeight="1" x14ac:dyDescent="0.35">
      <c r="A2813" s="26" t="s">
        <v>5221</v>
      </c>
      <c r="B2813" s="25" t="s">
        <v>426</v>
      </c>
      <c r="C2813" s="6" t="s">
        <v>1204</v>
      </c>
      <c r="D2813" s="13">
        <v>20615.973999400001</v>
      </c>
      <c r="E2813" s="18">
        <v>21</v>
      </c>
      <c r="F2813" s="2">
        <f t="shared" si="86"/>
        <v>24945.328539274</v>
      </c>
      <c r="G2813" s="3">
        <v>0</v>
      </c>
      <c r="H2813" s="4">
        <v>0.7</v>
      </c>
      <c r="I2813" s="28">
        <f t="shared" si="87"/>
        <v>42407.058516765799</v>
      </c>
    </row>
    <row r="2814" spans="1:9" ht="15.75" customHeight="1" x14ac:dyDescent="0.35">
      <c r="A2814" s="26" t="s">
        <v>4810</v>
      </c>
      <c r="B2814" s="25" t="s">
        <v>427</v>
      </c>
      <c r="C2814" s="6" t="s">
        <v>9231</v>
      </c>
      <c r="D2814" s="13">
        <v>793.20960604274899</v>
      </c>
      <c r="E2814" s="18">
        <v>21</v>
      </c>
      <c r="F2814" s="2">
        <f t="shared" si="86"/>
        <v>959.78362331172627</v>
      </c>
      <c r="G2814" s="3">
        <v>0</v>
      </c>
      <c r="H2814" s="4">
        <v>0.7</v>
      </c>
      <c r="I2814" s="28">
        <f t="shared" si="87"/>
        <v>1631.6321596299347</v>
      </c>
    </row>
    <row r="2815" spans="1:9" ht="15.75" customHeight="1" x14ac:dyDescent="0.35">
      <c r="A2815" s="26" t="s">
        <v>4811</v>
      </c>
      <c r="B2815" s="25" t="s">
        <v>428</v>
      </c>
      <c r="C2815" s="6" t="s">
        <v>9232</v>
      </c>
      <c r="D2815" s="13">
        <v>793.20960604274705</v>
      </c>
      <c r="E2815" s="18">
        <v>21</v>
      </c>
      <c r="F2815" s="2">
        <f t="shared" si="86"/>
        <v>959.78362331172389</v>
      </c>
      <c r="G2815" s="3">
        <v>0</v>
      </c>
      <c r="H2815" s="4">
        <v>0.7</v>
      </c>
      <c r="I2815" s="28">
        <f t="shared" si="87"/>
        <v>1631.6321596299306</v>
      </c>
    </row>
    <row r="2816" spans="1:9" ht="15.75" customHeight="1" x14ac:dyDescent="0.35">
      <c r="A2816" s="26" t="s">
        <v>4814</v>
      </c>
      <c r="B2816" s="25" t="s">
        <v>429</v>
      </c>
      <c r="C2816" s="6" t="s">
        <v>9343</v>
      </c>
      <c r="D2816" s="13">
        <v>1455.5530783592701</v>
      </c>
      <c r="E2816" s="18">
        <v>21</v>
      </c>
      <c r="F2816" s="2">
        <f t="shared" si="86"/>
        <v>1761.2192248147169</v>
      </c>
      <c r="G2816" s="3">
        <v>0</v>
      </c>
      <c r="H2816" s="4">
        <v>0.7</v>
      </c>
      <c r="I2816" s="28">
        <f t="shared" si="87"/>
        <v>2994.0726821850185</v>
      </c>
    </row>
    <row r="2817" spans="1:9" ht="15.75" customHeight="1" x14ac:dyDescent="0.35">
      <c r="A2817" s="26" t="s">
        <v>4812</v>
      </c>
      <c r="B2817" s="25" t="s">
        <v>9561</v>
      </c>
      <c r="C2817" s="6" t="s">
        <v>9233</v>
      </c>
      <c r="D2817" s="13">
        <v>1455.5530783592701</v>
      </c>
      <c r="E2817" s="18">
        <v>21</v>
      </c>
      <c r="F2817" s="2">
        <f t="shared" si="86"/>
        <v>1761.2192248147169</v>
      </c>
      <c r="G2817" s="3">
        <v>0</v>
      </c>
      <c r="H2817" s="4">
        <v>0.7</v>
      </c>
      <c r="I2817" s="28">
        <f t="shared" si="87"/>
        <v>2994.0726821850185</v>
      </c>
    </row>
    <row r="2818" spans="1:9" ht="15.75" customHeight="1" x14ac:dyDescent="0.35">
      <c r="A2818" s="26" t="s">
        <v>4929</v>
      </c>
      <c r="B2818" s="25" t="s">
        <v>13335</v>
      </c>
      <c r="C2818" s="6" t="s">
        <v>465</v>
      </c>
      <c r="D2818" s="13">
        <v>1397.1829949999999</v>
      </c>
      <c r="E2818" s="18">
        <v>10.5</v>
      </c>
      <c r="F2818" s="2">
        <f t="shared" si="86"/>
        <v>1543.887209475</v>
      </c>
      <c r="G2818" s="3">
        <v>0</v>
      </c>
      <c r="H2818" s="4">
        <v>0.7</v>
      </c>
      <c r="I2818" s="28">
        <f t="shared" si="87"/>
        <v>2624.6082561075</v>
      </c>
    </row>
    <row r="2819" spans="1:9" ht="15.75" customHeight="1" x14ac:dyDescent="0.35">
      <c r="A2819" s="26" t="s">
        <v>4930</v>
      </c>
      <c r="B2819" s="25" t="s">
        <v>13337</v>
      </c>
      <c r="C2819" s="6" t="s">
        <v>466</v>
      </c>
      <c r="D2819" s="13">
        <v>1397.1829949999999</v>
      </c>
      <c r="E2819" s="18">
        <v>10.5</v>
      </c>
      <c r="F2819" s="2">
        <f t="shared" si="86"/>
        <v>1543.887209475</v>
      </c>
      <c r="G2819" s="3">
        <v>0</v>
      </c>
      <c r="H2819" s="4">
        <v>0.7</v>
      </c>
      <c r="I2819" s="28">
        <f t="shared" si="87"/>
        <v>2624.6082561075</v>
      </c>
    </row>
    <row r="2820" spans="1:9" ht="15.75" customHeight="1" x14ac:dyDescent="0.35">
      <c r="A2820" s="26" t="s">
        <v>4815</v>
      </c>
      <c r="B2820" s="25" t="s">
        <v>13339</v>
      </c>
      <c r="C2820" s="6" t="s">
        <v>9234</v>
      </c>
      <c r="D2820" s="13">
        <v>654.33066863124895</v>
      </c>
      <c r="E2820" s="18">
        <v>21</v>
      </c>
      <c r="F2820" s="2">
        <f t="shared" si="86"/>
        <v>791.74010904381123</v>
      </c>
      <c r="G2820" s="3">
        <v>0</v>
      </c>
      <c r="H2820" s="4">
        <v>0.7</v>
      </c>
      <c r="I2820" s="28">
        <f t="shared" si="87"/>
        <v>1345.9581853744789</v>
      </c>
    </row>
    <row r="2821" spans="1:9" ht="15.75" customHeight="1" x14ac:dyDescent="0.35">
      <c r="A2821" s="26" t="s">
        <v>4813</v>
      </c>
      <c r="B2821" s="25" t="s">
        <v>12249</v>
      </c>
      <c r="C2821" s="6" t="s">
        <v>9235</v>
      </c>
      <c r="D2821" s="13">
        <v>654.33066863124895</v>
      </c>
      <c r="E2821" s="18">
        <v>21</v>
      </c>
      <c r="F2821" s="2">
        <f t="shared" si="86"/>
        <v>791.74010904381123</v>
      </c>
      <c r="G2821" s="3">
        <v>0</v>
      </c>
      <c r="H2821" s="4">
        <v>0.7</v>
      </c>
      <c r="I2821" s="28">
        <f t="shared" si="87"/>
        <v>1345.9581853744789</v>
      </c>
    </row>
    <row r="2822" spans="1:9" ht="15.75" customHeight="1" x14ac:dyDescent="0.35">
      <c r="A2822" s="26" t="s">
        <v>5193</v>
      </c>
      <c r="B2822" s="25" t="s">
        <v>430</v>
      </c>
      <c r="C2822" s="6" t="s">
        <v>9831</v>
      </c>
      <c r="D2822" s="13">
        <v>1476.6962917824001</v>
      </c>
      <c r="E2822" s="18">
        <v>10.5</v>
      </c>
      <c r="F2822" s="2">
        <f t="shared" ref="F2822:F2885" si="88">D2822*E2822/100+D2822</f>
        <v>1631.7494024195521</v>
      </c>
      <c r="G2822" s="3">
        <v>0</v>
      </c>
      <c r="H2822" s="4">
        <v>0.7</v>
      </c>
      <c r="I2822" s="28">
        <f t="shared" ref="I2822:I2885" si="89">IF(G2822=-1,0,F2822*((100-G2822)/100)*(1+H2822))</f>
        <v>2773.9739841132387</v>
      </c>
    </row>
    <row r="2823" spans="1:9" ht="15.75" customHeight="1" x14ac:dyDescent="0.35">
      <c r="A2823" s="26" t="s">
        <v>5109</v>
      </c>
      <c r="B2823" s="25" t="s">
        <v>431</v>
      </c>
      <c r="C2823" s="6" t="s">
        <v>9832</v>
      </c>
      <c r="D2823" s="13">
        <v>2739.3232867086299</v>
      </c>
      <c r="E2823" s="18">
        <v>10.5</v>
      </c>
      <c r="F2823" s="2">
        <f t="shared" si="88"/>
        <v>3026.9522318130362</v>
      </c>
      <c r="G2823" s="3">
        <v>0</v>
      </c>
      <c r="H2823" s="4">
        <v>0.7</v>
      </c>
      <c r="I2823" s="28">
        <f t="shared" si="89"/>
        <v>5145.8187940821617</v>
      </c>
    </row>
    <row r="2824" spans="1:9" ht="15.75" customHeight="1" x14ac:dyDescent="0.35">
      <c r="A2824" s="26" t="s">
        <v>4818</v>
      </c>
      <c r="B2824" s="25" t="s">
        <v>12003</v>
      </c>
      <c r="C2824" s="6" t="s">
        <v>9833</v>
      </c>
      <c r="D2824" s="13">
        <v>1386.50966143301</v>
      </c>
      <c r="E2824" s="18">
        <v>21</v>
      </c>
      <c r="F2824" s="2">
        <f t="shared" si="88"/>
        <v>1677.6766903339421</v>
      </c>
      <c r="G2824" s="3">
        <v>0</v>
      </c>
      <c r="H2824" s="4">
        <v>0.7</v>
      </c>
      <c r="I2824" s="28">
        <f t="shared" si="89"/>
        <v>2852.0503735677016</v>
      </c>
    </row>
    <row r="2825" spans="1:9" ht="15.75" customHeight="1" x14ac:dyDescent="0.35">
      <c r="A2825" s="26" t="s">
        <v>5194</v>
      </c>
      <c r="B2825" s="25" t="s">
        <v>12004</v>
      </c>
      <c r="C2825" s="6" t="s">
        <v>9834</v>
      </c>
      <c r="D2825" s="13">
        <v>1691.0416021824001</v>
      </c>
      <c r="E2825" s="18">
        <v>10.5</v>
      </c>
      <c r="F2825" s="2">
        <f t="shared" si="88"/>
        <v>1868.6009704115522</v>
      </c>
      <c r="G2825" s="3">
        <v>0</v>
      </c>
      <c r="H2825" s="4">
        <v>0.7</v>
      </c>
      <c r="I2825" s="28">
        <f t="shared" si="89"/>
        <v>3176.6216496996385</v>
      </c>
    </row>
    <row r="2826" spans="1:9" ht="15.75" customHeight="1" x14ac:dyDescent="0.35">
      <c r="A2826" s="26" t="s">
        <v>5107</v>
      </c>
      <c r="B2826" s="25" t="s">
        <v>12633</v>
      </c>
      <c r="C2826" s="6" t="s">
        <v>9835</v>
      </c>
      <c r="D2826" s="13">
        <v>3497.0881098270302</v>
      </c>
      <c r="E2826" s="18">
        <v>10.5</v>
      </c>
      <c r="F2826" s="2">
        <f t="shared" si="88"/>
        <v>3864.2823613588685</v>
      </c>
      <c r="G2826" s="3">
        <v>0</v>
      </c>
      <c r="H2826" s="4">
        <v>0.7</v>
      </c>
      <c r="I2826" s="28">
        <f t="shared" si="89"/>
        <v>6569.2800143100758</v>
      </c>
    </row>
    <row r="2827" spans="1:9" ht="15.75" customHeight="1" x14ac:dyDescent="0.35">
      <c r="A2827" s="26" t="s">
        <v>4816</v>
      </c>
      <c r="B2827" s="25" t="s">
        <v>12005</v>
      </c>
      <c r="C2827" s="6" t="s">
        <v>9836</v>
      </c>
      <c r="D2827" s="13">
        <v>1661.69802958898</v>
      </c>
      <c r="E2827" s="18">
        <v>21</v>
      </c>
      <c r="F2827" s="2">
        <f t="shared" si="88"/>
        <v>2010.6546158026658</v>
      </c>
      <c r="G2827" s="3">
        <v>0</v>
      </c>
      <c r="H2827" s="4">
        <v>0.7</v>
      </c>
      <c r="I2827" s="28">
        <f t="shared" si="89"/>
        <v>3418.112846864532</v>
      </c>
    </row>
    <row r="2828" spans="1:9" ht="15.75" customHeight="1" x14ac:dyDescent="0.35">
      <c r="A2828" s="26" t="s">
        <v>5191</v>
      </c>
      <c r="B2828" s="25" t="s">
        <v>10841</v>
      </c>
      <c r="C2828" s="6" t="s">
        <v>9837</v>
      </c>
      <c r="D2828" s="13">
        <v>1954.1326085891999</v>
      </c>
      <c r="E2828" s="18">
        <v>10.5</v>
      </c>
      <c r="F2828" s="2">
        <f t="shared" si="88"/>
        <v>2159.316532491066</v>
      </c>
      <c r="G2828" s="3">
        <v>0</v>
      </c>
      <c r="H2828" s="4">
        <v>0.7</v>
      </c>
      <c r="I2828" s="28">
        <f t="shared" si="89"/>
        <v>3670.8381052348122</v>
      </c>
    </row>
    <row r="2829" spans="1:9" ht="15.75" customHeight="1" x14ac:dyDescent="0.35">
      <c r="A2829" s="26" t="s">
        <v>5192</v>
      </c>
      <c r="B2829" s="25" t="s">
        <v>9028</v>
      </c>
      <c r="C2829" s="6" t="s">
        <v>9838</v>
      </c>
      <c r="D2829" s="13">
        <v>1954.1326085891999</v>
      </c>
      <c r="E2829" s="18">
        <v>10.5</v>
      </c>
      <c r="F2829" s="2">
        <f t="shared" si="88"/>
        <v>2159.316532491066</v>
      </c>
      <c r="G2829" s="3">
        <v>0</v>
      </c>
      <c r="H2829" s="4">
        <v>0.7</v>
      </c>
      <c r="I2829" s="28">
        <f t="shared" si="89"/>
        <v>3670.8381052348122</v>
      </c>
    </row>
    <row r="2830" spans="1:9" ht="15.75" customHeight="1" x14ac:dyDescent="0.35">
      <c r="A2830" s="26" t="s">
        <v>5106</v>
      </c>
      <c r="B2830" s="25" t="s">
        <v>432</v>
      </c>
      <c r="C2830" s="6" t="s">
        <v>467</v>
      </c>
      <c r="D2830" s="13">
        <v>3497.0881098270302</v>
      </c>
      <c r="E2830" s="18">
        <v>10.5</v>
      </c>
      <c r="F2830" s="2">
        <f t="shared" si="88"/>
        <v>3864.2823613588685</v>
      </c>
      <c r="G2830" s="3">
        <v>0</v>
      </c>
      <c r="H2830" s="4">
        <v>0.7</v>
      </c>
      <c r="I2830" s="28">
        <f t="shared" si="89"/>
        <v>6569.2800143100758</v>
      </c>
    </row>
    <row r="2831" spans="1:9" ht="15.75" customHeight="1" x14ac:dyDescent="0.35">
      <c r="A2831" s="26" t="s">
        <v>5108</v>
      </c>
      <c r="B2831" s="25" t="s">
        <v>12632</v>
      </c>
      <c r="C2831" s="6" t="s">
        <v>9839</v>
      </c>
      <c r="D2831" s="13">
        <v>3497.0881098270302</v>
      </c>
      <c r="E2831" s="18">
        <v>10.5</v>
      </c>
      <c r="F2831" s="2">
        <f t="shared" si="88"/>
        <v>3864.2823613588685</v>
      </c>
      <c r="G2831" s="3">
        <v>0</v>
      </c>
      <c r="H2831" s="4">
        <v>0.7</v>
      </c>
      <c r="I2831" s="28">
        <f t="shared" si="89"/>
        <v>6569.2800143100758</v>
      </c>
    </row>
    <row r="2832" spans="1:9" ht="15.75" customHeight="1" x14ac:dyDescent="0.35">
      <c r="A2832" s="26" t="s">
        <v>4817</v>
      </c>
      <c r="B2832" s="25" t="s">
        <v>10769</v>
      </c>
      <c r="C2832" s="6" t="s">
        <v>9840</v>
      </c>
      <c r="D2832" s="13">
        <v>1661.69802958901</v>
      </c>
      <c r="E2832" s="18">
        <v>21</v>
      </c>
      <c r="F2832" s="2">
        <f t="shared" si="88"/>
        <v>2010.6546158027022</v>
      </c>
      <c r="G2832" s="3">
        <v>0</v>
      </c>
      <c r="H2832" s="4">
        <v>0.7</v>
      </c>
      <c r="I2832" s="28">
        <f t="shared" si="89"/>
        <v>3418.1128468645938</v>
      </c>
    </row>
    <row r="2833" spans="1:9" ht="15.75" customHeight="1" x14ac:dyDescent="0.35">
      <c r="A2833" s="26" t="s">
        <v>5195</v>
      </c>
      <c r="B2833" s="25" t="s">
        <v>10481</v>
      </c>
      <c r="C2833" s="6" t="s">
        <v>9841</v>
      </c>
      <c r="D2833" s="13">
        <v>1691.0416021824001</v>
      </c>
      <c r="E2833" s="18">
        <v>10.5</v>
      </c>
      <c r="F2833" s="2">
        <f t="shared" si="88"/>
        <v>1868.6009704115522</v>
      </c>
      <c r="G2833" s="3">
        <v>0</v>
      </c>
      <c r="H2833" s="4">
        <v>0.7</v>
      </c>
      <c r="I2833" s="28">
        <f t="shared" si="89"/>
        <v>3176.6216496996385</v>
      </c>
    </row>
    <row r="2834" spans="1:9" ht="15.75" customHeight="1" x14ac:dyDescent="0.35">
      <c r="A2834" s="26" t="s">
        <v>5110</v>
      </c>
      <c r="B2834" s="25" t="s">
        <v>10770</v>
      </c>
      <c r="C2834" s="6" t="s">
        <v>9842</v>
      </c>
      <c r="D2834" s="13">
        <v>2739.3232867086299</v>
      </c>
      <c r="E2834" s="18">
        <v>10.5</v>
      </c>
      <c r="F2834" s="2">
        <f t="shared" si="88"/>
        <v>3026.9522318130362</v>
      </c>
      <c r="G2834" s="3">
        <v>0</v>
      </c>
      <c r="H2834" s="4">
        <v>0.7</v>
      </c>
      <c r="I2834" s="28">
        <f t="shared" si="89"/>
        <v>5145.8187940821617</v>
      </c>
    </row>
    <row r="2835" spans="1:9" ht="15.75" customHeight="1" x14ac:dyDescent="0.35">
      <c r="A2835" s="26" t="s">
        <v>5111</v>
      </c>
      <c r="B2835" s="25" t="s">
        <v>10482</v>
      </c>
      <c r="C2835" s="6" t="s">
        <v>9843</v>
      </c>
      <c r="D2835" s="13">
        <v>2739.3232867086299</v>
      </c>
      <c r="E2835" s="18">
        <v>10.5</v>
      </c>
      <c r="F2835" s="2">
        <f t="shared" si="88"/>
        <v>3026.9522318130362</v>
      </c>
      <c r="G2835" s="3">
        <v>0</v>
      </c>
      <c r="H2835" s="4">
        <v>0.7</v>
      </c>
      <c r="I2835" s="28">
        <f t="shared" si="89"/>
        <v>5145.8187940821617</v>
      </c>
    </row>
    <row r="2836" spans="1:9" ht="15.75" customHeight="1" x14ac:dyDescent="0.35">
      <c r="A2836" s="26" t="s">
        <v>4819</v>
      </c>
      <c r="B2836" s="25" t="s">
        <v>13172</v>
      </c>
      <c r="C2836" s="6" t="s">
        <v>9844</v>
      </c>
      <c r="D2836" s="13">
        <v>1386.509661433</v>
      </c>
      <c r="E2836" s="18">
        <v>21</v>
      </c>
      <c r="F2836" s="2">
        <f t="shared" si="88"/>
        <v>1677.6766903339301</v>
      </c>
      <c r="G2836" s="3">
        <v>0</v>
      </c>
      <c r="H2836" s="4">
        <v>0.7</v>
      </c>
      <c r="I2836" s="28">
        <f t="shared" si="89"/>
        <v>2852.0503735676812</v>
      </c>
    </row>
    <row r="2837" spans="1:9" ht="15.75" customHeight="1" x14ac:dyDescent="0.35">
      <c r="A2837" s="26" t="s">
        <v>4826</v>
      </c>
      <c r="B2837" s="25" t="s">
        <v>433</v>
      </c>
      <c r="C2837" s="6" t="s">
        <v>468</v>
      </c>
      <c r="D2837" s="13">
        <v>1219.143975296</v>
      </c>
      <c r="E2837" s="18">
        <v>10.5</v>
      </c>
      <c r="F2837" s="2">
        <f t="shared" si="88"/>
        <v>1347.1540927020801</v>
      </c>
      <c r="G2837" s="3">
        <v>0</v>
      </c>
      <c r="H2837" s="4">
        <v>0.7</v>
      </c>
      <c r="I2837" s="28">
        <f t="shared" si="89"/>
        <v>2290.161957593536</v>
      </c>
    </row>
    <row r="2838" spans="1:9" ht="15.75" customHeight="1" x14ac:dyDescent="0.35">
      <c r="A2838" s="26" t="s">
        <v>4827</v>
      </c>
      <c r="B2838" s="25" t="s">
        <v>12026</v>
      </c>
      <c r="C2838" s="6" t="s">
        <v>469</v>
      </c>
      <c r="D2838" s="13">
        <v>1219.143975296</v>
      </c>
      <c r="E2838" s="18">
        <v>10.5</v>
      </c>
      <c r="F2838" s="2">
        <f t="shared" si="88"/>
        <v>1347.1540927020801</v>
      </c>
      <c r="G2838" s="3">
        <v>0</v>
      </c>
      <c r="H2838" s="4">
        <v>0.7</v>
      </c>
      <c r="I2838" s="28">
        <f t="shared" si="89"/>
        <v>2290.161957593536</v>
      </c>
    </row>
    <row r="2839" spans="1:9" ht="15.75" customHeight="1" x14ac:dyDescent="0.35">
      <c r="A2839" s="26" t="s">
        <v>4828</v>
      </c>
      <c r="B2839" s="25" t="s">
        <v>11957</v>
      </c>
      <c r="C2839" s="6" t="s">
        <v>470</v>
      </c>
      <c r="D2839" s="13">
        <v>1219.143975296</v>
      </c>
      <c r="E2839" s="18">
        <v>21</v>
      </c>
      <c r="F2839" s="2">
        <f t="shared" si="88"/>
        <v>1475.16421010816</v>
      </c>
      <c r="G2839" s="3">
        <v>0</v>
      </c>
      <c r="H2839" s="4">
        <v>0.7</v>
      </c>
      <c r="I2839" s="28">
        <f t="shared" si="89"/>
        <v>2507.779157183872</v>
      </c>
    </row>
    <row r="2840" spans="1:9" ht="15.75" customHeight="1" x14ac:dyDescent="0.35">
      <c r="A2840" s="26" t="s">
        <v>5142</v>
      </c>
      <c r="B2840" s="25" t="s">
        <v>13020</v>
      </c>
      <c r="C2840" s="6" t="s">
        <v>14019</v>
      </c>
      <c r="D2840" s="13">
        <v>19938.87709632</v>
      </c>
      <c r="E2840" s="18">
        <v>21</v>
      </c>
      <c r="F2840" s="2">
        <f t="shared" si="88"/>
        <v>24126.041286547203</v>
      </c>
      <c r="G2840" s="3">
        <v>0</v>
      </c>
      <c r="H2840" s="4">
        <v>0.7</v>
      </c>
      <c r="I2840" s="28">
        <f t="shared" si="89"/>
        <v>41014.270187130242</v>
      </c>
    </row>
    <row r="2841" spans="1:9" ht="15.75" customHeight="1" x14ac:dyDescent="0.35">
      <c r="A2841" s="26" t="s">
        <v>4736</v>
      </c>
      <c r="B2841" s="25" t="s">
        <v>12027</v>
      </c>
      <c r="C2841" s="6" t="s">
        <v>11435</v>
      </c>
      <c r="D2841" s="13">
        <v>23183.5187999999</v>
      </c>
      <c r="E2841" s="18">
        <v>21</v>
      </c>
      <c r="F2841" s="2">
        <f t="shared" si="88"/>
        <v>28052.057747999879</v>
      </c>
      <c r="G2841" s="3">
        <v>0</v>
      </c>
      <c r="H2841" s="4">
        <v>0.7</v>
      </c>
      <c r="I2841" s="28">
        <f t="shared" si="89"/>
        <v>47688.498171599793</v>
      </c>
    </row>
    <row r="2842" spans="1:9" ht="15.75" customHeight="1" x14ac:dyDescent="0.35">
      <c r="A2842" s="26" t="s">
        <v>4737</v>
      </c>
      <c r="B2842" s="25" t="s">
        <v>12881</v>
      </c>
      <c r="C2842" s="6" t="s">
        <v>11379</v>
      </c>
      <c r="D2842" s="13">
        <v>23183.5187999999</v>
      </c>
      <c r="E2842" s="18">
        <v>21</v>
      </c>
      <c r="F2842" s="2">
        <f t="shared" si="88"/>
        <v>28052.057747999879</v>
      </c>
      <c r="G2842" s="3">
        <v>0</v>
      </c>
      <c r="H2842" s="4">
        <v>0.7</v>
      </c>
      <c r="I2842" s="28">
        <f t="shared" si="89"/>
        <v>47688.498171599793</v>
      </c>
    </row>
    <row r="2843" spans="1:9" ht="15.75" customHeight="1" x14ac:dyDescent="0.35">
      <c r="A2843" s="26" t="s">
        <v>5216</v>
      </c>
      <c r="B2843" s="25" t="s">
        <v>11378</v>
      </c>
      <c r="C2843" s="6" t="s">
        <v>9236</v>
      </c>
      <c r="D2843" s="13">
        <v>9257.7783830999997</v>
      </c>
      <c r="E2843" s="18">
        <v>21</v>
      </c>
      <c r="F2843" s="2">
        <f t="shared" si="88"/>
        <v>11201.911843550999</v>
      </c>
      <c r="G2843" s="3">
        <v>0</v>
      </c>
      <c r="H2843" s="4">
        <v>0.7</v>
      </c>
      <c r="I2843" s="28">
        <f t="shared" si="89"/>
        <v>19043.250134036698</v>
      </c>
    </row>
    <row r="2844" spans="1:9" ht="15.75" customHeight="1" x14ac:dyDescent="0.35">
      <c r="A2844" s="26" t="s">
        <v>5217</v>
      </c>
      <c r="B2844" s="25" t="s">
        <v>13107</v>
      </c>
      <c r="C2844" s="6" t="s">
        <v>9237</v>
      </c>
      <c r="D2844" s="13">
        <v>2837.8098411000001</v>
      </c>
      <c r="E2844" s="18">
        <v>21</v>
      </c>
      <c r="F2844" s="2">
        <f t="shared" si="88"/>
        <v>3433.7499077310003</v>
      </c>
      <c r="G2844" s="3">
        <v>0</v>
      </c>
      <c r="H2844" s="4">
        <v>0.7</v>
      </c>
      <c r="I2844" s="28">
        <f t="shared" si="89"/>
        <v>5837.3748431427002</v>
      </c>
    </row>
    <row r="2845" spans="1:9" ht="15.75" customHeight="1" x14ac:dyDescent="0.35">
      <c r="A2845" s="26" t="s">
        <v>8919</v>
      </c>
      <c r="B2845" s="25" t="s">
        <v>12950</v>
      </c>
      <c r="C2845" s="6" t="s">
        <v>9238</v>
      </c>
      <c r="D2845" s="13">
        <v>2837.8098411000001</v>
      </c>
      <c r="E2845" s="18">
        <v>21</v>
      </c>
      <c r="F2845" s="2">
        <f t="shared" si="88"/>
        <v>3433.7499077310003</v>
      </c>
      <c r="G2845" s="3">
        <v>0</v>
      </c>
      <c r="H2845" s="4">
        <v>0.7</v>
      </c>
      <c r="I2845" s="28">
        <f t="shared" si="89"/>
        <v>5837.3748431427002</v>
      </c>
    </row>
    <row r="2846" spans="1:9" ht="15.75" customHeight="1" x14ac:dyDescent="0.35">
      <c r="A2846" s="26" t="s">
        <v>5139</v>
      </c>
      <c r="B2846" s="25" t="s">
        <v>434</v>
      </c>
      <c r="C2846" s="6" t="s">
        <v>9344</v>
      </c>
      <c r="D2846" s="13">
        <v>126.4815952452</v>
      </c>
      <c r="E2846" s="18">
        <v>21</v>
      </c>
      <c r="F2846" s="2">
        <f t="shared" si="88"/>
        <v>153.042730246692</v>
      </c>
      <c r="G2846" s="3">
        <v>0</v>
      </c>
      <c r="H2846" s="4">
        <v>0.7</v>
      </c>
      <c r="I2846" s="28">
        <f t="shared" si="89"/>
        <v>260.17264141937642</v>
      </c>
    </row>
    <row r="2847" spans="1:9" ht="15.75" customHeight="1" x14ac:dyDescent="0.35">
      <c r="A2847" s="26" t="s">
        <v>9447</v>
      </c>
      <c r="B2847" s="25" t="s">
        <v>435</v>
      </c>
      <c r="C2847" s="6" t="s">
        <v>9448</v>
      </c>
      <c r="D2847" s="13">
        <v>133.39689999999999</v>
      </c>
      <c r="E2847" s="18">
        <v>21</v>
      </c>
      <c r="F2847" s="2">
        <f t="shared" si="88"/>
        <v>161.41024899999999</v>
      </c>
      <c r="G2847" s="3">
        <v>0</v>
      </c>
      <c r="H2847" s="4">
        <v>0.7</v>
      </c>
      <c r="I2847" s="28">
        <f t="shared" si="89"/>
        <v>274.39742329999996</v>
      </c>
    </row>
    <row r="2848" spans="1:9" ht="15.75" customHeight="1" x14ac:dyDescent="0.35">
      <c r="A2848" s="26" t="s">
        <v>5140</v>
      </c>
      <c r="B2848" s="25" t="s">
        <v>436</v>
      </c>
      <c r="C2848" s="6" t="s">
        <v>9239</v>
      </c>
      <c r="D2848" s="13">
        <v>126.4815952452</v>
      </c>
      <c r="E2848" s="18">
        <v>21</v>
      </c>
      <c r="F2848" s="2">
        <f t="shared" si="88"/>
        <v>153.042730246692</v>
      </c>
      <c r="G2848" s="3">
        <v>0</v>
      </c>
      <c r="H2848" s="4">
        <v>0.7</v>
      </c>
      <c r="I2848" s="28">
        <f t="shared" si="89"/>
        <v>260.17264141937642</v>
      </c>
    </row>
    <row r="2849" spans="1:9" ht="15.75" customHeight="1" x14ac:dyDescent="0.35">
      <c r="A2849" s="26" t="s">
        <v>5141</v>
      </c>
      <c r="B2849" s="25" t="s">
        <v>1160</v>
      </c>
      <c r="C2849" s="6" t="s">
        <v>9240</v>
      </c>
      <c r="D2849" s="13">
        <v>126.4815952452</v>
      </c>
      <c r="E2849" s="18">
        <v>21</v>
      </c>
      <c r="F2849" s="2">
        <f t="shared" si="88"/>
        <v>153.042730246692</v>
      </c>
      <c r="G2849" s="3">
        <v>0</v>
      </c>
      <c r="H2849" s="4">
        <v>0.7</v>
      </c>
      <c r="I2849" s="28">
        <f t="shared" si="89"/>
        <v>260.17264141937642</v>
      </c>
    </row>
    <row r="2850" spans="1:9" ht="15.75" customHeight="1" x14ac:dyDescent="0.35">
      <c r="A2850" s="26" t="s">
        <v>5196</v>
      </c>
      <c r="B2850" s="25" t="s">
        <v>437</v>
      </c>
      <c r="C2850" s="6" t="s">
        <v>9345</v>
      </c>
      <c r="D2850" s="13">
        <v>1739.0489976756</v>
      </c>
      <c r="E2850" s="18">
        <v>10.5</v>
      </c>
      <c r="F2850" s="2">
        <f t="shared" si="88"/>
        <v>1921.6491424315382</v>
      </c>
      <c r="G2850" s="3">
        <v>0</v>
      </c>
      <c r="H2850" s="4">
        <v>0.7</v>
      </c>
      <c r="I2850" s="28">
        <f t="shared" si="89"/>
        <v>3266.8035421336149</v>
      </c>
    </row>
    <row r="2851" spans="1:9" ht="15.75" customHeight="1" x14ac:dyDescent="0.35">
      <c r="A2851" s="26" t="s">
        <v>5197</v>
      </c>
      <c r="B2851" s="25" t="s">
        <v>438</v>
      </c>
      <c r="C2851" s="6" t="s">
        <v>9346</v>
      </c>
      <c r="D2851" s="13">
        <v>1739.0489976756</v>
      </c>
      <c r="E2851" s="18">
        <v>10.5</v>
      </c>
      <c r="F2851" s="2">
        <f t="shared" si="88"/>
        <v>1921.6491424315382</v>
      </c>
      <c r="G2851" s="3">
        <v>0</v>
      </c>
      <c r="H2851" s="4">
        <v>0.7</v>
      </c>
      <c r="I2851" s="28">
        <f t="shared" si="89"/>
        <v>3266.8035421336149</v>
      </c>
    </row>
    <row r="2852" spans="1:9" ht="15.75" customHeight="1" x14ac:dyDescent="0.35">
      <c r="A2852" s="26" t="s">
        <v>5241</v>
      </c>
      <c r="B2852" s="25" t="s">
        <v>439</v>
      </c>
      <c r="C2852" s="6" t="s">
        <v>1205</v>
      </c>
      <c r="D2852" s="13">
        <v>1542.0628781999999</v>
      </c>
      <c r="E2852" s="18">
        <v>10.5</v>
      </c>
      <c r="F2852" s="2">
        <f t="shared" si="88"/>
        <v>1703.9794804109999</v>
      </c>
      <c r="G2852" s="3">
        <v>0</v>
      </c>
      <c r="H2852" s="4">
        <v>0.7</v>
      </c>
      <c r="I2852" s="28">
        <f t="shared" si="89"/>
        <v>2896.7651166986998</v>
      </c>
    </row>
    <row r="2853" spans="1:9" ht="15.75" customHeight="1" x14ac:dyDescent="0.35">
      <c r="A2853" s="26" t="s">
        <v>5242</v>
      </c>
      <c r="B2853" s="25" t="s">
        <v>440</v>
      </c>
      <c r="C2853" s="6" t="s">
        <v>1268</v>
      </c>
      <c r="D2853" s="13">
        <v>2673.0130635</v>
      </c>
      <c r="E2853" s="18">
        <v>10.5</v>
      </c>
      <c r="F2853" s="2">
        <f t="shared" si="88"/>
        <v>2953.6794351674998</v>
      </c>
      <c r="G2853" s="3">
        <v>0</v>
      </c>
      <c r="H2853" s="4">
        <v>0.7</v>
      </c>
      <c r="I2853" s="28">
        <f t="shared" si="89"/>
        <v>5021.2550397847499</v>
      </c>
    </row>
    <row r="2854" spans="1:9" ht="15.75" customHeight="1" x14ac:dyDescent="0.35">
      <c r="A2854" s="26" t="s">
        <v>4829</v>
      </c>
      <c r="B2854" s="25" t="s">
        <v>441</v>
      </c>
      <c r="C2854" s="6" t="s">
        <v>968</v>
      </c>
      <c r="D2854" s="13">
        <v>810.49581724800203</v>
      </c>
      <c r="E2854" s="18">
        <v>10.5</v>
      </c>
      <c r="F2854" s="2">
        <f t="shared" si="88"/>
        <v>895.59787805904227</v>
      </c>
      <c r="G2854" s="3">
        <v>0</v>
      </c>
      <c r="H2854" s="4">
        <v>0.7</v>
      </c>
      <c r="I2854" s="28">
        <f t="shared" si="89"/>
        <v>1522.5163927003719</v>
      </c>
    </row>
    <row r="2855" spans="1:9" ht="15.75" customHeight="1" x14ac:dyDescent="0.35">
      <c r="A2855" s="26" t="s">
        <v>5112</v>
      </c>
      <c r="B2855" s="25" t="s">
        <v>442</v>
      </c>
      <c r="C2855" s="6" t="s">
        <v>969</v>
      </c>
      <c r="D2855" s="13">
        <v>2897.0035859242998</v>
      </c>
      <c r="E2855" s="18">
        <v>10.5</v>
      </c>
      <c r="F2855" s="2">
        <f t="shared" si="88"/>
        <v>3201.1889624463511</v>
      </c>
      <c r="G2855" s="3">
        <v>0</v>
      </c>
      <c r="H2855" s="4">
        <v>0.7</v>
      </c>
      <c r="I2855" s="28">
        <f t="shared" si="89"/>
        <v>5442.0212361587965</v>
      </c>
    </row>
    <row r="2856" spans="1:9" ht="15.75" customHeight="1" x14ac:dyDescent="0.35">
      <c r="A2856" s="26" t="s">
        <v>4938</v>
      </c>
      <c r="B2856" s="25" t="s">
        <v>443</v>
      </c>
      <c r="C2856" s="6" t="s">
        <v>471</v>
      </c>
      <c r="D2856" s="13">
        <v>748.85319600000003</v>
      </c>
      <c r="E2856" s="18">
        <v>10.5</v>
      </c>
      <c r="F2856" s="2">
        <f t="shared" si="88"/>
        <v>827.48278158000005</v>
      </c>
      <c r="G2856" s="3">
        <v>0</v>
      </c>
      <c r="H2856" s="4">
        <v>0.7</v>
      </c>
      <c r="I2856" s="28">
        <f t="shared" si="89"/>
        <v>1406.720728686</v>
      </c>
    </row>
    <row r="2857" spans="1:9" ht="15.75" customHeight="1" x14ac:dyDescent="0.35">
      <c r="A2857" s="26" t="s">
        <v>4830</v>
      </c>
      <c r="B2857" s="25" t="s">
        <v>444</v>
      </c>
      <c r="C2857" s="6" t="s">
        <v>1070</v>
      </c>
      <c r="D2857" s="13">
        <v>810.49581724800203</v>
      </c>
      <c r="E2857" s="18">
        <v>10.5</v>
      </c>
      <c r="F2857" s="2">
        <f t="shared" si="88"/>
        <v>895.59787805904227</v>
      </c>
      <c r="G2857" s="3">
        <v>0</v>
      </c>
      <c r="H2857" s="4">
        <v>0.7</v>
      </c>
      <c r="I2857" s="28">
        <f t="shared" si="89"/>
        <v>1522.5163927003719</v>
      </c>
    </row>
    <row r="2858" spans="1:9" ht="15.75" customHeight="1" x14ac:dyDescent="0.35">
      <c r="A2858" s="26" t="s">
        <v>8921</v>
      </c>
      <c r="B2858" s="25" t="s">
        <v>445</v>
      </c>
      <c r="C2858" s="6" t="s">
        <v>8922</v>
      </c>
      <c r="D2858" s="13">
        <v>2673.2104463999999</v>
      </c>
      <c r="E2858" s="18">
        <v>21</v>
      </c>
      <c r="F2858" s="2">
        <f t="shared" si="88"/>
        <v>3234.5846401439999</v>
      </c>
      <c r="G2858" s="3">
        <v>0</v>
      </c>
      <c r="H2858" s="4">
        <v>0.7</v>
      </c>
      <c r="I2858" s="28">
        <f t="shared" si="89"/>
        <v>5498.7938882447997</v>
      </c>
    </row>
    <row r="2859" spans="1:9" ht="15.75" customHeight="1" x14ac:dyDescent="0.35">
      <c r="A2859" s="26" t="s">
        <v>4831</v>
      </c>
      <c r="B2859" s="25" t="s">
        <v>10674</v>
      </c>
      <c r="C2859" s="6" t="s">
        <v>970</v>
      </c>
      <c r="D2859" s="13">
        <v>810.49581724800203</v>
      </c>
      <c r="E2859" s="18">
        <v>21</v>
      </c>
      <c r="F2859" s="2">
        <f t="shared" si="88"/>
        <v>980.69993887008241</v>
      </c>
      <c r="G2859" s="3">
        <v>0</v>
      </c>
      <c r="H2859" s="4">
        <v>0.7</v>
      </c>
      <c r="I2859" s="28">
        <f t="shared" si="89"/>
        <v>1667.18989607914</v>
      </c>
    </row>
    <row r="2860" spans="1:9" ht="15.75" customHeight="1" x14ac:dyDescent="0.35">
      <c r="A2860" s="26" t="s">
        <v>5198</v>
      </c>
      <c r="B2860" s="25" t="s">
        <v>10082</v>
      </c>
      <c r="C2860" s="6" t="s">
        <v>9347</v>
      </c>
      <c r="D2860" s="13">
        <v>1739.0489976756</v>
      </c>
      <c r="E2860" s="18">
        <v>10.5</v>
      </c>
      <c r="F2860" s="2">
        <f t="shared" si="88"/>
        <v>1921.6491424315382</v>
      </c>
      <c r="G2860" s="3">
        <v>0</v>
      </c>
      <c r="H2860" s="4">
        <v>0.7</v>
      </c>
      <c r="I2860" s="28">
        <f t="shared" si="89"/>
        <v>3266.8035421336149</v>
      </c>
    </row>
    <row r="2861" spans="1:9" ht="15.75" customHeight="1" x14ac:dyDescent="0.35">
      <c r="A2861" s="26" t="s">
        <v>4945</v>
      </c>
      <c r="B2861" s="25" t="s">
        <v>10994</v>
      </c>
      <c r="C2861" s="6" t="s">
        <v>472</v>
      </c>
      <c r="D2861" s="13">
        <v>699.85000418316702</v>
      </c>
      <c r="E2861" s="18">
        <v>21</v>
      </c>
      <c r="F2861" s="2">
        <f t="shared" si="88"/>
        <v>846.8185050616321</v>
      </c>
      <c r="G2861" s="3">
        <v>0</v>
      </c>
      <c r="H2861" s="4">
        <v>0.7</v>
      </c>
      <c r="I2861" s="28">
        <f t="shared" si="89"/>
        <v>1439.5914586047745</v>
      </c>
    </row>
    <row r="2862" spans="1:9" ht="15.75" customHeight="1" x14ac:dyDescent="0.35">
      <c r="A2862" s="26" t="s">
        <v>4832</v>
      </c>
      <c r="B2862" s="25" t="s">
        <v>10995</v>
      </c>
      <c r="C2862" s="6" t="s">
        <v>971</v>
      </c>
      <c r="D2862" s="13">
        <v>810.49581724800203</v>
      </c>
      <c r="E2862" s="18">
        <v>21</v>
      </c>
      <c r="F2862" s="2">
        <f t="shared" si="88"/>
        <v>980.69993887008241</v>
      </c>
      <c r="G2862" s="3">
        <v>0</v>
      </c>
      <c r="H2862" s="4">
        <v>0.7</v>
      </c>
      <c r="I2862" s="28">
        <f t="shared" si="89"/>
        <v>1667.18989607914</v>
      </c>
    </row>
    <row r="2863" spans="1:9" ht="15.75" customHeight="1" x14ac:dyDescent="0.35">
      <c r="A2863" s="26" t="s">
        <v>5113</v>
      </c>
      <c r="B2863" s="25" t="s">
        <v>10996</v>
      </c>
      <c r="C2863" s="6" t="s">
        <v>972</v>
      </c>
      <c r="D2863" s="13">
        <v>2897.0035859242998</v>
      </c>
      <c r="E2863" s="18">
        <v>10.5</v>
      </c>
      <c r="F2863" s="2">
        <f t="shared" si="88"/>
        <v>3201.1889624463511</v>
      </c>
      <c r="G2863" s="3">
        <v>0</v>
      </c>
      <c r="H2863" s="4">
        <v>0.7</v>
      </c>
      <c r="I2863" s="28">
        <f t="shared" si="89"/>
        <v>5442.0212361587965</v>
      </c>
    </row>
    <row r="2864" spans="1:9" ht="15.75" customHeight="1" x14ac:dyDescent="0.35">
      <c r="A2864" s="26" t="s">
        <v>5114</v>
      </c>
      <c r="B2864" s="25" t="s">
        <v>10997</v>
      </c>
      <c r="C2864" s="6" t="s">
        <v>973</v>
      </c>
      <c r="D2864" s="13">
        <v>2897.0035859243098</v>
      </c>
      <c r="E2864" s="18">
        <v>10.5</v>
      </c>
      <c r="F2864" s="2">
        <f t="shared" si="88"/>
        <v>3201.1889624463624</v>
      </c>
      <c r="G2864" s="3">
        <v>0</v>
      </c>
      <c r="H2864" s="4">
        <v>0.7</v>
      </c>
      <c r="I2864" s="28">
        <f t="shared" si="89"/>
        <v>5442.0212361588156</v>
      </c>
    </row>
    <row r="2865" spans="1:9" ht="15.75" customHeight="1" x14ac:dyDescent="0.35">
      <c r="A2865" s="26" t="s">
        <v>4833</v>
      </c>
      <c r="B2865" s="25" t="s">
        <v>10998</v>
      </c>
      <c r="C2865" s="6" t="s">
        <v>974</v>
      </c>
      <c r="D2865" s="13">
        <v>810.49581724800203</v>
      </c>
      <c r="E2865" s="18">
        <v>10.5</v>
      </c>
      <c r="F2865" s="2">
        <f t="shared" si="88"/>
        <v>895.59787805904227</v>
      </c>
      <c r="G2865" s="3">
        <v>0</v>
      </c>
      <c r="H2865" s="4">
        <v>0.7</v>
      </c>
      <c r="I2865" s="28">
        <f t="shared" si="89"/>
        <v>1522.5163927003719</v>
      </c>
    </row>
    <row r="2866" spans="1:9" ht="15.75" customHeight="1" x14ac:dyDescent="0.35">
      <c r="A2866" s="26" t="s">
        <v>5115</v>
      </c>
      <c r="B2866" s="25" t="s">
        <v>446</v>
      </c>
      <c r="C2866" s="6" t="s">
        <v>10483</v>
      </c>
      <c r="D2866" s="13">
        <v>7820.7964292778897</v>
      </c>
      <c r="E2866" s="18">
        <v>10.5</v>
      </c>
      <c r="F2866" s="2">
        <f t="shared" si="88"/>
        <v>8641.9800543520687</v>
      </c>
      <c r="G2866" s="3">
        <v>0</v>
      </c>
      <c r="H2866" s="4">
        <v>0.7</v>
      </c>
      <c r="I2866" s="28">
        <f t="shared" si="89"/>
        <v>14691.366092398517</v>
      </c>
    </row>
    <row r="2867" spans="1:9" ht="15.75" customHeight="1" x14ac:dyDescent="0.35">
      <c r="A2867" s="26" t="s">
        <v>10868</v>
      </c>
      <c r="B2867" s="25" t="s">
        <v>447</v>
      </c>
      <c r="C2867" s="6" t="s">
        <v>10869</v>
      </c>
      <c r="D2867" s="13">
        <v>7820.7964292778897</v>
      </c>
      <c r="E2867" s="18">
        <v>10.5</v>
      </c>
      <c r="F2867" s="2">
        <f t="shared" si="88"/>
        <v>8641.9800543520687</v>
      </c>
      <c r="G2867" s="3">
        <v>0</v>
      </c>
      <c r="H2867" s="4">
        <v>0.7</v>
      </c>
      <c r="I2867" s="28">
        <f t="shared" si="89"/>
        <v>14691.366092398517</v>
      </c>
    </row>
    <row r="2868" spans="1:9" ht="15.75" customHeight="1" x14ac:dyDescent="0.35">
      <c r="A2868" s="26" t="s">
        <v>8970</v>
      </c>
      <c r="B2868" s="25" t="s">
        <v>10999</v>
      </c>
      <c r="C2868" s="6" t="s">
        <v>9029</v>
      </c>
      <c r="D2868" s="13">
        <v>16331.552952</v>
      </c>
      <c r="E2868" s="18">
        <v>21</v>
      </c>
      <c r="F2868" s="2">
        <f t="shared" si="88"/>
        <v>19761.17907192</v>
      </c>
      <c r="G2868" s="3">
        <v>0</v>
      </c>
      <c r="H2868" s="4">
        <v>0.7</v>
      </c>
      <c r="I2868" s="28">
        <f t="shared" si="89"/>
        <v>33594.004422263999</v>
      </c>
    </row>
    <row r="2869" spans="1:9" ht="15.75" customHeight="1" x14ac:dyDescent="0.35">
      <c r="A2869" s="26" t="s">
        <v>4988</v>
      </c>
      <c r="B2869" s="25" t="s">
        <v>11000</v>
      </c>
      <c r="C2869" s="6" t="s">
        <v>473</v>
      </c>
      <c r="D2869" s="13">
        <v>26889.278159823702</v>
      </c>
      <c r="E2869" s="18">
        <v>10.5</v>
      </c>
      <c r="F2869" s="2">
        <f t="shared" si="88"/>
        <v>29712.652366605191</v>
      </c>
      <c r="G2869" s="3">
        <v>0</v>
      </c>
      <c r="H2869" s="4">
        <v>0.7</v>
      </c>
      <c r="I2869" s="28">
        <f t="shared" si="89"/>
        <v>50511.50902322882</v>
      </c>
    </row>
    <row r="2870" spans="1:9" ht="15.75" customHeight="1" x14ac:dyDescent="0.35">
      <c r="A2870" s="26" t="s">
        <v>4989</v>
      </c>
      <c r="B2870" s="25" t="s">
        <v>9595</v>
      </c>
      <c r="C2870" s="6" t="s">
        <v>474</v>
      </c>
      <c r="D2870" s="13">
        <v>26889.278159823702</v>
      </c>
      <c r="E2870" s="18">
        <v>10.5</v>
      </c>
      <c r="F2870" s="2">
        <f t="shared" si="88"/>
        <v>29712.652366605191</v>
      </c>
      <c r="G2870" s="3">
        <v>0</v>
      </c>
      <c r="H2870" s="4">
        <v>0.7</v>
      </c>
      <c r="I2870" s="28">
        <f t="shared" si="89"/>
        <v>50511.50902322882</v>
      </c>
    </row>
    <row r="2871" spans="1:9" ht="15.75" customHeight="1" x14ac:dyDescent="0.35">
      <c r="A2871" s="26" t="s">
        <v>4990</v>
      </c>
      <c r="B2871" s="25" t="s">
        <v>11958</v>
      </c>
      <c r="C2871" s="6" t="s">
        <v>475</v>
      </c>
      <c r="D2871" s="13">
        <v>26889.278159823702</v>
      </c>
      <c r="E2871" s="18">
        <v>10.5</v>
      </c>
      <c r="F2871" s="2">
        <f t="shared" si="88"/>
        <v>29712.652366605191</v>
      </c>
      <c r="G2871" s="3">
        <v>0</v>
      </c>
      <c r="H2871" s="4">
        <v>0.7</v>
      </c>
      <c r="I2871" s="28">
        <f t="shared" si="89"/>
        <v>50511.50902322882</v>
      </c>
    </row>
    <row r="2872" spans="1:9" ht="15.75" customHeight="1" x14ac:dyDescent="0.35">
      <c r="A2872" s="26" t="s">
        <v>4834</v>
      </c>
      <c r="B2872" s="25" t="s">
        <v>11960</v>
      </c>
      <c r="C2872" s="6" t="s">
        <v>10484</v>
      </c>
      <c r="D2872" s="13">
        <v>1594.43201577073</v>
      </c>
      <c r="E2872" s="18">
        <v>21</v>
      </c>
      <c r="F2872" s="2">
        <f t="shared" si="88"/>
        <v>1929.2627390825833</v>
      </c>
      <c r="G2872" s="3">
        <v>0</v>
      </c>
      <c r="H2872" s="4">
        <v>0.7</v>
      </c>
      <c r="I2872" s="28">
        <f t="shared" si="89"/>
        <v>3279.7466564403917</v>
      </c>
    </row>
    <row r="2873" spans="1:9" ht="15.75" customHeight="1" x14ac:dyDescent="0.35">
      <c r="A2873" s="26" t="s">
        <v>4835</v>
      </c>
      <c r="B2873" s="25" t="s">
        <v>448</v>
      </c>
      <c r="C2873" s="6" t="s">
        <v>10485</v>
      </c>
      <c r="D2873" s="13">
        <v>1219.143975296</v>
      </c>
      <c r="E2873" s="18">
        <v>21</v>
      </c>
      <c r="F2873" s="2">
        <f t="shared" si="88"/>
        <v>1475.16421010816</v>
      </c>
      <c r="G2873" s="3">
        <v>0</v>
      </c>
      <c r="H2873" s="4">
        <v>0.7</v>
      </c>
      <c r="I2873" s="28">
        <f t="shared" si="89"/>
        <v>2507.779157183872</v>
      </c>
    </row>
    <row r="2874" spans="1:9" ht="15.75" customHeight="1" x14ac:dyDescent="0.35">
      <c r="A2874" s="26" t="s">
        <v>5116</v>
      </c>
      <c r="B2874" s="25" t="s">
        <v>449</v>
      </c>
      <c r="C2874" s="6" t="s">
        <v>476</v>
      </c>
      <c r="D2874" s="13">
        <v>6164.6225446726103</v>
      </c>
      <c r="E2874" s="18">
        <v>10.5</v>
      </c>
      <c r="F2874" s="2">
        <f t="shared" si="88"/>
        <v>6811.9079118632344</v>
      </c>
      <c r="G2874" s="3">
        <v>0</v>
      </c>
      <c r="H2874" s="4">
        <v>0.7</v>
      </c>
      <c r="I2874" s="28">
        <f t="shared" si="89"/>
        <v>11580.243450167498</v>
      </c>
    </row>
    <row r="2875" spans="1:9" ht="15.75" customHeight="1" x14ac:dyDescent="0.35">
      <c r="A2875" s="26" t="s">
        <v>5117</v>
      </c>
      <c r="B2875" s="25" t="s">
        <v>450</v>
      </c>
      <c r="C2875" s="6" t="s">
        <v>477</v>
      </c>
      <c r="D2875" s="13">
        <v>6164.6225446726103</v>
      </c>
      <c r="E2875" s="18">
        <v>10.5</v>
      </c>
      <c r="F2875" s="2">
        <f t="shared" si="88"/>
        <v>6811.9079118632344</v>
      </c>
      <c r="G2875" s="3">
        <v>0</v>
      </c>
      <c r="H2875" s="4">
        <v>0.7</v>
      </c>
      <c r="I2875" s="28">
        <f t="shared" si="89"/>
        <v>11580.243450167498</v>
      </c>
    </row>
    <row r="2876" spans="1:9" ht="15.75" customHeight="1" x14ac:dyDescent="0.35">
      <c r="A2876" s="26" t="s">
        <v>5118</v>
      </c>
      <c r="B2876" s="25" t="s">
        <v>451</v>
      </c>
      <c r="C2876" s="6" t="s">
        <v>478</v>
      </c>
      <c r="D2876" s="13">
        <v>6164.6225446726103</v>
      </c>
      <c r="E2876" s="18">
        <v>10.5</v>
      </c>
      <c r="F2876" s="2">
        <f t="shared" si="88"/>
        <v>6811.9079118632344</v>
      </c>
      <c r="G2876" s="3">
        <v>0</v>
      </c>
      <c r="H2876" s="4">
        <v>0.7</v>
      </c>
      <c r="I2876" s="28">
        <f t="shared" si="89"/>
        <v>11580.243450167498</v>
      </c>
    </row>
    <row r="2877" spans="1:9" ht="15.75" customHeight="1" x14ac:dyDescent="0.35">
      <c r="A2877" s="26" t="s">
        <v>4836</v>
      </c>
      <c r="B2877" s="25" t="s">
        <v>452</v>
      </c>
      <c r="C2877" s="6" t="s">
        <v>10486</v>
      </c>
      <c r="D2877" s="13">
        <v>1219.143975296</v>
      </c>
      <c r="E2877" s="18">
        <v>21</v>
      </c>
      <c r="F2877" s="2">
        <f t="shared" si="88"/>
        <v>1475.16421010816</v>
      </c>
      <c r="G2877" s="3">
        <v>0</v>
      </c>
      <c r="H2877" s="4">
        <v>0.7</v>
      </c>
      <c r="I2877" s="28">
        <f t="shared" si="89"/>
        <v>2507.779157183872</v>
      </c>
    </row>
    <row r="2878" spans="1:9" ht="15.75" customHeight="1" x14ac:dyDescent="0.35">
      <c r="A2878" s="26" t="s">
        <v>4181</v>
      </c>
      <c r="B2878" s="25" t="s">
        <v>453</v>
      </c>
      <c r="C2878" s="6" t="s">
        <v>10487</v>
      </c>
      <c r="D2878" s="13">
        <v>105315.15608639999</v>
      </c>
      <c r="E2878" s="18">
        <v>21</v>
      </c>
      <c r="F2878" s="2">
        <f t="shared" si="88"/>
        <v>127431.338864544</v>
      </c>
      <c r="G2878" s="3">
        <v>0</v>
      </c>
      <c r="H2878" s="4">
        <v>0.7</v>
      </c>
      <c r="I2878" s="28">
        <f t="shared" si="89"/>
        <v>216633.27606972479</v>
      </c>
    </row>
    <row r="2879" spans="1:9" ht="15.75" customHeight="1" x14ac:dyDescent="0.35">
      <c r="A2879" s="26" t="s">
        <v>8923</v>
      </c>
      <c r="B2879" s="25" t="s">
        <v>454</v>
      </c>
      <c r="C2879" s="6" t="s">
        <v>8924</v>
      </c>
      <c r="D2879" s="13">
        <v>6682.5416306999996</v>
      </c>
      <c r="E2879" s="18">
        <v>21</v>
      </c>
      <c r="F2879" s="2">
        <f t="shared" si="88"/>
        <v>8085.8753731469997</v>
      </c>
      <c r="G2879" s="3">
        <v>0</v>
      </c>
      <c r="H2879" s="4">
        <v>0.7</v>
      </c>
      <c r="I2879" s="28">
        <f t="shared" si="89"/>
        <v>13745.988134349898</v>
      </c>
    </row>
    <row r="2880" spans="1:9" ht="15.75" customHeight="1" x14ac:dyDescent="0.35">
      <c r="A2880" s="26" t="s">
        <v>8925</v>
      </c>
      <c r="B2880" s="25" t="s">
        <v>455</v>
      </c>
      <c r="C2880" s="6" t="s">
        <v>8926</v>
      </c>
      <c r="D2880" s="13">
        <v>6682.5416306999996</v>
      </c>
      <c r="E2880" s="18">
        <v>21</v>
      </c>
      <c r="F2880" s="2">
        <f t="shared" si="88"/>
        <v>8085.8753731469997</v>
      </c>
      <c r="G2880" s="3">
        <v>0</v>
      </c>
      <c r="H2880" s="4">
        <v>0.7</v>
      </c>
      <c r="I2880" s="28">
        <f t="shared" si="89"/>
        <v>13745.988134349898</v>
      </c>
    </row>
    <row r="2881" spans="1:9" ht="15.75" customHeight="1" x14ac:dyDescent="0.35">
      <c r="A2881" s="26" t="s">
        <v>5199</v>
      </c>
      <c r="B2881" s="25" t="s">
        <v>456</v>
      </c>
      <c r="C2881" s="6" t="s">
        <v>9348</v>
      </c>
      <c r="D2881" s="13">
        <v>1434.84333356153</v>
      </c>
      <c r="E2881" s="18">
        <v>10.5</v>
      </c>
      <c r="F2881" s="2">
        <f t="shared" si="88"/>
        <v>1585.5018835854908</v>
      </c>
      <c r="G2881" s="3">
        <v>0</v>
      </c>
      <c r="H2881" s="4">
        <v>0.7</v>
      </c>
      <c r="I2881" s="28">
        <f t="shared" si="89"/>
        <v>2695.3532020953344</v>
      </c>
    </row>
    <row r="2882" spans="1:9" ht="15.75" customHeight="1" x14ac:dyDescent="0.35">
      <c r="A2882" s="26" t="s">
        <v>4820</v>
      </c>
      <c r="B2882" s="25" t="s">
        <v>457</v>
      </c>
      <c r="C2882" s="6" t="s">
        <v>12783</v>
      </c>
      <c r="D2882" s="13">
        <v>1834.79680672927</v>
      </c>
      <c r="E2882" s="18">
        <v>21</v>
      </c>
      <c r="F2882" s="2">
        <f t="shared" si="88"/>
        <v>2220.1041361424168</v>
      </c>
      <c r="G2882" s="3">
        <v>0</v>
      </c>
      <c r="H2882" s="4">
        <v>0.7</v>
      </c>
      <c r="I2882" s="28">
        <f t="shared" si="89"/>
        <v>3774.1770314421083</v>
      </c>
    </row>
    <row r="2883" spans="1:9" ht="15.75" customHeight="1" x14ac:dyDescent="0.35">
      <c r="A2883" s="26" t="s">
        <v>4946</v>
      </c>
      <c r="B2883" s="25" t="s">
        <v>1161</v>
      </c>
      <c r="C2883" s="6" t="s">
        <v>479</v>
      </c>
      <c r="D2883" s="13">
        <v>614.207178</v>
      </c>
      <c r="E2883" s="18">
        <v>10.5</v>
      </c>
      <c r="F2883" s="2">
        <f t="shared" si="88"/>
        <v>678.69893168999999</v>
      </c>
      <c r="G2883" s="3">
        <v>0</v>
      </c>
      <c r="H2883" s="4">
        <v>0.7</v>
      </c>
      <c r="I2883" s="28">
        <f t="shared" si="89"/>
        <v>1153.788183873</v>
      </c>
    </row>
    <row r="2884" spans="1:9" ht="15.75" customHeight="1" x14ac:dyDescent="0.35">
      <c r="A2884" s="26" t="s">
        <v>5200</v>
      </c>
      <c r="B2884" s="25" t="s">
        <v>12018</v>
      </c>
      <c r="C2884" s="6" t="s">
        <v>9349</v>
      </c>
      <c r="D2884" s="13">
        <v>1434.8453699268</v>
      </c>
      <c r="E2884" s="18">
        <v>10.5</v>
      </c>
      <c r="F2884" s="2">
        <f t="shared" si="88"/>
        <v>1585.5041337691141</v>
      </c>
      <c r="G2884" s="3">
        <v>0</v>
      </c>
      <c r="H2884" s="4">
        <v>0.7</v>
      </c>
      <c r="I2884" s="28">
        <f t="shared" si="89"/>
        <v>2695.3570274074941</v>
      </c>
    </row>
    <row r="2885" spans="1:9" ht="15.75" customHeight="1" x14ac:dyDescent="0.35">
      <c r="A2885" s="26" t="s">
        <v>5119</v>
      </c>
      <c r="B2885" s="25" t="s">
        <v>1139</v>
      </c>
      <c r="C2885" s="6" t="s">
        <v>480</v>
      </c>
      <c r="D2885" s="13">
        <v>7901.2497233827298</v>
      </c>
      <c r="E2885" s="18">
        <v>10.5</v>
      </c>
      <c r="F2885" s="2">
        <f t="shared" si="88"/>
        <v>8730.8809443379159</v>
      </c>
      <c r="G2885" s="3">
        <v>0</v>
      </c>
      <c r="H2885" s="4">
        <v>0.7</v>
      </c>
      <c r="I2885" s="28">
        <f t="shared" si="89"/>
        <v>14842.497605374456</v>
      </c>
    </row>
    <row r="2886" spans="1:9" ht="15.75" customHeight="1" x14ac:dyDescent="0.35">
      <c r="A2886" s="26" t="s">
        <v>5120</v>
      </c>
      <c r="B2886" s="25" t="s">
        <v>12548</v>
      </c>
      <c r="C2886" s="6" t="s">
        <v>481</v>
      </c>
      <c r="D2886" s="13">
        <v>7901.2497233827298</v>
      </c>
      <c r="E2886" s="18">
        <v>10.5</v>
      </c>
      <c r="F2886" s="2">
        <f t="shared" ref="F2886:F2949" si="90">D2886*E2886/100+D2886</f>
        <v>8730.8809443379159</v>
      </c>
      <c r="G2886" s="3">
        <v>0</v>
      </c>
      <c r="H2886" s="4">
        <v>0.7</v>
      </c>
      <c r="I2886" s="28">
        <f t="shared" ref="I2886:I2949" si="91">IF(G2886=-1,0,F2886*((100-G2886)/100)*(1+H2886))</f>
        <v>14842.497605374456</v>
      </c>
    </row>
    <row r="2887" spans="1:9" ht="15.75" customHeight="1" x14ac:dyDescent="0.35">
      <c r="A2887" s="26" t="s">
        <v>5121</v>
      </c>
      <c r="B2887" s="25" t="s">
        <v>13236</v>
      </c>
      <c r="C2887" s="6" t="s">
        <v>482</v>
      </c>
      <c r="D2887" s="13">
        <v>7901.2497233827298</v>
      </c>
      <c r="E2887" s="18">
        <v>10.5</v>
      </c>
      <c r="F2887" s="2">
        <f t="shared" si="90"/>
        <v>8730.8809443379159</v>
      </c>
      <c r="G2887" s="3">
        <v>0</v>
      </c>
      <c r="H2887" s="4">
        <v>0.7</v>
      </c>
      <c r="I2887" s="28">
        <f t="shared" si="91"/>
        <v>14842.497605374456</v>
      </c>
    </row>
    <row r="2888" spans="1:9" ht="15.75" customHeight="1" x14ac:dyDescent="0.35">
      <c r="A2888" s="26" t="s">
        <v>5201</v>
      </c>
      <c r="B2888" s="25" t="s">
        <v>12202</v>
      </c>
      <c r="C2888" s="6" t="s">
        <v>9350</v>
      </c>
      <c r="D2888" s="13">
        <v>1434.8453699268</v>
      </c>
      <c r="E2888" s="18">
        <v>10.5</v>
      </c>
      <c r="F2888" s="2">
        <f t="shared" si="90"/>
        <v>1585.5041337691141</v>
      </c>
      <c r="G2888" s="3">
        <v>0</v>
      </c>
      <c r="H2888" s="4">
        <v>0.7</v>
      </c>
      <c r="I2888" s="28">
        <f t="shared" si="91"/>
        <v>2695.3570274074941</v>
      </c>
    </row>
    <row r="2889" spans="1:9" ht="15.75" customHeight="1" x14ac:dyDescent="0.35">
      <c r="A2889" s="26" t="s">
        <v>5122</v>
      </c>
      <c r="B2889" s="25" t="s">
        <v>11634</v>
      </c>
      <c r="C2889" s="6" t="s">
        <v>483</v>
      </c>
      <c r="D2889" s="13">
        <v>12414.2894397495</v>
      </c>
      <c r="E2889" s="18">
        <v>10.5</v>
      </c>
      <c r="F2889" s="2">
        <f t="shared" si="90"/>
        <v>13717.789830923197</v>
      </c>
      <c r="G2889" s="3">
        <v>0</v>
      </c>
      <c r="H2889" s="4">
        <v>0.7</v>
      </c>
      <c r="I2889" s="28">
        <f t="shared" si="91"/>
        <v>23320.242712569434</v>
      </c>
    </row>
    <row r="2890" spans="1:9" ht="15.75" customHeight="1" x14ac:dyDescent="0.35">
      <c r="A2890" s="26" t="s">
        <v>4947</v>
      </c>
      <c r="B2890" s="25" t="s">
        <v>12620</v>
      </c>
      <c r="C2890" s="6" t="s">
        <v>484</v>
      </c>
      <c r="D2890" s="13">
        <v>249.72380748644699</v>
      </c>
      <c r="E2890" s="18">
        <v>10.5</v>
      </c>
      <c r="F2890" s="2">
        <f t="shared" si="90"/>
        <v>275.94480727252392</v>
      </c>
      <c r="G2890" s="3">
        <v>0</v>
      </c>
      <c r="H2890" s="4">
        <v>0.7</v>
      </c>
      <c r="I2890" s="28">
        <f t="shared" si="91"/>
        <v>469.10617236329063</v>
      </c>
    </row>
    <row r="2891" spans="1:9" ht="15.75" customHeight="1" x14ac:dyDescent="0.35">
      <c r="A2891" s="26" t="s">
        <v>4987</v>
      </c>
      <c r="B2891" s="25" t="s">
        <v>458</v>
      </c>
      <c r="C2891" s="6" t="s">
        <v>9351</v>
      </c>
      <c r="D2891" s="13">
        <v>11791.427420128601</v>
      </c>
      <c r="E2891" s="18">
        <v>21</v>
      </c>
      <c r="F2891" s="2">
        <f t="shared" si="90"/>
        <v>14267.627178355608</v>
      </c>
      <c r="G2891" s="3">
        <v>0</v>
      </c>
      <c r="H2891" s="4">
        <v>0.7</v>
      </c>
      <c r="I2891" s="28">
        <f t="shared" si="91"/>
        <v>24254.966203204531</v>
      </c>
    </row>
    <row r="2892" spans="1:9" ht="15.75" customHeight="1" x14ac:dyDescent="0.35">
      <c r="A2892" s="26" t="s">
        <v>4821</v>
      </c>
      <c r="B2892" s="25" t="s">
        <v>459</v>
      </c>
      <c r="C2892" s="6" t="s">
        <v>9352</v>
      </c>
      <c r="D2892" s="13">
        <v>1834.79680672927</v>
      </c>
      <c r="E2892" s="18">
        <v>21</v>
      </c>
      <c r="F2892" s="2">
        <f t="shared" si="90"/>
        <v>2220.1041361424168</v>
      </c>
      <c r="G2892" s="3">
        <v>0</v>
      </c>
      <c r="H2892" s="4">
        <v>0.7</v>
      </c>
      <c r="I2892" s="28">
        <f t="shared" si="91"/>
        <v>3774.1770314421083</v>
      </c>
    </row>
    <row r="2893" spans="1:9" ht="15.75" customHeight="1" x14ac:dyDescent="0.35">
      <c r="A2893" s="26" t="s">
        <v>3552</v>
      </c>
      <c r="B2893" s="25" t="s">
        <v>460</v>
      </c>
      <c r="C2893" s="6" t="s">
        <v>485</v>
      </c>
      <c r="D2893" s="13">
        <v>71379.164999999994</v>
      </c>
      <c r="E2893" s="18">
        <v>21</v>
      </c>
      <c r="F2893" s="2">
        <f t="shared" si="90"/>
        <v>86368.789649999992</v>
      </c>
      <c r="G2893" s="3">
        <v>0</v>
      </c>
      <c r="H2893" s="4">
        <v>0.7</v>
      </c>
      <c r="I2893" s="28">
        <f t="shared" si="91"/>
        <v>146826.94240499998</v>
      </c>
    </row>
    <row r="2894" spans="1:9" ht="15.75" customHeight="1" x14ac:dyDescent="0.35">
      <c r="A2894" s="26" t="s">
        <v>3553</v>
      </c>
      <c r="B2894" s="25" t="s">
        <v>461</v>
      </c>
      <c r="C2894" s="6" t="s">
        <v>486</v>
      </c>
      <c r="D2894" s="13">
        <v>71379.164999999994</v>
      </c>
      <c r="E2894" s="18">
        <v>21</v>
      </c>
      <c r="F2894" s="2">
        <f t="shared" si="90"/>
        <v>86368.789649999992</v>
      </c>
      <c r="G2894" s="3">
        <v>0</v>
      </c>
      <c r="H2894" s="4">
        <v>0.7</v>
      </c>
      <c r="I2894" s="28">
        <f t="shared" si="91"/>
        <v>146826.94240499998</v>
      </c>
    </row>
    <row r="2895" spans="1:9" ht="15.75" customHeight="1" x14ac:dyDescent="0.35">
      <c r="A2895" s="26" t="s">
        <v>5211</v>
      </c>
      <c r="B2895" s="25" t="s">
        <v>462</v>
      </c>
      <c r="C2895" s="6" t="s">
        <v>975</v>
      </c>
      <c r="D2895" s="13">
        <v>1596.5569985508</v>
      </c>
      <c r="E2895" s="18">
        <v>10.5</v>
      </c>
      <c r="F2895" s="2">
        <f t="shared" si="90"/>
        <v>1764.195483398634</v>
      </c>
      <c r="G2895" s="3">
        <v>0</v>
      </c>
      <c r="H2895" s="4">
        <v>0.7</v>
      </c>
      <c r="I2895" s="28">
        <f t="shared" si="91"/>
        <v>2999.1323217776776</v>
      </c>
    </row>
    <row r="2896" spans="1:9" ht="15.75" customHeight="1" x14ac:dyDescent="0.35">
      <c r="A2896" s="26" t="s">
        <v>5212</v>
      </c>
      <c r="B2896" s="25" t="s">
        <v>1184</v>
      </c>
      <c r="C2896" s="6" t="s">
        <v>976</v>
      </c>
      <c r="D2896" s="13">
        <v>1596.5569985508</v>
      </c>
      <c r="E2896" s="18">
        <v>10.5</v>
      </c>
      <c r="F2896" s="2">
        <f t="shared" si="90"/>
        <v>1764.195483398634</v>
      </c>
      <c r="G2896" s="3">
        <v>0</v>
      </c>
      <c r="H2896" s="4">
        <v>0.7</v>
      </c>
      <c r="I2896" s="28">
        <f t="shared" si="91"/>
        <v>2999.1323217776776</v>
      </c>
    </row>
    <row r="2897" spans="1:9" ht="15.75" customHeight="1" x14ac:dyDescent="0.35">
      <c r="A2897" s="26" t="s">
        <v>11063</v>
      </c>
      <c r="B2897" s="25" t="s">
        <v>1185</v>
      </c>
      <c r="C2897" s="6" t="s">
        <v>11060</v>
      </c>
      <c r="D2897" s="13">
        <v>1596.5569985508</v>
      </c>
      <c r="E2897" s="18">
        <v>10.5</v>
      </c>
      <c r="F2897" s="2">
        <f t="shared" si="90"/>
        <v>1764.195483398634</v>
      </c>
      <c r="G2897" s="3">
        <v>0</v>
      </c>
      <c r="H2897" s="4">
        <v>0.7</v>
      </c>
      <c r="I2897" s="28">
        <f t="shared" si="91"/>
        <v>2999.1323217776776</v>
      </c>
    </row>
    <row r="2898" spans="1:9" ht="15.75" customHeight="1" x14ac:dyDescent="0.35">
      <c r="A2898" s="26" t="s">
        <v>5213</v>
      </c>
      <c r="B2898" s="25" t="s">
        <v>10132</v>
      </c>
      <c r="C2898" s="6" t="s">
        <v>977</v>
      </c>
      <c r="D2898" s="13">
        <v>1596.5569985508</v>
      </c>
      <c r="E2898" s="18">
        <v>10.5</v>
      </c>
      <c r="F2898" s="2">
        <f t="shared" si="90"/>
        <v>1764.195483398634</v>
      </c>
      <c r="G2898" s="3">
        <v>0</v>
      </c>
      <c r="H2898" s="4">
        <v>0.7</v>
      </c>
      <c r="I2898" s="28">
        <f t="shared" si="91"/>
        <v>2999.1323217776776</v>
      </c>
    </row>
    <row r="2899" spans="1:9" ht="15.75" customHeight="1" x14ac:dyDescent="0.35">
      <c r="A2899" s="26" t="s">
        <v>13064</v>
      </c>
      <c r="B2899" s="25" t="s">
        <v>12111</v>
      </c>
      <c r="C2899" s="6" t="s">
        <v>13065</v>
      </c>
      <c r="D2899" s="13">
        <v>2312.4910046865998</v>
      </c>
      <c r="E2899" s="18">
        <v>21</v>
      </c>
      <c r="F2899" s="2">
        <f t="shared" si="90"/>
        <v>2798.1141156707858</v>
      </c>
      <c r="G2899" s="3">
        <v>0</v>
      </c>
      <c r="H2899" s="4">
        <v>0.7</v>
      </c>
      <c r="I2899" s="28">
        <f t="shared" si="91"/>
        <v>4756.7939966403355</v>
      </c>
    </row>
    <row r="2900" spans="1:9" ht="15.75" customHeight="1" x14ac:dyDescent="0.35">
      <c r="A2900" s="26" t="s">
        <v>13173</v>
      </c>
      <c r="B2900" s="25" t="s">
        <v>10133</v>
      </c>
      <c r="C2900" s="6" t="s">
        <v>13174</v>
      </c>
      <c r="D2900" s="13">
        <v>2312.4910046865998</v>
      </c>
      <c r="E2900" s="18">
        <v>21</v>
      </c>
      <c r="F2900" s="2">
        <f t="shared" si="90"/>
        <v>2798.1141156707858</v>
      </c>
      <c r="G2900" s="3">
        <v>0</v>
      </c>
      <c r="H2900" s="4">
        <v>0.7</v>
      </c>
      <c r="I2900" s="28">
        <f t="shared" si="91"/>
        <v>4756.7939966403355</v>
      </c>
    </row>
    <row r="2901" spans="1:9" ht="15.75" customHeight="1" x14ac:dyDescent="0.35">
      <c r="A2901" s="26" t="s">
        <v>5218</v>
      </c>
      <c r="B2901" s="25" t="s">
        <v>10134</v>
      </c>
      <c r="C2901" s="6" t="s">
        <v>9241</v>
      </c>
      <c r="D2901" s="13">
        <v>7210.8279905999998</v>
      </c>
      <c r="E2901" s="18">
        <v>21</v>
      </c>
      <c r="F2901" s="2">
        <f t="shared" si="90"/>
        <v>8725.1018686259995</v>
      </c>
      <c r="G2901" s="3">
        <v>0</v>
      </c>
      <c r="H2901" s="4">
        <v>0.7</v>
      </c>
      <c r="I2901" s="28">
        <f t="shared" si="91"/>
        <v>14832.673176664199</v>
      </c>
    </row>
    <row r="2902" spans="1:9" ht="15.75" customHeight="1" x14ac:dyDescent="0.35">
      <c r="A2902" s="26" t="s">
        <v>8920</v>
      </c>
      <c r="B2902" s="25" t="s">
        <v>10135</v>
      </c>
      <c r="C2902" s="6" t="s">
        <v>9242</v>
      </c>
      <c r="D2902" s="13">
        <v>7210.8279905999998</v>
      </c>
      <c r="E2902" s="18">
        <v>21</v>
      </c>
      <c r="F2902" s="2">
        <f t="shared" si="90"/>
        <v>8725.1018686259995</v>
      </c>
      <c r="G2902" s="3">
        <v>0</v>
      </c>
      <c r="H2902" s="4">
        <v>0.7</v>
      </c>
      <c r="I2902" s="28">
        <f t="shared" si="91"/>
        <v>14832.673176664199</v>
      </c>
    </row>
    <row r="2903" spans="1:9" ht="15.75" customHeight="1" x14ac:dyDescent="0.35">
      <c r="A2903" s="26" t="s">
        <v>13978</v>
      </c>
      <c r="B2903" s="25" t="s">
        <v>10136</v>
      </c>
      <c r="C2903" s="6" t="s">
        <v>13979</v>
      </c>
      <c r="D2903" s="13">
        <v>632.13727928000003</v>
      </c>
      <c r="E2903" s="18">
        <v>21</v>
      </c>
      <c r="F2903" s="2">
        <f t="shared" si="90"/>
        <v>764.88610792880002</v>
      </c>
      <c r="G2903" s="3">
        <v>0</v>
      </c>
      <c r="H2903" s="4">
        <v>0.7</v>
      </c>
      <c r="I2903" s="28">
        <f t="shared" si="91"/>
        <v>1300.30638347896</v>
      </c>
    </row>
    <row r="2904" spans="1:9" ht="15.75" customHeight="1" x14ac:dyDescent="0.35">
      <c r="A2904" s="26" t="s">
        <v>5143</v>
      </c>
      <c r="B2904" s="25" t="s">
        <v>463</v>
      </c>
      <c r="C2904" s="6" t="s">
        <v>9354</v>
      </c>
      <c r="D2904" s="13">
        <v>19938.87709632</v>
      </c>
      <c r="E2904" s="18">
        <v>21</v>
      </c>
      <c r="F2904" s="2">
        <f t="shared" si="90"/>
        <v>24126.041286547203</v>
      </c>
      <c r="G2904" s="3">
        <v>0</v>
      </c>
      <c r="H2904" s="4">
        <v>0.7</v>
      </c>
      <c r="I2904" s="28">
        <f t="shared" si="91"/>
        <v>41014.270187130242</v>
      </c>
    </row>
    <row r="2905" spans="1:9" ht="15.75" customHeight="1" x14ac:dyDescent="0.35">
      <c r="A2905" s="26" t="s">
        <v>5202</v>
      </c>
      <c r="B2905" s="25" t="s">
        <v>1162</v>
      </c>
      <c r="C2905" s="6" t="s">
        <v>9355</v>
      </c>
      <c r="D2905" s="13">
        <v>1434.8453699268</v>
      </c>
      <c r="E2905" s="18">
        <v>10.5</v>
      </c>
      <c r="F2905" s="2">
        <f t="shared" si="90"/>
        <v>1585.5041337691141</v>
      </c>
      <c r="G2905" s="3">
        <v>0</v>
      </c>
      <c r="H2905" s="4">
        <v>0.7</v>
      </c>
      <c r="I2905" s="28">
        <f t="shared" si="91"/>
        <v>2695.3570274074941</v>
      </c>
    </row>
    <row r="2906" spans="1:9" ht="15.75" customHeight="1" x14ac:dyDescent="0.35">
      <c r="A2906" s="26" t="s">
        <v>5222</v>
      </c>
      <c r="B2906" s="25" t="s">
        <v>11961</v>
      </c>
      <c r="C2906" s="6" t="s">
        <v>1269</v>
      </c>
      <c r="D2906" s="13">
        <v>1941.8529702000001</v>
      </c>
      <c r="E2906" s="18">
        <v>10.5</v>
      </c>
      <c r="F2906" s="2">
        <f t="shared" si="90"/>
        <v>2145.747532071</v>
      </c>
      <c r="G2906" s="3">
        <v>0</v>
      </c>
      <c r="H2906" s="4">
        <v>0.7</v>
      </c>
      <c r="I2906" s="28">
        <f t="shared" si="91"/>
        <v>3647.7708045207</v>
      </c>
    </row>
    <row r="2907" spans="1:9" ht="15.75" customHeight="1" x14ac:dyDescent="0.35">
      <c r="A2907" s="26" t="s">
        <v>4837</v>
      </c>
      <c r="B2907" s="25" t="s">
        <v>1266</v>
      </c>
      <c r="C2907" s="6" t="s">
        <v>487</v>
      </c>
      <c r="D2907" s="13">
        <v>708.11643224725105</v>
      </c>
      <c r="E2907" s="18">
        <v>21</v>
      </c>
      <c r="F2907" s="2">
        <f t="shared" si="90"/>
        <v>856.82088301917383</v>
      </c>
      <c r="G2907" s="3">
        <v>0</v>
      </c>
      <c r="H2907" s="4">
        <v>0.7</v>
      </c>
      <c r="I2907" s="28">
        <f t="shared" si="91"/>
        <v>1456.5955011325955</v>
      </c>
    </row>
    <row r="2908" spans="1:9" ht="15.75" customHeight="1" x14ac:dyDescent="0.35">
      <c r="A2908" s="26" t="s">
        <v>5123</v>
      </c>
      <c r="B2908" s="25" t="s">
        <v>962</v>
      </c>
      <c r="C2908" s="6" t="s">
        <v>978</v>
      </c>
      <c r="D2908" s="13">
        <v>2402.6179367801601</v>
      </c>
      <c r="E2908" s="18">
        <v>10.5</v>
      </c>
      <c r="F2908" s="2">
        <f t="shared" si="90"/>
        <v>2654.8928201420767</v>
      </c>
      <c r="G2908" s="3">
        <v>0</v>
      </c>
      <c r="H2908" s="4">
        <v>0.7</v>
      </c>
      <c r="I2908" s="28">
        <f t="shared" si="91"/>
        <v>4513.3177942415305</v>
      </c>
    </row>
    <row r="2909" spans="1:9" ht="15.75" customHeight="1" x14ac:dyDescent="0.35">
      <c r="A2909" s="26" t="s">
        <v>4950</v>
      </c>
      <c r="B2909" s="25" t="s">
        <v>12251</v>
      </c>
      <c r="C2909" s="6" t="s">
        <v>488</v>
      </c>
      <c r="D2909" s="13">
        <v>628.96290599999998</v>
      </c>
      <c r="E2909" s="18">
        <v>21</v>
      </c>
      <c r="F2909" s="2">
        <f t="shared" si="90"/>
        <v>761.04511625999999</v>
      </c>
      <c r="G2909" s="3">
        <v>0</v>
      </c>
      <c r="H2909" s="4">
        <v>0.7</v>
      </c>
      <c r="I2909" s="28">
        <f t="shared" si="91"/>
        <v>1293.776697642</v>
      </c>
    </row>
    <row r="2910" spans="1:9" ht="15.75" customHeight="1" x14ac:dyDescent="0.35">
      <c r="A2910" s="26" t="s">
        <v>4838</v>
      </c>
      <c r="B2910" s="25" t="s">
        <v>10319</v>
      </c>
      <c r="C2910" s="6" t="s">
        <v>979</v>
      </c>
      <c r="D2910" s="13">
        <v>708.11643224725105</v>
      </c>
      <c r="E2910" s="18">
        <v>21</v>
      </c>
      <c r="F2910" s="2">
        <f t="shared" si="90"/>
        <v>856.82088301917383</v>
      </c>
      <c r="G2910" s="3">
        <v>0</v>
      </c>
      <c r="H2910" s="4">
        <v>0.7</v>
      </c>
      <c r="I2910" s="28">
        <f t="shared" si="91"/>
        <v>1456.5955011325955</v>
      </c>
    </row>
    <row r="2911" spans="1:9" ht="15.75" customHeight="1" x14ac:dyDescent="0.35">
      <c r="A2911" s="26" t="s">
        <v>5203</v>
      </c>
      <c r="B2911" s="25" t="s">
        <v>11516</v>
      </c>
      <c r="C2911" s="6" t="s">
        <v>9356</v>
      </c>
      <c r="D2911" s="13">
        <v>1434.8453699268</v>
      </c>
      <c r="E2911" s="18">
        <v>10.5</v>
      </c>
      <c r="F2911" s="2">
        <f t="shared" si="90"/>
        <v>1585.5041337691141</v>
      </c>
      <c r="G2911" s="3">
        <v>0</v>
      </c>
      <c r="H2911" s="4">
        <v>0.7</v>
      </c>
      <c r="I2911" s="28">
        <f t="shared" si="91"/>
        <v>2695.3570274074941</v>
      </c>
    </row>
    <row r="2912" spans="1:9" ht="15.75" customHeight="1" x14ac:dyDescent="0.35">
      <c r="A2912" s="26" t="s">
        <v>8927</v>
      </c>
      <c r="B2912" s="25" t="s">
        <v>1267</v>
      </c>
      <c r="C2912" s="6" t="s">
        <v>8928</v>
      </c>
      <c r="D2912" s="13">
        <v>2673.2104463999999</v>
      </c>
      <c r="E2912" s="18">
        <v>21</v>
      </c>
      <c r="F2912" s="2">
        <f t="shared" si="90"/>
        <v>3234.5846401439999</v>
      </c>
      <c r="G2912" s="3">
        <v>0</v>
      </c>
      <c r="H2912" s="4">
        <v>0.7</v>
      </c>
      <c r="I2912" s="28">
        <f t="shared" si="91"/>
        <v>5498.7938882447997</v>
      </c>
    </row>
    <row r="2913" spans="1:9" ht="15.75" customHeight="1" x14ac:dyDescent="0.35">
      <c r="A2913" s="26" t="s">
        <v>4839</v>
      </c>
      <c r="B2913" s="25" t="s">
        <v>963</v>
      </c>
      <c r="C2913" s="6" t="s">
        <v>489</v>
      </c>
      <c r="D2913" s="13">
        <v>708.11643224725105</v>
      </c>
      <c r="E2913" s="18">
        <v>21</v>
      </c>
      <c r="F2913" s="2">
        <f t="shared" si="90"/>
        <v>856.82088301917383</v>
      </c>
      <c r="G2913" s="3">
        <v>0</v>
      </c>
      <c r="H2913" s="4">
        <v>0.7</v>
      </c>
      <c r="I2913" s="28">
        <f t="shared" si="91"/>
        <v>1456.5955011325955</v>
      </c>
    </row>
    <row r="2914" spans="1:9" ht="15.75" customHeight="1" x14ac:dyDescent="0.35">
      <c r="A2914" s="26" t="s">
        <v>5204</v>
      </c>
      <c r="B2914" s="25" t="s">
        <v>964</v>
      </c>
      <c r="C2914" s="6" t="s">
        <v>9357</v>
      </c>
      <c r="D2914" s="13">
        <v>1434.8453699268</v>
      </c>
      <c r="E2914" s="18">
        <v>10.5</v>
      </c>
      <c r="F2914" s="2">
        <f t="shared" si="90"/>
        <v>1585.5041337691141</v>
      </c>
      <c r="G2914" s="3">
        <v>0</v>
      </c>
      <c r="H2914" s="4">
        <v>0.7</v>
      </c>
      <c r="I2914" s="28">
        <f t="shared" si="91"/>
        <v>2695.3570274074941</v>
      </c>
    </row>
    <row r="2915" spans="1:9" ht="15.75" customHeight="1" x14ac:dyDescent="0.35">
      <c r="A2915" s="26" t="s">
        <v>4840</v>
      </c>
      <c r="B2915" s="25" t="s">
        <v>965</v>
      </c>
      <c r="C2915" s="6" t="s">
        <v>490</v>
      </c>
      <c r="D2915" s="13">
        <v>708.11136616700799</v>
      </c>
      <c r="E2915" s="18">
        <v>21</v>
      </c>
      <c r="F2915" s="2">
        <f t="shared" si="90"/>
        <v>856.81475306207972</v>
      </c>
      <c r="G2915" s="3">
        <v>0</v>
      </c>
      <c r="H2915" s="4">
        <v>0.7</v>
      </c>
      <c r="I2915" s="28">
        <f t="shared" si="91"/>
        <v>1456.5850802055354</v>
      </c>
    </row>
    <row r="2916" spans="1:9" ht="15.75" customHeight="1" x14ac:dyDescent="0.35">
      <c r="A2916" s="26" t="s">
        <v>5124</v>
      </c>
      <c r="B2916" s="25" t="s">
        <v>966</v>
      </c>
      <c r="C2916" s="6" t="s">
        <v>980</v>
      </c>
      <c r="D2916" s="13">
        <v>2402.6179367801601</v>
      </c>
      <c r="E2916" s="18">
        <v>10.5</v>
      </c>
      <c r="F2916" s="2">
        <f t="shared" si="90"/>
        <v>2654.8928201420767</v>
      </c>
      <c r="G2916" s="3">
        <v>0</v>
      </c>
      <c r="H2916" s="4">
        <v>0.7</v>
      </c>
      <c r="I2916" s="28">
        <f t="shared" si="91"/>
        <v>4513.3177942415305</v>
      </c>
    </row>
    <row r="2917" spans="1:9" ht="15.75" customHeight="1" x14ac:dyDescent="0.35">
      <c r="A2917" s="26" t="s">
        <v>5125</v>
      </c>
      <c r="B2917" s="25" t="s">
        <v>967</v>
      </c>
      <c r="C2917" s="6" t="s">
        <v>981</v>
      </c>
      <c r="D2917" s="13">
        <v>2402.6179367801601</v>
      </c>
      <c r="E2917" s="18">
        <v>10.5</v>
      </c>
      <c r="F2917" s="2">
        <f t="shared" si="90"/>
        <v>2654.8928201420767</v>
      </c>
      <c r="G2917" s="3">
        <v>0</v>
      </c>
      <c r="H2917" s="4">
        <v>0.7</v>
      </c>
      <c r="I2917" s="28">
        <f t="shared" si="91"/>
        <v>4513.3177942415305</v>
      </c>
    </row>
    <row r="2918" spans="1:9" ht="15.75" customHeight="1" x14ac:dyDescent="0.35">
      <c r="A2918" s="26" t="s">
        <v>4841</v>
      </c>
      <c r="B2918" s="25" t="s">
        <v>464</v>
      </c>
      <c r="C2918" s="6" t="s">
        <v>982</v>
      </c>
      <c r="D2918" s="13">
        <v>708.11643224725105</v>
      </c>
      <c r="E2918" s="18">
        <v>21</v>
      </c>
      <c r="F2918" s="2">
        <f t="shared" si="90"/>
        <v>856.82088301917383</v>
      </c>
      <c r="G2918" s="3">
        <v>0</v>
      </c>
      <c r="H2918" s="4">
        <v>0.7</v>
      </c>
      <c r="I2918" s="28">
        <f t="shared" si="91"/>
        <v>1456.5955011325955</v>
      </c>
    </row>
    <row r="2919" spans="1:9" ht="15.75" customHeight="1" x14ac:dyDescent="0.35">
      <c r="A2919" s="26" t="s">
        <v>8929</v>
      </c>
      <c r="B2919" s="25" t="s">
        <v>1204</v>
      </c>
      <c r="C2919" s="6" t="s">
        <v>8930</v>
      </c>
      <c r="D2919" s="13">
        <v>6682.5416306999996</v>
      </c>
      <c r="E2919" s="18">
        <v>21</v>
      </c>
      <c r="F2919" s="2">
        <f t="shared" si="90"/>
        <v>8085.8753731469997</v>
      </c>
      <c r="G2919" s="3">
        <v>0</v>
      </c>
      <c r="H2919" s="4">
        <v>0.7</v>
      </c>
      <c r="I2919" s="28">
        <f t="shared" si="91"/>
        <v>13745.988134349898</v>
      </c>
    </row>
    <row r="2920" spans="1:9" ht="15.75" customHeight="1" x14ac:dyDescent="0.35">
      <c r="A2920" s="26" t="s">
        <v>8931</v>
      </c>
      <c r="B2920" s="25" t="s">
        <v>9231</v>
      </c>
      <c r="C2920" s="6" t="s">
        <v>8932</v>
      </c>
      <c r="D2920" s="13">
        <v>6682.5416306999996</v>
      </c>
      <c r="E2920" s="18">
        <v>21</v>
      </c>
      <c r="F2920" s="2">
        <f t="shared" si="90"/>
        <v>8085.8753731469997</v>
      </c>
      <c r="G2920" s="3">
        <v>0</v>
      </c>
      <c r="H2920" s="4">
        <v>0.7</v>
      </c>
      <c r="I2920" s="28">
        <f t="shared" si="91"/>
        <v>13745.988134349898</v>
      </c>
    </row>
    <row r="2921" spans="1:9" ht="15.75" customHeight="1" x14ac:dyDescent="0.35">
      <c r="A2921" s="26" t="s">
        <v>9945</v>
      </c>
      <c r="B2921" s="25" t="s">
        <v>9232</v>
      </c>
      <c r="C2921" s="6" t="s">
        <v>12784</v>
      </c>
      <c r="D2921" s="13">
        <v>1957.6501367702499</v>
      </c>
      <c r="E2921" s="18">
        <v>21</v>
      </c>
      <c r="F2921" s="2">
        <f t="shared" si="90"/>
        <v>2368.7566654920024</v>
      </c>
      <c r="G2921" s="3">
        <v>0</v>
      </c>
      <c r="H2921" s="4">
        <v>0.7</v>
      </c>
      <c r="I2921" s="28">
        <f t="shared" si="91"/>
        <v>4026.8863313364041</v>
      </c>
    </row>
    <row r="2922" spans="1:9" ht="15.75" customHeight="1" x14ac:dyDescent="0.35">
      <c r="A2922" s="26" t="s">
        <v>10018</v>
      </c>
      <c r="B2922" s="25" t="s">
        <v>9343</v>
      </c>
      <c r="C2922" s="6" t="s">
        <v>10019</v>
      </c>
      <c r="D2922" s="13">
        <v>1957.6501367702499</v>
      </c>
      <c r="E2922" s="18">
        <v>21</v>
      </c>
      <c r="F2922" s="2">
        <f t="shared" si="90"/>
        <v>2368.7566654920024</v>
      </c>
      <c r="G2922" s="3">
        <v>0</v>
      </c>
      <c r="H2922" s="4">
        <v>0.7</v>
      </c>
      <c r="I2922" s="28">
        <f t="shared" si="91"/>
        <v>4026.8863313364041</v>
      </c>
    </row>
    <row r="2923" spans="1:9" ht="15.75" customHeight="1" x14ac:dyDescent="0.35">
      <c r="A2923" s="26" t="s">
        <v>5243</v>
      </c>
      <c r="B2923" s="25" t="s">
        <v>9233</v>
      </c>
      <c r="C2923" s="6" t="s">
        <v>11001</v>
      </c>
      <c r="D2923" s="13">
        <v>1427.8320108</v>
      </c>
      <c r="E2923" s="18">
        <v>10.5</v>
      </c>
      <c r="F2923" s="2">
        <f t="shared" si="90"/>
        <v>1577.7543719340001</v>
      </c>
      <c r="G2923" s="3">
        <v>0</v>
      </c>
      <c r="H2923" s="4">
        <v>0.7</v>
      </c>
      <c r="I2923" s="28">
        <f t="shared" si="91"/>
        <v>2682.1824322878001</v>
      </c>
    </row>
    <row r="2924" spans="1:9" ht="15.75" customHeight="1" x14ac:dyDescent="0.35">
      <c r="A2924" s="26" t="s">
        <v>5244</v>
      </c>
      <c r="B2924" s="25" t="s">
        <v>465</v>
      </c>
      <c r="C2924" s="6" t="s">
        <v>1206</v>
      </c>
      <c r="D2924" s="13">
        <v>2472.7830647000001</v>
      </c>
      <c r="E2924" s="18">
        <v>10.5</v>
      </c>
      <c r="F2924" s="2">
        <f t="shared" si="90"/>
        <v>2732.4252864935002</v>
      </c>
      <c r="G2924" s="3">
        <v>0</v>
      </c>
      <c r="H2924" s="4">
        <v>0.7</v>
      </c>
      <c r="I2924" s="28">
        <f t="shared" si="91"/>
        <v>4645.1229870389498</v>
      </c>
    </row>
    <row r="2925" spans="1:9" ht="15.75" customHeight="1" x14ac:dyDescent="0.35">
      <c r="A2925" s="26" t="s">
        <v>4842</v>
      </c>
      <c r="B2925" s="25" t="s">
        <v>466</v>
      </c>
      <c r="C2925" s="6" t="s">
        <v>983</v>
      </c>
      <c r="D2925" s="13">
        <v>622.27945389025194</v>
      </c>
      <c r="E2925" s="18">
        <v>10.5</v>
      </c>
      <c r="F2925" s="2">
        <f t="shared" si="90"/>
        <v>687.61879654872837</v>
      </c>
      <c r="G2925" s="3">
        <v>0</v>
      </c>
      <c r="H2925" s="4">
        <v>0.7</v>
      </c>
      <c r="I2925" s="28">
        <f t="shared" si="91"/>
        <v>1168.9519541328382</v>
      </c>
    </row>
    <row r="2926" spans="1:9" ht="15.75" customHeight="1" x14ac:dyDescent="0.35">
      <c r="A2926" s="26" t="s">
        <v>5126</v>
      </c>
      <c r="B2926" s="25" t="s">
        <v>9234</v>
      </c>
      <c r="C2926" s="6" t="s">
        <v>984</v>
      </c>
      <c r="D2926" s="13">
        <v>1783.5678534260801</v>
      </c>
      <c r="E2926" s="18">
        <v>10.5</v>
      </c>
      <c r="F2926" s="2">
        <f t="shared" si="90"/>
        <v>1970.8424780358184</v>
      </c>
      <c r="G2926" s="3">
        <v>0</v>
      </c>
      <c r="H2926" s="4">
        <v>0.7</v>
      </c>
      <c r="I2926" s="28">
        <f t="shared" si="91"/>
        <v>3350.4322126608913</v>
      </c>
    </row>
    <row r="2927" spans="1:9" ht="15.75" customHeight="1" x14ac:dyDescent="0.35">
      <c r="A2927" s="26" t="s">
        <v>4843</v>
      </c>
      <c r="B2927" s="25" t="s">
        <v>9235</v>
      </c>
      <c r="C2927" s="6" t="s">
        <v>985</v>
      </c>
      <c r="D2927" s="13">
        <v>622.27945389025194</v>
      </c>
      <c r="E2927" s="18">
        <v>10.5</v>
      </c>
      <c r="F2927" s="2">
        <f t="shared" si="90"/>
        <v>687.61879654872837</v>
      </c>
      <c r="G2927" s="3">
        <v>0</v>
      </c>
      <c r="H2927" s="4">
        <v>0.7</v>
      </c>
      <c r="I2927" s="28">
        <f t="shared" si="91"/>
        <v>1168.9519541328382</v>
      </c>
    </row>
    <row r="2928" spans="1:9" ht="15.75" customHeight="1" x14ac:dyDescent="0.35">
      <c r="A2928" s="26" t="s">
        <v>9526</v>
      </c>
      <c r="B2928" s="25" t="s">
        <v>9831</v>
      </c>
      <c r="C2928" s="6" t="s">
        <v>9527</v>
      </c>
      <c r="D2928" s="13">
        <v>860.75080000000003</v>
      </c>
      <c r="E2928" s="18">
        <v>10.5</v>
      </c>
      <c r="F2928" s="2">
        <f t="shared" si="90"/>
        <v>951.12963400000001</v>
      </c>
      <c r="G2928" s="3">
        <v>0</v>
      </c>
      <c r="H2928" s="4">
        <v>0.7</v>
      </c>
      <c r="I2928" s="28">
        <f t="shared" si="91"/>
        <v>1616.9203777999999</v>
      </c>
    </row>
    <row r="2929" spans="1:9" ht="15.75" customHeight="1" x14ac:dyDescent="0.35">
      <c r="A2929" s="26" t="s">
        <v>4844</v>
      </c>
      <c r="B2929" s="25" t="s">
        <v>9832</v>
      </c>
      <c r="C2929" s="6" t="s">
        <v>1195</v>
      </c>
      <c r="D2929" s="13">
        <v>622.27945389025194</v>
      </c>
      <c r="E2929" s="18">
        <v>10.5</v>
      </c>
      <c r="F2929" s="2">
        <f t="shared" si="90"/>
        <v>687.61879654872837</v>
      </c>
      <c r="G2929" s="3">
        <v>0</v>
      </c>
      <c r="H2929" s="4">
        <v>0.7</v>
      </c>
      <c r="I2929" s="28">
        <f t="shared" si="91"/>
        <v>1168.9519541328382</v>
      </c>
    </row>
    <row r="2930" spans="1:9" ht="15.75" customHeight="1" x14ac:dyDescent="0.35">
      <c r="A2930" s="26" t="s">
        <v>4845</v>
      </c>
      <c r="B2930" s="25" t="s">
        <v>9833</v>
      </c>
      <c r="C2930" s="6" t="s">
        <v>986</v>
      </c>
      <c r="D2930" s="13">
        <v>622.27945389025194</v>
      </c>
      <c r="E2930" s="18">
        <v>21</v>
      </c>
      <c r="F2930" s="2">
        <f t="shared" si="90"/>
        <v>752.95813920720479</v>
      </c>
      <c r="G2930" s="3">
        <v>0</v>
      </c>
      <c r="H2930" s="4">
        <v>0.7</v>
      </c>
      <c r="I2930" s="28">
        <f t="shared" si="91"/>
        <v>1280.0288366522482</v>
      </c>
    </row>
    <row r="2931" spans="1:9" ht="15.75" customHeight="1" x14ac:dyDescent="0.35">
      <c r="A2931" s="26" t="s">
        <v>5127</v>
      </c>
      <c r="B2931" s="25" t="s">
        <v>9834</v>
      </c>
      <c r="C2931" s="6" t="s">
        <v>987</v>
      </c>
      <c r="D2931" s="13">
        <v>1938.6598008556</v>
      </c>
      <c r="E2931" s="18">
        <v>10.5</v>
      </c>
      <c r="F2931" s="2">
        <f t="shared" si="90"/>
        <v>2142.2190799454379</v>
      </c>
      <c r="G2931" s="3">
        <v>0</v>
      </c>
      <c r="H2931" s="4">
        <v>0.7</v>
      </c>
      <c r="I2931" s="28">
        <f t="shared" si="91"/>
        <v>3641.7724359072445</v>
      </c>
    </row>
    <row r="2932" spans="1:9" ht="15.75" customHeight="1" x14ac:dyDescent="0.35">
      <c r="A2932" s="26" t="s">
        <v>5128</v>
      </c>
      <c r="B2932" s="25" t="s">
        <v>9835</v>
      </c>
      <c r="C2932" s="6" t="s">
        <v>988</v>
      </c>
      <c r="D2932" s="13">
        <v>1783.5678534260801</v>
      </c>
      <c r="E2932" s="18">
        <v>10.5</v>
      </c>
      <c r="F2932" s="2">
        <f t="shared" si="90"/>
        <v>1970.8424780358184</v>
      </c>
      <c r="G2932" s="3">
        <v>0</v>
      </c>
      <c r="H2932" s="4">
        <v>0.7</v>
      </c>
      <c r="I2932" s="28">
        <f t="shared" si="91"/>
        <v>3350.4322126608913</v>
      </c>
    </row>
    <row r="2933" spans="1:9" ht="15.75" customHeight="1" x14ac:dyDescent="0.35">
      <c r="A2933" s="26" t="s">
        <v>4846</v>
      </c>
      <c r="B2933" s="25" t="s">
        <v>9836</v>
      </c>
      <c r="C2933" s="6" t="s">
        <v>1071</v>
      </c>
      <c r="D2933" s="13">
        <v>622.27945389025194</v>
      </c>
      <c r="E2933" s="18">
        <v>10.5</v>
      </c>
      <c r="F2933" s="2">
        <f t="shared" si="90"/>
        <v>687.61879654872837</v>
      </c>
      <c r="G2933" s="3">
        <v>0</v>
      </c>
      <c r="H2933" s="4">
        <v>0.7</v>
      </c>
      <c r="I2933" s="28">
        <f t="shared" si="91"/>
        <v>1168.9519541328382</v>
      </c>
    </row>
    <row r="2934" spans="1:9" ht="15.75" customHeight="1" x14ac:dyDescent="0.35">
      <c r="A2934" s="26" t="s">
        <v>13066</v>
      </c>
      <c r="B2934" s="25" t="s">
        <v>9837</v>
      </c>
      <c r="C2934" s="6" t="s">
        <v>13067</v>
      </c>
      <c r="D2934" s="13">
        <v>30445.746719920699</v>
      </c>
      <c r="E2934" s="18">
        <v>10.5</v>
      </c>
      <c r="F2934" s="2">
        <f t="shared" si="90"/>
        <v>33642.550125512375</v>
      </c>
      <c r="G2934" s="3">
        <v>0</v>
      </c>
      <c r="H2934" s="4">
        <v>0.7</v>
      </c>
      <c r="I2934" s="28">
        <f t="shared" si="91"/>
        <v>57192.335213371036</v>
      </c>
    </row>
    <row r="2935" spans="1:9" ht="15.75" customHeight="1" x14ac:dyDescent="0.35">
      <c r="A2935" s="26" t="s">
        <v>13068</v>
      </c>
      <c r="B2935" s="25" t="s">
        <v>9838</v>
      </c>
      <c r="C2935" s="6" t="s">
        <v>13069</v>
      </c>
      <c r="D2935" s="13">
        <v>30445.746719920699</v>
      </c>
      <c r="E2935" s="18">
        <v>10.5</v>
      </c>
      <c r="F2935" s="2">
        <f t="shared" si="90"/>
        <v>33642.550125512375</v>
      </c>
      <c r="G2935" s="3">
        <v>0</v>
      </c>
      <c r="H2935" s="4">
        <v>0.7</v>
      </c>
      <c r="I2935" s="28">
        <f t="shared" si="91"/>
        <v>57192.335213371036</v>
      </c>
    </row>
    <row r="2936" spans="1:9" ht="15.75" customHeight="1" x14ac:dyDescent="0.35">
      <c r="A2936" s="26" t="s">
        <v>5219</v>
      </c>
      <c r="B2936" s="25" t="s">
        <v>467</v>
      </c>
      <c r="C2936" s="6" t="s">
        <v>9243</v>
      </c>
      <c r="D2936" s="13">
        <v>20532.2836498</v>
      </c>
      <c r="E2936" s="18">
        <v>10.5</v>
      </c>
      <c r="F2936" s="2">
        <f t="shared" si="90"/>
        <v>22688.173433028998</v>
      </c>
      <c r="G2936" s="3">
        <v>0</v>
      </c>
      <c r="H2936" s="4">
        <v>0.7</v>
      </c>
      <c r="I2936" s="28">
        <f t="shared" si="91"/>
        <v>38569.894836149295</v>
      </c>
    </row>
    <row r="2937" spans="1:9" ht="15.75" customHeight="1" x14ac:dyDescent="0.35">
      <c r="A2937" s="26" t="s">
        <v>4728</v>
      </c>
      <c r="B2937" s="25" t="s">
        <v>9839</v>
      </c>
      <c r="C2937" s="6" t="s">
        <v>11002</v>
      </c>
      <c r="D2937" s="13">
        <v>30911.358399999801</v>
      </c>
      <c r="E2937" s="18">
        <v>10.5</v>
      </c>
      <c r="F2937" s="2">
        <f t="shared" si="90"/>
        <v>34157.051031999777</v>
      </c>
      <c r="G2937" s="3">
        <v>0</v>
      </c>
      <c r="H2937" s="4">
        <v>0.7</v>
      </c>
      <c r="I2937" s="28">
        <f t="shared" si="91"/>
        <v>58066.986754399622</v>
      </c>
    </row>
    <row r="2938" spans="1:9" ht="15.75" customHeight="1" x14ac:dyDescent="0.35">
      <c r="A2938" s="26" t="s">
        <v>4729</v>
      </c>
      <c r="B2938" s="25" t="s">
        <v>9840</v>
      </c>
      <c r="C2938" s="6" t="s">
        <v>9358</v>
      </c>
      <c r="D2938" s="13">
        <v>30911.358400000001</v>
      </c>
      <c r="E2938" s="18">
        <v>21</v>
      </c>
      <c r="F2938" s="2">
        <f t="shared" si="90"/>
        <v>37402.743664000001</v>
      </c>
      <c r="G2938" s="3">
        <v>0</v>
      </c>
      <c r="H2938" s="4">
        <v>0.7</v>
      </c>
      <c r="I2938" s="28">
        <f t="shared" si="91"/>
        <v>63584.6642288</v>
      </c>
    </row>
    <row r="2939" spans="1:9" ht="15.75" customHeight="1" x14ac:dyDescent="0.35">
      <c r="A2939" s="26" t="s">
        <v>4991</v>
      </c>
      <c r="B2939" s="25" t="s">
        <v>9841</v>
      </c>
      <c r="C2939" s="6" t="s">
        <v>491</v>
      </c>
      <c r="D2939" s="13">
        <v>25069.1700997681</v>
      </c>
      <c r="E2939" s="18">
        <v>10.5</v>
      </c>
      <c r="F2939" s="2">
        <f t="shared" si="90"/>
        <v>27701.43296024375</v>
      </c>
      <c r="G2939" s="3">
        <v>0</v>
      </c>
      <c r="H2939" s="4">
        <v>0.7</v>
      </c>
      <c r="I2939" s="28">
        <f t="shared" si="91"/>
        <v>47092.436032414371</v>
      </c>
    </row>
    <row r="2940" spans="1:9" ht="15.75" customHeight="1" x14ac:dyDescent="0.35">
      <c r="A2940" s="26" t="s">
        <v>4992</v>
      </c>
      <c r="B2940" s="25" t="s">
        <v>9842</v>
      </c>
      <c r="C2940" s="6" t="s">
        <v>492</v>
      </c>
      <c r="D2940" s="13">
        <v>25069.1700997681</v>
      </c>
      <c r="E2940" s="18">
        <v>10.5</v>
      </c>
      <c r="F2940" s="2">
        <f t="shared" si="90"/>
        <v>27701.43296024375</v>
      </c>
      <c r="G2940" s="3">
        <v>0</v>
      </c>
      <c r="H2940" s="4">
        <v>0.7</v>
      </c>
      <c r="I2940" s="28">
        <f t="shared" si="91"/>
        <v>47092.436032414371</v>
      </c>
    </row>
    <row r="2941" spans="1:9" ht="15.75" customHeight="1" x14ac:dyDescent="0.35">
      <c r="A2941" s="26" t="s">
        <v>4993</v>
      </c>
      <c r="B2941" s="25" t="s">
        <v>9843</v>
      </c>
      <c r="C2941" s="6" t="s">
        <v>493</v>
      </c>
      <c r="D2941" s="13">
        <v>25069.1700997681</v>
      </c>
      <c r="E2941" s="18">
        <v>10.5</v>
      </c>
      <c r="F2941" s="2">
        <f t="shared" si="90"/>
        <v>27701.43296024375</v>
      </c>
      <c r="G2941" s="3">
        <v>0</v>
      </c>
      <c r="H2941" s="4">
        <v>0.7</v>
      </c>
      <c r="I2941" s="28">
        <f t="shared" si="91"/>
        <v>47092.436032414371</v>
      </c>
    </row>
    <row r="2942" spans="1:9" ht="15.75" customHeight="1" x14ac:dyDescent="0.35">
      <c r="A2942" s="26" t="s">
        <v>5223</v>
      </c>
      <c r="B2942" s="25" t="s">
        <v>9844</v>
      </c>
      <c r="C2942" s="6" t="s">
        <v>1207</v>
      </c>
      <c r="D2942" s="13">
        <v>192.99860709999999</v>
      </c>
      <c r="E2942" s="18">
        <v>21</v>
      </c>
      <c r="F2942" s="2">
        <f t="shared" si="90"/>
        <v>233.52831459099997</v>
      </c>
      <c r="G2942" s="3">
        <v>0</v>
      </c>
      <c r="H2942" s="4">
        <v>0.7</v>
      </c>
      <c r="I2942" s="28">
        <f t="shared" si="91"/>
        <v>396.99813480469993</v>
      </c>
    </row>
    <row r="2943" spans="1:9" ht="15.75" customHeight="1" x14ac:dyDescent="0.35">
      <c r="A2943" s="26" t="s">
        <v>4740</v>
      </c>
      <c r="B2943" s="25" t="s">
        <v>468</v>
      </c>
      <c r="C2943" s="6" t="s">
        <v>494</v>
      </c>
      <c r="D2943" s="13">
        <v>71.714351488000005</v>
      </c>
      <c r="E2943" s="18">
        <v>21</v>
      </c>
      <c r="F2943" s="2">
        <f t="shared" si="90"/>
        <v>86.774365300480014</v>
      </c>
      <c r="G2943" s="3">
        <v>0</v>
      </c>
      <c r="H2943" s="4">
        <v>0.7</v>
      </c>
      <c r="I2943" s="28">
        <f t="shared" si="91"/>
        <v>147.51642101081603</v>
      </c>
    </row>
    <row r="2944" spans="1:9" ht="15.75" customHeight="1" x14ac:dyDescent="0.35">
      <c r="A2944" s="26" t="s">
        <v>4994</v>
      </c>
      <c r="B2944" s="25" t="s">
        <v>469</v>
      </c>
      <c r="C2944" s="6" t="s">
        <v>495</v>
      </c>
      <c r="D2944" s="13">
        <v>179.67867490127901</v>
      </c>
      <c r="E2944" s="18">
        <v>21</v>
      </c>
      <c r="F2944" s="2">
        <f t="shared" si="90"/>
        <v>217.41119663054761</v>
      </c>
      <c r="G2944" s="3">
        <v>0</v>
      </c>
      <c r="H2944" s="4">
        <v>0.7</v>
      </c>
      <c r="I2944" s="28">
        <f t="shared" si="91"/>
        <v>369.59903427193092</v>
      </c>
    </row>
    <row r="2945" spans="1:9" ht="15.75" customHeight="1" x14ac:dyDescent="0.35">
      <c r="A2945" s="26" t="s">
        <v>4871</v>
      </c>
      <c r="B2945" s="25" t="s">
        <v>470</v>
      </c>
      <c r="C2945" s="6" t="s">
        <v>496</v>
      </c>
      <c r="D2945" s="13">
        <v>122.656989</v>
      </c>
      <c r="E2945" s="18">
        <v>21</v>
      </c>
      <c r="F2945" s="2">
        <f t="shared" si="90"/>
        <v>148.41495669</v>
      </c>
      <c r="G2945" s="3">
        <v>0</v>
      </c>
      <c r="H2945" s="4">
        <v>0.7</v>
      </c>
      <c r="I2945" s="28">
        <f t="shared" si="91"/>
        <v>252.30542637299999</v>
      </c>
    </row>
    <row r="2946" spans="1:9" ht="15.75" customHeight="1" x14ac:dyDescent="0.35">
      <c r="A2946" s="26" t="s">
        <v>4741</v>
      </c>
      <c r="B2946" s="25" t="s">
        <v>11435</v>
      </c>
      <c r="C2946" s="6" t="s">
        <v>989</v>
      </c>
      <c r="D2946" s="13">
        <v>71.714351488000005</v>
      </c>
      <c r="E2946" s="18">
        <v>21</v>
      </c>
      <c r="F2946" s="2">
        <f t="shared" si="90"/>
        <v>86.774365300480014</v>
      </c>
      <c r="G2946" s="3">
        <v>0</v>
      </c>
      <c r="H2946" s="4">
        <v>0.7</v>
      </c>
      <c r="I2946" s="28">
        <f t="shared" si="91"/>
        <v>147.51642101081603</v>
      </c>
    </row>
    <row r="2947" spans="1:9" ht="15.75" customHeight="1" x14ac:dyDescent="0.35">
      <c r="A2947" s="26" t="s">
        <v>8933</v>
      </c>
      <c r="B2947" s="25" t="s">
        <v>11379</v>
      </c>
      <c r="C2947" s="6" t="s">
        <v>8934</v>
      </c>
      <c r="D2947" s="13">
        <v>192.99860709999999</v>
      </c>
      <c r="E2947" s="18">
        <v>21</v>
      </c>
      <c r="F2947" s="2">
        <f t="shared" si="90"/>
        <v>233.52831459099997</v>
      </c>
      <c r="G2947" s="3">
        <v>0</v>
      </c>
      <c r="H2947" s="4">
        <v>0.7</v>
      </c>
      <c r="I2947" s="28">
        <f t="shared" si="91"/>
        <v>396.99813480469993</v>
      </c>
    </row>
    <row r="2948" spans="1:9" ht="15.75" customHeight="1" x14ac:dyDescent="0.35">
      <c r="A2948" s="26" t="s">
        <v>4742</v>
      </c>
      <c r="B2948" s="25" t="s">
        <v>9236</v>
      </c>
      <c r="C2948" s="6" t="s">
        <v>497</v>
      </c>
      <c r="D2948" s="13">
        <v>71.714351488000005</v>
      </c>
      <c r="E2948" s="18">
        <v>21</v>
      </c>
      <c r="F2948" s="2">
        <f t="shared" si="90"/>
        <v>86.774365300480014</v>
      </c>
      <c r="G2948" s="3">
        <v>0</v>
      </c>
      <c r="H2948" s="4">
        <v>0.7</v>
      </c>
      <c r="I2948" s="28">
        <f t="shared" si="91"/>
        <v>147.51642101081603</v>
      </c>
    </row>
    <row r="2949" spans="1:9" ht="15.75" customHeight="1" x14ac:dyDescent="0.35">
      <c r="A2949" s="26" t="s">
        <v>4743</v>
      </c>
      <c r="B2949" s="25" t="s">
        <v>9237</v>
      </c>
      <c r="C2949" s="6" t="s">
        <v>498</v>
      </c>
      <c r="D2949" s="13">
        <v>71.714351488000005</v>
      </c>
      <c r="E2949" s="18">
        <v>21</v>
      </c>
      <c r="F2949" s="2">
        <f t="shared" si="90"/>
        <v>86.774365300480014</v>
      </c>
      <c r="G2949" s="3">
        <v>0</v>
      </c>
      <c r="H2949" s="4">
        <v>0.7</v>
      </c>
      <c r="I2949" s="28">
        <f t="shared" si="91"/>
        <v>147.51642101081603</v>
      </c>
    </row>
    <row r="2950" spans="1:9" ht="15.75" customHeight="1" x14ac:dyDescent="0.35">
      <c r="A2950" s="26" t="s">
        <v>4995</v>
      </c>
      <c r="B2950" s="25" t="s">
        <v>9238</v>
      </c>
      <c r="C2950" s="6" t="s">
        <v>499</v>
      </c>
      <c r="D2950" s="13">
        <v>179.67867490127901</v>
      </c>
      <c r="E2950" s="18">
        <v>21</v>
      </c>
      <c r="F2950" s="2">
        <f t="shared" ref="F2950:F3013" si="92">D2950*E2950/100+D2950</f>
        <v>217.41119663054761</v>
      </c>
      <c r="G2950" s="3">
        <v>0</v>
      </c>
      <c r="H2950" s="4">
        <v>0.7</v>
      </c>
      <c r="I2950" s="28">
        <f t="shared" ref="I2950:I3013" si="93">IF(G2950=-1,0,F2950*((100-G2950)/100)*(1+H2950))</f>
        <v>369.59903427193092</v>
      </c>
    </row>
    <row r="2951" spans="1:9" ht="15.75" customHeight="1" x14ac:dyDescent="0.35">
      <c r="A2951" s="26" t="s">
        <v>4996</v>
      </c>
      <c r="B2951" s="25" t="s">
        <v>9344</v>
      </c>
      <c r="C2951" s="6" t="s">
        <v>500</v>
      </c>
      <c r="D2951" s="13">
        <v>179.67867490127901</v>
      </c>
      <c r="E2951" s="18">
        <v>21</v>
      </c>
      <c r="F2951" s="2">
        <f t="shared" si="92"/>
        <v>217.41119663054761</v>
      </c>
      <c r="G2951" s="3">
        <v>0</v>
      </c>
      <c r="H2951" s="4">
        <v>0.7</v>
      </c>
      <c r="I2951" s="28">
        <f t="shared" si="93"/>
        <v>369.59903427193092</v>
      </c>
    </row>
    <row r="2952" spans="1:9" ht="15.75" customHeight="1" x14ac:dyDescent="0.35">
      <c r="A2952" s="26" t="s">
        <v>4744</v>
      </c>
      <c r="B2952" s="25" t="s">
        <v>9448</v>
      </c>
      <c r="C2952" s="6" t="s">
        <v>990</v>
      </c>
      <c r="D2952" s="13">
        <v>71.714351488000005</v>
      </c>
      <c r="E2952" s="18">
        <v>21</v>
      </c>
      <c r="F2952" s="2">
        <f t="shared" si="92"/>
        <v>86.774365300480014</v>
      </c>
      <c r="G2952" s="3">
        <v>0</v>
      </c>
      <c r="H2952" s="4">
        <v>0.7</v>
      </c>
      <c r="I2952" s="28">
        <f t="shared" si="93"/>
        <v>147.51642101081603</v>
      </c>
    </row>
    <row r="2953" spans="1:9" ht="15.75" customHeight="1" x14ac:dyDescent="0.35">
      <c r="A2953" s="26" t="s">
        <v>5208</v>
      </c>
      <c r="B2953" s="25" t="s">
        <v>9239</v>
      </c>
      <c r="C2953" s="6" t="s">
        <v>9845</v>
      </c>
      <c r="D2953" s="13">
        <v>1972.899731322</v>
      </c>
      <c r="E2953" s="18">
        <v>10.5</v>
      </c>
      <c r="F2953" s="2">
        <f t="shared" si="92"/>
        <v>2180.0542031108098</v>
      </c>
      <c r="G2953" s="3">
        <v>0</v>
      </c>
      <c r="H2953" s="4">
        <v>0.7</v>
      </c>
      <c r="I2953" s="28">
        <f t="shared" si="93"/>
        <v>3706.0921452883767</v>
      </c>
    </row>
    <row r="2954" spans="1:9" ht="15.75" customHeight="1" x14ac:dyDescent="0.35">
      <c r="A2954" s="26" t="s">
        <v>5132</v>
      </c>
      <c r="B2954" s="25" t="s">
        <v>9240</v>
      </c>
      <c r="C2954" s="6" t="s">
        <v>9846</v>
      </c>
      <c r="D2954" s="13">
        <v>3016.92009402949</v>
      </c>
      <c r="E2954" s="18">
        <v>10.5</v>
      </c>
      <c r="F2954" s="2">
        <f t="shared" si="92"/>
        <v>3333.6967039025863</v>
      </c>
      <c r="G2954" s="3">
        <v>0</v>
      </c>
      <c r="H2954" s="4">
        <v>0.7</v>
      </c>
      <c r="I2954" s="28">
        <f t="shared" si="93"/>
        <v>5667.2843966343962</v>
      </c>
    </row>
    <row r="2955" spans="1:9" ht="15.75" customHeight="1" x14ac:dyDescent="0.35">
      <c r="A2955" s="26" t="s">
        <v>4824</v>
      </c>
      <c r="B2955" s="25" t="s">
        <v>9345</v>
      </c>
      <c r="C2955" s="6" t="s">
        <v>9847</v>
      </c>
      <c r="D2955" s="13">
        <v>769.98744804474802</v>
      </c>
      <c r="E2955" s="18">
        <v>21</v>
      </c>
      <c r="F2955" s="2">
        <f t="shared" si="92"/>
        <v>931.68481213414509</v>
      </c>
      <c r="G2955" s="3">
        <v>0</v>
      </c>
      <c r="H2955" s="4">
        <v>0.7</v>
      </c>
      <c r="I2955" s="28">
        <f t="shared" si="93"/>
        <v>1583.8641806280466</v>
      </c>
    </row>
    <row r="2956" spans="1:9" ht="15.75" customHeight="1" x14ac:dyDescent="0.35">
      <c r="A2956" s="26" t="s">
        <v>5209</v>
      </c>
      <c r="B2956" s="25" t="s">
        <v>9346</v>
      </c>
      <c r="C2956" s="6" t="s">
        <v>9848</v>
      </c>
      <c r="D2956" s="13">
        <v>1972.899731322</v>
      </c>
      <c r="E2956" s="18">
        <v>10.5</v>
      </c>
      <c r="F2956" s="2">
        <f t="shared" si="92"/>
        <v>2180.0542031108098</v>
      </c>
      <c r="G2956" s="3">
        <v>0</v>
      </c>
      <c r="H2956" s="4">
        <v>0.7</v>
      </c>
      <c r="I2956" s="28">
        <f t="shared" si="93"/>
        <v>3706.0921452883767</v>
      </c>
    </row>
    <row r="2957" spans="1:9" ht="15.75" customHeight="1" x14ac:dyDescent="0.35">
      <c r="A2957" s="26" t="s">
        <v>5205</v>
      </c>
      <c r="B2957" s="25" t="s">
        <v>1205</v>
      </c>
      <c r="C2957" s="6" t="s">
        <v>9849</v>
      </c>
      <c r="D2957" s="13">
        <v>2320.5082844267999</v>
      </c>
      <c r="E2957" s="18">
        <v>10.5</v>
      </c>
      <c r="F2957" s="2">
        <f t="shared" si="92"/>
        <v>2564.161654291614</v>
      </c>
      <c r="G2957" s="3">
        <v>0</v>
      </c>
      <c r="H2957" s="4">
        <v>0.7</v>
      </c>
      <c r="I2957" s="28">
        <f t="shared" si="93"/>
        <v>4359.0748122957439</v>
      </c>
    </row>
    <row r="2958" spans="1:9" ht="15.75" customHeight="1" x14ac:dyDescent="0.35">
      <c r="A2958" s="26" t="s">
        <v>5130</v>
      </c>
      <c r="B2958" s="25" t="s">
        <v>1268</v>
      </c>
      <c r="C2958" s="6" t="s">
        <v>9850</v>
      </c>
      <c r="D2958" s="13">
        <v>4062.7553984640599</v>
      </c>
      <c r="E2958" s="18">
        <v>10.5</v>
      </c>
      <c r="F2958" s="2">
        <f t="shared" si="92"/>
        <v>4489.3447153027864</v>
      </c>
      <c r="G2958" s="3">
        <v>0</v>
      </c>
      <c r="H2958" s="4">
        <v>0.7</v>
      </c>
      <c r="I2958" s="28">
        <f t="shared" si="93"/>
        <v>7631.8860160147369</v>
      </c>
    </row>
    <row r="2959" spans="1:9" ht="15.75" customHeight="1" x14ac:dyDescent="0.35">
      <c r="A2959" s="26" t="s">
        <v>4822</v>
      </c>
      <c r="B2959" s="25" t="s">
        <v>968</v>
      </c>
      <c r="C2959" s="6" t="s">
        <v>9359</v>
      </c>
      <c r="D2959" s="13">
        <v>907.58163212274906</v>
      </c>
      <c r="E2959" s="18">
        <v>21</v>
      </c>
      <c r="F2959" s="2">
        <f t="shared" si="92"/>
        <v>1098.1737748685264</v>
      </c>
      <c r="G2959" s="3">
        <v>0</v>
      </c>
      <c r="H2959" s="4">
        <v>0.7</v>
      </c>
      <c r="I2959" s="28">
        <f t="shared" si="93"/>
        <v>1866.8954172764948</v>
      </c>
    </row>
    <row r="2960" spans="1:9" ht="15.75" customHeight="1" x14ac:dyDescent="0.35">
      <c r="A2960" s="26" t="s">
        <v>5206</v>
      </c>
      <c r="B2960" s="25" t="s">
        <v>969</v>
      </c>
      <c r="C2960" s="6" t="s">
        <v>9851</v>
      </c>
      <c r="D2960" s="13">
        <v>2320.5082844267999</v>
      </c>
      <c r="E2960" s="18">
        <v>10.5</v>
      </c>
      <c r="F2960" s="2">
        <f t="shared" si="92"/>
        <v>2564.161654291614</v>
      </c>
      <c r="G2960" s="3">
        <v>0</v>
      </c>
      <c r="H2960" s="4">
        <v>0.7</v>
      </c>
      <c r="I2960" s="28">
        <f t="shared" si="93"/>
        <v>4359.0748122957439</v>
      </c>
    </row>
    <row r="2961" spans="1:9" ht="15.75" customHeight="1" x14ac:dyDescent="0.35">
      <c r="A2961" s="26" t="s">
        <v>5207</v>
      </c>
      <c r="B2961" s="25" t="s">
        <v>471</v>
      </c>
      <c r="C2961" s="6" t="s">
        <v>9852</v>
      </c>
      <c r="D2961" s="13">
        <v>2320.5153732600102</v>
      </c>
      <c r="E2961" s="18">
        <v>10.5</v>
      </c>
      <c r="F2961" s="2">
        <f t="shared" si="92"/>
        <v>2564.1694874523114</v>
      </c>
      <c r="G2961" s="3">
        <v>0</v>
      </c>
      <c r="H2961" s="4">
        <v>0.7</v>
      </c>
      <c r="I2961" s="28">
        <f t="shared" si="93"/>
        <v>4359.0881286689291</v>
      </c>
    </row>
    <row r="2962" spans="1:9" ht="15.75" customHeight="1" x14ac:dyDescent="0.35">
      <c r="A2962" s="26" t="s">
        <v>5129</v>
      </c>
      <c r="B2962" s="25" t="s">
        <v>1070</v>
      </c>
      <c r="C2962" s="6" t="s">
        <v>9853</v>
      </c>
      <c r="D2962" s="13">
        <v>4062.7553984640599</v>
      </c>
      <c r="E2962" s="18">
        <v>10.5</v>
      </c>
      <c r="F2962" s="2">
        <f t="shared" si="92"/>
        <v>4489.3447153027864</v>
      </c>
      <c r="G2962" s="3">
        <v>0</v>
      </c>
      <c r="H2962" s="4">
        <v>0.7</v>
      </c>
      <c r="I2962" s="28">
        <f t="shared" si="93"/>
        <v>7631.8860160147369</v>
      </c>
    </row>
    <row r="2963" spans="1:9" ht="15.75" customHeight="1" x14ac:dyDescent="0.35">
      <c r="A2963" s="26" t="s">
        <v>5131</v>
      </c>
      <c r="B2963" s="25" t="s">
        <v>8922</v>
      </c>
      <c r="C2963" s="6" t="s">
        <v>9854</v>
      </c>
      <c r="D2963" s="13">
        <v>4062.7553984640599</v>
      </c>
      <c r="E2963" s="18">
        <v>10.5</v>
      </c>
      <c r="F2963" s="2">
        <f t="shared" si="92"/>
        <v>4489.3447153027864</v>
      </c>
      <c r="G2963" s="3">
        <v>0</v>
      </c>
      <c r="H2963" s="4">
        <v>0.7</v>
      </c>
      <c r="I2963" s="28">
        <f t="shared" si="93"/>
        <v>7631.8860160147369</v>
      </c>
    </row>
    <row r="2964" spans="1:9" ht="15.75" customHeight="1" x14ac:dyDescent="0.35">
      <c r="A2964" s="26" t="s">
        <v>4823</v>
      </c>
      <c r="B2964" s="25" t="s">
        <v>970</v>
      </c>
      <c r="C2964" s="6" t="s">
        <v>9360</v>
      </c>
      <c r="D2964" s="13">
        <v>907.58163212274906</v>
      </c>
      <c r="E2964" s="18">
        <v>21</v>
      </c>
      <c r="F2964" s="2">
        <f t="shared" si="92"/>
        <v>1098.1737748685264</v>
      </c>
      <c r="G2964" s="3">
        <v>0</v>
      </c>
      <c r="H2964" s="4">
        <v>0.7</v>
      </c>
      <c r="I2964" s="28">
        <f t="shared" si="93"/>
        <v>1866.8954172764948</v>
      </c>
    </row>
    <row r="2965" spans="1:9" ht="15.75" customHeight="1" x14ac:dyDescent="0.35">
      <c r="A2965" s="26" t="s">
        <v>5210</v>
      </c>
      <c r="B2965" s="25" t="s">
        <v>9347</v>
      </c>
      <c r="C2965" s="6" t="s">
        <v>9855</v>
      </c>
      <c r="D2965" s="13">
        <v>1972.899731322</v>
      </c>
      <c r="E2965" s="18">
        <v>10.5</v>
      </c>
      <c r="F2965" s="2">
        <f t="shared" si="92"/>
        <v>2180.0542031108098</v>
      </c>
      <c r="G2965" s="3">
        <v>0</v>
      </c>
      <c r="H2965" s="4">
        <v>0.7</v>
      </c>
      <c r="I2965" s="28">
        <f t="shared" si="93"/>
        <v>3706.0921452883767</v>
      </c>
    </row>
    <row r="2966" spans="1:9" ht="15.75" customHeight="1" x14ac:dyDescent="0.35">
      <c r="A2966" s="26" t="s">
        <v>5133</v>
      </c>
      <c r="B2966" s="25" t="s">
        <v>472</v>
      </c>
      <c r="C2966" s="6" t="s">
        <v>9856</v>
      </c>
      <c r="D2966" s="13">
        <v>3016.92009402949</v>
      </c>
      <c r="E2966" s="18">
        <v>10.5</v>
      </c>
      <c r="F2966" s="2">
        <f t="shared" si="92"/>
        <v>3333.6967039025863</v>
      </c>
      <c r="G2966" s="3">
        <v>0</v>
      </c>
      <c r="H2966" s="4">
        <v>0.7</v>
      </c>
      <c r="I2966" s="28">
        <f t="shared" si="93"/>
        <v>5667.2843966343962</v>
      </c>
    </row>
    <row r="2967" spans="1:9" ht="15.75" customHeight="1" x14ac:dyDescent="0.35">
      <c r="A2967" s="26" t="s">
        <v>5134</v>
      </c>
      <c r="B2967" s="25" t="s">
        <v>971</v>
      </c>
      <c r="C2967" s="6" t="s">
        <v>9857</v>
      </c>
      <c r="D2967" s="13">
        <v>3016.92009402949</v>
      </c>
      <c r="E2967" s="18">
        <v>10.5</v>
      </c>
      <c r="F2967" s="2">
        <f t="shared" si="92"/>
        <v>3333.6967039025863</v>
      </c>
      <c r="G2967" s="3">
        <v>0</v>
      </c>
      <c r="H2967" s="4">
        <v>0.7</v>
      </c>
      <c r="I2967" s="28">
        <f t="shared" si="93"/>
        <v>5667.2843966343962</v>
      </c>
    </row>
    <row r="2968" spans="1:9" ht="15.75" customHeight="1" x14ac:dyDescent="0.35">
      <c r="A2968" s="26" t="s">
        <v>4825</v>
      </c>
      <c r="B2968" s="25" t="s">
        <v>972</v>
      </c>
      <c r="C2968" s="6" t="s">
        <v>9858</v>
      </c>
      <c r="D2968" s="13">
        <v>769.98744804474802</v>
      </c>
      <c r="E2968" s="18">
        <v>21</v>
      </c>
      <c r="F2968" s="2">
        <f t="shared" si="92"/>
        <v>931.68481213414509</v>
      </c>
      <c r="G2968" s="3">
        <v>0</v>
      </c>
      <c r="H2968" s="4">
        <v>0.7</v>
      </c>
      <c r="I2968" s="28">
        <f t="shared" si="93"/>
        <v>1583.8641806280466</v>
      </c>
    </row>
    <row r="2969" spans="1:9" ht="15.75" customHeight="1" x14ac:dyDescent="0.35">
      <c r="A2969" s="26" t="s">
        <v>5135</v>
      </c>
      <c r="B2969" s="25" t="s">
        <v>973</v>
      </c>
      <c r="C2969" s="6" t="s">
        <v>13237</v>
      </c>
      <c r="D2969" s="13">
        <v>3332.1290516490999</v>
      </c>
      <c r="E2969" s="18">
        <v>10.5</v>
      </c>
      <c r="F2969" s="2">
        <f t="shared" si="92"/>
        <v>3682.0026020722553</v>
      </c>
      <c r="G2969" s="3">
        <v>0</v>
      </c>
      <c r="H2969" s="4">
        <v>0.7</v>
      </c>
      <c r="I2969" s="28">
        <f t="shared" si="93"/>
        <v>6259.4044235228339</v>
      </c>
    </row>
    <row r="2970" spans="1:9" ht="15.75" customHeight="1" x14ac:dyDescent="0.35">
      <c r="A2970" s="26" t="s">
        <v>5136</v>
      </c>
      <c r="B2970" s="25" t="s">
        <v>974</v>
      </c>
      <c r="C2970" s="6" t="s">
        <v>13238</v>
      </c>
      <c r="D2970" s="13">
        <v>3332.1290516490999</v>
      </c>
      <c r="E2970" s="18">
        <v>10.5</v>
      </c>
      <c r="F2970" s="2">
        <f t="shared" si="92"/>
        <v>3682.0026020722553</v>
      </c>
      <c r="G2970" s="3">
        <v>0</v>
      </c>
      <c r="H2970" s="4">
        <v>0.7</v>
      </c>
      <c r="I2970" s="28">
        <f t="shared" si="93"/>
        <v>6259.4044235228339</v>
      </c>
    </row>
    <row r="2971" spans="1:9" ht="15.75" customHeight="1" x14ac:dyDescent="0.35">
      <c r="A2971" s="26" t="s">
        <v>5137</v>
      </c>
      <c r="B2971" s="25" t="s">
        <v>10483</v>
      </c>
      <c r="C2971" s="6" t="s">
        <v>13239</v>
      </c>
      <c r="D2971" s="13">
        <v>3332.1290516490999</v>
      </c>
      <c r="E2971" s="18">
        <v>10.5</v>
      </c>
      <c r="F2971" s="2">
        <f t="shared" si="92"/>
        <v>3682.0026020722553</v>
      </c>
      <c r="G2971" s="3">
        <v>0</v>
      </c>
      <c r="H2971" s="4">
        <v>0.7</v>
      </c>
      <c r="I2971" s="28">
        <f t="shared" si="93"/>
        <v>6259.4044235228339</v>
      </c>
    </row>
    <row r="2972" spans="1:9" ht="15.75" customHeight="1" x14ac:dyDescent="0.35">
      <c r="A2972" s="26" t="s">
        <v>5144</v>
      </c>
      <c r="B2972" s="25" t="s">
        <v>10869</v>
      </c>
      <c r="C2972" s="6" t="s">
        <v>9361</v>
      </c>
      <c r="D2972" s="13">
        <v>1926.9107541684</v>
      </c>
      <c r="E2972" s="18">
        <v>21</v>
      </c>
      <c r="F2972" s="2">
        <f t="shared" si="92"/>
        <v>2331.562012543764</v>
      </c>
      <c r="G2972" s="3">
        <v>0</v>
      </c>
      <c r="H2972" s="4">
        <v>0.7</v>
      </c>
      <c r="I2972" s="28">
        <f t="shared" si="93"/>
        <v>3963.6554213243985</v>
      </c>
    </row>
    <row r="2973" spans="1:9" ht="15.75" customHeight="1" x14ac:dyDescent="0.35">
      <c r="A2973" s="26" t="s">
        <v>8935</v>
      </c>
      <c r="B2973" s="25" t="s">
        <v>9029</v>
      </c>
      <c r="C2973" s="6" t="s">
        <v>12203</v>
      </c>
      <c r="D2973" s="13">
        <v>4326.4955981000003</v>
      </c>
      <c r="E2973" s="18">
        <v>21</v>
      </c>
      <c r="F2973" s="2">
        <f t="shared" si="92"/>
        <v>5235.0596737010001</v>
      </c>
      <c r="G2973" s="3">
        <v>0</v>
      </c>
      <c r="H2973" s="4">
        <v>0.7</v>
      </c>
      <c r="I2973" s="28">
        <f t="shared" si="93"/>
        <v>8899.6014452917007</v>
      </c>
    </row>
    <row r="2974" spans="1:9" ht="15.75" customHeight="1" x14ac:dyDescent="0.35">
      <c r="A2974" s="26" t="s">
        <v>8936</v>
      </c>
      <c r="B2974" s="25" t="s">
        <v>473</v>
      </c>
      <c r="C2974" s="6" t="s">
        <v>12204</v>
      </c>
      <c r="D2974" s="13">
        <v>4140.4113737999996</v>
      </c>
      <c r="E2974" s="18">
        <v>21</v>
      </c>
      <c r="F2974" s="2">
        <f t="shared" si="92"/>
        <v>5009.8977622979992</v>
      </c>
      <c r="G2974" s="3">
        <v>0</v>
      </c>
      <c r="H2974" s="4">
        <v>0.7</v>
      </c>
      <c r="I2974" s="28">
        <f t="shared" si="93"/>
        <v>8516.8261959065985</v>
      </c>
    </row>
    <row r="2975" spans="1:9" ht="15.75" customHeight="1" x14ac:dyDescent="0.35">
      <c r="A2975" s="26" t="s">
        <v>5145</v>
      </c>
      <c r="B2975" s="25" t="s">
        <v>474</v>
      </c>
      <c r="C2975" s="6" t="s">
        <v>9362</v>
      </c>
      <c r="D2975" s="13">
        <v>1926.9107541684</v>
      </c>
      <c r="E2975" s="18">
        <v>21</v>
      </c>
      <c r="F2975" s="2">
        <f t="shared" si="92"/>
        <v>2331.562012543764</v>
      </c>
      <c r="G2975" s="3">
        <v>0</v>
      </c>
      <c r="H2975" s="4">
        <v>0.7</v>
      </c>
      <c r="I2975" s="28">
        <f t="shared" si="93"/>
        <v>3963.6554213243985</v>
      </c>
    </row>
    <row r="2976" spans="1:9" ht="15.75" customHeight="1" x14ac:dyDescent="0.35">
      <c r="A2976" s="26" t="s">
        <v>5146</v>
      </c>
      <c r="B2976" s="25" t="s">
        <v>475</v>
      </c>
      <c r="C2976" s="6" t="s">
        <v>9363</v>
      </c>
      <c r="D2976" s="13">
        <v>1926.9107541684</v>
      </c>
      <c r="E2976" s="18">
        <v>21</v>
      </c>
      <c r="F2976" s="2">
        <f t="shared" si="92"/>
        <v>2331.562012543764</v>
      </c>
      <c r="G2976" s="3">
        <v>0</v>
      </c>
      <c r="H2976" s="4">
        <v>0.7</v>
      </c>
      <c r="I2976" s="28">
        <f t="shared" si="93"/>
        <v>3963.6554213243985</v>
      </c>
    </row>
    <row r="2977" spans="1:9" ht="15.75" customHeight="1" x14ac:dyDescent="0.35">
      <c r="A2977" s="26" t="s">
        <v>5176</v>
      </c>
      <c r="B2977" s="25" t="s">
        <v>10484</v>
      </c>
      <c r="C2977" s="6" t="s">
        <v>13960</v>
      </c>
      <c r="D2977" s="13">
        <v>2203.6841362224</v>
      </c>
      <c r="E2977" s="18">
        <v>21</v>
      </c>
      <c r="F2977" s="2">
        <f t="shared" si="92"/>
        <v>2666.4578048291041</v>
      </c>
      <c r="G2977" s="3">
        <v>0</v>
      </c>
      <c r="H2977" s="4">
        <v>0.7</v>
      </c>
      <c r="I2977" s="28">
        <f t="shared" si="93"/>
        <v>4532.9782682094765</v>
      </c>
    </row>
    <row r="2978" spans="1:9" ht="15.75" customHeight="1" x14ac:dyDescent="0.35">
      <c r="A2978" s="26" t="s">
        <v>5238</v>
      </c>
      <c r="B2978" s="25" t="s">
        <v>10485</v>
      </c>
      <c r="C2978" s="6" t="s">
        <v>13961</v>
      </c>
      <c r="D2978" s="13">
        <v>3015.5860397000001</v>
      </c>
      <c r="E2978" s="18">
        <v>21</v>
      </c>
      <c r="F2978" s="2">
        <f t="shared" si="92"/>
        <v>3648.8591080370002</v>
      </c>
      <c r="G2978" s="3">
        <v>0</v>
      </c>
      <c r="H2978" s="4">
        <v>0.7</v>
      </c>
      <c r="I2978" s="28">
        <f t="shared" si="93"/>
        <v>6203.0604836629</v>
      </c>
    </row>
    <row r="2979" spans="1:9" ht="15.75" customHeight="1" x14ac:dyDescent="0.35">
      <c r="A2979" s="26" t="s">
        <v>5082</v>
      </c>
      <c r="B2979" s="25" t="s">
        <v>476</v>
      </c>
      <c r="C2979" s="6" t="s">
        <v>13562</v>
      </c>
      <c r="D2979" s="13">
        <v>3512.61822054399</v>
      </c>
      <c r="E2979" s="18">
        <v>21</v>
      </c>
      <c r="F2979" s="2">
        <f t="shared" si="92"/>
        <v>4250.2680468582275</v>
      </c>
      <c r="G2979" s="3">
        <v>0</v>
      </c>
      <c r="H2979" s="4">
        <v>0.7</v>
      </c>
      <c r="I2979" s="28">
        <f t="shared" si="93"/>
        <v>7225.4556796589868</v>
      </c>
    </row>
    <row r="2980" spans="1:9" ht="15.75" customHeight="1" x14ac:dyDescent="0.35">
      <c r="A2980" s="26" t="s">
        <v>4793</v>
      </c>
      <c r="B2980" s="25" t="s">
        <v>477</v>
      </c>
      <c r="C2980" s="6" t="s">
        <v>991</v>
      </c>
      <c r="D2980" s="13">
        <v>1177.92078092975</v>
      </c>
      <c r="E2980" s="18">
        <v>21</v>
      </c>
      <c r="F2980" s="2">
        <f t="shared" si="92"/>
        <v>1425.2841449249975</v>
      </c>
      <c r="G2980" s="3">
        <v>0</v>
      </c>
      <c r="H2980" s="4">
        <v>0.7</v>
      </c>
      <c r="I2980" s="28">
        <f t="shared" si="93"/>
        <v>2422.9830463724957</v>
      </c>
    </row>
    <row r="2981" spans="1:9" ht="15.75" customHeight="1" x14ac:dyDescent="0.35">
      <c r="A2981" s="26" t="s">
        <v>12298</v>
      </c>
      <c r="B2981" s="25" t="s">
        <v>478</v>
      </c>
      <c r="C2981" s="6" t="s">
        <v>12299</v>
      </c>
      <c r="D2981" s="13">
        <v>1237.9559205</v>
      </c>
      <c r="E2981" s="18">
        <v>21</v>
      </c>
      <c r="F2981" s="2">
        <f t="shared" si="92"/>
        <v>1497.9266638050001</v>
      </c>
      <c r="G2981" s="3">
        <v>0</v>
      </c>
      <c r="H2981" s="4">
        <v>0.7</v>
      </c>
      <c r="I2981" s="28">
        <f t="shared" si="93"/>
        <v>2546.4753284685003</v>
      </c>
    </row>
    <row r="2982" spans="1:9" ht="15.75" customHeight="1" x14ac:dyDescent="0.35">
      <c r="A2982" s="26" t="s">
        <v>4794</v>
      </c>
      <c r="B2982" s="25" t="s">
        <v>10486</v>
      </c>
      <c r="C2982" s="6" t="s">
        <v>993</v>
      </c>
      <c r="D2982" s="13">
        <v>1177.92078092975</v>
      </c>
      <c r="E2982" s="18">
        <v>21</v>
      </c>
      <c r="F2982" s="2">
        <f t="shared" si="92"/>
        <v>1425.2841449249975</v>
      </c>
      <c r="G2982" s="3">
        <v>0</v>
      </c>
      <c r="H2982" s="4">
        <v>0.7</v>
      </c>
      <c r="I2982" s="28">
        <f t="shared" si="93"/>
        <v>2422.9830463724957</v>
      </c>
    </row>
    <row r="2983" spans="1:9" ht="15.75" customHeight="1" x14ac:dyDescent="0.35">
      <c r="A2983" s="26" t="s">
        <v>9449</v>
      </c>
      <c r="B2983" s="25" t="s">
        <v>10487</v>
      </c>
      <c r="C2983" s="6" t="s">
        <v>9450</v>
      </c>
      <c r="D2983" s="13">
        <v>2292.57665</v>
      </c>
      <c r="E2983" s="18">
        <v>21</v>
      </c>
      <c r="F2983" s="2">
        <f t="shared" si="92"/>
        <v>2774.0177464999997</v>
      </c>
      <c r="G2983" s="3">
        <v>0</v>
      </c>
      <c r="H2983" s="4">
        <v>0.7</v>
      </c>
      <c r="I2983" s="28">
        <f t="shared" si="93"/>
        <v>4715.8301690499993</v>
      </c>
    </row>
    <row r="2984" spans="1:9" ht="15.75" customHeight="1" x14ac:dyDescent="0.35">
      <c r="A2984" s="26" t="s">
        <v>5177</v>
      </c>
      <c r="B2984" s="25" t="s">
        <v>8924</v>
      </c>
      <c r="C2984" s="6" t="s">
        <v>13962</v>
      </c>
      <c r="D2984" s="13">
        <v>2203.6841362224</v>
      </c>
      <c r="E2984" s="18">
        <v>21</v>
      </c>
      <c r="F2984" s="2">
        <f t="shared" si="92"/>
        <v>2666.4578048291041</v>
      </c>
      <c r="G2984" s="3">
        <v>0</v>
      </c>
      <c r="H2984" s="4">
        <v>0.7</v>
      </c>
      <c r="I2984" s="28">
        <f t="shared" si="93"/>
        <v>4532.9782682094765</v>
      </c>
    </row>
    <row r="2985" spans="1:9" ht="15.75" customHeight="1" x14ac:dyDescent="0.35">
      <c r="A2985" s="26" t="s">
        <v>8937</v>
      </c>
      <c r="B2985" s="25" t="s">
        <v>8926</v>
      </c>
      <c r="C2985" s="6" t="s">
        <v>13963</v>
      </c>
      <c r="D2985" s="13">
        <v>3015.5860397000001</v>
      </c>
      <c r="E2985" s="18">
        <v>21</v>
      </c>
      <c r="F2985" s="2">
        <f t="shared" si="92"/>
        <v>3648.8591080370002</v>
      </c>
      <c r="G2985" s="3">
        <v>0</v>
      </c>
      <c r="H2985" s="4">
        <v>0.7</v>
      </c>
      <c r="I2985" s="28">
        <f t="shared" si="93"/>
        <v>6203.0604836629</v>
      </c>
    </row>
    <row r="2986" spans="1:9" ht="15.75" customHeight="1" x14ac:dyDescent="0.35">
      <c r="A2986" s="26" t="s">
        <v>4795</v>
      </c>
      <c r="B2986" s="25" t="s">
        <v>9348</v>
      </c>
      <c r="C2986" s="6" t="s">
        <v>994</v>
      </c>
      <c r="D2986" s="13">
        <v>1177.92078092975</v>
      </c>
      <c r="E2986" s="18">
        <v>21</v>
      </c>
      <c r="F2986" s="2">
        <f t="shared" si="92"/>
        <v>1425.2841449249975</v>
      </c>
      <c r="G2986" s="3">
        <v>0</v>
      </c>
      <c r="H2986" s="4">
        <v>0.7</v>
      </c>
      <c r="I2986" s="28">
        <f t="shared" si="93"/>
        <v>2422.9830463724957</v>
      </c>
    </row>
    <row r="2987" spans="1:9" ht="15.75" customHeight="1" x14ac:dyDescent="0.35">
      <c r="A2987" s="26" t="s">
        <v>5178</v>
      </c>
      <c r="B2987" s="25" t="s">
        <v>12783</v>
      </c>
      <c r="C2987" s="6" t="s">
        <v>13964</v>
      </c>
      <c r="D2987" s="13">
        <v>2203.6841362224</v>
      </c>
      <c r="E2987" s="18">
        <v>21</v>
      </c>
      <c r="F2987" s="2">
        <f t="shared" si="92"/>
        <v>2666.4578048291041</v>
      </c>
      <c r="G2987" s="3">
        <v>0</v>
      </c>
      <c r="H2987" s="4">
        <v>0.7</v>
      </c>
      <c r="I2987" s="28">
        <f t="shared" si="93"/>
        <v>4532.9782682094765</v>
      </c>
    </row>
    <row r="2988" spans="1:9" ht="15.75" customHeight="1" x14ac:dyDescent="0.35">
      <c r="A2988" s="26" t="s">
        <v>4796</v>
      </c>
      <c r="B2988" s="25" t="s">
        <v>479</v>
      </c>
      <c r="C2988" s="6" t="s">
        <v>995</v>
      </c>
      <c r="D2988" s="13">
        <v>1177.92078092975</v>
      </c>
      <c r="E2988" s="18">
        <v>21</v>
      </c>
      <c r="F2988" s="2">
        <f t="shared" si="92"/>
        <v>1425.2841449249975</v>
      </c>
      <c r="G2988" s="3">
        <v>0</v>
      </c>
      <c r="H2988" s="4">
        <v>0.7</v>
      </c>
      <c r="I2988" s="28">
        <f t="shared" si="93"/>
        <v>2422.9830463724957</v>
      </c>
    </row>
    <row r="2989" spans="1:9" ht="15.75" customHeight="1" x14ac:dyDescent="0.35">
      <c r="A2989" s="26" t="s">
        <v>5081</v>
      </c>
      <c r="B2989" s="25" t="s">
        <v>9349</v>
      </c>
      <c r="C2989" s="6" t="s">
        <v>11003</v>
      </c>
      <c r="D2989" s="13">
        <v>3512.61822054399</v>
      </c>
      <c r="E2989" s="18">
        <v>21</v>
      </c>
      <c r="F2989" s="2">
        <f t="shared" si="92"/>
        <v>4250.2680468582275</v>
      </c>
      <c r="G2989" s="3">
        <v>0</v>
      </c>
      <c r="H2989" s="4">
        <v>0.7</v>
      </c>
      <c r="I2989" s="28">
        <f t="shared" si="93"/>
        <v>7225.4556796589868</v>
      </c>
    </row>
    <row r="2990" spans="1:9" ht="15.75" customHeight="1" x14ac:dyDescent="0.35">
      <c r="A2990" s="26" t="s">
        <v>5083</v>
      </c>
      <c r="B2990" s="25" t="s">
        <v>480</v>
      </c>
      <c r="C2990" s="6" t="s">
        <v>996</v>
      </c>
      <c r="D2990" s="13">
        <v>3512.61822054399</v>
      </c>
      <c r="E2990" s="18">
        <v>21</v>
      </c>
      <c r="F2990" s="2">
        <f t="shared" si="92"/>
        <v>4250.2680468582275</v>
      </c>
      <c r="G2990" s="3">
        <v>0</v>
      </c>
      <c r="H2990" s="4">
        <v>0.7</v>
      </c>
      <c r="I2990" s="28">
        <f t="shared" si="93"/>
        <v>7225.4556796589868</v>
      </c>
    </row>
    <row r="2991" spans="1:9" ht="15.75" customHeight="1" x14ac:dyDescent="0.35">
      <c r="A2991" s="26" t="s">
        <v>4797</v>
      </c>
      <c r="B2991" s="25" t="s">
        <v>481</v>
      </c>
      <c r="C2991" s="6" t="s">
        <v>997</v>
      </c>
      <c r="D2991" s="13">
        <v>1177.92078092975</v>
      </c>
      <c r="E2991" s="18">
        <v>21</v>
      </c>
      <c r="F2991" s="2">
        <f t="shared" si="92"/>
        <v>1425.2841449249975</v>
      </c>
      <c r="G2991" s="3">
        <v>0</v>
      </c>
      <c r="H2991" s="4">
        <v>0.7</v>
      </c>
      <c r="I2991" s="28">
        <f t="shared" si="93"/>
        <v>2422.9830463724957</v>
      </c>
    </row>
    <row r="2992" spans="1:9" ht="15.75" customHeight="1" x14ac:dyDescent="0.35">
      <c r="A2992" s="26" t="s">
        <v>5084</v>
      </c>
      <c r="B2992" s="25" t="s">
        <v>482</v>
      </c>
      <c r="C2992" s="6" t="s">
        <v>501</v>
      </c>
      <c r="D2992" s="13">
        <v>2109.72109445664</v>
      </c>
      <c r="E2992" s="18">
        <v>21</v>
      </c>
      <c r="F2992" s="2">
        <f t="shared" si="92"/>
        <v>2552.7625242925342</v>
      </c>
      <c r="G2992" s="3">
        <v>0</v>
      </c>
      <c r="H2992" s="4">
        <v>0.7</v>
      </c>
      <c r="I2992" s="28">
        <f t="shared" si="93"/>
        <v>4339.6962912973077</v>
      </c>
    </row>
    <row r="2993" spans="1:9" ht="15.75" customHeight="1" x14ac:dyDescent="0.35">
      <c r="A2993" s="26" t="s">
        <v>5239</v>
      </c>
      <c r="B2993" s="25" t="s">
        <v>9350</v>
      </c>
      <c r="C2993" s="6" t="s">
        <v>1208</v>
      </c>
      <c r="D2993" s="13">
        <v>1558.4576215</v>
      </c>
      <c r="E2993" s="18">
        <v>21</v>
      </c>
      <c r="F2993" s="2">
        <f t="shared" si="92"/>
        <v>1885.733722015</v>
      </c>
      <c r="G2993" s="3">
        <v>0</v>
      </c>
      <c r="H2993" s="4">
        <v>0.7</v>
      </c>
      <c r="I2993" s="28">
        <f t="shared" si="93"/>
        <v>3205.7473274254999</v>
      </c>
    </row>
    <row r="2994" spans="1:9" ht="15.75" customHeight="1" x14ac:dyDescent="0.35">
      <c r="A2994" s="26" t="s">
        <v>4925</v>
      </c>
      <c r="B2994" s="25" t="s">
        <v>483</v>
      </c>
      <c r="C2994" s="6" t="s">
        <v>13965</v>
      </c>
      <c r="D2994" s="13">
        <v>2053.812891</v>
      </c>
      <c r="E2994" s="18">
        <v>21</v>
      </c>
      <c r="F2994" s="2">
        <f t="shared" si="92"/>
        <v>2485.1135981100001</v>
      </c>
      <c r="G2994" s="3">
        <v>0</v>
      </c>
      <c r="H2994" s="4">
        <v>0.7</v>
      </c>
      <c r="I2994" s="28">
        <f t="shared" si="93"/>
        <v>4224.6931167869998</v>
      </c>
    </row>
    <row r="2995" spans="1:9" ht="15.75" customHeight="1" x14ac:dyDescent="0.35">
      <c r="A2995" s="26" t="s">
        <v>5179</v>
      </c>
      <c r="B2995" s="25" t="s">
        <v>484</v>
      </c>
      <c r="C2995" s="6" t="s">
        <v>11005</v>
      </c>
      <c r="D2995" s="13">
        <v>1492.5161664971999</v>
      </c>
      <c r="E2995" s="18">
        <v>21</v>
      </c>
      <c r="F2995" s="2">
        <f t="shared" si="92"/>
        <v>1805.944561461612</v>
      </c>
      <c r="G2995" s="3">
        <v>0</v>
      </c>
      <c r="H2995" s="4">
        <v>0.7</v>
      </c>
      <c r="I2995" s="28">
        <f t="shared" si="93"/>
        <v>3070.1057544847404</v>
      </c>
    </row>
    <row r="2996" spans="1:9" ht="15.75" customHeight="1" x14ac:dyDescent="0.35">
      <c r="A2996" s="26" t="s">
        <v>4798</v>
      </c>
      <c r="B2996" s="25" t="s">
        <v>9351</v>
      </c>
      <c r="C2996" s="6" t="s">
        <v>13972</v>
      </c>
      <c r="D2996" s="13">
        <v>632.13727927999901</v>
      </c>
      <c r="E2996" s="18">
        <v>21</v>
      </c>
      <c r="F2996" s="2">
        <f t="shared" si="92"/>
        <v>764.88610792879876</v>
      </c>
      <c r="G2996" s="3">
        <v>0</v>
      </c>
      <c r="H2996" s="4">
        <v>0.7</v>
      </c>
      <c r="I2996" s="28">
        <f t="shared" si="93"/>
        <v>1300.306383478958</v>
      </c>
    </row>
    <row r="2997" spans="1:9" ht="15.75" customHeight="1" x14ac:dyDescent="0.35">
      <c r="A2997" s="26" t="s">
        <v>5085</v>
      </c>
      <c r="B2997" s="25" t="s">
        <v>9352</v>
      </c>
      <c r="C2997" s="6" t="s">
        <v>502</v>
      </c>
      <c r="D2997" s="13">
        <v>1298.7721783745201</v>
      </c>
      <c r="E2997" s="18">
        <v>21</v>
      </c>
      <c r="F2997" s="2">
        <f t="shared" si="92"/>
        <v>1571.5143358331693</v>
      </c>
      <c r="G2997" s="3">
        <v>0</v>
      </c>
      <c r="H2997" s="4">
        <v>0.7</v>
      </c>
      <c r="I2997" s="28">
        <f t="shared" si="93"/>
        <v>2671.5743709163876</v>
      </c>
    </row>
    <row r="2998" spans="1:9" ht="15.75" customHeight="1" x14ac:dyDescent="0.35">
      <c r="A2998" s="26" t="s">
        <v>4803</v>
      </c>
      <c r="B2998" s="25" t="s">
        <v>485</v>
      </c>
      <c r="C2998" s="6" t="s">
        <v>13973</v>
      </c>
      <c r="D2998" s="13">
        <v>632.13727928000003</v>
      </c>
      <c r="E2998" s="18">
        <v>21</v>
      </c>
      <c r="F2998" s="2">
        <f t="shared" si="92"/>
        <v>764.88610792880002</v>
      </c>
      <c r="G2998" s="3">
        <v>0</v>
      </c>
      <c r="H2998" s="4">
        <v>0.7</v>
      </c>
      <c r="I2998" s="28">
        <f t="shared" si="93"/>
        <v>1300.30638347896</v>
      </c>
    </row>
    <row r="2999" spans="1:9" ht="15.75" customHeight="1" x14ac:dyDescent="0.35">
      <c r="A2999" s="26" t="s">
        <v>9451</v>
      </c>
      <c r="B2999" s="25" t="s">
        <v>486</v>
      </c>
      <c r="C2999" s="6" t="s">
        <v>9452</v>
      </c>
      <c r="D2999" s="13">
        <v>780.90740000000005</v>
      </c>
      <c r="E2999" s="18">
        <v>21</v>
      </c>
      <c r="F2999" s="2">
        <f t="shared" si="92"/>
        <v>944.89795400000003</v>
      </c>
      <c r="G2999" s="3">
        <v>0</v>
      </c>
      <c r="H2999" s="4">
        <v>0.7</v>
      </c>
      <c r="I2999" s="28">
        <f t="shared" si="93"/>
        <v>1606.3265217999999</v>
      </c>
    </row>
    <row r="3000" spans="1:9" ht="15.75" customHeight="1" x14ac:dyDescent="0.35">
      <c r="A3000" s="26" t="s">
        <v>5180</v>
      </c>
      <c r="B3000" s="25" t="s">
        <v>975</v>
      </c>
      <c r="C3000" s="6" t="s">
        <v>11007</v>
      </c>
      <c r="D3000" s="13">
        <v>1492.5161664971999</v>
      </c>
      <c r="E3000" s="18">
        <v>21</v>
      </c>
      <c r="F3000" s="2">
        <f t="shared" si="92"/>
        <v>1805.944561461612</v>
      </c>
      <c r="G3000" s="3">
        <v>0</v>
      </c>
      <c r="H3000" s="4">
        <v>0.7</v>
      </c>
      <c r="I3000" s="28">
        <f t="shared" si="93"/>
        <v>3070.1057544847404</v>
      </c>
    </row>
    <row r="3001" spans="1:9" ht="15.75" customHeight="1" x14ac:dyDescent="0.35">
      <c r="A3001" s="26" t="s">
        <v>4921</v>
      </c>
      <c r="B3001" s="25" t="s">
        <v>976</v>
      </c>
      <c r="C3001" s="6" t="s">
        <v>11562</v>
      </c>
      <c r="D3001" s="13">
        <v>98.634256948499996</v>
      </c>
      <c r="E3001" s="18">
        <v>21</v>
      </c>
      <c r="F3001" s="2">
        <f t="shared" si="92"/>
        <v>119.347450907685</v>
      </c>
      <c r="G3001" s="3">
        <v>0</v>
      </c>
      <c r="H3001" s="4">
        <v>0.7</v>
      </c>
      <c r="I3001" s="28">
        <f t="shared" si="93"/>
        <v>202.8906665430645</v>
      </c>
    </row>
    <row r="3002" spans="1:9" ht="15.75" customHeight="1" x14ac:dyDescent="0.35">
      <c r="A3002" s="26" t="s">
        <v>4926</v>
      </c>
      <c r="B3002" s="25" t="s">
        <v>11060</v>
      </c>
      <c r="C3002" s="6" t="s">
        <v>11008</v>
      </c>
      <c r="D3002" s="13">
        <v>1694.1420210000001</v>
      </c>
      <c r="E3002" s="18">
        <v>21</v>
      </c>
      <c r="F3002" s="2">
        <f t="shared" si="92"/>
        <v>2049.9118454100003</v>
      </c>
      <c r="G3002" s="3">
        <v>0</v>
      </c>
      <c r="H3002" s="4">
        <v>0.7</v>
      </c>
      <c r="I3002" s="28">
        <f t="shared" si="93"/>
        <v>3484.8501371970005</v>
      </c>
    </row>
    <row r="3003" spans="1:9" ht="15.75" customHeight="1" x14ac:dyDescent="0.35">
      <c r="A3003" s="26" t="s">
        <v>4799</v>
      </c>
      <c r="B3003" s="25" t="s">
        <v>977</v>
      </c>
      <c r="C3003" s="6" t="s">
        <v>999</v>
      </c>
      <c r="D3003" s="13">
        <v>632.13727927999901</v>
      </c>
      <c r="E3003" s="18">
        <v>21</v>
      </c>
      <c r="F3003" s="2">
        <f t="shared" si="92"/>
        <v>764.88610792879876</v>
      </c>
      <c r="G3003" s="3">
        <v>0</v>
      </c>
      <c r="H3003" s="4">
        <v>0.7</v>
      </c>
      <c r="I3003" s="28">
        <f t="shared" si="93"/>
        <v>1300.306383478958</v>
      </c>
    </row>
    <row r="3004" spans="1:9" ht="15.75" customHeight="1" x14ac:dyDescent="0.35">
      <c r="A3004" s="26" t="s">
        <v>5181</v>
      </c>
      <c r="B3004" s="25" t="s">
        <v>13065</v>
      </c>
      <c r="C3004" s="6" t="s">
        <v>11009</v>
      </c>
      <c r="D3004" s="13">
        <v>1492.5161664971999</v>
      </c>
      <c r="E3004" s="18">
        <v>21</v>
      </c>
      <c r="F3004" s="2">
        <f t="shared" si="92"/>
        <v>1805.944561461612</v>
      </c>
      <c r="G3004" s="3">
        <v>0</v>
      </c>
      <c r="H3004" s="4">
        <v>0.7</v>
      </c>
      <c r="I3004" s="28">
        <f t="shared" si="93"/>
        <v>3070.1057544847404</v>
      </c>
    </row>
    <row r="3005" spans="1:9" ht="15.75" customHeight="1" x14ac:dyDescent="0.35">
      <c r="A3005" s="26" t="s">
        <v>4922</v>
      </c>
      <c r="B3005" s="25" t="s">
        <v>13174</v>
      </c>
      <c r="C3005" s="6" t="s">
        <v>503</v>
      </c>
      <c r="D3005" s="13">
        <v>286.83359914487698</v>
      </c>
      <c r="E3005" s="18">
        <v>21</v>
      </c>
      <c r="F3005" s="2">
        <f t="shared" si="92"/>
        <v>347.06865496530116</v>
      </c>
      <c r="G3005" s="3">
        <v>0</v>
      </c>
      <c r="H3005" s="4">
        <v>0.7</v>
      </c>
      <c r="I3005" s="28">
        <f t="shared" si="93"/>
        <v>590.01671344101192</v>
      </c>
    </row>
    <row r="3006" spans="1:9" ht="15.75" customHeight="1" x14ac:dyDescent="0.35">
      <c r="A3006" s="26" t="s">
        <v>4800</v>
      </c>
      <c r="B3006" s="25" t="s">
        <v>9241</v>
      </c>
      <c r="C3006" s="6" t="s">
        <v>1000</v>
      </c>
      <c r="D3006" s="13">
        <v>632.13727927999901</v>
      </c>
      <c r="E3006" s="18">
        <v>21</v>
      </c>
      <c r="F3006" s="2">
        <f t="shared" si="92"/>
        <v>764.88610792879876</v>
      </c>
      <c r="G3006" s="3">
        <v>0</v>
      </c>
      <c r="H3006" s="4">
        <v>0.7</v>
      </c>
      <c r="I3006" s="28">
        <f t="shared" si="93"/>
        <v>1300.306383478958</v>
      </c>
    </row>
    <row r="3007" spans="1:9" ht="15.75" customHeight="1" x14ac:dyDescent="0.35">
      <c r="A3007" s="26" t="s">
        <v>5088</v>
      </c>
      <c r="B3007" s="25" t="s">
        <v>9242</v>
      </c>
      <c r="C3007" s="6" t="s">
        <v>11010</v>
      </c>
      <c r="D3007" s="13">
        <v>843.35952508938999</v>
      </c>
      <c r="E3007" s="18">
        <v>21</v>
      </c>
      <c r="F3007" s="2">
        <f t="shared" si="92"/>
        <v>1020.4650253581619</v>
      </c>
      <c r="G3007" s="3">
        <v>0</v>
      </c>
      <c r="H3007" s="4">
        <v>0.7</v>
      </c>
      <c r="I3007" s="28">
        <f t="shared" si="93"/>
        <v>1734.7905431088752</v>
      </c>
    </row>
    <row r="3008" spans="1:9" ht="15.75" customHeight="1" x14ac:dyDescent="0.35">
      <c r="A3008" s="26" t="s">
        <v>5086</v>
      </c>
      <c r="B3008" s="25" t="s">
        <v>9353</v>
      </c>
      <c r="C3008" s="6" t="s">
        <v>504</v>
      </c>
      <c r="D3008" s="13">
        <v>1298.7721783745201</v>
      </c>
      <c r="E3008" s="18">
        <v>21</v>
      </c>
      <c r="F3008" s="2">
        <f t="shared" si="92"/>
        <v>1571.5143358331693</v>
      </c>
      <c r="G3008" s="3">
        <v>0</v>
      </c>
      <c r="H3008" s="4">
        <v>0.7</v>
      </c>
      <c r="I3008" s="28">
        <f t="shared" si="93"/>
        <v>2671.5743709163876</v>
      </c>
    </row>
    <row r="3009" spans="1:9" ht="15.75" customHeight="1" x14ac:dyDescent="0.35">
      <c r="A3009" s="26" t="s">
        <v>4806</v>
      </c>
      <c r="B3009" s="25" t="s">
        <v>9354</v>
      </c>
      <c r="C3009" s="6" t="s">
        <v>11011</v>
      </c>
      <c r="D3009" s="13">
        <v>764.12877964800305</v>
      </c>
      <c r="E3009" s="18">
        <v>21</v>
      </c>
      <c r="F3009" s="2">
        <f t="shared" si="92"/>
        <v>924.59582337408369</v>
      </c>
      <c r="G3009" s="3">
        <v>0</v>
      </c>
      <c r="H3009" s="4">
        <v>0.7</v>
      </c>
      <c r="I3009" s="28">
        <f t="shared" si="93"/>
        <v>1571.8128997359422</v>
      </c>
    </row>
    <row r="3010" spans="1:9" ht="15.75" customHeight="1" x14ac:dyDescent="0.35">
      <c r="A3010" s="26" t="s">
        <v>4997</v>
      </c>
      <c r="B3010" s="25" t="s">
        <v>9355</v>
      </c>
      <c r="C3010" s="6" t="s">
        <v>505</v>
      </c>
      <c r="D3010" s="13">
        <v>4692.5562924693804</v>
      </c>
      <c r="E3010" s="18">
        <v>21</v>
      </c>
      <c r="F3010" s="2">
        <f t="shared" si="92"/>
        <v>5677.9931138879501</v>
      </c>
      <c r="G3010" s="3">
        <v>0</v>
      </c>
      <c r="H3010" s="4">
        <v>0.7</v>
      </c>
      <c r="I3010" s="28">
        <f t="shared" si="93"/>
        <v>9652.5882936095149</v>
      </c>
    </row>
    <row r="3011" spans="1:9" ht="15.75" customHeight="1" x14ac:dyDescent="0.35">
      <c r="A3011" s="26" t="s">
        <v>8939</v>
      </c>
      <c r="B3011" s="25" t="s">
        <v>1269</v>
      </c>
      <c r="C3011" s="6" t="s">
        <v>8940</v>
      </c>
      <c r="D3011" s="13">
        <v>1558.4576215</v>
      </c>
      <c r="E3011" s="18">
        <v>21</v>
      </c>
      <c r="F3011" s="2">
        <f t="shared" si="92"/>
        <v>1885.733722015</v>
      </c>
      <c r="G3011" s="3">
        <v>0</v>
      </c>
      <c r="H3011" s="4">
        <v>0.7</v>
      </c>
      <c r="I3011" s="28">
        <f t="shared" si="93"/>
        <v>3205.7473274254999</v>
      </c>
    </row>
    <row r="3012" spans="1:9" ht="15.75" customHeight="1" x14ac:dyDescent="0.35">
      <c r="A3012" s="26" t="s">
        <v>4745</v>
      </c>
      <c r="B3012" s="25" t="s">
        <v>487</v>
      </c>
      <c r="C3012" s="6" t="s">
        <v>506</v>
      </c>
      <c r="D3012" s="13">
        <v>7260.4598609919803</v>
      </c>
      <c r="E3012" s="18">
        <v>21</v>
      </c>
      <c r="F3012" s="2">
        <f t="shared" si="92"/>
        <v>8785.1564318002966</v>
      </c>
      <c r="G3012" s="3">
        <v>0</v>
      </c>
      <c r="H3012" s="4">
        <v>0.7</v>
      </c>
      <c r="I3012" s="28">
        <f t="shared" si="93"/>
        <v>14934.765934060504</v>
      </c>
    </row>
    <row r="3013" spans="1:9" ht="15.75" customHeight="1" x14ac:dyDescent="0.35">
      <c r="A3013" s="26" t="s">
        <v>4998</v>
      </c>
      <c r="B3013" s="25" t="s">
        <v>978</v>
      </c>
      <c r="C3013" s="6" t="s">
        <v>507</v>
      </c>
      <c r="D3013" s="13">
        <v>6307.3113195025098</v>
      </c>
      <c r="E3013" s="18">
        <v>21</v>
      </c>
      <c r="F3013" s="2">
        <f t="shared" si="92"/>
        <v>7631.8466965980369</v>
      </c>
      <c r="G3013" s="3">
        <v>0</v>
      </c>
      <c r="H3013" s="4">
        <v>0.7</v>
      </c>
      <c r="I3013" s="28">
        <f t="shared" si="93"/>
        <v>12974.139384216662</v>
      </c>
    </row>
    <row r="3014" spans="1:9" ht="15.75" customHeight="1" x14ac:dyDescent="0.35">
      <c r="A3014" s="26" t="s">
        <v>4872</v>
      </c>
      <c r="B3014" s="25" t="s">
        <v>488</v>
      </c>
      <c r="C3014" s="6" t="s">
        <v>508</v>
      </c>
      <c r="D3014" s="13">
        <v>7421.2089509999996</v>
      </c>
      <c r="E3014" s="18">
        <v>21</v>
      </c>
      <c r="F3014" s="2">
        <f t="shared" ref="F3014:F3077" si="94">D3014*E3014/100+D3014</f>
        <v>8979.66283071</v>
      </c>
      <c r="G3014" s="3">
        <v>0</v>
      </c>
      <c r="H3014" s="4">
        <v>0.7</v>
      </c>
      <c r="I3014" s="28">
        <f t="shared" ref="I3014:I3077" si="95">IF(G3014=-1,0,F3014*((100-G3014)/100)*(1+H3014))</f>
        <v>15265.426812206999</v>
      </c>
    </row>
    <row r="3015" spans="1:9" ht="15.75" customHeight="1" x14ac:dyDescent="0.35">
      <c r="A3015" s="26" t="s">
        <v>4999</v>
      </c>
      <c r="B3015" s="25" t="s">
        <v>979</v>
      </c>
      <c r="C3015" s="6" t="s">
        <v>509</v>
      </c>
      <c r="D3015" s="13">
        <v>6307.3113195025098</v>
      </c>
      <c r="E3015" s="18">
        <v>21</v>
      </c>
      <c r="F3015" s="2">
        <f t="shared" si="94"/>
        <v>7631.8466965980369</v>
      </c>
      <c r="G3015" s="3">
        <v>0</v>
      </c>
      <c r="H3015" s="4">
        <v>0.7</v>
      </c>
      <c r="I3015" s="28">
        <f t="shared" si="95"/>
        <v>12974.139384216662</v>
      </c>
    </row>
    <row r="3016" spans="1:9" ht="15.75" customHeight="1" x14ac:dyDescent="0.35">
      <c r="A3016" s="26" t="s">
        <v>5000</v>
      </c>
      <c r="B3016" s="25" t="s">
        <v>9356</v>
      </c>
      <c r="C3016" s="6" t="s">
        <v>510</v>
      </c>
      <c r="D3016" s="13">
        <v>6307.3113195025098</v>
      </c>
      <c r="E3016" s="18">
        <v>21</v>
      </c>
      <c r="F3016" s="2">
        <f t="shared" si="94"/>
        <v>7631.8466965980369</v>
      </c>
      <c r="G3016" s="3">
        <v>0</v>
      </c>
      <c r="H3016" s="4">
        <v>0.7</v>
      </c>
      <c r="I3016" s="28">
        <f t="shared" si="95"/>
        <v>12974.139384216662</v>
      </c>
    </row>
    <row r="3017" spans="1:9" ht="15.75" customHeight="1" x14ac:dyDescent="0.35">
      <c r="A3017" s="26" t="s">
        <v>5089</v>
      </c>
      <c r="B3017" s="25" t="s">
        <v>8928</v>
      </c>
      <c r="C3017" s="6" t="s">
        <v>511</v>
      </c>
      <c r="D3017" s="13">
        <v>3611.8069983859</v>
      </c>
      <c r="E3017" s="18">
        <v>21</v>
      </c>
      <c r="F3017" s="2">
        <f t="shared" si="94"/>
        <v>4370.2864680469393</v>
      </c>
      <c r="G3017" s="3">
        <v>0</v>
      </c>
      <c r="H3017" s="4">
        <v>0.7</v>
      </c>
      <c r="I3017" s="28">
        <f t="shared" si="95"/>
        <v>7429.4869956797966</v>
      </c>
    </row>
    <row r="3018" spans="1:9" ht="15.75" customHeight="1" x14ac:dyDescent="0.35">
      <c r="A3018" s="26" t="s">
        <v>4807</v>
      </c>
      <c r="B3018" s="25" t="s">
        <v>489</v>
      </c>
      <c r="C3018" s="6" t="s">
        <v>11635</v>
      </c>
      <c r="D3018" s="13">
        <v>1672.11129345001</v>
      </c>
      <c r="E3018" s="18">
        <v>21</v>
      </c>
      <c r="F3018" s="2">
        <f t="shared" si="94"/>
        <v>2023.2546650745121</v>
      </c>
      <c r="G3018" s="3">
        <v>0</v>
      </c>
      <c r="H3018" s="4">
        <v>0.7</v>
      </c>
      <c r="I3018" s="28">
        <f t="shared" si="95"/>
        <v>3439.5329306266703</v>
      </c>
    </row>
    <row r="3019" spans="1:9" ht="15.75" customHeight="1" x14ac:dyDescent="0.35">
      <c r="A3019" s="26" t="s">
        <v>5182</v>
      </c>
      <c r="B3019" s="25" t="s">
        <v>9357</v>
      </c>
      <c r="C3019" s="6" t="s">
        <v>11013</v>
      </c>
      <c r="D3019" s="13">
        <v>3847.885334046</v>
      </c>
      <c r="E3019" s="18">
        <v>21</v>
      </c>
      <c r="F3019" s="2">
        <f t="shared" si="94"/>
        <v>4655.9412541956599</v>
      </c>
      <c r="G3019" s="3">
        <v>0</v>
      </c>
      <c r="H3019" s="4">
        <v>0.7</v>
      </c>
      <c r="I3019" s="28">
        <f t="shared" si="95"/>
        <v>7915.1001321326212</v>
      </c>
    </row>
    <row r="3020" spans="1:9" ht="15.75" customHeight="1" x14ac:dyDescent="0.35">
      <c r="A3020" s="26" t="s">
        <v>5183</v>
      </c>
      <c r="B3020" s="25" t="s">
        <v>490</v>
      </c>
      <c r="C3020" s="6" t="s">
        <v>11014</v>
      </c>
      <c r="D3020" s="13">
        <v>3847.885334046</v>
      </c>
      <c r="E3020" s="18">
        <v>21</v>
      </c>
      <c r="F3020" s="2">
        <f t="shared" si="94"/>
        <v>4655.9412541956599</v>
      </c>
      <c r="G3020" s="3">
        <v>0</v>
      </c>
      <c r="H3020" s="4">
        <v>0.7</v>
      </c>
      <c r="I3020" s="28">
        <f t="shared" si="95"/>
        <v>7915.1001321326212</v>
      </c>
    </row>
    <row r="3021" spans="1:9" ht="15.75" customHeight="1" x14ac:dyDescent="0.35">
      <c r="A3021" s="26" t="s">
        <v>5184</v>
      </c>
      <c r="B3021" s="25" t="s">
        <v>980</v>
      </c>
      <c r="C3021" s="6" t="s">
        <v>11015</v>
      </c>
      <c r="D3021" s="13">
        <v>3847.885334046</v>
      </c>
      <c r="E3021" s="18">
        <v>21</v>
      </c>
      <c r="F3021" s="2">
        <f t="shared" si="94"/>
        <v>4655.9412541956599</v>
      </c>
      <c r="G3021" s="3">
        <v>0</v>
      </c>
      <c r="H3021" s="4">
        <v>0.7</v>
      </c>
      <c r="I3021" s="28">
        <f t="shared" si="95"/>
        <v>7915.1001321326212</v>
      </c>
    </row>
    <row r="3022" spans="1:9" ht="15.75" customHeight="1" x14ac:dyDescent="0.35">
      <c r="A3022" s="26" t="s">
        <v>5240</v>
      </c>
      <c r="B3022" s="25" t="s">
        <v>981</v>
      </c>
      <c r="C3022" s="6" t="s">
        <v>8941</v>
      </c>
      <c r="D3022" s="13">
        <v>4613.8432314000001</v>
      </c>
      <c r="E3022" s="18">
        <v>21</v>
      </c>
      <c r="F3022" s="2">
        <f t="shared" si="94"/>
        <v>5582.7503099940004</v>
      </c>
      <c r="G3022" s="3">
        <v>0</v>
      </c>
      <c r="H3022" s="4">
        <v>0.7</v>
      </c>
      <c r="I3022" s="28">
        <f t="shared" si="95"/>
        <v>9490.6755269898003</v>
      </c>
    </row>
    <row r="3023" spans="1:9" ht="15.75" customHeight="1" x14ac:dyDescent="0.35">
      <c r="A3023" s="26" t="s">
        <v>8942</v>
      </c>
      <c r="B3023" s="25" t="s">
        <v>982</v>
      </c>
      <c r="C3023" s="6" t="s">
        <v>8943</v>
      </c>
      <c r="D3023" s="13">
        <v>3861.5739341399999</v>
      </c>
      <c r="E3023" s="18">
        <v>21</v>
      </c>
      <c r="F3023" s="2">
        <f t="shared" si="94"/>
        <v>4672.5044603094002</v>
      </c>
      <c r="G3023" s="3">
        <v>0</v>
      </c>
      <c r="H3023" s="4">
        <v>0.7</v>
      </c>
      <c r="I3023" s="28">
        <f t="shared" si="95"/>
        <v>7943.2575825259801</v>
      </c>
    </row>
    <row r="3024" spans="1:9" ht="15.75" customHeight="1" x14ac:dyDescent="0.35">
      <c r="A3024" s="26" t="s">
        <v>5185</v>
      </c>
      <c r="B3024" s="25" t="s">
        <v>8930</v>
      </c>
      <c r="C3024" s="6" t="s">
        <v>9367</v>
      </c>
      <c r="D3024" s="13">
        <v>3847.885334046</v>
      </c>
      <c r="E3024" s="18">
        <v>21</v>
      </c>
      <c r="F3024" s="2">
        <f t="shared" si="94"/>
        <v>4655.9412541956599</v>
      </c>
      <c r="G3024" s="3">
        <v>0</v>
      </c>
      <c r="H3024" s="4">
        <v>0.7</v>
      </c>
      <c r="I3024" s="28">
        <f t="shared" si="95"/>
        <v>7915.1001321326212</v>
      </c>
    </row>
    <row r="3025" spans="1:9" ht="15.75" customHeight="1" x14ac:dyDescent="0.35">
      <c r="A3025" s="26" t="s">
        <v>5186</v>
      </c>
      <c r="B3025" s="25" t="s">
        <v>8932</v>
      </c>
      <c r="C3025" s="6" t="s">
        <v>9368</v>
      </c>
      <c r="D3025" s="13">
        <v>3847.885334046</v>
      </c>
      <c r="E3025" s="18">
        <v>21</v>
      </c>
      <c r="F3025" s="2">
        <f t="shared" si="94"/>
        <v>4655.9412541956599</v>
      </c>
      <c r="G3025" s="3">
        <v>0</v>
      </c>
      <c r="H3025" s="4">
        <v>0.7</v>
      </c>
      <c r="I3025" s="28">
        <f t="shared" si="95"/>
        <v>7915.1001321326212</v>
      </c>
    </row>
    <row r="3026" spans="1:9" ht="15.75" customHeight="1" x14ac:dyDescent="0.35">
      <c r="A3026" s="26" t="s">
        <v>5187</v>
      </c>
      <c r="B3026" s="25" t="s">
        <v>12784</v>
      </c>
      <c r="C3026" s="6" t="s">
        <v>9369</v>
      </c>
      <c r="D3026" s="13">
        <v>3847.8748468016001</v>
      </c>
      <c r="E3026" s="18">
        <v>21</v>
      </c>
      <c r="F3026" s="2">
        <f t="shared" si="94"/>
        <v>4655.9285646299359</v>
      </c>
      <c r="G3026" s="3">
        <v>0</v>
      </c>
      <c r="H3026" s="4">
        <v>0.7</v>
      </c>
      <c r="I3026" s="28">
        <f t="shared" si="95"/>
        <v>7915.0785598708908</v>
      </c>
    </row>
    <row r="3027" spans="1:9" ht="15.75" customHeight="1" x14ac:dyDescent="0.35">
      <c r="A3027" s="26" t="s">
        <v>5090</v>
      </c>
      <c r="B3027" s="25" t="s">
        <v>10019</v>
      </c>
      <c r="C3027" s="6" t="s">
        <v>512</v>
      </c>
      <c r="D3027" s="13">
        <v>3611.8069983859</v>
      </c>
      <c r="E3027" s="18">
        <v>21</v>
      </c>
      <c r="F3027" s="2">
        <f t="shared" si="94"/>
        <v>4370.2864680469393</v>
      </c>
      <c r="G3027" s="3">
        <v>0</v>
      </c>
      <c r="H3027" s="4">
        <v>0.7</v>
      </c>
      <c r="I3027" s="28">
        <f t="shared" si="95"/>
        <v>7429.4869956797966</v>
      </c>
    </row>
    <row r="3028" spans="1:9" ht="15.75" customHeight="1" x14ac:dyDescent="0.35">
      <c r="A3028" s="26" t="s">
        <v>5091</v>
      </c>
      <c r="B3028" s="25" t="s">
        <v>11001</v>
      </c>
      <c r="C3028" s="6" t="s">
        <v>513</v>
      </c>
      <c r="D3028" s="13">
        <v>3611.8069983859</v>
      </c>
      <c r="E3028" s="18">
        <v>21</v>
      </c>
      <c r="F3028" s="2">
        <f t="shared" si="94"/>
        <v>4370.2864680469393</v>
      </c>
      <c r="G3028" s="3">
        <v>0</v>
      </c>
      <c r="H3028" s="4">
        <v>0.7</v>
      </c>
      <c r="I3028" s="28">
        <f t="shared" si="95"/>
        <v>7429.4869956797966</v>
      </c>
    </row>
    <row r="3029" spans="1:9" ht="15.75" customHeight="1" x14ac:dyDescent="0.35">
      <c r="A3029" s="26" t="s">
        <v>4808</v>
      </c>
      <c r="B3029" s="25" t="s">
        <v>1206</v>
      </c>
      <c r="C3029" s="6" t="s">
        <v>10489</v>
      </c>
      <c r="D3029" s="13">
        <v>1672.11129345001</v>
      </c>
      <c r="E3029" s="18">
        <v>21</v>
      </c>
      <c r="F3029" s="2">
        <f t="shared" si="94"/>
        <v>2023.2546650745121</v>
      </c>
      <c r="G3029" s="3">
        <v>0</v>
      </c>
      <c r="H3029" s="4">
        <v>0.7</v>
      </c>
      <c r="I3029" s="28">
        <f t="shared" si="95"/>
        <v>3439.5329306266703</v>
      </c>
    </row>
    <row r="3030" spans="1:9" ht="15.75" customHeight="1" x14ac:dyDescent="0.35">
      <c r="A3030" s="26" t="s">
        <v>4802</v>
      </c>
      <c r="B3030" s="25" t="s">
        <v>983</v>
      </c>
      <c r="C3030" s="6" t="s">
        <v>13108</v>
      </c>
      <c r="D3030" s="13">
        <v>1672.11129345001</v>
      </c>
      <c r="E3030" s="18">
        <v>21</v>
      </c>
      <c r="F3030" s="2">
        <f t="shared" si="94"/>
        <v>2023.2546650745121</v>
      </c>
      <c r="G3030" s="3">
        <v>0</v>
      </c>
      <c r="H3030" s="4">
        <v>0.7</v>
      </c>
      <c r="I3030" s="28">
        <f t="shared" si="95"/>
        <v>3439.5329306266703</v>
      </c>
    </row>
    <row r="3031" spans="1:9" ht="15.75" customHeight="1" x14ac:dyDescent="0.35">
      <c r="A3031" s="26" t="s">
        <v>5092</v>
      </c>
      <c r="B3031" s="25" t="s">
        <v>984</v>
      </c>
      <c r="C3031" s="6" t="s">
        <v>514</v>
      </c>
      <c r="D3031" s="13">
        <v>2070.8853596771701</v>
      </c>
      <c r="E3031" s="18">
        <v>21</v>
      </c>
      <c r="F3031" s="2">
        <f t="shared" si="94"/>
        <v>2505.7712852093759</v>
      </c>
      <c r="G3031" s="3">
        <v>0</v>
      </c>
      <c r="H3031" s="4">
        <v>0.7</v>
      </c>
      <c r="I3031" s="28">
        <f t="shared" si="95"/>
        <v>4259.8111848559392</v>
      </c>
    </row>
    <row r="3032" spans="1:9" ht="15.75" customHeight="1" x14ac:dyDescent="0.35">
      <c r="A3032" s="26" t="s">
        <v>5093</v>
      </c>
      <c r="B3032" s="25" t="s">
        <v>985</v>
      </c>
      <c r="C3032" s="6" t="s">
        <v>515</v>
      </c>
      <c r="D3032" s="13">
        <v>2070.8853596771701</v>
      </c>
      <c r="E3032" s="18">
        <v>21</v>
      </c>
      <c r="F3032" s="2">
        <f t="shared" si="94"/>
        <v>2505.7712852093759</v>
      </c>
      <c r="G3032" s="3">
        <v>0</v>
      </c>
      <c r="H3032" s="4">
        <v>0.7</v>
      </c>
      <c r="I3032" s="28">
        <f t="shared" si="95"/>
        <v>4259.8111848559392</v>
      </c>
    </row>
    <row r="3033" spans="1:9" ht="15.75" customHeight="1" x14ac:dyDescent="0.35">
      <c r="A3033" s="26" t="s">
        <v>5095</v>
      </c>
      <c r="B3033" s="25" t="s">
        <v>9527</v>
      </c>
      <c r="C3033" s="6" t="s">
        <v>516</v>
      </c>
      <c r="D3033" s="13">
        <v>1605.1859689146099</v>
      </c>
      <c r="E3033" s="18">
        <v>21</v>
      </c>
      <c r="F3033" s="2">
        <f t="shared" si="94"/>
        <v>1942.2750223866781</v>
      </c>
      <c r="G3033" s="3">
        <v>0</v>
      </c>
      <c r="H3033" s="4">
        <v>0.7</v>
      </c>
      <c r="I3033" s="28">
        <f t="shared" si="95"/>
        <v>3301.8675380573527</v>
      </c>
    </row>
    <row r="3034" spans="1:9" ht="15.75" customHeight="1" x14ac:dyDescent="0.35">
      <c r="A3034" s="26" t="s">
        <v>5094</v>
      </c>
      <c r="B3034" s="25" t="s">
        <v>1195</v>
      </c>
      <c r="C3034" s="6" t="s">
        <v>11301</v>
      </c>
      <c r="D3034" s="13">
        <v>2070.8853596771701</v>
      </c>
      <c r="E3034" s="18">
        <v>21</v>
      </c>
      <c r="F3034" s="2">
        <f t="shared" si="94"/>
        <v>2505.7712852093759</v>
      </c>
      <c r="G3034" s="3">
        <v>0</v>
      </c>
      <c r="H3034" s="4">
        <v>0.7</v>
      </c>
      <c r="I3034" s="28">
        <f t="shared" si="95"/>
        <v>4259.8111848559392</v>
      </c>
    </row>
    <row r="3035" spans="1:9" ht="15.75" customHeight="1" x14ac:dyDescent="0.35">
      <c r="A3035" s="26" t="s">
        <v>5096</v>
      </c>
      <c r="B3035" s="25" t="s">
        <v>986</v>
      </c>
      <c r="C3035" s="6" t="s">
        <v>517</v>
      </c>
      <c r="D3035" s="13">
        <v>1605.1859689146099</v>
      </c>
      <c r="E3035" s="18">
        <v>21</v>
      </c>
      <c r="F3035" s="2">
        <f t="shared" si="94"/>
        <v>1942.2750223866781</v>
      </c>
      <c r="G3035" s="3">
        <v>0</v>
      </c>
      <c r="H3035" s="4">
        <v>0.7</v>
      </c>
      <c r="I3035" s="28">
        <f t="shared" si="95"/>
        <v>3301.8675380573527</v>
      </c>
    </row>
    <row r="3036" spans="1:9" ht="15.75" customHeight="1" x14ac:dyDescent="0.35">
      <c r="A3036" s="26" t="s">
        <v>4809</v>
      </c>
      <c r="B3036" s="25" t="s">
        <v>987</v>
      </c>
      <c r="C3036" s="6" t="s">
        <v>10490</v>
      </c>
      <c r="D3036" s="13">
        <v>764.12877964800305</v>
      </c>
      <c r="E3036" s="18">
        <v>21</v>
      </c>
      <c r="F3036" s="2">
        <f t="shared" si="94"/>
        <v>924.59582337408369</v>
      </c>
      <c r="G3036" s="3">
        <v>0</v>
      </c>
      <c r="H3036" s="4">
        <v>0.7</v>
      </c>
      <c r="I3036" s="28">
        <f t="shared" si="95"/>
        <v>1571.8128997359422</v>
      </c>
    </row>
    <row r="3037" spans="1:9" ht="15.75" customHeight="1" x14ac:dyDescent="0.35">
      <c r="A3037" s="26" t="s">
        <v>5188</v>
      </c>
      <c r="B3037" s="25" t="s">
        <v>988</v>
      </c>
      <c r="C3037" s="6" t="s">
        <v>9370</v>
      </c>
      <c r="D3037" s="13">
        <v>1492.5050499692099</v>
      </c>
      <c r="E3037" s="18">
        <v>21</v>
      </c>
      <c r="F3037" s="2">
        <f t="shared" si="94"/>
        <v>1805.9311104627441</v>
      </c>
      <c r="G3037" s="3">
        <v>0</v>
      </c>
      <c r="H3037" s="4">
        <v>0.7</v>
      </c>
      <c r="I3037" s="28">
        <f t="shared" si="95"/>
        <v>3070.0828877866647</v>
      </c>
    </row>
    <row r="3038" spans="1:9" ht="15.75" customHeight="1" x14ac:dyDescent="0.35">
      <c r="A3038" s="26" t="s">
        <v>5189</v>
      </c>
      <c r="B3038" s="25" t="s">
        <v>1071</v>
      </c>
      <c r="C3038" s="6" t="s">
        <v>9371</v>
      </c>
      <c r="D3038" s="13">
        <v>1492.5050499692099</v>
      </c>
      <c r="E3038" s="18">
        <v>21</v>
      </c>
      <c r="F3038" s="2">
        <f t="shared" si="94"/>
        <v>1805.9311104627441</v>
      </c>
      <c r="G3038" s="3">
        <v>0</v>
      </c>
      <c r="H3038" s="4">
        <v>0.7</v>
      </c>
      <c r="I3038" s="28">
        <f t="shared" si="95"/>
        <v>3070.0828877866647</v>
      </c>
    </row>
    <row r="3039" spans="1:9" ht="15.75" customHeight="1" x14ac:dyDescent="0.35">
      <c r="A3039" s="26" t="s">
        <v>5190</v>
      </c>
      <c r="B3039" s="25" t="s">
        <v>13067</v>
      </c>
      <c r="C3039" s="6" t="s">
        <v>9372</v>
      </c>
      <c r="D3039" s="13">
        <v>1492.5050499692099</v>
      </c>
      <c r="E3039" s="18">
        <v>21</v>
      </c>
      <c r="F3039" s="2">
        <f t="shared" si="94"/>
        <v>1805.9311104627441</v>
      </c>
      <c r="G3039" s="3">
        <v>0</v>
      </c>
      <c r="H3039" s="4">
        <v>0.7</v>
      </c>
      <c r="I3039" s="28">
        <f t="shared" si="95"/>
        <v>3070.0828877866647</v>
      </c>
    </row>
    <row r="3040" spans="1:9" ht="15.75" customHeight="1" x14ac:dyDescent="0.35">
      <c r="A3040" s="26" t="s">
        <v>5097</v>
      </c>
      <c r="B3040" s="25" t="s">
        <v>13069</v>
      </c>
      <c r="C3040" s="6" t="s">
        <v>518</v>
      </c>
      <c r="D3040" s="13">
        <v>1605.1859689146099</v>
      </c>
      <c r="E3040" s="18">
        <v>21</v>
      </c>
      <c r="F3040" s="2">
        <f t="shared" si="94"/>
        <v>1942.2750223866781</v>
      </c>
      <c r="G3040" s="3">
        <v>0</v>
      </c>
      <c r="H3040" s="4">
        <v>0.7</v>
      </c>
      <c r="I3040" s="28">
        <f t="shared" si="95"/>
        <v>3301.8675380573527</v>
      </c>
    </row>
    <row r="3041" spans="1:9" ht="15.75" customHeight="1" x14ac:dyDescent="0.35">
      <c r="A3041" s="26" t="s">
        <v>5098</v>
      </c>
      <c r="B3041" s="25" t="s">
        <v>9243</v>
      </c>
      <c r="C3041" s="6" t="s">
        <v>10491</v>
      </c>
      <c r="D3041" s="13">
        <v>2109.72109445664</v>
      </c>
      <c r="E3041" s="18">
        <v>21</v>
      </c>
      <c r="F3041" s="2">
        <f t="shared" si="94"/>
        <v>2552.7625242925342</v>
      </c>
      <c r="G3041" s="3">
        <v>0</v>
      </c>
      <c r="H3041" s="4">
        <v>0.7</v>
      </c>
      <c r="I3041" s="28">
        <f t="shared" si="95"/>
        <v>4339.6962912973077</v>
      </c>
    </row>
    <row r="3042" spans="1:9" ht="15.75" customHeight="1" x14ac:dyDescent="0.35">
      <c r="A3042" s="26" t="s">
        <v>5099</v>
      </c>
      <c r="B3042" s="25" t="s">
        <v>11002</v>
      </c>
      <c r="C3042" s="6" t="s">
        <v>519</v>
      </c>
      <c r="D3042" s="13">
        <v>2109.72109445664</v>
      </c>
      <c r="E3042" s="18">
        <v>21</v>
      </c>
      <c r="F3042" s="2">
        <f t="shared" si="94"/>
        <v>2552.7625242925342</v>
      </c>
      <c r="G3042" s="3">
        <v>0</v>
      </c>
      <c r="H3042" s="4">
        <v>0.7</v>
      </c>
      <c r="I3042" s="28">
        <f t="shared" si="95"/>
        <v>4339.6962912973077</v>
      </c>
    </row>
    <row r="3043" spans="1:9" ht="15.75" customHeight="1" x14ac:dyDescent="0.35">
      <c r="A3043" s="26" t="s">
        <v>5100</v>
      </c>
      <c r="B3043" s="25" t="s">
        <v>9358</v>
      </c>
      <c r="C3043" s="6" t="s">
        <v>520</v>
      </c>
      <c r="D3043" s="13">
        <v>1988.3979870979799</v>
      </c>
      <c r="E3043" s="18">
        <v>21</v>
      </c>
      <c r="F3043" s="2">
        <f t="shared" si="94"/>
        <v>2405.9615643885559</v>
      </c>
      <c r="G3043" s="3">
        <v>0</v>
      </c>
      <c r="H3043" s="4">
        <v>0.7</v>
      </c>
      <c r="I3043" s="28">
        <f t="shared" si="95"/>
        <v>4090.1346594605448</v>
      </c>
    </row>
    <row r="3044" spans="1:9" ht="15.75" customHeight="1" x14ac:dyDescent="0.35">
      <c r="A3044" s="26" t="s">
        <v>4746</v>
      </c>
      <c r="B3044" s="25" t="s">
        <v>491</v>
      </c>
      <c r="C3044" s="6" t="s">
        <v>521</v>
      </c>
      <c r="D3044" s="13">
        <v>7260.4598609919803</v>
      </c>
      <c r="E3044" s="18">
        <v>21</v>
      </c>
      <c r="F3044" s="2">
        <f t="shared" si="94"/>
        <v>8785.1564318002966</v>
      </c>
      <c r="G3044" s="3">
        <v>0</v>
      </c>
      <c r="H3044" s="4">
        <v>0.7</v>
      </c>
      <c r="I3044" s="28">
        <f t="shared" si="95"/>
        <v>14934.765934060504</v>
      </c>
    </row>
    <row r="3045" spans="1:9" ht="15.75" customHeight="1" x14ac:dyDescent="0.35">
      <c r="A3045" s="26" t="s">
        <v>4747</v>
      </c>
      <c r="B3045" s="25" t="s">
        <v>492</v>
      </c>
      <c r="C3045" s="6" t="s">
        <v>522</v>
      </c>
      <c r="D3045" s="13">
        <v>7260.4598609919803</v>
      </c>
      <c r="E3045" s="18">
        <v>21</v>
      </c>
      <c r="F3045" s="2">
        <f t="shared" si="94"/>
        <v>8785.1564318002966</v>
      </c>
      <c r="G3045" s="3">
        <v>0</v>
      </c>
      <c r="H3045" s="4">
        <v>0.7</v>
      </c>
      <c r="I3045" s="28">
        <f t="shared" si="95"/>
        <v>14934.765934060504</v>
      </c>
    </row>
    <row r="3046" spans="1:9" ht="15.75" customHeight="1" x14ac:dyDescent="0.35">
      <c r="A3046" s="26" t="s">
        <v>11858</v>
      </c>
      <c r="B3046" s="25" t="s">
        <v>493</v>
      </c>
      <c r="C3046" s="6" t="s">
        <v>11859</v>
      </c>
      <c r="D3046" s="13">
        <v>1647.2500199999999</v>
      </c>
      <c r="E3046" s="18">
        <v>10.5</v>
      </c>
      <c r="F3046" s="2">
        <f t="shared" si="94"/>
        <v>1820.2112720999999</v>
      </c>
      <c r="G3046" s="3">
        <v>0</v>
      </c>
      <c r="H3046" s="4">
        <v>0.7</v>
      </c>
      <c r="I3046" s="28">
        <f t="shared" si="95"/>
        <v>3094.3591625699996</v>
      </c>
    </row>
    <row r="3047" spans="1:9" ht="15.75" customHeight="1" x14ac:dyDescent="0.35">
      <c r="A3047" s="26" t="s">
        <v>5101</v>
      </c>
      <c r="B3047" s="25" t="s">
        <v>1207</v>
      </c>
      <c r="C3047" s="6" t="s">
        <v>523</v>
      </c>
      <c r="D3047" s="13">
        <v>4622.2054138207804</v>
      </c>
      <c r="E3047" s="18">
        <v>21</v>
      </c>
      <c r="F3047" s="2">
        <f t="shared" si="94"/>
        <v>5592.8685507231439</v>
      </c>
      <c r="G3047" s="3">
        <v>0</v>
      </c>
      <c r="H3047" s="4">
        <v>0.7</v>
      </c>
      <c r="I3047" s="28">
        <f t="shared" si="95"/>
        <v>9507.8765362293452</v>
      </c>
    </row>
    <row r="3048" spans="1:9" ht="15.75" customHeight="1" x14ac:dyDescent="0.35">
      <c r="A3048" s="26" t="s">
        <v>5102</v>
      </c>
      <c r="B3048" s="25" t="s">
        <v>494</v>
      </c>
      <c r="C3048" s="6" t="s">
        <v>524</v>
      </c>
      <c r="D3048" s="13">
        <v>4622.2054138207804</v>
      </c>
      <c r="E3048" s="18">
        <v>21</v>
      </c>
      <c r="F3048" s="2">
        <f t="shared" si="94"/>
        <v>5592.8685507231439</v>
      </c>
      <c r="G3048" s="3">
        <v>0</v>
      </c>
      <c r="H3048" s="4">
        <v>0.7</v>
      </c>
      <c r="I3048" s="28">
        <f t="shared" si="95"/>
        <v>9507.8765362293452</v>
      </c>
    </row>
    <row r="3049" spans="1:9" ht="15.75" customHeight="1" x14ac:dyDescent="0.35">
      <c r="A3049" s="26" t="s">
        <v>5103</v>
      </c>
      <c r="B3049" s="25" t="s">
        <v>495</v>
      </c>
      <c r="C3049" s="6" t="s">
        <v>525</v>
      </c>
      <c r="D3049" s="13">
        <v>4622.2054138207804</v>
      </c>
      <c r="E3049" s="18">
        <v>21</v>
      </c>
      <c r="F3049" s="2">
        <f t="shared" si="94"/>
        <v>5592.8685507231439</v>
      </c>
      <c r="G3049" s="3">
        <v>0</v>
      </c>
      <c r="H3049" s="4">
        <v>0.7</v>
      </c>
      <c r="I3049" s="28">
        <f t="shared" si="95"/>
        <v>9507.8765362293452</v>
      </c>
    </row>
    <row r="3050" spans="1:9" ht="15.75" customHeight="1" x14ac:dyDescent="0.35">
      <c r="A3050" s="26" t="s">
        <v>5104</v>
      </c>
      <c r="B3050" s="25" t="s">
        <v>496</v>
      </c>
      <c r="C3050" s="6" t="s">
        <v>526</v>
      </c>
      <c r="D3050" s="13">
        <v>2201.7409221998801</v>
      </c>
      <c r="E3050" s="18">
        <v>21</v>
      </c>
      <c r="F3050" s="2">
        <f t="shared" si="94"/>
        <v>2664.1065158618549</v>
      </c>
      <c r="G3050" s="3">
        <v>0</v>
      </c>
      <c r="H3050" s="4">
        <v>0.7</v>
      </c>
      <c r="I3050" s="28">
        <f t="shared" si="95"/>
        <v>4528.9810769651531</v>
      </c>
    </row>
    <row r="3051" spans="1:9" ht="15.75" customHeight="1" x14ac:dyDescent="0.35">
      <c r="A3051" s="26" t="s">
        <v>5105</v>
      </c>
      <c r="B3051" s="25" t="s">
        <v>989</v>
      </c>
      <c r="C3051" s="6" t="s">
        <v>527</v>
      </c>
      <c r="D3051" s="13">
        <v>2201.7409221998801</v>
      </c>
      <c r="E3051" s="18">
        <v>21</v>
      </c>
      <c r="F3051" s="2">
        <f t="shared" si="94"/>
        <v>2664.1065158618549</v>
      </c>
      <c r="G3051" s="3">
        <v>0</v>
      </c>
      <c r="H3051" s="4">
        <v>0.7</v>
      </c>
      <c r="I3051" s="28">
        <f t="shared" si="95"/>
        <v>4528.9810769651531</v>
      </c>
    </row>
    <row r="3052" spans="1:9" ht="15.75" customHeight="1" x14ac:dyDescent="0.35">
      <c r="A3052" s="26" t="s">
        <v>4749</v>
      </c>
      <c r="B3052" s="25" t="s">
        <v>8934</v>
      </c>
      <c r="C3052" s="6" t="s">
        <v>1153</v>
      </c>
      <c r="D3052" s="13">
        <v>2279.7126819999999</v>
      </c>
      <c r="E3052" s="18">
        <v>21</v>
      </c>
      <c r="F3052" s="2">
        <f t="shared" si="94"/>
        <v>2758.4523452200001</v>
      </c>
      <c r="G3052" s="3">
        <v>0</v>
      </c>
      <c r="H3052" s="4">
        <v>0.7</v>
      </c>
      <c r="I3052" s="28">
        <f t="shared" si="95"/>
        <v>4689.3689868740003</v>
      </c>
    </row>
    <row r="3053" spans="1:9" ht="15.75" customHeight="1" x14ac:dyDescent="0.35">
      <c r="A3053" s="26" t="s">
        <v>4750</v>
      </c>
      <c r="B3053" s="25" t="s">
        <v>497</v>
      </c>
      <c r="C3053" s="6" t="s">
        <v>1154</v>
      </c>
      <c r="D3053" s="13">
        <v>2279.7126819999999</v>
      </c>
      <c r="E3053" s="18">
        <v>21</v>
      </c>
      <c r="F3053" s="2">
        <f t="shared" si="94"/>
        <v>2758.4523452200001</v>
      </c>
      <c r="G3053" s="3">
        <v>0</v>
      </c>
      <c r="H3053" s="4">
        <v>0.7</v>
      </c>
      <c r="I3053" s="28">
        <f t="shared" si="95"/>
        <v>4689.3689868740003</v>
      </c>
    </row>
    <row r="3054" spans="1:9" ht="15.75" customHeight="1" x14ac:dyDescent="0.35">
      <c r="A3054" s="26" t="s">
        <v>4748</v>
      </c>
      <c r="B3054" s="25" t="s">
        <v>498</v>
      </c>
      <c r="C3054" s="6" t="s">
        <v>11016</v>
      </c>
      <c r="D3054" s="13">
        <v>2279.7126819999999</v>
      </c>
      <c r="E3054" s="18">
        <v>21</v>
      </c>
      <c r="F3054" s="2">
        <f t="shared" si="94"/>
        <v>2758.4523452200001</v>
      </c>
      <c r="G3054" s="3">
        <v>0</v>
      </c>
      <c r="H3054" s="4">
        <v>0.7</v>
      </c>
      <c r="I3054" s="28">
        <f t="shared" si="95"/>
        <v>4689.3689868740003</v>
      </c>
    </row>
    <row r="3055" spans="1:9" ht="15.75" customHeight="1" x14ac:dyDescent="0.35">
      <c r="A3055" s="26" t="s">
        <v>4875</v>
      </c>
      <c r="B3055" s="25" t="s">
        <v>499</v>
      </c>
      <c r="C3055" s="6" t="s">
        <v>12205</v>
      </c>
      <c r="D3055" s="13">
        <v>3551.5192830000001</v>
      </c>
      <c r="E3055" s="18">
        <v>21</v>
      </c>
      <c r="F3055" s="2">
        <f t="shared" si="94"/>
        <v>4297.3383324300003</v>
      </c>
      <c r="G3055" s="3">
        <v>0</v>
      </c>
      <c r="H3055" s="4">
        <v>0.7</v>
      </c>
      <c r="I3055" s="28">
        <f t="shared" si="95"/>
        <v>7305.4751651309998</v>
      </c>
    </row>
    <row r="3056" spans="1:9" ht="15.75" customHeight="1" x14ac:dyDescent="0.35">
      <c r="A3056" s="26" t="s">
        <v>5001</v>
      </c>
      <c r="B3056" s="25" t="s">
        <v>500</v>
      </c>
      <c r="C3056" s="6" t="s">
        <v>12206</v>
      </c>
      <c r="D3056" s="13">
        <v>2673.0719389698402</v>
      </c>
      <c r="E3056" s="18">
        <v>21</v>
      </c>
      <c r="F3056" s="2">
        <f t="shared" si="94"/>
        <v>3234.4170461535068</v>
      </c>
      <c r="G3056" s="3">
        <v>0</v>
      </c>
      <c r="H3056" s="4">
        <v>0.7</v>
      </c>
      <c r="I3056" s="28">
        <f t="shared" si="95"/>
        <v>5498.5089784609618</v>
      </c>
    </row>
    <row r="3057" spans="1:9" ht="15.75" customHeight="1" x14ac:dyDescent="0.35">
      <c r="A3057" s="26" t="s">
        <v>5002</v>
      </c>
      <c r="B3057" s="25" t="s">
        <v>990</v>
      </c>
      <c r="C3057" s="6" t="s">
        <v>12207</v>
      </c>
      <c r="D3057" s="13">
        <v>2673.0719389698402</v>
      </c>
      <c r="E3057" s="18">
        <v>21</v>
      </c>
      <c r="F3057" s="2">
        <f t="shared" si="94"/>
        <v>3234.4170461535068</v>
      </c>
      <c r="G3057" s="3">
        <v>0</v>
      </c>
      <c r="H3057" s="4">
        <v>0.7</v>
      </c>
      <c r="I3057" s="28">
        <f t="shared" si="95"/>
        <v>5498.5089784609618</v>
      </c>
    </row>
    <row r="3058" spans="1:9" ht="15.75" customHeight="1" x14ac:dyDescent="0.35">
      <c r="A3058" s="26" t="s">
        <v>5003</v>
      </c>
      <c r="B3058" s="25" t="s">
        <v>9845</v>
      </c>
      <c r="C3058" s="6" t="s">
        <v>12208</v>
      </c>
      <c r="D3058" s="13">
        <v>2673.0719389698402</v>
      </c>
      <c r="E3058" s="18">
        <v>21</v>
      </c>
      <c r="F3058" s="2">
        <f t="shared" si="94"/>
        <v>3234.4170461535068</v>
      </c>
      <c r="G3058" s="3">
        <v>0</v>
      </c>
      <c r="H3058" s="4">
        <v>0.7</v>
      </c>
      <c r="I3058" s="28">
        <f t="shared" si="95"/>
        <v>5498.5089784609618</v>
      </c>
    </row>
    <row r="3059" spans="1:9" ht="15.75" customHeight="1" x14ac:dyDescent="0.35">
      <c r="A3059" s="26" t="s">
        <v>5004</v>
      </c>
      <c r="B3059" s="25" t="s">
        <v>9846</v>
      </c>
      <c r="C3059" s="6" t="s">
        <v>528</v>
      </c>
      <c r="D3059" s="13">
        <v>1845.10264902116</v>
      </c>
      <c r="E3059" s="18">
        <v>21</v>
      </c>
      <c r="F3059" s="2">
        <f t="shared" si="94"/>
        <v>2232.5742053156036</v>
      </c>
      <c r="G3059" s="3">
        <v>0</v>
      </c>
      <c r="H3059" s="4">
        <v>0.7</v>
      </c>
      <c r="I3059" s="28">
        <f t="shared" si="95"/>
        <v>3795.3761490365259</v>
      </c>
    </row>
    <row r="3060" spans="1:9" ht="15.75" customHeight="1" x14ac:dyDescent="0.35">
      <c r="A3060" s="26" t="s">
        <v>4876</v>
      </c>
      <c r="B3060" s="25" t="s">
        <v>9847</v>
      </c>
      <c r="C3060" s="6" t="s">
        <v>529</v>
      </c>
      <c r="D3060" s="13">
        <v>799.50744589233204</v>
      </c>
      <c r="E3060" s="18">
        <v>21</v>
      </c>
      <c r="F3060" s="2">
        <f t="shared" si="94"/>
        <v>967.40400952972175</v>
      </c>
      <c r="G3060" s="3">
        <v>0</v>
      </c>
      <c r="H3060" s="4">
        <v>0.7</v>
      </c>
      <c r="I3060" s="28">
        <f t="shared" si="95"/>
        <v>1644.586816200527</v>
      </c>
    </row>
    <row r="3061" spans="1:9" ht="15.75" customHeight="1" x14ac:dyDescent="0.35">
      <c r="A3061" s="26" t="s">
        <v>5005</v>
      </c>
      <c r="B3061" s="25" t="s">
        <v>9848</v>
      </c>
      <c r="C3061" s="6" t="s">
        <v>530</v>
      </c>
      <c r="D3061" s="13">
        <v>1845.10264902116</v>
      </c>
      <c r="E3061" s="18">
        <v>21</v>
      </c>
      <c r="F3061" s="2">
        <f t="shared" si="94"/>
        <v>2232.5742053156036</v>
      </c>
      <c r="G3061" s="3">
        <v>0</v>
      </c>
      <c r="H3061" s="4">
        <v>0.7</v>
      </c>
      <c r="I3061" s="28">
        <f t="shared" si="95"/>
        <v>3795.3761490365259</v>
      </c>
    </row>
    <row r="3062" spans="1:9" ht="15.75" customHeight="1" x14ac:dyDescent="0.35">
      <c r="A3062" s="26" t="s">
        <v>5147</v>
      </c>
      <c r="B3062" s="25" t="s">
        <v>9849</v>
      </c>
      <c r="C3062" s="6" t="s">
        <v>9373</v>
      </c>
      <c r="D3062" s="13">
        <v>3858.6502318572002</v>
      </c>
      <c r="E3062" s="18">
        <v>21</v>
      </c>
      <c r="F3062" s="2">
        <f t="shared" si="94"/>
        <v>4668.9667805472127</v>
      </c>
      <c r="G3062" s="3">
        <v>0</v>
      </c>
      <c r="H3062" s="4">
        <v>0.7</v>
      </c>
      <c r="I3062" s="28">
        <f t="shared" si="95"/>
        <v>7937.2435269302614</v>
      </c>
    </row>
    <row r="3063" spans="1:9" ht="15.75" customHeight="1" x14ac:dyDescent="0.35">
      <c r="A3063" s="26" t="s">
        <v>4879</v>
      </c>
      <c r="B3063" s="25" t="s">
        <v>9850</v>
      </c>
      <c r="C3063" s="6" t="s">
        <v>531</v>
      </c>
      <c r="D3063" s="13">
        <v>678.67467108015296</v>
      </c>
      <c r="E3063" s="18">
        <v>21</v>
      </c>
      <c r="F3063" s="2">
        <f t="shared" si="94"/>
        <v>821.19635200698508</v>
      </c>
      <c r="G3063" s="3">
        <v>0</v>
      </c>
      <c r="H3063" s="4">
        <v>0.7</v>
      </c>
      <c r="I3063" s="28">
        <f t="shared" si="95"/>
        <v>1396.0337984118746</v>
      </c>
    </row>
    <row r="3064" spans="1:9" ht="15.75" customHeight="1" x14ac:dyDescent="0.35">
      <c r="A3064" s="26" t="s">
        <v>5148</v>
      </c>
      <c r="B3064" s="25" t="s">
        <v>9359</v>
      </c>
      <c r="C3064" s="6" t="s">
        <v>13966</v>
      </c>
      <c r="D3064" s="13">
        <v>3858.6502318572002</v>
      </c>
      <c r="E3064" s="18">
        <v>21</v>
      </c>
      <c r="F3064" s="2">
        <f t="shared" si="94"/>
        <v>4668.9667805472127</v>
      </c>
      <c r="G3064" s="3">
        <v>0</v>
      </c>
      <c r="H3064" s="4">
        <v>0.7</v>
      </c>
      <c r="I3064" s="28">
        <f t="shared" si="95"/>
        <v>7937.2435269302614</v>
      </c>
    </row>
    <row r="3065" spans="1:9" ht="15.75" customHeight="1" x14ac:dyDescent="0.35">
      <c r="A3065" s="26" t="s">
        <v>5149</v>
      </c>
      <c r="B3065" s="25" t="s">
        <v>9851</v>
      </c>
      <c r="C3065" s="6" t="s">
        <v>9374</v>
      </c>
      <c r="D3065" s="13">
        <v>3858.6502318572002</v>
      </c>
      <c r="E3065" s="18">
        <v>21</v>
      </c>
      <c r="F3065" s="2">
        <f t="shared" si="94"/>
        <v>4668.9667805472127</v>
      </c>
      <c r="G3065" s="3">
        <v>0</v>
      </c>
      <c r="H3065" s="4">
        <v>0.7</v>
      </c>
      <c r="I3065" s="28">
        <f t="shared" si="95"/>
        <v>7937.2435269302614</v>
      </c>
    </row>
    <row r="3066" spans="1:9" ht="15.75" customHeight="1" x14ac:dyDescent="0.35">
      <c r="A3066" s="26" t="s">
        <v>5006</v>
      </c>
      <c r="B3066" s="25" t="s">
        <v>9852</v>
      </c>
      <c r="C3066" s="6" t="s">
        <v>532</v>
      </c>
      <c r="D3066" s="13">
        <v>1845.10264902116</v>
      </c>
      <c r="E3066" s="18">
        <v>21</v>
      </c>
      <c r="F3066" s="2">
        <f t="shared" si="94"/>
        <v>2232.5742053156036</v>
      </c>
      <c r="G3066" s="3">
        <v>0</v>
      </c>
      <c r="H3066" s="4">
        <v>0.7</v>
      </c>
      <c r="I3066" s="28">
        <f t="shared" si="95"/>
        <v>3795.3761490365259</v>
      </c>
    </row>
    <row r="3067" spans="1:9" ht="15.75" customHeight="1" x14ac:dyDescent="0.35">
      <c r="A3067" s="26" t="s">
        <v>12549</v>
      </c>
      <c r="B3067" s="25" t="s">
        <v>9853</v>
      </c>
      <c r="C3067" s="6" t="s">
        <v>12550</v>
      </c>
      <c r="D3067" s="13">
        <v>35561.5220598983</v>
      </c>
      <c r="E3067" s="18">
        <v>10.5</v>
      </c>
      <c r="F3067" s="2">
        <f t="shared" si="94"/>
        <v>39295.481876187623</v>
      </c>
      <c r="G3067" s="3">
        <v>0</v>
      </c>
      <c r="H3067" s="4">
        <v>0.7</v>
      </c>
      <c r="I3067" s="28">
        <f t="shared" si="95"/>
        <v>66802.319189518952</v>
      </c>
    </row>
    <row r="3068" spans="1:9" ht="15.75" customHeight="1" x14ac:dyDescent="0.35">
      <c r="A3068" s="26" t="s">
        <v>12551</v>
      </c>
      <c r="B3068" s="25" t="s">
        <v>9854</v>
      </c>
      <c r="C3068" s="6" t="s">
        <v>12552</v>
      </c>
      <c r="D3068" s="13">
        <v>35561.5220598983</v>
      </c>
      <c r="E3068" s="18">
        <v>10.5</v>
      </c>
      <c r="F3068" s="2">
        <f t="shared" si="94"/>
        <v>39295.481876187623</v>
      </c>
      <c r="G3068" s="3">
        <v>0</v>
      </c>
      <c r="H3068" s="4">
        <v>0.7</v>
      </c>
      <c r="I3068" s="28">
        <f t="shared" si="95"/>
        <v>66802.319189518952</v>
      </c>
    </row>
    <row r="3069" spans="1:9" ht="15.75" customHeight="1" x14ac:dyDescent="0.35">
      <c r="A3069" s="26" t="s">
        <v>10772</v>
      </c>
      <c r="B3069" s="25" t="s">
        <v>9360</v>
      </c>
      <c r="C3069" s="6" t="s">
        <v>11380</v>
      </c>
      <c r="D3069" s="13">
        <v>23183.518800000002</v>
      </c>
      <c r="E3069" s="18">
        <v>21</v>
      </c>
      <c r="F3069" s="2">
        <f t="shared" si="94"/>
        <v>28052.057748000003</v>
      </c>
      <c r="G3069" s="3">
        <v>0</v>
      </c>
      <c r="H3069" s="4">
        <v>0.7</v>
      </c>
      <c r="I3069" s="28">
        <f t="shared" si="95"/>
        <v>47688.498171600004</v>
      </c>
    </row>
    <row r="3070" spans="1:9" ht="15.75" customHeight="1" x14ac:dyDescent="0.35">
      <c r="A3070" s="26" t="s">
        <v>10773</v>
      </c>
      <c r="B3070" s="25" t="s">
        <v>9855</v>
      </c>
      <c r="C3070" s="6" t="s">
        <v>11381</v>
      </c>
      <c r="D3070" s="13">
        <v>23183.518800000002</v>
      </c>
      <c r="E3070" s="18">
        <v>21</v>
      </c>
      <c r="F3070" s="2">
        <f t="shared" si="94"/>
        <v>28052.057748000003</v>
      </c>
      <c r="G3070" s="3">
        <v>0</v>
      </c>
      <c r="H3070" s="4">
        <v>0.7</v>
      </c>
      <c r="I3070" s="28">
        <f t="shared" si="95"/>
        <v>47688.498171600004</v>
      </c>
    </row>
    <row r="3071" spans="1:9" ht="15.75" customHeight="1" x14ac:dyDescent="0.35">
      <c r="A3071" s="26" t="s">
        <v>5007</v>
      </c>
      <c r="B3071" s="25" t="s">
        <v>9856</v>
      </c>
      <c r="C3071" s="6" t="s">
        <v>533</v>
      </c>
      <c r="D3071" s="13">
        <v>18639.882048718599</v>
      </c>
      <c r="E3071" s="18">
        <v>10.5</v>
      </c>
      <c r="F3071" s="2">
        <f t="shared" si="94"/>
        <v>20597.069663834052</v>
      </c>
      <c r="G3071" s="3">
        <v>0</v>
      </c>
      <c r="H3071" s="4">
        <v>0.7</v>
      </c>
      <c r="I3071" s="28">
        <f t="shared" si="95"/>
        <v>35015.018428517891</v>
      </c>
    </row>
    <row r="3072" spans="1:9" ht="15.75" customHeight="1" x14ac:dyDescent="0.35">
      <c r="A3072" s="26" t="s">
        <v>5008</v>
      </c>
      <c r="B3072" s="25" t="s">
        <v>9857</v>
      </c>
      <c r="C3072" s="6" t="s">
        <v>534</v>
      </c>
      <c r="D3072" s="13">
        <v>18639.882048718599</v>
      </c>
      <c r="E3072" s="18">
        <v>10.5</v>
      </c>
      <c r="F3072" s="2">
        <f t="shared" si="94"/>
        <v>20597.069663834052</v>
      </c>
      <c r="G3072" s="3">
        <v>0</v>
      </c>
      <c r="H3072" s="4">
        <v>0.7</v>
      </c>
      <c r="I3072" s="28">
        <f t="shared" si="95"/>
        <v>35015.018428517891</v>
      </c>
    </row>
    <row r="3073" spans="1:9" ht="15.75" customHeight="1" x14ac:dyDescent="0.35">
      <c r="A3073" s="26" t="s">
        <v>5009</v>
      </c>
      <c r="B3073" s="25" t="s">
        <v>9858</v>
      </c>
      <c r="C3073" s="6" t="s">
        <v>1270</v>
      </c>
      <c r="D3073" s="13">
        <v>18639.882048718599</v>
      </c>
      <c r="E3073" s="18">
        <v>10.5</v>
      </c>
      <c r="F3073" s="2">
        <f t="shared" si="94"/>
        <v>20597.069663834052</v>
      </c>
      <c r="G3073" s="3">
        <v>0</v>
      </c>
      <c r="H3073" s="4">
        <v>0.7</v>
      </c>
      <c r="I3073" s="28">
        <f t="shared" si="95"/>
        <v>35015.018428517891</v>
      </c>
    </row>
    <row r="3074" spans="1:9" ht="15.75" customHeight="1" x14ac:dyDescent="0.35">
      <c r="A3074" s="26" t="s">
        <v>4751</v>
      </c>
      <c r="B3074" s="25" t="s">
        <v>13237</v>
      </c>
      <c r="C3074" s="6" t="s">
        <v>13021</v>
      </c>
      <c r="D3074" s="13">
        <v>2320.2065615040101</v>
      </c>
      <c r="E3074" s="18">
        <v>21</v>
      </c>
      <c r="F3074" s="2">
        <f t="shared" si="94"/>
        <v>2807.4499394198524</v>
      </c>
      <c r="G3074" s="3">
        <v>0</v>
      </c>
      <c r="H3074" s="4">
        <v>0.7</v>
      </c>
      <c r="I3074" s="28">
        <f t="shared" si="95"/>
        <v>4772.6648970137494</v>
      </c>
    </row>
    <row r="3075" spans="1:9" ht="15.75" customHeight="1" x14ac:dyDescent="0.35">
      <c r="A3075" s="26" t="s">
        <v>4752</v>
      </c>
      <c r="B3075" s="25" t="s">
        <v>13238</v>
      </c>
      <c r="C3075" s="6" t="s">
        <v>535</v>
      </c>
      <c r="D3075" s="13">
        <v>1098.589677536</v>
      </c>
      <c r="E3075" s="18">
        <v>21</v>
      </c>
      <c r="F3075" s="2">
        <f t="shared" si="94"/>
        <v>1329.2935098185599</v>
      </c>
      <c r="G3075" s="3">
        <v>0</v>
      </c>
      <c r="H3075" s="4">
        <v>0.7</v>
      </c>
      <c r="I3075" s="28">
        <f t="shared" si="95"/>
        <v>2259.7989666915519</v>
      </c>
    </row>
    <row r="3076" spans="1:9" ht="15.75" customHeight="1" x14ac:dyDescent="0.35">
      <c r="A3076" s="26" t="s">
        <v>4753</v>
      </c>
      <c r="B3076" s="25" t="s">
        <v>13239</v>
      </c>
      <c r="C3076" s="6" t="s">
        <v>536</v>
      </c>
      <c r="D3076" s="13">
        <v>1098.589677536</v>
      </c>
      <c r="E3076" s="18">
        <v>21</v>
      </c>
      <c r="F3076" s="2">
        <f t="shared" si="94"/>
        <v>1329.2935098185599</v>
      </c>
      <c r="G3076" s="3">
        <v>0</v>
      </c>
      <c r="H3076" s="4">
        <v>0.7</v>
      </c>
      <c r="I3076" s="28">
        <f t="shared" si="95"/>
        <v>2259.7989666915519</v>
      </c>
    </row>
    <row r="3077" spans="1:9" ht="15.75" customHeight="1" x14ac:dyDescent="0.35">
      <c r="A3077" s="26" t="s">
        <v>4754</v>
      </c>
      <c r="B3077" s="25" t="s">
        <v>9361</v>
      </c>
      <c r="C3077" s="6" t="s">
        <v>537</v>
      </c>
      <c r="D3077" s="13">
        <v>2132.2655024320102</v>
      </c>
      <c r="E3077" s="18">
        <v>21</v>
      </c>
      <c r="F3077" s="2">
        <f t="shared" si="94"/>
        <v>2580.0412579427325</v>
      </c>
      <c r="G3077" s="3">
        <v>0</v>
      </c>
      <c r="H3077" s="4">
        <v>0.7</v>
      </c>
      <c r="I3077" s="28">
        <f t="shared" si="95"/>
        <v>4386.070138502645</v>
      </c>
    </row>
    <row r="3078" spans="1:9" ht="15.75" customHeight="1" x14ac:dyDescent="0.35">
      <c r="A3078" s="26" t="s">
        <v>4755</v>
      </c>
      <c r="B3078" s="25" t="s">
        <v>12203</v>
      </c>
      <c r="C3078" s="6" t="s">
        <v>538</v>
      </c>
      <c r="D3078" s="13">
        <v>2132.2655024320102</v>
      </c>
      <c r="E3078" s="18">
        <v>21</v>
      </c>
      <c r="F3078" s="2">
        <f t="shared" ref="F3078:F3141" si="96">D3078*E3078/100+D3078</f>
        <v>2580.0412579427325</v>
      </c>
      <c r="G3078" s="3">
        <v>0</v>
      </c>
      <c r="H3078" s="4">
        <v>0.7</v>
      </c>
      <c r="I3078" s="28">
        <f t="shared" ref="I3078:I3141" si="97">IF(G3078=-1,0,F3078*((100-G3078)/100)*(1+H3078))</f>
        <v>4386.070138502645</v>
      </c>
    </row>
    <row r="3079" spans="1:9" ht="15.75" customHeight="1" x14ac:dyDescent="0.35">
      <c r="A3079" s="26" t="s">
        <v>4730</v>
      </c>
      <c r="B3079" s="25" t="s">
        <v>12204</v>
      </c>
      <c r="C3079" s="6" t="s">
        <v>9375</v>
      </c>
      <c r="D3079" s="13">
        <v>12364.5433599999</v>
      </c>
      <c r="E3079" s="18">
        <v>21</v>
      </c>
      <c r="F3079" s="2">
        <f t="shared" si="96"/>
        <v>14961.097465599878</v>
      </c>
      <c r="G3079" s="3">
        <v>0</v>
      </c>
      <c r="H3079" s="4">
        <v>0.7</v>
      </c>
      <c r="I3079" s="28">
        <f t="shared" si="97"/>
        <v>25433.865691519793</v>
      </c>
    </row>
    <row r="3080" spans="1:9" ht="15.75" customHeight="1" x14ac:dyDescent="0.35">
      <c r="A3080" s="26" t="s">
        <v>4731</v>
      </c>
      <c r="B3080" s="25" t="s">
        <v>9362</v>
      </c>
      <c r="C3080" s="6" t="s">
        <v>9376</v>
      </c>
      <c r="D3080" s="13">
        <v>12364.5433599999</v>
      </c>
      <c r="E3080" s="18">
        <v>21</v>
      </c>
      <c r="F3080" s="2">
        <f t="shared" si="96"/>
        <v>14961.097465599878</v>
      </c>
      <c r="G3080" s="3">
        <v>0</v>
      </c>
      <c r="H3080" s="4">
        <v>0.7</v>
      </c>
      <c r="I3080" s="28">
        <f t="shared" si="97"/>
        <v>25433.865691519793</v>
      </c>
    </row>
    <row r="3081" spans="1:9" ht="15.75" customHeight="1" x14ac:dyDescent="0.35">
      <c r="A3081" s="26" t="s">
        <v>4732</v>
      </c>
      <c r="B3081" s="25" t="s">
        <v>9363</v>
      </c>
      <c r="C3081" s="6" t="s">
        <v>9377</v>
      </c>
      <c r="D3081" s="13">
        <v>12364.5433599999</v>
      </c>
      <c r="E3081" s="18">
        <v>21</v>
      </c>
      <c r="F3081" s="2">
        <f t="shared" si="96"/>
        <v>14961.097465599878</v>
      </c>
      <c r="G3081" s="3">
        <v>0</v>
      </c>
      <c r="H3081" s="4">
        <v>0.7</v>
      </c>
      <c r="I3081" s="28">
        <f t="shared" si="97"/>
        <v>25433.865691519793</v>
      </c>
    </row>
    <row r="3082" spans="1:9" ht="15.75" customHeight="1" x14ac:dyDescent="0.35">
      <c r="A3082" s="26" t="s">
        <v>4733</v>
      </c>
      <c r="B3082" s="25" t="s">
        <v>991</v>
      </c>
      <c r="C3082" s="6" t="s">
        <v>9378</v>
      </c>
      <c r="D3082" s="13">
        <v>12364.5433599999</v>
      </c>
      <c r="E3082" s="18">
        <v>21</v>
      </c>
      <c r="F3082" s="2">
        <f t="shared" si="96"/>
        <v>14961.097465599878</v>
      </c>
      <c r="G3082" s="3">
        <v>0</v>
      </c>
      <c r="H3082" s="4">
        <v>0.7</v>
      </c>
      <c r="I3082" s="28">
        <f t="shared" si="97"/>
        <v>25433.865691519793</v>
      </c>
    </row>
    <row r="3083" spans="1:9" ht="15.75" customHeight="1" x14ac:dyDescent="0.35">
      <c r="A3083" s="26" t="s">
        <v>4727</v>
      </c>
      <c r="B3083" s="25" t="s">
        <v>992</v>
      </c>
      <c r="C3083" s="6" t="s">
        <v>9379</v>
      </c>
      <c r="D3083" s="13">
        <v>23183.5187999999</v>
      </c>
      <c r="E3083" s="18">
        <v>21</v>
      </c>
      <c r="F3083" s="2">
        <f t="shared" si="96"/>
        <v>28052.057747999879</v>
      </c>
      <c r="G3083" s="3">
        <v>0</v>
      </c>
      <c r="H3083" s="4">
        <v>0.7</v>
      </c>
      <c r="I3083" s="28">
        <f t="shared" si="97"/>
        <v>47688.498171599793</v>
      </c>
    </row>
    <row r="3084" spans="1:9" ht="15.75" customHeight="1" x14ac:dyDescent="0.35">
      <c r="A3084" s="26" t="s">
        <v>4735</v>
      </c>
      <c r="B3084" s="25" t="s">
        <v>12299</v>
      </c>
      <c r="C3084" s="6" t="s">
        <v>9380</v>
      </c>
      <c r="D3084" s="13">
        <v>23183.5187999999</v>
      </c>
      <c r="E3084" s="18">
        <v>21</v>
      </c>
      <c r="F3084" s="2">
        <f t="shared" si="96"/>
        <v>28052.057747999879</v>
      </c>
      <c r="G3084" s="3">
        <v>0</v>
      </c>
      <c r="H3084" s="4">
        <v>0.7</v>
      </c>
      <c r="I3084" s="28">
        <f t="shared" si="97"/>
        <v>47688.498171599793</v>
      </c>
    </row>
    <row r="3085" spans="1:9" ht="15.75" customHeight="1" x14ac:dyDescent="0.35">
      <c r="A3085" s="26" t="s">
        <v>5010</v>
      </c>
      <c r="B3085" s="25" t="s">
        <v>993</v>
      </c>
      <c r="C3085" s="6" t="s">
        <v>1110</v>
      </c>
      <c r="D3085" s="13">
        <v>20659.379213251799</v>
      </c>
      <c r="E3085" s="18">
        <v>10.5</v>
      </c>
      <c r="F3085" s="2">
        <f t="shared" si="96"/>
        <v>22828.614030643239</v>
      </c>
      <c r="G3085" s="3">
        <v>0</v>
      </c>
      <c r="H3085" s="4">
        <v>0.7</v>
      </c>
      <c r="I3085" s="28">
        <f t="shared" si="97"/>
        <v>38808.643852093504</v>
      </c>
    </row>
    <row r="3086" spans="1:9" ht="15.75" customHeight="1" x14ac:dyDescent="0.35">
      <c r="A3086" s="26" t="s">
        <v>5011</v>
      </c>
      <c r="B3086" s="25" t="s">
        <v>9450</v>
      </c>
      <c r="C3086" s="6" t="s">
        <v>5012</v>
      </c>
      <c r="D3086" s="13">
        <v>20659.379213251799</v>
      </c>
      <c r="E3086" s="18">
        <v>10.5</v>
      </c>
      <c r="F3086" s="2">
        <f t="shared" si="96"/>
        <v>22828.614030643239</v>
      </c>
      <c r="G3086" s="3">
        <v>0</v>
      </c>
      <c r="H3086" s="4">
        <v>0.7</v>
      </c>
      <c r="I3086" s="28">
        <f t="shared" si="97"/>
        <v>38808.643852093504</v>
      </c>
    </row>
    <row r="3087" spans="1:9" ht="15.75" customHeight="1" x14ac:dyDescent="0.35">
      <c r="A3087" s="26" t="s">
        <v>5013</v>
      </c>
      <c r="B3087" s="25" t="s">
        <v>994</v>
      </c>
      <c r="C3087" s="6" t="s">
        <v>5014</v>
      </c>
      <c r="D3087" s="13">
        <v>20659.379213251901</v>
      </c>
      <c r="E3087" s="18">
        <v>10.5</v>
      </c>
      <c r="F3087" s="2">
        <f t="shared" si="96"/>
        <v>22828.614030643352</v>
      </c>
      <c r="G3087" s="3">
        <v>0</v>
      </c>
      <c r="H3087" s="4">
        <v>0.7</v>
      </c>
      <c r="I3087" s="28">
        <f t="shared" si="97"/>
        <v>38808.643852093694</v>
      </c>
    </row>
    <row r="3088" spans="1:9" ht="15.75" customHeight="1" x14ac:dyDescent="0.35">
      <c r="A3088" s="26" t="s">
        <v>12851</v>
      </c>
      <c r="B3088" s="25" t="s">
        <v>995</v>
      </c>
      <c r="C3088" s="6" t="s">
        <v>12852</v>
      </c>
      <c r="D3088" s="13">
        <v>30652.129864664701</v>
      </c>
      <c r="E3088" s="18">
        <v>10.5</v>
      </c>
      <c r="F3088" s="2">
        <f t="shared" si="96"/>
        <v>33870.603500454497</v>
      </c>
      <c r="G3088" s="3">
        <v>0</v>
      </c>
      <c r="H3088" s="4">
        <v>0.7</v>
      </c>
      <c r="I3088" s="28">
        <f t="shared" si="97"/>
        <v>57580.025950772644</v>
      </c>
    </row>
    <row r="3089" spans="1:9" ht="15.75" customHeight="1" x14ac:dyDescent="0.35">
      <c r="A3089" s="26" t="s">
        <v>12853</v>
      </c>
      <c r="B3089" s="25" t="s">
        <v>11003</v>
      </c>
      <c r="C3089" s="6" t="s">
        <v>12854</v>
      </c>
      <c r="D3089" s="13">
        <v>30652.129864664701</v>
      </c>
      <c r="E3089" s="18">
        <v>10.5</v>
      </c>
      <c r="F3089" s="2">
        <f t="shared" si="96"/>
        <v>33870.603500454497</v>
      </c>
      <c r="G3089" s="3">
        <v>0</v>
      </c>
      <c r="H3089" s="4">
        <v>0.7</v>
      </c>
      <c r="I3089" s="28">
        <f t="shared" si="97"/>
        <v>57580.025950772644</v>
      </c>
    </row>
    <row r="3090" spans="1:9" ht="15.75" customHeight="1" x14ac:dyDescent="0.35">
      <c r="A3090" s="26" t="s">
        <v>13201</v>
      </c>
      <c r="B3090" s="25" t="s">
        <v>996</v>
      </c>
      <c r="C3090" s="6" t="s">
        <v>13202</v>
      </c>
      <c r="D3090" s="13">
        <v>26305.126379138299</v>
      </c>
      <c r="E3090" s="18">
        <v>10.5</v>
      </c>
      <c r="F3090" s="2">
        <f t="shared" si="96"/>
        <v>29067.164648947819</v>
      </c>
      <c r="G3090" s="3">
        <v>0</v>
      </c>
      <c r="H3090" s="4">
        <v>0.7</v>
      </c>
      <c r="I3090" s="28">
        <f t="shared" si="97"/>
        <v>49414.17990321129</v>
      </c>
    </row>
    <row r="3091" spans="1:9" ht="15.75" customHeight="1" x14ac:dyDescent="0.35">
      <c r="A3091" s="26" t="s">
        <v>13203</v>
      </c>
      <c r="B3091" s="25" t="s">
        <v>997</v>
      </c>
      <c r="C3091" s="6" t="s">
        <v>13204</v>
      </c>
      <c r="D3091" s="13">
        <v>26305.126379138299</v>
      </c>
      <c r="E3091" s="18">
        <v>10.5</v>
      </c>
      <c r="F3091" s="2">
        <f t="shared" si="96"/>
        <v>29067.164648947819</v>
      </c>
      <c r="G3091" s="3">
        <v>0</v>
      </c>
      <c r="H3091" s="4">
        <v>0.7</v>
      </c>
      <c r="I3091" s="28">
        <f t="shared" si="97"/>
        <v>49414.17990321129</v>
      </c>
    </row>
    <row r="3092" spans="1:9" ht="15.75" customHeight="1" x14ac:dyDescent="0.35">
      <c r="A3092" s="26" t="s">
        <v>13070</v>
      </c>
      <c r="B3092" s="25" t="s">
        <v>9364</v>
      </c>
      <c r="C3092" s="6" t="s">
        <v>13071</v>
      </c>
      <c r="D3092" s="13">
        <v>36534.893972307902</v>
      </c>
      <c r="E3092" s="18">
        <v>10.5</v>
      </c>
      <c r="F3092" s="2">
        <f t="shared" si="96"/>
        <v>40371.05783940023</v>
      </c>
      <c r="G3092" s="3">
        <v>0</v>
      </c>
      <c r="H3092" s="4">
        <v>0.7</v>
      </c>
      <c r="I3092" s="28">
        <f t="shared" si="97"/>
        <v>68630.798326980395</v>
      </c>
    </row>
    <row r="3093" spans="1:9" ht="15.75" customHeight="1" x14ac:dyDescent="0.35">
      <c r="A3093" s="26" t="s">
        <v>13072</v>
      </c>
      <c r="B3093" s="25" t="s">
        <v>10488</v>
      </c>
      <c r="C3093" s="6" t="s">
        <v>13073</v>
      </c>
      <c r="D3093" s="13">
        <v>36534.893972307902</v>
      </c>
      <c r="E3093" s="18">
        <v>10.5</v>
      </c>
      <c r="F3093" s="2">
        <f t="shared" si="96"/>
        <v>40371.05783940023</v>
      </c>
      <c r="G3093" s="3">
        <v>0</v>
      </c>
      <c r="H3093" s="4">
        <v>0.7</v>
      </c>
      <c r="I3093" s="28">
        <f t="shared" si="97"/>
        <v>68630.798326980395</v>
      </c>
    </row>
    <row r="3094" spans="1:9" ht="15.75" customHeight="1" x14ac:dyDescent="0.35">
      <c r="A3094" s="26" t="s">
        <v>5150</v>
      </c>
      <c r="B3094" s="25" t="s">
        <v>9365</v>
      </c>
      <c r="C3094" s="6" t="s">
        <v>9381</v>
      </c>
      <c r="D3094" s="13">
        <v>15217.6894273404</v>
      </c>
      <c r="E3094" s="18">
        <v>21</v>
      </c>
      <c r="F3094" s="2">
        <f t="shared" si="96"/>
        <v>18413.404207081883</v>
      </c>
      <c r="G3094" s="3">
        <v>0</v>
      </c>
      <c r="H3094" s="4">
        <v>0.7</v>
      </c>
      <c r="I3094" s="28">
        <f t="shared" si="97"/>
        <v>31302.7871520392</v>
      </c>
    </row>
    <row r="3095" spans="1:9" ht="15.75" customHeight="1" x14ac:dyDescent="0.35">
      <c r="A3095" s="26" t="s">
        <v>5151</v>
      </c>
      <c r="B3095" s="25" t="s">
        <v>8938</v>
      </c>
      <c r="C3095" s="6" t="s">
        <v>9382</v>
      </c>
      <c r="D3095" s="13">
        <v>15217.6894273404</v>
      </c>
      <c r="E3095" s="18">
        <v>21</v>
      </c>
      <c r="F3095" s="2">
        <f t="shared" si="96"/>
        <v>18413.404207081883</v>
      </c>
      <c r="G3095" s="3">
        <v>0</v>
      </c>
      <c r="H3095" s="4">
        <v>0.7</v>
      </c>
      <c r="I3095" s="28">
        <f t="shared" si="97"/>
        <v>31302.7871520392</v>
      </c>
    </row>
    <row r="3096" spans="1:9" ht="15.75" customHeight="1" x14ac:dyDescent="0.35">
      <c r="A3096" s="26" t="s">
        <v>5152</v>
      </c>
      <c r="B3096" s="25" t="s">
        <v>9366</v>
      </c>
      <c r="C3096" s="6" t="s">
        <v>9383</v>
      </c>
      <c r="D3096" s="13">
        <v>15217.6894273404</v>
      </c>
      <c r="E3096" s="18">
        <v>21</v>
      </c>
      <c r="F3096" s="2">
        <f t="shared" si="96"/>
        <v>18413.404207081883</v>
      </c>
      <c r="G3096" s="3">
        <v>0</v>
      </c>
      <c r="H3096" s="4">
        <v>0.7</v>
      </c>
      <c r="I3096" s="28">
        <f t="shared" si="97"/>
        <v>31302.7871520392</v>
      </c>
    </row>
    <row r="3097" spans="1:9" ht="15.75" customHeight="1" x14ac:dyDescent="0.35">
      <c r="A3097" s="26" t="s">
        <v>4757</v>
      </c>
      <c r="B3097" s="25" t="s">
        <v>501</v>
      </c>
      <c r="C3097" s="6" t="s">
        <v>9907</v>
      </c>
      <c r="D3097" s="13">
        <v>17387.639099999898</v>
      </c>
      <c r="E3097" s="18">
        <v>21</v>
      </c>
      <c r="F3097" s="2">
        <f t="shared" si="96"/>
        <v>21039.043310999878</v>
      </c>
      <c r="G3097" s="3">
        <v>0</v>
      </c>
      <c r="H3097" s="4">
        <v>0.7</v>
      </c>
      <c r="I3097" s="28">
        <f t="shared" si="97"/>
        <v>35766.373628699788</v>
      </c>
    </row>
    <row r="3098" spans="1:9" ht="15.75" customHeight="1" x14ac:dyDescent="0.35">
      <c r="A3098" s="26" t="s">
        <v>4758</v>
      </c>
      <c r="B3098" s="25" t="s">
        <v>1208</v>
      </c>
      <c r="C3098" s="6" t="s">
        <v>9908</v>
      </c>
      <c r="D3098" s="13">
        <v>17387.639099999898</v>
      </c>
      <c r="E3098" s="18">
        <v>21</v>
      </c>
      <c r="F3098" s="2">
        <f t="shared" si="96"/>
        <v>21039.043310999878</v>
      </c>
      <c r="G3098" s="3">
        <v>0</v>
      </c>
      <c r="H3098" s="4">
        <v>0.7</v>
      </c>
      <c r="I3098" s="28">
        <f t="shared" si="97"/>
        <v>35766.373628699788</v>
      </c>
    </row>
    <row r="3099" spans="1:9" ht="15.75" customHeight="1" x14ac:dyDescent="0.35">
      <c r="A3099" s="26" t="s">
        <v>4767</v>
      </c>
      <c r="B3099" s="25" t="s">
        <v>11004</v>
      </c>
      <c r="C3099" s="6" t="s">
        <v>9909</v>
      </c>
      <c r="D3099" s="13">
        <v>17387.639099999898</v>
      </c>
      <c r="E3099" s="18">
        <v>21</v>
      </c>
      <c r="F3099" s="2">
        <f t="shared" si="96"/>
        <v>21039.043310999878</v>
      </c>
      <c r="G3099" s="3">
        <v>0</v>
      </c>
      <c r="H3099" s="4">
        <v>0.7</v>
      </c>
      <c r="I3099" s="28">
        <f t="shared" si="97"/>
        <v>35766.373628699788</v>
      </c>
    </row>
    <row r="3100" spans="1:9" ht="15.75" customHeight="1" x14ac:dyDescent="0.35">
      <c r="A3100" s="26" t="s">
        <v>5220</v>
      </c>
      <c r="B3100" s="25" t="s">
        <v>11005</v>
      </c>
      <c r="C3100" s="6" t="s">
        <v>9910</v>
      </c>
      <c r="D3100" s="13">
        <v>11313.4255858</v>
      </c>
      <c r="E3100" s="18">
        <v>10.5</v>
      </c>
      <c r="F3100" s="2">
        <f t="shared" si="96"/>
        <v>12501.335272308999</v>
      </c>
      <c r="G3100" s="3">
        <v>0</v>
      </c>
      <c r="H3100" s="4">
        <v>0.7</v>
      </c>
      <c r="I3100" s="28">
        <f t="shared" si="97"/>
        <v>21252.269962925297</v>
      </c>
    </row>
    <row r="3101" spans="1:9" ht="15.75" customHeight="1" x14ac:dyDescent="0.35">
      <c r="A3101" s="26" t="s">
        <v>5153</v>
      </c>
      <c r="B3101" s="25" t="s">
        <v>998</v>
      </c>
      <c r="C3101" s="6" t="s">
        <v>9911</v>
      </c>
      <c r="D3101" s="13">
        <v>17701.749137638799</v>
      </c>
      <c r="E3101" s="18">
        <v>21</v>
      </c>
      <c r="F3101" s="2">
        <f t="shared" si="96"/>
        <v>21419.116456542946</v>
      </c>
      <c r="G3101" s="3">
        <v>0</v>
      </c>
      <c r="H3101" s="4">
        <v>0.7</v>
      </c>
      <c r="I3101" s="28">
        <f t="shared" si="97"/>
        <v>36412.497976123006</v>
      </c>
    </row>
    <row r="3102" spans="1:9" ht="15.75" customHeight="1" x14ac:dyDescent="0.35">
      <c r="A3102" s="26" t="s">
        <v>5015</v>
      </c>
      <c r="B3102" s="25" t="s">
        <v>502</v>
      </c>
      <c r="C3102" s="6" t="s">
        <v>9912</v>
      </c>
      <c r="D3102" s="13">
        <v>30652.302421450098</v>
      </c>
      <c r="E3102" s="18">
        <v>10.5</v>
      </c>
      <c r="F3102" s="2">
        <f t="shared" si="96"/>
        <v>33870.794175702358</v>
      </c>
      <c r="G3102" s="3">
        <v>0</v>
      </c>
      <c r="H3102" s="4">
        <v>0.7</v>
      </c>
      <c r="I3102" s="28">
        <f t="shared" si="97"/>
        <v>57580.350098694005</v>
      </c>
    </row>
    <row r="3103" spans="1:9" ht="15.75" customHeight="1" x14ac:dyDescent="0.35">
      <c r="A3103" s="26" t="s">
        <v>5154</v>
      </c>
      <c r="B3103" s="25" t="s">
        <v>11006</v>
      </c>
      <c r="C3103" s="6" t="s">
        <v>9913</v>
      </c>
      <c r="D3103" s="13">
        <v>17701.749137638799</v>
      </c>
      <c r="E3103" s="18">
        <v>21</v>
      </c>
      <c r="F3103" s="2">
        <f t="shared" si="96"/>
        <v>21419.116456542946</v>
      </c>
      <c r="G3103" s="3">
        <v>0</v>
      </c>
      <c r="H3103" s="4">
        <v>0.7</v>
      </c>
      <c r="I3103" s="28">
        <f t="shared" si="97"/>
        <v>36412.497976123006</v>
      </c>
    </row>
    <row r="3104" spans="1:9" ht="15.75" customHeight="1" x14ac:dyDescent="0.35">
      <c r="A3104" s="26" t="s">
        <v>5155</v>
      </c>
      <c r="B3104" s="25" t="s">
        <v>9452</v>
      </c>
      <c r="C3104" s="6" t="s">
        <v>9914</v>
      </c>
      <c r="D3104" s="13">
        <v>17701.749137638799</v>
      </c>
      <c r="E3104" s="18">
        <v>21</v>
      </c>
      <c r="F3104" s="2">
        <f t="shared" si="96"/>
        <v>21419.116456542946</v>
      </c>
      <c r="G3104" s="3">
        <v>0</v>
      </c>
      <c r="H3104" s="4">
        <v>0.7</v>
      </c>
      <c r="I3104" s="28">
        <f t="shared" si="97"/>
        <v>36412.497976123006</v>
      </c>
    </row>
    <row r="3105" spans="1:9" ht="15.75" customHeight="1" x14ac:dyDescent="0.35">
      <c r="A3105" s="26" t="s">
        <v>5016</v>
      </c>
      <c r="B3105" s="25" t="s">
        <v>11007</v>
      </c>
      <c r="C3105" s="6" t="s">
        <v>9915</v>
      </c>
      <c r="D3105" s="13">
        <v>30652.302421450098</v>
      </c>
      <c r="E3105" s="18">
        <v>10.5</v>
      </c>
      <c r="F3105" s="2">
        <f t="shared" si="96"/>
        <v>33870.794175702358</v>
      </c>
      <c r="G3105" s="3">
        <v>0</v>
      </c>
      <c r="H3105" s="4">
        <v>0.7</v>
      </c>
      <c r="I3105" s="28">
        <f t="shared" si="97"/>
        <v>57580.350098694005</v>
      </c>
    </row>
    <row r="3106" spans="1:9" ht="15.75" customHeight="1" x14ac:dyDescent="0.35">
      <c r="A3106" s="26" t="s">
        <v>5017</v>
      </c>
      <c r="B3106" s="25" t="s">
        <v>11562</v>
      </c>
      <c r="C3106" s="6" t="s">
        <v>9916</v>
      </c>
      <c r="D3106" s="13">
        <v>30652.302421450098</v>
      </c>
      <c r="E3106" s="18">
        <v>10.5</v>
      </c>
      <c r="F3106" s="2">
        <f t="shared" si="96"/>
        <v>33870.794175702358</v>
      </c>
      <c r="G3106" s="3">
        <v>0</v>
      </c>
      <c r="H3106" s="4">
        <v>0.7</v>
      </c>
      <c r="I3106" s="28">
        <f t="shared" si="97"/>
        <v>57580.350098694005</v>
      </c>
    </row>
    <row r="3107" spans="1:9" ht="15.75" customHeight="1" x14ac:dyDescent="0.35">
      <c r="A3107" s="26" t="s">
        <v>4756</v>
      </c>
      <c r="B3107" s="25" t="s">
        <v>11008</v>
      </c>
      <c r="C3107" s="6" t="s">
        <v>9886</v>
      </c>
      <c r="D3107" s="13">
        <v>17387.639099999898</v>
      </c>
      <c r="E3107" s="18">
        <v>21</v>
      </c>
      <c r="F3107" s="2">
        <f t="shared" si="96"/>
        <v>21039.043310999878</v>
      </c>
      <c r="G3107" s="3">
        <v>0</v>
      </c>
      <c r="H3107" s="4">
        <v>0.7</v>
      </c>
      <c r="I3107" s="28">
        <f t="shared" si="97"/>
        <v>35766.373628699788</v>
      </c>
    </row>
    <row r="3108" spans="1:9" ht="15.75" customHeight="1" x14ac:dyDescent="0.35">
      <c r="A3108" s="26" t="s">
        <v>4766</v>
      </c>
      <c r="B3108" s="25" t="s">
        <v>999</v>
      </c>
      <c r="C3108" s="6" t="s">
        <v>9887</v>
      </c>
      <c r="D3108" s="13">
        <v>17387.639099999898</v>
      </c>
      <c r="E3108" s="18">
        <v>21</v>
      </c>
      <c r="F3108" s="2">
        <f t="shared" si="96"/>
        <v>21039.043310999878</v>
      </c>
      <c r="G3108" s="3">
        <v>0</v>
      </c>
      <c r="H3108" s="4">
        <v>0.7</v>
      </c>
      <c r="I3108" s="28">
        <f t="shared" si="97"/>
        <v>35766.373628699788</v>
      </c>
    </row>
    <row r="3109" spans="1:9" ht="15.75" customHeight="1" x14ac:dyDescent="0.35">
      <c r="A3109" s="26" t="s">
        <v>4738</v>
      </c>
      <c r="B3109" s="25" t="s">
        <v>11009</v>
      </c>
      <c r="C3109" s="6" t="s">
        <v>9888</v>
      </c>
      <c r="D3109" s="13">
        <v>17387.639099999898</v>
      </c>
      <c r="E3109" s="18">
        <v>21</v>
      </c>
      <c r="F3109" s="2">
        <f t="shared" si="96"/>
        <v>21039.043310999878</v>
      </c>
      <c r="G3109" s="3">
        <v>0</v>
      </c>
      <c r="H3109" s="4">
        <v>0.7</v>
      </c>
      <c r="I3109" s="28">
        <f t="shared" si="97"/>
        <v>35766.373628699788</v>
      </c>
    </row>
    <row r="3110" spans="1:9" ht="15.75" customHeight="1" x14ac:dyDescent="0.35">
      <c r="A3110" s="26" t="s">
        <v>8797</v>
      </c>
      <c r="B3110" s="25" t="s">
        <v>503</v>
      </c>
      <c r="C3110" s="6" t="s">
        <v>10492</v>
      </c>
      <c r="D3110" s="13">
        <v>20865.166920000102</v>
      </c>
      <c r="E3110" s="18">
        <v>21</v>
      </c>
      <c r="F3110" s="2">
        <f t="shared" si="96"/>
        <v>25246.851973200122</v>
      </c>
      <c r="G3110" s="3">
        <v>0</v>
      </c>
      <c r="H3110" s="4">
        <v>0.7</v>
      </c>
      <c r="I3110" s="28">
        <f t="shared" si="97"/>
        <v>42919.648354440207</v>
      </c>
    </row>
    <row r="3111" spans="1:9" ht="15.75" customHeight="1" x14ac:dyDescent="0.35">
      <c r="A3111" s="26" t="s">
        <v>8798</v>
      </c>
      <c r="B3111" s="25" t="s">
        <v>1000</v>
      </c>
      <c r="C3111" s="6" t="s">
        <v>9889</v>
      </c>
      <c r="D3111" s="13">
        <v>20865.166920000102</v>
      </c>
      <c r="E3111" s="18">
        <v>21</v>
      </c>
      <c r="F3111" s="2">
        <f t="shared" si="96"/>
        <v>25246.851973200122</v>
      </c>
      <c r="G3111" s="3">
        <v>0</v>
      </c>
      <c r="H3111" s="4">
        <v>0.7</v>
      </c>
      <c r="I3111" s="28">
        <f t="shared" si="97"/>
        <v>42919.648354440207</v>
      </c>
    </row>
    <row r="3112" spans="1:9" ht="15.75" customHeight="1" x14ac:dyDescent="0.35">
      <c r="A3112" s="26" t="s">
        <v>13976</v>
      </c>
      <c r="B3112" s="25" t="s">
        <v>11010</v>
      </c>
      <c r="C3112" s="6" t="s">
        <v>13977</v>
      </c>
      <c r="D3112" s="13">
        <v>632.13727927999901</v>
      </c>
      <c r="E3112" s="18">
        <v>21</v>
      </c>
      <c r="F3112" s="2">
        <f t="shared" si="96"/>
        <v>764.88610792879876</v>
      </c>
      <c r="G3112" s="3">
        <v>0</v>
      </c>
      <c r="H3112" s="4">
        <v>0.7</v>
      </c>
      <c r="I3112" s="28">
        <f t="shared" si="97"/>
        <v>1300.306383478958</v>
      </c>
    </row>
    <row r="3113" spans="1:9" ht="15.75" customHeight="1" x14ac:dyDescent="0.35">
      <c r="A3113" s="26" t="s">
        <v>8944</v>
      </c>
      <c r="B3113" s="25" t="s">
        <v>504</v>
      </c>
      <c r="C3113" s="6" t="s">
        <v>8945</v>
      </c>
      <c r="D3113" s="13">
        <v>277.22129239999998</v>
      </c>
      <c r="E3113" s="18">
        <v>21</v>
      </c>
      <c r="F3113" s="2">
        <f t="shared" si="96"/>
        <v>335.43776380399999</v>
      </c>
      <c r="G3113" s="3">
        <v>0</v>
      </c>
      <c r="H3113" s="4">
        <v>0.7</v>
      </c>
      <c r="I3113" s="28">
        <f t="shared" si="97"/>
        <v>570.24419846679996</v>
      </c>
    </row>
    <row r="3114" spans="1:9" ht="15.75" customHeight="1" x14ac:dyDescent="0.35">
      <c r="A3114" s="26" t="s">
        <v>8946</v>
      </c>
      <c r="B3114" s="25" t="s">
        <v>11011</v>
      </c>
      <c r="C3114" s="6" t="s">
        <v>8947</v>
      </c>
      <c r="D3114" s="13">
        <v>277.22129239999998</v>
      </c>
      <c r="E3114" s="18">
        <v>21</v>
      </c>
      <c r="F3114" s="2">
        <f t="shared" si="96"/>
        <v>335.43776380399999</v>
      </c>
      <c r="G3114" s="3">
        <v>0</v>
      </c>
      <c r="H3114" s="4">
        <v>0.7</v>
      </c>
      <c r="I3114" s="28">
        <f t="shared" si="97"/>
        <v>570.24419846679996</v>
      </c>
    </row>
    <row r="3115" spans="1:9" ht="15.75" customHeight="1" x14ac:dyDescent="0.35">
      <c r="A3115" s="26" t="s">
        <v>1730</v>
      </c>
      <c r="B3115" s="25" t="s">
        <v>11012</v>
      </c>
      <c r="C3115" s="6" t="s">
        <v>13750</v>
      </c>
      <c r="D3115" s="13">
        <v>2826.8291479999998</v>
      </c>
      <c r="E3115" s="18">
        <v>21</v>
      </c>
      <c r="F3115" s="2">
        <f t="shared" si="96"/>
        <v>3420.4632690799999</v>
      </c>
      <c r="G3115" s="3">
        <v>0</v>
      </c>
      <c r="H3115" s="4">
        <v>0.7</v>
      </c>
      <c r="I3115" s="28">
        <f t="shared" si="97"/>
        <v>5814.7875574359996</v>
      </c>
    </row>
    <row r="3116" spans="1:9" ht="15.75" customHeight="1" x14ac:dyDescent="0.35">
      <c r="A3116" s="26" t="s">
        <v>1747</v>
      </c>
      <c r="B3116" s="25" t="s">
        <v>505</v>
      </c>
      <c r="C3116" s="6" t="s">
        <v>9746</v>
      </c>
      <c r="D3116" s="13">
        <v>4192.6514915999996</v>
      </c>
      <c r="E3116" s="18">
        <v>21</v>
      </c>
      <c r="F3116" s="2">
        <f t="shared" si="96"/>
        <v>5073.1083048359997</v>
      </c>
      <c r="G3116" s="3">
        <v>0</v>
      </c>
      <c r="H3116" s="4">
        <v>0.7</v>
      </c>
      <c r="I3116" s="28">
        <f t="shared" si="97"/>
        <v>8624.2841182211996</v>
      </c>
    </row>
    <row r="3117" spans="1:9" ht="15.75" customHeight="1" x14ac:dyDescent="0.35">
      <c r="A3117" s="26" t="s">
        <v>1746</v>
      </c>
      <c r="B3117" s="25" t="s">
        <v>8940</v>
      </c>
      <c r="C3117" s="6" t="s">
        <v>8867</v>
      </c>
      <c r="D3117" s="13">
        <v>4973.865468</v>
      </c>
      <c r="E3117" s="18">
        <v>21</v>
      </c>
      <c r="F3117" s="2">
        <f t="shared" si="96"/>
        <v>6018.3772162799996</v>
      </c>
      <c r="G3117" s="3">
        <v>0</v>
      </c>
      <c r="H3117" s="4">
        <v>0.7</v>
      </c>
      <c r="I3117" s="28">
        <f t="shared" si="97"/>
        <v>10231.241267676</v>
      </c>
    </row>
    <row r="3118" spans="1:9" ht="15.75" customHeight="1" x14ac:dyDescent="0.35">
      <c r="A3118" s="26" t="s">
        <v>9664</v>
      </c>
      <c r="B3118" s="25" t="s">
        <v>506</v>
      </c>
      <c r="C3118" s="6" t="s">
        <v>9665</v>
      </c>
      <c r="D3118" s="13">
        <v>6753.4023699999998</v>
      </c>
      <c r="E3118" s="18">
        <v>21</v>
      </c>
      <c r="F3118" s="2">
        <f t="shared" si="96"/>
        <v>8171.6168676999996</v>
      </c>
      <c r="G3118" s="3">
        <v>0</v>
      </c>
      <c r="H3118" s="4">
        <v>0.7</v>
      </c>
      <c r="I3118" s="28">
        <f t="shared" si="97"/>
        <v>13891.748675089999</v>
      </c>
    </row>
    <row r="3119" spans="1:9" ht="15.75" customHeight="1" x14ac:dyDescent="0.35">
      <c r="A3119" s="26" t="s">
        <v>9666</v>
      </c>
      <c r="B3119" s="25" t="s">
        <v>507</v>
      </c>
      <c r="C3119" s="6" t="s">
        <v>11636</v>
      </c>
      <c r="D3119" s="13">
        <v>5908.2975379999998</v>
      </c>
      <c r="E3119" s="18">
        <v>21</v>
      </c>
      <c r="F3119" s="2">
        <f t="shared" si="96"/>
        <v>7149.04002098</v>
      </c>
      <c r="G3119" s="3">
        <v>0</v>
      </c>
      <c r="H3119" s="4">
        <v>0.7</v>
      </c>
      <c r="I3119" s="28">
        <f t="shared" si="97"/>
        <v>12153.368035665999</v>
      </c>
    </row>
    <row r="3120" spans="1:9" ht="15.75" customHeight="1" x14ac:dyDescent="0.35">
      <c r="A3120" s="26" t="s">
        <v>1748</v>
      </c>
      <c r="B3120" s="25" t="s">
        <v>508</v>
      </c>
      <c r="C3120" s="6" t="s">
        <v>13730</v>
      </c>
      <c r="D3120" s="13">
        <v>4679.7190440000004</v>
      </c>
      <c r="E3120" s="18">
        <v>21</v>
      </c>
      <c r="F3120" s="2">
        <f t="shared" si="96"/>
        <v>5662.4600432400002</v>
      </c>
      <c r="G3120" s="3">
        <v>0</v>
      </c>
      <c r="H3120" s="4">
        <v>0.7</v>
      </c>
      <c r="I3120" s="28">
        <f t="shared" si="97"/>
        <v>9626.182073508</v>
      </c>
    </row>
    <row r="3121" spans="1:9" ht="15.75" customHeight="1" x14ac:dyDescent="0.35">
      <c r="A3121" s="26" t="s">
        <v>1749</v>
      </c>
      <c r="B3121" s="25" t="s">
        <v>509</v>
      </c>
      <c r="C3121" s="6" t="s">
        <v>1150</v>
      </c>
      <c r="D3121" s="13">
        <v>4353.5506871999996</v>
      </c>
      <c r="E3121" s="18">
        <v>21</v>
      </c>
      <c r="F3121" s="2">
        <f t="shared" si="96"/>
        <v>5267.7963315119996</v>
      </c>
      <c r="G3121" s="3">
        <v>0</v>
      </c>
      <c r="H3121" s="4">
        <v>0.7</v>
      </c>
      <c r="I3121" s="28">
        <f t="shared" si="97"/>
        <v>8955.2537635703993</v>
      </c>
    </row>
    <row r="3122" spans="1:9" ht="15.75" customHeight="1" x14ac:dyDescent="0.35">
      <c r="A3122" s="26" t="s">
        <v>11836</v>
      </c>
      <c r="B3122" s="25" t="s">
        <v>510</v>
      </c>
      <c r="C3122" s="6" t="s">
        <v>11837</v>
      </c>
      <c r="D3122" s="13">
        <v>2776.4215336000002</v>
      </c>
      <c r="E3122" s="18">
        <v>21</v>
      </c>
      <c r="F3122" s="2">
        <f t="shared" si="96"/>
        <v>3359.4700556560001</v>
      </c>
      <c r="G3122" s="3">
        <v>0</v>
      </c>
      <c r="H3122" s="4">
        <v>0.7</v>
      </c>
      <c r="I3122" s="28">
        <f t="shared" si="97"/>
        <v>5711.0990946151996</v>
      </c>
    </row>
    <row r="3123" spans="1:9" ht="15.75" customHeight="1" x14ac:dyDescent="0.35">
      <c r="A3123" s="26" t="s">
        <v>1517</v>
      </c>
      <c r="B3123" s="25" t="s">
        <v>511</v>
      </c>
      <c r="C3123" s="6" t="s">
        <v>8819</v>
      </c>
      <c r="D3123" s="13">
        <v>1533.1187482</v>
      </c>
      <c r="E3123" s="18">
        <v>21</v>
      </c>
      <c r="F3123" s="2">
        <f t="shared" si="96"/>
        <v>1855.0736853220001</v>
      </c>
      <c r="G3123" s="3">
        <v>0</v>
      </c>
      <c r="H3123" s="4">
        <v>0.7</v>
      </c>
      <c r="I3123" s="28">
        <f t="shared" si="97"/>
        <v>3153.6252650474003</v>
      </c>
    </row>
    <row r="3124" spans="1:9" ht="15.75" customHeight="1" x14ac:dyDescent="0.35">
      <c r="A3124" s="26" t="s">
        <v>1594</v>
      </c>
      <c r="B3124" s="25" t="s">
        <v>11635</v>
      </c>
      <c r="C3124" s="6" t="s">
        <v>13628</v>
      </c>
      <c r="D3124" s="13">
        <v>2764.6125000000002</v>
      </c>
      <c r="E3124" s="18">
        <v>21</v>
      </c>
      <c r="F3124" s="2">
        <f t="shared" si="96"/>
        <v>3345.1811250000001</v>
      </c>
      <c r="G3124" s="3">
        <v>0</v>
      </c>
      <c r="H3124" s="4">
        <v>0.7</v>
      </c>
      <c r="I3124" s="28">
        <f t="shared" si="97"/>
        <v>5686.8079125000004</v>
      </c>
    </row>
    <row r="3125" spans="1:9" ht="15.75" customHeight="1" x14ac:dyDescent="0.35">
      <c r="A3125" s="26" t="s">
        <v>1516</v>
      </c>
      <c r="B3125" s="25" t="s">
        <v>11013</v>
      </c>
      <c r="C3125" s="6" t="s">
        <v>8820</v>
      </c>
      <c r="D3125" s="13">
        <v>1533.1187482</v>
      </c>
      <c r="E3125" s="18">
        <v>21</v>
      </c>
      <c r="F3125" s="2">
        <f t="shared" si="96"/>
        <v>1855.0736853220001</v>
      </c>
      <c r="G3125" s="3">
        <v>0</v>
      </c>
      <c r="H3125" s="4">
        <v>0.7</v>
      </c>
      <c r="I3125" s="28">
        <f t="shared" si="97"/>
        <v>3153.6252650474003</v>
      </c>
    </row>
    <row r="3126" spans="1:9" ht="15.75" customHeight="1" x14ac:dyDescent="0.35">
      <c r="A3126" s="26" t="s">
        <v>8822</v>
      </c>
      <c r="B3126" s="25" t="s">
        <v>11014</v>
      </c>
      <c r="C3126" s="6" t="s">
        <v>9574</v>
      </c>
      <c r="D3126" s="13">
        <v>21879.641309955001</v>
      </c>
      <c r="E3126" s="18">
        <v>10.5</v>
      </c>
      <c r="F3126" s="2">
        <f t="shared" si="96"/>
        <v>24177.003647500278</v>
      </c>
      <c r="G3126" s="3">
        <v>0</v>
      </c>
      <c r="H3126" s="4">
        <v>0.7</v>
      </c>
      <c r="I3126" s="28">
        <f t="shared" si="97"/>
        <v>41100.906200750469</v>
      </c>
    </row>
    <row r="3127" spans="1:9" ht="15.75" customHeight="1" x14ac:dyDescent="0.35">
      <c r="A3127" s="26" t="s">
        <v>8821</v>
      </c>
      <c r="B3127" s="25" t="s">
        <v>11015</v>
      </c>
      <c r="C3127" s="6" t="s">
        <v>9296</v>
      </c>
      <c r="D3127" s="13">
        <v>9550.0299190887508</v>
      </c>
      <c r="E3127" s="18">
        <v>10.5</v>
      </c>
      <c r="F3127" s="2">
        <f t="shared" si="96"/>
        <v>10552.78306059307</v>
      </c>
      <c r="G3127" s="3">
        <v>0</v>
      </c>
      <c r="H3127" s="4">
        <v>0.7</v>
      </c>
      <c r="I3127" s="28">
        <f t="shared" si="97"/>
        <v>17939.731203008218</v>
      </c>
    </row>
    <row r="3128" spans="1:9" ht="15.75" customHeight="1" x14ac:dyDescent="0.35">
      <c r="A3128" s="26" t="s">
        <v>8818</v>
      </c>
      <c r="B3128" s="25" t="s">
        <v>8941</v>
      </c>
      <c r="C3128" s="6" t="s">
        <v>9297</v>
      </c>
      <c r="D3128" s="13">
        <v>98177.877672875009</v>
      </c>
      <c r="E3128" s="18">
        <v>10.5</v>
      </c>
      <c r="F3128" s="2">
        <f t="shared" si="96"/>
        <v>108486.55482852689</v>
      </c>
      <c r="G3128" s="3">
        <v>0</v>
      </c>
      <c r="H3128" s="4">
        <v>0.7</v>
      </c>
      <c r="I3128" s="28">
        <f t="shared" si="97"/>
        <v>184427.14320849572</v>
      </c>
    </row>
    <row r="3129" spans="1:9" ht="15.75" customHeight="1" x14ac:dyDescent="0.35">
      <c r="A3129" s="26" t="s">
        <v>10200</v>
      </c>
      <c r="B3129" s="25" t="s">
        <v>8943</v>
      </c>
      <c r="C3129" s="6" t="s">
        <v>10201</v>
      </c>
      <c r="D3129" s="13">
        <v>5212.8420500000002</v>
      </c>
      <c r="E3129" s="18">
        <v>21</v>
      </c>
      <c r="F3129" s="2">
        <f t="shared" si="96"/>
        <v>6307.5388805000002</v>
      </c>
      <c r="G3129" s="3">
        <v>0</v>
      </c>
      <c r="H3129" s="4">
        <v>0.7</v>
      </c>
      <c r="I3129" s="28">
        <f t="shared" si="97"/>
        <v>10722.81609685</v>
      </c>
    </row>
    <row r="3130" spans="1:9" ht="15.75" customHeight="1" x14ac:dyDescent="0.35">
      <c r="A3130" s="26" t="s">
        <v>2483</v>
      </c>
      <c r="B3130" s="25" t="s">
        <v>9367</v>
      </c>
      <c r="C3130" s="6" t="s">
        <v>1001</v>
      </c>
      <c r="D3130" s="13">
        <v>477.14916599999998</v>
      </c>
      <c r="E3130" s="18">
        <v>21</v>
      </c>
      <c r="F3130" s="2">
        <f t="shared" si="96"/>
        <v>577.35049086000004</v>
      </c>
      <c r="G3130" s="3">
        <v>0</v>
      </c>
      <c r="H3130" s="4">
        <v>0.7</v>
      </c>
      <c r="I3130" s="28">
        <f t="shared" si="97"/>
        <v>981.49583446200006</v>
      </c>
    </row>
    <row r="3131" spans="1:9" ht="15.75" customHeight="1" x14ac:dyDescent="0.35">
      <c r="A3131" s="26" t="s">
        <v>2484</v>
      </c>
      <c r="B3131" s="25" t="s">
        <v>9368</v>
      </c>
      <c r="C3131" s="6" t="s">
        <v>1002</v>
      </c>
      <c r="D3131" s="13">
        <v>850.51164900000003</v>
      </c>
      <c r="E3131" s="18">
        <v>21</v>
      </c>
      <c r="F3131" s="2">
        <f t="shared" si="96"/>
        <v>1029.1190952900001</v>
      </c>
      <c r="G3131" s="3">
        <v>0</v>
      </c>
      <c r="H3131" s="4">
        <v>0.7</v>
      </c>
      <c r="I3131" s="28">
        <f t="shared" si="97"/>
        <v>1749.5024619930002</v>
      </c>
    </row>
    <row r="3132" spans="1:9" ht="15.75" customHeight="1" x14ac:dyDescent="0.35">
      <c r="A3132" s="26" t="s">
        <v>2485</v>
      </c>
      <c r="B3132" s="25" t="s">
        <v>9369</v>
      </c>
      <c r="C3132" s="6" t="s">
        <v>1003</v>
      </c>
      <c r="D3132" s="13">
        <v>709.65829350000001</v>
      </c>
      <c r="E3132" s="18">
        <v>21</v>
      </c>
      <c r="F3132" s="2">
        <f t="shared" si="96"/>
        <v>858.68653513499999</v>
      </c>
      <c r="G3132" s="3">
        <v>0</v>
      </c>
      <c r="H3132" s="4">
        <v>0.7</v>
      </c>
      <c r="I3132" s="28">
        <f t="shared" si="97"/>
        <v>1459.7671097294999</v>
      </c>
    </row>
    <row r="3133" spans="1:9" ht="15.75" customHeight="1" x14ac:dyDescent="0.35">
      <c r="A3133" s="26" t="s">
        <v>3460</v>
      </c>
      <c r="B3133" s="25" t="s">
        <v>512</v>
      </c>
      <c r="C3133" s="6" t="s">
        <v>539</v>
      </c>
      <c r="D3133" s="13">
        <v>681.03359999999998</v>
      </c>
      <c r="E3133" s="18">
        <v>21</v>
      </c>
      <c r="F3133" s="2">
        <f t="shared" si="96"/>
        <v>824.050656</v>
      </c>
      <c r="G3133" s="3">
        <v>0</v>
      </c>
      <c r="H3133" s="4">
        <v>0.7</v>
      </c>
      <c r="I3133" s="28">
        <f t="shared" si="97"/>
        <v>1400.8861151999999</v>
      </c>
    </row>
    <row r="3134" spans="1:9" ht="15.75" customHeight="1" x14ac:dyDescent="0.35">
      <c r="A3134" s="26" t="s">
        <v>4319</v>
      </c>
      <c r="B3134" s="25" t="s">
        <v>513</v>
      </c>
      <c r="C3134" s="6" t="s">
        <v>12962</v>
      </c>
      <c r="D3134" s="13">
        <v>14794.347749999999</v>
      </c>
      <c r="E3134" s="18">
        <v>21</v>
      </c>
      <c r="F3134" s="2">
        <f t="shared" si="96"/>
        <v>17901.160777499997</v>
      </c>
      <c r="G3134" s="3">
        <v>0</v>
      </c>
      <c r="H3134" s="4">
        <v>0.7</v>
      </c>
      <c r="I3134" s="28">
        <f t="shared" si="97"/>
        <v>30431.973321749996</v>
      </c>
    </row>
    <row r="3135" spans="1:9" ht="15.75" customHeight="1" x14ac:dyDescent="0.35">
      <c r="A3135" s="26" t="s">
        <v>4311</v>
      </c>
      <c r="B3135" s="25" t="s">
        <v>10489</v>
      </c>
      <c r="C3135" s="6" t="s">
        <v>13205</v>
      </c>
      <c r="D3135" s="13">
        <v>3912.8760450000004</v>
      </c>
      <c r="E3135" s="18">
        <v>21</v>
      </c>
      <c r="F3135" s="2">
        <f t="shared" si="96"/>
        <v>4734.5800144500008</v>
      </c>
      <c r="G3135" s="3">
        <v>0</v>
      </c>
      <c r="H3135" s="4">
        <v>0.7</v>
      </c>
      <c r="I3135" s="28">
        <f t="shared" si="97"/>
        <v>8048.7860245650008</v>
      </c>
    </row>
    <row r="3136" spans="1:9" ht="15.75" customHeight="1" x14ac:dyDescent="0.35">
      <c r="A3136" s="26" t="s">
        <v>10320</v>
      </c>
      <c r="B3136" s="25" t="s">
        <v>13108</v>
      </c>
      <c r="C3136" s="6" t="s">
        <v>12112</v>
      </c>
      <c r="D3136" s="13">
        <v>7418.399625</v>
      </c>
      <c r="E3136" s="18">
        <v>21</v>
      </c>
      <c r="F3136" s="2">
        <f t="shared" si="96"/>
        <v>8976.2635462500002</v>
      </c>
      <c r="G3136" s="3">
        <v>0</v>
      </c>
      <c r="H3136" s="4">
        <v>0.7</v>
      </c>
      <c r="I3136" s="28">
        <f t="shared" si="97"/>
        <v>15259.648028625001</v>
      </c>
    </row>
    <row r="3137" spans="1:9" ht="15.75" customHeight="1" x14ac:dyDescent="0.35">
      <c r="A3137" s="26" t="s">
        <v>4312</v>
      </c>
      <c r="B3137" s="25" t="s">
        <v>514</v>
      </c>
      <c r="C3137" s="6" t="s">
        <v>12623</v>
      </c>
      <c r="D3137" s="13">
        <v>3912.8760450000004</v>
      </c>
      <c r="E3137" s="18">
        <v>21</v>
      </c>
      <c r="F3137" s="2">
        <f t="shared" si="96"/>
        <v>4734.5800144500008</v>
      </c>
      <c r="G3137" s="3">
        <v>0</v>
      </c>
      <c r="H3137" s="4">
        <v>0.7</v>
      </c>
      <c r="I3137" s="28">
        <f t="shared" si="97"/>
        <v>8048.7860245650008</v>
      </c>
    </row>
    <row r="3138" spans="1:9" ht="15.75" customHeight="1" x14ac:dyDescent="0.35">
      <c r="A3138" s="26" t="s">
        <v>10321</v>
      </c>
      <c r="B3138" s="25" t="s">
        <v>515</v>
      </c>
      <c r="C3138" s="6" t="s">
        <v>12113</v>
      </c>
      <c r="D3138" s="13">
        <v>7418.399625</v>
      </c>
      <c r="E3138" s="18">
        <v>21</v>
      </c>
      <c r="F3138" s="2">
        <f t="shared" si="96"/>
        <v>8976.2635462500002</v>
      </c>
      <c r="G3138" s="3">
        <v>0</v>
      </c>
      <c r="H3138" s="4">
        <v>0.7</v>
      </c>
      <c r="I3138" s="28">
        <f t="shared" si="97"/>
        <v>15259.648028625001</v>
      </c>
    </row>
    <row r="3139" spans="1:9" ht="15.75" customHeight="1" x14ac:dyDescent="0.35">
      <c r="A3139" s="26" t="s">
        <v>4313</v>
      </c>
      <c r="B3139" s="25" t="s">
        <v>516</v>
      </c>
      <c r="C3139" s="6" t="s">
        <v>12114</v>
      </c>
      <c r="D3139" s="13">
        <v>3912.8760450000004</v>
      </c>
      <c r="E3139" s="18">
        <v>21</v>
      </c>
      <c r="F3139" s="2">
        <f t="shared" si="96"/>
        <v>4734.5800144500008</v>
      </c>
      <c r="G3139" s="3">
        <v>0</v>
      </c>
      <c r="H3139" s="4">
        <v>0.7</v>
      </c>
      <c r="I3139" s="28">
        <f t="shared" si="97"/>
        <v>8048.7860245650008</v>
      </c>
    </row>
    <row r="3140" spans="1:9" ht="15.75" customHeight="1" x14ac:dyDescent="0.35">
      <c r="A3140" s="26" t="s">
        <v>12716</v>
      </c>
      <c r="B3140" s="25" t="s">
        <v>11301</v>
      </c>
      <c r="C3140" s="6" t="s">
        <v>12717</v>
      </c>
      <c r="D3140" s="13">
        <v>7418.399625</v>
      </c>
      <c r="E3140" s="18">
        <v>21</v>
      </c>
      <c r="F3140" s="2">
        <f t="shared" si="96"/>
        <v>8976.2635462500002</v>
      </c>
      <c r="G3140" s="3">
        <v>0</v>
      </c>
      <c r="H3140" s="4">
        <v>0.7</v>
      </c>
      <c r="I3140" s="28">
        <f t="shared" si="97"/>
        <v>15259.648028625001</v>
      </c>
    </row>
    <row r="3141" spans="1:9" ht="15.75" customHeight="1" x14ac:dyDescent="0.35">
      <c r="A3141" s="26" t="s">
        <v>4323</v>
      </c>
      <c r="B3141" s="25" t="s">
        <v>517</v>
      </c>
      <c r="C3141" s="6" t="s">
        <v>12115</v>
      </c>
      <c r="D3141" s="13">
        <v>14692.211462499999</v>
      </c>
      <c r="E3141" s="18">
        <v>21</v>
      </c>
      <c r="F3141" s="2">
        <f t="shared" si="96"/>
        <v>17777.575869624998</v>
      </c>
      <c r="G3141" s="3">
        <v>0</v>
      </c>
      <c r="H3141" s="4">
        <v>0.7</v>
      </c>
      <c r="I3141" s="28">
        <f t="shared" si="97"/>
        <v>30221.878978362496</v>
      </c>
    </row>
    <row r="3142" spans="1:9" ht="15.75" customHeight="1" x14ac:dyDescent="0.35">
      <c r="A3142" s="26" t="s">
        <v>4341</v>
      </c>
      <c r="B3142" s="25" t="s">
        <v>10490</v>
      </c>
      <c r="C3142" s="6" t="s">
        <v>13185</v>
      </c>
      <c r="D3142" s="13">
        <v>4292.4834224999995</v>
      </c>
      <c r="E3142" s="18">
        <v>21</v>
      </c>
      <c r="F3142" s="2">
        <f t="shared" ref="F3142:F3205" si="98">D3142*E3142/100+D3142</f>
        <v>5193.9049412249997</v>
      </c>
      <c r="G3142" s="3">
        <v>0</v>
      </c>
      <c r="H3142" s="4">
        <v>0.7</v>
      </c>
      <c r="I3142" s="28">
        <f t="shared" ref="I3142:I3205" si="99">IF(G3142=-1,0,F3142*((100-G3142)/100)*(1+H3142))</f>
        <v>8829.6384000825001</v>
      </c>
    </row>
    <row r="3143" spans="1:9" ht="15.75" customHeight="1" x14ac:dyDescent="0.35">
      <c r="A3143" s="26" t="s">
        <v>10327</v>
      </c>
      <c r="B3143" s="25" t="s">
        <v>9370</v>
      </c>
      <c r="C3143" s="6" t="s">
        <v>12116</v>
      </c>
      <c r="D3143" s="13">
        <v>8087.0107500000004</v>
      </c>
      <c r="E3143" s="18">
        <v>21</v>
      </c>
      <c r="F3143" s="2">
        <f t="shared" si="98"/>
        <v>9785.2830075000002</v>
      </c>
      <c r="G3143" s="3">
        <v>0</v>
      </c>
      <c r="H3143" s="4">
        <v>0.7</v>
      </c>
      <c r="I3143" s="28">
        <f t="shared" si="99"/>
        <v>16634.98111275</v>
      </c>
    </row>
    <row r="3144" spans="1:9" ht="15.75" customHeight="1" x14ac:dyDescent="0.35">
      <c r="A3144" s="26" t="s">
        <v>4342</v>
      </c>
      <c r="B3144" s="25" t="s">
        <v>9371</v>
      </c>
      <c r="C3144" s="6" t="s">
        <v>13240</v>
      </c>
      <c r="D3144" s="13">
        <v>4292.4834224999995</v>
      </c>
      <c r="E3144" s="18">
        <v>21</v>
      </c>
      <c r="F3144" s="2">
        <f t="shared" si="98"/>
        <v>5193.9049412249997</v>
      </c>
      <c r="G3144" s="3">
        <v>0</v>
      </c>
      <c r="H3144" s="4">
        <v>0.7</v>
      </c>
      <c r="I3144" s="28">
        <f t="shared" si="99"/>
        <v>8829.6384000825001</v>
      </c>
    </row>
    <row r="3145" spans="1:9" ht="15.75" customHeight="1" x14ac:dyDescent="0.35">
      <c r="A3145" s="26" t="s">
        <v>10328</v>
      </c>
      <c r="B3145" s="25" t="s">
        <v>9372</v>
      </c>
      <c r="C3145" s="6" t="s">
        <v>12117</v>
      </c>
      <c r="D3145" s="13">
        <v>8087.0107500000004</v>
      </c>
      <c r="E3145" s="18">
        <v>21</v>
      </c>
      <c r="F3145" s="2">
        <f t="shared" si="98"/>
        <v>9785.2830075000002</v>
      </c>
      <c r="G3145" s="3">
        <v>0</v>
      </c>
      <c r="H3145" s="4">
        <v>0.7</v>
      </c>
      <c r="I3145" s="28">
        <f t="shared" si="99"/>
        <v>16634.98111275</v>
      </c>
    </row>
    <row r="3146" spans="1:9" ht="15.75" customHeight="1" x14ac:dyDescent="0.35">
      <c r="A3146" s="26" t="s">
        <v>11066</v>
      </c>
      <c r="B3146" s="25" t="s">
        <v>518</v>
      </c>
      <c r="C3146" s="6" t="s">
        <v>12118</v>
      </c>
      <c r="D3146" s="13">
        <v>5754.0042709500003</v>
      </c>
      <c r="E3146" s="18">
        <v>21</v>
      </c>
      <c r="F3146" s="2">
        <f t="shared" si="98"/>
        <v>6962.3451678495003</v>
      </c>
      <c r="G3146" s="3">
        <v>0</v>
      </c>
      <c r="H3146" s="4">
        <v>0.7</v>
      </c>
      <c r="I3146" s="28">
        <f t="shared" si="99"/>
        <v>11835.98678534415</v>
      </c>
    </row>
    <row r="3147" spans="1:9" ht="15.75" customHeight="1" x14ac:dyDescent="0.35">
      <c r="A3147" s="26" t="s">
        <v>4343</v>
      </c>
      <c r="B3147" s="25" t="s">
        <v>10491</v>
      </c>
      <c r="C3147" s="6" t="s">
        <v>12119</v>
      </c>
      <c r="D3147" s="13">
        <v>4292.4834224999995</v>
      </c>
      <c r="E3147" s="18">
        <v>21</v>
      </c>
      <c r="F3147" s="2">
        <f t="shared" si="98"/>
        <v>5193.9049412249997</v>
      </c>
      <c r="G3147" s="3">
        <v>0</v>
      </c>
      <c r="H3147" s="4">
        <v>0.7</v>
      </c>
      <c r="I3147" s="28">
        <f t="shared" si="99"/>
        <v>8829.6384000825001</v>
      </c>
    </row>
    <row r="3148" spans="1:9" ht="15.75" customHeight="1" x14ac:dyDescent="0.35">
      <c r="A3148" s="26" t="s">
        <v>4353</v>
      </c>
      <c r="B3148" s="25" t="s">
        <v>519</v>
      </c>
      <c r="C3148" s="6" t="s">
        <v>12120</v>
      </c>
      <c r="D3148" s="13">
        <v>14692.211462499999</v>
      </c>
      <c r="E3148" s="18">
        <v>21</v>
      </c>
      <c r="F3148" s="2">
        <f t="shared" si="98"/>
        <v>17777.575869624998</v>
      </c>
      <c r="G3148" s="3">
        <v>0</v>
      </c>
      <c r="H3148" s="4">
        <v>0.7</v>
      </c>
      <c r="I3148" s="28">
        <f t="shared" si="99"/>
        <v>30221.878978362496</v>
      </c>
    </row>
    <row r="3149" spans="1:9" ht="15.75" customHeight="1" x14ac:dyDescent="0.35">
      <c r="A3149" s="26" t="s">
        <v>4314</v>
      </c>
      <c r="B3149" s="25" t="s">
        <v>520</v>
      </c>
      <c r="C3149" s="6" t="s">
        <v>12602</v>
      </c>
      <c r="D3149" s="13">
        <v>4808.3601150000004</v>
      </c>
      <c r="E3149" s="18">
        <v>21</v>
      </c>
      <c r="F3149" s="2">
        <f t="shared" si="98"/>
        <v>5818.1157391500001</v>
      </c>
      <c r="G3149" s="3">
        <v>0</v>
      </c>
      <c r="H3149" s="4">
        <v>0.7</v>
      </c>
      <c r="I3149" s="28">
        <f t="shared" si="99"/>
        <v>9890.7967565550007</v>
      </c>
    </row>
    <row r="3150" spans="1:9" ht="15.75" customHeight="1" x14ac:dyDescent="0.35">
      <c r="A3150" s="26" t="s">
        <v>10322</v>
      </c>
      <c r="B3150" s="25" t="s">
        <v>521</v>
      </c>
      <c r="C3150" s="6" t="s">
        <v>12121</v>
      </c>
      <c r="D3150" s="13">
        <v>9678.9420000000009</v>
      </c>
      <c r="E3150" s="18">
        <v>21</v>
      </c>
      <c r="F3150" s="2">
        <f t="shared" si="98"/>
        <v>11711.519820000001</v>
      </c>
      <c r="G3150" s="3">
        <v>0</v>
      </c>
      <c r="H3150" s="4">
        <v>0.7</v>
      </c>
      <c r="I3150" s="28">
        <f t="shared" si="99"/>
        <v>19909.583694000001</v>
      </c>
    </row>
    <row r="3151" spans="1:9" ht="15.75" customHeight="1" x14ac:dyDescent="0.35">
      <c r="A3151" s="26" t="s">
        <v>4315</v>
      </c>
      <c r="B3151" s="25" t="s">
        <v>522</v>
      </c>
      <c r="C3151" s="6" t="s">
        <v>12607</v>
      </c>
      <c r="D3151" s="13">
        <v>4808.3601150000004</v>
      </c>
      <c r="E3151" s="18">
        <v>21</v>
      </c>
      <c r="F3151" s="2">
        <f t="shared" si="98"/>
        <v>5818.1157391500001</v>
      </c>
      <c r="G3151" s="3">
        <v>0</v>
      </c>
      <c r="H3151" s="4">
        <v>0.7</v>
      </c>
      <c r="I3151" s="28">
        <f t="shared" si="99"/>
        <v>9890.7967565550007</v>
      </c>
    </row>
    <row r="3152" spans="1:9" ht="15.75" customHeight="1" x14ac:dyDescent="0.35">
      <c r="A3152" s="26" t="s">
        <v>10323</v>
      </c>
      <c r="B3152" s="25" t="s">
        <v>11859</v>
      </c>
      <c r="C3152" s="6" t="s">
        <v>12122</v>
      </c>
      <c r="D3152" s="13">
        <v>9678.9420000000009</v>
      </c>
      <c r="E3152" s="18">
        <v>21</v>
      </c>
      <c r="F3152" s="2">
        <f t="shared" si="98"/>
        <v>11711.519820000001</v>
      </c>
      <c r="G3152" s="3">
        <v>0</v>
      </c>
      <c r="H3152" s="4">
        <v>0.7</v>
      </c>
      <c r="I3152" s="28">
        <f t="shared" si="99"/>
        <v>19909.583694000001</v>
      </c>
    </row>
    <row r="3153" spans="1:9" ht="15.75" customHeight="1" x14ac:dyDescent="0.35">
      <c r="A3153" s="26" t="s">
        <v>4316</v>
      </c>
      <c r="B3153" s="25" t="s">
        <v>523</v>
      </c>
      <c r="C3153" s="6" t="s">
        <v>12123</v>
      </c>
      <c r="D3153" s="13">
        <v>4808.3601150000004</v>
      </c>
      <c r="E3153" s="18">
        <v>21</v>
      </c>
      <c r="F3153" s="2">
        <f t="shared" si="98"/>
        <v>5818.1157391500001</v>
      </c>
      <c r="G3153" s="3">
        <v>0</v>
      </c>
      <c r="H3153" s="4">
        <v>0.7</v>
      </c>
      <c r="I3153" s="28">
        <f t="shared" si="99"/>
        <v>9890.7967565550007</v>
      </c>
    </row>
    <row r="3154" spans="1:9" ht="15.75" customHeight="1" x14ac:dyDescent="0.35">
      <c r="A3154" s="26" t="s">
        <v>10324</v>
      </c>
      <c r="B3154" s="25" t="s">
        <v>524</v>
      </c>
      <c r="C3154" s="6" t="s">
        <v>12124</v>
      </c>
      <c r="D3154" s="13">
        <v>9678.9420000000009</v>
      </c>
      <c r="E3154" s="18">
        <v>21</v>
      </c>
      <c r="F3154" s="2">
        <f t="shared" si="98"/>
        <v>11711.519820000001</v>
      </c>
      <c r="G3154" s="3">
        <v>0</v>
      </c>
      <c r="H3154" s="4">
        <v>0.7</v>
      </c>
      <c r="I3154" s="28">
        <f t="shared" si="99"/>
        <v>19909.583694000001</v>
      </c>
    </row>
    <row r="3155" spans="1:9" ht="15.75" customHeight="1" x14ac:dyDescent="0.35">
      <c r="A3155" s="26" t="s">
        <v>4344</v>
      </c>
      <c r="B3155" s="25" t="s">
        <v>525</v>
      </c>
      <c r="C3155" s="6" t="s">
        <v>12884</v>
      </c>
      <c r="D3155" s="13">
        <v>5567.5748699999995</v>
      </c>
      <c r="E3155" s="18">
        <v>21</v>
      </c>
      <c r="F3155" s="2">
        <f t="shared" si="98"/>
        <v>6736.7655926999996</v>
      </c>
      <c r="G3155" s="3">
        <v>0</v>
      </c>
      <c r="H3155" s="4">
        <v>0.7</v>
      </c>
      <c r="I3155" s="28">
        <f t="shared" si="99"/>
        <v>11452.501507589999</v>
      </c>
    </row>
    <row r="3156" spans="1:9" ht="15.75" customHeight="1" x14ac:dyDescent="0.35">
      <c r="A3156" s="26" t="s">
        <v>10329</v>
      </c>
      <c r="B3156" s="25" t="s">
        <v>526</v>
      </c>
      <c r="C3156" s="6" t="s">
        <v>12125</v>
      </c>
      <c r="D3156" s="13">
        <v>11185.97025</v>
      </c>
      <c r="E3156" s="18">
        <v>21</v>
      </c>
      <c r="F3156" s="2">
        <f t="shared" si="98"/>
        <v>13535.0240025</v>
      </c>
      <c r="G3156" s="3">
        <v>0</v>
      </c>
      <c r="H3156" s="4">
        <v>0.7</v>
      </c>
      <c r="I3156" s="28">
        <f t="shared" si="99"/>
        <v>23009.540804249998</v>
      </c>
    </row>
    <row r="3157" spans="1:9" ht="15.75" customHeight="1" x14ac:dyDescent="0.35">
      <c r="A3157" s="26" t="s">
        <v>4345</v>
      </c>
      <c r="B3157" s="25" t="s">
        <v>527</v>
      </c>
      <c r="C3157" s="6" t="s">
        <v>12718</v>
      </c>
      <c r="D3157" s="13">
        <v>5567.5748699999995</v>
      </c>
      <c r="E3157" s="18">
        <v>21</v>
      </c>
      <c r="F3157" s="2">
        <f t="shared" si="98"/>
        <v>6736.7655926999996</v>
      </c>
      <c r="G3157" s="3">
        <v>0</v>
      </c>
      <c r="H3157" s="4">
        <v>0.7</v>
      </c>
      <c r="I3157" s="28">
        <f t="shared" si="99"/>
        <v>11452.501507589999</v>
      </c>
    </row>
    <row r="3158" spans="1:9" ht="15.75" customHeight="1" x14ac:dyDescent="0.35">
      <c r="A3158" s="26" t="s">
        <v>10330</v>
      </c>
      <c r="B3158" s="25" t="s">
        <v>1153</v>
      </c>
      <c r="C3158" s="6" t="s">
        <v>12126</v>
      </c>
      <c r="D3158" s="13">
        <v>11185.97025</v>
      </c>
      <c r="E3158" s="18">
        <v>21</v>
      </c>
      <c r="F3158" s="2">
        <f t="shared" si="98"/>
        <v>13535.0240025</v>
      </c>
      <c r="G3158" s="3">
        <v>0</v>
      </c>
      <c r="H3158" s="4">
        <v>0.7</v>
      </c>
      <c r="I3158" s="28">
        <f t="shared" si="99"/>
        <v>23009.540804249998</v>
      </c>
    </row>
    <row r="3159" spans="1:9" ht="15.75" customHeight="1" x14ac:dyDescent="0.35">
      <c r="A3159" s="26" t="s">
        <v>11067</v>
      </c>
      <c r="B3159" s="25" t="s">
        <v>1154</v>
      </c>
      <c r="C3159" s="6" t="s">
        <v>12127</v>
      </c>
      <c r="D3159" s="13">
        <v>7597.2089816999996</v>
      </c>
      <c r="E3159" s="18">
        <v>21</v>
      </c>
      <c r="F3159" s="2">
        <f t="shared" si="98"/>
        <v>9192.6228678569987</v>
      </c>
      <c r="G3159" s="3">
        <v>0</v>
      </c>
      <c r="H3159" s="4">
        <v>0.7</v>
      </c>
      <c r="I3159" s="28">
        <f t="shared" si="99"/>
        <v>15627.458875356897</v>
      </c>
    </row>
    <row r="3160" spans="1:9" ht="15.75" customHeight="1" x14ac:dyDescent="0.35">
      <c r="A3160" s="26" t="s">
        <v>13830</v>
      </c>
      <c r="B3160" s="25" t="s">
        <v>11016</v>
      </c>
      <c r="C3160" s="6" t="s">
        <v>13831</v>
      </c>
      <c r="D3160" s="13">
        <v>11193.399262500001</v>
      </c>
      <c r="E3160" s="18">
        <v>21</v>
      </c>
      <c r="F3160" s="2">
        <f t="shared" si="98"/>
        <v>13544.013107625002</v>
      </c>
      <c r="G3160" s="3">
        <v>0</v>
      </c>
      <c r="H3160" s="4">
        <v>0.7</v>
      </c>
      <c r="I3160" s="28">
        <f t="shared" si="99"/>
        <v>23024.822282962501</v>
      </c>
    </row>
    <row r="3161" spans="1:9" ht="15.75" customHeight="1" x14ac:dyDescent="0.35">
      <c r="A3161" s="26" t="s">
        <v>4355</v>
      </c>
      <c r="B3161" s="25" t="s">
        <v>12205</v>
      </c>
      <c r="C3161" s="6" t="s">
        <v>12128</v>
      </c>
      <c r="D3161" s="13">
        <v>18713.237757499999</v>
      </c>
      <c r="E3161" s="18">
        <v>21</v>
      </c>
      <c r="F3161" s="2">
        <f t="shared" si="98"/>
        <v>22643.017686575</v>
      </c>
      <c r="G3161" s="3">
        <v>0</v>
      </c>
      <c r="H3161" s="4">
        <v>0.7</v>
      </c>
      <c r="I3161" s="28">
        <f t="shared" si="99"/>
        <v>38493.130067177502</v>
      </c>
    </row>
    <row r="3162" spans="1:9" ht="15.75" customHeight="1" x14ac:dyDescent="0.35">
      <c r="A3162" s="26" t="s">
        <v>4354</v>
      </c>
      <c r="B3162" s="25" t="s">
        <v>12206</v>
      </c>
      <c r="C3162" s="6" t="s">
        <v>12129</v>
      </c>
      <c r="D3162" s="13">
        <v>18713.237757499999</v>
      </c>
      <c r="E3162" s="18">
        <v>21</v>
      </c>
      <c r="F3162" s="2">
        <f t="shared" si="98"/>
        <v>22643.017686575</v>
      </c>
      <c r="G3162" s="3">
        <v>0</v>
      </c>
      <c r="H3162" s="4">
        <v>0.7</v>
      </c>
      <c r="I3162" s="28">
        <f t="shared" si="99"/>
        <v>38493.130067177502</v>
      </c>
    </row>
    <row r="3163" spans="1:9" ht="15.75" customHeight="1" x14ac:dyDescent="0.35">
      <c r="A3163" s="26" t="s">
        <v>4394</v>
      </c>
      <c r="B3163" s="25" t="s">
        <v>12207</v>
      </c>
      <c r="C3163" s="6" t="s">
        <v>12130</v>
      </c>
      <c r="D3163" s="13">
        <v>25369.453043999998</v>
      </c>
      <c r="E3163" s="18">
        <v>21</v>
      </c>
      <c r="F3163" s="2">
        <f t="shared" si="98"/>
        <v>30697.038183239998</v>
      </c>
      <c r="G3163" s="3">
        <v>0</v>
      </c>
      <c r="H3163" s="4">
        <v>0.7</v>
      </c>
      <c r="I3163" s="28">
        <f t="shared" si="99"/>
        <v>52184.964911507996</v>
      </c>
    </row>
    <row r="3164" spans="1:9" ht="15.75" customHeight="1" x14ac:dyDescent="0.35">
      <c r="A3164" s="26" t="s">
        <v>4317</v>
      </c>
      <c r="B3164" s="25" t="s">
        <v>12208</v>
      </c>
      <c r="C3164" s="6" t="s">
        <v>12131</v>
      </c>
      <c r="D3164" s="13">
        <v>8935.3736550000012</v>
      </c>
      <c r="E3164" s="18">
        <v>21</v>
      </c>
      <c r="F3164" s="2">
        <f t="shared" si="98"/>
        <v>10811.802122550002</v>
      </c>
      <c r="G3164" s="3">
        <v>0</v>
      </c>
      <c r="H3164" s="4">
        <v>0.7</v>
      </c>
      <c r="I3164" s="28">
        <f t="shared" si="99"/>
        <v>18380.063608335004</v>
      </c>
    </row>
    <row r="3165" spans="1:9" ht="15.75" customHeight="1" x14ac:dyDescent="0.35">
      <c r="A3165" s="26" t="s">
        <v>10325</v>
      </c>
      <c r="B3165" s="25" t="s">
        <v>528</v>
      </c>
      <c r="C3165" s="6" t="s">
        <v>12132</v>
      </c>
      <c r="D3165" s="13">
        <v>14794.347749999999</v>
      </c>
      <c r="E3165" s="18">
        <v>21</v>
      </c>
      <c r="F3165" s="2">
        <f t="shared" si="98"/>
        <v>17901.160777499997</v>
      </c>
      <c r="G3165" s="3">
        <v>0</v>
      </c>
      <c r="H3165" s="4">
        <v>0.7</v>
      </c>
      <c r="I3165" s="28">
        <f t="shared" si="99"/>
        <v>30431.973321749996</v>
      </c>
    </row>
    <row r="3166" spans="1:9" ht="15.75" customHeight="1" x14ac:dyDescent="0.35">
      <c r="A3166" s="26" t="s">
        <v>4318</v>
      </c>
      <c r="B3166" s="25" t="s">
        <v>529</v>
      </c>
      <c r="C3166" s="6" t="s">
        <v>12330</v>
      </c>
      <c r="D3166" s="13">
        <v>8935.3736550000012</v>
      </c>
      <c r="E3166" s="18">
        <v>21</v>
      </c>
      <c r="F3166" s="2">
        <f t="shared" si="98"/>
        <v>10811.802122550002</v>
      </c>
      <c r="G3166" s="3">
        <v>0</v>
      </c>
      <c r="H3166" s="4">
        <v>0.7</v>
      </c>
      <c r="I3166" s="28">
        <f t="shared" si="99"/>
        <v>18380.063608335004</v>
      </c>
    </row>
    <row r="3167" spans="1:9" ht="15.75" customHeight="1" x14ac:dyDescent="0.35">
      <c r="A3167" s="26" t="s">
        <v>10326</v>
      </c>
      <c r="B3167" s="25" t="s">
        <v>530</v>
      </c>
      <c r="C3167" s="6" t="s">
        <v>12133</v>
      </c>
      <c r="D3167" s="13">
        <v>14794.347749999999</v>
      </c>
      <c r="E3167" s="18">
        <v>21</v>
      </c>
      <c r="F3167" s="2">
        <f t="shared" si="98"/>
        <v>17901.160777499997</v>
      </c>
      <c r="G3167" s="3">
        <v>0</v>
      </c>
      <c r="H3167" s="4">
        <v>0.7</v>
      </c>
      <c r="I3167" s="28">
        <f t="shared" si="99"/>
        <v>30431.973321749996</v>
      </c>
    </row>
    <row r="3168" spans="1:9" ht="15.75" customHeight="1" x14ac:dyDescent="0.35">
      <c r="A3168" s="26" t="s">
        <v>4395</v>
      </c>
      <c r="B3168" s="25" t="s">
        <v>9373</v>
      </c>
      <c r="C3168" s="6" t="s">
        <v>12134</v>
      </c>
      <c r="D3168" s="13">
        <v>23064.554916000001</v>
      </c>
      <c r="E3168" s="18">
        <v>21</v>
      </c>
      <c r="F3168" s="2">
        <f t="shared" si="98"/>
        <v>27908.111448360003</v>
      </c>
      <c r="G3168" s="3">
        <v>0</v>
      </c>
      <c r="H3168" s="4">
        <v>0.7</v>
      </c>
      <c r="I3168" s="28">
        <f t="shared" si="99"/>
        <v>47443.789462212007</v>
      </c>
    </row>
    <row r="3169" spans="1:9" ht="15.75" customHeight="1" x14ac:dyDescent="0.35">
      <c r="A3169" s="26" t="s">
        <v>4347</v>
      </c>
      <c r="B3169" s="25" t="s">
        <v>531</v>
      </c>
      <c r="C3169" s="6" t="s">
        <v>13186</v>
      </c>
      <c r="D3169" s="13">
        <v>9490.1844375000001</v>
      </c>
      <c r="E3169" s="18">
        <v>21</v>
      </c>
      <c r="F3169" s="2">
        <f t="shared" si="98"/>
        <v>11483.123169375</v>
      </c>
      <c r="G3169" s="3">
        <v>0</v>
      </c>
      <c r="H3169" s="4">
        <v>0.7</v>
      </c>
      <c r="I3169" s="28">
        <f t="shared" si="99"/>
        <v>19521.309387937497</v>
      </c>
    </row>
    <row r="3170" spans="1:9" ht="15.75" customHeight="1" x14ac:dyDescent="0.35">
      <c r="A3170" s="26" t="s">
        <v>10331</v>
      </c>
      <c r="B3170" s="25" t="s">
        <v>9374</v>
      </c>
      <c r="C3170" s="6" t="s">
        <v>12135</v>
      </c>
      <c r="D3170" s="13">
        <v>17755.339874999998</v>
      </c>
      <c r="E3170" s="18">
        <v>21</v>
      </c>
      <c r="F3170" s="2">
        <f t="shared" si="98"/>
        <v>21483.961248749998</v>
      </c>
      <c r="G3170" s="3">
        <v>0</v>
      </c>
      <c r="H3170" s="4">
        <v>0.7</v>
      </c>
      <c r="I3170" s="28">
        <f t="shared" si="99"/>
        <v>36522.734122874994</v>
      </c>
    </row>
    <row r="3171" spans="1:9" ht="15.75" customHeight="1" x14ac:dyDescent="0.35">
      <c r="A3171" s="26" t="s">
        <v>4348</v>
      </c>
      <c r="B3171" s="25" t="s">
        <v>532</v>
      </c>
      <c r="C3171" s="6" t="s">
        <v>12331</v>
      </c>
      <c r="D3171" s="13">
        <v>9490.1844375000001</v>
      </c>
      <c r="E3171" s="18">
        <v>21</v>
      </c>
      <c r="F3171" s="2">
        <f t="shared" si="98"/>
        <v>11483.123169375</v>
      </c>
      <c r="G3171" s="3">
        <v>0</v>
      </c>
      <c r="H3171" s="4">
        <v>0.7</v>
      </c>
      <c r="I3171" s="28">
        <f t="shared" si="99"/>
        <v>19521.309387937497</v>
      </c>
    </row>
    <row r="3172" spans="1:9" ht="15.75" customHeight="1" x14ac:dyDescent="0.35">
      <c r="A3172" s="26" t="s">
        <v>10332</v>
      </c>
      <c r="B3172" s="25" t="s">
        <v>12550</v>
      </c>
      <c r="C3172" s="6" t="s">
        <v>12136</v>
      </c>
      <c r="D3172" s="13">
        <v>17755.339874999998</v>
      </c>
      <c r="E3172" s="18">
        <v>21</v>
      </c>
      <c r="F3172" s="2">
        <f t="shared" si="98"/>
        <v>21483.961248749998</v>
      </c>
      <c r="G3172" s="3">
        <v>0</v>
      </c>
      <c r="H3172" s="4">
        <v>0.7</v>
      </c>
      <c r="I3172" s="28">
        <f t="shared" si="99"/>
        <v>36522.734122874994</v>
      </c>
    </row>
    <row r="3173" spans="1:9" ht="15.75" customHeight="1" x14ac:dyDescent="0.35">
      <c r="A3173" s="26" t="s">
        <v>13832</v>
      </c>
      <c r="B3173" s="25" t="s">
        <v>12552</v>
      </c>
      <c r="C3173" s="6" t="s">
        <v>13833</v>
      </c>
      <c r="D3173" s="13">
        <v>17755.339874999998</v>
      </c>
      <c r="E3173" s="18">
        <v>21</v>
      </c>
      <c r="F3173" s="2">
        <f t="shared" si="98"/>
        <v>21483.961248749998</v>
      </c>
      <c r="G3173" s="3">
        <v>0</v>
      </c>
      <c r="H3173" s="4">
        <v>0.7</v>
      </c>
      <c r="I3173" s="28">
        <f t="shared" si="99"/>
        <v>36522.734122874994</v>
      </c>
    </row>
    <row r="3174" spans="1:9" ht="15.75" customHeight="1" x14ac:dyDescent="0.35">
      <c r="A3174" s="26" t="s">
        <v>4356</v>
      </c>
      <c r="B3174" s="25" t="s">
        <v>11380</v>
      </c>
      <c r="C3174" s="6" t="s">
        <v>10085</v>
      </c>
      <c r="D3174" s="13">
        <v>12916.12858215875</v>
      </c>
      <c r="E3174" s="18">
        <v>21</v>
      </c>
      <c r="F3174" s="2">
        <f t="shared" si="98"/>
        <v>15628.515584412087</v>
      </c>
      <c r="G3174" s="3">
        <v>0</v>
      </c>
      <c r="H3174" s="4">
        <v>0.7</v>
      </c>
      <c r="I3174" s="28">
        <f t="shared" si="99"/>
        <v>26568.476493500548</v>
      </c>
    </row>
    <row r="3175" spans="1:9" ht="15.75" customHeight="1" x14ac:dyDescent="0.35">
      <c r="A3175" s="26" t="s">
        <v>4379</v>
      </c>
      <c r="B3175" s="25" t="s">
        <v>11381</v>
      </c>
      <c r="C3175" s="6" t="s">
        <v>9596</v>
      </c>
      <c r="D3175" s="13">
        <v>8624.312121555</v>
      </c>
      <c r="E3175" s="18">
        <v>21</v>
      </c>
      <c r="F3175" s="2">
        <f t="shared" si="98"/>
        <v>10435.41766708155</v>
      </c>
      <c r="G3175" s="3">
        <v>0</v>
      </c>
      <c r="H3175" s="4">
        <v>0.7</v>
      </c>
      <c r="I3175" s="28">
        <f t="shared" si="99"/>
        <v>17740.210034038635</v>
      </c>
    </row>
    <row r="3176" spans="1:9" ht="15.75" customHeight="1" x14ac:dyDescent="0.35">
      <c r="A3176" s="26" t="s">
        <v>13888</v>
      </c>
      <c r="B3176" s="25" t="s">
        <v>533</v>
      </c>
      <c r="C3176" s="6" t="s">
        <v>13889</v>
      </c>
      <c r="D3176" s="13">
        <v>29694.824250000001</v>
      </c>
      <c r="E3176" s="18">
        <v>21</v>
      </c>
      <c r="F3176" s="2">
        <f t="shared" si="98"/>
        <v>35930.737342500004</v>
      </c>
      <c r="G3176" s="3">
        <v>0</v>
      </c>
      <c r="H3176" s="4">
        <v>0.7</v>
      </c>
      <c r="I3176" s="28">
        <f t="shared" si="99"/>
        <v>61082.253482250002</v>
      </c>
    </row>
    <row r="3177" spans="1:9" ht="15.75" customHeight="1" x14ac:dyDescent="0.35">
      <c r="A3177" s="26" t="s">
        <v>13890</v>
      </c>
      <c r="B3177" s="25" t="s">
        <v>534</v>
      </c>
      <c r="C3177" s="6" t="s">
        <v>13891</v>
      </c>
      <c r="D3177" s="13">
        <v>29694.824250000001</v>
      </c>
      <c r="E3177" s="18">
        <v>21</v>
      </c>
      <c r="F3177" s="2">
        <f t="shared" si="98"/>
        <v>35930.737342500004</v>
      </c>
      <c r="G3177" s="3">
        <v>0</v>
      </c>
      <c r="H3177" s="4">
        <v>0.7</v>
      </c>
      <c r="I3177" s="28">
        <f t="shared" si="99"/>
        <v>61082.253482250002</v>
      </c>
    </row>
    <row r="3178" spans="1:9" ht="15.75" customHeight="1" x14ac:dyDescent="0.35">
      <c r="A3178" s="26" t="s">
        <v>14020</v>
      </c>
      <c r="B3178" s="25" t="s">
        <v>1270</v>
      </c>
      <c r="C3178" s="6" t="s">
        <v>14021</v>
      </c>
      <c r="D3178" s="13">
        <v>29694.824250000001</v>
      </c>
      <c r="E3178" s="18">
        <v>21</v>
      </c>
      <c r="F3178" s="2">
        <f t="shared" si="98"/>
        <v>35930.737342500004</v>
      </c>
      <c r="G3178" s="3">
        <v>0</v>
      </c>
      <c r="H3178" s="4">
        <v>0.7</v>
      </c>
      <c r="I3178" s="28">
        <f t="shared" si="99"/>
        <v>61082.253482250002</v>
      </c>
    </row>
    <row r="3179" spans="1:9" ht="15.75" customHeight="1" x14ac:dyDescent="0.35">
      <c r="A3179" s="26" t="s">
        <v>10747</v>
      </c>
      <c r="B3179" s="25" t="s">
        <v>13021</v>
      </c>
      <c r="C3179" s="6" t="s">
        <v>10748</v>
      </c>
      <c r="D3179" s="13">
        <v>41931.469125000003</v>
      </c>
      <c r="E3179" s="18">
        <v>21</v>
      </c>
      <c r="F3179" s="2">
        <f t="shared" si="98"/>
        <v>50737.077641250005</v>
      </c>
      <c r="G3179" s="3">
        <v>0</v>
      </c>
      <c r="H3179" s="4">
        <v>0.7</v>
      </c>
      <c r="I3179" s="28">
        <f t="shared" si="99"/>
        <v>86253.031990125004</v>
      </c>
    </row>
    <row r="3180" spans="1:9" ht="15.75" customHeight="1" x14ac:dyDescent="0.35">
      <c r="A3180" s="26" t="s">
        <v>10749</v>
      </c>
      <c r="B3180" s="25" t="s">
        <v>535</v>
      </c>
      <c r="C3180" s="6" t="s">
        <v>10750</v>
      </c>
      <c r="D3180" s="13">
        <v>41931.469125000003</v>
      </c>
      <c r="E3180" s="18">
        <v>21</v>
      </c>
      <c r="F3180" s="2">
        <f t="shared" si="98"/>
        <v>50737.077641250005</v>
      </c>
      <c r="G3180" s="3">
        <v>0</v>
      </c>
      <c r="H3180" s="4">
        <v>0.7</v>
      </c>
      <c r="I3180" s="28">
        <f t="shared" si="99"/>
        <v>86253.031990125004</v>
      </c>
    </row>
    <row r="3181" spans="1:9" ht="15.75" customHeight="1" x14ac:dyDescent="0.35">
      <c r="A3181" s="26" t="s">
        <v>12719</v>
      </c>
      <c r="B3181" s="25" t="s">
        <v>536</v>
      </c>
      <c r="C3181" s="6" t="s">
        <v>12720</v>
      </c>
      <c r="D3181" s="13">
        <v>41931.469125000003</v>
      </c>
      <c r="E3181" s="18">
        <v>21</v>
      </c>
      <c r="F3181" s="2">
        <f t="shared" si="98"/>
        <v>50737.077641250005</v>
      </c>
      <c r="G3181" s="3">
        <v>0</v>
      </c>
      <c r="H3181" s="4">
        <v>0.7</v>
      </c>
      <c r="I3181" s="28">
        <f t="shared" si="99"/>
        <v>86253.031990125004</v>
      </c>
    </row>
    <row r="3182" spans="1:9" ht="15.75" customHeight="1" x14ac:dyDescent="0.35">
      <c r="A3182" s="26" t="s">
        <v>4375</v>
      </c>
      <c r="B3182" s="25" t="s">
        <v>537</v>
      </c>
      <c r="C3182" s="6" t="s">
        <v>11676</v>
      </c>
      <c r="D3182" s="13">
        <v>24509.009655000002</v>
      </c>
      <c r="E3182" s="18">
        <v>21</v>
      </c>
      <c r="F3182" s="2">
        <f t="shared" si="98"/>
        <v>29655.90168255</v>
      </c>
      <c r="G3182" s="3">
        <v>0</v>
      </c>
      <c r="H3182" s="4">
        <v>0.7</v>
      </c>
      <c r="I3182" s="28">
        <f t="shared" si="99"/>
        <v>50415.032860334999</v>
      </c>
    </row>
    <row r="3183" spans="1:9" ht="15.75" customHeight="1" x14ac:dyDescent="0.35">
      <c r="A3183" s="26" t="s">
        <v>9079</v>
      </c>
      <c r="B3183" s="25" t="s">
        <v>538</v>
      </c>
      <c r="C3183" s="6" t="s">
        <v>13569</v>
      </c>
      <c r="D3183" s="13">
        <v>24509.009655000002</v>
      </c>
      <c r="E3183" s="18">
        <v>21</v>
      </c>
      <c r="F3183" s="2">
        <f t="shared" si="98"/>
        <v>29655.90168255</v>
      </c>
      <c r="G3183" s="3">
        <v>0</v>
      </c>
      <c r="H3183" s="4">
        <v>0.7</v>
      </c>
      <c r="I3183" s="28">
        <f t="shared" si="99"/>
        <v>50415.032860334999</v>
      </c>
    </row>
    <row r="3184" spans="1:9" ht="15.75" customHeight="1" x14ac:dyDescent="0.35">
      <c r="A3184" s="26" t="s">
        <v>4376</v>
      </c>
      <c r="B3184" s="25" t="s">
        <v>9375</v>
      </c>
      <c r="C3184" s="6" t="s">
        <v>13862</v>
      </c>
      <c r="D3184" s="13">
        <v>29005.897050000003</v>
      </c>
      <c r="E3184" s="18">
        <v>21</v>
      </c>
      <c r="F3184" s="2">
        <f t="shared" si="98"/>
        <v>35097.135430500006</v>
      </c>
      <c r="G3184" s="3">
        <v>0</v>
      </c>
      <c r="H3184" s="4">
        <v>0.7</v>
      </c>
      <c r="I3184" s="28">
        <f t="shared" si="99"/>
        <v>59665.130231850009</v>
      </c>
    </row>
    <row r="3185" spans="1:9" ht="15.75" customHeight="1" x14ac:dyDescent="0.35">
      <c r="A3185" s="26" t="s">
        <v>4377</v>
      </c>
      <c r="B3185" s="25" t="s">
        <v>9376</v>
      </c>
      <c r="C3185" s="6" t="s">
        <v>13863</v>
      </c>
      <c r="D3185" s="13">
        <v>29005.897050000003</v>
      </c>
      <c r="E3185" s="18">
        <v>21</v>
      </c>
      <c r="F3185" s="2">
        <f t="shared" si="98"/>
        <v>35097.135430500006</v>
      </c>
      <c r="G3185" s="3">
        <v>0</v>
      </c>
      <c r="H3185" s="4">
        <v>0.7</v>
      </c>
      <c r="I3185" s="28">
        <f t="shared" si="99"/>
        <v>59665.130231850009</v>
      </c>
    </row>
    <row r="3186" spans="1:9" ht="15.75" customHeight="1" x14ac:dyDescent="0.35">
      <c r="A3186" s="26" t="s">
        <v>4378</v>
      </c>
      <c r="B3186" s="25" t="s">
        <v>9377</v>
      </c>
      <c r="C3186" s="6" t="s">
        <v>13864</v>
      </c>
      <c r="D3186" s="13">
        <v>29005.897050000003</v>
      </c>
      <c r="E3186" s="18">
        <v>21</v>
      </c>
      <c r="F3186" s="2">
        <f t="shared" si="98"/>
        <v>35097.135430500006</v>
      </c>
      <c r="G3186" s="3">
        <v>0</v>
      </c>
      <c r="H3186" s="4">
        <v>0.7</v>
      </c>
      <c r="I3186" s="28">
        <f t="shared" si="99"/>
        <v>59665.130231850009</v>
      </c>
    </row>
    <row r="3187" spans="1:9" ht="15.75" customHeight="1" x14ac:dyDescent="0.35">
      <c r="A3187" s="26" t="s">
        <v>10732</v>
      </c>
      <c r="B3187" s="25" t="s">
        <v>9378</v>
      </c>
      <c r="C3187" s="6" t="s">
        <v>10733</v>
      </c>
      <c r="D3187" s="13">
        <v>46845.230250000001</v>
      </c>
      <c r="E3187" s="18">
        <v>21</v>
      </c>
      <c r="F3187" s="2">
        <f t="shared" si="98"/>
        <v>56682.728602499999</v>
      </c>
      <c r="G3187" s="3">
        <v>0</v>
      </c>
      <c r="H3187" s="4">
        <v>0.7</v>
      </c>
      <c r="I3187" s="28">
        <f t="shared" si="99"/>
        <v>96360.638624250001</v>
      </c>
    </row>
    <row r="3188" spans="1:9" ht="15.75" customHeight="1" x14ac:dyDescent="0.35">
      <c r="A3188" s="26" t="s">
        <v>4320</v>
      </c>
      <c r="B3188" s="25" t="s">
        <v>9379</v>
      </c>
      <c r="C3188" s="6" t="s">
        <v>12137</v>
      </c>
      <c r="D3188" s="13">
        <v>2783.7874349999997</v>
      </c>
      <c r="E3188" s="18">
        <v>21</v>
      </c>
      <c r="F3188" s="2">
        <f t="shared" si="98"/>
        <v>3368.3827963499998</v>
      </c>
      <c r="G3188" s="3">
        <v>0</v>
      </c>
      <c r="H3188" s="4">
        <v>0.7</v>
      </c>
      <c r="I3188" s="28">
        <f t="shared" si="99"/>
        <v>5726.2507537949996</v>
      </c>
    </row>
    <row r="3189" spans="1:9" ht="15.75" customHeight="1" x14ac:dyDescent="0.35">
      <c r="A3189" s="26" t="s">
        <v>12209</v>
      </c>
      <c r="B3189" s="25" t="s">
        <v>9380</v>
      </c>
      <c r="C3189" s="6" t="s">
        <v>12210</v>
      </c>
      <c r="D3189" s="13">
        <v>4690.8907499999996</v>
      </c>
      <c r="E3189" s="18">
        <v>21</v>
      </c>
      <c r="F3189" s="2">
        <f t="shared" si="98"/>
        <v>5675.9778074999995</v>
      </c>
      <c r="G3189" s="3">
        <v>0</v>
      </c>
      <c r="H3189" s="4">
        <v>0.7</v>
      </c>
      <c r="I3189" s="28">
        <f t="shared" si="99"/>
        <v>9649.162272749998</v>
      </c>
    </row>
    <row r="3190" spans="1:9" ht="15.75" customHeight="1" x14ac:dyDescent="0.35">
      <c r="A3190" s="26" t="s">
        <v>4321</v>
      </c>
      <c r="B3190" s="25" t="s">
        <v>1110</v>
      </c>
      <c r="C3190" s="6" t="s">
        <v>12138</v>
      </c>
      <c r="D3190" s="13">
        <v>2783.7874349999997</v>
      </c>
      <c r="E3190" s="18">
        <v>21</v>
      </c>
      <c r="F3190" s="2">
        <f t="shared" si="98"/>
        <v>3368.3827963499998</v>
      </c>
      <c r="G3190" s="3">
        <v>0</v>
      </c>
      <c r="H3190" s="4">
        <v>0.7</v>
      </c>
      <c r="I3190" s="28">
        <f t="shared" si="99"/>
        <v>5726.2507537949996</v>
      </c>
    </row>
    <row r="3191" spans="1:9" ht="15.75" customHeight="1" x14ac:dyDescent="0.35">
      <c r="A3191" s="26" t="s">
        <v>11283</v>
      </c>
      <c r="B3191" s="25" t="s">
        <v>5012</v>
      </c>
      <c r="C3191" s="6" t="s">
        <v>12139</v>
      </c>
      <c r="D3191" s="13">
        <v>4690.8907499999996</v>
      </c>
      <c r="E3191" s="18">
        <v>21</v>
      </c>
      <c r="F3191" s="2">
        <f t="shared" si="98"/>
        <v>5675.9778074999995</v>
      </c>
      <c r="G3191" s="3">
        <v>0</v>
      </c>
      <c r="H3191" s="4">
        <v>0.7</v>
      </c>
      <c r="I3191" s="28">
        <f t="shared" si="99"/>
        <v>9649.162272749998</v>
      </c>
    </row>
    <row r="3192" spans="1:9" ht="15.75" customHeight="1" x14ac:dyDescent="0.35">
      <c r="A3192" s="26" t="s">
        <v>4322</v>
      </c>
      <c r="B3192" s="25" t="s">
        <v>5014</v>
      </c>
      <c r="C3192" s="6" t="s">
        <v>12140</v>
      </c>
      <c r="D3192" s="13">
        <v>2783.7874349999997</v>
      </c>
      <c r="E3192" s="18">
        <v>21</v>
      </c>
      <c r="F3192" s="2">
        <f t="shared" si="98"/>
        <v>3368.3827963499998</v>
      </c>
      <c r="G3192" s="3">
        <v>0</v>
      </c>
      <c r="H3192" s="4">
        <v>0.7</v>
      </c>
      <c r="I3192" s="28">
        <f t="shared" si="99"/>
        <v>5726.2507537949996</v>
      </c>
    </row>
    <row r="3193" spans="1:9" ht="15.75" customHeight="1" x14ac:dyDescent="0.35">
      <c r="A3193" s="26" t="s">
        <v>12572</v>
      </c>
      <c r="B3193" s="25" t="s">
        <v>12852</v>
      </c>
      <c r="C3193" s="6" t="s">
        <v>12573</v>
      </c>
      <c r="D3193" s="13">
        <v>4690.8907499999996</v>
      </c>
      <c r="E3193" s="18">
        <v>21</v>
      </c>
      <c r="F3193" s="2">
        <f t="shared" si="98"/>
        <v>5675.9778074999995</v>
      </c>
      <c r="G3193" s="3">
        <v>0</v>
      </c>
      <c r="H3193" s="4">
        <v>0.7</v>
      </c>
      <c r="I3193" s="28">
        <f t="shared" si="99"/>
        <v>9649.162272749998</v>
      </c>
    </row>
    <row r="3194" spans="1:9" ht="15.75" customHeight="1" x14ac:dyDescent="0.35">
      <c r="A3194" s="26" t="s">
        <v>4324</v>
      </c>
      <c r="B3194" s="25" t="s">
        <v>12854</v>
      </c>
      <c r="C3194" s="6" t="s">
        <v>12141</v>
      </c>
      <c r="D3194" s="13">
        <v>10052.565737499999</v>
      </c>
      <c r="E3194" s="18">
        <v>21</v>
      </c>
      <c r="F3194" s="2">
        <f t="shared" si="98"/>
        <v>12163.604542375</v>
      </c>
      <c r="G3194" s="3">
        <v>0</v>
      </c>
      <c r="H3194" s="4">
        <v>0.7</v>
      </c>
      <c r="I3194" s="28">
        <f t="shared" si="99"/>
        <v>20678.127722037501</v>
      </c>
    </row>
    <row r="3195" spans="1:9" ht="15.75" customHeight="1" x14ac:dyDescent="0.35">
      <c r="A3195" s="26" t="s">
        <v>4325</v>
      </c>
      <c r="B3195" s="25" t="s">
        <v>13202</v>
      </c>
      <c r="C3195" s="6" t="s">
        <v>12142</v>
      </c>
      <c r="D3195" s="13">
        <v>9897.9108799999995</v>
      </c>
      <c r="E3195" s="18">
        <v>21</v>
      </c>
      <c r="F3195" s="2">
        <f t="shared" si="98"/>
        <v>11976.4721648</v>
      </c>
      <c r="G3195" s="3">
        <v>0</v>
      </c>
      <c r="H3195" s="4">
        <v>0.7</v>
      </c>
      <c r="I3195" s="28">
        <f t="shared" si="99"/>
        <v>20360.00268016</v>
      </c>
    </row>
    <row r="3196" spans="1:9" ht="15.75" customHeight="1" x14ac:dyDescent="0.35">
      <c r="A3196" s="26" t="s">
        <v>4326</v>
      </c>
      <c r="B3196" s="25" t="s">
        <v>13204</v>
      </c>
      <c r="C3196" s="6" t="s">
        <v>12143</v>
      </c>
      <c r="D3196" s="13">
        <v>9897.9108799999995</v>
      </c>
      <c r="E3196" s="18">
        <v>21</v>
      </c>
      <c r="F3196" s="2">
        <f t="shared" si="98"/>
        <v>11976.4721648</v>
      </c>
      <c r="G3196" s="3">
        <v>0</v>
      </c>
      <c r="H3196" s="4">
        <v>0.7</v>
      </c>
      <c r="I3196" s="28">
        <f t="shared" si="99"/>
        <v>20360.00268016</v>
      </c>
    </row>
    <row r="3197" spans="1:9" ht="15.75" customHeight="1" x14ac:dyDescent="0.35">
      <c r="A3197" s="26" t="s">
        <v>4350</v>
      </c>
      <c r="B3197" s="25" t="s">
        <v>13071</v>
      </c>
      <c r="C3197" s="6" t="s">
        <v>12144</v>
      </c>
      <c r="D3197" s="13">
        <v>2090.8065360000001</v>
      </c>
      <c r="E3197" s="18">
        <v>21</v>
      </c>
      <c r="F3197" s="2">
        <f t="shared" si="98"/>
        <v>2529.87590856</v>
      </c>
      <c r="G3197" s="3">
        <v>0</v>
      </c>
      <c r="H3197" s="4">
        <v>0.7</v>
      </c>
      <c r="I3197" s="28">
        <f t="shared" si="99"/>
        <v>4300.7890445519997</v>
      </c>
    </row>
    <row r="3198" spans="1:9" ht="15.75" customHeight="1" x14ac:dyDescent="0.35">
      <c r="A3198" s="26" t="s">
        <v>11284</v>
      </c>
      <c r="B3198" s="25" t="s">
        <v>13073</v>
      </c>
      <c r="C3198" s="6" t="s">
        <v>12145</v>
      </c>
      <c r="D3198" s="13">
        <v>5083.5671250000005</v>
      </c>
      <c r="E3198" s="18">
        <v>21</v>
      </c>
      <c r="F3198" s="2">
        <f t="shared" si="98"/>
        <v>6151.1162212500003</v>
      </c>
      <c r="G3198" s="3">
        <v>0</v>
      </c>
      <c r="H3198" s="4">
        <v>0.7</v>
      </c>
      <c r="I3198" s="28">
        <f t="shared" si="99"/>
        <v>10456.897576125</v>
      </c>
    </row>
    <row r="3199" spans="1:9" ht="15.75" customHeight="1" x14ac:dyDescent="0.35">
      <c r="A3199" s="26" t="s">
        <v>4351</v>
      </c>
      <c r="B3199" s="25" t="s">
        <v>9381</v>
      </c>
      <c r="C3199" s="6" t="s">
        <v>12252</v>
      </c>
      <c r="D3199" s="13">
        <v>2783.7874349999997</v>
      </c>
      <c r="E3199" s="18">
        <v>21</v>
      </c>
      <c r="F3199" s="2">
        <f t="shared" si="98"/>
        <v>3368.3827963499998</v>
      </c>
      <c r="G3199" s="3">
        <v>0</v>
      </c>
      <c r="H3199" s="4">
        <v>0.7</v>
      </c>
      <c r="I3199" s="28">
        <f t="shared" si="99"/>
        <v>5726.2507537949996</v>
      </c>
    </row>
    <row r="3200" spans="1:9" ht="15.75" customHeight="1" x14ac:dyDescent="0.35">
      <c r="A3200" s="26" t="s">
        <v>11285</v>
      </c>
      <c r="B3200" s="25" t="s">
        <v>9382</v>
      </c>
      <c r="C3200" s="6" t="s">
        <v>12146</v>
      </c>
      <c r="D3200" s="13">
        <v>5083.5671250000005</v>
      </c>
      <c r="E3200" s="18">
        <v>21</v>
      </c>
      <c r="F3200" s="2">
        <f t="shared" si="98"/>
        <v>6151.1162212500003</v>
      </c>
      <c r="G3200" s="3">
        <v>0</v>
      </c>
      <c r="H3200" s="4">
        <v>0.7</v>
      </c>
      <c r="I3200" s="28">
        <f t="shared" si="99"/>
        <v>10456.897576125</v>
      </c>
    </row>
    <row r="3201" spans="1:9" ht="15.75" customHeight="1" x14ac:dyDescent="0.35">
      <c r="A3201" s="26" t="s">
        <v>4352</v>
      </c>
      <c r="B3201" s="25" t="s">
        <v>9383</v>
      </c>
      <c r="C3201" s="6" t="s">
        <v>12147</v>
      </c>
      <c r="D3201" s="13">
        <v>2783.7874349999997</v>
      </c>
      <c r="E3201" s="18">
        <v>21</v>
      </c>
      <c r="F3201" s="2">
        <f t="shared" si="98"/>
        <v>3368.3827963499998</v>
      </c>
      <c r="G3201" s="3">
        <v>0</v>
      </c>
      <c r="H3201" s="4">
        <v>0.7</v>
      </c>
      <c r="I3201" s="28">
        <f t="shared" si="99"/>
        <v>5726.2507537949996</v>
      </c>
    </row>
    <row r="3202" spans="1:9" ht="15.75" customHeight="1" x14ac:dyDescent="0.35">
      <c r="A3202" s="26" t="s">
        <v>8886</v>
      </c>
      <c r="B3202" s="25" t="s">
        <v>9907</v>
      </c>
      <c r="C3202" s="6" t="s">
        <v>10086</v>
      </c>
      <c r="D3202" s="13">
        <v>183715.69905</v>
      </c>
      <c r="E3202" s="18">
        <v>21</v>
      </c>
      <c r="F3202" s="2">
        <f t="shared" si="98"/>
        <v>222295.99585050001</v>
      </c>
      <c r="G3202" s="3">
        <v>0</v>
      </c>
      <c r="H3202" s="4">
        <v>0.7</v>
      </c>
      <c r="I3202" s="28">
        <f t="shared" si="99"/>
        <v>377903.19294585002</v>
      </c>
    </row>
    <row r="3203" spans="1:9" ht="15.75" customHeight="1" x14ac:dyDescent="0.35">
      <c r="A3203" s="26" t="s">
        <v>9575</v>
      </c>
      <c r="B3203" s="25" t="s">
        <v>9908</v>
      </c>
      <c r="C3203" s="6" t="s">
        <v>10087</v>
      </c>
      <c r="D3203" s="13">
        <v>183715.69905</v>
      </c>
      <c r="E3203" s="18">
        <v>21</v>
      </c>
      <c r="F3203" s="2">
        <f t="shared" si="98"/>
        <v>222295.99585050001</v>
      </c>
      <c r="G3203" s="3">
        <v>0</v>
      </c>
      <c r="H3203" s="4">
        <v>0.7</v>
      </c>
      <c r="I3203" s="28">
        <f t="shared" si="99"/>
        <v>377903.19294585002</v>
      </c>
    </row>
    <row r="3204" spans="1:9" ht="15.75" customHeight="1" x14ac:dyDescent="0.35">
      <c r="A3204" s="26" t="s">
        <v>8887</v>
      </c>
      <c r="B3204" s="25" t="s">
        <v>9909</v>
      </c>
      <c r="C3204" s="6" t="s">
        <v>10088</v>
      </c>
      <c r="D3204" s="13">
        <v>183715.69905</v>
      </c>
      <c r="E3204" s="18">
        <v>21</v>
      </c>
      <c r="F3204" s="2">
        <f t="shared" si="98"/>
        <v>222295.99585050001</v>
      </c>
      <c r="G3204" s="3">
        <v>0</v>
      </c>
      <c r="H3204" s="4">
        <v>0.7</v>
      </c>
      <c r="I3204" s="28">
        <f t="shared" si="99"/>
        <v>377903.19294585002</v>
      </c>
    </row>
    <row r="3205" spans="1:9" ht="15.75" customHeight="1" x14ac:dyDescent="0.35">
      <c r="A3205" s="26" t="s">
        <v>3835</v>
      </c>
      <c r="B3205" s="25" t="s">
        <v>9910</v>
      </c>
      <c r="C3205" s="6" t="s">
        <v>10089</v>
      </c>
      <c r="D3205" s="13">
        <v>183715.69905</v>
      </c>
      <c r="E3205" s="18">
        <v>21</v>
      </c>
      <c r="F3205" s="2">
        <f t="shared" si="98"/>
        <v>222295.99585050001</v>
      </c>
      <c r="G3205" s="3">
        <v>0</v>
      </c>
      <c r="H3205" s="4">
        <v>0.7</v>
      </c>
      <c r="I3205" s="28">
        <f t="shared" si="99"/>
        <v>377903.19294585002</v>
      </c>
    </row>
    <row r="3206" spans="1:9" ht="15.75" customHeight="1" x14ac:dyDescent="0.35">
      <c r="A3206" s="26" t="s">
        <v>8888</v>
      </c>
      <c r="B3206" s="25" t="s">
        <v>9911</v>
      </c>
      <c r="C3206" s="6" t="s">
        <v>10090</v>
      </c>
      <c r="D3206" s="13">
        <v>183715.69905</v>
      </c>
      <c r="E3206" s="18">
        <v>21</v>
      </c>
      <c r="F3206" s="2">
        <f t="shared" ref="F3206:F3269" si="100">D3206*E3206/100+D3206</f>
        <v>222295.99585050001</v>
      </c>
      <c r="G3206" s="3">
        <v>0</v>
      </c>
      <c r="H3206" s="4">
        <v>0.7</v>
      </c>
      <c r="I3206" s="28">
        <f t="shared" ref="I3206:I3269" si="101">IF(G3206=-1,0,F3206*((100-G3206)/100)*(1+H3206))</f>
        <v>377903.19294585002</v>
      </c>
    </row>
    <row r="3207" spans="1:9" ht="15.75" customHeight="1" x14ac:dyDescent="0.35">
      <c r="A3207" s="26" t="s">
        <v>9583</v>
      </c>
      <c r="B3207" s="25" t="s">
        <v>9912</v>
      </c>
      <c r="C3207" s="6" t="s">
        <v>10091</v>
      </c>
      <c r="D3207" s="13">
        <v>183715.69905</v>
      </c>
      <c r="E3207" s="18">
        <v>21</v>
      </c>
      <c r="F3207" s="2">
        <f t="shared" si="100"/>
        <v>222295.99585050001</v>
      </c>
      <c r="G3207" s="3">
        <v>0</v>
      </c>
      <c r="H3207" s="4">
        <v>0.7</v>
      </c>
      <c r="I3207" s="28">
        <f t="shared" si="101"/>
        <v>377903.19294585002</v>
      </c>
    </row>
    <row r="3208" spans="1:9" ht="15.75" customHeight="1" x14ac:dyDescent="0.35">
      <c r="A3208" s="26" t="s">
        <v>9576</v>
      </c>
      <c r="B3208" s="25" t="s">
        <v>9913</v>
      </c>
      <c r="C3208" s="6" t="s">
        <v>10092</v>
      </c>
      <c r="D3208" s="13">
        <v>183715.69905</v>
      </c>
      <c r="E3208" s="18">
        <v>21</v>
      </c>
      <c r="F3208" s="2">
        <f t="shared" si="100"/>
        <v>222295.99585050001</v>
      </c>
      <c r="G3208" s="3">
        <v>0</v>
      </c>
      <c r="H3208" s="4">
        <v>0.7</v>
      </c>
      <c r="I3208" s="28">
        <f t="shared" si="101"/>
        <v>377903.19294585002</v>
      </c>
    </row>
    <row r="3209" spans="1:9" ht="15.75" customHeight="1" x14ac:dyDescent="0.35">
      <c r="A3209" s="26" t="s">
        <v>4133</v>
      </c>
      <c r="B3209" s="25" t="s">
        <v>9914</v>
      </c>
      <c r="C3209" s="6" t="s">
        <v>1111</v>
      </c>
      <c r="D3209" s="13">
        <v>6044.1281315999995</v>
      </c>
      <c r="E3209" s="18">
        <v>21</v>
      </c>
      <c r="F3209" s="2">
        <f t="shared" si="100"/>
        <v>7313.3950392359993</v>
      </c>
      <c r="G3209" s="3">
        <v>0</v>
      </c>
      <c r="H3209" s="4">
        <v>0.7</v>
      </c>
      <c r="I3209" s="28">
        <f t="shared" si="101"/>
        <v>12432.771566701198</v>
      </c>
    </row>
    <row r="3210" spans="1:9" ht="15.75" customHeight="1" x14ac:dyDescent="0.35">
      <c r="A3210" s="26" t="s">
        <v>4134</v>
      </c>
      <c r="B3210" s="25" t="s">
        <v>9915</v>
      </c>
      <c r="C3210" s="6" t="s">
        <v>10494</v>
      </c>
      <c r="D3210" s="13">
        <v>7192.0263999999997</v>
      </c>
      <c r="E3210" s="18">
        <v>21</v>
      </c>
      <c r="F3210" s="2">
        <f t="shared" si="100"/>
        <v>8702.351944</v>
      </c>
      <c r="G3210" s="3">
        <v>0</v>
      </c>
      <c r="H3210" s="4">
        <v>0.7</v>
      </c>
      <c r="I3210" s="28">
        <f t="shared" si="101"/>
        <v>14793.998304799999</v>
      </c>
    </row>
    <row r="3211" spans="1:9" ht="15.75" customHeight="1" x14ac:dyDescent="0.35">
      <c r="A3211" s="26" t="s">
        <v>4135</v>
      </c>
      <c r="B3211" s="25" t="s">
        <v>9916</v>
      </c>
      <c r="C3211" s="6" t="s">
        <v>10495</v>
      </c>
      <c r="D3211" s="13">
        <v>8686.5167999999994</v>
      </c>
      <c r="E3211" s="18">
        <v>21</v>
      </c>
      <c r="F3211" s="2">
        <f t="shared" si="100"/>
        <v>10510.685328</v>
      </c>
      <c r="G3211" s="3">
        <v>0</v>
      </c>
      <c r="H3211" s="4">
        <v>0.7</v>
      </c>
      <c r="I3211" s="28">
        <f t="shared" si="101"/>
        <v>17868.165057599999</v>
      </c>
    </row>
    <row r="3212" spans="1:9" ht="15.75" customHeight="1" x14ac:dyDescent="0.35">
      <c r="A3212" s="26" t="s">
        <v>4136</v>
      </c>
      <c r="B3212" s="25" t="s">
        <v>9886</v>
      </c>
      <c r="C3212" s="6" t="s">
        <v>540</v>
      </c>
      <c r="D3212" s="13">
        <v>12251.928</v>
      </c>
      <c r="E3212" s="18">
        <v>21</v>
      </c>
      <c r="F3212" s="2">
        <f t="shared" si="100"/>
        <v>14824.83288</v>
      </c>
      <c r="G3212" s="3">
        <v>0</v>
      </c>
      <c r="H3212" s="4">
        <v>0.7</v>
      </c>
      <c r="I3212" s="28">
        <f t="shared" si="101"/>
        <v>25202.215895999998</v>
      </c>
    </row>
    <row r="3213" spans="1:9" ht="15.75" customHeight="1" x14ac:dyDescent="0.35">
      <c r="A3213" s="26" t="s">
        <v>4137</v>
      </c>
      <c r="B3213" s="25" t="s">
        <v>9887</v>
      </c>
      <c r="C3213" s="6" t="s">
        <v>10496</v>
      </c>
      <c r="D3213" s="13">
        <v>16296.956</v>
      </c>
      <c r="E3213" s="18">
        <v>21</v>
      </c>
      <c r="F3213" s="2">
        <f t="shared" si="100"/>
        <v>19719.316760000002</v>
      </c>
      <c r="G3213" s="3">
        <v>0</v>
      </c>
      <c r="H3213" s="4">
        <v>0.7</v>
      </c>
      <c r="I3213" s="28">
        <f t="shared" si="101"/>
        <v>33522.838492000003</v>
      </c>
    </row>
    <row r="3214" spans="1:9" ht="15.75" customHeight="1" x14ac:dyDescent="0.35">
      <c r="A3214" s="26" t="s">
        <v>4139</v>
      </c>
      <c r="B3214" s="25" t="s">
        <v>9888</v>
      </c>
      <c r="C3214" s="6" t="s">
        <v>13659</v>
      </c>
      <c r="D3214" s="13">
        <v>20526.179513372001</v>
      </c>
      <c r="E3214" s="18">
        <v>21</v>
      </c>
      <c r="F3214" s="2">
        <f t="shared" si="100"/>
        <v>24836.677211180122</v>
      </c>
      <c r="G3214" s="3">
        <v>0</v>
      </c>
      <c r="H3214" s="4">
        <v>0.7</v>
      </c>
      <c r="I3214" s="28">
        <f t="shared" si="101"/>
        <v>42222.351259006209</v>
      </c>
    </row>
    <row r="3215" spans="1:9" ht="15.75" customHeight="1" x14ac:dyDescent="0.35">
      <c r="A3215" s="26" t="s">
        <v>4141</v>
      </c>
      <c r="B3215" s="25" t="s">
        <v>10492</v>
      </c>
      <c r="C3215" s="6" t="s">
        <v>12655</v>
      </c>
      <c r="D3215" s="13">
        <v>32444.519434599999</v>
      </c>
      <c r="E3215" s="18">
        <v>21</v>
      </c>
      <c r="F3215" s="2">
        <f t="shared" si="100"/>
        <v>39257.868515866001</v>
      </c>
      <c r="G3215" s="3">
        <v>0</v>
      </c>
      <c r="H3215" s="4">
        <v>0.7</v>
      </c>
      <c r="I3215" s="28">
        <f t="shared" si="101"/>
        <v>66738.376476972204</v>
      </c>
    </row>
    <row r="3216" spans="1:9" ht="15.75" customHeight="1" x14ac:dyDescent="0.35">
      <c r="A3216" s="26" t="s">
        <v>4140</v>
      </c>
      <c r="B3216" s="25" t="s">
        <v>9889</v>
      </c>
      <c r="C3216" s="6" t="s">
        <v>1112</v>
      </c>
      <c r="D3216" s="13">
        <v>32444.519434599999</v>
      </c>
      <c r="E3216" s="18">
        <v>21</v>
      </c>
      <c r="F3216" s="2">
        <f t="shared" si="100"/>
        <v>39257.868515866001</v>
      </c>
      <c r="G3216" s="3">
        <v>0</v>
      </c>
      <c r="H3216" s="4">
        <v>0.7</v>
      </c>
      <c r="I3216" s="28">
        <f t="shared" si="101"/>
        <v>66738.376476972204</v>
      </c>
    </row>
    <row r="3217" spans="1:9" ht="15.75" customHeight="1" x14ac:dyDescent="0.35">
      <c r="A3217" s="26" t="s">
        <v>3818</v>
      </c>
      <c r="B3217" s="25" t="s">
        <v>8945</v>
      </c>
      <c r="C3217" s="6" t="s">
        <v>10497</v>
      </c>
      <c r="D3217" s="13">
        <v>41640.976000000002</v>
      </c>
      <c r="E3217" s="18">
        <v>21</v>
      </c>
      <c r="F3217" s="2">
        <f t="shared" si="100"/>
        <v>50385.580960000007</v>
      </c>
      <c r="G3217" s="3">
        <v>0</v>
      </c>
      <c r="H3217" s="4">
        <v>0.7</v>
      </c>
      <c r="I3217" s="28">
        <f t="shared" si="101"/>
        <v>85655.487632000004</v>
      </c>
    </row>
    <row r="3218" spans="1:9" ht="15.75" customHeight="1" x14ac:dyDescent="0.35">
      <c r="A3218" s="26" t="s">
        <v>3819</v>
      </c>
      <c r="B3218" s="25" t="s">
        <v>8947</v>
      </c>
      <c r="C3218" s="6" t="s">
        <v>10498</v>
      </c>
      <c r="D3218" s="13">
        <v>17326.295999999998</v>
      </c>
      <c r="E3218" s="18">
        <v>21</v>
      </c>
      <c r="F3218" s="2">
        <f t="shared" si="100"/>
        <v>20964.818159999999</v>
      </c>
      <c r="G3218" s="3">
        <v>0</v>
      </c>
      <c r="H3218" s="4">
        <v>0.7</v>
      </c>
      <c r="I3218" s="28">
        <f t="shared" si="101"/>
        <v>35640.190871999999</v>
      </c>
    </row>
    <row r="3219" spans="1:9" ht="15.75" customHeight="1" x14ac:dyDescent="0.35">
      <c r="A3219" s="26" t="s">
        <v>4142</v>
      </c>
      <c r="B3219" s="25" t="s">
        <v>1163</v>
      </c>
      <c r="C3219" s="6" t="s">
        <v>1004</v>
      </c>
      <c r="D3219" s="13">
        <v>11118.325887109999</v>
      </c>
      <c r="E3219" s="18">
        <v>21</v>
      </c>
      <c r="F3219" s="2">
        <f t="shared" si="100"/>
        <v>13453.174323403098</v>
      </c>
      <c r="G3219" s="3">
        <v>0</v>
      </c>
      <c r="H3219" s="4">
        <v>0.7</v>
      </c>
      <c r="I3219" s="28">
        <f t="shared" si="101"/>
        <v>22870.396349785267</v>
      </c>
    </row>
    <row r="3220" spans="1:9" ht="15.75" customHeight="1" x14ac:dyDescent="0.35">
      <c r="A3220" s="26" t="s">
        <v>4143</v>
      </c>
      <c r="B3220" s="25" t="s">
        <v>9746</v>
      </c>
      <c r="C3220" s="6" t="s">
        <v>1005</v>
      </c>
      <c r="D3220" s="13">
        <v>16677.488830665003</v>
      </c>
      <c r="E3220" s="18">
        <v>21</v>
      </c>
      <c r="F3220" s="2">
        <f t="shared" si="100"/>
        <v>20179.761485104653</v>
      </c>
      <c r="G3220" s="3">
        <v>0</v>
      </c>
      <c r="H3220" s="4">
        <v>0.7</v>
      </c>
      <c r="I3220" s="28">
        <f t="shared" si="101"/>
        <v>34305.594524677908</v>
      </c>
    </row>
    <row r="3221" spans="1:9" ht="15.75" customHeight="1" x14ac:dyDescent="0.35">
      <c r="A3221" s="26" t="s">
        <v>3413</v>
      </c>
      <c r="B3221" s="25" t="s">
        <v>8867</v>
      </c>
      <c r="C3221" s="6" t="s">
        <v>1209</v>
      </c>
      <c r="D3221" s="13">
        <v>47983.759788119998</v>
      </c>
      <c r="E3221" s="18">
        <v>21</v>
      </c>
      <c r="F3221" s="2">
        <f t="shared" si="100"/>
        <v>58060.349343625196</v>
      </c>
      <c r="G3221" s="3">
        <v>0</v>
      </c>
      <c r="H3221" s="4">
        <v>0.7</v>
      </c>
      <c r="I3221" s="28">
        <f t="shared" si="101"/>
        <v>98702.593884162823</v>
      </c>
    </row>
    <row r="3222" spans="1:9" ht="15.75" customHeight="1" x14ac:dyDescent="0.35">
      <c r="A3222" s="26" t="s">
        <v>12019</v>
      </c>
      <c r="B3222" s="25" t="s">
        <v>9665</v>
      </c>
      <c r="C3222" s="6" t="s">
        <v>12020</v>
      </c>
      <c r="D3222" s="13">
        <v>62727.144999999997</v>
      </c>
      <c r="E3222" s="18">
        <v>21</v>
      </c>
      <c r="F3222" s="2">
        <f t="shared" si="100"/>
        <v>75899.845449999993</v>
      </c>
      <c r="G3222" s="3">
        <v>0</v>
      </c>
      <c r="H3222" s="4">
        <v>0.7</v>
      </c>
      <c r="I3222" s="28">
        <f t="shared" si="101"/>
        <v>129029.73726499999</v>
      </c>
    </row>
    <row r="3223" spans="1:9" ht="15.75" customHeight="1" x14ac:dyDescent="0.35">
      <c r="A3223" s="26" t="s">
        <v>12021</v>
      </c>
      <c r="B3223" s="25" t="s">
        <v>11636</v>
      </c>
      <c r="C3223" s="6" t="s">
        <v>13671</v>
      </c>
      <c r="D3223" s="13">
        <v>76624.957500000004</v>
      </c>
      <c r="E3223" s="18">
        <v>21</v>
      </c>
      <c r="F3223" s="2">
        <f t="shared" si="100"/>
        <v>92716.198575000002</v>
      </c>
      <c r="G3223" s="3">
        <v>0</v>
      </c>
      <c r="H3223" s="4">
        <v>0.7</v>
      </c>
      <c r="I3223" s="28">
        <f t="shared" si="101"/>
        <v>157617.53757750001</v>
      </c>
    </row>
    <row r="3224" spans="1:9" ht="15.75" customHeight="1" x14ac:dyDescent="0.35">
      <c r="A3224" s="26" t="s">
        <v>12211</v>
      </c>
      <c r="B3224" s="25" t="s">
        <v>8868</v>
      </c>
      <c r="C3224" s="6" t="s">
        <v>12212</v>
      </c>
      <c r="D3224" s="13">
        <v>21429.63460872</v>
      </c>
      <c r="E3224" s="18">
        <v>21</v>
      </c>
      <c r="F3224" s="2">
        <f t="shared" si="100"/>
        <v>25929.857876551199</v>
      </c>
      <c r="G3224" s="3">
        <v>0</v>
      </c>
      <c r="H3224" s="4">
        <v>0.7</v>
      </c>
      <c r="I3224" s="28">
        <f t="shared" si="101"/>
        <v>44080.758390137038</v>
      </c>
    </row>
    <row r="3225" spans="1:9" ht="15.75" customHeight="1" x14ac:dyDescent="0.35">
      <c r="A3225" s="26" t="s">
        <v>11772</v>
      </c>
      <c r="B3225" s="25" t="s">
        <v>1150</v>
      </c>
      <c r="C3225" s="6" t="s">
        <v>11773</v>
      </c>
      <c r="D3225" s="13">
        <v>28119.064999999999</v>
      </c>
      <c r="E3225" s="18">
        <v>21</v>
      </c>
      <c r="F3225" s="2">
        <f t="shared" si="100"/>
        <v>34024.068650000001</v>
      </c>
      <c r="G3225" s="3">
        <v>0</v>
      </c>
      <c r="H3225" s="4">
        <v>0.7</v>
      </c>
      <c r="I3225" s="28">
        <f t="shared" si="101"/>
        <v>57840.916705000003</v>
      </c>
    </row>
    <row r="3226" spans="1:9" ht="15.75" customHeight="1" x14ac:dyDescent="0.35">
      <c r="A3226" s="26" t="s">
        <v>12253</v>
      </c>
      <c r="B3226" s="25" t="s">
        <v>11837</v>
      </c>
      <c r="C3226" s="6" t="s">
        <v>12254</v>
      </c>
      <c r="D3226" s="13">
        <v>149798.91127499999</v>
      </c>
      <c r="E3226" s="18">
        <v>21</v>
      </c>
      <c r="F3226" s="2">
        <f t="shared" si="100"/>
        <v>181256.68264274998</v>
      </c>
      <c r="G3226" s="3">
        <v>0</v>
      </c>
      <c r="H3226" s="4">
        <v>0.7</v>
      </c>
      <c r="I3226" s="28">
        <f t="shared" si="101"/>
        <v>308136.36049267492</v>
      </c>
    </row>
    <row r="3227" spans="1:9" ht="15.75" customHeight="1" x14ac:dyDescent="0.35">
      <c r="A3227" s="26" t="s">
        <v>12255</v>
      </c>
      <c r="B3227" s="25" t="s">
        <v>8819</v>
      </c>
      <c r="C3227" s="6" t="s">
        <v>12256</v>
      </c>
      <c r="D3227" s="13">
        <v>149798.91127499999</v>
      </c>
      <c r="E3227" s="18">
        <v>21</v>
      </c>
      <c r="F3227" s="2">
        <f t="shared" si="100"/>
        <v>181256.68264274998</v>
      </c>
      <c r="G3227" s="3">
        <v>0</v>
      </c>
      <c r="H3227" s="4">
        <v>0.7</v>
      </c>
      <c r="I3227" s="28">
        <f t="shared" si="101"/>
        <v>308136.36049267492</v>
      </c>
    </row>
    <row r="3228" spans="1:9" ht="15.75" customHeight="1" x14ac:dyDescent="0.35">
      <c r="A3228" s="26" t="s">
        <v>3470</v>
      </c>
      <c r="B3228" s="25" t="s">
        <v>8820</v>
      </c>
      <c r="C3228" s="6" t="s">
        <v>542</v>
      </c>
      <c r="D3228" s="13">
        <v>2708.8224962292002</v>
      </c>
      <c r="E3228" s="18">
        <v>10.5</v>
      </c>
      <c r="F3228" s="2">
        <f t="shared" si="100"/>
        <v>2993.2488583332661</v>
      </c>
      <c r="G3228" s="3">
        <v>0</v>
      </c>
      <c r="H3228" s="4">
        <v>0.7</v>
      </c>
      <c r="I3228" s="28">
        <f t="shared" si="101"/>
        <v>5088.5230591665522</v>
      </c>
    </row>
    <row r="3229" spans="1:9" ht="15.75" customHeight="1" x14ac:dyDescent="0.35">
      <c r="A3229" s="26" t="s">
        <v>9453</v>
      </c>
      <c r="B3229" s="25" t="s">
        <v>9574</v>
      </c>
      <c r="C3229" s="6" t="s">
        <v>9454</v>
      </c>
      <c r="D3229" s="13">
        <v>1123.2325000000001</v>
      </c>
      <c r="E3229" s="18">
        <v>10.5</v>
      </c>
      <c r="F3229" s="2">
        <f t="shared" si="100"/>
        <v>1241.1719125</v>
      </c>
      <c r="G3229" s="3">
        <v>0</v>
      </c>
      <c r="H3229" s="4">
        <v>0.7</v>
      </c>
      <c r="I3229" s="28">
        <f t="shared" si="101"/>
        <v>2109.9922512499998</v>
      </c>
    </row>
    <row r="3230" spans="1:9" ht="15.75" customHeight="1" x14ac:dyDescent="0.35">
      <c r="A3230" s="26" t="s">
        <v>3471</v>
      </c>
      <c r="B3230" s="25" t="s">
        <v>9296</v>
      </c>
      <c r="C3230" s="6" t="s">
        <v>543</v>
      </c>
      <c r="D3230" s="13">
        <v>841.54561666573295</v>
      </c>
      <c r="E3230" s="18">
        <v>10.5</v>
      </c>
      <c r="F3230" s="2">
        <f t="shared" si="100"/>
        <v>929.9079064156349</v>
      </c>
      <c r="G3230" s="3">
        <v>0</v>
      </c>
      <c r="H3230" s="4">
        <v>0.7</v>
      </c>
      <c r="I3230" s="28">
        <f t="shared" si="101"/>
        <v>1580.8434409065792</v>
      </c>
    </row>
    <row r="3231" spans="1:9" ht="15.75" customHeight="1" x14ac:dyDescent="0.35">
      <c r="A3231" s="26" t="s">
        <v>3472</v>
      </c>
      <c r="B3231" s="25" t="s">
        <v>9297</v>
      </c>
      <c r="C3231" s="6" t="s">
        <v>544</v>
      </c>
      <c r="D3231" s="13">
        <v>2708.8224962292002</v>
      </c>
      <c r="E3231" s="18">
        <v>10.5</v>
      </c>
      <c r="F3231" s="2">
        <f t="shared" si="100"/>
        <v>2993.2488583332661</v>
      </c>
      <c r="G3231" s="3">
        <v>0</v>
      </c>
      <c r="H3231" s="4">
        <v>0.7</v>
      </c>
      <c r="I3231" s="28">
        <f t="shared" si="101"/>
        <v>5088.5230591665522</v>
      </c>
    </row>
    <row r="3232" spans="1:9" ht="15.75" customHeight="1" x14ac:dyDescent="0.35">
      <c r="A3232" s="26" t="s">
        <v>9455</v>
      </c>
      <c r="B3232" s="25" t="s">
        <v>10201</v>
      </c>
      <c r="C3232" s="6" t="s">
        <v>9456</v>
      </c>
      <c r="D3232" s="13">
        <v>1123.2325000000001</v>
      </c>
      <c r="E3232" s="18">
        <v>10.5</v>
      </c>
      <c r="F3232" s="2">
        <f t="shared" si="100"/>
        <v>1241.1719125</v>
      </c>
      <c r="G3232" s="3">
        <v>0</v>
      </c>
      <c r="H3232" s="4">
        <v>0.7</v>
      </c>
      <c r="I3232" s="28">
        <f t="shared" si="101"/>
        <v>2109.9922512499998</v>
      </c>
    </row>
    <row r="3233" spans="1:9" ht="15.75" customHeight="1" x14ac:dyDescent="0.35">
      <c r="A3233" s="26" t="s">
        <v>2604</v>
      </c>
      <c r="B3233" s="25" t="s">
        <v>1001</v>
      </c>
      <c r="C3233" s="6" t="s">
        <v>1140</v>
      </c>
      <c r="D3233" s="13">
        <v>13393.516136</v>
      </c>
      <c r="E3233" s="18">
        <v>21</v>
      </c>
      <c r="F3233" s="2">
        <f t="shared" si="100"/>
        <v>16206.154524559999</v>
      </c>
      <c r="G3233" s="3">
        <v>0</v>
      </c>
      <c r="H3233" s="4">
        <v>0.7</v>
      </c>
      <c r="I3233" s="28">
        <f t="shared" si="101"/>
        <v>27550.462691751996</v>
      </c>
    </row>
    <row r="3234" spans="1:9" ht="15.75" customHeight="1" x14ac:dyDescent="0.35">
      <c r="A3234" s="26" t="s">
        <v>2605</v>
      </c>
      <c r="B3234" s="25" t="s">
        <v>1002</v>
      </c>
      <c r="C3234" s="6" t="s">
        <v>1141</v>
      </c>
      <c r="D3234" s="13">
        <v>18548.244987999999</v>
      </c>
      <c r="E3234" s="18">
        <v>21</v>
      </c>
      <c r="F3234" s="2">
        <f t="shared" si="100"/>
        <v>22443.376435479997</v>
      </c>
      <c r="G3234" s="3">
        <v>0</v>
      </c>
      <c r="H3234" s="4">
        <v>0.7</v>
      </c>
      <c r="I3234" s="28">
        <f t="shared" si="101"/>
        <v>38153.739940315994</v>
      </c>
    </row>
    <row r="3235" spans="1:9" ht="15.75" customHeight="1" x14ac:dyDescent="0.35">
      <c r="A3235" s="26" t="s">
        <v>2606</v>
      </c>
      <c r="B3235" s="25" t="s">
        <v>1003</v>
      </c>
      <c r="C3235" s="6" t="s">
        <v>1142</v>
      </c>
      <c r="D3235" s="13">
        <v>5555.0558700000001</v>
      </c>
      <c r="E3235" s="18">
        <v>21</v>
      </c>
      <c r="F3235" s="2">
        <f t="shared" si="100"/>
        <v>6721.6176027000001</v>
      </c>
      <c r="G3235" s="3">
        <v>0</v>
      </c>
      <c r="H3235" s="4">
        <v>0.7</v>
      </c>
      <c r="I3235" s="28">
        <f t="shared" si="101"/>
        <v>11426.74992459</v>
      </c>
    </row>
    <row r="3236" spans="1:9" ht="15.75" customHeight="1" x14ac:dyDescent="0.35">
      <c r="A3236" s="26" t="s">
        <v>13797</v>
      </c>
      <c r="B3236" s="25" t="s">
        <v>539</v>
      </c>
      <c r="C3236" s="6" t="s">
        <v>13798</v>
      </c>
      <c r="D3236" s="13">
        <v>5768.9221200000002</v>
      </c>
      <c r="E3236" s="18">
        <v>21</v>
      </c>
      <c r="F3236" s="2">
        <f t="shared" si="100"/>
        <v>6980.3957651999999</v>
      </c>
      <c r="G3236" s="3">
        <v>0</v>
      </c>
      <c r="H3236" s="4">
        <v>0.7</v>
      </c>
      <c r="I3236" s="28">
        <f t="shared" si="101"/>
        <v>11866.672800839999</v>
      </c>
    </row>
    <row r="3237" spans="1:9" ht="15.75" customHeight="1" x14ac:dyDescent="0.35">
      <c r="A3237" s="26" t="s">
        <v>13799</v>
      </c>
      <c r="B3237" s="25" t="s">
        <v>10083</v>
      </c>
      <c r="C3237" s="6" t="s">
        <v>13800</v>
      </c>
      <c r="D3237" s="13">
        <v>7370.0604899999998</v>
      </c>
      <c r="E3237" s="18">
        <v>21</v>
      </c>
      <c r="F3237" s="2">
        <f t="shared" si="100"/>
        <v>8917.7731929000001</v>
      </c>
      <c r="G3237" s="3">
        <v>0</v>
      </c>
      <c r="H3237" s="4">
        <v>0.7</v>
      </c>
      <c r="I3237" s="28">
        <f t="shared" si="101"/>
        <v>15160.214427929999</v>
      </c>
    </row>
    <row r="3238" spans="1:9" ht="15.75" customHeight="1" x14ac:dyDescent="0.35">
      <c r="A3238" s="26" t="s">
        <v>13801</v>
      </c>
      <c r="B3238" s="25" t="s">
        <v>10084</v>
      </c>
      <c r="C3238" s="6" t="s">
        <v>13802</v>
      </c>
      <c r="D3238" s="13">
        <v>7712.7055200000004</v>
      </c>
      <c r="E3238" s="18">
        <v>21</v>
      </c>
      <c r="F3238" s="2">
        <f t="shared" si="100"/>
        <v>9332.3736792</v>
      </c>
      <c r="G3238" s="3">
        <v>0</v>
      </c>
      <c r="H3238" s="4">
        <v>0.7</v>
      </c>
      <c r="I3238" s="28">
        <f t="shared" si="101"/>
        <v>15865.035254639999</v>
      </c>
    </row>
    <row r="3239" spans="1:9" ht="15.75" customHeight="1" x14ac:dyDescent="0.35">
      <c r="A3239" s="26" t="s">
        <v>2426</v>
      </c>
      <c r="B3239" s="25" t="s">
        <v>12962</v>
      </c>
      <c r="C3239" s="6" t="s">
        <v>545</v>
      </c>
      <c r="D3239" s="13">
        <v>10147.40064</v>
      </c>
      <c r="E3239" s="18">
        <v>21</v>
      </c>
      <c r="F3239" s="2">
        <f t="shared" si="100"/>
        <v>12278.354774399999</v>
      </c>
      <c r="G3239" s="3">
        <v>0</v>
      </c>
      <c r="H3239" s="4">
        <v>0.7</v>
      </c>
      <c r="I3239" s="28">
        <f t="shared" si="101"/>
        <v>20873.203116479999</v>
      </c>
    </row>
    <row r="3240" spans="1:9" ht="15.75" customHeight="1" x14ac:dyDescent="0.35">
      <c r="A3240" s="26" t="s">
        <v>1533</v>
      </c>
      <c r="B3240" s="25" t="s">
        <v>13205</v>
      </c>
      <c r="C3240" s="6" t="s">
        <v>13771</v>
      </c>
      <c r="D3240" s="13">
        <v>502.07062500000006</v>
      </c>
      <c r="E3240" s="18">
        <v>21</v>
      </c>
      <c r="F3240" s="2">
        <f t="shared" si="100"/>
        <v>607.50545625000007</v>
      </c>
      <c r="G3240" s="3">
        <v>0</v>
      </c>
      <c r="H3240" s="4">
        <v>0.7</v>
      </c>
      <c r="I3240" s="28">
        <f t="shared" si="101"/>
        <v>1032.7592756250001</v>
      </c>
    </row>
    <row r="3241" spans="1:9" ht="15.75" customHeight="1" x14ac:dyDescent="0.35">
      <c r="A3241" s="26" t="s">
        <v>1535</v>
      </c>
      <c r="B3241" s="25" t="s">
        <v>12112</v>
      </c>
      <c r="C3241" s="6" t="s">
        <v>13772</v>
      </c>
      <c r="D3241" s="13">
        <v>391.86</v>
      </c>
      <c r="E3241" s="18">
        <v>21</v>
      </c>
      <c r="F3241" s="2">
        <f t="shared" si="100"/>
        <v>474.1506</v>
      </c>
      <c r="G3241" s="3">
        <v>0</v>
      </c>
      <c r="H3241" s="4">
        <v>0.7</v>
      </c>
      <c r="I3241" s="28">
        <f t="shared" si="101"/>
        <v>806.05601999999999</v>
      </c>
    </row>
    <row r="3242" spans="1:9" ht="15.75" customHeight="1" x14ac:dyDescent="0.35">
      <c r="A3242" s="26" t="s">
        <v>13773</v>
      </c>
      <c r="B3242" s="25" t="s">
        <v>12623</v>
      </c>
      <c r="C3242" s="6" t="s">
        <v>13774</v>
      </c>
      <c r="D3242" s="13">
        <v>2412.3881249999999</v>
      </c>
      <c r="E3242" s="18">
        <v>21</v>
      </c>
      <c r="F3242" s="2">
        <f t="shared" si="100"/>
        <v>2918.98963125</v>
      </c>
      <c r="G3242" s="3">
        <v>0</v>
      </c>
      <c r="H3242" s="4">
        <v>0.7</v>
      </c>
      <c r="I3242" s="28">
        <f t="shared" si="101"/>
        <v>4962.282373125</v>
      </c>
    </row>
    <row r="3243" spans="1:9" ht="15.75" customHeight="1" x14ac:dyDescent="0.35">
      <c r="A3243" s="26" t="s">
        <v>1537</v>
      </c>
      <c r="B3243" s="25" t="s">
        <v>12113</v>
      </c>
      <c r="C3243" s="6" t="s">
        <v>13999</v>
      </c>
      <c r="D3243" s="13">
        <v>1867.1080025000001</v>
      </c>
      <c r="E3243" s="18">
        <v>21</v>
      </c>
      <c r="F3243" s="2">
        <f t="shared" si="100"/>
        <v>2259.2006830250002</v>
      </c>
      <c r="G3243" s="3">
        <v>0</v>
      </c>
      <c r="H3243" s="4">
        <v>0.7</v>
      </c>
      <c r="I3243" s="28">
        <f t="shared" si="101"/>
        <v>3840.6411611425001</v>
      </c>
    </row>
    <row r="3244" spans="1:9" ht="15.75" customHeight="1" x14ac:dyDescent="0.35">
      <c r="A3244" s="26" t="s">
        <v>1538</v>
      </c>
      <c r="B3244" s="25" t="s">
        <v>12114</v>
      </c>
      <c r="C3244" s="6" t="s">
        <v>14000</v>
      </c>
      <c r="D3244" s="13">
        <v>2802.7724985</v>
      </c>
      <c r="E3244" s="18">
        <v>21</v>
      </c>
      <c r="F3244" s="2">
        <f t="shared" si="100"/>
        <v>3391.3547231849998</v>
      </c>
      <c r="G3244" s="3">
        <v>0</v>
      </c>
      <c r="H3244" s="4">
        <v>0.7</v>
      </c>
      <c r="I3244" s="28">
        <f t="shared" si="101"/>
        <v>5765.3030294144992</v>
      </c>
    </row>
    <row r="3245" spans="1:9" ht="15.75" customHeight="1" x14ac:dyDescent="0.35">
      <c r="A3245" s="26" t="s">
        <v>1532</v>
      </c>
      <c r="B3245" s="25" t="s">
        <v>12717</v>
      </c>
      <c r="C3245" s="6" t="s">
        <v>14001</v>
      </c>
      <c r="D3245" s="13">
        <v>989.66867999999999</v>
      </c>
      <c r="E3245" s="18">
        <v>21</v>
      </c>
      <c r="F3245" s="2">
        <f t="shared" si="100"/>
        <v>1197.4991027999999</v>
      </c>
      <c r="G3245" s="3">
        <v>0</v>
      </c>
      <c r="H3245" s="4">
        <v>0.7</v>
      </c>
      <c r="I3245" s="28">
        <f t="shared" si="101"/>
        <v>2035.7484747599999</v>
      </c>
    </row>
    <row r="3246" spans="1:9" ht="15.75" customHeight="1" x14ac:dyDescent="0.35">
      <c r="A3246" s="26" t="s">
        <v>1534</v>
      </c>
      <c r="B3246" s="25" t="s">
        <v>12115</v>
      </c>
      <c r="C3246" s="6" t="s">
        <v>14002</v>
      </c>
      <c r="D3246" s="13">
        <v>989.66867999999999</v>
      </c>
      <c r="E3246" s="18">
        <v>21</v>
      </c>
      <c r="F3246" s="2">
        <f t="shared" si="100"/>
        <v>1197.4991027999999</v>
      </c>
      <c r="G3246" s="3">
        <v>0</v>
      </c>
      <c r="H3246" s="4">
        <v>0.7</v>
      </c>
      <c r="I3246" s="28">
        <f t="shared" si="101"/>
        <v>2035.7484747599999</v>
      </c>
    </row>
    <row r="3247" spans="1:9" ht="15.75" customHeight="1" x14ac:dyDescent="0.35">
      <c r="A3247" s="26" t="s">
        <v>1539</v>
      </c>
      <c r="B3247" s="25" t="s">
        <v>13185</v>
      </c>
      <c r="C3247" s="6" t="s">
        <v>14003</v>
      </c>
      <c r="D3247" s="13">
        <v>4136.2219599999999</v>
      </c>
      <c r="E3247" s="18">
        <v>21</v>
      </c>
      <c r="F3247" s="2">
        <f t="shared" si="100"/>
        <v>5004.8285716</v>
      </c>
      <c r="G3247" s="3">
        <v>0</v>
      </c>
      <c r="H3247" s="4">
        <v>0.7</v>
      </c>
      <c r="I3247" s="28">
        <f t="shared" si="101"/>
        <v>8508.2085717200007</v>
      </c>
    </row>
    <row r="3248" spans="1:9" ht="15.75" customHeight="1" x14ac:dyDescent="0.35">
      <c r="A3248" s="26" t="s">
        <v>8889</v>
      </c>
      <c r="B3248" s="25" t="s">
        <v>12116</v>
      </c>
      <c r="C3248" s="6" t="s">
        <v>14004</v>
      </c>
      <c r="D3248" s="13">
        <v>1216.38777</v>
      </c>
      <c r="E3248" s="18">
        <v>21</v>
      </c>
      <c r="F3248" s="2">
        <f t="shared" si="100"/>
        <v>1471.8292017000001</v>
      </c>
      <c r="G3248" s="3">
        <v>0</v>
      </c>
      <c r="H3248" s="4">
        <v>0.7</v>
      </c>
      <c r="I3248" s="28">
        <f t="shared" si="101"/>
        <v>2502.10964289</v>
      </c>
    </row>
    <row r="3249" spans="1:9" ht="15.75" customHeight="1" x14ac:dyDescent="0.35">
      <c r="A3249" s="26" t="s">
        <v>13693</v>
      </c>
      <c r="B3249" s="25" t="s">
        <v>13240</v>
      </c>
      <c r="C3249" s="6" t="s">
        <v>13694</v>
      </c>
      <c r="D3249" s="13">
        <v>306.140625</v>
      </c>
      <c r="E3249" s="18">
        <v>21</v>
      </c>
      <c r="F3249" s="2">
        <f t="shared" si="100"/>
        <v>370.43015624999998</v>
      </c>
      <c r="G3249" s="3">
        <v>0</v>
      </c>
      <c r="H3249" s="4">
        <v>0.7</v>
      </c>
      <c r="I3249" s="28">
        <f t="shared" si="101"/>
        <v>629.73126562499999</v>
      </c>
    </row>
    <row r="3250" spans="1:9" ht="15.75" customHeight="1" x14ac:dyDescent="0.35">
      <c r="A3250" s="26" t="s">
        <v>8890</v>
      </c>
      <c r="B3250" s="25" t="s">
        <v>12117</v>
      </c>
      <c r="C3250" s="6" t="s">
        <v>14005</v>
      </c>
      <c r="D3250" s="13">
        <v>1216.38777</v>
      </c>
      <c r="E3250" s="18">
        <v>21</v>
      </c>
      <c r="F3250" s="2">
        <f t="shared" si="100"/>
        <v>1471.8292017000001</v>
      </c>
      <c r="G3250" s="3">
        <v>0</v>
      </c>
      <c r="H3250" s="4">
        <v>0.7</v>
      </c>
      <c r="I3250" s="28">
        <f t="shared" si="101"/>
        <v>2502.10964289</v>
      </c>
    </row>
    <row r="3251" spans="1:9" ht="15.75" customHeight="1" x14ac:dyDescent="0.35">
      <c r="A3251" s="26" t="s">
        <v>8891</v>
      </c>
      <c r="B3251" s="25" t="s">
        <v>12118</v>
      </c>
      <c r="C3251" s="6" t="s">
        <v>13563</v>
      </c>
      <c r="D3251" s="13">
        <v>1216.38777</v>
      </c>
      <c r="E3251" s="18">
        <v>21</v>
      </c>
      <c r="F3251" s="2">
        <f t="shared" si="100"/>
        <v>1471.8292017000001</v>
      </c>
      <c r="G3251" s="3">
        <v>0</v>
      </c>
      <c r="H3251" s="4">
        <v>0.7</v>
      </c>
      <c r="I3251" s="28">
        <f t="shared" si="101"/>
        <v>2502.10964289</v>
      </c>
    </row>
    <row r="3252" spans="1:9" ht="15.75" customHeight="1" x14ac:dyDescent="0.35">
      <c r="A3252" s="26" t="s">
        <v>13695</v>
      </c>
      <c r="B3252" s="25" t="s">
        <v>12119</v>
      </c>
      <c r="C3252" s="6" t="s">
        <v>13696</v>
      </c>
      <c r="D3252" s="13">
        <v>306.140625</v>
      </c>
      <c r="E3252" s="18">
        <v>21</v>
      </c>
      <c r="F3252" s="2">
        <f t="shared" si="100"/>
        <v>370.43015624999998</v>
      </c>
      <c r="G3252" s="3">
        <v>0</v>
      </c>
      <c r="H3252" s="4">
        <v>0.7</v>
      </c>
      <c r="I3252" s="28">
        <f t="shared" si="101"/>
        <v>629.73126562499999</v>
      </c>
    </row>
    <row r="3253" spans="1:9" ht="15.75" customHeight="1" x14ac:dyDescent="0.35">
      <c r="A3253" s="26" t="s">
        <v>1531</v>
      </c>
      <c r="B3253" s="25" t="s">
        <v>12120</v>
      </c>
      <c r="C3253" s="6" t="s">
        <v>12603</v>
      </c>
      <c r="D3253" s="13">
        <v>299.56576000000001</v>
      </c>
      <c r="E3253" s="18">
        <v>21</v>
      </c>
      <c r="F3253" s="2">
        <f t="shared" si="100"/>
        <v>362.4745696</v>
      </c>
      <c r="G3253" s="3">
        <v>0</v>
      </c>
      <c r="H3253" s="4">
        <v>0.7</v>
      </c>
      <c r="I3253" s="28">
        <f t="shared" si="101"/>
        <v>616.20676831999992</v>
      </c>
    </row>
    <row r="3254" spans="1:9" ht="15.75" customHeight="1" x14ac:dyDescent="0.35">
      <c r="A3254" s="26" t="s">
        <v>1540</v>
      </c>
      <c r="B3254" s="25" t="s">
        <v>12602</v>
      </c>
      <c r="C3254" s="6" t="s">
        <v>14006</v>
      </c>
      <c r="D3254" s="13">
        <v>5474.8508099999999</v>
      </c>
      <c r="E3254" s="18">
        <v>21</v>
      </c>
      <c r="F3254" s="2">
        <f t="shared" si="100"/>
        <v>6624.5694801</v>
      </c>
      <c r="G3254" s="3">
        <v>0</v>
      </c>
      <c r="H3254" s="4">
        <v>0.7</v>
      </c>
      <c r="I3254" s="28">
        <f t="shared" si="101"/>
        <v>11261.76811617</v>
      </c>
    </row>
    <row r="3255" spans="1:9" ht="15.75" customHeight="1" x14ac:dyDescent="0.35">
      <c r="A3255" s="26" t="s">
        <v>9159</v>
      </c>
      <c r="B3255" s="25" t="s">
        <v>12121</v>
      </c>
      <c r="C3255" s="6" t="s">
        <v>11417</v>
      </c>
      <c r="D3255" s="13">
        <v>1523.45102</v>
      </c>
      <c r="E3255" s="18">
        <v>21</v>
      </c>
      <c r="F3255" s="2">
        <f t="shared" si="100"/>
        <v>1843.3757341999999</v>
      </c>
      <c r="G3255" s="3">
        <v>0</v>
      </c>
      <c r="H3255" s="4">
        <v>0.7</v>
      </c>
      <c r="I3255" s="28">
        <f t="shared" si="101"/>
        <v>3133.7387481399996</v>
      </c>
    </row>
    <row r="3256" spans="1:9" ht="15.75" customHeight="1" x14ac:dyDescent="0.35">
      <c r="A3256" s="26" t="s">
        <v>8892</v>
      </c>
      <c r="B3256" s="25" t="s">
        <v>12607</v>
      </c>
      <c r="C3256" s="6" t="s">
        <v>8893</v>
      </c>
      <c r="D3256" s="13">
        <v>1558.55558</v>
      </c>
      <c r="E3256" s="18">
        <v>21</v>
      </c>
      <c r="F3256" s="2">
        <f t="shared" si="100"/>
        <v>1885.8522518</v>
      </c>
      <c r="G3256" s="3">
        <v>0</v>
      </c>
      <c r="H3256" s="4">
        <v>0.7</v>
      </c>
      <c r="I3256" s="28">
        <f t="shared" si="101"/>
        <v>3205.9488280599999</v>
      </c>
    </row>
    <row r="3257" spans="1:9" ht="15.75" customHeight="1" x14ac:dyDescent="0.35">
      <c r="A3257" s="26" t="s">
        <v>8894</v>
      </c>
      <c r="B3257" s="25" t="s">
        <v>12122</v>
      </c>
      <c r="C3257" s="6" t="s">
        <v>8895</v>
      </c>
      <c r="D3257" s="13">
        <v>2026.1222540000001</v>
      </c>
      <c r="E3257" s="18">
        <v>21</v>
      </c>
      <c r="F3257" s="2">
        <f t="shared" si="100"/>
        <v>2451.6079273400001</v>
      </c>
      <c r="G3257" s="3">
        <v>0</v>
      </c>
      <c r="H3257" s="4">
        <v>0.7</v>
      </c>
      <c r="I3257" s="28">
        <f t="shared" si="101"/>
        <v>4167.7334764779998</v>
      </c>
    </row>
    <row r="3258" spans="1:9" ht="15.75" customHeight="1" x14ac:dyDescent="0.35">
      <c r="A3258" s="26" t="s">
        <v>1541</v>
      </c>
      <c r="B3258" s="25" t="s">
        <v>12123</v>
      </c>
      <c r="C3258" s="6" t="s">
        <v>11418</v>
      </c>
      <c r="D3258" s="13">
        <v>1776.1616405</v>
      </c>
      <c r="E3258" s="18">
        <v>21</v>
      </c>
      <c r="F3258" s="2">
        <f t="shared" si="100"/>
        <v>2149.1555850049999</v>
      </c>
      <c r="G3258" s="3">
        <v>0</v>
      </c>
      <c r="H3258" s="4">
        <v>0.7</v>
      </c>
      <c r="I3258" s="28">
        <f t="shared" si="101"/>
        <v>3653.5644945084996</v>
      </c>
    </row>
    <row r="3259" spans="1:9" ht="15.75" customHeight="1" x14ac:dyDescent="0.35">
      <c r="A3259" s="26" t="s">
        <v>8896</v>
      </c>
      <c r="B3259" s="25" t="s">
        <v>12124</v>
      </c>
      <c r="C3259" s="6" t="s">
        <v>8897</v>
      </c>
      <c r="D3259" s="13">
        <v>2090.5366819999999</v>
      </c>
      <c r="E3259" s="18">
        <v>21</v>
      </c>
      <c r="F3259" s="2">
        <f t="shared" si="100"/>
        <v>2529.5493852199997</v>
      </c>
      <c r="G3259" s="3">
        <v>0</v>
      </c>
      <c r="H3259" s="4">
        <v>0.7</v>
      </c>
      <c r="I3259" s="28">
        <f t="shared" si="101"/>
        <v>4300.2339548739992</v>
      </c>
    </row>
    <row r="3260" spans="1:9" ht="15.75" customHeight="1" x14ac:dyDescent="0.35">
      <c r="A3260" s="26" t="s">
        <v>10333</v>
      </c>
      <c r="B3260" s="25" t="s">
        <v>12884</v>
      </c>
      <c r="C3260" s="6" t="s">
        <v>10334</v>
      </c>
      <c r="D3260" s="13">
        <v>3926.7637500000005</v>
      </c>
      <c r="E3260" s="18">
        <v>21</v>
      </c>
      <c r="F3260" s="2">
        <f t="shared" si="100"/>
        <v>4751.3841375000011</v>
      </c>
      <c r="G3260" s="3">
        <v>0</v>
      </c>
      <c r="H3260" s="4">
        <v>0.7</v>
      </c>
      <c r="I3260" s="28">
        <f t="shared" si="101"/>
        <v>8077.3530337500015</v>
      </c>
    </row>
    <row r="3261" spans="1:9" ht="15.75" customHeight="1" x14ac:dyDescent="0.35">
      <c r="A3261" s="26" t="s">
        <v>12061</v>
      </c>
      <c r="B3261" s="25" t="s">
        <v>12125</v>
      </c>
      <c r="C3261" s="6" t="s">
        <v>12062</v>
      </c>
      <c r="D3261" s="13">
        <v>3926.7637500000005</v>
      </c>
      <c r="E3261" s="18">
        <v>21</v>
      </c>
      <c r="F3261" s="2">
        <f t="shared" si="100"/>
        <v>4751.3841375000011</v>
      </c>
      <c r="G3261" s="3">
        <v>0</v>
      </c>
      <c r="H3261" s="4">
        <v>0.7</v>
      </c>
      <c r="I3261" s="28">
        <f t="shared" si="101"/>
        <v>8077.3530337500015</v>
      </c>
    </row>
    <row r="3262" spans="1:9" ht="15.75" customHeight="1" x14ac:dyDescent="0.35">
      <c r="A3262" s="26" t="s">
        <v>2886</v>
      </c>
      <c r="B3262" s="25" t="s">
        <v>12718</v>
      </c>
      <c r="C3262" s="6" t="s">
        <v>10676</v>
      </c>
      <c r="D3262" s="13">
        <v>3621.1061375449999</v>
      </c>
      <c r="E3262" s="18">
        <v>21</v>
      </c>
      <c r="F3262" s="2">
        <f t="shared" si="100"/>
        <v>4381.5384264294498</v>
      </c>
      <c r="G3262" s="3">
        <v>0</v>
      </c>
      <c r="H3262" s="4">
        <v>0.7</v>
      </c>
      <c r="I3262" s="28">
        <f t="shared" si="101"/>
        <v>7448.6153249300642</v>
      </c>
    </row>
    <row r="3263" spans="1:9" ht="15.75" customHeight="1" x14ac:dyDescent="0.35">
      <c r="A3263" s="26" t="s">
        <v>2887</v>
      </c>
      <c r="B3263" s="25" t="s">
        <v>12126</v>
      </c>
      <c r="C3263" s="6" t="s">
        <v>12063</v>
      </c>
      <c r="D3263" s="13">
        <v>3926.7637500000005</v>
      </c>
      <c r="E3263" s="18">
        <v>21</v>
      </c>
      <c r="F3263" s="2">
        <f t="shared" si="100"/>
        <v>4751.3841375000011</v>
      </c>
      <c r="G3263" s="3">
        <v>0</v>
      </c>
      <c r="H3263" s="4">
        <v>0.7</v>
      </c>
      <c r="I3263" s="28">
        <f t="shared" si="101"/>
        <v>8077.3530337500015</v>
      </c>
    </row>
    <row r="3264" spans="1:9" ht="15.75" customHeight="1" x14ac:dyDescent="0.35">
      <c r="A3264" s="26" t="s">
        <v>12064</v>
      </c>
      <c r="B3264" s="25" t="s">
        <v>12127</v>
      </c>
      <c r="C3264" s="6" t="s">
        <v>12065</v>
      </c>
      <c r="D3264" s="13">
        <v>3926.7637500000005</v>
      </c>
      <c r="E3264" s="18">
        <v>21</v>
      </c>
      <c r="F3264" s="2">
        <f t="shared" si="100"/>
        <v>4751.3841375000011</v>
      </c>
      <c r="G3264" s="3">
        <v>0</v>
      </c>
      <c r="H3264" s="4">
        <v>0.7</v>
      </c>
      <c r="I3264" s="28">
        <f t="shared" si="101"/>
        <v>8077.3530337500015</v>
      </c>
    </row>
    <row r="3265" spans="1:9" ht="15.75" customHeight="1" x14ac:dyDescent="0.35">
      <c r="A3265" s="26" t="s">
        <v>2888</v>
      </c>
      <c r="B3265" s="25" t="s">
        <v>12128</v>
      </c>
      <c r="C3265" s="6" t="s">
        <v>10677</v>
      </c>
      <c r="D3265" s="13">
        <v>4437.130055865</v>
      </c>
      <c r="E3265" s="18">
        <v>21</v>
      </c>
      <c r="F3265" s="2">
        <f t="shared" si="100"/>
        <v>5368.9273675966497</v>
      </c>
      <c r="G3265" s="3">
        <v>0</v>
      </c>
      <c r="H3265" s="4">
        <v>0.7</v>
      </c>
      <c r="I3265" s="28">
        <f t="shared" si="101"/>
        <v>9127.1765249143045</v>
      </c>
    </row>
    <row r="3266" spans="1:9" ht="15.75" customHeight="1" x14ac:dyDescent="0.35">
      <c r="A3266" s="26" t="s">
        <v>2889</v>
      </c>
      <c r="B3266" s="25" t="s">
        <v>12129</v>
      </c>
      <c r="C3266" s="6" t="s">
        <v>9947</v>
      </c>
      <c r="D3266" s="13">
        <v>3621.1061375449999</v>
      </c>
      <c r="E3266" s="18">
        <v>21</v>
      </c>
      <c r="F3266" s="2">
        <f t="shared" si="100"/>
        <v>4381.5384264294498</v>
      </c>
      <c r="G3266" s="3">
        <v>0</v>
      </c>
      <c r="H3266" s="4">
        <v>0.7</v>
      </c>
      <c r="I3266" s="28">
        <f t="shared" si="101"/>
        <v>7448.6153249300642</v>
      </c>
    </row>
    <row r="3267" spans="1:9" ht="15.75" customHeight="1" x14ac:dyDescent="0.35">
      <c r="A3267" s="26" t="s">
        <v>10335</v>
      </c>
      <c r="B3267" s="25" t="s">
        <v>12130</v>
      </c>
      <c r="C3267" s="6" t="s">
        <v>10336</v>
      </c>
      <c r="D3267" s="13">
        <v>3926.7637500000005</v>
      </c>
      <c r="E3267" s="18">
        <v>21</v>
      </c>
      <c r="F3267" s="2">
        <f t="shared" si="100"/>
        <v>4751.3841375000011</v>
      </c>
      <c r="G3267" s="3">
        <v>0</v>
      </c>
      <c r="H3267" s="4">
        <v>0.7</v>
      </c>
      <c r="I3267" s="28">
        <f t="shared" si="101"/>
        <v>8077.3530337500015</v>
      </c>
    </row>
    <row r="3268" spans="1:9" ht="15.75" customHeight="1" x14ac:dyDescent="0.35">
      <c r="A3268" s="26" t="s">
        <v>13701</v>
      </c>
      <c r="B3268" s="25" t="s">
        <v>12131</v>
      </c>
      <c r="C3268" s="6" t="s">
        <v>13702</v>
      </c>
      <c r="D3268" s="13">
        <v>3926.7637500000005</v>
      </c>
      <c r="E3268" s="18">
        <v>21</v>
      </c>
      <c r="F3268" s="2">
        <f t="shared" si="100"/>
        <v>4751.3841375000011</v>
      </c>
      <c r="G3268" s="3">
        <v>0</v>
      </c>
      <c r="H3268" s="4">
        <v>0.7</v>
      </c>
      <c r="I3268" s="28">
        <f t="shared" si="101"/>
        <v>8077.3530337500015</v>
      </c>
    </row>
    <row r="3269" spans="1:9" ht="15.75" customHeight="1" x14ac:dyDescent="0.35">
      <c r="A3269" s="26" t="s">
        <v>2890</v>
      </c>
      <c r="B3269" s="25" t="s">
        <v>12132</v>
      </c>
      <c r="C3269" s="6" t="s">
        <v>10678</v>
      </c>
      <c r="D3269" s="13">
        <v>3621.1061375449999</v>
      </c>
      <c r="E3269" s="18">
        <v>21</v>
      </c>
      <c r="F3269" s="2">
        <f t="shared" si="100"/>
        <v>4381.5384264294498</v>
      </c>
      <c r="G3269" s="3">
        <v>0</v>
      </c>
      <c r="H3269" s="4">
        <v>0.7</v>
      </c>
      <c r="I3269" s="28">
        <f t="shared" si="101"/>
        <v>7448.6153249300642</v>
      </c>
    </row>
    <row r="3270" spans="1:9" ht="15.75" customHeight="1" x14ac:dyDescent="0.35">
      <c r="A3270" s="26" t="s">
        <v>10337</v>
      </c>
      <c r="B3270" s="25" t="s">
        <v>12330</v>
      </c>
      <c r="C3270" s="6" t="s">
        <v>10338</v>
      </c>
      <c r="D3270" s="13">
        <v>3926.7637500000005</v>
      </c>
      <c r="E3270" s="18">
        <v>21</v>
      </c>
      <c r="F3270" s="2">
        <f t="shared" ref="F3270:F3333" si="102">D3270*E3270/100+D3270</f>
        <v>4751.3841375000011</v>
      </c>
      <c r="G3270" s="3">
        <v>0</v>
      </c>
      <c r="H3270" s="4">
        <v>0.7</v>
      </c>
      <c r="I3270" s="28">
        <f t="shared" ref="I3270:I3333" si="103">IF(G3270=-1,0,F3270*((100-G3270)/100)*(1+H3270))</f>
        <v>8077.3530337500015</v>
      </c>
    </row>
    <row r="3271" spans="1:9" ht="15.75" customHeight="1" x14ac:dyDescent="0.35">
      <c r="A3271" s="26" t="s">
        <v>12066</v>
      </c>
      <c r="B3271" s="25" t="s">
        <v>12133</v>
      </c>
      <c r="C3271" s="6" t="s">
        <v>12067</v>
      </c>
      <c r="D3271" s="13">
        <v>3926.7637500000005</v>
      </c>
      <c r="E3271" s="18">
        <v>21</v>
      </c>
      <c r="F3271" s="2">
        <f t="shared" si="102"/>
        <v>4751.3841375000011</v>
      </c>
      <c r="G3271" s="3">
        <v>0</v>
      </c>
      <c r="H3271" s="4">
        <v>0.7</v>
      </c>
      <c r="I3271" s="28">
        <f t="shared" si="103"/>
        <v>8077.3530337500015</v>
      </c>
    </row>
    <row r="3272" spans="1:9" ht="15.75" customHeight="1" x14ac:dyDescent="0.35">
      <c r="A3272" s="26" t="s">
        <v>2891</v>
      </c>
      <c r="B3272" s="25" t="s">
        <v>12134</v>
      </c>
      <c r="C3272" s="6" t="s">
        <v>1006</v>
      </c>
      <c r="D3272" s="13">
        <v>26093.627118000004</v>
      </c>
      <c r="E3272" s="18">
        <v>21</v>
      </c>
      <c r="F3272" s="2">
        <f t="shared" si="102"/>
        <v>31573.288812780003</v>
      </c>
      <c r="G3272" s="3">
        <v>0</v>
      </c>
      <c r="H3272" s="4">
        <v>0.7</v>
      </c>
      <c r="I3272" s="28">
        <f t="shared" si="103"/>
        <v>53674.590981726004</v>
      </c>
    </row>
    <row r="3273" spans="1:9" ht="15.75" customHeight="1" x14ac:dyDescent="0.35">
      <c r="A3273" s="26" t="s">
        <v>5675</v>
      </c>
      <c r="B3273" s="25" t="s">
        <v>13186</v>
      </c>
      <c r="C3273" s="6" t="s">
        <v>546</v>
      </c>
      <c r="D3273" s="13">
        <v>20.3203404625894</v>
      </c>
      <c r="E3273" s="18">
        <v>21</v>
      </c>
      <c r="F3273" s="2">
        <f t="shared" si="102"/>
        <v>24.587611959733174</v>
      </c>
      <c r="G3273" s="3">
        <v>0</v>
      </c>
      <c r="H3273" s="4">
        <v>0.7</v>
      </c>
      <c r="I3273" s="28">
        <f t="shared" si="103"/>
        <v>41.798940331546397</v>
      </c>
    </row>
    <row r="3274" spans="1:9" ht="15.75" customHeight="1" x14ac:dyDescent="0.35">
      <c r="A3274" s="26" t="s">
        <v>9577</v>
      </c>
      <c r="B3274" s="25" t="s">
        <v>12135</v>
      </c>
      <c r="C3274" s="6" t="s">
        <v>9578</v>
      </c>
      <c r="D3274" s="13">
        <v>14025.411096125001</v>
      </c>
      <c r="E3274" s="18">
        <v>10.5</v>
      </c>
      <c r="F3274" s="2">
        <f t="shared" si="102"/>
        <v>15498.079261218125</v>
      </c>
      <c r="G3274" s="3">
        <v>0</v>
      </c>
      <c r="H3274" s="4">
        <v>0.7</v>
      </c>
      <c r="I3274" s="28">
        <f t="shared" si="103"/>
        <v>26346.734744070811</v>
      </c>
    </row>
    <row r="3275" spans="1:9" ht="15.75" customHeight="1" x14ac:dyDescent="0.35">
      <c r="A3275" s="26" t="s">
        <v>10202</v>
      </c>
      <c r="B3275" s="25" t="s">
        <v>12331</v>
      </c>
      <c r="C3275" s="6" t="s">
        <v>10203</v>
      </c>
      <c r="D3275" s="13">
        <v>11204.365900000001</v>
      </c>
      <c r="E3275" s="18">
        <v>21</v>
      </c>
      <c r="F3275" s="2">
        <f t="shared" si="102"/>
        <v>13557.282739</v>
      </c>
      <c r="G3275" s="3">
        <v>0</v>
      </c>
      <c r="H3275" s="4">
        <v>0.7</v>
      </c>
      <c r="I3275" s="28">
        <f t="shared" si="103"/>
        <v>23047.3806563</v>
      </c>
    </row>
    <row r="3276" spans="1:9" ht="15.75" customHeight="1" x14ac:dyDescent="0.35">
      <c r="A3276" s="26" t="s">
        <v>2794</v>
      </c>
      <c r="B3276" s="25" t="s">
        <v>12136</v>
      </c>
      <c r="C3276" s="6" t="s">
        <v>8994</v>
      </c>
      <c r="D3276" s="13">
        <v>4332.9249553356003</v>
      </c>
      <c r="E3276" s="18">
        <v>21</v>
      </c>
      <c r="F3276" s="2">
        <f t="shared" si="102"/>
        <v>5242.8391959560759</v>
      </c>
      <c r="G3276" s="3">
        <v>0</v>
      </c>
      <c r="H3276" s="4">
        <v>0.7</v>
      </c>
      <c r="I3276" s="28">
        <f t="shared" si="103"/>
        <v>8912.826633125329</v>
      </c>
    </row>
    <row r="3277" spans="1:9" ht="15.75" customHeight="1" x14ac:dyDescent="0.35">
      <c r="A3277" s="26" t="s">
        <v>8984</v>
      </c>
      <c r="B3277" s="25" t="s">
        <v>10085</v>
      </c>
      <c r="C3277" s="6" t="s">
        <v>8995</v>
      </c>
      <c r="D3277" s="13">
        <v>10955.879482766401</v>
      </c>
      <c r="E3277" s="18">
        <v>21</v>
      </c>
      <c r="F3277" s="2">
        <f t="shared" si="102"/>
        <v>13256.614174147344</v>
      </c>
      <c r="G3277" s="3">
        <v>0</v>
      </c>
      <c r="H3277" s="4">
        <v>0.7</v>
      </c>
      <c r="I3277" s="28">
        <f t="shared" si="103"/>
        <v>22536.244096050483</v>
      </c>
    </row>
    <row r="3278" spans="1:9" ht="15.75" customHeight="1" x14ac:dyDescent="0.35">
      <c r="A3278" s="26" t="s">
        <v>12553</v>
      </c>
      <c r="B3278" s="25" t="s">
        <v>9596</v>
      </c>
      <c r="C3278" s="6" t="s">
        <v>12554</v>
      </c>
      <c r="D3278" s="13">
        <v>3255.8457246120001</v>
      </c>
      <c r="E3278" s="18">
        <v>21</v>
      </c>
      <c r="F3278" s="2">
        <f t="shared" si="102"/>
        <v>3939.5733267805203</v>
      </c>
      <c r="G3278" s="3">
        <v>0</v>
      </c>
      <c r="H3278" s="4">
        <v>0.7</v>
      </c>
      <c r="I3278" s="28">
        <f t="shared" si="103"/>
        <v>6697.2746555268841</v>
      </c>
    </row>
    <row r="3279" spans="1:9" ht="15.75" customHeight="1" x14ac:dyDescent="0.35">
      <c r="A3279" s="26" t="s">
        <v>2608</v>
      </c>
      <c r="B3279" s="25" t="s">
        <v>9597</v>
      </c>
      <c r="C3279" s="6" t="s">
        <v>12555</v>
      </c>
      <c r="D3279" s="13">
        <v>3022.8880964256</v>
      </c>
      <c r="E3279" s="18">
        <v>21</v>
      </c>
      <c r="F3279" s="2">
        <f t="shared" si="102"/>
        <v>3657.6945966749759</v>
      </c>
      <c r="G3279" s="3">
        <v>0</v>
      </c>
      <c r="H3279" s="4">
        <v>0.7</v>
      </c>
      <c r="I3279" s="28">
        <f t="shared" si="103"/>
        <v>6218.0808143474587</v>
      </c>
    </row>
    <row r="3280" spans="1:9" ht="15.75" customHeight="1" x14ac:dyDescent="0.35">
      <c r="A3280" s="26" t="s">
        <v>9300</v>
      </c>
      <c r="B3280" s="25" t="s">
        <v>9598</v>
      </c>
      <c r="C3280" s="6" t="s">
        <v>12516</v>
      </c>
      <c r="D3280" s="13">
        <v>3948.1530767078398</v>
      </c>
      <c r="E3280" s="18">
        <v>21</v>
      </c>
      <c r="F3280" s="2">
        <f t="shared" si="102"/>
        <v>4777.2652228164861</v>
      </c>
      <c r="G3280" s="3">
        <v>0</v>
      </c>
      <c r="H3280" s="4">
        <v>0.7</v>
      </c>
      <c r="I3280" s="28">
        <f t="shared" si="103"/>
        <v>8121.3508787880264</v>
      </c>
    </row>
    <row r="3281" spans="1:9" ht="15.75" customHeight="1" x14ac:dyDescent="0.35">
      <c r="A3281" s="26" t="s">
        <v>2611</v>
      </c>
      <c r="B3281" s="25" t="s">
        <v>10748</v>
      </c>
      <c r="C3281" s="6" t="s">
        <v>12556</v>
      </c>
      <c r="D3281" s="13">
        <v>5606.6719623875997</v>
      </c>
      <c r="E3281" s="18">
        <v>21</v>
      </c>
      <c r="F3281" s="2">
        <f t="shared" si="102"/>
        <v>6784.0730744889952</v>
      </c>
      <c r="G3281" s="3">
        <v>0</v>
      </c>
      <c r="H3281" s="4">
        <v>0.7</v>
      </c>
      <c r="I3281" s="28">
        <f t="shared" si="103"/>
        <v>11532.924226631292</v>
      </c>
    </row>
    <row r="3282" spans="1:9" ht="15.75" customHeight="1" x14ac:dyDescent="0.35">
      <c r="A3282" s="26" t="s">
        <v>12557</v>
      </c>
      <c r="B3282" s="25" t="s">
        <v>10750</v>
      </c>
      <c r="C3282" s="6" t="s">
        <v>12558</v>
      </c>
      <c r="D3282" s="13">
        <v>6190.3759208616002</v>
      </c>
      <c r="E3282" s="18">
        <v>21</v>
      </c>
      <c r="F3282" s="2">
        <f t="shared" si="102"/>
        <v>7490.3548642425358</v>
      </c>
      <c r="G3282" s="3">
        <v>0</v>
      </c>
      <c r="H3282" s="4">
        <v>0.7</v>
      </c>
      <c r="I3282" s="28">
        <f t="shared" si="103"/>
        <v>12733.60326921231</v>
      </c>
    </row>
    <row r="3283" spans="1:9" ht="15.75" customHeight="1" x14ac:dyDescent="0.35">
      <c r="A3283" s="26" t="s">
        <v>9301</v>
      </c>
      <c r="B3283" s="25" t="s">
        <v>12720</v>
      </c>
      <c r="C3283" s="6" t="s">
        <v>12517</v>
      </c>
      <c r="D3283" s="13">
        <v>7346.5034781855602</v>
      </c>
      <c r="E3283" s="18">
        <v>21</v>
      </c>
      <c r="F3283" s="2">
        <f t="shared" si="102"/>
        <v>8889.2692086045281</v>
      </c>
      <c r="G3283" s="3">
        <v>0</v>
      </c>
      <c r="H3283" s="4">
        <v>0.7</v>
      </c>
      <c r="I3283" s="28">
        <f t="shared" si="103"/>
        <v>15111.757654627698</v>
      </c>
    </row>
    <row r="3284" spans="1:9" ht="15.75" customHeight="1" x14ac:dyDescent="0.35">
      <c r="A3284" s="26" t="s">
        <v>9302</v>
      </c>
      <c r="B3284" s="25" t="s">
        <v>9599</v>
      </c>
      <c r="C3284" s="6" t="s">
        <v>12518</v>
      </c>
      <c r="D3284" s="13">
        <v>9553.73196915072</v>
      </c>
      <c r="E3284" s="18">
        <v>21</v>
      </c>
      <c r="F3284" s="2">
        <f t="shared" si="102"/>
        <v>11560.015682672371</v>
      </c>
      <c r="G3284" s="3">
        <v>0</v>
      </c>
      <c r="H3284" s="4">
        <v>0.7</v>
      </c>
      <c r="I3284" s="28">
        <f t="shared" si="103"/>
        <v>19652.02666054303</v>
      </c>
    </row>
    <row r="3285" spans="1:9" ht="15.75" customHeight="1" x14ac:dyDescent="0.35">
      <c r="A3285" s="26" t="s">
        <v>2591</v>
      </c>
      <c r="B3285" s="25" t="s">
        <v>12300</v>
      </c>
      <c r="C3285" s="6" t="s">
        <v>1007</v>
      </c>
      <c r="D3285" s="13">
        <v>4206.384</v>
      </c>
      <c r="E3285" s="18">
        <v>21</v>
      </c>
      <c r="F3285" s="2">
        <f t="shared" si="102"/>
        <v>5089.7246400000004</v>
      </c>
      <c r="G3285" s="3">
        <v>0</v>
      </c>
      <c r="H3285" s="4">
        <v>0.7</v>
      </c>
      <c r="I3285" s="28">
        <f t="shared" si="103"/>
        <v>8652.5318879999995</v>
      </c>
    </row>
    <row r="3286" spans="1:9" ht="15.75" customHeight="1" x14ac:dyDescent="0.35">
      <c r="A3286" s="26" t="s">
        <v>4688</v>
      </c>
      <c r="B3286" s="25" t="s">
        <v>12301</v>
      </c>
      <c r="C3286" s="6" t="s">
        <v>547</v>
      </c>
      <c r="D3286" s="13">
        <v>75.495133999999993</v>
      </c>
      <c r="E3286" s="18">
        <v>21</v>
      </c>
      <c r="F3286" s="2">
        <f t="shared" si="102"/>
        <v>91.349112139999988</v>
      </c>
      <c r="G3286" s="3">
        <v>0</v>
      </c>
      <c r="H3286" s="4">
        <v>0.7</v>
      </c>
      <c r="I3286" s="28">
        <f t="shared" si="103"/>
        <v>155.29349063799998</v>
      </c>
    </row>
    <row r="3287" spans="1:9" ht="15.75" customHeight="1" x14ac:dyDescent="0.35">
      <c r="A3287" s="26" t="s">
        <v>4689</v>
      </c>
      <c r="B3287" s="25" t="s">
        <v>9600</v>
      </c>
      <c r="C3287" s="6" t="s">
        <v>548</v>
      </c>
      <c r="D3287" s="13">
        <v>92.999477999999996</v>
      </c>
      <c r="E3287" s="18">
        <v>21</v>
      </c>
      <c r="F3287" s="2">
        <f t="shared" si="102"/>
        <v>112.52936837999999</v>
      </c>
      <c r="G3287" s="3">
        <v>0</v>
      </c>
      <c r="H3287" s="4">
        <v>0.7</v>
      </c>
      <c r="I3287" s="28">
        <f t="shared" si="103"/>
        <v>191.29992624599998</v>
      </c>
    </row>
    <row r="3288" spans="1:9" ht="15.75" customHeight="1" x14ac:dyDescent="0.35">
      <c r="A3288" s="26" t="s">
        <v>5224</v>
      </c>
      <c r="B3288" s="25" t="s">
        <v>11676</v>
      </c>
      <c r="C3288" s="6" t="s">
        <v>1272</v>
      </c>
      <c r="D3288" s="13">
        <v>8359.2017027999991</v>
      </c>
      <c r="E3288" s="18">
        <v>21</v>
      </c>
      <c r="F3288" s="2">
        <f t="shared" si="102"/>
        <v>10114.634060387998</v>
      </c>
      <c r="G3288" s="3">
        <v>0</v>
      </c>
      <c r="H3288" s="4">
        <v>0.7</v>
      </c>
      <c r="I3288" s="28">
        <f t="shared" si="103"/>
        <v>17194.877902659595</v>
      </c>
    </row>
    <row r="3289" spans="1:9" ht="15.75" customHeight="1" x14ac:dyDescent="0.35">
      <c r="A3289" s="26" t="s">
        <v>4690</v>
      </c>
      <c r="B3289" s="25" t="s">
        <v>11677</v>
      </c>
      <c r="C3289" s="6" t="s">
        <v>11017</v>
      </c>
      <c r="D3289" s="13">
        <v>87.552322000000004</v>
      </c>
      <c r="E3289" s="18">
        <v>21</v>
      </c>
      <c r="F3289" s="2">
        <f t="shared" si="102"/>
        <v>105.93830962000001</v>
      </c>
      <c r="G3289" s="3">
        <v>0</v>
      </c>
      <c r="H3289" s="4">
        <v>0.7</v>
      </c>
      <c r="I3289" s="28">
        <f t="shared" si="103"/>
        <v>180.09512635400003</v>
      </c>
    </row>
    <row r="3290" spans="1:9" ht="15.75" customHeight="1" x14ac:dyDescent="0.35">
      <c r="A3290" s="26" t="s">
        <v>4691</v>
      </c>
      <c r="B3290" s="25" t="s">
        <v>9991</v>
      </c>
      <c r="C3290" s="6" t="s">
        <v>9641</v>
      </c>
      <c r="D3290" s="13">
        <v>347.50101100000001</v>
      </c>
      <c r="E3290" s="18">
        <v>21</v>
      </c>
      <c r="F3290" s="2">
        <f t="shared" si="102"/>
        <v>420.47622331000002</v>
      </c>
      <c r="G3290" s="3">
        <v>0</v>
      </c>
      <c r="H3290" s="4">
        <v>0.7</v>
      </c>
      <c r="I3290" s="28">
        <f t="shared" si="103"/>
        <v>714.80957962700006</v>
      </c>
    </row>
    <row r="3291" spans="1:9" ht="15.75" customHeight="1" x14ac:dyDescent="0.35">
      <c r="A3291" s="26" t="s">
        <v>4692</v>
      </c>
      <c r="B3291" s="25" t="s">
        <v>9946</v>
      </c>
      <c r="C3291" s="6" t="s">
        <v>9642</v>
      </c>
      <c r="D3291" s="13">
        <v>401.66655100000003</v>
      </c>
      <c r="E3291" s="18">
        <v>21</v>
      </c>
      <c r="F3291" s="2">
        <f t="shared" si="102"/>
        <v>486.01652670999999</v>
      </c>
      <c r="G3291" s="3">
        <v>0</v>
      </c>
      <c r="H3291" s="4">
        <v>0.7</v>
      </c>
      <c r="I3291" s="28">
        <f t="shared" si="103"/>
        <v>826.22809540699996</v>
      </c>
    </row>
    <row r="3292" spans="1:9" ht="15.75" customHeight="1" x14ac:dyDescent="0.35">
      <c r="A3292" s="26" t="s">
        <v>3836</v>
      </c>
      <c r="B3292" s="25" t="s">
        <v>10493</v>
      </c>
      <c r="C3292" s="6" t="s">
        <v>549</v>
      </c>
      <c r="D3292" s="13">
        <v>9538.0869999999995</v>
      </c>
      <c r="E3292" s="18">
        <v>21</v>
      </c>
      <c r="F3292" s="2">
        <f t="shared" si="102"/>
        <v>11541.08527</v>
      </c>
      <c r="G3292" s="3">
        <v>0</v>
      </c>
      <c r="H3292" s="4">
        <v>0.7</v>
      </c>
      <c r="I3292" s="28">
        <f t="shared" si="103"/>
        <v>19619.844958999998</v>
      </c>
    </row>
    <row r="3293" spans="1:9" ht="15.75" customHeight="1" x14ac:dyDescent="0.35">
      <c r="A3293" s="26" t="s">
        <v>3837</v>
      </c>
      <c r="B3293" s="25" t="s">
        <v>10733</v>
      </c>
      <c r="C3293" s="6" t="s">
        <v>550</v>
      </c>
      <c r="D3293" s="13">
        <v>14601.16008</v>
      </c>
      <c r="E3293" s="18">
        <v>21</v>
      </c>
      <c r="F3293" s="2">
        <f t="shared" si="102"/>
        <v>17667.4036968</v>
      </c>
      <c r="G3293" s="3">
        <v>0</v>
      </c>
      <c r="H3293" s="4">
        <v>0.7</v>
      </c>
      <c r="I3293" s="28">
        <f t="shared" si="103"/>
        <v>30034.586284559999</v>
      </c>
    </row>
    <row r="3294" spans="1:9" ht="15.75" customHeight="1" x14ac:dyDescent="0.35">
      <c r="A3294" s="26" t="s">
        <v>3838</v>
      </c>
      <c r="B3294" s="25" t="s">
        <v>12137</v>
      </c>
      <c r="C3294" s="6" t="s">
        <v>551</v>
      </c>
      <c r="D3294" s="13">
        <v>14697.306</v>
      </c>
      <c r="E3294" s="18">
        <v>21</v>
      </c>
      <c r="F3294" s="2">
        <f t="shared" si="102"/>
        <v>17783.740260000002</v>
      </c>
      <c r="G3294" s="3">
        <v>0</v>
      </c>
      <c r="H3294" s="4">
        <v>0.7</v>
      </c>
      <c r="I3294" s="28">
        <f t="shared" si="103"/>
        <v>30232.358442000004</v>
      </c>
    </row>
    <row r="3295" spans="1:9" ht="15.75" customHeight="1" x14ac:dyDescent="0.35">
      <c r="A3295" s="26" t="s">
        <v>3841</v>
      </c>
      <c r="B3295" s="25" t="s">
        <v>12210</v>
      </c>
      <c r="C3295" s="6" t="s">
        <v>13658</v>
      </c>
      <c r="D3295" s="13">
        <v>184262.63225175001</v>
      </c>
      <c r="E3295" s="18">
        <v>21</v>
      </c>
      <c r="F3295" s="2">
        <f t="shared" si="102"/>
        <v>222957.78502461751</v>
      </c>
      <c r="G3295" s="3">
        <v>0</v>
      </c>
      <c r="H3295" s="4">
        <v>0.7</v>
      </c>
      <c r="I3295" s="28">
        <f t="shared" si="103"/>
        <v>379028.23454184976</v>
      </c>
    </row>
    <row r="3296" spans="1:9" ht="15.75" customHeight="1" x14ac:dyDescent="0.35">
      <c r="A3296" s="26" t="s">
        <v>3665</v>
      </c>
      <c r="B3296" s="25" t="s">
        <v>12138</v>
      </c>
      <c r="C3296" s="6" t="s">
        <v>552</v>
      </c>
      <c r="D3296" s="13">
        <v>5238.6064562812599</v>
      </c>
      <c r="E3296" s="18">
        <v>21</v>
      </c>
      <c r="F3296" s="2">
        <f t="shared" si="102"/>
        <v>6338.7138121003245</v>
      </c>
      <c r="G3296" s="3">
        <v>0</v>
      </c>
      <c r="H3296" s="4">
        <v>0.7</v>
      </c>
      <c r="I3296" s="28">
        <f t="shared" si="103"/>
        <v>10775.813480570552</v>
      </c>
    </row>
    <row r="3297" spans="1:9" ht="15.75" customHeight="1" x14ac:dyDescent="0.35">
      <c r="A3297" s="26" t="s">
        <v>3666</v>
      </c>
      <c r="B3297" s="25" t="s">
        <v>12139</v>
      </c>
      <c r="C3297" s="6" t="s">
        <v>553</v>
      </c>
      <c r="D3297" s="13">
        <v>1488.9202709062599</v>
      </c>
      <c r="E3297" s="18">
        <v>21</v>
      </c>
      <c r="F3297" s="2">
        <f t="shared" si="102"/>
        <v>1801.5935277965746</v>
      </c>
      <c r="G3297" s="3">
        <v>0</v>
      </c>
      <c r="H3297" s="4">
        <v>0.7</v>
      </c>
      <c r="I3297" s="28">
        <f t="shared" si="103"/>
        <v>3062.7089972541767</v>
      </c>
    </row>
    <row r="3298" spans="1:9" ht="15.75" customHeight="1" x14ac:dyDescent="0.35">
      <c r="A3298" s="26" t="s">
        <v>3668</v>
      </c>
      <c r="B3298" s="25" t="s">
        <v>12140</v>
      </c>
      <c r="C3298" s="6" t="s">
        <v>554</v>
      </c>
      <c r="D3298" s="13">
        <v>1488.9202709062599</v>
      </c>
      <c r="E3298" s="18">
        <v>21</v>
      </c>
      <c r="F3298" s="2">
        <f t="shared" si="102"/>
        <v>1801.5935277965746</v>
      </c>
      <c r="G3298" s="3">
        <v>0</v>
      </c>
      <c r="H3298" s="4">
        <v>0.7</v>
      </c>
      <c r="I3298" s="28">
        <f t="shared" si="103"/>
        <v>3062.7089972541767</v>
      </c>
    </row>
    <row r="3299" spans="1:9" ht="15.75" customHeight="1" x14ac:dyDescent="0.35">
      <c r="A3299" s="26" t="s">
        <v>3669</v>
      </c>
      <c r="B3299" s="25" t="s">
        <v>12573</v>
      </c>
      <c r="C3299" s="6" t="s">
        <v>555</v>
      </c>
      <c r="D3299" s="13">
        <v>2443.1303830781299</v>
      </c>
      <c r="E3299" s="18">
        <v>21</v>
      </c>
      <c r="F3299" s="2">
        <f t="shared" si="102"/>
        <v>2956.1877635245373</v>
      </c>
      <c r="G3299" s="3">
        <v>0</v>
      </c>
      <c r="H3299" s="4">
        <v>0.7</v>
      </c>
      <c r="I3299" s="28">
        <f t="shared" si="103"/>
        <v>5025.5191979917136</v>
      </c>
    </row>
    <row r="3300" spans="1:9" ht="15.75" customHeight="1" x14ac:dyDescent="0.35">
      <c r="A3300" s="26" t="s">
        <v>3670</v>
      </c>
      <c r="B3300" s="25" t="s">
        <v>12141</v>
      </c>
      <c r="C3300" s="6" t="s">
        <v>556</v>
      </c>
      <c r="D3300" s="13">
        <v>2141.2442829375</v>
      </c>
      <c r="E3300" s="18">
        <v>21</v>
      </c>
      <c r="F3300" s="2">
        <f t="shared" si="102"/>
        <v>2590.9055823543749</v>
      </c>
      <c r="G3300" s="3">
        <v>0</v>
      </c>
      <c r="H3300" s="4">
        <v>0.7</v>
      </c>
      <c r="I3300" s="28">
        <f t="shared" si="103"/>
        <v>4404.5394900024376</v>
      </c>
    </row>
    <row r="3301" spans="1:9" ht="15.75" customHeight="1" x14ac:dyDescent="0.35">
      <c r="A3301" s="26" t="s">
        <v>3671</v>
      </c>
      <c r="B3301" s="25" t="s">
        <v>12142</v>
      </c>
      <c r="C3301" s="6" t="s">
        <v>557</v>
      </c>
      <c r="D3301" s="13">
        <v>4242.5602461059998</v>
      </c>
      <c r="E3301" s="18">
        <v>21</v>
      </c>
      <c r="F3301" s="2">
        <f t="shared" si="102"/>
        <v>5133.4978977882602</v>
      </c>
      <c r="G3301" s="3">
        <v>0</v>
      </c>
      <c r="H3301" s="4">
        <v>0.7</v>
      </c>
      <c r="I3301" s="28">
        <f t="shared" si="103"/>
        <v>8726.9464262400415</v>
      </c>
    </row>
    <row r="3302" spans="1:9" ht="15.75" customHeight="1" x14ac:dyDescent="0.35">
      <c r="A3302" s="26" t="s">
        <v>3842</v>
      </c>
      <c r="B3302" s="25" t="s">
        <v>12143</v>
      </c>
      <c r="C3302" s="6" t="s">
        <v>558</v>
      </c>
      <c r="D3302" s="13">
        <v>3436.1830713600002</v>
      </c>
      <c r="E3302" s="18">
        <v>21</v>
      </c>
      <c r="F3302" s="2">
        <f t="shared" si="102"/>
        <v>4157.7815163455998</v>
      </c>
      <c r="G3302" s="3">
        <v>0</v>
      </c>
      <c r="H3302" s="4">
        <v>0.7</v>
      </c>
      <c r="I3302" s="28">
        <f t="shared" si="103"/>
        <v>7068.2285777875195</v>
      </c>
    </row>
    <row r="3303" spans="1:9" ht="15.75" customHeight="1" x14ac:dyDescent="0.35">
      <c r="A3303" s="26" t="s">
        <v>3844</v>
      </c>
      <c r="B3303" s="25" t="s">
        <v>12144</v>
      </c>
      <c r="C3303" s="6" t="s">
        <v>10499</v>
      </c>
      <c r="D3303" s="13">
        <v>18319.47</v>
      </c>
      <c r="E3303" s="18">
        <v>21</v>
      </c>
      <c r="F3303" s="2">
        <f t="shared" si="102"/>
        <v>22166.558700000001</v>
      </c>
      <c r="G3303" s="3">
        <v>0</v>
      </c>
      <c r="H3303" s="4">
        <v>0.7</v>
      </c>
      <c r="I3303" s="28">
        <f t="shared" si="103"/>
        <v>37683.149790000003</v>
      </c>
    </row>
    <row r="3304" spans="1:9" ht="15.75" customHeight="1" x14ac:dyDescent="0.35">
      <c r="A3304" s="26" t="s">
        <v>3845</v>
      </c>
      <c r="B3304" s="25" t="s">
        <v>12145</v>
      </c>
      <c r="C3304" s="6" t="s">
        <v>10500</v>
      </c>
      <c r="D3304" s="13">
        <v>32461.767</v>
      </c>
      <c r="E3304" s="18">
        <v>21</v>
      </c>
      <c r="F3304" s="2">
        <f t="shared" si="102"/>
        <v>39278.738069999999</v>
      </c>
      <c r="G3304" s="3">
        <v>0</v>
      </c>
      <c r="H3304" s="4">
        <v>0.7</v>
      </c>
      <c r="I3304" s="28">
        <f t="shared" si="103"/>
        <v>66773.854718999995</v>
      </c>
    </row>
    <row r="3305" spans="1:9" ht="15.75" customHeight="1" x14ac:dyDescent="0.35">
      <c r="A3305" s="26" t="s">
        <v>13865</v>
      </c>
      <c r="B3305" s="25" t="s">
        <v>12252</v>
      </c>
      <c r="C3305" s="6" t="s">
        <v>13866</v>
      </c>
      <c r="D3305" s="13">
        <v>26619.199776000001</v>
      </c>
      <c r="E3305" s="18">
        <v>21</v>
      </c>
      <c r="F3305" s="2">
        <f t="shared" si="102"/>
        <v>32209.231728960003</v>
      </c>
      <c r="G3305" s="3">
        <v>0</v>
      </c>
      <c r="H3305" s="4">
        <v>0.7</v>
      </c>
      <c r="I3305" s="28">
        <f t="shared" si="103"/>
        <v>54755.693939232006</v>
      </c>
    </row>
    <row r="3306" spans="1:9" ht="15.75" customHeight="1" x14ac:dyDescent="0.35">
      <c r="A3306" s="26" t="s">
        <v>13867</v>
      </c>
      <c r="B3306" s="25" t="s">
        <v>12146</v>
      </c>
      <c r="C3306" s="6" t="s">
        <v>13868</v>
      </c>
      <c r="D3306" s="13">
        <v>26619.199776000001</v>
      </c>
      <c r="E3306" s="18">
        <v>21</v>
      </c>
      <c r="F3306" s="2">
        <f t="shared" si="102"/>
        <v>32209.231728960003</v>
      </c>
      <c r="G3306" s="3">
        <v>0</v>
      </c>
      <c r="H3306" s="4">
        <v>0.7</v>
      </c>
      <c r="I3306" s="28">
        <f t="shared" si="103"/>
        <v>54755.693939232006</v>
      </c>
    </row>
    <row r="3307" spans="1:9" ht="15.75" customHeight="1" x14ac:dyDescent="0.35">
      <c r="A3307" s="26" t="s">
        <v>13869</v>
      </c>
      <c r="B3307" s="25" t="s">
        <v>12147</v>
      </c>
      <c r="C3307" s="6" t="s">
        <v>13870</v>
      </c>
      <c r="D3307" s="13">
        <v>48628.578258000001</v>
      </c>
      <c r="E3307" s="18">
        <v>21</v>
      </c>
      <c r="F3307" s="2">
        <f t="shared" si="102"/>
        <v>58840.579692180007</v>
      </c>
      <c r="G3307" s="3">
        <v>0</v>
      </c>
      <c r="H3307" s="4">
        <v>0.7</v>
      </c>
      <c r="I3307" s="28">
        <f t="shared" si="103"/>
        <v>100028.985476706</v>
      </c>
    </row>
    <row r="3308" spans="1:9" ht="15.75" customHeight="1" x14ac:dyDescent="0.35">
      <c r="A3308" s="26" t="s">
        <v>13871</v>
      </c>
      <c r="B3308" s="25" t="s">
        <v>10086</v>
      </c>
      <c r="C3308" s="6" t="s">
        <v>13872</v>
      </c>
      <c r="D3308" s="13">
        <v>48628.578258000001</v>
      </c>
      <c r="E3308" s="18">
        <v>21</v>
      </c>
      <c r="F3308" s="2">
        <f t="shared" si="102"/>
        <v>58840.579692180007</v>
      </c>
      <c r="G3308" s="3">
        <v>0</v>
      </c>
      <c r="H3308" s="4">
        <v>0.7</v>
      </c>
      <c r="I3308" s="28">
        <f t="shared" si="103"/>
        <v>100028.985476706</v>
      </c>
    </row>
    <row r="3309" spans="1:9" ht="15.75" customHeight="1" x14ac:dyDescent="0.35">
      <c r="A3309" s="26" t="s">
        <v>3846</v>
      </c>
      <c r="B3309" s="25" t="s">
        <v>10087</v>
      </c>
      <c r="C3309" s="6" t="s">
        <v>10501</v>
      </c>
      <c r="D3309" s="13">
        <v>57958.351114949997</v>
      </c>
      <c r="E3309" s="18">
        <v>21</v>
      </c>
      <c r="F3309" s="2">
        <f t="shared" si="102"/>
        <v>70129.60484908949</v>
      </c>
      <c r="G3309" s="3">
        <v>0</v>
      </c>
      <c r="H3309" s="4">
        <v>0.7</v>
      </c>
      <c r="I3309" s="28">
        <f t="shared" si="103"/>
        <v>119220.32824345212</v>
      </c>
    </row>
    <row r="3310" spans="1:9" ht="15.75" customHeight="1" x14ac:dyDescent="0.35">
      <c r="A3310" s="26" t="s">
        <v>4145</v>
      </c>
      <c r="B3310" s="25" t="s">
        <v>10088</v>
      </c>
      <c r="C3310" s="6" t="s">
        <v>11774</v>
      </c>
      <c r="D3310" s="13">
        <v>22291.6096</v>
      </c>
      <c r="E3310" s="18">
        <v>21</v>
      </c>
      <c r="F3310" s="2">
        <f t="shared" si="102"/>
        <v>26972.847615999999</v>
      </c>
      <c r="G3310" s="3">
        <v>0</v>
      </c>
      <c r="H3310" s="4">
        <v>0.7</v>
      </c>
      <c r="I3310" s="28">
        <f t="shared" si="103"/>
        <v>45853.840947199998</v>
      </c>
    </row>
    <row r="3311" spans="1:9" ht="15.75" customHeight="1" x14ac:dyDescent="0.35">
      <c r="A3311" s="26" t="s">
        <v>5874</v>
      </c>
      <c r="B3311" s="25" t="s">
        <v>10089</v>
      </c>
      <c r="C3311" s="6" t="s">
        <v>11775</v>
      </c>
      <c r="D3311" s="13">
        <v>22291.6096</v>
      </c>
      <c r="E3311" s="18">
        <v>21</v>
      </c>
      <c r="F3311" s="2">
        <f t="shared" si="102"/>
        <v>26972.847615999999</v>
      </c>
      <c r="G3311" s="3">
        <v>0</v>
      </c>
      <c r="H3311" s="4">
        <v>0.7</v>
      </c>
      <c r="I3311" s="28">
        <f t="shared" si="103"/>
        <v>45853.840947199998</v>
      </c>
    </row>
    <row r="3312" spans="1:9" ht="15.75" customHeight="1" x14ac:dyDescent="0.35">
      <c r="A3312" s="26" t="s">
        <v>4146</v>
      </c>
      <c r="B3312" s="25" t="s">
        <v>10090</v>
      </c>
      <c r="C3312" s="6" t="s">
        <v>11776</v>
      </c>
      <c r="D3312" s="13">
        <v>39501.061600000001</v>
      </c>
      <c r="E3312" s="18">
        <v>21</v>
      </c>
      <c r="F3312" s="2">
        <f t="shared" si="102"/>
        <v>47796.284535999999</v>
      </c>
      <c r="G3312" s="3">
        <v>0</v>
      </c>
      <c r="H3312" s="4">
        <v>0.7</v>
      </c>
      <c r="I3312" s="28">
        <f t="shared" si="103"/>
        <v>81253.683711199992</v>
      </c>
    </row>
    <row r="3313" spans="1:9" ht="15.75" customHeight="1" x14ac:dyDescent="0.35">
      <c r="A3313" s="26" t="s">
        <v>5875</v>
      </c>
      <c r="B3313" s="25" t="s">
        <v>10091</v>
      </c>
      <c r="C3313" s="6" t="s">
        <v>11777</v>
      </c>
      <c r="D3313" s="13">
        <v>39501.061600000001</v>
      </c>
      <c r="E3313" s="18">
        <v>21</v>
      </c>
      <c r="F3313" s="2">
        <f t="shared" si="102"/>
        <v>47796.284535999999</v>
      </c>
      <c r="G3313" s="3">
        <v>0</v>
      </c>
      <c r="H3313" s="4">
        <v>0.7</v>
      </c>
      <c r="I3313" s="28">
        <f t="shared" si="103"/>
        <v>81253.683711199992</v>
      </c>
    </row>
    <row r="3314" spans="1:9" ht="15.75" customHeight="1" x14ac:dyDescent="0.35">
      <c r="A3314" s="26" t="s">
        <v>4147</v>
      </c>
      <c r="B3314" s="25" t="s">
        <v>10092</v>
      </c>
      <c r="C3314" s="6" t="s">
        <v>11778</v>
      </c>
      <c r="D3314" s="13">
        <v>55745.716</v>
      </c>
      <c r="E3314" s="18">
        <v>21</v>
      </c>
      <c r="F3314" s="2">
        <f t="shared" si="102"/>
        <v>67452.316359999997</v>
      </c>
      <c r="G3314" s="3">
        <v>0</v>
      </c>
      <c r="H3314" s="4">
        <v>0.7</v>
      </c>
      <c r="I3314" s="28">
        <f t="shared" si="103"/>
        <v>114668.93781199999</v>
      </c>
    </row>
    <row r="3315" spans="1:9" ht="15.75" customHeight="1" x14ac:dyDescent="0.35">
      <c r="A3315" s="26" t="s">
        <v>5876</v>
      </c>
      <c r="B3315" s="25" t="s">
        <v>1111</v>
      </c>
      <c r="C3315" s="6" t="s">
        <v>11779</v>
      </c>
      <c r="D3315" s="13">
        <v>55745.716</v>
      </c>
      <c r="E3315" s="18">
        <v>21</v>
      </c>
      <c r="F3315" s="2">
        <f t="shared" si="102"/>
        <v>67452.316359999997</v>
      </c>
      <c r="G3315" s="3">
        <v>0</v>
      </c>
      <c r="H3315" s="4">
        <v>0.7</v>
      </c>
      <c r="I3315" s="28">
        <f t="shared" si="103"/>
        <v>114668.93781199999</v>
      </c>
    </row>
    <row r="3316" spans="1:9" ht="15.75" customHeight="1" x14ac:dyDescent="0.35">
      <c r="A3316" s="26" t="s">
        <v>4148</v>
      </c>
      <c r="B3316" s="25" t="s">
        <v>1271</v>
      </c>
      <c r="C3316" s="6" t="s">
        <v>11780</v>
      </c>
      <c r="D3316" s="13">
        <v>69695.776800000007</v>
      </c>
      <c r="E3316" s="18">
        <v>21</v>
      </c>
      <c r="F3316" s="2">
        <f t="shared" si="102"/>
        <v>84331.889928000004</v>
      </c>
      <c r="G3316" s="3">
        <v>0</v>
      </c>
      <c r="H3316" s="4">
        <v>0.7</v>
      </c>
      <c r="I3316" s="28">
        <f t="shared" si="103"/>
        <v>143364.21287760002</v>
      </c>
    </row>
    <row r="3317" spans="1:9" ht="15.75" customHeight="1" x14ac:dyDescent="0.35">
      <c r="A3317" s="26" t="s">
        <v>5877</v>
      </c>
      <c r="B3317" s="25" t="s">
        <v>10675</v>
      </c>
      <c r="C3317" s="6" t="s">
        <v>11781</v>
      </c>
      <c r="D3317" s="13">
        <v>69695.776800000007</v>
      </c>
      <c r="E3317" s="18">
        <v>21</v>
      </c>
      <c r="F3317" s="2">
        <f t="shared" si="102"/>
        <v>84331.889928000004</v>
      </c>
      <c r="G3317" s="3">
        <v>0</v>
      </c>
      <c r="H3317" s="4">
        <v>0.7</v>
      </c>
      <c r="I3317" s="28">
        <f t="shared" si="103"/>
        <v>143364.21287760002</v>
      </c>
    </row>
    <row r="3318" spans="1:9" ht="15.75" customHeight="1" x14ac:dyDescent="0.35">
      <c r="A3318" s="26" t="s">
        <v>4149</v>
      </c>
      <c r="B3318" s="25" t="s">
        <v>10494</v>
      </c>
      <c r="C3318" s="6" t="s">
        <v>11782</v>
      </c>
      <c r="D3318" s="13">
        <v>69695.776800000007</v>
      </c>
      <c r="E3318" s="18">
        <v>21</v>
      </c>
      <c r="F3318" s="2">
        <f t="shared" si="102"/>
        <v>84331.889928000004</v>
      </c>
      <c r="G3318" s="3">
        <v>0</v>
      </c>
      <c r="H3318" s="4">
        <v>0.7</v>
      </c>
      <c r="I3318" s="28">
        <f t="shared" si="103"/>
        <v>143364.21287760002</v>
      </c>
    </row>
    <row r="3319" spans="1:9" ht="15.75" customHeight="1" x14ac:dyDescent="0.35">
      <c r="A3319" s="26" t="s">
        <v>5863</v>
      </c>
      <c r="B3319" s="25" t="s">
        <v>10495</v>
      </c>
      <c r="C3319" s="6" t="s">
        <v>11783</v>
      </c>
      <c r="D3319" s="13">
        <v>38624.175199999998</v>
      </c>
      <c r="E3319" s="18">
        <v>21</v>
      </c>
      <c r="F3319" s="2">
        <f t="shared" si="102"/>
        <v>46735.251991999998</v>
      </c>
      <c r="G3319" s="3">
        <v>0</v>
      </c>
      <c r="H3319" s="4">
        <v>0.7</v>
      </c>
      <c r="I3319" s="28">
        <f t="shared" si="103"/>
        <v>79449.928386399988</v>
      </c>
    </row>
    <row r="3320" spans="1:9" ht="15.75" customHeight="1" x14ac:dyDescent="0.35">
      <c r="A3320" s="26" t="s">
        <v>5864</v>
      </c>
      <c r="B3320" s="25" t="s">
        <v>540</v>
      </c>
      <c r="C3320" s="6" t="s">
        <v>11784</v>
      </c>
      <c r="D3320" s="13">
        <v>38624.175199999998</v>
      </c>
      <c r="E3320" s="18">
        <v>21</v>
      </c>
      <c r="F3320" s="2">
        <f t="shared" si="102"/>
        <v>46735.251991999998</v>
      </c>
      <c r="G3320" s="3">
        <v>0</v>
      </c>
      <c r="H3320" s="4">
        <v>0.7</v>
      </c>
      <c r="I3320" s="28">
        <f t="shared" si="103"/>
        <v>79449.928386399988</v>
      </c>
    </row>
    <row r="3321" spans="1:9" ht="15.75" customHeight="1" x14ac:dyDescent="0.35">
      <c r="A3321" s="26" t="s">
        <v>5865</v>
      </c>
      <c r="B3321" s="25" t="s">
        <v>10496</v>
      </c>
      <c r="C3321" s="6" t="s">
        <v>11785</v>
      </c>
      <c r="D3321" s="13">
        <v>38624.175199999998</v>
      </c>
      <c r="E3321" s="18">
        <v>21</v>
      </c>
      <c r="F3321" s="2">
        <f t="shared" si="102"/>
        <v>46735.251991999998</v>
      </c>
      <c r="G3321" s="3">
        <v>0</v>
      </c>
      <c r="H3321" s="4">
        <v>0.7</v>
      </c>
      <c r="I3321" s="28">
        <f t="shared" si="103"/>
        <v>79449.928386399988</v>
      </c>
    </row>
    <row r="3322" spans="1:9" ht="15.75" customHeight="1" x14ac:dyDescent="0.35">
      <c r="A3322" s="26" t="s">
        <v>5866</v>
      </c>
      <c r="B3322" s="25" t="s">
        <v>541</v>
      </c>
      <c r="C3322" s="6" t="s">
        <v>11786</v>
      </c>
      <c r="D3322" s="13">
        <v>21472.588800000001</v>
      </c>
      <c r="E3322" s="18">
        <v>21</v>
      </c>
      <c r="F3322" s="2">
        <f t="shared" si="102"/>
        <v>25981.832448000001</v>
      </c>
      <c r="G3322" s="3">
        <v>0</v>
      </c>
      <c r="H3322" s="4">
        <v>0.7</v>
      </c>
      <c r="I3322" s="28">
        <f t="shared" si="103"/>
        <v>44169.115161599999</v>
      </c>
    </row>
    <row r="3323" spans="1:9" ht="15.75" customHeight="1" x14ac:dyDescent="0.35">
      <c r="A3323" s="26" t="s">
        <v>5867</v>
      </c>
      <c r="B3323" s="25" t="s">
        <v>12655</v>
      </c>
      <c r="C3323" s="6" t="s">
        <v>11787</v>
      </c>
      <c r="D3323" s="13">
        <v>21472.588800000001</v>
      </c>
      <c r="E3323" s="18">
        <v>21</v>
      </c>
      <c r="F3323" s="2">
        <f t="shared" si="102"/>
        <v>25981.832448000001</v>
      </c>
      <c r="G3323" s="3">
        <v>0</v>
      </c>
      <c r="H3323" s="4">
        <v>0.7</v>
      </c>
      <c r="I3323" s="28">
        <f t="shared" si="103"/>
        <v>44169.115161599999</v>
      </c>
    </row>
    <row r="3324" spans="1:9" ht="15.75" customHeight="1" x14ac:dyDescent="0.35">
      <c r="A3324" s="26" t="s">
        <v>8789</v>
      </c>
      <c r="B3324" s="25" t="s">
        <v>1112</v>
      </c>
      <c r="C3324" s="6" t="s">
        <v>11788</v>
      </c>
      <c r="D3324" s="13">
        <v>30895.779200000001</v>
      </c>
      <c r="E3324" s="18">
        <v>21</v>
      </c>
      <c r="F3324" s="2">
        <f t="shared" si="102"/>
        <v>37383.892831999998</v>
      </c>
      <c r="G3324" s="3">
        <v>0</v>
      </c>
      <c r="H3324" s="4">
        <v>0.7</v>
      </c>
      <c r="I3324" s="28">
        <f t="shared" si="103"/>
        <v>63552.617814399993</v>
      </c>
    </row>
    <row r="3325" spans="1:9" ht="15.75" customHeight="1" x14ac:dyDescent="0.35">
      <c r="A3325" s="26" t="s">
        <v>5868</v>
      </c>
      <c r="B3325" s="25" t="s">
        <v>10497</v>
      </c>
      <c r="C3325" s="6" t="s">
        <v>11789</v>
      </c>
      <c r="D3325" s="13">
        <v>30895.779200000001</v>
      </c>
      <c r="E3325" s="18">
        <v>21</v>
      </c>
      <c r="F3325" s="2">
        <f t="shared" si="102"/>
        <v>37383.892831999998</v>
      </c>
      <c r="G3325" s="3">
        <v>0</v>
      </c>
      <c r="H3325" s="4">
        <v>0.7</v>
      </c>
      <c r="I3325" s="28">
        <f t="shared" si="103"/>
        <v>63552.617814399993</v>
      </c>
    </row>
    <row r="3326" spans="1:9" ht="15.75" customHeight="1" x14ac:dyDescent="0.35">
      <c r="A3326" s="26" t="s">
        <v>4327</v>
      </c>
      <c r="B3326" s="25" t="s">
        <v>10498</v>
      </c>
      <c r="C3326" s="6" t="s">
        <v>13187</v>
      </c>
      <c r="D3326" s="13">
        <v>4613.6896649999999</v>
      </c>
      <c r="E3326" s="18">
        <v>21</v>
      </c>
      <c r="F3326" s="2">
        <f t="shared" si="102"/>
        <v>5582.5644946499997</v>
      </c>
      <c r="G3326" s="3">
        <v>0</v>
      </c>
      <c r="H3326" s="4">
        <v>0.7</v>
      </c>
      <c r="I3326" s="28">
        <f t="shared" si="103"/>
        <v>9490.3596409049987</v>
      </c>
    </row>
    <row r="3327" spans="1:9" ht="15.75" customHeight="1" x14ac:dyDescent="0.35">
      <c r="A3327" s="26" t="s">
        <v>10339</v>
      </c>
      <c r="B3327" s="25" t="s">
        <v>1004</v>
      </c>
      <c r="C3327" s="6" t="s">
        <v>12148</v>
      </c>
      <c r="D3327" s="13">
        <v>8256.81675</v>
      </c>
      <c r="E3327" s="18">
        <v>21</v>
      </c>
      <c r="F3327" s="2">
        <f t="shared" si="102"/>
        <v>9990.7482674999992</v>
      </c>
      <c r="G3327" s="3">
        <v>0</v>
      </c>
      <c r="H3327" s="4">
        <v>0.7</v>
      </c>
      <c r="I3327" s="28">
        <f t="shared" si="103"/>
        <v>16984.272054749999</v>
      </c>
    </row>
    <row r="3328" spans="1:9" ht="15.75" customHeight="1" x14ac:dyDescent="0.35">
      <c r="A3328" s="26" t="s">
        <v>4328</v>
      </c>
      <c r="B3328" s="25" t="s">
        <v>1005</v>
      </c>
      <c r="C3328" s="6" t="s">
        <v>12257</v>
      </c>
      <c r="D3328" s="13">
        <v>4613.6896649999999</v>
      </c>
      <c r="E3328" s="18">
        <v>21</v>
      </c>
      <c r="F3328" s="2">
        <f t="shared" si="102"/>
        <v>5582.5644946499997</v>
      </c>
      <c r="G3328" s="3">
        <v>0</v>
      </c>
      <c r="H3328" s="4">
        <v>0.7</v>
      </c>
      <c r="I3328" s="28">
        <f t="shared" si="103"/>
        <v>9490.3596409049987</v>
      </c>
    </row>
    <row r="3329" spans="1:9" ht="15.75" customHeight="1" x14ac:dyDescent="0.35">
      <c r="A3329" s="26" t="s">
        <v>10340</v>
      </c>
      <c r="B3329" s="25" t="s">
        <v>1209</v>
      </c>
      <c r="C3329" s="6" t="s">
        <v>12149</v>
      </c>
      <c r="D3329" s="13">
        <v>8256.81675</v>
      </c>
      <c r="E3329" s="18">
        <v>21</v>
      </c>
      <c r="F3329" s="2">
        <f t="shared" si="102"/>
        <v>9990.7482674999992</v>
      </c>
      <c r="G3329" s="3">
        <v>0</v>
      </c>
      <c r="H3329" s="4">
        <v>0.7</v>
      </c>
      <c r="I3329" s="28">
        <f t="shared" si="103"/>
        <v>16984.272054749999</v>
      </c>
    </row>
    <row r="3330" spans="1:9" ht="15.75" customHeight="1" x14ac:dyDescent="0.35">
      <c r="A3330" s="26" t="s">
        <v>11286</v>
      </c>
      <c r="B3330" s="25" t="s">
        <v>12020</v>
      </c>
      <c r="C3330" s="6" t="s">
        <v>12150</v>
      </c>
      <c r="D3330" s="13">
        <v>8256.81675</v>
      </c>
      <c r="E3330" s="18">
        <v>21</v>
      </c>
      <c r="F3330" s="2">
        <f t="shared" si="102"/>
        <v>9990.7482674999992</v>
      </c>
      <c r="G3330" s="3">
        <v>0</v>
      </c>
      <c r="H3330" s="4">
        <v>0.7</v>
      </c>
      <c r="I3330" s="28">
        <f t="shared" si="103"/>
        <v>16984.272054749999</v>
      </c>
    </row>
    <row r="3331" spans="1:9" ht="15.75" customHeight="1" x14ac:dyDescent="0.35">
      <c r="A3331" s="26" t="s">
        <v>4389</v>
      </c>
      <c r="B3331" s="25" t="s">
        <v>12022</v>
      </c>
      <c r="C3331" s="6" t="s">
        <v>11018</v>
      </c>
      <c r="D3331" s="13">
        <v>15774.795464999999</v>
      </c>
      <c r="E3331" s="18">
        <v>21</v>
      </c>
      <c r="F3331" s="2">
        <f t="shared" si="102"/>
        <v>19087.50251265</v>
      </c>
      <c r="G3331" s="3">
        <v>0</v>
      </c>
      <c r="H3331" s="4">
        <v>0.7</v>
      </c>
      <c r="I3331" s="28">
        <f t="shared" si="103"/>
        <v>32448.754271505</v>
      </c>
    </row>
    <row r="3332" spans="1:9" ht="15.75" customHeight="1" x14ac:dyDescent="0.35">
      <c r="A3332" s="26" t="s">
        <v>4390</v>
      </c>
      <c r="B3332" s="25" t="s">
        <v>12212</v>
      </c>
      <c r="C3332" s="6" t="s">
        <v>11019</v>
      </c>
      <c r="D3332" s="13">
        <v>15774.795464999999</v>
      </c>
      <c r="E3332" s="18">
        <v>21</v>
      </c>
      <c r="F3332" s="2">
        <f t="shared" si="102"/>
        <v>19087.50251265</v>
      </c>
      <c r="G3332" s="3">
        <v>0</v>
      </c>
      <c r="H3332" s="4">
        <v>0.7</v>
      </c>
      <c r="I3332" s="28">
        <f t="shared" si="103"/>
        <v>32448.754271505</v>
      </c>
    </row>
    <row r="3333" spans="1:9" ht="15.75" customHeight="1" x14ac:dyDescent="0.35">
      <c r="A3333" s="26" t="s">
        <v>4358</v>
      </c>
      <c r="B3333" s="25" t="s">
        <v>11773</v>
      </c>
      <c r="C3333" s="6" t="s">
        <v>12885</v>
      </c>
      <c r="D3333" s="13">
        <v>4993.2970424999994</v>
      </c>
      <c r="E3333" s="18">
        <v>21</v>
      </c>
      <c r="F3333" s="2">
        <f t="shared" si="102"/>
        <v>6041.8894214249995</v>
      </c>
      <c r="G3333" s="3">
        <v>0</v>
      </c>
      <c r="H3333" s="4">
        <v>0.7</v>
      </c>
      <c r="I3333" s="28">
        <f t="shared" si="103"/>
        <v>10271.212016422498</v>
      </c>
    </row>
    <row r="3334" spans="1:9" ht="15.75" customHeight="1" x14ac:dyDescent="0.35">
      <c r="A3334" s="26" t="s">
        <v>10345</v>
      </c>
      <c r="B3334" s="25" t="s">
        <v>12254</v>
      </c>
      <c r="C3334" s="6" t="s">
        <v>12151</v>
      </c>
      <c r="D3334" s="13">
        <v>8989.105125</v>
      </c>
      <c r="E3334" s="18">
        <v>21</v>
      </c>
      <c r="F3334" s="2">
        <f t="shared" ref="F3334:F3397" si="104">D3334*E3334/100+D3334</f>
        <v>10876.81720125</v>
      </c>
      <c r="G3334" s="3">
        <v>0</v>
      </c>
      <c r="H3334" s="4">
        <v>0.7</v>
      </c>
      <c r="I3334" s="28">
        <f t="shared" ref="I3334:I3397" si="105">IF(G3334=-1,0,F3334*((100-G3334)/100)*(1+H3334))</f>
        <v>18490.589242124999</v>
      </c>
    </row>
    <row r="3335" spans="1:9" ht="15.75" customHeight="1" x14ac:dyDescent="0.35">
      <c r="A3335" s="26" t="s">
        <v>4359</v>
      </c>
      <c r="B3335" s="25" t="s">
        <v>12256</v>
      </c>
      <c r="C3335" s="6" t="s">
        <v>12258</v>
      </c>
      <c r="D3335" s="13">
        <v>4993.2970424999994</v>
      </c>
      <c r="E3335" s="18">
        <v>21</v>
      </c>
      <c r="F3335" s="2">
        <f t="shared" si="104"/>
        <v>6041.8894214249995</v>
      </c>
      <c r="G3335" s="3">
        <v>0</v>
      </c>
      <c r="H3335" s="4">
        <v>0.7</v>
      </c>
      <c r="I3335" s="28">
        <f t="shared" si="105"/>
        <v>10271.212016422498</v>
      </c>
    </row>
    <row r="3336" spans="1:9" ht="15.75" customHeight="1" x14ac:dyDescent="0.35">
      <c r="A3336" s="26" t="s">
        <v>10346</v>
      </c>
      <c r="B3336" s="25" t="s">
        <v>542</v>
      </c>
      <c r="C3336" s="6" t="s">
        <v>12152</v>
      </c>
      <c r="D3336" s="13">
        <v>8989.105125</v>
      </c>
      <c r="E3336" s="18">
        <v>21</v>
      </c>
      <c r="F3336" s="2">
        <f t="shared" si="104"/>
        <v>10876.81720125</v>
      </c>
      <c r="G3336" s="3">
        <v>0</v>
      </c>
      <c r="H3336" s="4">
        <v>0.7</v>
      </c>
      <c r="I3336" s="28">
        <f t="shared" si="105"/>
        <v>18490.589242124999</v>
      </c>
    </row>
    <row r="3337" spans="1:9" ht="15.75" customHeight="1" x14ac:dyDescent="0.35">
      <c r="A3337" s="26" t="s">
        <v>12723</v>
      </c>
      <c r="B3337" s="25" t="s">
        <v>9454</v>
      </c>
      <c r="C3337" s="6" t="s">
        <v>12724</v>
      </c>
      <c r="D3337" s="13">
        <v>8989.105125</v>
      </c>
      <c r="E3337" s="18">
        <v>21</v>
      </c>
      <c r="F3337" s="2">
        <f t="shared" si="104"/>
        <v>10876.81720125</v>
      </c>
      <c r="G3337" s="3">
        <v>0</v>
      </c>
      <c r="H3337" s="4">
        <v>0.7</v>
      </c>
      <c r="I3337" s="28">
        <f t="shared" si="105"/>
        <v>18490.589242124999</v>
      </c>
    </row>
    <row r="3338" spans="1:9" ht="15.75" customHeight="1" x14ac:dyDescent="0.35">
      <c r="A3338" s="26" t="s">
        <v>4411</v>
      </c>
      <c r="B3338" s="25" t="s">
        <v>543</v>
      </c>
      <c r="C3338" s="6" t="s">
        <v>12153</v>
      </c>
      <c r="D3338" s="13">
        <v>19762.944083999999</v>
      </c>
      <c r="E3338" s="18">
        <v>21</v>
      </c>
      <c r="F3338" s="2">
        <f t="shared" si="104"/>
        <v>23913.162341639996</v>
      </c>
      <c r="G3338" s="3">
        <v>0</v>
      </c>
      <c r="H3338" s="4">
        <v>0.7</v>
      </c>
      <c r="I3338" s="28">
        <f t="shared" si="105"/>
        <v>40652.375980787991</v>
      </c>
    </row>
    <row r="3339" spans="1:9" ht="15.75" customHeight="1" x14ac:dyDescent="0.35">
      <c r="A3339" s="26" t="s">
        <v>4412</v>
      </c>
      <c r="B3339" s="25" t="s">
        <v>544</v>
      </c>
      <c r="C3339" s="6" t="s">
        <v>12154</v>
      </c>
      <c r="D3339" s="13">
        <v>19762.944083999999</v>
      </c>
      <c r="E3339" s="18">
        <v>21</v>
      </c>
      <c r="F3339" s="2">
        <f t="shared" si="104"/>
        <v>23913.162341639996</v>
      </c>
      <c r="G3339" s="3">
        <v>0</v>
      </c>
      <c r="H3339" s="4">
        <v>0.7</v>
      </c>
      <c r="I3339" s="28">
        <f t="shared" si="105"/>
        <v>40652.375980787991</v>
      </c>
    </row>
    <row r="3340" spans="1:9" ht="15.75" customHeight="1" x14ac:dyDescent="0.35">
      <c r="A3340" s="26" t="s">
        <v>4330</v>
      </c>
      <c r="B3340" s="25" t="s">
        <v>9456</v>
      </c>
      <c r="C3340" s="6" t="s">
        <v>12259</v>
      </c>
      <c r="D3340" s="13">
        <v>5801.1794100000006</v>
      </c>
      <c r="E3340" s="18">
        <v>21</v>
      </c>
      <c r="F3340" s="2">
        <f t="shared" si="104"/>
        <v>7019.4270861000005</v>
      </c>
      <c r="G3340" s="3">
        <v>0</v>
      </c>
      <c r="H3340" s="4">
        <v>0.7</v>
      </c>
      <c r="I3340" s="28">
        <f t="shared" si="105"/>
        <v>11933.02604637</v>
      </c>
    </row>
    <row r="3341" spans="1:9" ht="15.75" customHeight="1" x14ac:dyDescent="0.35">
      <c r="A3341" s="26" t="s">
        <v>10341</v>
      </c>
      <c r="B3341" s="25" t="s">
        <v>1140</v>
      </c>
      <c r="C3341" s="6" t="s">
        <v>12155</v>
      </c>
      <c r="D3341" s="13">
        <v>10708.390874999999</v>
      </c>
      <c r="E3341" s="18">
        <v>21</v>
      </c>
      <c r="F3341" s="2">
        <f t="shared" si="104"/>
        <v>12957.152958749999</v>
      </c>
      <c r="G3341" s="3">
        <v>0</v>
      </c>
      <c r="H3341" s="4">
        <v>0.7</v>
      </c>
      <c r="I3341" s="28">
        <f t="shared" si="105"/>
        <v>22027.160029874998</v>
      </c>
    </row>
    <row r="3342" spans="1:9" ht="15.75" customHeight="1" x14ac:dyDescent="0.35">
      <c r="A3342" s="26" t="s">
        <v>4331</v>
      </c>
      <c r="B3342" s="25" t="s">
        <v>1141</v>
      </c>
      <c r="C3342" s="6" t="s">
        <v>12260</v>
      </c>
      <c r="D3342" s="13">
        <v>5801.1794100000006</v>
      </c>
      <c r="E3342" s="18">
        <v>21</v>
      </c>
      <c r="F3342" s="2">
        <f t="shared" si="104"/>
        <v>7019.4270861000005</v>
      </c>
      <c r="G3342" s="3">
        <v>0</v>
      </c>
      <c r="H3342" s="4">
        <v>0.7</v>
      </c>
      <c r="I3342" s="28">
        <f t="shared" si="105"/>
        <v>11933.02604637</v>
      </c>
    </row>
    <row r="3343" spans="1:9" ht="15.75" customHeight="1" x14ac:dyDescent="0.35">
      <c r="A3343" s="26" t="s">
        <v>10342</v>
      </c>
      <c r="B3343" s="25" t="s">
        <v>1142</v>
      </c>
      <c r="C3343" s="6" t="s">
        <v>12156</v>
      </c>
      <c r="D3343" s="13">
        <v>10708.390874999999</v>
      </c>
      <c r="E3343" s="18">
        <v>21</v>
      </c>
      <c r="F3343" s="2">
        <f t="shared" si="104"/>
        <v>12957.152958749999</v>
      </c>
      <c r="G3343" s="3">
        <v>0</v>
      </c>
      <c r="H3343" s="4">
        <v>0.7</v>
      </c>
      <c r="I3343" s="28">
        <f t="shared" si="105"/>
        <v>22027.160029874998</v>
      </c>
    </row>
    <row r="3344" spans="1:9" ht="15.75" customHeight="1" x14ac:dyDescent="0.35">
      <c r="A3344" s="26" t="s">
        <v>4332</v>
      </c>
      <c r="B3344" s="25" t="s">
        <v>545</v>
      </c>
      <c r="C3344" s="6" t="s">
        <v>13411</v>
      </c>
      <c r="D3344" s="13">
        <v>5801.1794100000006</v>
      </c>
      <c r="E3344" s="18">
        <v>21</v>
      </c>
      <c r="F3344" s="2">
        <f t="shared" si="104"/>
        <v>7019.4270861000005</v>
      </c>
      <c r="G3344" s="3">
        <v>0</v>
      </c>
      <c r="H3344" s="4">
        <v>0.7</v>
      </c>
      <c r="I3344" s="28">
        <f t="shared" si="105"/>
        <v>11933.02604637</v>
      </c>
    </row>
    <row r="3345" spans="1:9" ht="15.75" customHeight="1" x14ac:dyDescent="0.35">
      <c r="A3345" s="26" t="s">
        <v>11962</v>
      </c>
      <c r="B3345" s="25" t="s">
        <v>12581</v>
      </c>
      <c r="C3345" s="6" t="s">
        <v>12157</v>
      </c>
      <c r="D3345" s="13">
        <v>10708.390874999999</v>
      </c>
      <c r="E3345" s="18">
        <v>21</v>
      </c>
      <c r="F3345" s="2">
        <f t="shared" si="104"/>
        <v>12957.152958749999</v>
      </c>
      <c r="G3345" s="3">
        <v>0</v>
      </c>
      <c r="H3345" s="4">
        <v>0.7</v>
      </c>
      <c r="I3345" s="28">
        <f t="shared" si="105"/>
        <v>22027.160029874998</v>
      </c>
    </row>
    <row r="3346" spans="1:9" ht="15.75" customHeight="1" x14ac:dyDescent="0.35">
      <c r="A3346" s="26" t="s">
        <v>4396</v>
      </c>
      <c r="B3346" s="25" t="s">
        <v>12603</v>
      </c>
      <c r="C3346" s="6" t="s">
        <v>11020</v>
      </c>
      <c r="D3346" s="13">
        <v>20414.441190000001</v>
      </c>
      <c r="E3346" s="18">
        <v>21</v>
      </c>
      <c r="F3346" s="2">
        <f t="shared" si="104"/>
        <v>24701.473839900002</v>
      </c>
      <c r="G3346" s="3">
        <v>0</v>
      </c>
      <c r="H3346" s="4">
        <v>0.7</v>
      </c>
      <c r="I3346" s="28">
        <f t="shared" si="105"/>
        <v>41992.505527829999</v>
      </c>
    </row>
    <row r="3347" spans="1:9" ht="15.75" customHeight="1" x14ac:dyDescent="0.35">
      <c r="A3347" s="26" t="s">
        <v>4360</v>
      </c>
      <c r="B3347" s="25" t="s">
        <v>11409</v>
      </c>
      <c r="C3347" s="6" t="s">
        <v>12261</v>
      </c>
      <c r="D3347" s="13">
        <v>6355.9901924999995</v>
      </c>
      <c r="E3347" s="18">
        <v>21</v>
      </c>
      <c r="F3347" s="2">
        <f t="shared" si="104"/>
        <v>7690.7481329249995</v>
      </c>
      <c r="G3347" s="3">
        <v>0</v>
      </c>
      <c r="H3347" s="4">
        <v>0.7</v>
      </c>
      <c r="I3347" s="28">
        <f t="shared" si="105"/>
        <v>13074.271825972499</v>
      </c>
    </row>
    <row r="3348" spans="1:9" ht="15.75" customHeight="1" x14ac:dyDescent="0.35">
      <c r="A3348" s="26" t="s">
        <v>10347</v>
      </c>
      <c r="B3348" s="25" t="s">
        <v>11410</v>
      </c>
      <c r="C3348" s="6" t="s">
        <v>12158</v>
      </c>
      <c r="D3348" s="13">
        <v>12141.129000000001</v>
      </c>
      <c r="E3348" s="18">
        <v>21</v>
      </c>
      <c r="F3348" s="2">
        <f t="shared" si="104"/>
        <v>14690.766090000001</v>
      </c>
      <c r="G3348" s="3">
        <v>0</v>
      </c>
      <c r="H3348" s="4">
        <v>0.7</v>
      </c>
      <c r="I3348" s="28">
        <f t="shared" si="105"/>
        <v>24974.302353000003</v>
      </c>
    </row>
    <row r="3349" spans="1:9" ht="15.75" customHeight="1" x14ac:dyDescent="0.35">
      <c r="A3349" s="26" t="s">
        <v>4361</v>
      </c>
      <c r="B3349" s="25" t="s">
        <v>11411</v>
      </c>
      <c r="C3349" s="6" t="s">
        <v>12262</v>
      </c>
      <c r="D3349" s="13">
        <v>6355.9901924999995</v>
      </c>
      <c r="E3349" s="18">
        <v>21</v>
      </c>
      <c r="F3349" s="2">
        <f t="shared" si="104"/>
        <v>7690.7481329249995</v>
      </c>
      <c r="G3349" s="3">
        <v>0</v>
      </c>
      <c r="H3349" s="4">
        <v>0.7</v>
      </c>
      <c r="I3349" s="28">
        <f t="shared" si="105"/>
        <v>13074.271825972499</v>
      </c>
    </row>
    <row r="3350" spans="1:9" ht="15.75" customHeight="1" x14ac:dyDescent="0.35">
      <c r="A3350" s="26" t="s">
        <v>10348</v>
      </c>
      <c r="B3350" s="25" t="s">
        <v>11412</v>
      </c>
      <c r="C3350" s="6" t="s">
        <v>12159</v>
      </c>
      <c r="D3350" s="13">
        <v>12141.129000000001</v>
      </c>
      <c r="E3350" s="18">
        <v>21</v>
      </c>
      <c r="F3350" s="2">
        <f t="shared" si="104"/>
        <v>14690.766090000001</v>
      </c>
      <c r="G3350" s="3">
        <v>0</v>
      </c>
      <c r="H3350" s="4">
        <v>0.7</v>
      </c>
      <c r="I3350" s="28">
        <f t="shared" si="105"/>
        <v>24974.302353000003</v>
      </c>
    </row>
    <row r="3351" spans="1:9" ht="15.75" customHeight="1" x14ac:dyDescent="0.35">
      <c r="A3351" s="26" t="s">
        <v>4414</v>
      </c>
      <c r="B3351" s="25" t="s">
        <v>11413</v>
      </c>
      <c r="C3351" s="6" t="s">
        <v>10679</v>
      </c>
      <c r="D3351" s="13">
        <v>20414.441190000001</v>
      </c>
      <c r="E3351" s="18">
        <v>21</v>
      </c>
      <c r="F3351" s="2">
        <f t="shared" si="104"/>
        <v>24701.473839900002</v>
      </c>
      <c r="G3351" s="3">
        <v>0</v>
      </c>
      <c r="H3351" s="4">
        <v>0.7</v>
      </c>
      <c r="I3351" s="28">
        <f t="shared" si="105"/>
        <v>41992.505527829999</v>
      </c>
    </row>
    <row r="3352" spans="1:9" ht="15.75" customHeight="1" x14ac:dyDescent="0.35">
      <c r="A3352" s="26" t="s">
        <v>4362</v>
      </c>
      <c r="B3352" s="25" t="s">
        <v>11414</v>
      </c>
      <c r="C3352" s="6" t="s">
        <v>13412</v>
      </c>
      <c r="D3352" s="13">
        <v>6355.9901924999995</v>
      </c>
      <c r="E3352" s="18">
        <v>21</v>
      </c>
      <c r="F3352" s="2">
        <f t="shared" si="104"/>
        <v>7690.7481329249995</v>
      </c>
      <c r="G3352" s="3">
        <v>0</v>
      </c>
      <c r="H3352" s="4">
        <v>0.7</v>
      </c>
      <c r="I3352" s="28">
        <f t="shared" si="105"/>
        <v>13074.271825972499</v>
      </c>
    </row>
    <row r="3353" spans="1:9" ht="15.75" customHeight="1" x14ac:dyDescent="0.35">
      <c r="A3353" s="26" t="s">
        <v>11891</v>
      </c>
      <c r="B3353" s="25" t="s">
        <v>11415</v>
      </c>
      <c r="C3353" s="6" t="s">
        <v>12160</v>
      </c>
      <c r="D3353" s="13">
        <v>12141.129000000001</v>
      </c>
      <c r="E3353" s="18">
        <v>21</v>
      </c>
      <c r="F3353" s="2">
        <f t="shared" si="104"/>
        <v>14690.766090000001</v>
      </c>
      <c r="G3353" s="3">
        <v>0</v>
      </c>
      <c r="H3353" s="4">
        <v>0.7</v>
      </c>
      <c r="I3353" s="28">
        <f t="shared" si="105"/>
        <v>24974.302353000003</v>
      </c>
    </row>
    <row r="3354" spans="1:9" ht="15.75" customHeight="1" x14ac:dyDescent="0.35">
      <c r="A3354" s="26" t="s">
        <v>4413</v>
      </c>
      <c r="B3354" s="25" t="s">
        <v>8992</v>
      </c>
      <c r="C3354" s="6" t="s">
        <v>11021</v>
      </c>
      <c r="D3354" s="13">
        <v>20414.441190000001</v>
      </c>
      <c r="E3354" s="18">
        <v>21</v>
      </c>
      <c r="F3354" s="2">
        <f t="shared" si="104"/>
        <v>24701.473839900002</v>
      </c>
      <c r="G3354" s="3">
        <v>0</v>
      </c>
      <c r="H3354" s="4">
        <v>0.7</v>
      </c>
      <c r="I3354" s="28">
        <f t="shared" si="105"/>
        <v>41992.505527829999</v>
      </c>
    </row>
    <row r="3355" spans="1:9" ht="15.75" customHeight="1" x14ac:dyDescent="0.35">
      <c r="A3355" s="26" t="s">
        <v>11637</v>
      </c>
      <c r="B3355" s="25" t="s">
        <v>8993</v>
      </c>
      <c r="C3355" s="6" t="s">
        <v>12559</v>
      </c>
      <c r="D3355" s="13">
        <v>12279.096374999999</v>
      </c>
      <c r="E3355" s="18">
        <v>21</v>
      </c>
      <c r="F3355" s="2">
        <f t="shared" si="104"/>
        <v>14857.706613749999</v>
      </c>
      <c r="G3355" s="3">
        <v>0</v>
      </c>
      <c r="H3355" s="4">
        <v>0.7</v>
      </c>
      <c r="I3355" s="28">
        <f t="shared" si="105"/>
        <v>25258.101243374997</v>
      </c>
    </row>
    <row r="3356" spans="1:9" ht="15.75" customHeight="1" x14ac:dyDescent="0.35">
      <c r="A3356" s="26" t="s">
        <v>4415</v>
      </c>
      <c r="B3356" s="25" t="s">
        <v>11416</v>
      </c>
      <c r="C3356" s="6" t="s">
        <v>11022</v>
      </c>
      <c r="D3356" s="13">
        <v>20414.441190000001</v>
      </c>
      <c r="E3356" s="18">
        <v>21</v>
      </c>
      <c r="F3356" s="2">
        <f t="shared" si="104"/>
        <v>24701.473839900002</v>
      </c>
      <c r="G3356" s="3">
        <v>0</v>
      </c>
      <c r="H3356" s="4">
        <v>0.7</v>
      </c>
      <c r="I3356" s="28">
        <f t="shared" si="105"/>
        <v>41992.505527829999</v>
      </c>
    </row>
    <row r="3357" spans="1:9" ht="15.75" customHeight="1" x14ac:dyDescent="0.35">
      <c r="A3357" s="26" t="s">
        <v>10343</v>
      </c>
      <c r="B3357" s="25" t="s">
        <v>11417</v>
      </c>
      <c r="C3357" s="6" t="s">
        <v>12161</v>
      </c>
      <c r="D3357" s="13">
        <v>16672.826625000002</v>
      </c>
      <c r="E3357" s="18">
        <v>21</v>
      </c>
      <c r="F3357" s="2">
        <f t="shared" si="104"/>
        <v>20174.120216250001</v>
      </c>
      <c r="G3357" s="3">
        <v>0</v>
      </c>
      <c r="H3357" s="4">
        <v>0.7</v>
      </c>
      <c r="I3357" s="28">
        <f t="shared" si="105"/>
        <v>34296.004367624999</v>
      </c>
    </row>
    <row r="3358" spans="1:9" ht="15.75" customHeight="1" x14ac:dyDescent="0.35">
      <c r="A3358" s="26" t="s">
        <v>4333</v>
      </c>
      <c r="B3358" s="25" t="s">
        <v>8893</v>
      </c>
      <c r="C3358" s="6" t="s">
        <v>12263</v>
      </c>
      <c r="D3358" s="13">
        <v>9587.5196625000008</v>
      </c>
      <c r="E3358" s="18">
        <v>21</v>
      </c>
      <c r="F3358" s="2">
        <f t="shared" si="104"/>
        <v>11600.898791625001</v>
      </c>
      <c r="G3358" s="3">
        <v>0</v>
      </c>
      <c r="H3358" s="4">
        <v>0.7</v>
      </c>
      <c r="I3358" s="28">
        <f t="shared" si="105"/>
        <v>19721.5279457625</v>
      </c>
    </row>
    <row r="3359" spans="1:9" ht="15.75" customHeight="1" x14ac:dyDescent="0.35">
      <c r="A3359" s="26" t="s">
        <v>4334</v>
      </c>
      <c r="B3359" s="25" t="s">
        <v>8895</v>
      </c>
      <c r="C3359" s="6" t="s">
        <v>12264</v>
      </c>
      <c r="D3359" s="13">
        <v>9587.5196625000008</v>
      </c>
      <c r="E3359" s="18">
        <v>21</v>
      </c>
      <c r="F3359" s="2">
        <f t="shared" si="104"/>
        <v>11600.898791625001</v>
      </c>
      <c r="G3359" s="3">
        <v>0</v>
      </c>
      <c r="H3359" s="4">
        <v>0.7</v>
      </c>
      <c r="I3359" s="28">
        <f t="shared" si="105"/>
        <v>19721.5279457625</v>
      </c>
    </row>
    <row r="3360" spans="1:9" ht="15.75" customHeight="1" x14ac:dyDescent="0.35">
      <c r="A3360" s="26" t="s">
        <v>10344</v>
      </c>
      <c r="B3360" s="25" t="s">
        <v>11418</v>
      </c>
      <c r="C3360" s="6" t="s">
        <v>12162</v>
      </c>
      <c r="D3360" s="13">
        <v>16672.826625000002</v>
      </c>
      <c r="E3360" s="18">
        <v>21</v>
      </c>
      <c r="F3360" s="2">
        <f t="shared" si="104"/>
        <v>20174.120216250001</v>
      </c>
      <c r="G3360" s="3">
        <v>0</v>
      </c>
      <c r="H3360" s="4">
        <v>0.7</v>
      </c>
      <c r="I3360" s="28">
        <f t="shared" si="105"/>
        <v>34296.004367624999</v>
      </c>
    </row>
    <row r="3361" spans="1:9" ht="15.75" customHeight="1" x14ac:dyDescent="0.35">
      <c r="A3361" s="26" t="s">
        <v>12725</v>
      </c>
      <c r="B3361" s="25" t="s">
        <v>8897</v>
      </c>
      <c r="C3361" s="6" t="s">
        <v>13340</v>
      </c>
      <c r="D3361" s="13">
        <v>16672.826625000002</v>
      </c>
      <c r="E3361" s="18">
        <v>21</v>
      </c>
      <c r="F3361" s="2">
        <f t="shared" si="104"/>
        <v>20174.120216250001</v>
      </c>
      <c r="G3361" s="3">
        <v>0</v>
      </c>
      <c r="H3361" s="4">
        <v>0.7</v>
      </c>
      <c r="I3361" s="28">
        <f t="shared" si="105"/>
        <v>34296.004367624999</v>
      </c>
    </row>
    <row r="3362" spans="1:9" ht="15.75" customHeight="1" x14ac:dyDescent="0.35">
      <c r="A3362" s="26" t="s">
        <v>12332</v>
      </c>
      <c r="B3362" s="25" t="s">
        <v>10334</v>
      </c>
      <c r="C3362" s="6" t="s">
        <v>12333</v>
      </c>
      <c r="D3362" s="13">
        <v>17458.179375</v>
      </c>
      <c r="E3362" s="18">
        <v>21</v>
      </c>
      <c r="F3362" s="2">
        <f t="shared" si="104"/>
        <v>21124.397043749999</v>
      </c>
      <c r="G3362" s="3">
        <v>0</v>
      </c>
      <c r="H3362" s="4">
        <v>0.7</v>
      </c>
      <c r="I3362" s="28">
        <f t="shared" si="105"/>
        <v>35911.474974375</v>
      </c>
    </row>
    <row r="3363" spans="1:9" ht="15.75" customHeight="1" x14ac:dyDescent="0.35">
      <c r="A3363" s="26" t="s">
        <v>4363</v>
      </c>
      <c r="B3363" s="25" t="s">
        <v>12062</v>
      </c>
      <c r="C3363" s="6" t="s">
        <v>12265</v>
      </c>
      <c r="D3363" s="13">
        <v>10356.46794</v>
      </c>
      <c r="E3363" s="18">
        <v>21</v>
      </c>
      <c r="F3363" s="2">
        <f t="shared" si="104"/>
        <v>12531.326207400001</v>
      </c>
      <c r="G3363" s="3">
        <v>0</v>
      </c>
      <c r="H3363" s="4">
        <v>0.7</v>
      </c>
      <c r="I3363" s="28">
        <f t="shared" si="105"/>
        <v>21303.254552580001</v>
      </c>
    </row>
    <row r="3364" spans="1:9" ht="15.75" customHeight="1" x14ac:dyDescent="0.35">
      <c r="A3364" s="26" t="s">
        <v>10349</v>
      </c>
      <c r="B3364" s="25" t="s">
        <v>10676</v>
      </c>
      <c r="C3364" s="6" t="s">
        <v>12163</v>
      </c>
      <c r="D3364" s="13">
        <v>18657.434250000002</v>
      </c>
      <c r="E3364" s="18">
        <v>21</v>
      </c>
      <c r="F3364" s="2">
        <f t="shared" si="104"/>
        <v>22575.495442500003</v>
      </c>
      <c r="G3364" s="3">
        <v>0</v>
      </c>
      <c r="H3364" s="4">
        <v>0.7</v>
      </c>
      <c r="I3364" s="28">
        <f t="shared" si="105"/>
        <v>38378.342252250004</v>
      </c>
    </row>
    <row r="3365" spans="1:9" ht="15.75" customHeight="1" x14ac:dyDescent="0.35">
      <c r="A3365" s="26" t="s">
        <v>4364</v>
      </c>
      <c r="B3365" s="25" t="s">
        <v>12063</v>
      </c>
      <c r="C3365" s="6" t="s">
        <v>13109</v>
      </c>
      <c r="D3365" s="13">
        <v>10356.46794</v>
      </c>
      <c r="E3365" s="18">
        <v>21</v>
      </c>
      <c r="F3365" s="2">
        <f t="shared" si="104"/>
        <v>12531.326207400001</v>
      </c>
      <c r="G3365" s="3">
        <v>0</v>
      </c>
      <c r="H3365" s="4">
        <v>0.7</v>
      </c>
      <c r="I3365" s="28">
        <f t="shared" si="105"/>
        <v>21303.254552580001</v>
      </c>
    </row>
    <row r="3366" spans="1:9" ht="15.75" customHeight="1" x14ac:dyDescent="0.35">
      <c r="A3366" s="26" t="s">
        <v>10350</v>
      </c>
      <c r="B3366" s="25" t="s">
        <v>12065</v>
      </c>
      <c r="C3366" s="6" t="s">
        <v>12164</v>
      </c>
      <c r="D3366" s="13">
        <v>18657.434250000002</v>
      </c>
      <c r="E3366" s="18">
        <v>21</v>
      </c>
      <c r="F3366" s="2">
        <f t="shared" si="104"/>
        <v>22575.495442500003</v>
      </c>
      <c r="G3366" s="3">
        <v>0</v>
      </c>
      <c r="H3366" s="4">
        <v>0.7</v>
      </c>
      <c r="I3366" s="28">
        <f t="shared" si="105"/>
        <v>38378.342252250004</v>
      </c>
    </row>
    <row r="3367" spans="1:9" ht="15.75" customHeight="1" x14ac:dyDescent="0.35">
      <c r="A3367" s="26" t="s">
        <v>4430</v>
      </c>
      <c r="B3367" s="25" t="s">
        <v>10677</v>
      </c>
      <c r="C3367" s="6" t="s">
        <v>13516</v>
      </c>
      <c r="D3367" s="13">
        <v>10356.46794</v>
      </c>
      <c r="E3367" s="18">
        <v>21</v>
      </c>
      <c r="F3367" s="2">
        <f t="shared" si="104"/>
        <v>12531.326207400001</v>
      </c>
      <c r="G3367" s="3">
        <v>0</v>
      </c>
      <c r="H3367" s="4">
        <v>0.7</v>
      </c>
      <c r="I3367" s="28">
        <f t="shared" si="105"/>
        <v>21303.254552580001</v>
      </c>
    </row>
    <row r="3368" spans="1:9" ht="15.75" customHeight="1" x14ac:dyDescent="0.35">
      <c r="A3368" s="26" t="s">
        <v>11892</v>
      </c>
      <c r="B3368" s="25" t="s">
        <v>9947</v>
      </c>
      <c r="C3368" s="6" t="s">
        <v>12165</v>
      </c>
      <c r="D3368" s="13">
        <v>18657.434250000002</v>
      </c>
      <c r="E3368" s="18">
        <v>21</v>
      </c>
      <c r="F3368" s="2">
        <f t="shared" si="104"/>
        <v>22575.495442500003</v>
      </c>
      <c r="G3368" s="3">
        <v>0</v>
      </c>
      <c r="H3368" s="4">
        <v>0.7</v>
      </c>
      <c r="I3368" s="28">
        <f t="shared" si="105"/>
        <v>38378.342252250004</v>
      </c>
    </row>
    <row r="3369" spans="1:9" ht="15.75" customHeight="1" x14ac:dyDescent="0.35">
      <c r="A3369" s="26" t="s">
        <v>11978</v>
      </c>
      <c r="B3369" s="25" t="s">
        <v>10336</v>
      </c>
      <c r="C3369" s="6" t="s">
        <v>12166</v>
      </c>
      <c r="D3369" s="13">
        <v>19230.930903868168</v>
      </c>
      <c r="E3369" s="18">
        <v>21</v>
      </c>
      <c r="F3369" s="2">
        <f t="shared" si="104"/>
        <v>23269.426393680482</v>
      </c>
      <c r="G3369" s="3">
        <v>0</v>
      </c>
      <c r="H3369" s="4">
        <v>0.7</v>
      </c>
      <c r="I3369" s="28">
        <f t="shared" si="105"/>
        <v>39558.02486925682</v>
      </c>
    </row>
    <row r="3370" spans="1:9" ht="15.75" customHeight="1" x14ac:dyDescent="0.35">
      <c r="A3370" s="26" t="s">
        <v>4336</v>
      </c>
      <c r="B3370" s="25" t="s">
        <v>10678</v>
      </c>
      <c r="C3370" s="6" t="s">
        <v>9890</v>
      </c>
      <c r="D3370" s="13">
        <v>3338.5982175000004</v>
      </c>
      <c r="E3370" s="18">
        <v>21</v>
      </c>
      <c r="F3370" s="2">
        <f t="shared" si="104"/>
        <v>4039.7038431750007</v>
      </c>
      <c r="G3370" s="3">
        <v>0</v>
      </c>
      <c r="H3370" s="4">
        <v>0.7</v>
      </c>
      <c r="I3370" s="28">
        <f t="shared" si="105"/>
        <v>6867.4965333975006</v>
      </c>
    </row>
    <row r="3371" spans="1:9" ht="15.75" customHeight="1" x14ac:dyDescent="0.35">
      <c r="A3371" s="26" t="s">
        <v>11287</v>
      </c>
      <c r="B3371" s="25" t="s">
        <v>10338</v>
      </c>
      <c r="C3371" s="6" t="s">
        <v>12167</v>
      </c>
      <c r="D3371" s="13">
        <v>5221.5344999999998</v>
      </c>
      <c r="E3371" s="18">
        <v>21</v>
      </c>
      <c r="F3371" s="2">
        <f t="shared" si="104"/>
        <v>6318.0567449999999</v>
      </c>
      <c r="G3371" s="3">
        <v>0</v>
      </c>
      <c r="H3371" s="4">
        <v>0.7</v>
      </c>
      <c r="I3371" s="28">
        <f t="shared" si="105"/>
        <v>10740.6964665</v>
      </c>
    </row>
    <row r="3372" spans="1:9" ht="15.75" customHeight="1" x14ac:dyDescent="0.35">
      <c r="A3372" s="26" t="s">
        <v>4337</v>
      </c>
      <c r="B3372" s="25" t="s">
        <v>12067</v>
      </c>
      <c r="C3372" s="6" t="s">
        <v>9891</v>
      </c>
      <c r="D3372" s="13">
        <v>3338.5982175000004</v>
      </c>
      <c r="E3372" s="18">
        <v>21</v>
      </c>
      <c r="F3372" s="2">
        <f t="shared" si="104"/>
        <v>4039.7038431750007</v>
      </c>
      <c r="G3372" s="3">
        <v>0</v>
      </c>
      <c r="H3372" s="4">
        <v>0.7</v>
      </c>
      <c r="I3372" s="28">
        <f t="shared" si="105"/>
        <v>6867.4965333975006</v>
      </c>
    </row>
    <row r="3373" spans="1:9" ht="15.75" customHeight="1" x14ac:dyDescent="0.35">
      <c r="A3373" s="26" t="s">
        <v>11288</v>
      </c>
      <c r="B3373" s="25" t="s">
        <v>1006</v>
      </c>
      <c r="C3373" s="6" t="s">
        <v>12168</v>
      </c>
      <c r="D3373" s="13">
        <v>5221.5344999999998</v>
      </c>
      <c r="E3373" s="18">
        <v>21</v>
      </c>
      <c r="F3373" s="2">
        <f t="shared" si="104"/>
        <v>6318.0567449999999</v>
      </c>
      <c r="G3373" s="3">
        <v>0</v>
      </c>
      <c r="H3373" s="4">
        <v>0.7</v>
      </c>
      <c r="I3373" s="28">
        <f t="shared" si="105"/>
        <v>10740.6964665</v>
      </c>
    </row>
    <row r="3374" spans="1:9" ht="15.75" customHeight="1" x14ac:dyDescent="0.35">
      <c r="A3374" s="26" t="s">
        <v>4338</v>
      </c>
      <c r="B3374" s="25" t="s">
        <v>546</v>
      </c>
      <c r="C3374" s="6" t="s">
        <v>9892</v>
      </c>
      <c r="D3374" s="13">
        <v>3338.5982175000004</v>
      </c>
      <c r="E3374" s="18">
        <v>21</v>
      </c>
      <c r="F3374" s="2">
        <f t="shared" si="104"/>
        <v>4039.7038431750007</v>
      </c>
      <c r="G3374" s="3">
        <v>0</v>
      </c>
      <c r="H3374" s="4">
        <v>0.7</v>
      </c>
      <c r="I3374" s="28">
        <f t="shared" si="105"/>
        <v>6867.4965333975006</v>
      </c>
    </row>
    <row r="3375" spans="1:9" ht="15.75" customHeight="1" x14ac:dyDescent="0.35">
      <c r="A3375" s="26" t="s">
        <v>14022</v>
      </c>
      <c r="B3375" s="25" t="s">
        <v>9578</v>
      </c>
      <c r="C3375" s="6" t="s">
        <v>14023</v>
      </c>
      <c r="D3375" s="13">
        <v>5221.5344999999998</v>
      </c>
      <c r="E3375" s="18">
        <v>21</v>
      </c>
      <c r="F3375" s="2">
        <f t="shared" si="104"/>
        <v>6318.0567449999999</v>
      </c>
      <c r="G3375" s="3">
        <v>0</v>
      </c>
      <c r="H3375" s="4">
        <v>0.7</v>
      </c>
      <c r="I3375" s="28">
        <f t="shared" si="105"/>
        <v>10740.6964665</v>
      </c>
    </row>
    <row r="3376" spans="1:9" ht="15.75" customHeight="1" x14ac:dyDescent="0.35">
      <c r="A3376" s="26" t="s">
        <v>4429</v>
      </c>
      <c r="B3376" s="25" t="s">
        <v>10203</v>
      </c>
      <c r="C3376" s="6" t="s">
        <v>12334</v>
      </c>
      <c r="D3376" s="13">
        <v>7938.4305000000004</v>
      </c>
      <c r="E3376" s="18">
        <v>21</v>
      </c>
      <c r="F3376" s="2">
        <f t="shared" si="104"/>
        <v>9605.5009050000008</v>
      </c>
      <c r="G3376" s="3">
        <v>0</v>
      </c>
      <c r="H3376" s="4">
        <v>0.7</v>
      </c>
      <c r="I3376" s="28">
        <f t="shared" si="105"/>
        <v>16329.351538500001</v>
      </c>
    </row>
    <row r="3377" spans="1:9" ht="15.75" customHeight="1" x14ac:dyDescent="0.35">
      <c r="A3377" s="26" t="s">
        <v>4366</v>
      </c>
      <c r="B3377" s="25" t="s">
        <v>8994</v>
      </c>
      <c r="C3377" s="6" t="s">
        <v>9893</v>
      </c>
      <c r="D3377" s="13">
        <v>3513.8016224999997</v>
      </c>
      <c r="E3377" s="18">
        <v>21</v>
      </c>
      <c r="F3377" s="2">
        <f t="shared" si="104"/>
        <v>4251.6999632249999</v>
      </c>
      <c r="G3377" s="3">
        <v>0</v>
      </c>
      <c r="H3377" s="4">
        <v>0.7</v>
      </c>
      <c r="I3377" s="28">
        <f t="shared" si="105"/>
        <v>7227.8899374824996</v>
      </c>
    </row>
    <row r="3378" spans="1:9" ht="15.75" customHeight="1" x14ac:dyDescent="0.35">
      <c r="A3378" s="26" t="s">
        <v>10953</v>
      </c>
      <c r="B3378" s="25" t="s">
        <v>8995</v>
      </c>
      <c r="C3378" s="6" t="s">
        <v>12169</v>
      </c>
      <c r="D3378" s="13">
        <v>5898.4132064785408</v>
      </c>
      <c r="E3378" s="18">
        <v>21</v>
      </c>
      <c r="F3378" s="2">
        <f t="shared" si="104"/>
        <v>7137.0799798390344</v>
      </c>
      <c r="G3378" s="3">
        <v>0</v>
      </c>
      <c r="H3378" s="4">
        <v>0.7</v>
      </c>
      <c r="I3378" s="28">
        <f t="shared" si="105"/>
        <v>12133.035965726358</v>
      </c>
    </row>
    <row r="3379" spans="1:9" ht="15.75" customHeight="1" x14ac:dyDescent="0.35">
      <c r="A3379" s="26" t="s">
        <v>4367</v>
      </c>
      <c r="B3379" s="25" t="s">
        <v>12554</v>
      </c>
      <c r="C3379" s="6" t="s">
        <v>9894</v>
      </c>
      <c r="D3379" s="13">
        <v>3513.8016224999997</v>
      </c>
      <c r="E3379" s="18">
        <v>21</v>
      </c>
      <c r="F3379" s="2">
        <f t="shared" si="104"/>
        <v>4251.6999632249999</v>
      </c>
      <c r="G3379" s="3">
        <v>0</v>
      </c>
      <c r="H3379" s="4">
        <v>0.7</v>
      </c>
      <c r="I3379" s="28">
        <f t="shared" si="105"/>
        <v>7227.8899374824996</v>
      </c>
    </row>
    <row r="3380" spans="1:9" ht="15.75" customHeight="1" x14ac:dyDescent="0.35">
      <c r="A3380" s="26" t="s">
        <v>10954</v>
      </c>
      <c r="B3380" s="25" t="s">
        <v>12555</v>
      </c>
      <c r="C3380" s="6" t="s">
        <v>12170</v>
      </c>
      <c r="D3380" s="13">
        <v>5900.7584999999999</v>
      </c>
      <c r="E3380" s="18">
        <v>21</v>
      </c>
      <c r="F3380" s="2">
        <f t="shared" si="104"/>
        <v>7139.9177849999996</v>
      </c>
      <c r="G3380" s="3">
        <v>0</v>
      </c>
      <c r="H3380" s="4">
        <v>0.7</v>
      </c>
      <c r="I3380" s="28">
        <f t="shared" si="105"/>
        <v>12137.8602345</v>
      </c>
    </row>
    <row r="3381" spans="1:9" ht="15.75" customHeight="1" x14ac:dyDescent="0.35">
      <c r="A3381" s="26" t="s">
        <v>4368</v>
      </c>
      <c r="B3381" s="25" t="s">
        <v>12516</v>
      </c>
      <c r="C3381" s="6" t="s">
        <v>9895</v>
      </c>
      <c r="D3381" s="13">
        <v>3513.8016224999997</v>
      </c>
      <c r="E3381" s="18">
        <v>21</v>
      </c>
      <c r="F3381" s="2">
        <f t="shared" si="104"/>
        <v>4251.6999632249999</v>
      </c>
      <c r="G3381" s="3">
        <v>0</v>
      </c>
      <c r="H3381" s="4">
        <v>0.7</v>
      </c>
      <c r="I3381" s="28">
        <f t="shared" si="105"/>
        <v>7227.8899374824996</v>
      </c>
    </row>
    <row r="3382" spans="1:9" ht="15.75" customHeight="1" x14ac:dyDescent="0.35">
      <c r="A3382" s="26" t="s">
        <v>4427</v>
      </c>
      <c r="B3382" s="25" t="s">
        <v>12556</v>
      </c>
      <c r="C3382" s="6" t="s">
        <v>11023</v>
      </c>
      <c r="D3382" s="13">
        <v>10207.220595000001</v>
      </c>
      <c r="E3382" s="18">
        <v>21</v>
      </c>
      <c r="F3382" s="2">
        <f t="shared" si="104"/>
        <v>12350.736919950001</v>
      </c>
      <c r="G3382" s="3">
        <v>0</v>
      </c>
      <c r="H3382" s="4">
        <v>0.7</v>
      </c>
      <c r="I3382" s="28">
        <f t="shared" si="105"/>
        <v>20996.252763914999</v>
      </c>
    </row>
    <row r="3383" spans="1:9" ht="15.75" customHeight="1" x14ac:dyDescent="0.35">
      <c r="A3383" s="26" t="s">
        <v>3851</v>
      </c>
      <c r="B3383" s="25" t="s">
        <v>12558</v>
      </c>
      <c r="C3383" s="6" t="s">
        <v>559</v>
      </c>
      <c r="D3383" s="13">
        <v>96479.76</v>
      </c>
      <c r="E3383" s="18">
        <v>21</v>
      </c>
      <c r="F3383" s="2">
        <f t="shared" si="104"/>
        <v>116740.50959999999</v>
      </c>
      <c r="G3383" s="3">
        <v>0</v>
      </c>
      <c r="H3383" s="4">
        <v>0.7</v>
      </c>
      <c r="I3383" s="28">
        <f t="shared" si="105"/>
        <v>198458.86631999997</v>
      </c>
    </row>
    <row r="3384" spans="1:9" ht="15.75" customHeight="1" x14ac:dyDescent="0.35">
      <c r="A3384" s="26" t="s">
        <v>3860</v>
      </c>
      <c r="B3384" s="25" t="s">
        <v>12517</v>
      </c>
      <c r="C3384" s="6" t="s">
        <v>10502</v>
      </c>
      <c r="D3384" s="13">
        <v>10869.273999999999</v>
      </c>
      <c r="E3384" s="18">
        <v>21</v>
      </c>
      <c r="F3384" s="2">
        <f t="shared" si="104"/>
        <v>13151.821539999999</v>
      </c>
      <c r="G3384" s="3">
        <v>0</v>
      </c>
      <c r="H3384" s="4">
        <v>0.7</v>
      </c>
      <c r="I3384" s="28">
        <f t="shared" si="105"/>
        <v>22358.096617999996</v>
      </c>
    </row>
    <row r="3385" spans="1:9" ht="15.75" customHeight="1" x14ac:dyDescent="0.35">
      <c r="A3385" s="26" t="s">
        <v>3861</v>
      </c>
      <c r="B3385" s="25" t="s">
        <v>12518</v>
      </c>
      <c r="C3385" s="6" t="s">
        <v>10503</v>
      </c>
      <c r="D3385" s="13">
        <v>18433.531999999999</v>
      </c>
      <c r="E3385" s="18">
        <v>21</v>
      </c>
      <c r="F3385" s="2">
        <f t="shared" si="104"/>
        <v>22304.57372</v>
      </c>
      <c r="G3385" s="3">
        <v>0</v>
      </c>
      <c r="H3385" s="4">
        <v>0.7</v>
      </c>
      <c r="I3385" s="28">
        <f t="shared" si="105"/>
        <v>37917.775324000002</v>
      </c>
    </row>
    <row r="3386" spans="1:9" ht="15.75" customHeight="1" x14ac:dyDescent="0.35">
      <c r="A3386" s="26" t="s">
        <v>3863</v>
      </c>
      <c r="B3386" s="25" t="s">
        <v>1007</v>
      </c>
      <c r="C3386" s="6" t="s">
        <v>10504</v>
      </c>
      <c r="D3386" s="13">
        <v>28168.771700628</v>
      </c>
      <c r="E3386" s="18">
        <v>21</v>
      </c>
      <c r="F3386" s="2">
        <f t="shared" si="104"/>
        <v>34084.213757759877</v>
      </c>
      <c r="G3386" s="3">
        <v>0</v>
      </c>
      <c r="H3386" s="4">
        <v>0.7</v>
      </c>
      <c r="I3386" s="28">
        <f t="shared" si="105"/>
        <v>57943.163388191788</v>
      </c>
    </row>
    <row r="3387" spans="1:9" ht="15.75" customHeight="1" x14ac:dyDescent="0.35">
      <c r="A3387" s="26" t="s">
        <v>12213</v>
      </c>
      <c r="B3387" s="25" t="s">
        <v>547</v>
      </c>
      <c r="C3387" s="6" t="s">
        <v>12214</v>
      </c>
      <c r="D3387" s="13">
        <v>1524.7230895</v>
      </c>
      <c r="E3387" s="18">
        <v>21</v>
      </c>
      <c r="F3387" s="2">
        <f t="shared" si="104"/>
        <v>1844.914938295</v>
      </c>
      <c r="G3387" s="3">
        <v>0</v>
      </c>
      <c r="H3387" s="4">
        <v>0.7</v>
      </c>
      <c r="I3387" s="28">
        <f t="shared" si="105"/>
        <v>3136.3553951014997</v>
      </c>
    </row>
    <row r="3388" spans="1:9" ht="15.75" customHeight="1" x14ac:dyDescent="0.35">
      <c r="A3388" s="26" t="s">
        <v>1528</v>
      </c>
      <c r="B3388" s="25" t="s">
        <v>548</v>
      </c>
      <c r="C3388" s="6" t="s">
        <v>560</v>
      </c>
      <c r="D3388" s="13">
        <v>179.02170000000001</v>
      </c>
      <c r="E3388" s="18">
        <v>21</v>
      </c>
      <c r="F3388" s="2">
        <f t="shared" si="104"/>
        <v>216.61625700000002</v>
      </c>
      <c r="G3388" s="3">
        <v>0</v>
      </c>
      <c r="H3388" s="4">
        <v>0.7</v>
      </c>
      <c r="I3388" s="28">
        <f t="shared" si="105"/>
        <v>368.24763690000003</v>
      </c>
    </row>
    <row r="3389" spans="1:9" ht="15.75" customHeight="1" x14ac:dyDescent="0.35">
      <c r="A3389" s="26" t="s">
        <v>2592</v>
      </c>
      <c r="B3389" s="25" t="s">
        <v>1272</v>
      </c>
      <c r="C3389" s="6" t="s">
        <v>10680</v>
      </c>
      <c r="D3389" s="13">
        <v>4186.422767475</v>
      </c>
      <c r="E3389" s="18">
        <v>21</v>
      </c>
      <c r="F3389" s="2">
        <f t="shared" si="104"/>
        <v>5065.5715486447498</v>
      </c>
      <c r="G3389" s="3">
        <v>0</v>
      </c>
      <c r="H3389" s="4">
        <v>0.7</v>
      </c>
      <c r="I3389" s="28">
        <f t="shared" si="105"/>
        <v>8611.4716326960752</v>
      </c>
    </row>
    <row r="3390" spans="1:9" ht="15.75" customHeight="1" x14ac:dyDescent="0.35">
      <c r="A3390" s="26" t="s">
        <v>2593</v>
      </c>
      <c r="B3390" s="25" t="s">
        <v>11017</v>
      </c>
      <c r="C3390" s="6" t="s">
        <v>10681</v>
      </c>
      <c r="D3390" s="13">
        <v>2316.7216558199998</v>
      </c>
      <c r="E3390" s="18">
        <v>21</v>
      </c>
      <c r="F3390" s="2">
        <f t="shared" si="104"/>
        <v>2803.2332035421996</v>
      </c>
      <c r="G3390" s="3">
        <v>0</v>
      </c>
      <c r="H3390" s="4">
        <v>0.7</v>
      </c>
      <c r="I3390" s="28">
        <f t="shared" si="105"/>
        <v>4765.4964460217388</v>
      </c>
    </row>
    <row r="3391" spans="1:9" ht="15.75" customHeight="1" x14ac:dyDescent="0.35">
      <c r="A3391" s="26" t="s">
        <v>12499</v>
      </c>
      <c r="B3391" s="25" t="s">
        <v>9641</v>
      </c>
      <c r="C3391" s="6" t="s">
        <v>12500</v>
      </c>
      <c r="D3391" s="13">
        <v>886.40716904999999</v>
      </c>
      <c r="E3391" s="18">
        <v>21</v>
      </c>
      <c r="F3391" s="2">
        <f t="shared" si="104"/>
        <v>1072.5526745504999</v>
      </c>
      <c r="G3391" s="3">
        <v>0</v>
      </c>
      <c r="H3391" s="4">
        <v>0.7</v>
      </c>
      <c r="I3391" s="28">
        <f t="shared" si="105"/>
        <v>1823.3395467358498</v>
      </c>
    </row>
    <row r="3392" spans="1:9" ht="15.75" customHeight="1" x14ac:dyDescent="0.35">
      <c r="A3392" s="26" t="s">
        <v>2603</v>
      </c>
      <c r="B3392" s="25" t="s">
        <v>9642</v>
      </c>
      <c r="C3392" s="6" t="s">
        <v>12501</v>
      </c>
      <c r="D3392" s="13">
        <v>3429.6937836127199</v>
      </c>
      <c r="E3392" s="18">
        <v>21</v>
      </c>
      <c r="F3392" s="2">
        <f t="shared" si="104"/>
        <v>4149.9294781713907</v>
      </c>
      <c r="G3392" s="3">
        <v>0</v>
      </c>
      <c r="H3392" s="4">
        <v>0.7</v>
      </c>
      <c r="I3392" s="28">
        <f t="shared" si="105"/>
        <v>7054.8801128913638</v>
      </c>
    </row>
    <row r="3393" spans="1:9" ht="15.75" customHeight="1" x14ac:dyDescent="0.35">
      <c r="A3393" s="26" t="s">
        <v>3473</v>
      </c>
      <c r="B3393" s="25" t="s">
        <v>549</v>
      </c>
      <c r="C3393" s="6" t="s">
        <v>561</v>
      </c>
      <c r="D3393" s="13">
        <v>986.81295699999998</v>
      </c>
      <c r="E3393" s="18">
        <v>21</v>
      </c>
      <c r="F3393" s="2">
        <f t="shared" si="104"/>
        <v>1194.0436779699999</v>
      </c>
      <c r="G3393" s="3">
        <v>0</v>
      </c>
      <c r="H3393" s="4">
        <v>0.7</v>
      </c>
      <c r="I3393" s="28">
        <f t="shared" si="105"/>
        <v>2029.8742525489997</v>
      </c>
    </row>
    <row r="3394" spans="1:9" ht="15.75" customHeight="1" x14ac:dyDescent="0.35">
      <c r="A3394" s="26" t="s">
        <v>3476</v>
      </c>
      <c r="B3394" s="25" t="s">
        <v>550</v>
      </c>
      <c r="C3394" s="6" t="s">
        <v>3477</v>
      </c>
      <c r="D3394" s="13">
        <v>778.14000550000003</v>
      </c>
      <c r="E3394" s="18">
        <v>21</v>
      </c>
      <c r="F3394" s="2">
        <f t="shared" si="104"/>
        <v>941.54940665499998</v>
      </c>
      <c r="G3394" s="3">
        <v>0</v>
      </c>
      <c r="H3394" s="4">
        <v>0.7</v>
      </c>
      <c r="I3394" s="28">
        <f t="shared" si="105"/>
        <v>1600.6339913135</v>
      </c>
    </row>
    <row r="3395" spans="1:9" ht="15.75" customHeight="1" x14ac:dyDescent="0.35">
      <c r="A3395" s="26" t="s">
        <v>13586</v>
      </c>
      <c r="B3395" s="25" t="s">
        <v>551</v>
      </c>
      <c r="C3395" s="6" t="s">
        <v>13892</v>
      </c>
      <c r="D3395" s="13">
        <v>1492.47345</v>
      </c>
      <c r="E3395" s="18">
        <v>21</v>
      </c>
      <c r="F3395" s="2">
        <f t="shared" si="104"/>
        <v>1805.8928744999998</v>
      </c>
      <c r="G3395" s="3">
        <v>0</v>
      </c>
      <c r="H3395" s="4">
        <v>0.7</v>
      </c>
      <c r="I3395" s="28">
        <f t="shared" si="105"/>
        <v>3070.0178866499996</v>
      </c>
    </row>
    <row r="3396" spans="1:9" ht="15.75" customHeight="1" x14ac:dyDescent="0.35">
      <c r="A3396" s="26" t="s">
        <v>11289</v>
      </c>
      <c r="B3396" s="25" t="s">
        <v>1151</v>
      </c>
      <c r="C3396" s="6" t="s">
        <v>11290</v>
      </c>
      <c r="D3396" s="13">
        <v>1008.2231250000001</v>
      </c>
      <c r="E3396" s="18">
        <v>21</v>
      </c>
      <c r="F3396" s="2">
        <f t="shared" si="104"/>
        <v>1219.9499812500001</v>
      </c>
      <c r="G3396" s="3">
        <v>0</v>
      </c>
      <c r="H3396" s="4">
        <v>0.7</v>
      </c>
      <c r="I3396" s="28">
        <f t="shared" si="105"/>
        <v>2073.9149681250001</v>
      </c>
    </row>
    <row r="3397" spans="1:9" ht="15.75" customHeight="1" x14ac:dyDescent="0.35">
      <c r="A3397" s="26" t="s">
        <v>3479</v>
      </c>
      <c r="B3397" s="25" t="s">
        <v>552</v>
      </c>
      <c r="C3397" s="6" t="s">
        <v>562</v>
      </c>
      <c r="D3397" s="13">
        <v>417.3</v>
      </c>
      <c r="E3397" s="18">
        <v>21</v>
      </c>
      <c r="F3397" s="2">
        <f t="shared" si="104"/>
        <v>504.93299999999999</v>
      </c>
      <c r="G3397" s="3">
        <v>0</v>
      </c>
      <c r="H3397" s="4">
        <v>0.7</v>
      </c>
      <c r="I3397" s="28">
        <f t="shared" si="105"/>
        <v>858.38609999999994</v>
      </c>
    </row>
    <row r="3398" spans="1:9" ht="15.75" customHeight="1" x14ac:dyDescent="0.35">
      <c r="A3398" s="26" t="s">
        <v>13083</v>
      </c>
      <c r="B3398" s="25" t="s">
        <v>553</v>
      </c>
      <c r="C3398" s="6" t="s">
        <v>13084</v>
      </c>
      <c r="D3398" s="13">
        <v>605.77690426499998</v>
      </c>
      <c r="E3398" s="18">
        <v>21</v>
      </c>
      <c r="F3398" s="2">
        <f t="shared" ref="F3398:F3461" si="106">D3398*E3398/100+D3398</f>
        <v>732.99005416064995</v>
      </c>
      <c r="G3398" s="3">
        <v>0</v>
      </c>
      <c r="H3398" s="4">
        <v>0.7</v>
      </c>
      <c r="I3398" s="28">
        <f t="shared" ref="I3398:I3461" si="107">IF(G3398=-1,0,F3398*((100-G3398)/100)*(1+H3398))</f>
        <v>1246.0830920731048</v>
      </c>
    </row>
    <row r="3399" spans="1:9" ht="15.75" customHeight="1" x14ac:dyDescent="0.35">
      <c r="A3399" s="26" t="s">
        <v>3481</v>
      </c>
      <c r="B3399" s="25" t="s">
        <v>554</v>
      </c>
      <c r="C3399" s="6" t="s">
        <v>13932</v>
      </c>
      <c r="D3399" s="13">
        <v>7808.5176000000001</v>
      </c>
      <c r="E3399" s="18">
        <v>21</v>
      </c>
      <c r="F3399" s="2">
        <f t="shared" si="106"/>
        <v>9448.3062960000007</v>
      </c>
      <c r="G3399" s="3">
        <v>0</v>
      </c>
      <c r="H3399" s="4">
        <v>0.7</v>
      </c>
      <c r="I3399" s="28">
        <f t="shared" si="107"/>
        <v>16062.1207032</v>
      </c>
    </row>
    <row r="3400" spans="1:9" ht="15.75" customHeight="1" x14ac:dyDescent="0.35">
      <c r="A3400" s="26" t="s">
        <v>3474</v>
      </c>
      <c r="B3400" s="25" t="s">
        <v>555</v>
      </c>
      <c r="C3400" s="6" t="s">
        <v>10971</v>
      </c>
      <c r="D3400" s="13">
        <v>1225.8604800000001</v>
      </c>
      <c r="E3400" s="18">
        <v>21</v>
      </c>
      <c r="F3400" s="2">
        <f t="shared" si="106"/>
        <v>1483.2911808000001</v>
      </c>
      <c r="G3400" s="3">
        <v>0</v>
      </c>
      <c r="H3400" s="4">
        <v>0.7</v>
      </c>
      <c r="I3400" s="28">
        <f t="shared" si="107"/>
        <v>2521.5950073600002</v>
      </c>
    </row>
    <row r="3401" spans="1:9" ht="15.75" customHeight="1" x14ac:dyDescent="0.35">
      <c r="A3401" s="26" t="s">
        <v>3475</v>
      </c>
      <c r="B3401" s="25" t="s">
        <v>556</v>
      </c>
      <c r="C3401" s="6" t="s">
        <v>10505</v>
      </c>
      <c r="D3401" s="13">
        <v>1152.6243300000001</v>
      </c>
      <c r="E3401" s="18">
        <v>21</v>
      </c>
      <c r="F3401" s="2">
        <f t="shared" si="106"/>
        <v>1394.6754393000001</v>
      </c>
      <c r="G3401" s="3">
        <v>0</v>
      </c>
      <c r="H3401" s="4">
        <v>0.7</v>
      </c>
      <c r="I3401" s="28">
        <f t="shared" si="107"/>
        <v>2370.94824681</v>
      </c>
    </row>
    <row r="3402" spans="1:9" ht="15.75" customHeight="1" x14ac:dyDescent="0.35">
      <c r="A3402" s="26" t="s">
        <v>3482</v>
      </c>
      <c r="B3402" s="25" t="s">
        <v>557</v>
      </c>
      <c r="C3402" s="6" t="s">
        <v>10506</v>
      </c>
      <c r="D3402" s="13">
        <v>334.42421999999999</v>
      </c>
      <c r="E3402" s="18">
        <v>21</v>
      </c>
      <c r="F3402" s="2">
        <f t="shared" si="106"/>
        <v>404.65330619999997</v>
      </c>
      <c r="G3402" s="3">
        <v>0</v>
      </c>
      <c r="H3402" s="4">
        <v>0.7</v>
      </c>
      <c r="I3402" s="28">
        <f t="shared" si="107"/>
        <v>687.91062053999997</v>
      </c>
    </row>
    <row r="3403" spans="1:9" ht="15.75" customHeight="1" x14ac:dyDescent="0.35">
      <c r="A3403" s="26" t="s">
        <v>3483</v>
      </c>
      <c r="B3403" s="25" t="s">
        <v>558</v>
      </c>
      <c r="C3403" s="6" t="s">
        <v>563</v>
      </c>
      <c r="D3403" s="13">
        <v>4341.0328</v>
      </c>
      <c r="E3403" s="18">
        <v>21</v>
      </c>
      <c r="F3403" s="2">
        <f t="shared" si="106"/>
        <v>5252.6496879999995</v>
      </c>
      <c r="G3403" s="3">
        <v>0</v>
      </c>
      <c r="H3403" s="4">
        <v>0.7</v>
      </c>
      <c r="I3403" s="28">
        <f t="shared" si="107"/>
        <v>8929.5044695999986</v>
      </c>
    </row>
    <row r="3404" spans="1:9" ht="15.75" customHeight="1" x14ac:dyDescent="0.35">
      <c r="A3404" s="26" t="s">
        <v>9694</v>
      </c>
      <c r="B3404" s="25" t="s">
        <v>10499</v>
      </c>
      <c r="C3404" s="6" t="s">
        <v>9695</v>
      </c>
      <c r="D3404" s="13">
        <v>7808.5176000000001</v>
      </c>
      <c r="E3404" s="18">
        <v>21</v>
      </c>
      <c r="F3404" s="2">
        <f t="shared" si="106"/>
        <v>9448.3062960000007</v>
      </c>
      <c r="G3404" s="3">
        <v>0</v>
      </c>
      <c r="H3404" s="4">
        <v>0.7</v>
      </c>
      <c r="I3404" s="28">
        <f t="shared" si="107"/>
        <v>16062.1207032</v>
      </c>
    </row>
    <row r="3405" spans="1:9" ht="15.75" customHeight="1" x14ac:dyDescent="0.35">
      <c r="A3405" s="26" t="s">
        <v>3485</v>
      </c>
      <c r="B3405" s="25" t="s">
        <v>10500</v>
      </c>
      <c r="C3405" s="6" t="s">
        <v>13970</v>
      </c>
      <c r="D3405" s="13">
        <v>1339.5329999999999</v>
      </c>
      <c r="E3405" s="18">
        <v>21</v>
      </c>
      <c r="F3405" s="2">
        <f t="shared" si="106"/>
        <v>1620.83493</v>
      </c>
      <c r="G3405" s="3">
        <v>0</v>
      </c>
      <c r="H3405" s="4">
        <v>0.7</v>
      </c>
      <c r="I3405" s="28">
        <f t="shared" si="107"/>
        <v>2755.4193809999997</v>
      </c>
    </row>
    <row r="3406" spans="1:9" ht="15.75" customHeight="1" x14ac:dyDescent="0.35">
      <c r="A3406" s="26" t="s">
        <v>3486</v>
      </c>
      <c r="B3406" s="25" t="s">
        <v>10501</v>
      </c>
      <c r="C3406" s="6" t="s">
        <v>13971</v>
      </c>
      <c r="D3406" s="13">
        <v>1470.287</v>
      </c>
      <c r="E3406" s="18">
        <v>21</v>
      </c>
      <c r="F3406" s="2">
        <f t="shared" si="106"/>
        <v>1779.04727</v>
      </c>
      <c r="G3406" s="3">
        <v>0</v>
      </c>
      <c r="H3406" s="4">
        <v>0.7</v>
      </c>
      <c r="I3406" s="28">
        <f t="shared" si="107"/>
        <v>3024.3803589999998</v>
      </c>
    </row>
    <row r="3407" spans="1:9" ht="15.75" customHeight="1" x14ac:dyDescent="0.35">
      <c r="A3407" s="26" t="s">
        <v>3487</v>
      </c>
      <c r="B3407" s="25" t="s">
        <v>11774</v>
      </c>
      <c r="C3407" s="6" t="s">
        <v>566</v>
      </c>
      <c r="D3407" s="13">
        <v>676.77638886</v>
      </c>
      <c r="E3407" s="18">
        <v>21</v>
      </c>
      <c r="F3407" s="2">
        <f t="shared" si="106"/>
        <v>818.89943052059994</v>
      </c>
      <c r="G3407" s="3">
        <v>0</v>
      </c>
      <c r="H3407" s="4">
        <v>0.7</v>
      </c>
      <c r="I3407" s="28">
        <f t="shared" si="107"/>
        <v>1392.1290318850199</v>
      </c>
    </row>
    <row r="3408" spans="1:9" ht="15.75" customHeight="1" x14ac:dyDescent="0.35">
      <c r="A3408" s="26" t="s">
        <v>3488</v>
      </c>
      <c r="B3408" s="25" t="s">
        <v>11775</v>
      </c>
      <c r="C3408" s="6" t="s">
        <v>1273</v>
      </c>
      <c r="D3408" s="13">
        <v>12458.908799999999</v>
      </c>
      <c r="E3408" s="18">
        <v>21</v>
      </c>
      <c r="F3408" s="2">
        <f t="shared" si="106"/>
        <v>15075.279648</v>
      </c>
      <c r="G3408" s="3">
        <v>0</v>
      </c>
      <c r="H3408" s="4">
        <v>0.7</v>
      </c>
      <c r="I3408" s="28">
        <f t="shared" si="107"/>
        <v>25627.975401600001</v>
      </c>
    </row>
    <row r="3409" spans="1:9" ht="15.75" customHeight="1" x14ac:dyDescent="0.35">
      <c r="A3409" s="26" t="s">
        <v>3489</v>
      </c>
      <c r="B3409" s="25" t="s">
        <v>11776</v>
      </c>
      <c r="C3409" s="6" t="s">
        <v>1274</v>
      </c>
      <c r="D3409" s="13">
        <v>13626.931500000015</v>
      </c>
      <c r="E3409" s="18">
        <v>21</v>
      </c>
      <c r="F3409" s="2">
        <f t="shared" si="106"/>
        <v>16488.587115000017</v>
      </c>
      <c r="G3409" s="3">
        <v>0</v>
      </c>
      <c r="H3409" s="4">
        <v>0.7</v>
      </c>
      <c r="I3409" s="28">
        <f t="shared" si="107"/>
        <v>28030.598095500027</v>
      </c>
    </row>
    <row r="3410" spans="1:9" ht="15.75" customHeight="1" x14ac:dyDescent="0.35">
      <c r="A3410" s="26" t="s">
        <v>3490</v>
      </c>
      <c r="B3410" s="25" t="s">
        <v>11777</v>
      </c>
      <c r="C3410" s="6" t="s">
        <v>1275</v>
      </c>
      <c r="D3410" s="13">
        <v>13626.931499999999</v>
      </c>
      <c r="E3410" s="18">
        <v>21</v>
      </c>
      <c r="F3410" s="2">
        <f t="shared" si="106"/>
        <v>16488.587114999998</v>
      </c>
      <c r="G3410" s="3">
        <v>0</v>
      </c>
      <c r="H3410" s="4">
        <v>0.7</v>
      </c>
      <c r="I3410" s="28">
        <f t="shared" si="107"/>
        <v>28030.598095499998</v>
      </c>
    </row>
    <row r="3411" spans="1:9" ht="15.75" customHeight="1" x14ac:dyDescent="0.35">
      <c r="A3411" s="26" t="s">
        <v>3491</v>
      </c>
      <c r="B3411" s="25" t="s">
        <v>11778</v>
      </c>
      <c r="C3411" s="6" t="s">
        <v>1276</v>
      </c>
      <c r="D3411" s="13">
        <v>13626.931499999999</v>
      </c>
      <c r="E3411" s="18">
        <v>21</v>
      </c>
      <c r="F3411" s="2">
        <f t="shared" si="106"/>
        <v>16488.587114999998</v>
      </c>
      <c r="G3411" s="3">
        <v>0</v>
      </c>
      <c r="H3411" s="4">
        <v>0.7</v>
      </c>
      <c r="I3411" s="28">
        <f t="shared" si="107"/>
        <v>28030.598095499998</v>
      </c>
    </row>
    <row r="3412" spans="1:9" ht="15.75" customHeight="1" x14ac:dyDescent="0.35">
      <c r="A3412" s="26" t="s">
        <v>3492</v>
      </c>
      <c r="B3412" s="25" t="s">
        <v>11779</v>
      </c>
      <c r="C3412" s="6" t="s">
        <v>1277</v>
      </c>
      <c r="D3412" s="13">
        <v>16092.7572</v>
      </c>
      <c r="E3412" s="18">
        <v>21</v>
      </c>
      <c r="F3412" s="2">
        <f t="shared" si="106"/>
        <v>19472.236212</v>
      </c>
      <c r="G3412" s="3">
        <v>0</v>
      </c>
      <c r="H3412" s="4">
        <v>0.7</v>
      </c>
      <c r="I3412" s="28">
        <f t="shared" si="107"/>
        <v>33102.801560399996</v>
      </c>
    </row>
    <row r="3413" spans="1:9" ht="15.75" customHeight="1" x14ac:dyDescent="0.35">
      <c r="A3413" s="26" t="s">
        <v>8794</v>
      </c>
      <c r="B3413" s="25" t="s">
        <v>11780</v>
      </c>
      <c r="C3413" s="6" t="s">
        <v>8796</v>
      </c>
      <c r="D3413" s="13">
        <v>16092.7572</v>
      </c>
      <c r="E3413" s="18">
        <v>21</v>
      </c>
      <c r="F3413" s="2">
        <f t="shared" si="106"/>
        <v>19472.236212</v>
      </c>
      <c r="G3413" s="3">
        <v>0</v>
      </c>
      <c r="H3413" s="4">
        <v>0.7</v>
      </c>
      <c r="I3413" s="28">
        <f t="shared" si="107"/>
        <v>33102.801560399996</v>
      </c>
    </row>
    <row r="3414" spans="1:9" ht="15.75" customHeight="1" x14ac:dyDescent="0.35">
      <c r="A3414" s="26" t="s">
        <v>3493</v>
      </c>
      <c r="B3414" s="25" t="s">
        <v>11781</v>
      </c>
      <c r="C3414" s="6" t="s">
        <v>1278</v>
      </c>
      <c r="D3414" s="13">
        <v>17650.120800000001</v>
      </c>
      <c r="E3414" s="18">
        <v>21</v>
      </c>
      <c r="F3414" s="2">
        <f t="shared" si="106"/>
        <v>21356.646167999999</v>
      </c>
      <c r="G3414" s="3">
        <v>0</v>
      </c>
      <c r="H3414" s="4">
        <v>0.7</v>
      </c>
      <c r="I3414" s="28">
        <f t="shared" si="107"/>
        <v>36306.298485599997</v>
      </c>
    </row>
    <row r="3415" spans="1:9" ht="15.75" customHeight="1" x14ac:dyDescent="0.35">
      <c r="A3415" s="26" t="s">
        <v>3494</v>
      </c>
      <c r="B3415" s="25" t="s">
        <v>11782</v>
      </c>
      <c r="C3415" s="6" t="s">
        <v>1279</v>
      </c>
      <c r="D3415" s="13">
        <v>17650.120800000001</v>
      </c>
      <c r="E3415" s="18">
        <v>21</v>
      </c>
      <c r="F3415" s="2">
        <f t="shared" si="106"/>
        <v>21356.646167999999</v>
      </c>
      <c r="G3415" s="3">
        <v>0</v>
      </c>
      <c r="H3415" s="4">
        <v>0.7</v>
      </c>
      <c r="I3415" s="28">
        <f t="shared" si="107"/>
        <v>36306.298485599997</v>
      </c>
    </row>
    <row r="3416" spans="1:9" ht="15.75" customHeight="1" x14ac:dyDescent="0.35">
      <c r="A3416" s="26" t="s">
        <v>3495</v>
      </c>
      <c r="B3416" s="25" t="s">
        <v>11783</v>
      </c>
      <c r="C3416" s="6" t="s">
        <v>1280</v>
      </c>
      <c r="D3416" s="13">
        <v>17650.120800000001</v>
      </c>
      <c r="E3416" s="18">
        <v>21</v>
      </c>
      <c r="F3416" s="2">
        <f t="shared" si="106"/>
        <v>21356.646167999999</v>
      </c>
      <c r="G3416" s="3">
        <v>0</v>
      </c>
      <c r="H3416" s="4">
        <v>0.7</v>
      </c>
      <c r="I3416" s="28">
        <f t="shared" si="107"/>
        <v>36306.298485599997</v>
      </c>
    </row>
    <row r="3417" spans="1:9" ht="15.75" customHeight="1" x14ac:dyDescent="0.35">
      <c r="A3417" s="26" t="s">
        <v>1617</v>
      </c>
      <c r="B3417" s="25" t="s">
        <v>11784</v>
      </c>
      <c r="C3417" s="6" t="s">
        <v>567</v>
      </c>
      <c r="D3417" s="13">
        <v>16723.0347445511</v>
      </c>
      <c r="E3417" s="18">
        <v>21</v>
      </c>
      <c r="F3417" s="2">
        <f t="shared" si="106"/>
        <v>20234.87204090683</v>
      </c>
      <c r="G3417" s="3">
        <v>0</v>
      </c>
      <c r="H3417" s="4">
        <v>0.7</v>
      </c>
      <c r="I3417" s="28">
        <f t="shared" si="107"/>
        <v>34399.282469541613</v>
      </c>
    </row>
    <row r="3418" spans="1:9" ht="15.75" customHeight="1" x14ac:dyDescent="0.35">
      <c r="A3418" s="26" t="s">
        <v>1362</v>
      </c>
      <c r="B3418" s="25" t="s">
        <v>11785</v>
      </c>
      <c r="C3418" s="6" t="s">
        <v>9562</v>
      </c>
      <c r="D3418" s="13">
        <v>70725.072287999996</v>
      </c>
      <c r="E3418" s="18">
        <v>21</v>
      </c>
      <c r="F3418" s="2">
        <f t="shared" si="106"/>
        <v>85577.337468479993</v>
      </c>
      <c r="G3418" s="3">
        <v>0</v>
      </c>
      <c r="H3418" s="4">
        <v>0.7</v>
      </c>
      <c r="I3418" s="28">
        <f t="shared" si="107"/>
        <v>145481.47369641598</v>
      </c>
    </row>
    <row r="3419" spans="1:9" ht="15.75" customHeight="1" x14ac:dyDescent="0.35">
      <c r="A3419" s="26" t="s">
        <v>9563</v>
      </c>
      <c r="B3419" s="25" t="s">
        <v>11786</v>
      </c>
      <c r="C3419" s="6" t="s">
        <v>9564</v>
      </c>
      <c r="D3419" s="13">
        <v>70725.072287999996</v>
      </c>
      <c r="E3419" s="18">
        <v>21</v>
      </c>
      <c r="F3419" s="2">
        <f t="shared" si="106"/>
        <v>85577.337468479993</v>
      </c>
      <c r="G3419" s="3">
        <v>0</v>
      </c>
      <c r="H3419" s="4">
        <v>0.7</v>
      </c>
      <c r="I3419" s="28">
        <f t="shared" si="107"/>
        <v>145481.47369641598</v>
      </c>
    </row>
    <row r="3420" spans="1:9" ht="15.75" customHeight="1" x14ac:dyDescent="0.35">
      <c r="A3420" s="26" t="s">
        <v>1363</v>
      </c>
      <c r="B3420" s="25" t="s">
        <v>11787</v>
      </c>
      <c r="C3420" s="6" t="s">
        <v>568</v>
      </c>
      <c r="D3420" s="13">
        <v>273979.19133</v>
      </c>
      <c r="E3420" s="18">
        <v>21</v>
      </c>
      <c r="F3420" s="2">
        <f t="shared" si="106"/>
        <v>331514.82150930003</v>
      </c>
      <c r="G3420" s="3">
        <v>0</v>
      </c>
      <c r="H3420" s="4">
        <v>0.7</v>
      </c>
      <c r="I3420" s="28">
        <f t="shared" si="107"/>
        <v>563575.19656581001</v>
      </c>
    </row>
    <row r="3421" spans="1:9" ht="15.75" customHeight="1" x14ac:dyDescent="0.35">
      <c r="A3421" s="26" t="s">
        <v>9565</v>
      </c>
      <c r="B3421" s="25" t="s">
        <v>11788</v>
      </c>
      <c r="C3421" s="6" t="s">
        <v>9566</v>
      </c>
      <c r="D3421" s="13">
        <v>246744.79537499999</v>
      </c>
      <c r="E3421" s="18">
        <v>21</v>
      </c>
      <c r="F3421" s="2">
        <f t="shared" si="106"/>
        <v>298561.20240374998</v>
      </c>
      <c r="G3421" s="3">
        <v>0</v>
      </c>
      <c r="H3421" s="4">
        <v>0.7</v>
      </c>
      <c r="I3421" s="28">
        <f t="shared" si="107"/>
        <v>507554.04408637492</v>
      </c>
    </row>
    <row r="3422" spans="1:9" ht="15.75" customHeight="1" x14ac:dyDescent="0.35">
      <c r="A3422" s="26" t="s">
        <v>1542</v>
      </c>
      <c r="B3422" s="25" t="s">
        <v>11789</v>
      </c>
      <c r="C3422" s="6" t="s">
        <v>8803</v>
      </c>
      <c r="D3422" s="13">
        <v>883.58754250000004</v>
      </c>
      <c r="E3422" s="18">
        <v>21</v>
      </c>
      <c r="F3422" s="2">
        <f t="shared" si="106"/>
        <v>1069.1409264250001</v>
      </c>
      <c r="G3422" s="3">
        <v>0</v>
      </c>
      <c r="H3422" s="4">
        <v>0.7</v>
      </c>
      <c r="I3422" s="28">
        <f t="shared" si="107"/>
        <v>1817.5395749225002</v>
      </c>
    </row>
    <row r="3423" spans="1:9" ht="15.75" customHeight="1" x14ac:dyDescent="0.35">
      <c r="A3423" s="26" t="s">
        <v>1543</v>
      </c>
      <c r="B3423" s="25" t="s">
        <v>13187</v>
      </c>
      <c r="C3423" s="6" t="s">
        <v>8804</v>
      </c>
      <c r="D3423" s="13">
        <v>883.58754250000004</v>
      </c>
      <c r="E3423" s="18">
        <v>21</v>
      </c>
      <c r="F3423" s="2">
        <f t="shared" si="106"/>
        <v>1069.1409264250001</v>
      </c>
      <c r="G3423" s="3">
        <v>0</v>
      </c>
      <c r="H3423" s="4">
        <v>0.7</v>
      </c>
      <c r="I3423" s="28">
        <f t="shared" si="107"/>
        <v>1817.5395749225002</v>
      </c>
    </row>
    <row r="3424" spans="1:9" ht="15.75" customHeight="1" x14ac:dyDescent="0.35">
      <c r="A3424" s="26" t="s">
        <v>1544</v>
      </c>
      <c r="B3424" s="25" t="s">
        <v>12148</v>
      </c>
      <c r="C3424" s="6" t="s">
        <v>8805</v>
      </c>
      <c r="D3424" s="13">
        <v>1582.2381574999999</v>
      </c>
      <c r="E3424" s="18">
        <v>21</v>
      </c>
      <c r="F3424" s="2">
        <f t="shared" si="106"/>
        <v>1914.5081705749999</v>
      </c>
      <c r="G3424" s="3">
        <v>0</v>
      </c>
      <c r="H3424" s="4">
        <v>0.7</v>
      </c>
      <c r="I3424" s="28">
        <f t="shared" si="107"/>
        <v>3254.6638899774998</v>
      </c>
    </row>
    <row r="3425" spans="1:9" ht="15.75" customHeight="1" x14ac:dyDescent="0.35">
      <c r="A3425" s="26" t="s">
        <v>1545</v>
      </c>
      <c r="B3425" s="25" t="s">
        <v>12257</v>
      </c>
      <c r="C3425" s="6" t="s">
        <v>8806</v>
      </c>
      <c r="D3425" s="13">
        <v>1582.2381574999999</v>
      </c>
      <c r="E3425" s="18">
        <v>21</v>
      </c>
      <c r="F3425" s="2">
        <f t="shared" si="106"/>
        <v>1914.5081705749999</v>
      </c>
      <c r="G3425" s="3">
        <v>0</v>
      </c>
      <c r="H3425" s="4">
        <v>0.7</v>
      </c>
      <c r="I3425" s="28">
        <f t="shared" si="107"/>
        <v>3254.6638899774998</v>
      </c>
    </row>
    <row r="3426" spans="1:9" ht="15.75" customHeight="1" x14ac:dyDescent="0.35">
      <c r="A3426" s="26" t="s">
        <v>1546</v>
      </c>
      <c r="B3426" s="25" t="s">
        <v>12149</v>
      </c>
      <c r="C3426" s="6" t="s">
        <v>8737</v>
      </c>
      <c r="D3426" s="13">
        <v>2568.5684375000001</v>
      </c>
      <c r="E3426" s="18">
        <v>21</v>
      </c>
      <c r="F3426" s="2">
        <f t="shared" si="106"/>
        <v>3107.9678093749999</v>
      </c>
      <c r="G3426" s="3">
        <v>0</v>
      </c>
      <c r="H3426" s="4">
        <v>0.7</v>
      </c>
      <c r="I3426" s="28">
        <f t="shared" si="107"/>
        <v>5283.5452759374994</v>
      </c>
    </row>
    <row r="3427" spans="1:9" ht="15.75" customHeight="1" x14ac:dyDescent="0.35">
      <c r="A3427" s="26" t="s">
        <v>1547</v>
      </c>
      <c r="B3427" s="25" t="s">
        <v>12150</v>
      </c>
      <c r="C3427" s="6" t="s">
        <v>8738</v>
      </c>
      <c r="D3427" s="13">
        <v>2568.5684375000001</v>
      </c>
      <c r="E3427" s="18">
        <v>21</v>
      </c>
      <c r="F3427" s="2">
        <f t="shared" si="106"/>
        <v>3107.9678093749999</v>
      </c>
      <c r="G3427" s="3">
        <v>0</v>
      </c>
      <c r="H3427" s="4">
        <v>0.7</v>
      </c>
      <c r="I3427" s="28">
        <f t="shared" si="107"/>
        <v>5283.5452759374994</v>
      </c>
    </row>
    <row r="3428" spans="1:9" ht="15.75" customHeight="1" x14ac:dyDescent="0.35">
      <c r="A3428" s="26" t="s">
        <v>10507</v>
      </c>
      <c r="B3428" s="25" t="s">
        <v>11018</v>
      </c>
      <c r="C3428" s="6" t="s">
        <v>10508</v>
      </c>
      <c r="D3428" s="13">
        <v>4695.3431037500004</v>
      </c>
      <c r="E3428" s="18">
        <v>21</v>
      </c>
      <c r="F3428" s="2">
        <f t="shared" si="106"/>
        <v>5681.3651555375009</v>
      </c>
      <c r="G3428" s="3">
        <v>0</v>
      </c>
      <c r="H3428" s="4">
        <v>0.7</v>
      </c>
      <c r="I3428" s="28">
        <f t="shared" si="107"/>
        <v>9658.320764413751</v>
      </c>
    </row>
    <row r="3429" spans="1:9" ht="15.75" customHeight="1" x14ac:dyDescent="0.35">
      <c r="A3429" s="26" t="s">
        <v>1548</v>
      </c>
      <c r="B3429" s="25" t="s">
        <v>11019</v>
      </c>
      <c r="C3429" s="6" t="s">
        <v>569</v>
      </c>
      <c r="D3429" s="13">
        <v>3647.3671812499997</v>
      </c>
      <c r="E3429" s="18">
        <v>21</v>
      </c>
      <c r="F3429" s="2">
        <f t="shared" si="106"/>
        <v>4413.3142893124996</v>
      </c>
      <c r="G3429" s="3">
        <v>0</v>
      </c>
      <c r="H3429" s="4">
        <v>0.7</v>
      </c>
      <c r="I3429" s="28">
        <f t="shared" si="107"/>
        <v>7502.6342918312494</v>
      </c>
    </row>
    <row r="3430" spans="1:9" ht="15.75" customHeight="1" x14ac:dyDescent="0.35">
      <c r="A3430" s="26" t="s">
        <v>1549</v>
      </c>
      <c r="B3430" s="25" t="s">
        <v>12885</v>
      </c>
      <c r="C3430" s="6" t="s">
        <v>570</v>
      </c>
      <c r="D3430" s="13">
        <v>3647.3555295428509</v>
      </c>
      <c r="E3430" s="18">
        <v>21</v>
      </c>
      <c r="F3430" s="2">
        <f t="shared" si="106"/>
        <v>4413.3001907468497</v>
      </c>
      <c r="G3430" s="3">
        <v>0</v>
      </c>
      <c r="H3430" s="4">
        <v>0.7</v>
      </c>
      <c r="I3430" s="28">
        <f t="shared" si="107"/>
        <v>7502.6103242696445</v>
      </c>
    </row>
    <row r="3431" spans="1:9" ht="15.75" customHeight="1" x14ac:dyDescent="0.35">
      <c r="A3431" s="26" t="s">
        <v>1552</v>
      </c>
      <c r="B3431" s="25" t="s">
        <v>12151</v>
      </c>
      <c r="C3431" s="6" t="s">
        <v>12886</v>
      </c>
      <c r="D3431" s="13">
        <v>4171.3551424999996</v>
      </c>
      <c r="E3431" s="18">
        <v>21</v>
      </c>
      <c r="F3431" s="2">
        <f t="shared" si="106"/>
        <v>5047.3397224249993</v>
      </c>
      <c r="G3431" s="3">
        <v>0</v>
      </c>
      <c r="H3431" s="4">
        <v>0.7</v>
      </c>
      <c r="I3431" s="28">
        <f t="shared" si="107"/>
        <v>8580.4775281224993</v>
      </c>
    </row>
    <row r="3432" spans="1:9" ht="15.75" customHeight="1" x14ac:dyDescent="0.35">
      <c r="A3432" s="26" t="s">
        <v>1550</v>
      </c>
      <c r="B3432" s="25" t="s">
        <v>12258</v>
      </c>
      <c r="C3432" s="6" t="s">
        <v>8739</v>
      </c>
      <c r="D3432" s="13">
        <v>4171.3551424999996</v>
      </c>
      <c r="E3432" s="18">
        <v>21</v>
      </c>
      <c r="F3432" s="2">
        <f t="shared" si="106"/>
        <v>5047.3397224249993</v>
      </c>
      <c r="G3432" s="3">
        <v>0</v>
      </c>
      <c r="H3432" s="4">
        <v>0.7</v>
      </c>
      <c r="I3432" s="28">
        <f t="shared" si="107"/>
        <v>8580.4775281224993</v>
      </c>
    </row>
    <row r="3433" spans="1:9" ht="15.75" customHeight="1" x14ac:dyDescent="0.35">
      <c r="A3433" s="26" t="s">
        <v>1551</v>
      </c>
      <c r="B3433" s="25" t="s">
        <v>12152</v>
      </c>
      <c r="C3433" s="6" t="s">
        <v>8740</v>
      </c>
      <c r="D3433" s="13">
        <v>4171.3551424999996</v>
      </c>
      <c r="E3433" s="18">
        <v>21</v>
      </c>
      <c r="F3433" s="2">
        <f t="shared" si="106"/>
        <v>5047.3397224249993</v>
      </c>
      <c r="G3433" s="3">
        <v>0</v>
      </c>
      <c r="H3433" s="4">
        <v>0.7</v>
      </c>
      <c r="I3433" s="28">
        <f t="shared" si="107"/>
        <v>8580.4775281224993</v>
      </c>
    </row>
    <row r="3434" spans="1:9" ht="15.75" customHeight="1" x14ac:dyDescent="0.35">
      <c r="A3434" s="26" t="s">
        <v>1554</v>
      </c>
      <c r="B3434" s="25" t="s">
        <v>12724</v>
      </c>
      <c r="C3434" s="6" t="s">
        <v>571</v>
      </c>
      <c r="D3434" s="13">
        <v>5774.1418475</v>
      </c>
      <c r="E3434" s="18">
        <v>21</v>
      </c>
      <c r="F3434" s="2">
        <f t="shared" si="106"/>
        <v>6986.7116354749996</v>
      </c>
      <c r="G3434" s="3">
        <v>0</v>
      </c>
      <c r="H3434" s="4">
        <v>0.7</v>
      </c>
      <c r="I3434" s="28">
        <f t="shared" si="107"/>
        <v>11877.409780307498</v>
      </c>
    </row>
    <row r="3435" spans="1:9" ht="15.75" customHeight="1" x14ac:dyDescent="0.35">
      <c r="A3435" s="26" t="s">
        <v>1553</v>
      </c>
      <c r="B3435" s="25" t="s">
        <v>12153</v>
      </c>
      <c r="C3435" s="6" t="s">
        <v>8807</v>
      </c>
      <c r="D3435" s="13">
        <v>5774.1418475</v>
      </c>
      <c r="E3435" s="18">
        <v>21</v>
      </c>
      <c r="F3435" s="2">
        <f t="shared" si="106"/>
        <v>6986.7116354749996</v>
      </c>
      <c r="G3435" s="3">
        <v>0</v>
      </c>
      <c r="H3435" s="4">
        <v>0.7</v>
      </c>
      <c r="I3435" s="28">
        <f t="shared" si="107"/>
        <v>11877.409780307498</v>
      </c>
    </row>
    <row r="3436" spans="1:9" ht="15.75" customHeight="1" x14ac:dyDescent="0.35">
      <c r="A3436" s="26" t="s">
        <v>1556</v>
      </c>
      <c r="B3436" s="25" t="s">
        <v>12154</v>
      </c>
      <c r="C3436" s="6" t="s">
        <v>12619</v>
      </c>
      <c r="D3436" s="13">
        <v>13644.258003978633</v>
      </c>
      <c r="E3436" s="18">
        <v>21</v>
      </c>
      <c r="F3436" s="2">
        <f t="shared" si="106"/>
        <v>16509.552184814147</v>
      </c>
      <c r="G3436" s="3">
        <v>0</v>
      </c>
      <c r="H3436" s="4">
        <v>0.7</v>
      </c>
      <c r="I3436" s="28">
        <f t="shared" si="107"/>
        <v>28066.238714184048</v>
      </c>
    </row>
    <row r="3437" spans="1:9" ht="15.75" customHeight="1" x14ac:dyDescent="0.35">
      <c r="A3437" s="26" t="s">
        <v>1555</v>
      </c>
      <c r="B3437" s="25" t="s">
        <v>12259</v>
      </c>
      <c r="C3437" s="6" t="s">
        <v>12618</v>
      </c>
      <c r="D3437" s="13">
        <v>13644.23554</v>
      </c>
      <c r="E3437" s="18">
        <v>21</v>
      </c>
      <c r="F3437" s="2">
        <f t="shared" si="106"/>
        <v>16509.525003399998</v>
      </c>
      <c r="G3437" s="3">
        <v>0</v>
      </c>
      <c r="H3437" s="4">
        <v>0.7</v>
      </c>
      <c r="I3437" s="28">
        <f t="shared" si="107"/>
        <v>28066.192505779996</v>
      </c>
    </row>
    <row r="3438" spans="1:9" ht="15.75" customHeight="1" x14ac:dyDescent="0.35">
      <c r="A3438" s="26" t="s">
        <v>1557</v>
      </c>
      <c r="B3438" s="25" t="s">
        <v>12155</v>
      </c>
      <c r="C3438" s="6" t="s">
        <v>572</v>
      </c>
      <c r="D3438" s="13">
        <v>9816.2653388234103</v>
      </c>
      <c r="E3438" s="18">
        <v>21</v>
      </c>
      <c r="F3438" s="2">
        <f t="shared" si="106"/>
        <v>11877.681059976327</v>
      </c>
      <c r="G3438" s="3">
        <v>0</v>
      </c>
      <c r="H3438" s="4">
        <v>0.7</v>
      </c>
      <c r="I3438" s="28">
        <f t="shared" si="107"/>
        <v>20192.057801959756</v>
      </c>
    </row>
    <row r="3439" spans="1:9" ht="15.75" customHeight="1" x14ac:dyDescent="0.35">
      <c r="A3439" s="26" t="s">
        <v>1558</v>
      </c>
      <c r="B3439" s="25" t="s">
        <v>12260</v>
      </c>
      <c r="C3439" s="6" t="s">
        <v>573</v>
      </c>
      <c r="D3439" s="13">
        <v>9816.2591799999991</v>
      </c>
      <c r="E3439" s="18">
        <v>21</v>
      </c>
      <c r="F3439" s="2">
        <f t="shared" si="106"/>
        <v>11877.673607799999</v>
      </c>
      <c r="G3439" s="3">
        <v>0</v>
      </c>
      <c r="H3439" s="4">
        <v>0.7</v>
      </c>
      <c r="I3439" s="28">
        <f t="shared" si="107"/>
        <v>20192.045133259999</v>
      </c>
    </row>
    <row r="3440" spans="1:9" ht="15.75" customHeight="1" x14ac:dyDescent="0.35">
      <c r="A3440" s="26" t="s">
        <v>1560</v>
      </c>
      <c r="B3440" s="25" t="s">
        <v>12156</v>
      </c>
      <c r="C3440" s="6" t="s">
        <v>574</v>
      </c>
      <c r="D3440" s="13">
        <v>9816.2591799999991</v>
      </c>
      <c r="E3440" s="18">
        <v>21</v>
      </c>
      <c r="F3440" s="2">
        <f t="shared" si="106"/>
        <v>11877.673607799999</v>
      </c>
      <c r="G3440" s="3">
        <v>0</v>
      </c>
      <c r="H3440" s="4">
        <v>0.7</v>
      </c>
      <c r="I3440" s="28">
        <f t="shared" si="107"/>
        <v>20192.045133259999</v>
      </c>
    </row>
    <row r="3441" spans="1:9" ht="15.75" customHeight="1" x14ac:dyDescent="0.35">
      <c r="A3441" s="26" t="s">
        <v>1559</v>
      </c>
      <c r="B3441" s="25" t="s">
        <v>13411</v>
      </c>
      <c r="C3441" s="6" t="s">
        <v>10509</v>
      </c>
      <c r="D3441" s="13">
        <v>9816.2591799999991</v>
      </c>
      <c r="E3441" s="18">
        <v>21</v>
      </c>
      <c r="F3441" s="2">
        <f t="shared" si="106"/>
        <v>11877.673607799999</v>
      </c>
      <c r="G3441" s="3">
        <v>0</v>
      </c>
      <c r="H3441" s="4">
        <v>0.7</v>
      </c>
      <c r="I3441" s="28">
        <f t="shared" si="107"/>
        <v>20192.045133259999</v>
      </c>
    </row>
    <row r="3442" spans="1:9" ht="15.75" customHeight="1" x14ac:dyDescent="0.35">
      <c r="A3442" s="26" t="s">
        <v>1758</v>
      </c>
      <c r="B3442" s="25" t="s">
        <v>12157</v>
      </c>
      <c r="C3442" s="6" t="s">
        <v>12785</v>
      </c>
      <c r="D3442" s="13">
        <v>2205.2941820000001</v>
      </c>
      <c r="E3442" s="18">
        <v>21</v>
      </c>
      <c r="F3442" s="2">
        <f t="shared" si="106"/>
        <v>2668.40596022</v>
      </c>
      <c r="G3442" s="3">
        <v>0</v>
      </c>
      <c r="H3442" s="4">
        <v>0.7</v>
      </c>
      <c r="I3442" s="28">
        <f t="shared" si="107"/>
        <v>4536.2901323739998</v>
      </c>
    </row>
    <row r="3443" spans="1:9" ht="15.75" customHeight="1" x14ac:dyDescent="0.35">
      <c r="A3443" s="26" t="s">
        <v>1756</v>
      </c>
      <c r="B3443" s="25" t="s">
        <v>11020</v>
      </c>
      <c r="C3443" s="6" t="s">
        <v>13715</v>
      </c>
      <c r="D3443" s="13">
        <v>1363.224512</v>
      </c>
      <c r="E3443" s="18">
        <v>21</v>
      </c>
      <c r="F3443" s="2">
        <f t="shared" si="106"/>
        <v>1649.50165952</v>
      </c>
      <c r="G3443" s="3">
        <v>0</v>
      </c>
      <c r="H3443" s="4">
        <v>0.7</v>
      </c>
      <c r="I3443" s="28">
        <f t="shared" si="107"/>
        <v>2804.152821184</v>
      </c>
    </row>
    <row r="3444" spans="1:9" ht="15.75" customHeight="1" x14ac:dyDescent="0.35">
      <c r="A3444" s="26" t="s">
        <v>1762</v>
      </c>
      <c r="B3444" s="25" t="s">
        <v>12261</v>
      </c>
      <c r="C3444" s="6" t="s">
        <v>13241</v>
      </c>
      <c r="D3444" s="13">
        <v>2276.4327039999998</v>
      </c>
      <c r="E3444" s="18">
        <v>21</v>
      </c>
      <c r="F3444" s="2">
        <f t="shared" si="106"/>
        <v>2754.48357184</v>
      </c>
      <c r="G3444" s="3">
        <v>0</v>
      </c>
      <c r="H3444" s="4">
        <v>0.7</v>
      </c>
      <c r="I3444" s="28">
        <f t="shared" si="107"/>
        <v>4682.6220721279997</v>
      </c>
    </row>
    <row r="3445" spans="1:9" ht="15.75" customHeight="1" x14ac:dyDescent="0.35">
      <c r="A3445" s="26" t="s">
        <v>1757</v>
      </c>
      <c r="B3445" s="25" t="s">
        <v>12158</v>
      </c>
      <c r="C3445" s="6" t="s">
        <v>13716</v>
      </c>
      <c r="D3445" s="13">
        <v>1129.0379776</v>
      </c>
      <c r="E3445" s="18">
        <v>21</v>
      </c>
      <c r="F3445" s="2">
        <f t="shared" si="106"/>
        <v>1366.1359528959999</v>
      </c>
      <c r="G3445" s="3">
        <v>0</v>
      </c>
      <c r="H3445" s="4">
        <v>0.7</v>
      </c>
      <c r="I3445" s="28">
        <f t="shared" si="107"/>
        <v>2322.4311199231997</v>
      </c>
    </row>
    <row r="3446" spans="1:9" ht="15.75" customHeight="1" x14ac:dyDescent="0.35">
      <c r="A3446" s="26" t="s">
        <v>1760</v>
      </c>
      <c r="B3446" s="25" t="s">
        <v>12262</v>
      </c>
      <c r="C3446" s="6" t="s">
        <v>9194</v>
      </c>
      <c r="D3446" s="13">
        <v>519.14200864372503</v>
      </c>
      <c r="E3446" s="18">
        <v>21</v>
      </c>
      <c r="F3446" s="2">
        <f t="shared" si="106"/>
        <v>628.16183045890727</v>
      </c>
      <c r="G3446" s="3">
        <v>0</v>
      </c>
      <c r="H3446" s="4">
        <v>0.7</v>
      </c>
      <c r="I3446" s="28">
        <f t="shared" si="107"/>
        <v>1067.8751117801423</v>
      </c>
    </row>
    <row r="3447" spans="1:9" ht="15.75" customHeight="1" x14ac:dyDescent="0.35">
      <c r="A3447" s="26" t="s">
        <v>1761</v>
      </c>
      <c r="B3447" s="25" t="s">
        <v>12159</v>
      </c>
      <c r="C3447" s="6" t="s">
        <v>13717</v>
      </c>
      <c r="D3447" s="13">
        <v>3516.3191934000001</v>
      </c>
      <c r="E3447" s="18">
        <v>21</v>
      </c>
      <c r="F3447" s="2">
        <f t="shared" si="106"/>
        <v>4254.7462240140003</v>
      </c>
      <c r="G3447" s="3">
        <v>0</v>
      </c>
      <c r="H3447" s="4">
        <v>0.7</v>
      </c>
      <c r="I3447" s="28">
        <f t="shared" si="107"/>
        <v>7233.0685808238004</v>
      </c>
    </row>
    <row r="3448" spans="1:9" ht="15.75" customHeight="1" x14ac:dyDescent="0.35">
      <c r="A3448" s="26" t="s">
        <v>1763</v>
      </c>
      <c r="B3448" s="25" t="s">
        <v>10679</v>
      </c>
      <c r="C3448" s="6" t="s">
        <v>9196</v>
      </c>
      <c r="D3448" s="13">
        <v>656.19590400000004</v>
      </c>
      <c r="E3448" s="18">
        <v>21</v>
      </c>
      <c r="F3448" s="2">
        <f t="shared" si="106"/>
        <v>793.99704384000006</v>
      </c>
      <c r="G3448" s="3">
        <v>0</v>
      </c>
      <c r="H3448" s="4">
        <v>0.7</v>
      </c>
      <c r="I3448" s="28">
        <f t="shared" si="107"/>
        <v>1349.794974528</v>
      </c>
    </row>
    <row r="3449" spans="1:9" ht="15.75" customHeight="1" x14ac:dyDescent="0.35">
      <c r="A3449" s="26" t="s">
        <v>1764</v>
      </c>
      <c r="B3449" s="25" t="s">
        <v>13412</v>
      </c>
      <c r="C3449" s="6" t="s">
        <v>9197</v>
      </c>
      <c r="D3449" s="13">
        <v>552.38863419999996</v>
      </c>
      <c r="E3449" s="18">
        <v>21</v>
      </c>
      <c r="F3449" s="2">
        <f t="shared" si="106"/>
        <v>668.39024738199998</v>
      </c>
      <c r="G3449" s="3">
        <v>0</v>
      </c>
      <c r="H3449" s="4">
        <v>0.7</v>
      </c>
      <c r="I3449" s="28">
        <f t="shared" si="107"/>
        <v>1136.2634205494001</v>
      </c>
    </row>
    <row r="3450" spans="1:9" ht="15.75" customHeight="1" x14ac:dyDescent="0.35">
      <c r="A3450" s="26" t="s">
        <v>1765</v>
      </c>
      <c r="B3450" s="25" t="s">
        <v>12160</v>
      </c>
      <c r="C3450" s="6" t="s">
        <v>13718</v>
      </c>
      <c r="D3450" s="13">
        <v>792.82270600000004</v>
      </c>
      <c r="E3450" s="18">
        <v>21</v>
      </c>
      <c r="F3450" s="2">
        <f t="shared" si="106"/>
        <v>959.31547426000009</v>
      </c>
      <c r="G3450" s="3">
        <v>0</v>
      </c>
      <c r="H3450" s="4">
        <v>0.7</v>
      </c>
      <c r="I3450" s="28">
        <f t="shared" si="107"/>
        <v>1630.8363062420001</v>
      </c>
    </row>
    <row r="3451" spans="1:9" ht="15.75" customHeight="1" x14ac:dyDescent="0.35">
      <c r="A3451" s="26" t="s">
        <v>9421</v>
      </c>
      <c r="B3451" s="25" t="s">
        <v>11021</v>
      </c>
      <c r="C3451" s="6" t="s">
        <v>9422</v>
      </c>
      <c r="D3451" s="13">
        <v>227.0112</v>
      </c>
      <c r="E3451" s="18">
        <v>21</v>
      </c>
      <c r="F3451" s="2">
        <f t="shared" si="106"/>
        <v>274.68355200000002</v>
      </c>
      <c r="G3451" s="3">
        <v>0</v>
      </c>
      <c r="H3451" s="4">
        <v>0.7</v>
      </c>
      <c r="I3451" s="28">
        <f t="shared" si="107"/>
        <v>466.96203840000004</v>
      </c>
    </row>
    <row r="3452" spans="1:9" ht="15.75" customHeight="1" x14ac:dyDescent="0.35">
      <c r="A3452" s="26" t="s">
        <v>9696</v>
      </c>
      <c r="B3452" s="25" t="s">
        <v>12559</v>
      </c>
      <c r="C3452" s="6" t="s">
        <v>9697</v>
      </c>
      <c r="D3452" s="13">
        <v>227.0112</v>
      </c>
      <c r="E3452" s="18">
        <v>21</v>
      </c>
      <c r="F3452" s="2">
        <f t="shared" si="106"/>
        <v>274.68355200000002</v>
      </c>
      <c r="G3452" s="3">
        <v>0</v>
      </c>
      <c r="H3452" s="4">
        <v>0.7</v>
      </c>
      <c r="I3452" s="28">
        <f t="shared" si="107"/>
        <v>466.96203840000004</v>
      </c>
    </row>
    <row r="3453" spans="1:9" ht="15.75" customHeight="1" x14ac:dyDescent="0.35">
      <c r="A3453" s="26" t="s">
        <v>1581</v>
      </c>
      <c r="B3453" s="25" t="s">
        <v>11022</v>
      </c>
      <c r="C3453" s="6" t="s">
        <v>8775</v>
      </c>
      <c r="D3453" s="13">
        <v>6768.8497031999996</v>
      </c>
      <c r="E3453" s="18">
        <v>21</v>
      </c>
      <c r="F3453" s="2">
        <f t="shared" si="106"/>
        <v>8190.3081408719991</v>
      </c>
      <c r="G3453" s="3">
        <v>0</v>
      </c>
      <c r="H3453" s="4">
        <v>0.7</v>
      </c>
      <c r="I3453" s="28">
        <f t="shared" si="107"/>
        <v>13923.523839482397</v>
      </c>
    </row>
    <row r="3454" spans="1:9" ht="15.75" customHeight="1" x14ac:dyDescent="0.35">
      <c r="A3454" s="26" t="s">
        <v>13629</v>
      </c>
      <c r="B3454" s="25" t="s">
        <v>12161</v>
      </c>
      <c r="C3454" s="6" t="s">
        <v>13630</v>
      </c>
      <c r="D3454" s="13">
        <v>12018.24</v>
      </c>
      <c r="E3454" s="18">
        <v>21</v>
      </c>
      <c r="F3454" s="2">
        <f t="shared" si="106"/>
        <v>14542.070400000001</v>
      </c>
      <c r="G3454" s="3">
        <v>0</v>
      </c>
      <c r="H3454" s="4">
        <v>0.7</v>
      </c>
      <c r="I3454" s="28">
        <f t="shared" si="107"/>
        <v>24721.519680000001</v>
      </c>
    </row>
    <row r="3455" spans="1:9" ht="15.75" customHeight="1" x14ac:dyDescent="0.35">
      <c r="A3455" s="26" t="s">
        <v>13631</v>
      </c>
      <c r="B3455" s="25" t="s">
        <v>12263</v>
      </c>
      <c r="C3455" s="6" t="s">
        <v>13632</v>
      </c>
      <c r="D3455" s="13">
        <v>15262.747499999999</v>
      </c>
      <c r="E3455" s="18">
        <v>21</v>
      </c>
      <c r="F3455" s="2">
        <f t="shared" si="106"/>
        <v>18467.924475</v>
      </c>
      <c r="G3455" s="3">
        <v>0</v>
      </c>
      <c r="H3455" s="4">
        <v>0.7</v>
      </c>
      <c r="I3455" s="28">
        <f t="shared" si="107"/>
        <v>31395.4716075</v>
      </c>
    </row>
    <row r="3456" spans="1:9" ht="15.75" customHeight="1" x14ac:dyDescent="0.35">
      <c r="A3456" s="26" t="s">
        <v>1582</v>
      </c>
      <c r="B3456" s="25" t="s">
        <v>12264</v>
      </c>
      <c r="C3456" s="6" t="s">
        <v>13218</v>
      </c>
      <c r="D3456" s="13">
        <v>13565.526205607999</v>
      </c>
      <c r="E3456" s="18">
        <v>21</v>
      </c>
      <c r="F3456" s="2">
        <f t="shared" si="106"/>
        <v>16414.286708785679</v>
      </c>
      <c r="G3456" s="3">
        <v>0</v>
      </c>
      <c r="H3456" s="4">
        <v>0.7</v>
      </c>
      <c r="I3456" s="28">
        <f t="shared" si="107"/>
        <v>27904.287404935654</v>
      </c>
    </row>
    <row r="3457" spans="1:9" ht="15.75" customHeight="1" x14ac:dyDescent="0.35">
      <c r="A3457" s="26" t="s">
        <v>1583</v>
      </c>
      <c r="B3457" s="25" t="s">
        <v>12162</v>
      </c>
      <c r="C3457" s="6" t="s">
        <v>13219</v>
      </c>
      <c r="D3457" s="13">
        <v>16961.367350304001</v>
      </c>
      <c r="E3457" s="18">
        <v>21</v>
      </c>
      <c r="F3457" s="2">
        <f t="shared" si="106"/>
        <v>20523.25449386784</v>
      </c>
      <c r="G3457" s="3">
        <v>0</v>
      </c>
      <c r="H3457" s="4">
        <v>0.7</v>
      </c>
      <c r="I3457" s="28">
        <f t="shared" si="107"/>
        <v>34889.532639575329</v>
      </c>
    </row>
    <row r="3458" spans="1:9" ht="15.75" customHeight="1" x14ac:dyDescent="0.35">
      <c r="A3458" s="26" t="s">
        <v>1584</v>
      </c>
      <c r="B3458" s="25" t="s">
        <v>13340</v>
      </c>
      <c r="C3458" s="6" t="s">
        <v>575</v>
      </c>
      <c r="D3458" s="13">
        <v>4678.3669920000002</v>
      </c>
      <c r="E3458" s="18">
        <v>21</v>
      </c>
      <c r="F3458" s="2">
        <f t="shared" si="106"/>
        <v>5660.8240603200002</v>
      </c>
      <c r="G3458" s="3">
        <v>0</v>
      </c>
      <c r="H3458" s="4">
        <v>0.7</v>
      </c>
      <c r="I3458" s="28">
        <f t="shared" si="107"/>
        <v>9623.4009025440009</v>
      </c>
    </row>
    <row r="3459" spans="1:9" ht="15.75" customHeight="1" x14ac:dyDescent="0.35">
      <c r="A3459" s="26" t="s">
        <v>9457</v>
      </c>
      <c r="B3459" s="25" t="s">
        <v>12333</v>
      </c>
      <c r="C3459" s="6" t="s">
        <v>9917</v>
      </c>
      <c r="D3459" s="13">
        <v>13069.089033</v>
      </c>
      <c r="E3459" s="18">
        <v>21</v>
      </c>
      <c r="F3459" s="2">
        <f t="shared" si="106"/>
        <v>15813.597729929999</v>
      </c>
      <c r="G3459" s="3">
        <v>0</v>
      </c>
      <c r="H3459" s="4">
        <v>0.7</v>
      </c>
      <c r="I3459" s="28">
        <f t="shared" si="107"/>
        <v>26883.116140880997</v>
      </c>
    </row>
    <row r="3460" spans="1:9" ht="15.75" customHeight="1" x14ac:dyDescent="0.35">
      <c r="A3460" s="26" t="s">
        <v>9458</v>
      </c>
      <c r="B3460" s="25" t="s">
        <v>12265</v>
      </c>
      <c r="C3460" s="6" t="s">
        <v>9918</v>
      </c>
      <c r="D3460" s="13">
        <v>16465.6126635</v>
      </c>
      <c r="E3460" s="18">
        <v>21</v>
      </c>
      <c r="F3460" s="2">
        <f t="shared" si="106"/>
        <v>19923.391322834999</v>
      </c>
      <c r="G3460" s="3">
        <v>0</v>
      </c>
      <c r="H3460" s="4">
        <v>0.7</v>
      </c>
      <c r="I3460" s="28">
        <f t="shared" si="107"/>
        <v>33869.765248819494</v>
      </c>
    </row>
    <row r="3461" spans="1:9" ht="15.75" customHeight="1" x14ac:dyDescent="0.35">
      <c r="A3461" s="26" t="s">
        <v>9459</v>
      </c>
      <c r="B3461" s="25" t="s">
        <v>12163</v>
      </c>
      <c r="C3461" s="6" t="s">
        <v>9919</v>
      </c>
      <c r="D3461" s="13">
        <v>20363.320549</v>
      </c>
      <c r="E3461" s="18">
        <v>21</v>
      </c>
      <c r="F3461" s="2">
        <f t="shared" si="106"/>
        <v>24639.617864289998</v>
      </c>
      <c r="G3461" s="3">
        <v>0</v>
      </c>
      <c r="H3461" s="4">
        <v>0.7</v>
      </c>
      <c r="I3461" s="28">
        <f t="shared" si="107"/>
        <v>41887.350369292995</v>
      </c>
    </row>
    <row r="3462" spans="1:9" ht="15.75" customHeight="1" x14ac:dyDescent="0.35">
      <c r="A3462" s="26" t="s">
        <v>1597</v>
      </c>
      <c r="B3462" s="25" t="s">
        <v>13109</v>
      </c>
      <c r="C3462" s="6" t="s">
        <v>12656</v>
      </c>
      <c r="D3462" s="13">
        <v>10260.711499999999</v>
      </c>
      <c r="E3462" s="18">
        <v>21</v>
      </c>
      <c r="F3462" s="2">
        <f t="shared" ref="F3462:F3525" si="108">D3462*E3462/100+D3462</f>
        <v>12415.460915</v>
      </c>
      <c r="G3462" s="3">
        <v>0</v>
      </c>
      <c r="H3462" s="4">
        <v>0.7</v>
      </c>
      <c r="I3462" s="28">
        <f t="shared" ref="I3462:I3525" si="109">IF(G3462=-1,0,F3462*((100-G3462)/100)*(1+H3462))</f>
        <v>21106.283555499998</v>
      </c>
    </row>
    <row r="3463" spans="1:9" ht="15.75" customHeight="1" x14ac:dyDescent="0.35">
      <c r="A3463" s="26" t="s">
        <v>9460</v>
      </c>
      <c r="B3463" s="25" t="s">
        <v>12164</v>
      </c>
      <c r="C3463" s="6" t="s">
        <v>9920</v>
      </c>
      <c r="D3463" s="13">
        <v>13069.089033</v>
      </c>
      <c r="E3463" s="18">
        <v>21</v>
      </c>
      <c r="F3463" s="2">
        <f t="shared" si="108"/>
        <v>15813.597729929999</v>
      </c>
      <c r="G3463" s="3">
        <v>0</v>
      </c>
      <c r="H3463" s="4">
        <v>0.7</v>
      </c>
      <c r="I3463" s="28">
        <f t="shared" si="109"/>
        <v>26883.116140880997</v>
      </c>
    </row>
    <row r="3464" spans="1:9" ht="15.75" customHeight="1" x14ac:dyDescent="0.35">
      <c r="A3464" s="26" t="s">
        <v>1586</v>
      </c>
      <c r="B3464" s="25" t="s">
        <v>12165</v>
      </c>
      <c r="C3464" s="6" t="s">
        <v>10510</v>
      </c>
      <c r="D3464" s="13">
        <v>9938.1211429499999</v>
      </c>
      <c r="E3464" s="18">
        <v>21</v>
      </c>
      <c r="F3464" s="2">
        <f t="shared" si="108"/>
        <v>12025.1265829695</v>
      </c>
      <c r="G3464" s="3">
        <v>0</v>
      </c>
      <c r="H3464" s="4">
        <v>0.7</v>
      </c>
      <c r="I3464" s="28">
        <f t="shared" si="109"/>
        <v>20442.715191048152</v>
      </c>
    </row>
    <row r="3465" spans="1:9" ht="15.75" customHeight="1" x14ac:dyDescent="0.35">
      <c r="A3465" s="26" t="s">
        <v>1572</v>
      </c>
      <c r="B3465" s="25" t="s">
        <v>12166</v>
      </c>
      <c r="C3465" s="6" t="s">
        <v>10682</v>
      </c>
      <c r="D3465" s="13">
        <v>15875.7090483833</v>
      </c>
      <c r="E3465" s="18">
        <v>21</v>
      </c>
      <c r="F3465" s="2">
        <f t="shared" si="108"/>
        <v>19209.607948543795</v>
      </c>
      <c r="G3465" s="3">
        <v>0</v>
      </c>
      <c r="H3465" s="4">
        <v>0.7</v>
      </c>
      <c r="I3465" s="28">
        <f t="shared" si="109"/>
        <v>32656.333512524452</v>
      </c>
    </row>
    <row r="3466" spans="1:9" ht="15.75" customHeight="1" x14ac:dyDescent="0.35">
      <c r="A3466" s="26" t="s">
        <v>1595</v>
      </c>
      <c r="B3466" s="25" t="s">
        <v>9890</v>
      </c>
      <c r="C3466" s="6" t="s">
        <v>13779</v>
      </c>
      <c r="D3466" s="13">
        <v>10744.3523855491</v>
      </c>
      <c r="E3466" s="18">
        <v>21</v>
      </c>
      <c r="F3466" s="2">
        <f t="shared" si="108"/>
        <v>13000.666386514411</v>
      </c>
      <c r="G3466" s="3">
        <v>0</v>
      </c>
      <c r="H3466" s="4">
        <v>0.7</v>
      </c>
      <c r="I3466" s="28">
        <f t="shared" si="109"/>
        <v>22101.132857074499</v>
      </c>
    </row>
    <row r="3467" spans="1:9" ht="15.75" customHeight="1" x14ac:dyDescent="0.35">
      <c r="A3467" s="26" t="s">
        <v>1574</v>
      </c>
      <c r="B3467" s="25" t="s">
        <v>12167</v>
      </c>
      <c r="C3467" s="6" t="s">
        <v>13775</v>
      </c>
      <c r="D3467" s="13">
        <v>13439.1065448604</v>
      </c>
      <c r="E3467" s="18">
        <v>21</v>
      </c>
      <c r="F3467" s="2">
        <f t="shared" si="108"/>
        <v>16261.318919281084</v>
      </c>
      <c r="G3467" s="3">
        <v>0</v>
      </c>
      <c r="H3467" s="4">
        <v>0.7</v>
      </c>
      <c r="I3467" s="28">
        <f t="shared" si="109"/>
        <v>27644.242162777842</v>
      </c>
    </row>
    <row r="3468" spans="1:9" ht="15.75" customHeight="1" x14ac:dyDescent="0.35">
      <c r="A3468" s="26" t="s">
        <v>1575</v>
      </c>
      <c r="B3468" s="25" t="s">
        <v>9891</v>
      </c>
      <c r="C3468" s="6" t="s">
        <v>13776</v>
      </c>
      <c r="D3468" s="13">
        <v>16517.540396195302</v>
      </c>
      <c r="E3468" s="18">
        <v>21</v>
      </c>
      <c r="F3468" s="2">
        <f t="shared" si="108"/>
        <v>19986.223879396315</v>
      </c>
      <c r="G3468" s="3">
        <v>0</v>
      </c>
      <c r="H3468" s="4">
        <v>0.7</v>
      </c>
      <c r="I3468" s="28">
        <f t="shared" si="109"/>
        <v>33976.580594973733</v>
      </c>
    </row>
    <row r="3469" spans="1:9" ht="15.75" customHeight="1" x14ac:dyDescent="0.35">
      <c r="A3469" s="26" t="s">
        <v>1576</v>
      </c>
      <c r="B3469" s="25" t="s">
        <v>12168</v>
      </c>
      <c r="C3469" s="6" t="s">
        <v>13777</v>
      </c>
      <c r="D3469" s="13">
        <v>22019.340585916401</v>
      </c>
      <c r="E3469" s="18">
        <v>21</v>
      </c>
      <c r="F3469" s="2">
        <f t="shared" si="108"/>
        <v>26643.402108958846</v>
      </c>
      <c r="G3469" s="3">
        <v>0</v>
      </c>
      <c r="H3469" s="4">
        <v>0.7</v>
      </c>
      <c r="I3469" s="28">
        <f t="shared" si="109"/>
        <v>45293.783585230034</v>
      </c>
    </row>
    <row r="3470" spans="1:9" ht="15.75" customHeight="1" x14ac:dyDescent="0.35">
      <c r="A3470" s="26" t="s">
        <v>1590</v>
      </c>
      <c r="B3470" s="25" t="s">
        <v>9892</v>
      </c>
      <c r="C3470" s="6" t="s">
        <v>1144</v>
      </c>
      <c r="D3470" s="13">
        <v>4909.5887489999996</v>
      </c>
      <c r="E3470" s="18">
        <v>21</v>
      </c>
      <c r="F3470" s="2">
        <f t="shared" si="108"/>
        <v>5940.6023862899992</v>
      </c>
      <c r="G3470" s="3">
        <v>0</v>
      </c>
      <c r="H3470" s="4">
        <v>0.7</v>
      </c>
      <c r="I3470" s="28">
        <f t="shared" si="109"/>
        <v>10099.024056692999</v>
      </c>
    </row>
    <row r="3471" spans="1:9" ht="15.75" customHeight="1" x14ac:dyDescent="0.35">
      <c r="A3471" s="26" t="s">
        <v>1580</v>
      </c>
      <c r="B3471" s="25" t="s">
        <v>12334</v>
      </c>
      <c r="C3471" s="6" t="s">
        <v>13778</v>
      </c>
      <c r="D3471" s="13">
        <v>15188.0794995571</v>
      </c>
      <c r="E3471" s="18">
        <v>21</v>
      </c>
      <c r="F3471" s="2">
        <f t="shared" si="108"/>
        <v>18377.576194464091</v>
      </c>
      <c r="G3471" s="3">
        <v>0</v>
      </c>
      <c r="H3471" s="4">
        <v>0.7</v>
      </c>
      <c r="I3471" s="28">
        <f t="shared" si="109"/>
        <v>31241.879530588954</v>
      </c>
    </row>
    <row r="3472" spans="1:9" ht="15.75" customHeight="1" x14ac:dyDescent="0.35">
      <c r="A3472" s="26" t="s">
        <v>1599</v>
      </c>
      <c r="B3472" s="25" t="s">
        <v>9893</v>
      </c>
      <c r="C3472" s="6" t="s">
        <v>1008</v>
      </c>
      <c r="D3472" s="13">
        <v>4820.8525747200001</v>
      </c>
      <c r="E3472" s="18">
        <v>21</v>
      </c>
      <c r="F3472" s="2">
        <f t="shared" si="108"/>
        <v>5833.2316154112004</v>
      </c>
      <c r="G3472" s="3">
        <v>0</v>
      </c>
      <c r="H3472" s="4">
        <v>0.7</v>
      </c>
      <c r="I3472" s="28">
        <f t="shared" si="109"/>
        <v>9916.4937461990412</v>
      </c>
    </row>
    <row r="3473" spans="1:9" ht="15.75" customHeight="1" x14ac:dyDescent="0.35">
      <c r="A3473" s="26" t="s">
        <v>1591</v>
      </c>
      <c r="B3473" s="25" t="s">
        <v>12169</v>
      </c>
      <c r="C3473" s="6" t="s">
        <v>13220</v>
      </c>
      <c r="D3473" s="13">
        <v>8480.2423052880004</v>
      </c>
      <c r="E3473" s="18">
        <v>21</v>
      </c>
      <c r="F3473" s="2">
        <f t="shared" si="108"/>
        <v>10261.09318939848</v>
      </c>
      <c r="G3473" s="3">
        <v>0</v>
      </c>
      <c r="H3473" s="4">
        <v>0.7</v>
      </c>
      <c r="I3473" s="28">
        <f t="shared" si="109"/>
        <v>17443.858421977417</v>
      </c>
    </row>
    <row r="3474" spans="1:9" ht="15.75" customHeight="1" x14ac:dyDescent="0.35">
      <c r="A3474" s="26" t="s">
        <v>1600</v>
      </c>
      <c r="B3474" s="25" t="s">
        <v>9894</v>
      </c>
      <c r="C3474" s="6" t="s">
        <v>577</v>
      </c>
      <c r="D3474" s="13">
        <v>5484.395529288</v>
      </c>
      <c r="E3474" s="18">
        <v>21</v>
      </c>
      <c r="F3474" s="2">
        <f t="shared" si="108"/>
        <v>6636.1185904384802</v>
      </c>
      <c r="G3474" s="3">
        <v>0</v>
      </c>
      <c r="H3474" s="4">
        <v>0.7</v>
      </c>
      <c r="I3474" s="28">
        <f t="shared" si="109"/>
        <v>11281.401603745417</v>
      </c>
    </row>
    <row r="3475" spans="1:9" ht="15.75" customHeight="1" x14ac:dyDescent="0.35">
      <c r="A3475" s="26" t="s">
        <v>1601</v>
      </c>
      <c r="B3475" s="25" t="s">
        <v>12170</v>
      </c>
      <c r="C3475" s="6" t="s">
        <v>9461</v>
      </c>
      <c r="D3475" s="13">
        <v>5593.320143424</v>
      </c>
      <c r="E3475" s="18">
        <v>21</v>
      </c>
      <c r="F3475" s="2">
        <f t="shared" si="108"/>
        <v>6767.9173735430395</v>
      </c>
      <c r="G3475" s="3">
        <v>0</v>
      </c>
      <c r="H3475" s="4">
        <v>0.7</v>
      </c>
      <c r="I3475" s="28">
        <f t="shared" si="109"/>
        <v>11505.459535023167</v>
      </c>
    </row>
    <row r="3476" spans="1:9" ht="15.75" customHeight="1" x14ac:dyDescent="0.35">
      <c r="A3476" s="26" t="s">
        <v>1602</v>
      </c>
      <c r="B3476" s="25" t="s">
        <v>9895</v>
      </c>
      <c r="C3476" s="6" t="s">
        <v>9462</v>
      </c>
      <c r="D3476" s="13">
        <v>6237.3881409839996</v>
      </c>
      <c r="E3476" s="18">
        <v>21</v>
      </c>
      <c r="F3476" s="2">
        <f t="shared" si="108"/>
        <v>7547.2396505906399</v>
      </c>
      <c r="G3476" s="3">
        <v>0</v>
      </c>
      <c r="H3476" s="4">
        <v>0.7</v>
      </c>
      <c r="I3476" s="28">
        <f t="shared" si="109"/>
        <v>12830.307406004087</v>
      </c>
    </row>
    <row r="3477" spans="1:9" ht="15.75" customHeight="1" x14ac:dyDescent="0.35">
      <c r="A3477" s="26" t="s">
        <v>1592</v>
      </c>
      <c r="B3477" s="25" t="s">
        <v>11023</v>
      </c>
      <c r="C3477" s="6" t="s">
        <v>13221</v>
      </c>
      <c r="D3477" s="13">
        <v>9453.3183360719995</v>
      </c>
      <c r="E3477" s="18">
        <v>21</v>
      </c>
      <c r="F3477" s="2">
        <f t="shared" si="108"/>
        <v>11438.515186647119</v>
      </c>
      <c r="G3477" s="3">
        <v>0</v>
      </c>
      <c r="H3477" s="4">
        <v>0.7</v>
      </c>
      <c r="I3477" s="28">
        <f t="shared" si="109"/>
        <v>19445.475817300103</v>
      </c>
    </row>
    <row r="3478" spans="1:9" ht="15.75" customHeight="1" x14ac:dyDescent="0.35">
      <c r="A3478" s="26" t="s">
        <v>1604</v>
      </c>
      <c r="B3478" s="25" t="s">
        <v>11024</v>
      </c>
      <c r="C3478" s="6" t="s">
        <v>12048</v>
      </c>
      <c r="D3478" s="13">
        <v>6446.9216485440002</v>
      </c>
      <c r="E3478" s="18">
        <v>21</v>
      </c>
      <c r="F3478" s="2">
        <f t="shared" si="108"/>
        <v>7800.7751947382403</v>
      </c>
      <c r="G3478" s="3">
        <v>0</v>
      </c>
      <c r="H3478" s="4">
        <v>0.7</v>
      </c>
      <c r="I3478" s="28">
        <f t="shared" si="109"/>
        <v>13261.317831055008</v>
      </c>
    </row>
    <row r="3479" spans="1:9" ht="15.75" customHeight="1" x14ac:dyDescent="0.35">
      <c r="A3479" s="26" t="s">
        <v>1603</v>
      </c>
      <c r="B3479" s="25" t="s">
        <v>12990</v>
      </c>
      <c r="C3479" s="6" t="s">
        <v>578</v>
      </c>
      <c r="D3479" s="13">
        <v>7090.3725094800002</v>
      </c>
      <c r="E3479" s="18">
        <v>21</v>
      </c>
      <c r="F3479" s="2">
        <f t="shared" si="108"/>
        <v>8579.3507364708003</v>
      </c>
      <c r="G3479" s="3">
        <v>0</v>
      </c>
      <c r="H3479" s="4">
        <v>0.7</v>
      </c>
      <c r="I3479" s="28">
        <f t="shared" si="109"/>
        <v>14584.896252000361</v>
      </c>
    </row>
    <row r="3480" spans="1:9" ht="15.75" customHeight="1" x14ac:dyDescent="0.35">
      <c r="A3480" s="26" t="s">
        <v>1593</v>
      </c>
      <c r="B3480" s="25" t="s">
        <v>559</v>
      </c>
      <c r="C3480" s="6" t="s">
        <v>13222</v>
      </c>
      <c r="D3480" s="13">
        <v>10300.037596056</v>
      </c>
      <c r="E3480" s="18">
        <v>21</v>
      </c>
      <c r="F3480" s="2">
        <f t="shared" si="108"/>
        <v>12463.04549122776</v>
      </c>
      <c r="G3480" s="3">
        <v>0</v>
      </c>
      <c r="H3480" s="4">
        <v>0.7</v>
      </c>
      <c r="I3480" s="28">
        <f t="shared" si="109"/>
        <v>21187.177335087192</v>
      </c>
    </row>
    <row r="3481" spans="1:9" ht="15.75" customHeight="1" x14ac:dyDescent="0.35">
      <c r="A3481" s="26" t="s">
        <v>2883</v>
      </c>
      <c r="B3481" s="25" t="s">
        <v>10502</v>
      </c>
      <c r="C3481" s="6" t="s">
        <v>579</v>
      </c>
      <c r="D3481" s="13">
        <v>4342.2325375</v>
      </c>
      <c r="E3481" s="18">
        <v>21</v>
      </c>
      <c r="F3481" s="2">
        <f t="shared" si="108"/>
        <v>5254.1013703750004</v>
      </c>
      <c r="G3481" s="3">
        <v>0</v>
      </c>
      <c r="H3481" s="4">
        <v>0.7</v>
      </c>
      <c r="I3481" s="28">
        <f t="shared" si="109"/>
        <v>8931.9723296375014</v>
      </c>
    </row>
    <row r="3482" spans="1:9" ht="15.75" customHeight="1" x14ac:dyDescent="0.35">
      <c r="A3482" s="26" t="s">
        <v>1337</v>
      </c>
      <c r="B3482" s="25" t="s">
        <v>10503</v>
      </c>
      <c r="C3482" s="6" t="s">
        <v>1009</v>
      </c>
      <c r="D3482" s="13">
        <v>30468.683247181529</v>
      </c>
      <c r="E3482" s="18">
        <v>21</v>
      </c>
      <c r="F3482" s="2">
        <f t="shared" si="108"/>
        <v>36867.106729089646</v>
      </c>
      <c r="G3482" s="3">
        <v>0</v>
      </c>
      <c r="H3482" s="4">
        <v>0.7</v>
      </c>
      <c r="I3482" s="28">
        <f t="shared" si="109"/>
        <v>62674.081439452399</v>
      </c>
    </row>
    <row r="3483" spans="1:9" ht="15.75" customHeight="1" x14ac:dyDescent="0.35">
      <c r="A3483" s="26" t="s">
        <v>5845</v>
      </c>
      <c r="B3483" s="25" t="s">
        <v>10504</v>
      </c>
      <c r="C3483" s="6" t="s">
        <v>12726</v>
      </c>
      <c r="D3483" s="13">
        <v>24658.257000000001</v>
      </c>
      <c r="E3483" s="18">
        <v>21</v>
      </c>
      <c r="F3483" s="2">
        <f t="shared" si="108"/>
        <v>29836.490970000003</v>
      </c>
      <c r="G3483" s="3">
        <v>0</v>
      </c>
      <c r="H3483" s="4">
        <v>0.7</v>
      </c>
      <c r="I3483" s="28">
        <f t="shared" si="109"/>
        <v>50722.034649000001</v>
      </c>
    </row>
    <row r="3484" spans="1:9" ht="15.75" customHeight="1" x14ac:dyDescent="0.35">
      <c r="A3484" s="26" t="s">
        <v>5846</v>
      </c>
      <c r="B3484" s="25" t="s">
        <v>12214</v>
      </c>
      <c r="C3484" s="6" t="s">
        <v>13967</v>
      </c>
      <c r="D3484" s="13">
        <v>15552.005949999999</v>
      </c>
      <c r="E3484" s="18">
        <v>21</v>
      </c>
      <c r="F3484" s="2">
        <f t="shared" si="108"/>
        <v>18817.927199499998</v>
      </c>
      <c r="G3484" s="3">
        <v>0</v>
      </c>
      <c r="H3484" s="4">
        <v>0.7</v>
      </c>
      <c r="I3484" s="28">
        <f t="shared" si="109"/>
        <v>31990.476239149997</v>
      </c>
    </row>
    <row r="3485" spans="1:9" ht="15.75" customHeight="1" x14ac:dyDescent="0.35">
      <c r="A3485" s="26" t="s">
        <v>1338</v>
      </c>
      <c r="B3485" s="25" t="s">
        <v>560</v>
      </c>
      <c r="C3485" s="6" t="s">
        <v>1281</v>
      </c>
      <c r="D3485" s="13">
        <v>1682.89927042163</v>
      </c>
      <c r="E3485" s="18">
        <v>21</v>
      </c>
      <c r="F3485" s="2">
        <f t="shared" si="108"/>
        <v>2036.3081172101724</v>
      </c>
      <c r="G3485" s="3">
        <v>0</v>
      </c>
      <c r="H3485" s="4">
        <v>0.7</v>
      </c>
      <c r="I3485" s="28">
        <f t="shared" si="109"/>
        <v>3461.7237992572932</v>
      </c>
    </row>
    <row r="3486" spans="1:9" ht="15.75" customHeight="1" x14ac:dyDescent="0.35">
      <c r="A3486" s="26" t="s">
        <v>13341</v>
      </c>
      <c r="B3486" s="25" t="s">
        <v>10680</v>
      </c>
      <c r="C3486" s="6" t="s">
        <v>13342</v>
      </c>
      <c r="D3486" s="13">
        <v>180825.80015022252</v>
      </c>
      <c r="E3486" s="18">
        <v>21</v>
      </c>
      <c r="F3486" s="2">
        <f t="shared" si="108"/>
        <v>218799.21818176925</v>
      </c>
      <c r="G3486" s="3">
        <v>0</v>
      </c>
      <c r="H3486" s="4">
        <v>0.7</v>
      </c>
      <c r="I3486" s="28">
        <f t="shared" si="109"/>
        <v>371958.67090900772</v>
      </c>
    </row>
    <row r="3487" spans="1:9" ht="15.75" customHeight="1" x14ac:dyDescent="0.35">
      <c r="A3487" s="26" t="s">
        <v>1339</v>
      </c>
      <c r="B3487" s="25" t="s">
        <v>10681</v>
      </c>
      <c r="C3487" s="6" t="s">
        <v>1182</v>
      </c>
      <c r="D3487" s="13">
        <v>144130.22457326998</v>
      </c>
      <c r="E3487" s="18">
        <v>21</v>
      </c>
      <c r="F3487" s="2">
        <f t="shared" si="108"/>
        <v>174397.57173365669</v>
      </c>
      <c r="G3487" s="3">
        <v>0</v>
      </c>
      <c r="H3487" s="4">
        <v>0.7</v>
      </c>
      <c r="I3487" s="28">
        <f t="shared" si="109"/>
        <v>296475.87194721634</v>
      </c>
    </row>
    <row r="3488" spans="1:9" ht="15.75" customHeight="1" x14ac:dyDescent="0.35">
      <c r="A3488" s="26" t="s">
        <v>5843</v>
      </c>
      <c r="B3488" s="25" t="s">
        <v>12500</v>
      </c>
      <c r="C3488" s="6" t="s">
        <v>13343</v>
      </c>
      <c r="D3488" s="13">
        <v>70535.067439785009</v>
      </c>
      <c r="E3488" s="18">
        <v>21</v>
      </c>
      <c r="F3488" s="2">
        <f t="shared" si="108"/>
        <v>85347.431602139855</v>
      </c>
      <c r="G3488" s="3">
        <v>0</v>
      </c>
      <c r="H3488" s="4">
        <v>0.7</v>
      </c>
      <c r="I3488" s="28">
        <f t="shared" si="109"/>
        <v>145090.63372363776</v>
      </c>
    </row>
    <row r="3489" spans="1:9" ht="15.75" customHeight="1" x14ac:dyDescent="0.35">
      <c r="A3489" s="26" t="s">
        <v>5844</v>
      </c>
      <c r="B3489" s="25" t="s">
        <v>12501</v>
      </c>
      <c r="C3489" s="6" t="s">
        <v>9298</v>
      </c>
      <c r="D3489" s="13">
        <v>2765.7291948000002</v>
      </c>
      <c r="E3489" s="18">
        <v>21</v>
      </c>
      <c r="F3489" s="2">
        <f t="shared" si="108"/>
        <v>3346.5323257080004</v>
      </c>
      <c r="G3489" s="3">
        <v>0</v>
      </c>
      <c r="H3489" s="4">
        <v>0.7</v>
      </c>
      <c r="I3489" s="28">
        <f t="shared" si="109"/>
        <v>5689.1049537036006</v>
      </c>
    </row>
    <row r="3490" spans="1:9" ht="15.75" customHeight="1" x14ac:dyDescent="0.35">
      <c r="A3490" s="26" t="s">
        <v>13091</v>
      </c>
      <c r="B3490" s="25" t="s">
        <v>561</v>
      </c>
      <c r="C3490" s="6" t="s">
        <v>13092</v>
      </c>
      <c r="D3490" s="13">
        <v>97808.116834886241</v>
      </c>
      <c r="E3490" s="18">
        <v>21</v>
      </c>
      <c r="F3490" s="2">
        <f t="shared" si="108"/>
        <v>118347.82137021235</v>
      </c>
      <c r="G3490" s="3">
        <v>0</v>
      </c>
      <c r="H3490" s="4">
        <v>0.7</v>
      </c>
      <c r="I3490" s="28">
        <f t="shared" si="109"/>
        <v>201191.29632936098</v>
      </c>
    </row>
    <row r="3491" spans="1:9" ht="15.75" customHeight="1" x14ac:dyDescent="0.35">
      <c r="A3491" s="26" t="s">
        <v>3556</v>
      </c>
      <c r="B3491" s="25" t="s">
        <v>3477</v>
      </c>
      <c r="C3491" s="6" t="s">
        <v>580</v>
      </c>
      <c r="D3491" s="13">
        <v>54201.444451745003</v>
      </c>
      <c r="E3491" s="18">
        <v>21</v>
      </c>
      <c r="F3491" s="2">
        <f t="shared" si="108"/>
        <v>65583.74778661145</v>
      </c>
      <c r="G3491" s="3">
        <v>0</v>
      </c>
      <c r="H3491" s="4">
        <v>0.7</v>
      </c>
      <c r="I3491" s="28">
        <f t="shared" si="109"/>
        <v>111492.37123723947</v>
      </c>
    </row>
    <row r="3492" spans="1:9" ht="15.75" customHeight="1" x14ac:dyDescent="0.35">
      <c r="A3492" s="26" t="s">
        <v>3554</v>
      </c>
      <c r="B3492" s="25" t="s">
        <v>11290</v>
      </c>
      <c r="C3492" s="6" t="s">
        <v>10511</v>
      </c>
      <c r="D3492" s="13">
        <v>36165.443146183512</v>
      </c>
      <c r="E3492" s="18">
        <v>21</v>
      </c>
      <c r="F3492" s="2">
        <f t="shared" si="108"/>
        <v>43760.186206882048</v>
      </c>
      <c r="G3492" s="3">
        <v>0</v>
      </c>
      <c r="H3492" s="4">
        <v>0.7</v>
      </c>
      <c r="I3492" s="28">
        <f t="shared" si="109"/>
        <v>74392.316551699478</v>
      </c>
    </row>
    <row r="3493" spans="1:9" ht="15.75" customHeight="1" x14ac:dyDescent="0.35">
      <c r="A3493" s="26" t="s">
        <v>3557</v>
      </c>
      <c r="B3493" s="25" t="s">
        <v>562</v>
      </c>
      <c r="C3493" s="6" t="s">
        <v>1113</v>
      </c>
      <c r="D3493" s="13">
        <v>999308.31</v>
      </c>
      <c r="E3493" s="18">
        <v>21</v>
      </c>
      <c r="F3493" s="2">
        <f t="shared" si="108"/>
        <v>1209163.0551</v>
      </c>
      <c r="G3493" s="3">
        <v>0</v>
      </c>
      <c r="H3493" s="4">
        <v>0.7</v>
      </c>
      <c r="I3493" s="28">
        <f t="shared" si="109"/>
        <v>2055577.1936699999</v>
      </c>
    </row>
    <row r="3494" spans="1:9" ht="15.75" customHeight="1" x14ac:dyDescent="0.35">
      <c r="A3494" s="26" t="s">
        <v>10751</v>
      </c>
      <c r="B3494" s="25" t="s">
        <v>13084</v>
      </c>
      <c r="C3494" s="6" t="s">
        <v>13670</v>
      </c>
      <c r="D3494" s="13">
        <v>33653.426625</v>
      </c>
      <c r="E3494" s="18">
        <v>21</v>
      </c>
      <c r="F3494" s="2">
        <f t="shared" si="108"/>
        <v>40720.646216250003</v>
      </c>
      <c r="G3494" s="3">
        <v>0</v>
      </c>
      <c r="H3494" s="4">
        <v>0.7</v>
      </c>
      <c r="I3494" s="28">
        <f t="shared" si="109"/>
        <v>69225.098567624998</v>
      </c>
    </row>
    <row r="3495" spans="1:9" ht="15.75" customHeight="1" x14ac:dyDescent="0.35">
      <c r="A3495" s="26" t="s">
        <v>10774</v>
      </c>
      <c r="B3495" s="25" t="s">
        <v>12560</v>
      </c>
      <c r="C3495" s="6" t="s">
        <v>12561</v>
      </c>
      <c r="D3495" s="13">
        <v>16498.320637500001</v>
      </c>
      <c r="E3495" s="18">
        <v>21</v>
      </c>
      <c r="F3495" s="2">
        <f t="shared" si="108"/>
        <v>19962.967971375001</v>
      </c>
      <c r="G3495" s="3">
        <v>0</v>
      </c>
      <c r="H3495" s="4">
        <v>0.7</v>
      </c>
      <c r="I3495" s="28">
        <f t="shared" si="109"/>
        <v>33937.045551337498</v>
      </c>
    </row>
    <row r="3496" spans="1:9" ht="15.75" customHeight="1" x14ac:dyDescent="0.35">
      <c r="A3496" s="26" t="s">
        <v>10351</v>
      </c>
      <c r="B3496" s="25" t="s">
        <v>10971</v>
      </c>
      <c r="C3496" s="6" t="s">
        <v>13667</v>
      </c>
      <c r="D3496" s="13">
        <v>33653.426625</v>
      </c>
      <c r="E3496" s="18">
        <v>21</v>
      </c>
      <c r="F3496" s="2">
        <f t="shared" si="108"/>
        <v>40720.646216250003</v>
      </c>
      <c r="G3496" s="3">
        <v>0</v>
      </c>
      <c r="H3496" s="4">
        <v>0.7</v>
      </c>
      <c r="I3496" s="28">
        <f t="shared" si="109"/>
        <v>69225.098567624998</v>
      </c>
    </row>
    <row r="3497" spans="1:9" ht="15.75" customHeight="1" x14ac:dyDescent="0.35">
      <c r="A3497" s="26" t="s">
        <v>12728</v>
      </c>
      <c r="B3497" s="25" t="s">
        <v>10505</v>
      </c>
      <c r="C3497" s="6" t="s">
        <v>12729</v>
      </c>
      <c r="D3497" s="13">
        <v>32618.5394787603</v>
      </c>
      <c r="E3497" s="18">
        <v>21</v>
      </c>
      <c r="F3497" s="2">
        <f t="shared" si="108"/>
        <v>39468.432769299965</v>
      </c>
      <c r="G3497" s="3">
        <v>0</v>
      </c>
      <c r="H3497" s="4">
        <v>0.7</v>
      </c>
      <c r="I3497" s="28">
        <f t="shared" si="109"/>
        <v>67096.335707809936</v>
      </c>
    </row>
    <row r="3498" spans="1:9" ht="15.75" customHeight="1" x14ac:dyDescent="0.35">
      <c r="A3498" s="26" t="s">
        <v>12006</v>
      </c>
      <c r="B3498" s="25" t="s">
        <v>10506</v>
      </c>
      <c r="C3498" s="6" t="s">
        <v>12007</v>
      </c>
      <c r="D3498" s="13">
        <v>61321.191749999998</v>
      </c>
      <c r="E3498" s="18">
        <v>21</v>
      </c>
      <c r="F3498" s="2">
        <f t="shared" si="108"/>
        <v>74198.642017499995</v>
      </c>
      <c r="G3498" s="3">
        <v>0</v>
      </c>
      <c r="H3498" s="4">
        <v>0.7</v>
      </c>
      <c r="I3498" s="28">
        <f t="shared" si="109"/>
        <v>126137.69142974999</v>
      </c>
    </row>
    <row r="3499" spans="1:9" ht="15.75" customHeight="1" x14ac:dyDescent="0.35">
      <c r="A3499" s="26" t="s">
        <v>4436</v>
      </c>
      <c r="B3499" s="25" t="s">
        <v>563</v>
      </c>
      <c r="C3499" s="6" t="s">
        <v>10512</v>
      </c>
      <c r="D3499" s="13">
        <v>3708.4720725000002</v>
      </c>
      <c r="E3499" s="18">
        <v>21</v>
      </c>
      <c r="F3499" s="2">
        <f t="shared" si="108"/>
        <v>4487.2512077250003</v>
      </c>
      <c r="G3499" s="3">
        <v>0</v>
      </c>
      <c r="H3499" s="4">
        <v>0.7</v>
      </c>
      <c r="I3499" s="28">
        <f t="shared" si="109"/>
        <v>7628.3270531325006</v>
      </c>
    </row>
    <row r="3500" spans="1:9" ht="15.75" customHeight="1" x14ac:dyDescent="0.35">
      <c r="A3500" s="26" t="s">
        <v>10353</v>
      </c>
      <c r="B3500" s="25" t="s">
        <v>9695</v>
      </c>
      <c r="C3500" s="6" t="s">
        <v>13661</v>
      </c>
      <c r="D3500" s="13">
        <v>6114.7140600000002</v>
      </c>
      <c r="E3500" s="18">
        <v>21</v>
      </c>
      <c r="F3500" s="2">
        <f t="shared" si="108"/>
        <v>7398.8040126000005</v>
      </c>
      <c r="G3500" s="3">
        <v>0</v>
      </c>
      <c r="H3500" s="4">
        <v>0.7</v>
      </c>
      <c r="I3500" s="28">
        <f t="shared" si="109"/>
        <v>12577.966821420001</v>
      </c>
    </row>
    <row r="3501" spans="1:9" ht="15.75" customHeight="1" x14ac:dyDescent="0.35">
      <c r="A3501" s="26" t="s">
        <v>4452</v>
      </c>
      <c r="B3501" s="25" t="s">
        <v>564</v>
      </c>
      <c r="C3501" s="6" t="s">
        <v>12266</v>
      </c>
      <c r="D3501" s="13">
        <v>3708.4720725000002</v>
      </c>
      <c r="E3501" s="18">
        <v>21</v>
      </c>
      <c r="F3501" s="2">
        <f t="shared" si="108"/>
        <v>4487.2512077250003</v>
      </c>
      <c r="G3501" s="3">
        <v>0</v>
      </c>
      <c r="H3501" s="4">
        <v>0.7</v>
      </c>
      <c r="I3501" s="28">
        <f t="shared" si="109"/>
        <v>7628.3270531325006</v>
      </c>
    </row>
    <row r="3502" spans="1:9" ht="15.75" customHeight="1" x14ac:dyDescent="0.35">
      <c r="A3502" s="26" t="s">
        <v>10355</v>
      </c>
      <c r="B3502" s="25" t="s">
        <v>565</v>
      </c>
      <c r="C3502" s="6" t="s">
        <v>13660</v>
      </c>
      <c r="D3502" s="13">
        <v>6114.7140600000002</v>
      </c>
      <c r="E3502" s="18">
        <v>21</v>
      </c>
      <c r="F3502" s="2">
        <f t="shared" si="108"/>
        <v>7398.8040126000005</v>
      </c>
      <c r="G3502" s="3">
        <v>0</v>
      </c>
      <c r="H3502" s="4">
        <v>0.7</v>
      </c>
      <c r="I3502" s="28">
        <f t="shared" si="109"/>
        <v>12577.966821420001</v>
      </c>
    </row>
    <row r="3503" spans="1:9" ht="15.75" customHeight="1" x14ac:dyDescent="0.35">
      <c r="A3503" s="26" t="s">
        <v>12730</v>
      </c>
      <c r="B3503" s="25" t="s">
        <v>566</v>
      </c>
      <c r="C3503" s="6" t="s">
        <v>12731</v>
      </c>
      <c r="D3503" s="13">
        <v>6010.5157476916502</v>
      </c>
      <c r="E3503" s="18">
        <v>21</v>
      </c>
      <c r="F3503" s="2">
        <f t="shared" si="108"/>
        <v>7272.7240547068968</v>
      </c>
      <c r="G3503" s="3">
        <v>0</v>
      </c>
      <c r="H3503" s="4">
        <v>0.7</v>
      </c>
      <c r="I3503" s="28">
        <f t="shared" si="109"/>
        <v>12363.630893001724</v>
      </c>
    </row>
    <row r="3504" spans="1:9" ht="15.75" customHeight="1" x14ac:dyDescent="0.35">
      <c r="A3504" s="26" t="s">
        <v>4454</v>
      </c>
      <c r="B3504" s="25" t="s">
        <v>1273</v>
      </c>
      <c r="C3504" s="6" t="s">
        <v>12574</v>
      </c>
      <c r="D3504" s="13">
        <v>26251.310182499998</v>
      </c>
      <c r="E3504" s="18">
        <v>21</v>
      </c>
      <c r="F3504" s="2">
        <f t="shared" si="108"/>
        <v>31764.085320824997</v>
      </c>
      <c r="G3504" s="3">
        <v>0</v>
      </c>
      <c r="H3504" s="4">
        <v>0.7</v>
      </c>
      <c r="I3504" s="28">
        <f t="shared" si="109"/>
        <v>53998.945045402492</v>
      </c>
    </row>
    <row r="3505" spans="1:9" ht="15.75" customHeight="1" x14ac:dyDescent="0.35">
      <c r="A3505" s="26" t="s">
        <v>10357</v>
      </c>
      <c r="B3505" s="25" t="s">
        <v>1274</v>
      </c>
      <c r="C3505" s="6" t="s">
        <v>13668</v>
      </c>
      <c r="D3505" s="13">
        <v>54125.662499999999</v>
      </c>
      <c r="E3505" s="18">
        <v>21</v>
      </c>
      <c r="F3505" s="2">
        <f t="shared" si="108"/>
        <v>65492.051624999993</v>
      </c>
      <c r="G3505" s="3">
        <v>0</v>
      </c>
      <c r="H3505" s="4">
        <v>0.7</v>
      </c>
      <c r="I3505" s="28">
        <f t="shared" si="109"/>
        <v>111336.48776249998</v>
      </c>
    </row>
    <row r="3506" spans="1:9" ht="15.75" customHeight="1" x14ac:dyDescent="0.35">
      <c r="A3506" s="26" t="s">
        <v>10093</v>
      </c>
      <c r="B3506" s="25" t="s">
        <v>1275</v>
      </c>
      <c r="C3506" s="6" t="s">
        <v>10094</v>
      </c>
      <c r="D3506" s="13">
        <v>263381.33203200001</v>
      </c>
      <c r="E3506" s="18">
        <v>21</v>
      </c>
      <c r="F3506" s="2">
        <f t="shared" si="108"/>
        <v>318691.41175872</v>
      </c>
      <c r="G3506" s="3">
        <v>0</v>
      </c>
      <c r="H3506" s="4">
        <v>0.7</v>
      </c>
      <c r="I3506" s="28">
        <f t="shared" si="109"/>
        <v>541775.39998982404</v>
      </c>
    </row>
    <row r="3507" spans="1:9" ht="15.75" customHeight="1" x14ac:dyDescent="0.35">
      <c r="A3507" s="26" t="s">
        <v>10095</v>
      </c>
      <c r="B3507" s="25" t="s">
        <v>1276</v>
      </c>
      <c r="C3507" s="6" t="s">
        <v>10096</v>
      </c>
      <c r="D3507" s="13">
        <v>263381.33203200001</v>
      </c>
      <c r="E3507" s="18">
        <v>21</v>
      </c>
      <c r="F3507" s="2">
        <f t="shared" si="108"/>
        <v>318691.41175872</v>
      </c>
      <c r="G3507" s="3">
        <v>0</v>
      </c>
      <c r="H3507" s="4">
        <v>0.7</v>
      </c>
      <c r="I3507" s="28">
        <f t="shared" si="109"/>
        <v>541775.39998982404</v>
      </c>
    </row>
    <row r="3508" spans="1:9" ht="15.75" customHeight="1" x14ac:dyDescent="0.35">
      <c r="A3508" s="26" t="s">
        <v>12732</v>
      </c>
      <c r="B3508" s="25" t="s">
        <v>1277</v>
      </c>
      <c r="C3508" s="6" t="s">
        <v>12733</v>
      </c>
      <c r="D3508" s="13">
        <v>63584.623514786399</v>
      </c>
      <c r="E3508" s="18">
        <v>21</v>
      </c>
      <c r="F3508" s="2">
        <f t="shared" si="108"/>
        <v>76937.394452891545</v>
      </c>
      <c r="G3508" s="3">
        <v>0</v>
      </c>
      <c r="H3508" s="4">
        <v>0.7</v>
      </c>
      <c r="I3508" s="28">
        <f t="shared" si="109"/>
        <v>130793.57056991562</v>
      </c>
    </row>
    <row r="3509" spans="1:9" ht="15.75" customHeight="1" x14ac:dyDescent="0.35">
      <c r="A3509" s="26" t="s">
        <v>12335</v>
      </c>
      <c r="B3509" s="25" t="s">
        <v>8796</v>
      </c>
      <c r="C3509" s="6" t="s">
        <v>12336</v>
      </c>
      <c r="D3509" s="13">
        <v>126685.888875</v>
      </c>
      <c r="E3509" s="18">
        <v>21</v>
      </c>
      <c r="F3509" s="2">
        <f t="shared" si="108"/>
        <v>153289.92553875002</v>
      </c>
      <c r="G3509" s="3">
        <v>0</v>
      </c>
      <c r="H3509" s="4">
        <v>0.7</v>
      </c>
      <c r="I3509" s="28">
        <f t="shared" si="109"/>
        <v>260592.87341587502</v>
      </c>
    </row>
    <row r="3510" spans="1:9" ht="15.75" customHeight="1" x14ac:dyDescent="0.35">
      <c r="A3510" s="26" t="s">
        <v>12657</v>
      </c>
      <c r="B3510" s="25" t="s">
        <v>1278</v>
      </c>
      <c r="C3510" s="6" t="s">
        <v>12658</v>
      </c>
      <c r="D3510" s="13">
        <v>67179.498749999999</v>
      </c>
      <c r="E3510" s="18">
        <v>21</v>
      </c>
      <c r="F3510" s="2">
        <f t="shared" si="108"/>
        <v>81287.193487500001</v>
      </c>
      <c r="G3510" s="3">
        <v>0</v>
      </c>
      <c r="H3510" s="4">
        <v>0.7</v>
      </c>
      <c r="I3510" s="28">
        <f t="shared" si="109"/>
        <v>138188.22892875</v>
      </c>
    </row>
    <row r="3511" spans="1:9" ht="15.75" customHeight="1" x14ac:dyDescent="0.35">
      <c r="A3511" s="26" t="s">
        <v>12562</v>
      </c>
      <c r="B3511" s="25" t="s">
        <v>1279</v>
      </c>
      <c r="C3511" s="6" t="s">
        <v>12575</v>
      </c>
      <c r="D3511" s="13">
        <v>38885.422387500003</v>
      </c>
      <c r="E3511" s="18">
        <v>21</v>
      </c>
      <c r="F3511" s="2">
        <f t="shared" si="108"/>
        <v>47051.361088875004</v>
      </c>
      <c r="G3511" s="3">
        <v>0</v>
      </c>
      <c r="H3511" s="4">
        <v>0.7</v>
      </c>
      <c r="I3511" s="28">
        <f t="shared" si="109"/>
        <v>79987.3138510875</v>
      </c>
    </row>
    <row r="3512" spans="1:9" ht="15.75" customHeight="1" x14ac:dyDescent="0.35">
      <c r="A3512" s="26" t="s">
        <v>10359</v>
      </c>
      <c r="B3512" s="25" t="s">
        <v>1280</v>
      </c>
      <c r="C3512" s="6" t="s">
        <v>13669</v>
      </c>
      <c r="D3512" s="13">
        <v>71138.101125000001</v>
      </c>
      <c r="E3512" s="18">
        <v>21</v>
      </c>
      <c r="F3512" s="2">
        <f t="shared" si="108"/>
        <v>86077.102361249999</v>
      </c>
      <c r="G3512" s="3">
        <v>0</v>
      </c>
      <c r="H3512" s="4">
        <v>0.7</v>
      </c>
      <c r="I3512" s="28">
        <f t="shared" si="109"/>
        <v>146331.07401412498</v>
      </c>
    </row>
    <row r="3513" spans="1:9" ht="15.75" customHeight="1" x14ac:dyDescent="0.35">
      <c r="A3513" s="26" t="s">
        <v>12734</v>
      </c>
      <c r="B3513" s="25" t="s">
        <v>567</v>
      </c>
      <c r="C3513" s="6" t="s">
        <v>12735</v>
      </c>
      <c r="D3513" s="13">
        <v>76350.423660416098</v>
      </c>
      <c r="E3513" s="18">
        <v>21</v>
      </c>
      <c r="F3513" s="2">
        <f t="shared" si="108"/>
        <v>92384.012629103483</v>
      </c>
      <c r="G3513" s="3">
        <v>0</v>
      </c>
      <c r="H3513" s="4">
        <v>0.7</v>
      </c>
      <c r="I3513" s="28">
        <f t="shared" si="109"/>
        <v>157052.82146947592</v>
      </c>
    </row>
    <row r="3514" spans="1:9" ht="15.75" customHeight="1" x14ac:dyDescent="0.35">
      <c r="A3514" s="26" t="s">
        <v>12008</v>
      </c>
      <c r="B3514" s="25" t="s">
        <v>9562</v>
      </c>
      <c r="C3514" s="6" t="s">
        <v>12009</v>
      </c>
      <c r="D3514" s="13">
        <v>140949.592875</v>
      </c>
      <c r="E3514" s="18">
        <v>21</v>
      </c>
      <c r="F3514" s="2">
        <f t="shared" si="108"/>
        <v>170549.00737875002</v>
      </c>
      <c r="G3514" s="3">
        <v>0</v>
      </c>
      <c r="H3514" s="4">
        <v>0.7</v>
      </c>
      <c r="I3514" s="28">
        <f t="shared" si="109"/>
        <v>289933.31254387501</v>
      </c>
    </row>
    <row r="3515" spans="1:9" ht="15.75" customHeight="1" x14ac:dyDescent="0.35">
      <c r="A3515" s="26" t="s">
        <v>4440</v>
      </c>
      <c r="B3515" s="25" t="s">
        <v>9564</v>
      </c>
      <c r="C3515" s="6" t="s">
        <v>10514</v>
      </c>
      <c r="D3515" s="13">
        <v>5567.5748699999995</v>
      </c>
      <c r="E3515" s="18">
        <v>21</v>
      </c>
      <c r="F3515" s="2">
        <f t="shared" si="108"/>
        <v>6736.7655926999996</v>
      </c>
      <c r="G3515" s="3">
        <v>0</v>
      </c>
      <c r="H3515" s="4">
        <v>0.7</v>
      </c>
      <c r="I3515" s="28">
        <f t="shared" si="109"/>
        <v>11452.501507589999</v>
      </c>
    </row>
    <row r="3516" spans="1:9" ht="15.75" customHeight="1" x14ac:dyDescent="0.35">
      <c r="A3516" s="26" t="s">
        <v>10361</v>
      </c>
      <c r="B3516" s="25" t="s">
        <v>568</v>
      </c>
      <c r="C3516" s="6" t="s">
        <v>13663</v>
      </c>
      <c r="D3516" s="13">
        <v>8352.3326249999991</v>
      </c>
      <c r="E3516" s="18">
        <v>21</v>
      </c>
      <c r="F3516" s="2">
        <f t="shared" si="108"/>
        <v>10106.322476249999</v>
      </c>
      <c r="G3516" s="3">
        <v>0</v>
      </c>
      <c r="H3516" s="4">
        <v>0.7</v>
      </c>
      <c r="I3516" s="28">
        <f t="shared" si="109"/>
        <v>17180.748209624999</v>
      </c>
    </row>
    <row r="3517" spans="1:9" ht="15.75" customHeight="1" x14ac:dyDescent="0.35">
      <c r="A3517" s="26" t="s">
        <v>4435</v>
      </c>
      <c r="B3517" s="25" t="s">
        <v>9566</v>
      </c>
      <c r="C3517" s="6" t="s">
        <v>12267</v>
      </c>
      <c r="D3517" s="13">
        <v>5567.5748699999995</v>
      </c>
      <c r="E3517" s="18">
        <v>21</v>
      </c>
      <c r="F3517" s="2">
        <f t="shared" si="108"/>
        <v>6736.7655926999996</v>
      </c>
      <c r="G3517" s="3">
        <v>0</v>
      </c>
      <c r="H3517" s="4">
        <v>0.7</v>
      </c>
      <c r="I3517" s="28">
        <f t="shared" si="109"/>
        <v>11452.501507589999</v>
      </c>
    </row>
    <row r="3518" spans="1:9" ht="15.75" customHeight="1" x14ac:dyDescent="0.35">
      <c r="A3518" s="26" t="s">
        <v>10363</v>
      </c>
      <c r="B3518" s="25" t="s">
        <v>8803</v>
      </c>
      <c r="C3518" s="6" t="s">
        <v>13662</v>
      </c>
      <c r="D3518" s="13">
        <v>8352.3326249999991</v>
      </c>
      <c r="E3518" s="18">
        <v>21</v>
      </c>
      <c r="F3518" s="2">
        <f t="shared" si="108"/>
        <v>10106.322476249999</v>
      </c>
      <c r="G3518" s="3">
        <v>0</v>
      </c>
      <c r="H3518" s="4">
        <v>0.7</v>
      </c>
      <c r="I3518" s="28">
        <f t="shared" si="109"/>
        <v>17180.748209624999</v>
      </c>
    </row>
    <row r="3519" spans="1:9" ht="15.75" customHeight="1" x14ac:dyDescent="0.35">
      <c r="A3519" s="26" t="s">
        <v>4443</v>
      </c>
      <c r="B3519" s="25" t="s">
        <v>8804</v>
      </c>
      <c r="C3519" s="6" t="s">
        <v>10168</v>
      </c>
      <c r="D3519" s="13">
        <v>8902.4</v>
      </c>
      <c r="E3519" s="18">
        <v>21</v>
      </c>
      <c r="F3519" s="2">
        <f t="shared" si="108"/>
        <v>10771.903999999999</v>
      </c>
      <c r="G3519" s="3">
        <v>0</v>
      </c>
      <c r="H3519" s="4">
        <v>0.7</v>
      </c>
      <c r="I3519" s="28">
        <f t="shared" si="109"/>
        <v>18312.236799999999</v>
      </c>
    </row>
    <row r="3520" spans="1:9" ht="15.75" customHeight="1" x14ac:dyDescent="0.35">
      <c r="A3520" s="26" t="s">
        <v>12736</v>
      </c>
      <c r="B3520" s="25" t="s">
        <v>8805</v>
      </c>
      <c r="C3520" s="6" t="s">
        <v>12737</v>
      </c>
      <c r="D3520" s="13">
        <v>8378.6473152719991</v>
      </c>
      <c r="E3520" s="18">
        <v>21</v>
      </c>
      <c r="F3520" s="2">
        <f t="shared" si="108"/>
        <v>10138.16325147912</v>
      </c>
      <c r="G3520" s="3">
        <v>0</v>
      </c>
      <c r="H3520" s="4">
        <v>0.7</v>
      </c>
      <c r="I3520" s="28">
        <f t="shared" si="109"/>
        <v>17234.877527514502</v>
      </c>
    </row>
    <row r="3521" spans="1:9" ht="15.75" customHeight="1" x14ac:dyDescent="0.35">
      <c r="A3521" s="26" t="s">
        <v>13206</v>
      </c>
      <c r="B3521" s="25" t="s">
        <v>8806</v>
      </c>
      <c r="C3521" s="6" t="s">
        <v>13207</v>
      </c>
      <c r="D3521" s="13">
        <v>17192.857499999998</v>
      </c>
      <c r="E3521" s="18">
        <v>21</v>
      </c>
      <c r="F3521" s="2">
        <f t="shared" si="108"/>
        <v>20803.357574999998</v>
      </c>
      <c r="G3521" s="3">
        <v>0</v>
      </c>
      <c r="H3521" s="4">
        <v>0.7</v>
      </c>
      <c r="I3521" s="28">
        <f t="shared" si="109"/>
        <v>35365.707877499997</v>
      </c>
    </row>
    <row r="3522" spans="1:9" ht="15.75" customHeight="1" x14ac:dyDescent="0.35">
      <c r="A3522" s="26" t="s">
        <v>10097</v>
      </c>
      <c r="B3522" s="25" t="s">
        <v>8737</v>
      </c>
      <c r="C3522" s="6" t="s">
        <v>10098</v>
      </c>
      <c r="D3522" s="13">
        <v>462739.44646800001</v>
      </c>
      <c r="E3522" s="18">
        <v>21</v>
      </c>
      <c r="F3522" s="2">
        <f t="shared" si="108"/>
        <v>559914.73022628005</v>
      </c>
      <c r="G3522" s="3">
        <v>0</v>
      </c>
      <c r="H3522" s="4">
        <v>0.7</v>
      </c>
      <c r="I3522" s="28">
        <f t="shared" si="109"/>
        <v>951855.04138467601</v>
      </c>
    </row>
    <row r="3523" spans="1:9" ht="15.75" customHeight="1" x14ac:dyDescent="0.35">
      <c r="A3523" s="26" t="s">
        <v>12899</v>
      </c>
      <c r="B3523" s="25" t="s">
        <v>8738</v>
      </c>
      <c r="C3523" s="6" t="s">
        <v>12900</v>
      </c>
      <c r="D3523" s="13">
        <v>92390.595570000005</v>
      </c>
      <c r="E3523" s="18">
        <v>21</v>
      </c>
      <c r="F3523" s="2">
        <f t="shared" si="108"/>
        <v>111792.62063970001</v>
      </c>
      <c r="G3523" s="3">
        <v>0</v>
      </c>
      <c r="H3523" s="4">
        <v>0.7</v>
      </c>
      <c r="I3523" s="28">
        <f t="shared" si="109"/>
        <v>190047.45508749</v>
      </c>
    </row>
    <row r="3524" spans="1:9" ht="15.75" customHeight="1" x14ac:dyDescent="0.35">
      <c r="A3524" s="26" t="s">
        <v>4462</v>
      </c>
      <c r="B3524" s="25" t="s">
        <v>10508</v>
      </c>
      <c r="C3524" s="6" t="s">
        <v>10169</v>
      </c>
      <c r="D3524" s="13">
        <v>130234.53105000001</v>
      </c>
      <c r="E3524" s="18">
        <v>21</v>
      </c>
      <c r="F3524" s="2">
        <f t="shared" si="108"/>
        <v>157583.78257050001</v>
      </c>
      <c r="G3524" s="3">
        <v>0</v>
      </c>
      <c r="H3524" s="4">
        <v>0.7</v>
      </c>
      <c r="I3524" s="28">
        <f t="shared" si="109"/>
        <v>267892.43036985002</v>
      </c>
    </row>
    <row r="3525" spans="1:9" ht="15.75" customHeight="1" x14ac:dyDescent="0.35">
      <c r="A3525" s="26" t="s">
        <v>10842</v>
      </c>
      <c r="B3525" s="25" t="s">
        <v>569</v>
      </c>
      <c r="C3525" s="6" t="s">
        <v>12787</v>
      </c>
      <c r="D3525" s="13">
        <v>6326.7896249999994</v>
      </c>
      <c r="E3525" s="18">
        <v>21</v>
      </c>
      <c r="F3525" s="2">
        <f t="shared" si="108"/>
        <v>7655.4154462499991</v>
      </c>
      <c r="G3525" s="3">
        <v>0</v>
      </c>
      <c r="H3525" s="4">
        <v>0.7</v>
      </c>
      <c r="I3525" s="28">
        <f t="shared" si="109"/>
        <v>13014.206258624998</v>
      </c>
    </row>
    <row r="3526" spans="1:9" ht="15.75" customHeight="1" x14ac:dyDescent="0.35">
      <c r="A3526" s="26" t="s">
        <v>10365</v>
      </c>
      <c r="B3526" s="25" t="s">
        <v>570</v>
      </c>
      <c r="C3526" s="6" t="s">
        <v>13665</v>
      </c>
      <c r="D3526" s="13">
        <v>12120.399815711</v>
      </c>
      <c r="E3526" s="18">
        <v>21</v>
      </c>
      <c r="F3526" s="2">
        <f t="shared" ref="F3526:F3589" si="110">D3526*E3526/100+D3526</f>
        <v>14665.68377701031</v>
      </c>
      <c r="G3526" s="3">
        <v>0</v>
      </c>
      <c r="H3526" s="4">
        <v>0.7</v>
      </c>
      <c r="I3526" s="28">
        <f t="shared" ref="I3526:I3589" si="111">IF(G3526=-1,0,F3526*((100-G3526)/100)*(1+H3526))</f>
        <v>24931.662420917528</v>
      </c>
    </row>
    <row r="3527" spans="1:9" ht="15.75" customHeight="1" x14ac:dyDescent="0.35">
      <c r="A3527" s="26" t="s">
        <v>12738</v>
      </c>
      <c r="B3527" s="25" t="s">
        <v>12886</v>
      </c>
      <c r="C3527" s="6" t="s">
        <v>12739</v>
      </c>
      <c r="D3527" s="13">
        <v>11840.65783790175</v>
      </c>
      <c r="E3527" s="18">
        <v>21</v>
      </c>
      <c r="F3527" s="2">
        <f t="shared" si="110"/>
        <v>14327.195983861118</v>
      </c>
      <c r="G3527" s="3">
        <v>0</v>
      </c>
      <c r="H3527" s="4">
        <v>0.7</v>
      </c>
      <c r="I3527" s="28">
        <f t="shared" si="111"/>
        <v>24356.233172563901</v>
      </c>
    </row>
    <row r="3528" spans="1:9" ht="15.75" customHeight="1" x14ac:dyDescent="0.35">
      <c r="A3528" s="26" t="s">
        <v>4446</v>
      </c>
      <c r="B3528" s="25" t="s">
        <v>8739</v>
      </c>
      <c r="C3528" s="6" t="s">
        <v>10170</v>
      </c>
      <c r="D3528" s="13">
        <v>6326.7896249999994</v>
      </c>
      <c r="E3528" s="18">
        <v>21</v>
      </c>
      <c r="F3528" s="2">
        <f t="shared" si="110"/>
        <v>7655.4154462499991</v>
      </c>
      <c r="G3528" s="3">
        <v>0</v>
      </c>
      <c r="H3528" s="4">
        <v>0.7</v>
      </c>
      <c r="I3528" s="28">
        <f t="shared" si="111"/>
        <v>13014.206258624998</v>
      </c>
    </row>
    <row r="3529" spans="1:9" ht="15.75" customHeight="1" x14ac:dyDescent="0.35">
      <c r="A3529" s="26" t="s">
        <v>10367</v>
      </c>
      <c r="B3529" s="25" t="s">
        <v>8740</v>
      </c>
      <c r="C3529" s="6" t="s">
        <v>13664</v>
      </c>
      <c r="D3529" s="13">
        <v>12120.399815711</v>
      </c>
      <c r="E3529" s="18">
        <v>21</v>
      </c>
      <c r="F3529" s="2">
        <f t="shared" si="110"/>
        <v>14665.68377701031</v>
      </c>
      <c r="G3529" s="3">
        <v>0</v>
      </c>
      <c r="H3529" s="4">
        <v>0.7</v>
      </c>
      <c r="I3529" s="28">
        <f t="shared" si="111"/>
        <v>24931.662420917528</v>
      </c>
    </row>
    <row r="3530" spans="1:9" ht="15.75" customHeight="1" x14ac:dyDescent="0.35">
      <c r="A3530" s="26" t="s">
        <v>10171</v>
      </c>
      <c r="B3530" s="25" t="s">
        <v>571</v>
      </c>
      <c r="C3530" s="6" t="s">
        <v>10172</v>
      </c>
      <c r="D3530" s="13">
        <v>11350.56</v>
      </c>
      <c r="E3530" s="18">
        <v>21</v>
      </c>
      <c r="F3530" s="2">
        <f t="shared" si="110"/>
        <v>13734.177599999999</v>
      </c>
      <c r="G3530" s="3">
        <v>0</v>
      </c>
      <c r="H3530" s="4">
        <v>0.7</v>
      </c>
      <c r="I3530" s="28">
        <f t="shared" si="111"/>
        <v>23348.101919999997</v>
      </c>
    </row>
    <row r="3531" spans="1:9" ht="15.75" customHeight="1" x14ac:dyDescent="0.35">
      <c r="A3531" s="26" t="s">
        <v>12740</v>
      </c>
      <c r="B3531" s="25" t="s">
        <v>8807</v>
      </c>
      <c r="C3531" s="6" t="s">
        <v>12741</v>
      </c>
      <c r="D3531" s="13">
        <v>11840.65783790175</v>
      </c>
      <c r="E3531" s="18">
        <v>21</v>
      </c>
      <c r="F3531" s="2">
        <f t="shared" si="110"/>
        <v>14327.195983861118</v>
      </c>
      <c r="G3531" s="3">
        <v>0</v>
      </c>
      <c r="H3531" s="4">
        <v>0.7</v>
      </c>
      <c r="I3531" s="28">
        <f t="shared" si="111"/>
        <v>24356.233172563901</v>
      </c>
    </row>
    <row r="3532" spans="1:9" ht="15.75" customHeight="1" x14ac:dyDescent="0.35">
      <c r="A3532" s="26" t="s">
        <v>12901</v>
      </c>
      <c r="B3532" s="25" t="s">
        <v>12619</v>
      </c>
      <c r="C3532" s="6" t="s">
        <v>12902</v>
      </c>
      <c r="D3532" s="13">
        <v>170871.98748749998</v>
      </c>
      <c r="E3532" s="18">
        <v>21</v>
      </c>
      <c r="F3532" s="2">
        <f t="shared" si="110"/>
        <v>206755.10485987499</v>
      </c>
      <c r="G3532" s="3">
        <v>0</v>
      </c>
      <c r="H3532" s="4">
        <v>0.7</v>
      </c>
      <c r="I3532" s="28">
        <f t="shared" si="111"/>
        <v>351483.67826178746</v>
      </c>
    </row>
    <row r="3533" spans="1:9" ht="15.75" customHeight="1" x14ac:dyDescent="0.35">
      <c r="A3533" s="26" t="s">
        <v>10843</v>
      </c>
      <c r="B3533" s="25" t="s">
        <v>12618</v>
      </c>
      <c r="C3533" s="6" t="s">
        <v>12576</v>
      </c>
      <c r="D3533" s="13">
        <v>9694.5884100000003</v>
      </c>
      <c r="E3533" s="18">
        <v>21</v>
      </c>
      <c r="F3533" s="2">
        <f t="shared" si="110"/>
        <v>11730.451976100001</v>
      </c>
      <c r="G3533" s="3">
        <v>0</v>
      </c>
      <c r="H3533" s="4">
        <v>0.7</v>
      </c>
      <c r="I3533" s="28">
        <f t="shared" si="111"/>
        <v>19941.768359370002</v>
      </c>
    </row>
    <row r="3534" spans="1:9" ht="15.75" customHeight="1" x14ac:dyDescent="0.35">
      <c r="A3534" s="26" t="s">
        <v>13085</v>
      </c>
      <c r="B3534" s="25" t="s">
        <v>572</v>
      </c>
      <c r="C3534" s="6" t="s">
        <v>13086</v>
      </c>
      <c r="D3534" s="13">
        <v>14394.9815680437</v>
      </c>
      <c r="E3534" s="18">
        <v>21</v>
      </c>
      <c r="F3534" s="2">
        <f t="shared" si="110"/>
        <v>17417.927697332878</v>
      </c>
      <c r="G3534" s="3">
        <v>0</v>
      </c>
      <c r="H3534" s="4">
        <v>0.7</v>
      </c>
      <c r="I3534" s="28">
        <f t="shared" si="111"/>
        <v>29610.477085465893</v>
      </c>
    </row>
    <row r="3535" spans="1:9" ht="15.75" customHeight="1" x14ac:dyDescent="0.35">
      <c r="A3535" s="26" t="s">
        <v>4464</v>
      </c>
      <c r="B3535" s="25" t="s">
        <v>573</v>
      </c>
      <c r="C3535" s="6" t="s">
        <v>12028</v>
      </c>
      <c r="D3535" s="13">
        <v>9694.5884100000003</v>
      </c>
      <c r="E3535" s="18">
        <v>21</v>
      </c>
      <c r="F3535" s="2">
        <f t="shared" si="110"/>
        <v>11730.451976100001</v>
      </c>
      <c r="G3535" s="3">
        <v>0</v>
      </c>
      <c r="H3535" s="4">
        <v>0.7</v>
      </c>
      <c r="I3535" s="28">
        <f t="shared" si="111"/>
        <v>19941.768359370002</v>
      </c>
    </row>
    <row r="3536" spans="1:9" ht="15.75" customHeight="1" x14ac:dyDescent="0.35">
      <c r="A3536" s="26" t="s">
        <v>10369</v>
      </c>
      <c r="B3536" s="25" t="s">
        <v>574</v>
      </c>
      <c r="C3536" s="6" t="s">
        <v>13666</v>
      </c>
      <c r="D3536" s="13">
        <v>15399.281625</v>
      </c>
      <c r="E3536" s="18">
        <v>21</v>
      </c>
      <c r="F3536" s="2">
        <f t="shared" si="110"/>
        <v>18633.13076625</v>
      </c>
      <c r="G3536" s="3">
        <v>0</v>
      </c>
      <c r="H3536" s="4">
        <v>0.7</v>
      </c>
      <c r="I3536" s="28">
        <f t="shared" si="111"/>
        <v>31676.322302624998</v>
      </c>
    </row>
    <row r="3537" spans="1:9" ht="15.75" customHeight="1" x14ac:dyDescent="0.35">
      <c r="A3537" s="26" t="s">
        <v>3506</v>
      </c>
      <c r="B3537" s="25" t="s">
        <v>10509</v>
      </c>
      <c r="C3537" s="6" t="s">
        <v>10173</v>
      </c>
      <c r="D3537" s="13">
        <v>16469.439999999999</v>
      </c>
      <c r="E3537" s="18">
        <v>21</v>
      </c>
      <c r="F3537" s="2">
        <f t="shared" si="110"/>
        <v>19928.022399999998</v>
      </c>
      <c r="G3537" s="3">
        <v>0</v>
      </c>
      <c r="H3537" s="4">
        <v>0.7</v>
      </c>
      <c r="I3537" s="28">
        <f t="shared" si="111"/>
        <v>33877.638079999997</v>
      </c>
    </row>
    <row r="3538" spans="1:9" ht="15.75" customHeight="1" x14ac:dyDescent="0.35">
      <c r="A3538" s="26" t="s">
        <v>12742</v>
      </c>
      <c r="B3538" s="25" t="s">
        <v>12785</v>
      </c>
      <c r="C3538" s="6" t="s">
        <v>12743</v>
      </c>
      <c r="D3538" s="13">
        <v>14394.9815680437</v>
      </c>
      <c r="E3538" s="18">
        <v>21</v>
      </c>
      <c r="F3538" s="2">
        <f t="shared" si="110"/>
        <v>17417.927697332878</v>
      </c>
      <c r="G3538" s="3">
        <v>0</v>
      </c>
      <c r="H3538" s="4">
        <v>0.7</v>
      </c>
      <c r="I3538" s="28">
        <f t="shared" si="111"/>
        <v>29610.477085465893</v>
      </c>
    </row>
    <row r="3539" spans="1:9" ht="15.75" customHeight="1" x14ac:dyDescent="0.35">
      <c r="A3539" s="26" t="s">
        <v>10776</v>
      </c>
      <c r="B3539" s="25" t="s">
        <v>12786</v>
      </c>
      <c r="C3539" s="6" t="s">
        <v>12268</v>
      </c>
      <c r="D3539" s="13">
        <v>12410.2411875</v>
      </c>
      <c r="E3539" s="18">
        <v>21</v>
      </c>
      <c r="F3539" s="2">
        <f t="shared" si="110"/>
        <v>15016.391836875</v>
      </c>
      <c r="G3539" s="3">
        <v>0</v>
      </c>
      <c r="H3539" s="4">
        <v>0.7</v>
      </c>
      <c r="I3539" s="28">
        <f t="shared" si="111"/>
        <v>25527.866122687501</v>
      </c>
    </row>
    <row r="3540" spans="1:9" ht="15.75" customHeight="1" x14ac:dyDescent="0.35">
      <c r="A3540" s="26" t="s">
        <v>4463</v>
      </c>
      <c r="B3540" s="25" t="s">
        <v>13241</v>
      </c>
      <c r="C3540" s="6" t="s">
        <v>10775</v>
      </c>
      <c r="D3540" s="13">
        <v>23813.919999999998</v>
      </c>
      <c r="E3540" s="18">
        <v>21</v>
      </c>
      <c r="F3540" s="2">
        <f t="shared" si="110"/>
        <v>28814.843199999996</v>
      </c>
      <c r="G3540" s="3">
        <v>0</v>
      </c>
      <c r="H3540" s="4">
        <v>0.7</v>
      </c>
      <c r="I3540" s="28">
        <f t="shared" si="111"/>
        <v>48985.233439999989</v>
      </c>
    </row>
    <row r="3541" spans="1:9" ht="15.75" customHeight="1" x14ac:dyDescent="0.35">
      <c r="A3541" s="26" t="s">
        <v>10777</v>
      </c>
      <c r="B3541" s="25" t="s">
        <v>9193</v>
      </c>
      <c r="C3541" s="6" t="s">
        <v>12659</v>
      </c>
      <c r="D3541" s="13">
        <v>13626.931499999999</v>
      </c>
      <c r="E3541" s="18">
        <v>21</v>
      </c>
      <c r="F3541" s="2">
        <f t="shared" si="110"/>
        <v>16488.587114999998</v>
      </c>
      <c r="G3541" s="3">
        <v>0</v>
      </c>
      <c r="H3541" s="4">
        <v>0.7</v>
      </c>
      <c r="I3541" s="28">
        <f t="shared" si="111"/>
        <v>28030.598095499998</v>
      </c>
    </row>
    <row r="3542" spans="1:9" ht="15.75" customHeight="1" x14ac:dyDescent="0.35">
      <c r="A3542" s="26" t="s">
        <v>4465</v>
      </c>
      <c r="B3542" s="25" t="s">
        <v>9194</v>
      </c>
      <c r="C3542" s="6" t="s">
        <v>12303</v>
      </c>
      <c r="D3542" s="13">
        <v>16790.326312500001</v>
      </c>
      <c r="E3542" s="18">
        <v>21</v>
      </c>
      <c r="F3542" s="2">
        <f t="shared" si="110"/>
        <v>20316.294838125003</v>
      </c>
      <c r="G3542" s="3">
        <v>0</v>
      </c>
      <c r="H3542" s="4">
        <v>0.7</v>
      </c>
      <c r="I3542" s="28">
        <f t="shared" si="111"/>
        <v>34537.701224812503</v>
      </c>
    </row>
    <row r="3543" spans="1:9" ht="15.75" customHeight="1" x14ac:dyDescent="0.35">
      <c r="A3543" s="26" t="s">
        <v>12302</v>
      </c>
      <c r="B3543" s="25" t="s">
        <v>9195</v>
      </c>
      <c r="C3543" s="6" t="s">
        <v>12303</v>
      </c>
      <c r="D3543" s="13">
        <v>30714.670999999998</v>
      </c>
      <c r="E3543" s="18">
        <v>21</v>
      </c>
      <c r="F3543" s="2">
        <f t="shared" si="110"/>
        <v>37164.751909999999</v>
      </c>
      <c r="G3543" s="3">
        <v>0</v>
      </c>
      <c r="H3543" s="4">
        <v>0.7</v>
      </c>
      <c r="I3543" s="28">
        <f t="shared" si="111"/>
        <v>63180.078246999998</v>
      </c>
    </row>
    <row r="3544" spans="1:9" ht="15.75" customHeight="1" x14ac:dyDescent="0.35">
      <c r="A3544" s="26" t="s">
        <v>11517</v>
      </c>
      <c r="B3544" s="25" t="s">
        <v>9196</v>
      </c>
      <c r="C3544" s="6" t="s">
        <v>11518</v>
      </c>
      <c r="D3544" s="13">
        <v>28102.893000000004</v>
      </c>
      <c r="E3544" s="18">
        <v>21</v>
      </c>
      <c r="F3544" s="2">
        <f t="shared" si="110"/>
        <v>34004.500530000005</v>
      </c>
      <c r="G3544" s="3">
        <v>0</v>
      </c>
      <c r="H3544" s="4">
        <v>0.7</v>
      </c>
      <c r="I3544" s="28">
        <f t="shared" si="111"/>
        <v>57807.650901000008</v>
      </c>
    </row>
    <row r="3545" spans="1:9" ht="15.75" customHeight="1" x14ac:dyDescent="0.35">
      <c r="A3545" s="26" t="s">
        <v>4466</v>
      </c>
      <c r="B3545" s="25" t="s">
        <v>9197</v>
      </c>
      <c r="C3545" s="6" t="s">
        <v>13175</v>
      </c>
      <c r="D3545" s="13">
        <v>19506.464250000001</v>
      </c>
      <c r="E3545" s="18">
        <v>21</v>
      </c>
      <c r="F3545" s="2">
        <f t="shared" si="110"/>
        <v>23602.8217425</v>
      </c>
      <c r="G3545" s="3">
        <v>0</v>
      </c>
      <c r="H3545" s="4">
        <v>0.7</v>
      </c>
      <c r="I3545" s="28">
        <f t="shared" si="111"/>
        <v>40124.796962250002</v>
      </c>
    </row>
    <row r="3546" spans="1:9" ht="15.75" customHeight="1" x14ac:dyDescent="0.35">
      <c r="A3546" s="26" t="s">
        <v>4467</v>
      </c>
      <c r="B3546" s="25" t="s">
        <v>9567</v>
      </c>
      <c r="C3546" s="6" t="s">
        <v>10734</v>
      </c>
      <c r="D3546" s="13">
        <v>107816.19712500001</v>
      </c>
      <c r="E3546" s="18">
        <v>21</v>
      </c>
      <c r="F3546" s="2">
        <f t="shared" si="110"/>
        <v>130457.59852125001</v>
      </c>
      <c r="G3546" s="3">
        <v>0</v>
      </c>
      <c r="H3546" s="4">
        <v>0.7</v>
      </c>
      <c r="I3546" s="28">
        <f t="shared" si="111"/>
        <v>221777.91748612502</v>
      </c>
    </row>
    <row r="3547" spans="1:9" ht="15.75" customHeight="1" x14ac:dyDescent="0.35">
      <c r="A3547" s="26" t="s">
        <v>12855</v>
      </c>
      <c r="B3547" s="25" t="s">
        <v>9422</v>
      </c>
      <c r="C3547" s="6" t="s">
        <v>13731</v>
      </c>
      <c r="D3547" s="13">
        <v>58985.146349999995</v>
      </c>
      <c r="E3547" s="18">
        <v>21</v>
      </c>
      <c r="F3547" s="2">
        <f t="shared" si="110"/>
        <v>71372.027083499997</v>
      </c>
      <c r="G3547" s="3">
        <v>0</v>
      </c>
      <c r="H3547" s="4">
        <v>0.7</v>
      </c>
      <c r="I3547" s="28">
        <f t="shared" si="111"/>
        <v>121332.44604195</v>
      </c>
    </row>
    <row r="3548" spans="1:9" ht="15.75" customHeight="1" x14ac:dyDescent="0.35">
      <c r="A3548" s="26" t="s">
        <v>12660</v>
      </c>
      <c r="B3548" s="25" t="s">
        <v>9697</v>
      </c>
      <c r="C3548" s="6" t="s">
        <v>13732</v>
      </c>
      <c r="D3548" s="13">
        <v>108918.116775</v>
      </c>
      <c r="E3548" s="18">
        <v>21</v>
      </c>
      <c r="F3548" s="2">
        <f t="shared" si="110"/>
        <v>131790.92129775</v>
      </c>
      <c r="G3548" s="3">
        <v>0</v>
      </c>
      <c r="H3548" s="4">
        <v>0.7</v>
      </c>
      <c r="I3548" s="28">
        <f t="shared" si="111"/>
        <v>224044.56620617499</v>
      </c>
    </row>
    <row r="3549" spans="1:9" ht="15.75" customHeight="1" x14ac:dyDescent="0.35">
      <c r="A3549" s="26" t="s">
        <v>12661</v>
      </c>
      <c r="B3549" s="25" t="s">
        <v>8775</v>
      </c>
      <c r="C3549" s="6" t="s">
        <v>13733</v>
      </c>
      <c r="D3549" s="13">
        <v>38174.875245000003</v>
      </c>
      <c r="E3549" s="18">
        <v>21</v>
      </c>
      <c r="F3549" s="2">
        <f t="shared" si="110"/>
        <v>46191.599046450006</v>
      </c>
      <c r="G3549" s="3">
        <v>0</v>
      </c>
      <c r="H3549" s="4">
        <v>0.7</v>
      </c>
      <c r="I3549" s="28">
        <f t="shared" si="111"/>
        <v>78525.718378965015</v>
      </c>
    </row>
    <row r="3550" spans="1:9" ht="15.75" customHeight="1" x14ac:dyDescent="0.35">
      <c r="A3550" s="26" t="s">
        <v>3559</v>
      </c>
      <c r="B3550" s="25" t="s">
        <v>13218</v>
      </c>
      <c r="C3550" s="6" t="s">
        <v>581</v>
      </c>
      <c r="D3550" s="13">
        <v>757.35776999999996</v>
      </c>
      <c r="E3550" s="18">
        <v>21</v>
      </c>
      <c r="F3550" s="2">
        <f t="shared" si="110"/>
        <v>916.40290169999992</v>
      </c>
      <c r="G3550" s="3">
        <v>0</v>
      </c>
      <c r="H3550" s="4">
        <v>0.7</v>
      </c>
      <c r="I3550" s="28">
        <f t="shared" si="111"/>
        <v>1557.8849328899998</v>
      </c>
    </row>
    <row r="3551" spans="1:9" ht="15.75" customHeight="1" x14ac:dyDescent="0.35">
      <c r="A3551" s="26" t="s">
        <v>3560</v>
      </c>
      <c r="B3551" s="25" t="s">
        <v>13219</v>
      </c>
      <c r="C3551" s="6" t="s">
        <v>582</v>
      </c>
      <c r="D3551" s="13">
        <v>4072.57265155</v>
      </c>
      <c r="E3551" s="18">
        <v>21</v>
      </c>
      <c r="F3551" s="2">
        <f t="shared" si="110"/>
        <v>4927.8129083755002</v>
      </c>
      <c r="G3551" s="3">
        <v>0</v>
      </c>
      <c r="H3551" s="4">
        <v>0.7</v>
      </c>
      <c r="I3551" s="28">
        <f t="shared" si="111"/>
        <v>8377.2819442383498</v>
      </c>
    </row>
    <row r="3552" spans="1:9" ht="15.75" customHeight="1" x14ac:dyDescent="0.35">
      <c r="A3552" s="26" t="s">
        <v>3561</v>
      </c>
      <c r="B3552" s="25" t="s">
        <v>575</v>
      </c>
      <c r="C3552" s="6" t="s">
        <v>583</v>
      </c>
      <c r="D3552" s="13">
        <v>833.09350217284896</v>
      </c>
      <c r="E3552" s="18">
        <v>21</v>
      </c>
      <c r="F3552" s="2">
        <f t="shared" si="110"/>
        <v>1008.0431376291472</v>
      </c>
      <c r="G3552" s="3">
        <v>0</v>
      </c>
      <c r="H3552" s="4">
        <v>0.7</v>
      </c>
      <c r="I3552" s="28">
        <f t="shared" si="111"/>
        <v>1713.6733339695502</v>
      </c>
    </row>
    <row r="3553" spans="1:9" ht="15.75" customHeight="1" x14ac:dyDescent="0.35">
      <c r="A3553" s="26" t="s">
        <v>3562</v>
      </c>
      <c r="B3553" s="25" t="s">
        <v>9917</v>
      </c>
      <c r="C3553" s="6" t="s">
        <v>584</v>
      </c>
      <c r="D3553" s="13">
        <v>3529.5665883843699</v>
      </c>
      <c r="E3553" s="18">
        <v>21</v>
      </c>
      <c r="F3553" s="2">
        <f t="shared" si="110"/>
        <v>4270.775571945087</v>
      </c>
      <c r="G3553" s="3">
        <v>0</v>
      </c>
      <c r="H3553" s="4">
        <v>0.7</v>
      </c>
      <c r="I3553" s="28">
        <f t="shared" si="111"/>
        <v>7260.3184723066479</v>
      </c>
    </row>
    <row r="3554" spans="1:9" ht="15.75" customHeight="1" x14ac:dyDescent="0.35">
      <c r="A3554" s="26" t="s">
        <v>3563</v>
      </c>
      <c r="B3554" s="25" t="s">
        <v>9918</v>
      </c>
      <c r="C3554" s="6" t="s">
        <v>585</v>
      </c>
      <c r="D3554" s="13">
        <v>6329.2444061599899</v>
      </c>
      <c r="E3554" s="18">
        <v>21</v>
      </c>
      <c r="F3554" s="2">
        <f t="shared" si="110"/>
        <v>7658.3857314535871</v>
      </c>
      <c r="G3554" s="3">
        <v>0</v>
      </c>
      <c r="H3554" s="4">
        <v>0.7</v>
      </c>
      <c r="I3554" s="28">
        <f t="shared" si="111"/>
        <v>13019.255743471098</v>
      </c>
    </row>
    <row r="3555" spans="1:9" ht="15.75" customHeight="1" x14ac:dyDescent="0.35">
      <c r="A3555" s="26" t="s">
        <v>3564</v>
      </c>
      <c r="B3555" s="25" t="s">
        <v>9919</v>
      </c>
      <c r="C3555" s="6" t="s">
        <v>586</v>
      </c>
      <c r="D3555" s="13">
        <v>1584.74187056251</v>
      </c>
      <c r="E3555" s="18">
        <v>21</v>
      </c>
      <c r="F3555" s="2">
        <f t="shared" si="110"/>
        <v>1917.5376633806372</v>
      </c>
      <c r="G3555" s="3">
        <v>0</v>
      </c>
      <c r="H3555" s="4">
        <v>0.7</v>
      </c>
      <c r="I3555" s="28">
        <f t="shared" si="111"/>
        <v>3259.8140277470834</v>
      </c>
    </row>
    <row r="3556" spans="1:9" ht="15.75" customHeight="1" x14ac:dyDescent="0.35">
      <c r="A3556" s="26" t="s">
        <v>3555</v>
      </c>
      <c r="B3556" s="25" t="s">
        <v>12656</v>
      </c>
      <c r="C3556" s="6" t="s">
        <v>10515</v>
      </c>
      <c r="D3556" s="13">
        <v>190820.29383893684</v>
      </c>
      <c r="E3556" s="18">
        <v>21</v>
      </c>
      <c r="F3556" s="2">
        <f t="shared" si="110"/>
        <v>230892.55554511357</v>
      </c>
      <c r="G3556" s="3">
        <v>0</v>
      </c>
      <c r="H3556" s="4">
        <v>0.7</v>
      </c>
      <c r="I3556" s="28">
        <f t="shared" si="111"/>
        <v>392517.34442669305</v>
      </c>
    </row>
    <row r="3557" spans="1:9" ht="15.75" customHeight="1" x14ac:dyDescent="0.35">
      <c r="A3557" s="26" t="s">
        <v>3565</v>
      </c>
      <c r="B3557" s="25" t="s">
        <v>9920</v>
      </c>
      <c r="C3557" s="6" t="s">
        <v>587</v>
      </c>
      <c r="D3557" s="13">
        <v>840.28173510937404</v>
      </c>
      <c r="E3557" s="18">
        <v>21</v>
      </c>
      <c r="F3557" s="2">
        <f t="shared" si="110"/>
        <v>1016.7408994823426</v>
      </c>
      <c r="G3557" s="3">
        <v>0</v>
      </c>
      <c r="H3557" s="4">
        <v>0.7</v>
      </c>
      <c r="I3557" s="28">
        <f t="shared" si="111"/>
        <v>1728.4595291199823</v>
      </c>
    </row>
    <row r="3558" spans="1:9" ht="15.75" customHeight="1" x14ac:dyDescent="0.35">
      <c r="A3558" s="26" t="s">
        <v>3566</v>
      </c>
      <c r="B3558" s="25" t="s">
        <v>576</v>
      </c>
      <c r="C3558" s="6" t="s">
        <v>588</v>
      </c>
      <c r="D3558" s="13">
        <v>57273.2878575</v>
      </c>
      <c r="E3558" s="18">
        <v>21</v>
      </c>
      <c r="F3558" s="2">
        <f t="shared" si="110"/>
        <v>69300.678307574999</v>
      </c>
      <c r="G3558" s="3">
        <v>0</v>
      </c>
      <c r="H3558" s="4">
        <v>0.7</v>
      </c>
      <c r="I3558" s="28">
        <f t="shared" si="111"/>
        <v>117811.1531228775</v>
      </c>
    </row>
    <row r="3559" spans="1:9" ht="15.75" customHeight="1" x14ac:dyDescent="0.35">
      <c r="A3559" s="26" t="s">
        <v>12744</v>
      </c>
      <c r="B3559" s="25" t="s">
        <v>10510</v>
      </c>
      <c r="C3559" s="6" t="s">
        <v>12745</v>
      </c>
      <c r="D3559" s="13">
        <v>72705.453478046998</v>
      </c>
      <c r="E3559" s="18">
        <v>21</v>
      </c>
      <c r="F3559" s="2">
        <f t="shared" si="110"/>
        <v>87973.598708436868</v>
      </c>
      <c r="G3559" s="3">
        <v>0</v>
      </c>
      <c r="H3559" s="4">
        <v>0.7</v>
      </c>
      <c r="I3559" s="28">
        <f t="shared" si="111"/>
        <v>149555.11780434268</v>
      </c>
    </row>
    <row r="3560" spans="1:9" ht="15.75" customHeight="1" x14ac:dyDescent="0.35">
      <c r="A3560" s="26" t="s">
        <v>8971</v>
      </c>
      <c r="B3560" s="25" t="s">
        <v>10682</v>
      </c>
      <c r="C3560" s="6" t="s">
        <v>9030</v>
      </c>
      <c r="D3560" s="13">
        <v>192795.12466500001</v>
      </c>
      <c r="E3560" s="18">
        <v>21</v>
      </c>
      <c r="F3560" s="2">
        <f t="shared" si="110"/>
        <v>233282.10084465001</v>
      </c>
      <c r="G3560" s="3">
        <v>0</v>
      </c>
      <c r="H3560" s="4">
        <v>0.7</v>
      </c>
      <c r="I3560" s="28">
        <f t="shared" si="111"/>
        <v>396579.571435905</v>
      </c>
    </row>
    <row r="3561" spans="1:9" ht="15.75" customHeight="1" x14ac:dyDescent="0.35">
      <c r="A3561" s="26" t="s">
        <v>12970</v>
      </c>
      <c r="B3561" s="25" t="s">
        <v>11302</v>
      </c>
      <c r="C3561" s="6" t="s">
        <v>12971</v>
      </c>
      <c r="D3561" s="13">
        <v>20632.42084956</v>
      </c>
      <c r="E3561" s="18">
        <v>21</v>
      </c>
      <c r="F3561" s="2">
        <f t="shared" si="110"/>
        <v>24965.2292279676</v>
      </c>
      <c r="G3561" s="3">
        <v>0</v>
      </c>
      <c r="H3561" s="4">
        <v>0.7</v>
      </c>
      <c r="I3561" s="28">
        <f t="shared" si="111"/>
        <v>42440.889687544921</v>
      </c>
    </row>
    <row r="3562" spans="1:9" ht="15.75" customHeight="1" x14ac:dyDescent="0.35">
      <c r="A3562" s="26" t="s">
        <v>12052</v>
      </c>
      <c r="B3562" s="25" t="s">
        <v>10864</v>
      </c>
      <c r="C3562" s="6" t="s">
        <v>12305</v>
      </c>
      <c r="D3562" s="13">
        <v>17119.714082532799</v>
      </c>
      <c r="E3562" s="18">
        <v>21</v>
      </c>
      <c r="F3562" s="2">
        <f t="shared" si="110"/>
        <v>20714.854039864687</v>
      </c>
      <c r="G3562" s="3">
        <v>0</v>
      </c>
      <c r="H3562" s="4">
        <v>0.7</v>
      </c>
      <c r="I3562" s="28">
        <f t="shared" si="111"/>
        <v>35215.25186776997</v>
      </c>
    </row>
    <row r="3563" spans="1:9" ht="15.75" customHeight="1" x14ac:dyDescent="0.35">
      <c r="A3563" s="26" t="s">
        <v>12053</v>
      </c>
      <c r="B3563" s="25" t="s">
        <v>10683</v>
      </c>
      <c r="C3563" s="6" t="s">
        <v>12306</v>
      </c>
      <c r="D3563" s="13">
        <v>19880.146050895</v>
      </c>
      <c r="E3563" s="18">
        <v>21</v>
      </c>
      <c r="F3563" s="2">
        <f t="shared" si="110"/>
        <v>24054.976721582949</v>
      </c>
      <c r="G3563" s="3">
        <v>0</v>
      </c>
      <c r="H3563" s="4">
        <v>0.7</v>
      </c>
      <c r="I3563" s="28">
        <f t="shared" si="111"/>
        <v>40893.46042669101</v>
      </c>
    </row>
    <row r="3564" spans="1:9" ht="15.75" customHeight="1" x14ac:dyDescent="0.35">
      <c r="A3564" s="26" t="s">
        <v>12502</v>
      </c>
      <c r="B3564" s="25" t="s">
        <v>10684</v>
      </c>
      <c r="C3564" s="6" t="s">
        <v>12503</v>
      </c>
      <c r="D3564" s="13">
        <v>20632.42084956</v>
      </c>
      <c r="E3564" s="18">
        <v>21</v>
      </c>
      <c r="F3564" s="2">
        <f t="shared" si="110"/>
        <v>24965.2292279676</v>
      </c>
      <c r="G3564" s="3">
        <v>0</v>
      </c>
      <c r="H3564" s="4">
        <v>0.7</v>
      </c>
      <c r="I3564" s="28">
        <f t="shared" si="111"/>
        <v>42440.889687544921</v>
      </c>
    </row>
    <row r="3565" spans="1:9" ht="15.75" customHeight="1" x14ac:dyDescent="0.35">
      <c r="A3565" s="26" t="s">
        <v>1416</v>
      </c>
      <c r="B3565" s="25" t="s">
        <v>10855</v>
      </c>
      <c r="C3565" s="6" t="s">
        <v>589</v>
      </c>
      <c r="D3565" s="13">
        <v>1770.7429999999999</v>
      </c>
      <c r="E3565" s="18">
        <v>21</v>
      </c>
      <c r="F3565" s="2">
        <f t="shared" si="110"/>
        <v>2142.5990299999999</v>
      </c>
      <c r="G3565" s="3">
        <v>0</v>
      </c>
      <c r="H3565" s="4">
        <v>0.7</v>
      </c>
      <c r="I3565" s="28">
        <f t="shared" si="111"/>
        <v>3642.4183509999998</v>
      </c>
    </row>
    <row r="3566" spans="1:9" ht="15.75" customHeight="1" x14ac:dyDescent="0.35">
      <c r="A3566" s="26" t="s">
        <v>2853</v>
      </c>
      <c r="B3566" s="25" t="s">
        <v>10685</v>
      </c>
      <c r="C3566" s="6" t="s">
        <v>10690</v>
      </c>
      <c r="D3566" s="13">
        <v>4437.130055865</v>
      </c>
      <c r="E3566" s="18">
        <v>10.5</v>
      </c>
      <c r="F3566" s="2">
        <f t="shared" si="110"/>
        <v>4903.0287117308253</v>
      </c>
      <c r="G3566" s="3">
        <v>0</v>
      </c>
      <c r="H3566" s="4">
        <v>0.7</v>
      </c>
      <c r="I3566" s="28">
        <f t="shared" si="111"/>
        <v>8335.1488099424023</v>
      </c>
    </row>
    <row r="3567" spans="1:9" ht="15.75" customHeight="1" x14ac:dyDescent="0.35">
      <c r="A3567" s="26" t="s">
        <v>10371</v>
      </c>
      <c r="B3567" s="25" t="s">
        <v>10686</v>
      </c>
      <c r="C3567" s="6" t="s">
        <v>10372</v>
      </c>
      <c r="D3567" s="13">
        <v>6866.5301250000002</v>
      </c>
      <c r="E3567" s="18">
        <v>10.5</v>
      </c>
      <c r="F3567" s="2">
        <f t="shared" si="110"/>
        <v>7587.5157881249997</v>
      </c>
      <c r="G3567" s="3">
        <v>0</v>
      </c>
      <c r="H3567" s="4">
        <v>0.7</v>
      </c>
      <c r="I3567" s="28">
        <f t="shared" si="111"/>
        <v>12898.776839812499</v>
      </c>
    </row>
    <row r="3568" spans="1:9" ht="15.75" customHeight="1" x14ac:dyDescent="0.35">
      <c r="A3568" s="26" t="s">
        <v>2854</v>
      </c>
      <c r="B3568" s="25" t="s">
        <v>10687</v>
      </c>
      <c r="C3568" s="6" t="s">
        <v>10691</v>
      </c>
      <c r="D3568" s="13">
        <v>4437.130055865</v>
      </c>
      <c r="E3568" s="18">
        <v>10.5</v>
      </c>
      <c r="F3568" s="2">
        <f t="shared" si="110"/>
        <v>4903.0287117308253</v>
      </c>
      <c r="G3568" s="3">
        <v>0</v>
      </c>
      <c r="H3568" s="4">
        <v>0.7</v>
      </c>
      <c r="I3568" s="28">
        <f t="shared" si="111"/>
        <v>8335.1488099424023</v>
      </c>
    </row>
    <row r="3569" spans="1:9" ht="15.75" customHeight="1" x14ac:dyDescent="0.35">
      <c r="A3569" s="26" t="s">
        <v>10373</v>
      </c>
      <c r="B3569" s="25" t="s">
        <v>1143</v>
      </c>
      <c r="C3569" s="6" t="s">
        <v>10374</v>
      </c>
      <c r="D3569" s="13">
        <v>5614.2108750000007</v>
      </c>
      <c r="E3569" s="18">
        <v>10.5</v>
      </c>
      <c r="F3569" s="2">
        <f t="shared" si="110"/>
        <v>6203.7030168750007</v>
      </c>
      <c r="G3569" s="3">
        <v>0</v>
      </c>
      <c r="H3569" s="4">
        <v>0.7</v>
      </c>
      <c r="I3569" s="28">
        <f t="shared" si="111"/>
        <v>10546.295128687501</v>
      </c>
    </row>
    <row r="3570" spans="1:9" ht="15.75" customHeight="1" x14ac:dyDescent="0.35">
      <c r="A3570" s="26" t="s">
        <v>2855</v>
      </c>
      <c r="B3570" s="25" t="s">
        <v>1144</v>
      </c>
      <c r="C3570" s="6" t="s">
        <v>10692</v>
      </c>
      <c r="D3570" s="13">
        <v>4437.130055865</v>
      </c>
      <c r="E3570" s="18">
        <v>10.5</v>
      </c>
      <c r="F3570" s="2">
        <f t="shared" si="110"/>
        <v>4903.0287117308253</v>
      </c>
      <c r="G3570" s="3">
        <v>0</v>
      </c>
      <c r="H3570" s="4">
        <v>0.7</v>
      </c>
      <c r="I3570" s="28">
        <f t="shared" si="111"/>
        <v>8335.1488099424023</v>
      </c>
    </row>
    <row r="3571" spans="1:9" ht="15.75" customHeight="1" x14ac:dyDescent="0.35">
      <c r="A3571" s="26" t="s">
        <v>10375</v>
      </c>
      <c r="B3571" s="25" t="s">
        <v>1008</v>
      </c>
      <c r="C3571" s="6" t="s">
        <v>10376</v>
      </c>
      <c r="D3571" s="13">
        <v>5614.2108750000007</v>
      </c>
      <c r="E3571" s="18">
        <v>10.5</v>
      </c>
      <c r="F3571" s="2">
        <f t="shared" si="110"/>
        <v>6203.7030168750007</v>
      </c>
      <c r="G3571" s="3">
        <v>0</v>
      </c>
      <c r="H3571" s="4">
        <v>0.7</v>
      </c>
      <c r="I3571" s="28">
        <f t="shared" si="111"/>
        <v>10546.295128687501</v>
      </c>
    </row>
    <row r="3572" spans="1:9" ht="15.75" customHeight="1" x14ac:dyDescent="0.35">
      <c r="A3572" s="26" t="s">
        <v>2857</v>
      </c>
      <c r="B3572" s="25" t="s">
        <v>13220</v>
      </c>
      <c r="C3572" s="6" t="s">
        <v>1072</v>
      </c>
      <c r="D3572" s="13">
        <v>55457.717796000004</v>
      </c>
      <c r="E3572" s="18">
        <v>10.5</v>
      </c>
      <c r="F3572" s="2">
        <f t="shared" si="110"/>
        <v>61280.778164580006</v>
      </c>
      <c r="G3572" s="3">
        <v>0</v>
      </c>
      <c r="H3572" s="4">
        <v>0.7</v>
      </c>
      <c r="I3572" s="28">
        <f t="shared" si="111"/>
        <v>104177.32287978601</v>
      </c>
    </row>
    <row r="3573" spans="1:9" ht="15.75" customHeight="1" x14ac:dyDescent="0.35">
      <c r="A3573" s="26" t="s">
        <v>2856</v>
      </c>
      <c r="B3573" s="25" t="s">
        <v>577</v>
      </c>
      <c r="C3573" s="6" t="s">
        <v>9083</v>
      </c>
      <c r="D3573" s="13">
        <v>9333.2735657849989</v>
      </c>
      <c r="E3573" s="18">
        <v>10.5</v>
      </c>
      <c r="F3573" s="2">
        <f t="shared" si="110"/>
        <v>10313.267290192423</v>
      </c>
      <c r="G3573" s="3">
        <v>0</v>
      </c>
      <c r="H3573" s="4">
        <v>0.7</v>
      </c>
      <c r="I3573" s="28">
        <f t="shared" si="111"/>
        <v>17532.554393327118</v>
      </c>
    </row>
    <row r="3574" spans="1:9" ht="15.75" customHeight="1" x14ac:dyDescent="0.35">
      <c r="A3574" s="26" t="s">
        <v>10377</v>
      </c>
      <c r="B3574" s="25" t="s">
        <v>9461</v>
      </c>
      <c r="C3574" s="6" t="s">
        <v>12663</v>
      </c>
      <c r="D3574" s="13">
        <v>12342.773625</v>
      </c>
      <c r="E3574" s="18">
        <v>10.5</v>
      </c>
      <c r="F3574" s="2">
        <f t="shared" si="110"/>
        <v>13638.764855625001</v>
      </c>
      <c r="G3574" s="3">
        <v>0</v>
      </c>
      <c r="H3574" s="4">
        <v>0.7</v>
      </c>
      <c r="I3574" s="28">
        <f t="shared" si="111"/>
        <v>23185.900254562501</v>
      </c>
    </row>
    <row r="3575" spans="1:9" ht="15.75" customHeight="1" x14ac:dyDescent="0.35">
      <c r="A3575" s="26" t="s">
        <v>2858</v>
      </c>
      <c r="B3575" s="25" t="s">
        <v>9462</v>
      </c>
      <c r="C3575" s="6" t="s">
        <v>1010</v>
      </c>
      <c r="D3575" s="13">
        <v>22293.659933999999</v>
      </c>
      <c r="E3575" s="18">
        <v>10.5</v>
      </c>
      <c r="F3575" s="2">
        <f t="shared" si="110"/>
        <v>24634.494227069998</v>
      </c>
      <c r="G3575" s="3">
        <v>0</v>
      </c>
      <c r="H3575" s="4">
        <v>0.7</v>
      </c>
      <c r="I3575" s="28">
        <f t="shared" si="111"/>
        <v>41878.640186018994</v>
      </c>
    </row>
    <row r="3576" spans="1:9" ht="15.75" customHeight="1" x14ac:dyDescent="0.35">
      <c r="A3576" s="26" t="s">
        <v>2859</v>
      </c>
      <c r="B3576" s="25" t="s">
        <v>13221</v>
      </c>
      <c r="C3576" s="6" t="s">
        <v>1011</v>
      </c>
      <c r="D3576" s="13">
        <v>22293.659933999999</v>
      </c>
      <c r="E3576" s="18">
        <v>10.5</v>
      </c>
      <c r="F3576" s="2">
        <f t="shared" si="110"/>
        <v>24634.494227069998</v>
      </c>
      <c r="G3576" s="3">
        <v>0</v>
      </c>
      <c r="H3576" s="4">
        <v>0.7</v>
      </c>
      <c r="I3576" s="28">
        <f t="shared" si="111"/>
        <v>41878.640186018994</v>
      </c>
    </row>
    <row r="3577" spans="1:9" ht="15.75" customHeight="1" x14ac:dyDescent="0.35">
      <c r="A3577" s="26" t="s">
        <v>2860</v>
      </c>
      <c r="B3577" s="25" t="s">
        <v>12048</v>
      </c>
      <c r="C3577" s="6" t="s">
        <v>1012</v>
      </c>
      <c r="D3577" s="13">
        <v>22293.659933999999</v>
      </c>
      <c r="E3577" s="18">
        <v>10.5</v>
      </c>
      <c r="F3577" s="2">
        <f t="shared" si="110"/>
        <v>24634.494227069998</v>
      </c>
      <c r="G3577" s="3">
        <v>0</v>
      </c>
      <c r="H3577" s="4">
        <v>0.7</v>
      </c>
      <c r="I3577" s="28">
        <f t="shared" si="111"/>
        <v>41878.640186018994</v>
      </c>
    </row>
    <row r="3578" spans="1:9" ht="15.75" customHeight="1" x14ac:dyDescent="0.35">
      <c r="A3578" s="26" t="s">
        <v>10378</v>
      </c>
      <c r="B3578" s="25" t="s">
        <v>578</v>
      </c>
      <c r="C3578" s="6" t="s">
        <v>10693</v>
      </c>
      <c r="D3578" s="13">
        <v>10856.971125</v>
      </c>
      <c r="E3578" s="18">
        <v>10.5</v>
      </c>
      <c r="F3578" s="2">
        <f t="shared" si="110"/>
        <v>11996.953093125001</v>
      </c>
      <c r="G3578" s="3">
        <v>0</v>
      </c>
      <c r="H3578" s="4">
        <v>0.7</v>
      </c>
      <c r="I3578" s="28">
        <f t="shared" si="111"/>
        <v>20394.820258312502</v>
      </c>
    </row>
    <row r="3579" spans="1:9" ht="15.75" customHeight="1" x14ac:dyDescent="0.35">
      <c r="A3579" s="26" t="s">
        <v>2862</v>
      </c>
      <c r="B3579" s="25" t="s">
        <v>13222</v>
      </c>
      <c r="C3579" s="6" t="s">
        <v>10694</v>
      </c>
      <c r="D3579" s="13">
        <v>35609.118714000004</v>
      </c>
      <c r="E3579" s="18">
        <v>10.5</v>
      </c>
      <c r="F3579" s="2">
        <f t="shared" si="110"/>
        <v>39348.076178970005</v>
      </c>
      <c r="G3579" s="3">
        <v>0</v>
      </c>
      <c r="H3579" s="4">
        <v>0.7</v>
      </c>
      <c r="I3579" s="28">
        <f t="shared" si="111"/>
        <v>66891.729504249</v>
      </c>
    </row>
    <row r="3580" spans="1:9" ht="15.75" customHeight="1" x14ac:dyDescent="0.35">
      <c r="A3580" s="26" t="s">
        <v>2863</v>
      </c>
      <c r="B3580" s="25" t="s">
        <v>10688</v>
      </c>
      <c r="C3580" s="6" t="s">
        <v>11303</v>
      </c>
      <c r="D3580" s="13">
        <v>24567.410790000002</v>
      </c>
      <c r="E3580" s="18">
        <v>10.5</v>
      </c>
      <c r="F3580" s="2">
        <f t="shared" si="110"/>
        <v>27146.988922950004</v>
      </c>
      <c r="G3580" s="3">
        <v>0</v>
      </c>
      <c r="H3580" s="4">
        <v>0.7</v>
      </c>
      <c r="I3580" s="28">
        <f t="shared" si="111"/>
        <v>46149.881169015003</v>
      </c>
    </row>
    <row r="3581" spans="1:9" ht="15.75" customHeight="1" x14ac:dyDescent="0.35">
      <c r="A3581" s="26" t="s">
        <v>2864</v>
      </c>
      <c r="B3581" s="25" t="s">
        <v>10689</v>
      </c>
      <c r="C3581" s="6" t="s">
        <v>10695</v>
      </c>
      <c r="D3581" s="13">
        <v>36270.998244000002</v>
      </c>
      <c r="E3581" s="18">
        <v>10.5</v>
      </c>
      <c r="F3581" s="2">
        <f t="shared" si="110"/>
        <v>40079.453059620006</v>
      </c>
      <c r="G3581" s="3">
        <v>0</v>
      </c>
      <c r="H3581" s="4">
        <v>0.7</v>
      </c>
      <c r="I3581" s="28">
        <f t="shared" si="111"/>
        <v>68135.070201354014</v>
      </c>
    </row>
    <row r="3582" spans="1:9" ht="15.75" customHeight="1" x14ac:dyDescent="0.35">
      <c r="A3582" s="26" t="s">
        <v>2865</v>
      </c>
      <c r="B3582" s="25" t="s">
        <v>579</v>
      </c>
      <c r="C3582" s="6" t="s">
        <v>1013</v>
      </c>
      <c r="D3582" s="13">
        <v>32377.589243999999</v>
      </c>
      <c r="E3582" s="18">
        <v>10.5</v>
      </c>
      <c r="F3582" s="2">
        <f t="shared" si="110"/>
        <v>35777.236114619998</v>
      </c>
      <c r="G3582" s="3">
        <v>0</v>
      </c>
      <c r="H3582" s="4">
        <v>0.7</v>
      </c>
      <c r="I3582" s="28">
        <f t="shared" si="111"/>
        <v>60821.301394853996</v>
      </c>
    </row>
    <row r="3583" spans="1:9" ht="15.75" customHeight="1" x14ac:dyDescent="0.35">
      <c r="A3583" s="26" t="s">
        <v>2866</v>
      </c>
      <c r="B3583" s="25" t="s">
        <v>1009</v>
      </c>
      <c r="C3583" s="6" t="s">
        <v>1114</v>
      </c>
      <c r="D3583" s="13">
        <v>9435.2765555750011</v>
      </c>
      <c r="E3583" s="18">
        <v>10.5</v>
      </c>
      <c r="F3583" s="2">
        <f t="shared" si="110"/>
        <v>10425.980593910375</v>
      </c>
      <c r="G3583" s="3">
        <v>0</v>
      </c>
      <c r="H3583" s="4">
        <v>0.7</v>
      </c>
      <c r="I3583" s="28">
        <f t="shared" si="111"/>
        <v>17724.167009647637</v>
      </c>
    </row>
    <row r="3584" spans="1:9" ht="15.75" customHeight="1" x14ac:dyDescent="0.35">
      <c r="A3584" s="26" t="s">
        <v>2867</v>
      </c>
      <c r="B3584" s="25" t="s">
        <v>12726</v>
      </c>
      <c r="C3584" s="6" t="s">
        <v>1073</v>
      </c>
      <c r="D3584" s="13">
        <v>8568.251142359999</v>
      </c>
      <c r="E3584" s="18">
        <v>10.5</v>
      </c>
      <c r="F3584" s="2">
        <f t="shared" si="110"/>
        <v>9467.9175123077985</v>
      </c>
      <c r="G3584" s="3">
        <v>0</v>
      </c>
      <c r="H3584" s="4">
        <v>0.7</v>
      </c>
      <c r="I3584" s="28">
        <f t="shared" si="111"/>
        <v>16095.459770923257</v>
      </c>
    </row>
    <row r="3585" spans="1:9" ht="15.75" customHeight="1" x14ac:dyDescent="0.35">
      <c r="A3585" s="26" t="s">
        <v>4759</v>
      </c>
      <c r="B3585" s="25" t="s">
        <v>12727</v>
      </c>
      <c r="C3585" s="6" t="s">
        <v>1115</v>
      </c>
      <c r="D3585" s="13">
        <v>830.5978600075</v>
      </c>
      <c r="E3585" s="18">
        <v>10.5</v>
      </c>
      <c r="F3585" s="2">
        <f t="shared" si="110"/>
        <v>917.81063530828749</v>
      </c>
      <c r="G3585" s="3">
        <v>0</v>
      </c>
      <c r="H3585" s="4">
        <v>0.7</v>
      </c>
      <c r="I3585" s="28">
        <f t="shared" si="111"/>
        <v>1560.2780800240887</v>
      </c>
    </row>
    <row r="3586" spans="1:9" ht="15.75" customHeight="1" x14ac:dyDescent="0.35">
      <c r="A3586" s="26" t="s">
        <v>4760</v>
      </c>
      <c r="B3586" s="25" t="s">
        <v>12614</v>
      </c>
      <c r="C3586" s="6" t="s">
        <v>1116</v>
      </c>
      <c r="D3586" s="13">
        <v>830.5978600075</v>
      </c>
      <c r="E3586" s="18">
        <v>10.5</v>
      </c>
      <c r="F3586" s="2">
        <f t="shared" si="110"/>
        <v>917.81063530828749</v>
      </c>
      <c r="G3586" s="3">
        <v>0</v>
      </c>
      <c r="H3586" s="4">
        <v>0.7</v>
      </c>
      <c r="I3586" s="28">
        <f t="shared" si="111"/>
        <v>1560.2780800240887</v>
      </c>
    </row>
    <row r="3587" spans="1:9" ht="15.75" customHeight="1" x14ac:dyDescent="0.35">
      <c r="A3587" s="26" t="s">
        <v>9031</v>
      </c>
      <c r="B3587" s="25" t="s">
        <v>12615</v>
      </c>
      <c r="C3587" s="6" t="s">
        <v>9032</v>
      </c>
      <c r="D3587" s="13">
        <v>6141.2037959999998</v>
      </c>
      <c r="E3587" s="18">
        <v>21</v>
      </c>
      <c r="F3587" s="2">
        <f t="shared" si="110"/>
        <v>7430.8565931599996</v>
      </c>
      <c r="G3587" s="3">
        <v>0</v>
      </c>
      <c r="H3587" s="4">
        <v>0.7</v>
      </c>
      <c r="I3587" s="28">
        <f t="shared" si="111"/>
        <v>12632.456208371999</v>
      </c>
    </row>
    <row r="3588" spans="1:9" ht="15.75" customHeight="1" x14ac:dyDescent="0.35">
      <c r="A3588" s="26" t="s">
        <v>11445</v>
      </c>
      <c r="B3588" s="25" t="s">
        <v>12616</v>
      </c>
      <c r="C3588" s="6" t="s">
        <v>11446</v>
      </c>
      <c r="D3588" s="13">
        <v>26.961753000000002</v>
      </c>
      <c r="E3588" s="18">
        <v>21</v>
      </c>
      <c r="F3588" s="2">
        <f t="shared" si="110"/>
        <v>32.62372113</v>
      </c>
      <c r="G3588" s="3">
        <v>0</v>
      </c>
      <c r="H3588" s="4">
        <v>0.7</v>
      </c>
      <c r="I3588" s="28">
        <f t="shared" si="111"/>
        <v>55.460325920999999</v>
      </c>
    </row>
    <row r="3589" spans="1:9" ht="15.75" customHeight="1" x14ac:dyDescent="0.35">
      <c r="A3589" s="26" t="s">
        <v>1653</v>
      </c>
      <c r="B3589" s="25" t="s">
        <v>1281</v>
      </c>
      <c r="C3589" s="6" t="s">
        <v>10516</v>
      </c>
      <c r="D3589" s="13">
        <v>29.5264788</v>
      </c>
      <c r="E3589" s="18">
        <v>21</v>
      </c>
      <c r="F3589" s="2">
        <f t="shared" si="110"/>
        <v>35.727039347999998</v>
      </c>
      <c r="G3589" s="3">
        <v>0</v>
      </c>
      <c r="H3589" s="4">
        <v>0.7</v>
      </c>
      <c r="I3589" s="28">
        <f t="shared" si="111"/>
        <v>60.735966891599993</v>
      </c>
    </row>
    <row r="3590" spans="1:9" ht="15.75" customHeight="1" x14ac:dyDescent="0.35">
      <c r="A3590" s="26" t="s">
        <v>1654</v>
      </c>
      <c r="B3590" s="25" t="s">
        <v>13342</v>
      </c>
      <c r="C3590" s="6" t="s">
        <v>10517</v>
      </c>
      <c r="D3590" s="13">
        <v>33.004306237271599</v>
      </c>
      <c r="E3590" s="18">
        <v>21</v>
      </c>
      <c r="F3590" s="2">
        <f t="shared" ref="F3590:F3653" si="112">D3590*E3590/100+D3590</f>
        <v>39.935210547098634</v>
      </c>
      <c r="G3590" s="3">
        <v>0</v>
      </c>
      <c r="H3590" s="4">
        <v>0.7</v>
      </c>
      <c r="I3590" s="28">
        <f t="shared" ref="I3590:I3653" si="113">IF(G3590=-1,0,F3590*((100-G3590)/100)*(1+H3590))</f>
        <v>67.889857930067677</v>
      </c>
    </row>
    <row r="3591" spans="1:9" ht="15.75" customHeight="1" x14ac:dyDescent="0.35">
      <c r="A3591" s="26" t="s">
        <v>1655</v>
      </c>
      <c r="B3591" s="25" t="s">
        <v>1182</v>
      </c>
      <c r="C3591" s="6" t="s">
        <v>10518</v>
      </c>
      <c r="D3591" s="13">
        <v>132.00450900000001</v>
      </c>
      <c r="E3591" s="18">
        <v>21</v>
      </c>
      <c r="F3591" s="2">
        <f t="shared" si="112"/>
        <v>159.72545589000001</v>
      </c>
      <c r="G3591" s="3">
        <v>0</v>
      </c>
      <c r="H3591" s="4">
        <v>0.7</v>
      </c>
      <c r="I3591" s="28">
        <f t="shared" si="113"/>
        <v>271.53327501299998</v>
      </c>
    </row>
    <row r="3592" spans="1:9" ht="15.75" customHeight="1" x14ac:dyDescent="0.35">
      <c r="A3592" s="26" t="s">
        <v>1656</v>
      </c>
      <c r="B3592" s="25" t="s">
        <v>13343</v>
      </c>
      <c r="C3592" s="6" t="s">
        <v>11266</v>
      </c>
      <c r="D3592" s="13">
        <v>152.0198862</v>
      </c>
      <c r="E3592" s="18">
        <v>21</v>
      </c>
      <c r="F3592" s="2">
        <f t="shared" si="112"/>
        <v>183.94406230199999</v>
      </c>
      <c r="G3592" s="3">
        <v>0</v>
      </c>
      <c r="H3592" s="4">
        <v>0.7</v>
      </c>
      <c r="I3592" s="28">
        <f t="shared" si="113"/>
        <v>312.70490591339995</v>
      </c>
    </row>
    <row r="3593" spans="1:9" ht="15.75" customHeight="1" x14ac:dyDescent="0.35">
      <c r="A3593" s="26" t="s">
        <v>1657</v>
      </c>
      <c r="B3593" s="25" t="s">
        <v>9298</v>
      </c>
      <c r="C3593" s="6" t="s">
        <v>10519</v>
      </c>
      <c r="D3593" s="13">
        <v>44.3306136</v>
      </c>
      <c r="E3593" s="18">
        <v>21</v>
      </c>
      <c r="F3593" s="2">
        <f t="shared" si="112"/>
        <v>53.640042456000003</v>
      </c>
      <c r="G3593" s="3">
        <v>0</v>
      </c>
      <c r="H3593" s="4">
        <v>0.7</v>
      </c>
      <c r="I3593" s="28">
        <f t="shared" si="113"/>
        <v>91.188072175200006</v>
      </c>
    </row>
    <row r="3594" spans="1:9" ht="15.75" customHeight="1" x14ac:dyDescent="0.35">
      <c r="A3594" s="26" t="s">
        <v>1658</v>
      </c>
      <c r="B3594" s="25" t="s">
        <v>13092</v>
      </c>
      <c r="C3594" s="6" t="s">
        <v>10520</v>
      </c>
      <c r="D3594" s="13">
        <v>256.22720759999999</v>
      </c>
      <c r="E3594" s="18">
        <v>21</v>
      </c>
      <c r="F3594" s="2">
        <f t="shared" si="112"/>
        <v>310.03492119599997</v>
      </c>
      <c r="G3594" s="3">
        <v>0</v>
      </c>
      <c r="H3594" s="4">
        <v>0.7</v>
      </c>
      <c r="I3594" s="28">
        <f t="shared" si="113"/>
        <v>527.05936603319992</v>
      </c>
    </row>
    <row r="3595" spans="1:9" ht="15.75" customHeight="1" x14ac:dyDescent="0.35">
      <c r="A3595" s="26" t="s">
        <v>1659</v>
      </c>
      <c r="B3595" s="25" t="s">
        <v>580</v>
      </c>
      <c r="C3595" s="6" t="s">
        <v>10521</v>
      </c>
      <c r="D3595" s="13">
        <v>269.21441820000001</v>
      </c>
      <c r="E3595" s="18">
        <v>21</v>
      </c>
      <c r="F3595" s="2">
        <f t="shared" si="112"/>
        <v>325.74944602200003</v>
      </c>
      <c r="G3595" s="3">
        <v>0</v>
      </c>
      <c r="H3595" s="4">
        <v>0.7</v>
      </c>
      <c r="I3595" s="28">
        <f t="shared" si="113"/>
        <v>553.77405823740003</v>
      </c>
    </row>
    <row r="3596" spans="1:9" ht="15.75" customHeight="1" x14ac:dyDescent="0.35">
      <c r="A3596" s="26" t="s">
        <v>1660</v>
      </c>
      <c r="B3596" s="25" t="s">
        <v>10511</v>
      </c>
      <c r="C3596" s="6" t="s">
        <v>10522</v>
      </c>
      <c r="D3596" s="13">
        <v>71.210575800000001</v>
      </c>
      <c r="E3596" s="18">
        <v>21</v>
      </c>
      <c r="F3596" s="2">
        <f t="shared" si="112"/>
        <v>86.164796718000005</v>
      </c>
      <c r="G3596" s="3">
        <v>0</v>
      </c>
      <c r="H3596" s="4">
        <v>0.7</v>
      </c>
      <c r="I3596" s="28">
        <f t="shared" si="113"/>
        <v>146.4801544206</v>
      </c>
    </row>
    <row r="3597" spans="1:9" ht="15.75" customHeight="1" x14ac:dyDescent="0.35">
      <c r="A3597" s="26" t="s">
        <v>1661</v>
      </c>
      <c r="B3597" s="25" t="s">
        <v>1113</v>
      </c>
      <c r="C3597" s="6" t="s">
        <v>10523</v>
      </c>
      <c r="D3597" s="13">
        <v>93.7942283400088</v>
      </c>
      <c r="E3597" s="18">
        <v>21</v>
      </c>
      <c r="F3597" s="2">
        <f t="shared" si="112"/>
        <v>113.49101629141065</v>
      </c>
      <c r="G3597" s="3">
        <v>0</v>
      </c>
      <c r="H3597" s="4">
        <v>0.7</v>
      </c>
      <c r="I3597" s="28">
        <f t="shared" si="113"/>
        <v>192.9347276953981</v>
      </c>
    </row>
    <row r="3598" spans="1:9" ht="15.75" customHeight="1" x14ac:dyDescent="0.35">
      <c r="A3598" s="26" t="s">
        <v>1662</v>
      </c>
      <c r="B3598" s="25" t="s">
        <v>10752</v>
      </c>
      <c r="C3598" s="6" t="s">
        <v>1014</v>
      </c>
      <c r="D3598" s="13">
        <v>78.647696400000001</v>
      </c>
      <c r="E3598" s="18">
        <v>21</v>
      </c>
      <c r="F3598" s="2">
        <f t="shared" si="112"/>
        <v>95.163712644</v>
      </c>
      <c r="G3598" s="3">
        <v>0</v>
      </c>
      <c r="H3598" s="4">
        <v>0.7</v>
      </c>
      <c r="I3598" s="28">
        <f t="shared" si="113"/>
        <v>161.77831149479999</v>
      </c>
    </row>
    <row r="3599" spans="1:9" ht="15.75" customHeight="1" x14ac:dyDescent="0.35">
      <c r="A3599" s="26" t="s">
        <v>1663</v>
      </c>
      <c r="B3599" s="25" t="s">
        <v>12561</v>
      </c>
      <c r="C3599" s="6" t="s">
        <v>1015</v>
      </c>
      <c r="D3599" s="13">
        <v>311.43599760000001</v>
      </c>
      <c r="E3599" s="18">
        <v>21</v>
      </c>
      <c r="F3599" s="2">
        <f t="shared" si="112"/>
        <v>376.83755709600001</v>
      </c>
      <c r="G3599" s="3">
        <v>0</v>
      </c>
      <c r="H3599" s="4">
        <v>0.7</v>
      </c>
      <c r="I3599" s="28">
        <f t="shared" si="113"/>
        <v>640.62384706320006</v>
      </c>
    </row>
    <row r="3600" spans="1:9" ht="15.75" customHeight="1" x14ac:dyDescent="0.35">
      <c r="A3600" s="26" t="s">
        <v>1664</v>
      </c>
      <c r="B3600" s="25" t="s">
        <v>10352</v>
      </c>
      <c r="C3600" s="6" t="s">
        <v>1016</v>
      </c>
      <c r="D3600" s="13">
        <v>353.66926139999998</v>
      </c>
      <c r="E3600" s="18">
        <v>21</v>
      </c>
      <c r="F3600" s="2">
        <f t="shared" si="112"/>
        <v>427.93980629399999</v>
      </c>
      <c r="G3600" s="3">
        <v>0</v>
      </c>
      <c r="H3600" s="4">
        <v>0.7</v>
      </c>
      <c r="I3600" s="28">
        <f t="shared" si="113"/>
        <v>727.49767069979998</v>
      </c>
    </row>
    <row r="3601" spans="1:9" ht="15.75" customHeight="1" x14ac:dyDescent="0.35">
      <c r="A3601" s="26" t="s">
        <v>1665</v>
      </c>
      <c r="B3601" s="25" t="s">
        <v>12729</v>
      </c>
      <c r="C3601" s="6" t="s">
        <v>1017</v>
      </c>
      <c r="D3601" s="13">
        <v>119.6833092</v>
      </c>
      <c r="E3601" s="18">
        <v>21</v>
      </c>
      <c r="F3601" s="2">
        <f t="shared" si="112"/>
        <v>144.81680413199999</v>
      </c>
      <c r="G3601" s="3">
        <v>0</v>
      </c>
      <c r="H3601" s="4">
        <v>0.7</v>
      </c>
      <c r="I3601" s="28">
        <f t="shared" si="113"/>
        <v>246.18856702439996</v>
      </c>
    </row>
    <row r="3602" spans="1:9" ht="15.75" customHeight="1" x14ac:dyDescent="0.35">
      <c r="A3602" s="26" t="s">
        <v>1666</v>
      </c>
      <c r="B3602" s="25" t="s">
        <v>12007</v>
      </c>
      <c r="C3602" s="6" t="s">
        <v>1018</v>
      </c>
      <c r="D3602" s="13">
        <v>129.94221239999999</v>
      </c>
      <c r="E3602" s="18">
        <v>21</v>
      </c>
      <c r="F3602" s="2">
        <f t="shared" si="112"/>
        <v>157.23007700399998</v>
      </c>
      <c r="G3602" s="3">
        <v>0</v>
      </c>
      <c r="H3602" s="4">
        <v>0.7</v>
      </c>
      <c r="I3602" s="28">
        <f t="shared" si="113"/>
        <v>267.29113090679994</v>
      </c>
    </row>
    <row r="3603" spans="1:9" ht="15.75" customHeight="1" x14ac:dyDescent="0.35">
      <c r="A3603" s="26" t="s">
        <v>1667</v>
      </c>
      <c r="B3603" s="25" t="s">
        <v>10512</v>
      </c>
      <c r="C3603" s="6" t="s">
        <v>1019</v>
      </c>
      <c r="D3603" s="13">
        <v>200.9366268</v>
      </c>
      <c r="E3603" s="18">
        <v>21</v>
      </c>
      <c r="F3603" s="2">
        <f t="shared" si="112"/>
        <v>243.133318428</v>
      </c>
      <c r="G3603" s="3">
        <v>0</v>
      </c>
      <c r="H3603" s="4">
        <v>0.7</v>
      </c>
      <c r="I3603" s="28">
        <f t="shared" si="113"/>
        <v>413.32664132759999</v>
      </c>
    </row>
    <row r="3604" spans="1:9" ht="15.75" customHeight="1" x14ac:dyDescent="0.35">
      <c r="A3604" s="26" t="s">
        <v>3418</v>
      </c>
      <c r="B3604" s="25" t="s">
        <v>10354</v>
      </c>
      <c r="C3604" s="6" t="s">
        <v>1117</v>
      </c>
      <c r="D3604" s="13">
        <v>1752.66</v>
      </c>
      <c r="E3604" s="18">
        <v>21</v>
      </c>
      <c r="F3604" s="2">
        <f t="shared" si="112"/>
        <v>2120.7186000000002</v>
      </c>
      <c r="G3604" s="3">
        <v>0</v>
      </c>
      <c r="H3604" s="4">
        <v>0.7</v>
      </c>
      <c r="I3604" s="28">
        <f t="shared" si="113"/>
        <v>3605.2216200000003</v>
      </c>
    </row>
    <row r="3605" spans="1:9" ht="15.75" customHeight="1" x14ac:dyDescent="0.35">
      <c r="A3605" s="26" t="s">
        <v>3419</v>
      </c>
      <c r="B3605" s="25" t="s">
        <v>12266</v>
      </c>
      <c r="C3605" s="6" t="s">
        <v>1118</v>
      </c>
      <c r="D3605" s="13">
        <v>1752.66</v>
      </c>
      <c r="E3605" s="18">
        <v>21</v>
      </c>
      <c r="F3605" s="2">
        <f t="shared" si="112"/>
        <v>2120.7186000000002</v>
      </c>
      <c r="G3605" s="3">
        <v>0</v>
      </c>
      <c r="H3605" s="4">
        <v>0.7</v>
      </c>
      <c r="I3605" s="28">
        <f t="shared" si="113"/>
        <v>3605.2216200000003</v>
      </c>
    </row>
    <row r="3606" spans="1:9" ht="15.75" customHeight="1" x14ac:dyDescent="0.35">
      <c r="A3606" s="26" t="s">
        <v>11838</v>
      </c>
      <c r="B3606" s="25" t="s">
        <v>10513</v>
      </c>
      <c r="C3606" s="6" t="s">
        <v>11839</v>
      </c>
      <c r="D3606" s="13">
        <v>1752.66</v>
      </c>
      <c r="E3606" s="18">
        <v>21</v>
      </c>
      <c r="F3606" s="2">
        <f t="shared" si="112"/>
        <v>2120.7186000000002</v>
      </c>
      <c r="G3606" s="3">
        <v>0</v>
      </c>
      <c r="H3606" s="4">
        <v>0.7</v>
      </c>
      <c r="I3606" s="28">
        <f t="shared" si="113"/>
        <v>3605.2216200000003</v>
      </c>
    </row>
    <row r="3607" spans="1:9" ht="15.75" customHeight="1" x14ac:dyDescent="0.35">
      <c r="A3607" s="26" t="s">
        <v>11840</v>
      </c>
      <c r="B3607" s="25" t="s">
        <v>10356</v>
      </c>
      <c r="C3607" s="6" t="s">
        <v>11841</v>
      </c>
      <c r="D3607" s="13">
        <v>1752.66</v>
      </c>
      <c r="E3607" s="18">
        <v>21</v>
      </c>
      <c r="F3607" s="2">
        <f t="shared" si="112"/>
        <v>2120.7186000000002</v>
      </c>
      <c r="G3607" s="3">
        <v>0</v>
      </c>
      <c r="H3607" s="4">
        <v>0.7</v>
      </c>
      <c r="I3607" s="28">
        <f t="shared" si="113"/>
        <v>3605.2216200000003</v>
      </c>
    </row>
    <row r="3608" spans="1:9" ht="15.75" customHeight="1" x14ac:dyDescent="0.35">
      <c r="A3608" s="26" t="s">
        <v>3421</v>
      </c>
      <c r="B3608" s="25" t="s">
        <v>12731</v>
      </c>
      <c r="C3608" s="6" t="s">
        <v>590</v>
      </c>
      <c r="D3608" s="13">
        <v>366.3885654</v>
      </c>
      <c r="E3608" s="18">
        <v>21</v>
      </c>
      <c r="F3608" s="2">
        <f t="shared" si="112"/>
        <v>443.33016413400003</v>
      </c>
      <c r="G3608" s="3">
        <v>0</v>
      </c>
      <c r="H3608" s="4">
        <v>0.7</v>
      </c>
      <c r="I3608" s="28">
        <f t="shared" si="113"/>
        <v>753.66127902779999</v>
      </c>
    </row>
    <row r="3609" spans="1:9" ht="15.75" customHeight="1" x14ac:dyDescent="0.35">
      <c r="A3609" s="26" t="s">
        <v>3422</v>
      </c>
      <c r="B3609" s="25" t="s">
        <v>12574</v>
      </c>
      <c r="C3609" s="6" t="s">
        <v>10696</v>
      </c>
      <c r="D3609" s="13">
        <v>358.98677620000001</v>
      </c>
      <c r="E3609" s="18">
        <v>21</v>
      </c>
      <c r="F3609" s="2">
        <f t="shared" si="112"/>
        <v>434.37399920199999</v>
      </c>
      <c r="G3609" s="3">
        <v>0</v>
      </c>
      <c r="H3609" s="4">
        <v>0.7</v>
      </c>
      <c r="I3609" s="28">
        <f t="shared" si="113"/>
        <v>738.43579864339995</v>
      </c>
    </row>
    <row r="3610" spans="1:9" ht="15.75" customHeight="1" x14ac:dyDescent="0.35">
      <c r="A3610" s="26" t="s">
        <v>2427</v>
      </c>
      <c r="B3610" s="25" t="s">
        <v>10358</v>
      </c>
      <c r="C3610" s="6" t="s">
        <v>9643</v>
      </c>
      <c r="D3610" s="13">
        <v>15985.844940000001</v>
      </c>
      <c r="E3610" s="18">
        <v>21</v>
      </c>
      <c r="F3610" s="2">
        <f t="shared" si="112"/>
        <v>19342.872377400003</v>
      </c>
      <c r="G3610" s="3">
        <v>0</v>
      </c>
      <c r="H3610" s="4">
        <v>0.7</v>
      </c>
      <c r="I3610" s="28">
        <f t="shared" si="113"/>
        <v>32882.883041580004</v>
      </c>
    </row>
    <row r="3611" spans="1:9" ht="15.75" customHeight="1" x14ac:dyDescent="0.35">
      <c r="A3611" s="26" t="s">
        <v>2428</v>
      </c>
      <c r="B3611" s="25" t="s">
        <v>10094</v>
      </c>
      <c r="C3611" s="6" t="s">
        <v>9644</v>
      </c>
      <c r="D3611" s="13">
        <v>16582.281397499999</v>
      </c>
      <c r="E3611" s="18">
        <v>21</v>
      </c>
      <c r="F3611" s="2">
        <f t="shared" si="112"/>
        <v>20064.560490975</v>
      </c>
      <c r="G3611" s="3">
        <v>0</v>
      </c>
      <c r="H3611" s="4">
        <v>0.7</v>
      </c>
      <c r="I3611" s="28">
        <f t="shared" si="113"/>
        <v>34109.752834657498</v>
      </c>
    </row>
    <row r="3612" spans="1:9" ht="15.75" customHeight="1" x14ac:dyDescent="0.35">
      <c r="A3612" s="26" t="s">
        <v>3497</v>
      </c>
      <c r="B3612" s="25" t="s">
        <v>10096</v>
      </c>
      <c r="C3612" s="6" t="s">
        <v>591</v>
      </c>
      <c r="D3612" s="13">
        <v>2031.9728</v>
      </c>
      <c r="E3612" s="18">
        <v>21</v>
      </c>
      <c r="F3612" s="2">
        <f t="shared" si="112"/>
        <v>2458.6870880000001</v>
      </c>
      <c r="G3612" s="3">
        <v>0</v>
      </c>
      <c r="H3612" s="4">
        <v>0.7</v>
      </c>
      <c r="I3612" s="28">
        <f t="shared" si="113"/>
        <v>4179.7680496000003</v>
      </c>
    </row>
    <row r="3613" spans="1:9" ht="15.75" customHeight="1" x14ac:dyDescent="0.35">
      <c r="A3613" s="26" t="s">
        <v>13242</v>
      </c>
      <c r="B3613" s="25" t="s">
        <v>12733</v>
      </c>
      <c r="C3613" s="6" t="s">
        <v>13243</v>
      </c>
      <c r="D3613" s="13">
        <v>8206.9</v>
      </c>
      <c r="E3613" s="18">
        <v>21</v>
      </c>
      <c r="F3613" s="2">
        <f t="shared" si="112"/>
        <v>9930.3490000000002</v>
      </c>
      <c r="G3613" s="3">
        <v>0</v>
      </c>
      <c r="H3613" s="4">
        <v>0.7</v>
      </c>
      <c r="I3613" s="28">
        <f t="shared" si="113"/>
        <v>16881.5933</v>
      </c>
    </row>
    <row r="3614" spans="1:9" ht="15.75" customHeight="1" x14ac:dyDescent="0.35">
      <c r="A3614" s="26" t="s">
        <v>9800</v>
      </c>
      <c r="B3614" s="25" t="s">
        <v>12336</v>
      </c>
      <c r="C3614" s="6" t="s">
        <v>10524</v>
      </c>
      <c r="D3614" s="13">
        <v>15354.4144</v>
      </c>
      <c r="E3614" s="18">
        <v>21</v>
      </c>
      <c r="F3614" s="2">
        <f t="shared" si="112"/>
        <v>18578.841423999998</v>
      </c>
      <c r="G3614" s="3">
        <v>0</v>
      </c>
      <c r="H3614" s="4">
        <v>0.7</v>
      </c>
      <c r="I3614" s="28">
        <f t="shared" si="113"/>
        <v>31584.030420799998</v>
      </c>
    </row>
    <row r="3615" spans="1:9" ht="15.75" customHeight="1" x14ac:dyDescent="0.35">
      <c r="A3615" s="26" t="s">
        <v>9787</v>
      </c>
      <c r="B3615" s="25" t="s">
        <v>12658</v>
      </c>
      <c r="C3615" s="6" t="s">
        <v>10525</v>
      </c>
      <c r="D3615" s="13">
        <v>15354.4144</v>
      </c>
      <c r="E3615" s="18">
        <v>21</v>
      </c>
      <c r="F3615" s="2">
        <f t="shared" si="112"/>
        <v>18578.841423999998</v>
      </c>
      <c r="G3615" s="3">
        <v>0</v>
      </c>
      <c r="H3615" s="4">
        <v>0.7</v>
      </c>
      <c r="I3615" s="28">
        <f t="shared" si="113"/>
        <v>31584.030420799998</v>
      </c>
    </row>
    <row r="3616" spans="1:9" ht="15.75" customHeight="1" x14ac:dyDescent="0.35">
      <c r="A3616" s="26" t="s">
        <v>9698</v>
      </c>
      <c r="B3616" s="25" t="s">
        <v>12575</v>
      </c>
      <c r="C3616" s="6" t="s">
        <v>10526</v>
      </c>
      <c r="D3616" s="13">
        <v>33055.857536000003</v>
      </c>
      <c r="E3616" s="18">
        <v>21</v>
      </c>
      <c r="F3616" s="2">
        <f t="shared" si="112"/>
        <v>39997.587618560006</v>
      </c>
      <c r="G3616" s="3">
        <v>0</v>
      </c>
      <c r="H3616" s="4">
        <v>0.7</v>
      </c>
      <c r="I3616" s="28">
        <f t="shared" si="113"/>
        <v>67995.898951552008</v>
      </c>
    </row>
    <row r="3617" spans="1:9" ht="15.75" customHeight="1" x14ac:dyDescent="0.35">
      <c r="A3617" s="26" t="s">
        <v>9699</v>
      </c>
      <c r="B3617" s="25" t="s">
        <v>10360</v>
      </c>
      <c r="C3617" s="6" t="s">
        <v>10527</v>
      </c>
      <c r="D3617" s="13">
        <v>33055.857536000003</v>
      </c>
      <c r="E3617" s="18">
        <v>21</v>
      </c>
      <c r="F3617" s="2">
        <f t="shared" si="112"/>
        <v>39997.587618560006</v>
      </c>
      <c r="G3617" s="3">
        <v>0</v>
      </c>
      <c r="H3617" s="4">
        <v>0.7</v>
      </c>
      <c r="I3617" s="28">
        <f t="shared" si="113"/>
        <v>67995.898951552008</v>
      </c>
    </row>
    <row r="3618" spans="1:9" ht="15.75" customHeight="1" x14ac:dyDescent="0.35">
      <c r="A3618" s="26" t="s">
        <v>3430</v>
      </c>
      <c r="B3618" s="25" t="s">
        <v>12735</v>
      </c>
      <c r="C3618" s="6" t="s">
        <v>11790</v>
      </c>
      <c r="D3618" s="13">
        <v>6459.8040000000001</v>
      </c>
      <c r="E3618" s="18">
        <v>21</v>
      </c>
      <c r="F3618" s="2">
        <f t="shared" si="112"/>
        <v>7816.3628399999998</v>
      </c>
      <c r="G3618" s="3">
        <v>0</v>
      </c>
      <c r="H3618" s="4">
        <v>0.7</v>
      </c>
      <c r="I3618" s="28">
        <f t="shared" si="113"/>
        <v>13287.816827999999</v>
      </c>
    </row>
    <row r="3619" spans="1:9" ht="15.75" customHeight="1" x14ac:dyDescent="0.35">
      <c r="A3619" s="26" t="s">
        <v>9700</v>
      </c>
      <c r="B3619" s="25" t="s">
        <v>12009</v>
      </c>
      <c r="C3619" s="6" t="s">
        <v>11791</v>
      </c>
      <c r="D3619" s="13">
        <v>6459.8040000000001</v>
      </c>
      <c r="E3619" s="18">
        <v>21</v>
      </c>
      <c r="F3619" s="2">
        <f t="shared" si="112"/>
        <v>7816.3628399999998</v>
      </c>
      <c r="G3619" s="3">
        <v>0</v>
      </c>
      <c r="H3619" s="4">
        <v>0.7</v>
      </c>
      <c r="I3619" s="28">
        <f t="shared" si="113"/>
        <v>13287.816827999999</v>
      </c>
    </row>
    <row r="3620" spans="1:9" ht="15.75" customHeight="1" x14ac:dyDescent="0.35">
      <c r="A3620" s="26" t="s">
        <v>8985</v>
      </c>
      <c r="B3620" s="25" t="s">
        <v>10514</v>
      </c>
      <c r="C3620" s="6" t="s">
        <v>11792</v>
      </c>
      <c r="D3620" s="13">
        <v>98703.134399999995</v>
      </c>
      <c r="E3620" s="18">
        <v>21</v>
      </c>
      <c r="F3620" s="2">
        <f t="shared" si="112"/>
        <v>119430.79262399999</v>
      </c>
      <c r="G3620" s="3">
        <v>0</v>
      </c>
      <c r="H3620" s="4">
        <v>0.7</v>
      </c>
      <c r="I3620" s="28">
        <f t="shared" si="113"/>
        <v>203032.3474608</v>
      </c>
    </row>
    <row r="3621" spans="1:9" ht="15.75" customHeight="1" x14ac:dyDescent="0.35">
      <c r="A3621" s="26" t="s">
        <v>8790</v>
      </c>
      <c r="B3621" s="25" t="s">
        <v>10362</v>
      </c>
      <c r="C3621" s="6" t="s">
        <v>11793</v>
      </c>
      <c r="D3621" s="13">
        <v>50353.087200000002</v>
      </c>
      <c r="E3621" s="18">
        <v>21</v>
      </c>
      <c r="F3621" s="2">
        <f t="shared" si="112"/>
        <v>60927.235511999999</v>
      </c>
      <c r="G3621" s="3">
        <v>0</v>
      </c>
      <c r="H3621" s="4">
        <v>0.7</v>
      </c>
      <c r="I3621" s="28">
        <f t="shared" si="113"/>
        <v>103576.3003704</v>
      </c>
    </row>
    <row r="3622" spans="1:9" ht="15.75" customHeight="1" x14ac:dyDescent="0.35">
      <c r="A3622" s="26" t="s">
        <v>8791</v>
      </c>
      <c r="B3622" s="25" t="s">
        <v>12267</v>
      </c>
      <c r="C3622" s="6" t="s">
        <v>11794</v>
      </c>
      <c r="D3622" s="13">
        <v>50353.087200000002</v>
      </c>
      <c r="E3622" s="18">
        <v>21</v>
      </c>
      <c r="F3622" s="2">
        <f t="shared" si="112"/>
        <v>60927.235511999999</v>
      </c>
      <c r="G3622" s="3">
        <v>0</v>
      </c>
      <c r="H3622" s="4">
        <v>0.7</v>
      </c>
      <c r="I3622" s="28">
        <f t="shared" si="113"/>
        <v>103576.3003704</v>
      </c>
    </row>
    <row r="3623" spans="1:9" ht="15.75" customHeight="1" x14ac:dyDescent="0.35">
      <c r="A3623" s="26" t="s">
        <v>8843</v>
      </c>
      <c r="B3623" s="25" t="s">
        <v>10364</v>
      </c>
      <c r="C3623" s="6" t="s">
        <v>11795</v>
      </c>
      <c r="D3623" s="13">
        <v>118224.98480000001</v>
      </c>
      <c r="E3623" s="18">
        <v>21</v>
      </c>
      <c r="F3623" s="2">
        <f t="shared" si="112"/>
        <v>143052.231608</v>
      </c>
      <c r="G3623" s="3">
        <v>0</v>
      </c>
      <c r="H3623" s="4">
        <v>0.7</v>
      </c>
      <c r="I3623" s="28">
        <f t="shared" si="113"/>
        <v>243188.7937336</v>
      </c>
    </row>
    <row r="3624" spans="1:9" ht="15.75" customHeight="1" x14ac:dyDescent="0.35">
      <c r="A3624" s="26" t="s">
        <v>8792</v>
      </c>
      <c r="B3624" s="25" t="s">
        <v>10168</v>
      </c>
      <c r="C3624" s="6" t="s">
        <v>11796</v>
      </c>
      <c r="D3624" s="13">
        <v>63254.890399999997</v>
      </c>
      <c r="E3624" s="18">
        <v>21</v>
      </c>
      <c r="F3624" s="2">
        <f t="shared" si="112"/>
        <v>76538.417384</v>
      </c>
      <c r="G3624" s="3">
        <v>0</v>
      </c>
      <c r="H3624" s="4">
        <v>0.7</v>
      </c>
      <c r="I3624" s="28">
        <f t="shared" si="113"/>
        <v>130115.3095528</v>
      </c>
    </row>
    <row r="3625" spans="1:9" ht="15.75" customHeight="1" x14ac:dyDescent="0.35">
      <c r="A3625" s="26" t="s">
        <v>8844</v>
      </c>
      <c r="B3625" s="25" t="s">
        <v>12737</v>
      </c>
      <c r="C3625" s="6" t="s">
        <v>11797</v>
      </c>
      <c r="D3625" s="13">
        <v>63254.890399999997</v>
      </c>
      <c r="E3625" s="18">
        <v>21</v>
      </c>
      <c r="F3625" s="2">
        <f t="shared" si="112"/>
        <v>76538.417384</v>
      </c>
      <c r="G3625" s="3">
        <v>0</v>
      </c>
      <c r="H3625" s="4">
        <v>0.7</v>
      </c>
      <c r="I3625" s="28">
        <f t="shared" si="113"/>
        <v>130115.3095528</v>
      </c>
    </row>
    <row r="3626" spans="1:9" ht="15.75" customHeight="1" x14ac:dyDescent="0.35">
      <c r="A3626" s="26" t="s">
        <v>3432</v>
      </c>
      <c r="B3626" s="25" t="s">
        <v>13207</v>
      </c>
      <c r="C3626" s="6" t="s">
        <v>10528</v>
      </c>
      <c r="D3626" s="13">
        <v>7523.6408000000001</v>
      </c>
      <c r="E3626" s="18">
        <v>21</v>
      </c>
      <c r="F3626" s="2">
        <f t="shared" si="112"/>
        <v>9103.6053680000005</v>
      </c>
      <c r="G3626" s="3">
        <v>0</v>
      </c>
      <c r="H3626" s="4">
        <v>0.7</v>
      </c>
      <c r="I3626" s="28">
        <f t="shared" si="113"/>
        <v>15476.1291256</v>
      </c>
    </row>
    <row r="3627" spans="1:9" ht="15.75" customHeight="1" x14ac:dyDescent="0.35">
      <c r="A3627" s="26" t="s">
        <v>3433</v>
      </c>
      <c r="B3627" s="25" t="s">
        <v>10098</v>
      </c>
      <c r="C3627" s="6" t="s">
        <v>10529</v>
      </c>
      <c r="D3627" s="13">
        <v>7523.6408000000001</v>
      </c>
      <c r="E3627" s="18">
        <v>21</v>
      </c>
      <c r="F3627" s="2">
        <f t="shared" si="112"/>
        <v>9103.6053680000005</v>
      </c>
      <c r="G3627" s="3">
        <v>0</v>
      </c>
      <c r="H3627" s="4">
        <v>0.7</v>
      </c>
      <c r="I3627" s="28">
        <f t="shared" si="113"/>
        <v>15476.1291256</v>
      </c>
    </row>
    <row r="3628" spans="1:9" ht="15.75" customHeight="1" x14ac:dyDescent="0.35">
      <c r="A3628" s="26" t="s">
        <v>9701</v>
      </c>
      <c r="B3628" s="25" t="s">
        <v>12900</v>
      </c>
      <c r="C3628" s="6" t="s">
        <v>10530</v>
      </c>
      <c r="D3628" s="13">
        <v>8606.3952000000008</v>
      </c>
      <c r="E3628" s="18">
        <v>21</v>
      </c>
      <c r="F3628" s="2">
        <f t="shared" si="112"/>
        <v>10413.738192000001</v>
      </c>
      <c r="G3628" s="3">
        <v>0</v>
      </c>
      <c r="H3628" s="4">
        <v>0.7</v>
      </c>
      <c r="I3628" s="28">
        <f t="shared" si="113"/>
        <v>17703.354926399999</v>
      </c>
    </row>
    <row r="3629" spans="1:9" ht="15.75" customHeight="1" x14ac:dyDescent="0.35">
      <c r="A3629" s="26" t="s">
        <v>9702</v>
      </c>
      <c r="B3629" s="25" t="s">
        <v>10169</v>
      </c>
      <c r="C3629" s="6" t="s">
        <v>13117</v>
      </c>
      <c r="D3629" s="13">
        <v>8606.3952000000008</v>
      </c>
      <c r="E3629" s="18">
        <v>21</v>
      </c>
      <c r="F3629" s="2">
        <f t="shared" si="112"/>
        <v>10413.738192000001</v>
      </c>
      <c r="G3629" s="3">
        <v>0</v>
      </c>
      <c r="H3629" s="4">
        <v>0.7</v>
      </c>
      <c r="I3629" s="28">
        <f t="shared" si="113"/>
        <v>17703.354926399999</v>
      </c>
    </row>
    <row r="3630" spans="1:9" ht="15.75" customHeight="1" x14ac:dyDescent="0.35">
      <c r="A3630" s="26" t="s">
        <v>3435</v>
      </c>
      <c r="B3630" s="25" t="s">
        <v>12787</v>
      </c>
      <c r="C3630" s="6" t="s">
        <v>10531</v>
      </c>
      <c r="D3630" s="13">
        <v>9148.3287999999993</v>
      </c>
      <c r="E3630" s="18">
        <v>21</v>
      </c>
      <c r="F3630" s="2">
        <f t="shared" si="112"/>
        <v>11069.477847999999</v>
      </c>
      <c r="G3630" s="3">
        <v>0</v>
      </c>
      <c r="H3630" s="4">
        <v>0.7</v>
      </c>
      <c r="I3630" s="28">
        <f t="shared" si="113"/>
        <v>18818.112341599997</v>
      </c>
    </row>
    <row r="3631" spans="1:9" ht="15.75" customHeight="1" x14ac:dyDescent="0.35">
      <c r="A3631" s="26" t="s">
        <v>3436</v>
      </c>
      <c r="B3631" s="25" t="s">
        <v>10366</v>
      </c>
      <c r="C3631" s="6" t="s">
        <v>10532</v>
      </c>
      <c r="D3631" s="13">
        <v>12810.108480000001</v>
      </c>
      <c r="E3631" s="18">
        <v>21</v>
      </c>
      <c r="F3631" s="2">
        <f t="shared" si="112"/>
        <v>15500.231260800001</v>
      </c>
      <c r="G3631" s="3">
        <v>0</v>
      </c>
      <c r="H3631" s="4">
        <v>0.7</v>
      </c>
      <c r="I3631" s="28">
        <f t="shared" si="113"/>
        <v>26350.393143360001</v>
      </c>
    </row>
    <row r="3632" spans="1:9" ht="15.75" customHeight="1" x14ac:dyDescent="0.35">
      <c r="A3632" s="26" t="s">
        <v>3437</v>
      </c>
      <c r="B3632" s="25" t="s">
        <v>12739</v>
      </c>
      <c r="C3632" s="6" t="s">
        <v>10533</v>
      </c>
      <c r="D3632" s="13">
        <v>23927.381087999998</v>
      </c>
      <c r="E3632" s="18">
        <v>21</v>
      </c>
      <c r="F3632" s="2">
        <f t="shared" si="112"/>
        <v>28952.131116479999</v>
      </c>
      <c r="G3632" s="3">
        <v>0</v>
      </c>
      <c r="H3632" s="4">
        <v>0.7</v>
      </c>
      <c r="I3632" s="28">
        <f t="shared" si="113"/>
        <v>49218.622898015994</v>
      </c>
    </row>
    <row r="3633" spans="1:9" ht="15.75" customHeight="1" x14ac:dyDescent="0.35">
      <c r="A3633" s="26" t="s">
        <v>3438</v>
      </c>
      <c r="B3633" s="25" t="s">
        <v>10170</v>
      </c>
      <c r="C3633" s="6" t="s">
        <v>10534</v>
      </c>
      <c r="D3633" s="13">
        <v>23927.381087999998</v>
      </c>
      <c r="E3633" s="18">
        <v>21</v>
      </c>
      <c r="F3633" s="2">
        <f t="shared" si="112"/>
        <v>28952.131116479999</v>
      </c>
      <c r="G3633" s="3">
        <v>0</v>
      </c>
      <c r="H3633" s="4">
        <v>0.7</v>
      </c>
      <c r="I3633" s="28">
        <f t="shared" si="113"/>
        <v>49218.622898015994</v>
      </c>
    </row>
    <row r="3634" spans="1:9" ht="15.75" customHeight="1" x14ac:dyDescent="0.35">
      <c r="A3634" s="26" t="s">
        <v>13788</v>
      </c>
      <c r="B3634" s="25" t="s">
        <v>10368</v>
      </c>
      <c r="C3634" s="6" t="s">
        <v>13789</v>
      </c>
      <c r="D3634" s="13">
        <v>8012.16</v>
      </c>
      <c r="E3634" s="18">
        <v>21</v>
      </c>
      <c r="F3634" s="2">
        <f t="shared" si="112"/>
        <v>9694.7135999999991</v>
      </c>
      <c r="G3634" s="3">
        <v>0</v>
      </c>
      <c r="H3634" s="4">
        <v>0.7</v>
      </c>
      <c r="I3634" s="28">
        <f t="shared" si="113"/>
        <v>16481.01312</v>
      </c>
    </row>
    <row r="3635" spans="1:9" ht="15.75" customHeight="1" x14ac:dyDescent="0.35">
      <c r="A3635" s="26" t="s">
        <v>13786</v>
      </c>
      <c r="B3635" s="25" t="s">
        <v>10172</v>
      </c>
      <c r="C3635" s="6" t="s">
        <v>13787</v>
      </c>
      <c r="D3635" s="13">
        <v>6134.31</v>
      </c>
      <c r="E3635" s="18">
        <v>21</v>
      </c>
      <c r="F3635" s="2">
        <f t="shared" si="112"/>
        <v>7422.5151000000005</v>
      </c>
      <c r="G3635" s="3">
        <v>0</v>
      </c>
      <c r="H3635" s="4">
        <v>0.7</v>
      </c>
      <c r="I3635" s="28">
        <f t="shared" si="113"/>
        <v>12618.275670000001</v>
      </c>
    </row>
    <row r="3636" spans="1:9" ht="15.75" customHeight="1" x14ac:dyDescent="0.35">
      <c r="A3636" s="26" t="s">
        <v>13790</v>
      </c>
      <c r="B3636" s="25" t="s">
        <v>12741</v>
      </c>
      <c r="C3636" s="6" t="s">
        <v>13791</v>
      </c>
      <c r="D3636" s="13">
        <v>9138.8700000000008</v>
      </c>
      <c r="E3636" s="18">
        <v>21</v>
      </c>
      <c r="F3636" s="2">
        <f t="shared" si="112"/>
        <v>11058.032700000002</v>
      </c>
      <c r="G3636" s="3">
        <v>0</v>
      </c>
      <c r="H3636" s="4">
        <v>0.7</v>
      </c>
      <c r="I3636" s="28">
        <f t="shared" si="113"/>
        <v>18798.655590000002</v>
      </c>
    </row>
    <row r="3637" spans="1:9" ht="15.75" customHeight="1" x14ac:dyDescent="0.35">
      <c r="A3637" s="26" t="s">
        <v>3385</v>
      </c>
      <c r="B3637" s="25" t="s">
        <v>12902</v>
      </c>
      <c r="C3637" s="6" t="s">
        <v>12215</v>
      </c>
      <c r="D3637" s="13">
        <v>6134.31</v>
      </c>
      <c r="E3637" s="18">
        <v>21</v>
      </c>
      <c r="F3637" s="2">
        <f t="shared" si="112"/>
        <v>7422.5151000000005</v>
      </c>
      <c r="G3637" s="3">
        <v>0</v>
      </c>
      <c r="H3637" s="4">
        <v>0.7</v>
      </c>
      <c r="I3637" s="28">
        <f t="shared" si="113"/>
        <v>12618.275670000001</v>
      </c>
    </row>
    <row r="3638" spans="1:9" ht="15.75" customHeight="1" x14ac:dyDescent="0.35">
      <c r="A3638" s="26" t="s">
        <v>3386</v>
      </c>
      <c r="B3638" s="25" t="s">
        <v>12576</v>
      </c>
      <c r="C3638" s="6" t="s">
        <v>10698</v>
      </c>
      <c r="D3638" s="13">
        <v>8012.16</v>
      </c>
      <c r="E3638" s="18">
        <v>21</v>
      </c>
      <c r="F3638" s="2">
        <f t="shared" si="112"/>
        <v>9694.7135999999991</v>
      </c>
      <c r="G3638" s="3">
        <v>0</v>
      </c>
      <c r="H3638" s="4">
        <v>0.7</v>
      </c>
      <c r="I3638" s="28">
        <f t="shared" si="113"/>
        <v>16481.01312</v>
      </c>
    </row>
    <row r="3639" spans="1:9" ht="15" customHeight="1" x14ac:dyDescent="0.35">
      <c r="A3639" s="26" t="s">
        <v>3389</v>
      </c>
      <c r="B3639" s="25" t="s">
        <v>13086</v>
      </c>
      <c r="C3639" s="6" t="s">
        <v>10972</v>
      </c>
      <c r="D3639" s="13">
        <v>9138.8700000000008</v>
      </c>
      <c r="E3639" s="18">
        <v>21</v>
      </c>
      <c r="F3639" s="2">
        <f t="shared" si="112"/>
        <v>11058.032700000002</v>
      </c>
      <c r="G3639" s="3">
        <v>0</v>
      </c>
      <c r="H3639" s="4">
        <v>0.7</v>
      </c>
      <c r="I3639" s="28">
        <f t="shared" si="113"/>
        <v>18798.655590000002</v>
      </c>
    </row>
    <row r="3640" spans="1:9" ht="15" customHeight="1" x14ac:dyDescent="0.35">
      <c r="A3640" s="26" t="s">
        <v>12805</v>
      </c>
      <c r="B3640" s="25" t="s">
        <v>12028</v>
      </c>
      <c r="C3640" s="6" t="s">
        <v>12806</v>
      </c>
      <c r="D3640" s="13">
        <v>393652.75949999999</v>
      </c>
      <c r="E3640" s="18">
        <v>21</v>
      </c>
      <c r="F3640" s="2">
        <f t="shared" si="112"/>
        <v>476319.838995</v>
      </c>
      <c r="G3640" s="3">
        <v>0</v>
      </c>
      <c r="H3640" s="4">
        <v>0.7</v>
      </c>
      <c r="I3640" s="28">
        <f t="shared" si="113"/>
        <v>809743.72629150003</v>
      </c>
    </row>
    <row r="3641" spans="1:9" ht="15" customHeight="1" x14ac:dyDescent="0.35">
      <c r="A3641" s="26" t="s">
        <v>3110</v>
      </c>
      <c r="B3641" s="25" t="s">
        <v>10370</v>
      </c>
      <c r="C3641" s="6" t="s">
        <v>9155</v>
      </c>
      <c r="D3641" s="13">
        <v>2392.0170477840002</v>
      </c>
      <c r="E3641" s="18">
        <v>21</v>
      </c>
      <c r="F3641" s="2">
        <f t="shared" si="112"/>
        <v>2894.3406278186403</v>
      </c>
      <c r="G3641" s="3">
        <v>0</v>
      </c>
      <c r="H3641" s="4">
        <v>0.7</v>
      </c>
      <c r="I3641" s="28">
        <f t="shared" si="113"/>
        <v>4920.3790672916884</v>
      </c>
    </row>
    <row r="3642" spans="1:9" ht="15" customHeight="1" x14ac:dyDescent="0.35">
      <c r="A3642" s="26" t="s">
        <v>11542</v>
      </c>
      <c r="B3642" s="25" t="s">
        <v>10173</v>
      </c>
      <c r="C3642" s="6" t="s">
        <v>11563</v>
      </c>
      <c r="D3642" s="13">
        <v>88729.850743576244</v>
      </c>
      <c r="E3642" s="18">
        <v>21</v>
      </c>
      <c r="F3642" s="2">
        <f t="shared" si="112"/>
        <v>107363.11939972725</v>
      </c>
      <c r="G3642" s="3">
        <v>0</v>
      </c>
      <c r="H3642" s="4">
        <v>0.7</v>
      </c>
      <c r="I3642" s="28">
        <f t="shared" si="113"/>
        <v>182517.30297953633</v>
      </c>
    </row>
    <row r="3643" spans="1:9" ht="15" customHeight="1" x14ac:dyDescent="0.35">
      <c r="A3643" s="26" t="s">
        <v>2800</v>
      </c>
      <c r="B3643" s="25" t="s">
        <v>12743</v>
      </c>
      <c r="C3643" s="6" t="s">
        <v>1020</v>
      </c>
      <c r="D3643" s="13">
        <v>167580.110178</v>
      </c>
      <c r="E3643" s="18">
        <v>21</v>
      </c>
      <c r="F3643" s="2">
        <f t="shared" si="112"/>
        <v>202771.93331538001</v>
      </c>
      <c r="G3643" s="3">
        <v>0</v>
      </c>
      <c r="H3643" s="4">
        <v>0.7</v>
      </c>
      <c r="I3643" s="28">
        <f t="shared" si="113"/>
        <v>344712.28663614602</v>
      </c>
    </row>
    <row r="3644" spans="1:9" ht="15" customHeight="1" x14ac:dyDescent="0.35">
      <c r="A3644" s="26" t="s">
        <v>2802</v>
      </c>
      <c r="B3644" s="25" t="s">
        <v>12268</v>
      </c>
      <c r="C3644" s="6" t="s">
        <v>10030</v>
      </c>
      <c r="D3644" s="13">
        <v>60921.285652077502</v>
      </c>
      <c r="E3644" s="18">
        <v>21</v>
      </c>
      <c r="F3644" s="2">
        <f t="shared" si="112"/>
        <v>73714.755639013776</v>
      </c>
      <c r="G3644" s="3">
        <v>0</v>
      </c>
      <c r="H3644" s="4">
        <v>0.7</v>
      </c>
      <c r="I3644" s="28">
        <f t="shared" si="113"/>
        <v>125315.08458632341</v>
      </c>
    </row>
    <row r="3645" spans="1:9" ht="15" customHeight="1" x14ac:dyDescent="0.35">
      <c r="A3645" s="26" t="s">
        <v>2803</v>
      </c>
      <c r="B3645" s="25" t="s">
        <v>10775</v>
      </c>
      <c r="C3645" s="6" t="s">
        <v>11382</v>
      </c>
      <c r="D3645" s="13">
        <v>135144.35024999999</v>
      </c>
      <c r="E3645" s="18">
        <v>21</v>
      </c>
      <c r="F3645" s="2">
        <f t="shared" si="112"/>
        <v>163524.6638025</v>
      </c>
      <c r="G3645" s="3">
        <v>0</v>
      </c>
      <c r="H3645" s="4">
        <v>0.7</v>
      </c>
      <c r="I3645" s="28">
        <f t="shared" si="113"/>
        <v>277991.92846425</v>
      </c>
    </row>
    <row r="3646" spans="1:9" ht="15" customHeight="1" x14ac:dyDescent="0.35">
      <c r="A3646" s="26" t="s">
        <v>2804</v>
      </c>
      <c r="B3646" s="25" t="s">
        <v>12659</v>
      </c>
      <c r="C3646" s="6" t="s">
        <v>11263</v>
      </c>
      <c r="D3646" s="13">
        <v>131246.81739000001</v>
      </c>
      <c r="E3646" s="18">
        <v>21</v>
      </c>
      <c r="F3646" s="2">
        <f t="shared" si="112"/>
        <v>158808.6490419</v>
      </c>
      <c r="G3646" s="3">
        <v>0</v>
      </c>
      <c r="H3646" s="4">
        <v>0.7</v>
      </c>
      <c r="I3646" s="28">
        <f t="shared" si="113"/>
        <v>269974.70337122999</v>
      </c>
    </row>
    <row r="3647" spans="1:9" ht="15" customHeight="1" x14ac:dyDescent="0.35">
      <c r="A3647" s="26" t="s">
        <v>2799</v>
      </c>
      <c r="B3647" s="25" t="s">
        <v>12303</v>
      </c>
      <c r="C3647" s="6" t="s">
        <v>9788</v>
      </c>
      <c r="D3647" s="13">
        <v>79205.321571934997</v>
      </c>
      <c r="E3647" s="18">
        <v>21</v>
      </c>
      <c r="F3647" s="2">
        <f t="shared" si="112"/>
        <v>95838.439102041346</v>
      </c>
      <c r="G3647" s="3">
        <v>0</v>
      </c>
      <c r="H3647" s="4">
        <v>0.7</v>
      </c>
      <c r="I3647" s="28">
        <f t="shared" si="113"/>
        <v>162925.34647347027</v>
      </c>
    </row>
    <row r="3648" spans="1:9" ht="15" customHeight="1" x14ac:dyDescent="0.35">
      <c r="A3648" s="26" t="s">
        <v>2805</v>
      </c>
      <c r="B3648" s="25" t="s">
        <v>11518</v>
      </c>
      <c r="C3648" s="6" t="s">
        <v>9959</v>
      </c>
      <c r="D3648" s="13">
        <v>73054.982682500005</v>
      </c>
      <c r="E3648" s="18">
        <v>21</v>
      </c>
      <c r="F3648" s="2">
        <f t="shared" si="112"/>
        <v>88396.529045825009</v>
      </c>
      <c r="G3648" s="3">
        <v>0</v>
      </c>
      <c r="H3648" s="4">
        <v>0.7</v>
      </c>
      <c r="I3648" s="28">
        <f t="shared" si="113"/>
        <v>150274.09937790252</v>
      </c>
    </row>
    <row r="3649" spans="1:9" ht="15" customHeight="1" x14ac:dyDescent="0.35">
      <c r="A3649" s="26" t="s">
        <v>10955</v>
      </c>
      <c r="B3649" s="25" t="s">
        <v>12304</v>
      </c>
      <c r="C3649" s="6" t="s">
        <v>11419</v>
      </c>
      <c r="D3649" s="13">
        <v>29089.890375000003</v>
      </c>
      <c r="E3649" s="18">
        <v>21</v>
      </c>
      <c r="F3649" s="2">
        <f t="shared" si="112"/>
        <v>35198.767353750001</v>
      </c>
      <c r="G3649" s="3">
        <v>0</v>
      </c>
      <c r="H3649" s="4">
        <v>0.7</v>
      </c>
      <c r="I3649" s="28">
        <f t="shared" si="113"/>
        <v>59837.904501375</v>
      </c>
    </row>
    <row r="3650" spans="1:9" ht="15" customHeight="1" x14ac:dyDescent="0.35">
      <c r="A3650" s="26" t="s">
        <v>10956</v>
      </c>
      <c r="B3650" s="25" t="s">
        <v>13175</v>
      </c>
      <c r="C3650" s="6" t="s">
        <v>11420</v>
      </c>
      <c r="D3650" s="13">
        <v>29089.890375000003</v>
      </c>
      <c r="E3650" s="18">
        <v>21</v>
      </c>
      <c r="F3650" s="2">
        <f t="shared" si="112"/>
        <v>35198.767353750001</v>
      </c>
      <c r="G3650" s="3">
        <v>0</v>
      </c>
      <c r="H3650" s="4">
        <v>0.7</v>
      </c>
      <c r="I3650" s="28">
        <f t="shared" si="113"/>
        <v>59837.904501375</v>
      </c>
    </row>
    <row r="3651" spans="1:9" ht="15" customHeight="1" x14ac:dyDescent="0.35">
      <c r="A3651" s="26" t="s">
        <v>10957</v>
      </c>
      <c r="B3651" s="25" t="s">
        <v>10734</v>
      </c>
      <c r="C3651" s="6" t="s">
        <v>11421</v>
      </c>
      <c r="D3651" s="13">
        <v>29089.890375000003</v>
      </c>
      <c r="E3651" s="18">
        <v>21</v>
      </c>
      <c r="F3651" s="2">
        <f t="shared" si="112"/>
        <v>35198.767353750001</v>
      </c>
      <c r="G3651" s="3">
        <v>0</v>
      </c>
      <c r="H3651" s="4">
        <v>0.7</v>
      </c>
      <c r="I3651" s="28">
        <f t="shared" si="113"/>
        <v>59837.904501375</v>
      </c>
    </row>
    <row r="3652" spans="1:9" ht="15" customHeight="1" x14ac:dyDescent="0.35">
      <c r="A3652" s="26" t="s">
        <v>10964</v>
      </c>
      <c r="B3652" s="25" t="s">
        <v>12856</v>
      </c>
      <c r="C3652" s="6" t="s">
        <v>11422</v>
      </c>
      <c r="D3652" s="13">
        <v>29089.890375000003</v>
      </c>
      <c r="E3652" s="18">
        <v>21</v>
      </c>
      <c r="F3652" s="2">
        <f t="shared" si="112"/>
        <v>35198.767353750001</v>
      </c>
      <c r="G3652" s="3">
        <v>0</v>
      </c>
      <c r="H3652" s="4">
        <v>0.7</v>
      </c>
      <c r="I3652" s="28">
        <f t="shared" si="113"/>
        <v>59837.904501375</v>
      </c>
    </row>
    <row r="3653" spans="1:9" ht="15" customHeight="1" x14ac:dyDescent="0.35">
      <c r="A3653" s="26" t="s">
        <v>10965</v>
      </c>
      <c r="B3653" s="25" t="s">
        <v>12857</v>
      </c>
      <c r="C3653" s="6" t="s">
        <v>11423</v>
      </c>
      <c r="D3653" s="13">
        <v>29089.890375000003</v>
      </c>
      <c r="E3653" s="18">
        <v>21</v>
      </c>
      <c r="F3653" s="2">
        <f t="shared" si="112"/>
        <v>35198.767353750001</v>
      </c>
      <c r="G3653" s="3">
        <v>0</v>
      </c>
      <c r="H3653" s="4">
        <v>0.7</v>
      </c>
      <c r="I3653" s="28">
        <f t="shared" si="113"/>
        <v>59837.904501375</v>
      </c>
    </row>
    <row r="3654" spans="1:9" ht="15" customHeight="1" x14ac:dyDescent="0.35">
      <c r="A3654" s="26" t="s">
        <v>10966</v>
      </c>
      <c r="B3654" s="25" t="s">
        <v>12662</v>
      </c>
      <c r="C3654" s="6" t="s">
        <v>11424</v>
      </c>
      <c r="D3654" s="13">
        <v>29089.890375000003</v>
      </c>
      <c r="E3654" s="18">
        <v>21</v>
      </c>
      <c r="F3654" s="2">
        <f t="shared" ref="F3654:F3717" si="114">D3654*E3654/100+D3654</f>
        <v>35198.767353750001</v>
      </c>
      <c r="G3654" s="3">
        <v>0</v>
      </c>
      <c r="H3654" s="4">
        <v>0.7</v>
      </c>
      <c r="I3654" s="28">
        <f t="shared" ref="I3654:I3717" si="115">IF(G3654=-1,0,F3654*((100-G3654)/100)*(1+H3654))</f>
        <v>59837.904501375</v>
      </c>
    </row>
    <row r="3655" spans="1:9" ht="15" customHeight="1" x14ac:dyDescent="0.35">
      <c r="A3655" s="26" t="s">
        <v>10967</v>
      </c>
      <c r="B3655" s="25" t="s">
        <v>581</v>
      </c>
      <c r="C3655" s="6" t="s">
        <v>11425</v>
      </c>
      <c r="D3655" s="13">
        <v>29089.890375000003</v>
      </c>
      <c r="E3655" s="18">
        <v>21</v>
      </c>
      <c r="F3655" s="2">
        <f t="shared" si="114"/>
        <v>35198.767353750001</v>
      </c>
      <c r="G3655" s="3">
        <v>0</v>
      </c>
      <c r="H3655" s="4">
        <v>0.7</v>
      </c>
      <c r="I3655" s="28">
        <f t="shared" si="115"/>
        <v>59837.904501375</v>
      </c>
    </row>
    <row r="3656" spans="1:9" ht="15" customHeight="1" x14ac:dyDescent="0.35">
      <c r="A3656" s="26" t="s">
        <v>8825</v>
      </c>
      <c r="B3656" s="25" t="s">
        <v>582</v>
      </c>
      <c r="C3656" s="6" t="s">
        <v>8852</v>
      </c>
      <c r="D3656" s="13">
        <v>20655.605432475</v>
      </c>
      <c r="E3656" s="18">
        <v>21</v>
      </c>
      <c r="F3656" s="2">
        <f t="shared" si="114"/>
        <v>24993.282573294749</v>
      </c>
      <c r="G3656" s="3">
        <v>0</v>
      </c>
      <c r="H3656" s="4">
        <v>0.7</v>
      </c>
      <c r="I3656" s="28">
        <f t="shared" si="115"/>
        <v>42488.580374601072</v>
      </c>
    </row>
    <row r="3657" spans="1:9" ht="15" customHeight="1" x14ac:dyDescent="0.35">
      <c r="A3657" s="26" t="s">
        <v>8824</v>
      </c>
      <c r="B3657" s="25" t="s">
        <v>583</v>
      </c>
      <c r="C3657" s="6" t="s">
        <v>8853</v>
      </c>
      <c r="D3657" s="13">
        <v>20655.605432475</v>
      </c>
      <c r="E3657" s="18">
        <v>21</v>
      </c>
      <c r="F3657" s="2">
        <f t="shared" si="114"/>
        <v>24993.282573294749</v>
      </c>
      <c r="G3657" s="3">
        <v>0</v>
      </c>
      <c r="H3657" s="4">
        <v>0.7</v>
      </c>
      <c r="I3657" s="28">
        <f t="shared" si="115"/>
        <v>42488.580374601072</v>
      </c>
    </row>
    <row r="3658" spans="1:9" ht="15" customHeight="1" x14ac:dyDescent="0.35">
      <c r="A3658" s="26" t="s">
        <v>11291</v>
      </c>
      <c r="B3658" s="25" t="s">
        <v>584</v>
      </c>
      <c r="C3658" s="6" t="s">
        <v>11292</v>
      </c>
      <c r="D3658" s="13">
        <v>25502.738625000002</v>
      </c>
      <c r="E3658" s="18">
        <v>21</v>
      </c>
      <c r="F3658" s="2">
        <f t="shared" si="114"/>
        <v>30858.313736250002</v>
      </c>
      <c r="G3658" s="3">
        <v>0</v>
      </c>
      <c r="H3658" s="4">
        <v>0.7</v>
      </c>
      <c r="I3658" s="28">
        <f t="shared" si="115"/>
        <v>52459.133351625002</v>
      </c>
    </row>
    <row r="3659" spans="1:9" ht="15" customHeight="1" x14ac:dyDescent="0.35">
      <c r="A3659" s="26" t="s">
        <v>10379</v>
      </c>
      <c r="B3659" s="25" t="s">
        <v>585</v>
      </c>
      <c r="C3659" s="6" t="s">
        <v>10380</v>
      </c>
      <c r="D3659" s="13">
        <v>25502.738625000002</v>
      </c>
      <c r="E3659" s="18">
        <v>21</v>
      </c>
      <c r="F3659" s="2">
        <f t="shared" si="114"/>
        <v>30858.313736250002</v>
      </c>
      <c r="G3659" s="3">
        <v>0</v>
      </c>
      <c r="H3659" s="4">
        <v>0.7</v>
      </c>
      <c r="I3659" s="28">
        <f t="shared" si="115"/>
        <v>52459.133351625002</v>
      </c>
    </row>
    <row r="3660" spans="1:9" ht="15" customHeight="1" x14ac:dyDescent="0.35">
      <c r="A3660" s="26" t="s">
        <v>2942</v>
      </c>
      <c r="B3660" s="25" t="s">
        <v>586</v>
      </c>
      <c r="C3660" s="6" t="s">
        <v>10699</v>
      </c>
      <c r="D3660" s="13">
        <v>20655.605432475</v>
      </c>
      <c r="E3660" s="18">
        <v>21</v>
      </c>
      <c r="F3660" s="2">
        <f t="shared" si="114"/>
        <v>24993.282573294749</v>
      </c>
      <c r="G3660" s="3">
        <v>0</v>
      </c>
      <c r="H3660" s="4">
        <v>0.7</v>
      </c>
      <c r="I3660" s="28">
        <f t="shared" si="115"/>
        <v>42488.580374601072</v>
      </c>
    </row>
    <row r="3661" spans="1:9" ht="15" customHeight="1" x14ac:dyDescent="0.35">
      <c r="A3661" s="26" t="s">
        <v>11519</v>
      </c>
      <c r="B3661" s="25" t="s">
        <v>10515</v>
      </c>
      <c r="C3661" s="6" t="s">
        <v>11520</v>
      </c>
      <c r="D3661" s="13">
        <v>25502.738625000002</v>
      </c>
      <c r="E3661" s="18">
        <v>21</v>
      </c>
      <c r="F3661" s="2">
        <f t="shared" si="114"/>
        <v>30858.313736250002</v>
      </c>
      <c r="G3661" s="3">
        <v>0</v>
      </c>
      <c r="H3661" s="4">
        <v>0.7</v>
      </c>
      <c r="I3661" s="28">
        <f t="shared" si="115"/>
        <v>52459.133351625002</v>
      </c>
    </row>
    <row r="3662" spans="1:9" ht="15" customHeight="1" x14ac:dyDescent="0.35">
      <c r="A3662" s="26" t="s">
        <v>2943</v>
      </c>
      <c r="B3662" s="25" t="s">
        <v>587</v>
      </c>
      <c r="C3662" s="6" t="s">
        <v>10700</v>
      </c>
      <c r="D3662" s="13">
        <v>20655.605432475</v>
      </c>
      <c r="E3662" s="18">
        <v>21</v>
      </c>
      <c r="F3662" s="2">
        <f t="shared" si="114"/>
        <v>24993.282573294749</v>
      </c>
      <c r="G3662" s="3">
        <v>0</v>
      </c>
      <c r="H3662" s="4">
        <v>0.7</v>
      </c>
      <c r="I3662" s="28">
        <f t="shared" si="115"/>
        <v>42488.580374601072</v>
      </c>
    </row>
    <row r="3663" spans="1:9" ht="15" customHeight="1" x14ac:dyDescent="0.35">
      <c r="A3663" s="26" t="s">
        <v>11521</v>
      </c>
      <c r="B3663" s="25" t="s">
        <v>588</v>
      </c>
      <c r="C3663" s="6" t="s">
        <v>11522</v>
      </c>
      <c r="D3663" s="13">
        <v>25502.738625000002</v>
      </c>
      <c r="E3663" s="18">
        <v>21</v>
      </c>
      <c r="F3663" s="2">
        <f t="shared" si="114"/>
        <v>30858.313736250002</v>
      </c>
      <c r="G3663" s="3">
        <v>0</v>
      </c>
      <c r="H3663" s="4">
        <v>0.7</v>
      </c>
      <c r="I3663" s="28">
        <f t="shared" si="115"/>
        <v>52459.133351625002</v>
      </c>
    </row>
    <row r="3664" spans="1:9" ht="15" customHeight="1" x14ac:dyDescent="0.35">
      <c r="A3664" s="26" t="s">
        <v>2944</v>
      </c>
      <c r="B3664" s="25" t="s">
        <v>12745</v>
      </c>
      <c r="C3664" s="6" t="s">
        <v>10701</v>
      </c>
      <c r="D3664" s="13">
        <v>20655.605432475</v>
      </c>
      <c r="E3664" s="18">
        <v>21</v>
      </c>
      <c r="F3664" s="2">
        <f t="shared" si="114"/>
        <v>24993.282573294749</v>
      </c>
      <c r="G3664" s="3">
        <v>0</v>
      </c>
      <c r="H3664" s="4">
        <v>0.7</v>
      </c>
      <c r="I3664" s="28">
        <f t="shared" si="115"/>
        <v>42488.580374601072</v>
      </c>
    </row>
    <row r="3665" spans="1:9" ht="15" customHeight="1" x14ac:dyDescent="0.35">
      <c r="A3665" s="26" t="s">
        <v>10381</v>
      </c>
      <c r="B3665" s="25" t="s">
        <v>9030</v>
      </c>
      <c r="C3665" s="6" t="s">
        <v>10382</v>
      </c>
      <c r="D3665" s="13">
        <v>25502.738625000002</v>
      </c>
      <c r="E3665" s="18">
        <v>21</v>
      </c>
      <c r="F3665" s="2">
        <f t="shared" si="114"/>
        <v>30858.313736250002</v>
      </c>
      <c r="G3665" s="3">
        <v>0</v>
      </c>
      <c r="H3665" s="4">
        <v>0.7</v>
      </c>
      <c r="I3665" s="28">
        <f t="shared" si="115"/>
        <v>52459.133351625002</v>
      </c>
    </row>
    <row r="3666" spans="1:9" ht="15" customHeight="1" x14ac:dyDescent="0.35">
      <c r="A3666" s="26" t="s">
        <v>2945</v>
      </c>
      <c r="B3666" s="25" t="s">
        <v>12971</v>
      </c>
      <c r="C3666" s="6" t="s">
        <v>1021</v>
      </c>
      <c r="D3666" s="13">
        <v>47291.13614138875</v>
      </c>
      <c r="E3666" s="18">
        <v>21</v>
      </c>
      <c r="F3666" s="2">
        <f t="shared" si="114"/>
        <v>57222.27473108039</v>
      </c>
      <c r="G3666" s="3">
        <v>0</v>
      </c>
      <c r="H3666" s="4">
        <v>0.7</v>
      </c>
      <c r="I3666" s="28">
        <f t="shared" si="115"/>
        <v>97277.86704283666</v>
      </c>
    </row>
    <row r="3667" spans="1:9" ht="15" customHeight="1" x14ac:dyDescent="0.35">
      <c r="A3667" s="26" t="s">
        <v>10958</v>
      </c>
      <c r="B3667" s="25" t="s">
        <v>12305</v>
      </c>
      <c r="C3667" s="6" t="s">
        <v>10959</v>
      </c>
      <c r="D3667" s="13">
        <v>27381.217499999999</v>
      </c>
      <c r="E3667" s="18">
        <v>21</v>
      </c>
      <c r="F3667" s="2">
        <f t="shared" si="114"/>
        <v>33131.273174999995</v>
      </c>
      <c r="G3667" s="3">
        <v>0</v>
      </c>
      <c r="H3667" s="4">
        <v>0.7</v>
      </c>
      <c r="I3667" s="28">
        <f t="shared" si="115"/>
        <v>56323.16439749999</v>
      </c>
    </row>
    <row r="3668" spans="1:9" ht="15" customHeight="1" x14ac:dyDescent="0.35">
      <c r="A3668" s="26" t="s">
        <v>2946</v>
      </c>
      <c r="B3668" s="25" t="s">
        <v>12306</v>
      </c>
      <c r="C3668" s="6" t="s">
        <v>10702</v>
      </c>
      <c r="D3668" s="13">
        <v>58230.956796366248</v>
      </c>
      <c r="E3668" s="18">
        <v>21</v>
      </c>
      <c r="F3668" s="2">
        <f t="shared" si="114"/>
        <v>70459.457723603162</v>
      </c>
      <c r="G3668" s="3">
        <v>0</v>
      </c>
      <c r="H3668" s="4">
        <v>0.7</v>
      </c>
      <c r="I3668" s="28">
        <f t="shared" si="115"/>
        <v>119781.07813012537</v>
      </c>
    </row>
    <row r="3669" spans="1:9" ht="15" customHeight="1" x14ac:dyDescent="0.35">
      <c r="A3669" s="26" t="s">
        <v>10960</v>
      </c>
      <c r="B3669" s="25" t="s">
        <v>12503</v>
      </c>
      <c r="C3669" s="6" t="s">
        <v>10961</v>
      </c>
      <c r="D3669" s="13">
        <v>60228.065625000003</v>
      </c>
      <c r="E3669" s="18">
        <v>21</v>
      </c>
      <c r="F3669" s="2">
        <f t="shared" si="114"/>
        <v>72875.959406250011</v>
      </c>
      <c r="G3669" s="3">
        <v>0</v>
      </c>
      <c r="H3669" s="4">
        <v>0.7</v>
      </c>
      <c r="I3669" s="28">
        <f t="shared" si="115"/>
        <v>123889.13099062501</v>
      </c>
    </row>
    <row r="3670" spans="1:9" ht="15" customHeight="1" x14ac:dyDescent="0.35">
      <c r="A3670" s="26" t="s">
        <v>2947</v>
      </c>
      <c r="B3670" s="25" t="s">
        <v>589</v>
      </c>
      <c r="C3670" s="6" t="s">
        <v>10703</v>
      </c>
      <c r="D3670" s="13">
        <v>58230.956796366248</v>
      </c>
      <c r="E3670" s="18">
        <v>21</v>
      </c>
      <c r="F3670" s="2">
        <f t="shared" si="114"/>
        <v>70459.457723603162</v>
      </c>
      <c r="G3670" s="3">
        <v>0</v>
      </c>
      <c r="H3670" s="4">
        <v>0.7</v>
      </c>
      <c r="I3670" s="28">
        <f t="shared" si="115"/>
        <v>119781.07813012537</v>
      </c>
    </row>
    <row r="3671" spans="1:9" ht="15" customHeight="1" x14ac:dyDescent="0.35">
      <c r="A3671" s="26" t="s">
        <v>10962</v>
      </c>
      <c r="B3671" s="25" t="s">
        <v>10690</v>
      </c>
      <c r="C3671" s="6" t="s">
        <v>10963</v>
      </c>
      <c r="D3671" s="13">
        <v>70384.587</v>
      </c>
      <c r="E3671" s="18">
        <v>21</v>
      </c>
      <c r="F3671" s="2">
        <f t="shared" si="114"/>
        <v>85165.350269999995</v>
      </c>
      <c r="G3671" s="3">
        <v>0</v>
      </c>
      <c r="H3671" s="4">
        <v>0.7</v>
      </c>
      <c r="I3671" s="28">
        <f t="shared" si="115"/>
        <v>144781.09545899997</v>
      </c>
    </row>
    <row r="3672" spans="1:9" ht="15" customHeight="1" x14ac:dyDescent="0.35">
      <c r="A3672" s="26" t="s">
        <v>2948</v>
      </c>
      <c r="B3672" s="25" t="s">
        <v>10372</v>
      </c>
      <c r="C3672" s="6" t="s">
        <v>10704</v>
      </c>
      <c r="D3672" s="13">
        <v>20655.605432475</v>
      </c>
      <c r="E3672" s="18">
        <v>21</v>
      </c>
      <c r="F3672" s="2">
        <f t="shared" si="114"/>
        <v>24993.282573294749</v>
      </c>
      <c r="G3672" s="3">
        <v>0</v>
      </c>
      <c r="H3672" s="4">
        <v>0.7</v>
      </c>
      <c r="I3672" s="28">
        <f t="shared" si="115"/>
        <v>42488.580374601072</v>
      </c>
    </row>
    <row r="3673" spans="1:9" ht="15" customHeight="1" x14ac:dyDescent="0.35">
      <c r="A3673" s="26" t="s">
        <v>10383</v>
      </c>
      <c r="B3673" s="25" t="s">
        <v>10691</v>
      </c>
      <c r="C3673" s="6" t="s">
        <v>10384</v>
      </c>
      <c r="D3673" s="13">
        <v>25502.738625000002</v>
      </c>
      <c r="E3673" s="18">
        <v>21</v>
      </c>
      <c r="F3673" s="2">
        <f t="shared" si="114"/>
        <v>30858.313736250002</v>
      </c>
      <c r="G3673" s="3">
        <v>0</v>
      </c>
      <c r="H3673" s="4">
        <v>0.7</v>
      </c>
      <c r="I3673" s="28">
        <f t="shared" si="115"/>
        <v>52459.133351625002</v>
      </c>
    </row>
    <row r="3674" spans="1:9" ht="15" customHeight="1" x14ac:dyDescent="0.35">
      <c r="A3674" s="26" t="s">
        <v>11383</v>
      </c>
      <c r="B3674" s="25" t="s">
        <v>10374</v>
      </c>
      <c r="C3674" s="6" t="s">
        <v>11384</v>
      </c>
      <c r="D3674" s="13">
        <v>70384.587</v>
      </c>
      <c r="E3674" s="18">
        <v>21</v>
      </c>
      <c r="F3674" s="2">
        <f t="shared" si="114"/>
        <v>85165.350269999995</v>
      </c>
      <c r="G3674" s="3">
        <v>0</v>
      </c>
      <c r="H3674" s="4">
        <v>0.7</v>
      </c>
      <c r="I3674" s="28">
        <f t="shared" si="115"/>
        <v>144781.09545899997</v>
      </c>
    </row>
    <row r="3675" spans="1:9" ht="15" customHeight="1" x14ac:dyDescent="0.35">
      <c r="A3675" s="26" t="s">
        <v>2949</v>
      </c>
      <c r="B3675" s="25" t="s">
        <v>10692</v>
      </c>
      <c r="C3675" s="6" t="s">
        <v>10705</v>
      </c>
      <c r="D3675" s="13">
        <v>20655.605432475</v>
      </c>
      <c r="E3675" s="18">
        <v>21</v>
      </c>
      <c r="F3675" s="2">
        <f t="shared" si="114"/>
        <v>24993.282573294749</v>
      </c>
      <c r="G3675" s="3">
        <v>0</v>
      </c>
      <c r="H3675" s="4">
        <v>0.7</v>
      </c>
      <c r="I3675" s="28">
        <f t="shared" si="115"/>
        <v>42488.580374601072</v>
      </c>
    </row>
    <row r="3676" spans="1:9" ht="15" customHeight="1" x14ac:dyDescent="0.35">
      <c r="A3676" s="26" t="s">
        <v>10385</v>
      </c>
      <c r="B3676" s="25" t="s">
        <v>10376</v>
      </c>
      <c r="C3676" s="6" t="s">
        <v>10386</v>
      </c>
      <c r="D3676" s="13">
        <v>25502.738625000002</v>
      </c>
      <c r="E3676" s="18">
        <v>21</v>
      </c>
      <c r="F3676" s="2">
        <f t="shared" si="114"/>
        <v>30858.313736250002</v>
      </c>
      <c r="G3676" s="3">
        <v>0</v>
      </c>
      <c r="H3676" s="4">
        <v>0.7</v>
      </c>
      <c r="I3676" s="28">
        <f t="shared" si="115"/>
        <v>52459.133351625002</v>
      </c>
    </row>
    <row r="3677" spans="1:9" ht="15" customHeight="1" x14ac:dyDescent="0.35">
      <c r="A3677" s="26" t="s">
        <v>12068</v>
      </c>
      <c r="B3677" s="25" t="s">
        <v>1072</v>
      </c>
      <c r="C3677" s="6" t="s">
        <v>12069</v>
      </c>
      <c r="D3677" s="13">
        <v>70384.587</v>
      </c>
      <c r="E3677" s="18">
        <v>21</v>
      </c>
      <c r="F3677" s="2">
        <f t="shared" si="114"/>
        <v>85165.350269999995</v>
      </c>
      <c r="G3677" s="3">
        <v>0</v>
      </c>
      <c r="H3677" s="4">
        <v>0.7</v>
      </c>
      <c r="I3677" s="28">
        <f t="shared" si="115"/>
        <v>144781.09545899997</v>
      </c>
    </row>
    <row r="3678" spans="1:9" ht="15" customHeight="1" x14ac:dyDescent="0.35">
      <c r="A3678" s="26" t="s">
        <v>2950</v>
      </c>
      <c r="B3678" s="25" t="s">
        <v>9083</v>
      </c>
      <c r="C3678" s="6" t="s">
        <v>10706</v>
      </c>
      <c r="D3678" s="13">
        <v>20655.605432475</v>
      </c>
      <c r="E3678" s="18">
        <v>21</v>
      </c>
      <c r="F3678" s="2">
        <f t="shared" si="114"/>
        <v>24993.282573294749</v>
      </c>
      <c r="G3678" s="3">
        <v>0</v>
      </c>
      <c r="H3678" s="4">
        <v>0.7</v>
      </c>
      <c r="I3678" s="28">
        <f t="shared" si="115"/>
        <v>42488.580374601072</v>
      </c>
    </row>
    <row r="3679" spans="1:9" ht="15" customHeight="1" x14ac:dyDescent="0.35">
      <c r="A3679" s="26" t="s">
        <v>10387</v>
      </c>
      <c r="B3679" s="25" t="s">
        <v>12663</v>
      </c>
      <c r="C3679" s="6" t="s">
        <v>10388</v>
      </c>
      <c r="D3679" s="13">
        <v>25502.738625000002</v>
      </c>
      <c r="E3679" s="18">
        <v>21</v>
      </c>
      <c r="F3679" s="2">
        <f t="shared" si="114"/>
        <v>30858.313736250002</v>
      </c>
      <c r="G3679" s="3">
        <v>0</v>
      </c>
      <c r="H3679" s="4">
        <v>0.7</v>
      </c>
      <c r="I3679" s="28">
        <f t="shared" si="115"/>
        <v>52459.133351625002</v>
      </c>
    </row>
    <row r="3680" spans="1:9" ht="15" customHeight="1" x14ac:dyDescent="0.35">
      <c r="A3680" s="26" t="s">
        <v>13517</v>
      </c>
      <c r="B3680" s="25" t="s">
        <v>1010</v>
      </c>
      <c r="C3680" s="6" t="s">
        <v>13518</v>
      </c>
      <c r="D3680" s="13">
        <v>70384.587</v>
      </c>
      <c r="E3680" s="18">
        <v>21</v>
      </c>
      <c r="F3680" s="2">
        <f t="shared" si="114"/>
        <v>85165.350269999995</v>
      </c>
      <c r="G3680" s="3">
        <v>0</v>
      </c>
      <c r="H3680" s="4">
        <v>0.7</v>
      </c>
      <c r="I3680" s="28">
        <f t="shared" si="115"/>
        <v>144781.09545899997</v>
      </c>
    </row>
    <row r="3681" spans="1:9" ht="15" customHeight="1" x14ac:dyDescent="0.35">
      <c r="A3681" s="26" t="s">
        <v>2951</v>
      </c>
      <c r="B3681" s="25" t="s">
        <v>1011</v>
      </c>
      <c r="C3681" s="6" t="s">
        <v>10707</v>
      </c>
      <c r="D3681" s="13">
        <v>20655.605432475</v>
      </c>
      <c r="E3681" s="18">
        <v>21</v>
      </c>
      <c r="F3681" s="2">
        <f t="shared" si="114"/>
        <v>24993.282573294749</v>
      </c>
      <c r="G3681" s="3">
        <v>0</v>
      </c>
      <c r="H3681" s="4">
        <v>0.7</v>
      </c>
      <c r="I3681" s="28">
        <f t="shared" si="115"/>
        <v>42488.580374601072</v>
      </c>
    </row>
    <row r="3682" spans="1:9" ht="15" customHeight="1" x14ac:dyDescent="0.35">
      <c r="A3682" s="26" t="s">
        <v>10389</v>
      </c>
      <c r="B3682" s="25" t="s">
        <v>1012</v>
      </c>
      <c r="C3682" s="6" t="s">
        <v>10390</v>
      </c>
      <c r="D3682" s="13">
        <v>25502.738625000002</v>
      </c>
      <c r="E3682" s="18">
        <v>21</v>
      </c>
      <c r="F3682" s="2">
        <f t="shared" si="114"/>
        <v>30858.313736250002</v>
      </c>
      <c r="G3682" s="3">
        <v>0</v>
      </c>
      <c r="H3682" s="4">
        <v>0.7</v>
      </c>
      <c r="I3682" s="28">
        <f t="shared" si="115"/>
        <v>52459.133351625002</v>
      </c>
    </row>
    <row r="3683" spans="1:9" ht="15" customHeight="1" x14ac:dyDescent="0.35">
      <c r="A3683" s="26" t="s">
        <v>2952</v>
      </c>
      <c r="B3683" s="25" t="s">
        <v>10693</v>
      </c>
      <c r="C3683" s="6" t="s">
        <v>9859</v>
      </c>
      <c r="D3683" s="13">
        <v>63408.058974</v>
      </c>
      <c r="E3683" s="18">
        <v>21</v>
      </c>
      <c r="F3683" s="2">
        <f t="shared" si="114"/>
        <v>76723.751358540001</v>
      </c>
      <c r="G3683" s="3">
        <v>0</v>
      </c>
      <c r="H3683" s="4">
        <v>0.7</v>
      </c>
      <c r="I3683" s="28">
        <f t="shared" si="115"/>
        <v>130430.37730951799</v>
      </c>
    </row>
    <row r="3684" spans="1:9" ht="15" customHeight="1" x14ac:dyDescent="0.35">
      <c r="A3684" s="26" t="s">
        <v>2953</v>
      </c>
      <c r="B3684" s="25" t="s">
        <v>10694</v>
      </c>
      <c r="C3684" s="6" t="s">
        <v>9860</v>
      </c>
      <c r="D3684" s="13">
        <v>63408.058974</v>
      </c>
      <c r="E3684" s="18">
        <v>21</v>
      </c>
      <c r="F3684" s="2">
        <f t="shared" si="114"/>
        <v>76723.751358540001</v>
      </c>
      <c r="G3684" s="3">
        <v>0</v>
      </c>
      <c r="H3684" s="4">
        <v>0.7</v>
      </c>
      <c r="I3684" s="28">
        <f t="shared" si="115"/>
        <v>130430.37730951799</v>
      </c>
    </row>
    <row r="3685" spans="1:9" ht="15" customHeight="1" x14ac:dyDescent="0.35">
      <c r="A3685" s="26" t="s">
        <v>2954</v>
      </c>
      <c r="B3685" s="25" t="s">
        <v>11303</v>
      </c>
      <c r="C3685" s="6" t="s">
        <v>9861</v>
      </c>
      <c r="D3685" s="13">
        <v>63408.058974</v>
      </c>
      <c r="E3685" s="18">
        <v>21</v>
      </c>
      <c r="F3685" s="2">
        <f t="shared" si="114"/>
        <v>76723.751358540001</v>
      </c>
      <c r="G3685" s="3">
        <v>0</v>
      </c>
      <c r="H3685" s="4">
        <v>0.7</v>
      </c>
      <c r="I3685" s="28">
        <f t="shared" si="115"/>
        <v>130430.37730951799</v>
      </c>
    </row>
    <row r="3686" spans="1:9" ht="15" customHeight="1" x14ac:dyDescent="0.35">
      <c r="A3686" s="26" t="s">
        <v>2955</v>
      </c>
      <c r="B3686" s="25" t="s">
        <v>10695</v>
      </c>
      <c r="C3686" s="6" t="s">
        <v>9862</v>
      </c>
      <c r="D3686" s="13">
        <v>63408.058974</v>
      </c>
      <c r="E3686" s="18">
        <v>21</v>
      </c>
      <c r="F3686" s="2">
        <f t="shared" si="114"/>
        <v>76723.751358540001</v>
      </c>
      <c r="G3686" s="3">
        <v>0</v>
      </c>
      <c r="H3686" s="4">
        <v>0.7</v>
      </c>
      <c r="I3686" s="28">
        <f t="shared" si="115"/>
        <v>130430.37730951799</v>
      </c>
    </row>
    <row r="3687" spans="1:9" ht="15" customHeight="1" x14ac:dyDescent="0.35">
      <c r="A3687" s="26" t="s">
        <v>2956</v>
      </c>
      <c r="B3687" s="25" t="s">
        <v>1013</v>
      </c>
      <c r="C3687" s="6" t="s">
        <v>9863</v>
      </c>
      <c r="D3687" s="13">
        <v>63408.058974</v>
      </c>
      <c r="E3687" s="18">
        <v>21</v>
      </c>
      <c r="F3687" s="2">
        <f t="shared" si="114"/>
        <v>76723.751358540001</v>
      </c>
      <c r="G3687" s="3">
        <v>0</v>
      </c>
      <c r="H3687" s="4">
        <v>0.7</v>
      </c>
      <c r="I3687" s="28">
        <f t="shared" si="115"/>
        <v>130430.37730951799</v>
      </c>
    </row>
    <row r="3688" spans="1:9" ht="15" customHeight="1" x14ac:dyDescent="0.35">
      <c r="A3688" s="26" t="s">
        <v>2957</v>
      </c>
      <c r="B3688" s="25" t="s">
        <v>1114</v>
      </c>
      <c r="C3688" s="6" t="s">
        <v>9864</v>
      </c>
      <c r="D3688" s="13">
        <v>63408.058974</v>
      </c>
      <c r="E3688" s="18">
        <v>21</v>
      </c>
      <c r="F3688" s="2">
        <f t="shared" si="114"/>
        <v>76723.751358540001</v>
      </c>
      <c r="G3688" s="3">
        <v>0</v>
      </c>
      <c r="H3688" s="4">
        <v>0.7</v>
      </c>
      <c r="I3688" s="28">
        <f t="shared" si="115"/>
        <v>130430.37730951799</v>
      </c>
    </row>
    <row r="3689" spans="1:9" ht="15" customHeight="1" x14ac:dyDescent="0.35">
      <c r="A3689" s="26" t="s">
        <v>2958</v>
      </c>
      <c r="B3689" s="25" t="s">
        <v>1073</v>
      </c>
      <c r="C3689" s="6" t="s">
        <v>9865</v>
      </c>
      <c r="D3689" s="13">
        <v>63408.058974</v>
      </c>
      <c r="E3689" s="18">
        <v>21</v>
      </c>
      <c r="F3689" s="2">
        <f t="shared" si="114"/>
        <v>76723.751358540001</v>
      </c>
      <c r="G3689" s="3">
        <v>0</v>
      </c>
      <c r="H3689" s="4">
        <v>0.7</v>
      </c>
      <c r="I3689" s="28">
        <f t="shared" si="115"/>
        <v>130430.37730951799</v>
      </c>
    </row>
    <row r="3690" spans="1:9" ht="15" customHeight="1" x14ac:dyDescent="0.35">
      <c r="A3690" s="26" t="s">
        <v>2959</v>
      </c>
      <c r="B3690" s="25" t="s">
        <v>1115</v>
      </c>
      <c r="C3690" s="6" t="s">
        <v>9866</v>
      </c>
      <c r="D3690" s="13">
        <v>63408.058974</v>
      </c>
      <c r="E3690" s="18">
        <v>21</v>
      </c>
      <c r="F3690" s="2">
        <f t="shared" si="114"/>
        <v>76723.751358540001</v>
      </c>
      <c r="G3690" s="3">
        <v>0</v>
      </c>
      <c r="H3690" s="4">
        <v>0.7</v>
      </c>
      <c r="I3690" s="28">
        <f t="shared" si="115"/>
        <v>130430.37730951799</v>
      </c>
    </row>
    <row r="3691" spans="1:9" ht="15" customHeight="1" x14ac:dyDescent="0.35">
      <c r="A3691" s="26" t="s">
        <v>2960</v>
      </c>
      <c r="B3691" s="25" t="s">
        <v>1116</v>
      </c>
      <c r="C3691" s="6" t="s">
        <v>9867</v>
      </c>
      <c r="D3691" s="13">
        <v>63408.058974</v>
      </c>
      <c r="E3691" s="18">
        <v>21</v>
      </c>
      <c r="F3691" s="2">
        <f t="shared" si="114"/>
        <v>76723.751358540001</v>
      </c>
      <c r="G3691" s="3">
        <v>0</v>
      </c>
      <c r="H3691" s="4">
        <v>0.7</v>
      </c>
      <c r="I3691" s="28">
        <f t="shared" si="115"/>
        <v>130430.37730951799</v>
      </c>
    </row>
    <row r="3692" spans="1:9" ht="15" customHeight="1" x14ac:dyDescent="0.35">
      <c r="A3692" s="26" t="s">
        <v>2961</v>
      </c>
      <c r="B3692" s="25" t="s">
        <v>9032</v>
      </c>
      <c r="C3692" s="6" t="s">
        <v>9868</v>
      </c>
      <c r="D3692" s="13">
        <v>66748.603896000001</v>
      </c>
      <c r="E3692" s="18">
        <v>21</v>
      </c>
      <c r="F3692" s="2">
        <f t="shared" si="114"/>
        <v>80765.810714160005</v>
      </c>
      <c r="G3692" s="3">
        <v>0</v>
      </c>
      <c r="H3692" s="4">
        <v>0.7</v>
      </c>
      <c r="I3692" s="28">
        <f t="shared" si="115"/>
        <v>137301.878214072</v>
      </c>
    </row>
    <row r="3693" spans="1:9" ht="15" customHeight="1" x14ac:dyDescent="0.35">
      <c r="A3693" s="26" t="s">
        <v>2962</v>
      </c>
      <c r="B3693" s="25" t="s">
        <v>11446</v>
      </c>
      <c r="C3693" s="6" t="s">
        <v>9869</v>
      </c>
      <c r="D3693" s="13">
        <v>88029.97748999999</v>
      </c>
      <c r="E3693" s="18">
        <v>21</v>
      </c>
      <c r="F3693" s="2">
        <f t="shared" si="114"/>
        <v>106516.27276289999</v>
      </c>
      <c r="G3693" s="3">
        <v>0</v>
      </c>
      <c r="H3693" s="4">
        <v>0.7</v>
      </c>
      <c r="I3693" s="28">
        <f t="shared" si="115"/>
        <v>181077.66369692996</v>
      </c>
    </row>
    <row r="3694" spans="1:9" ht="15" customHeight="1" x14ac:dyDescent="0.35">
      <c r="A3694" s="26" t="s">
        <v>2963</v>
      </c>
      <c r="B3694" s="25" t="s">
        <v>10516</v>
      </c>
      <c r="C3694" s="6" t="s">
        <v>9870</v>
      </c>
      <c r="D3694" s="13">
        <v>101135.19218399998</v>
      </c>
      <c r="E3694" s="18">
        <v>21</v>
      </c>
      <c r="F3694" s="2">
        <f t="shared" si="114"/>
        <v>122373.58254263998</v>
      </c>
      <c r="G3694" s="3">
        <v>0</v>
      </c>
      <c r="H3694" s="4">
        <v>0.7</v>
      </c>
      <c r="I3694" s="28">
        <f t="shared" si="115"/>
        <v>208035.09032248796</v>
      </c>
    </row>
    <row r="3695" spans="1:9" ht="15" customHeight="1" x14ac:dyDescent="0.35">
      <c r="A3695" s="26" t="s">
        <v>2964</v>
      </c>
      <c r="B3695" s="25" t="s">
        <v>10517</v>
      </c>
      <c r="C3695" s="6" t="s">
        <v>9871</v>
      </c>
      <c r="D3695" s="13">
        <v>101135.19218399998</v>
      </c>
      <c r="E3695" s="18">
        <v>21</v>
      </c>
      <c r="F3695" s="2">
        <f t="shared" si="114"/>
        <v>122373.58254263998</v>
      </c>
      <c r="G3695" s="3">
        <v>0</v>
      </c>
      <c r="H3695" s="4">
        <v>0.7</v>
      </c>
      <c r="I3695" s="28">
        <f t="shared" si="115"/>
        <v>208035.09032248796</v>
      </c>
    </row>
    <row r="3696" spans="1:9" ht="15" customHeight="1" x14ac:dyDescent="0.35">
      <c r="A3696" s="26" t="s">
        <v>8731</v>
      </c>
      <c r="B3696" s="25" t="s">
        <v>10518</v>
      </c>
      <c r="C3696" s="6" t="s">
        <v>9872</v>
      </c>
      <c r="D3696" s="13">
        <v>158041.25812800002</v>
      </c>
      <c r="E3696" s="18">
        <v>21</v>
      </c>
      <c r="F3696" s="2">
        <f t="shared" si="114"/>
        <v>191229.92233488002</v>
      </c>
      <c r="G3696" s="3">
        <v>0</v>
      </c>
      <c r="H3696" s="4">
        <v>0.7</v>
      </c>
      <c r="I3696" s="28">
        <f t="shared" si="115"/>
        <v>325090.867969296</v>
      </c>
    </row>
    <row r="3697" spans="1:9" ht="15" customHeight="1" x14ac:dyDescent="0.35">
      <c r="A3697" s="26" t="s">
        <v>8732</v>
      </c>
      <c r="B3697" s="25" t="s">
        <v>11266</v>
      </c>
      <c r="C3697" s="6" t="s">
        <v>9873</v>
      </c>
      <c r="D3697" s="13">
        <v>160065.830808</v>
      </c>
      <c r="E3697" s="18">
        <v>21</v>
      </c>
      <c r="F3697" s="2">
        <f t="shared" si="114"/>
        <v>193679.65527767999</v>
      </c>
      <c r="G3697" s="3">
        <v>0</v>
      </c>
      <c r="H3697" s="4">
        <v>0.7</v>
      </c>
      <c r="I3697" s="28">
        <f t="shared" si="115"/>
        <v>329255.41397205601</v>
      </c>
    </row>
    <row r="3698" spans="1:9" ht="15" customHeight="1" x14ac:dyDescent="0.35">
      <c r="A3698" s="26" t="s">
        <v>2965</v>
      </c>
      <c r="B3698" s="25" t="s">
        <v>10519</v>
      </c>
      <c r="C3698" s="6" t="s">
        <v>9874</v>
      </c>
      <c r="D3698" s="13">
        <v>351964.17360000004</v>
      </c>
      <c r="E3698" s="18">
        <v>21</v>
      </c>
      <c r="F3698" s="2">
        <f t="shared" si="114"/>
        <v>425876.65005600004</v>
      </c>
      <c r="G3698" s="3">
        <v>0</v>
      </c>
      <c r="H3698" s="4">
        <v>0.7</v>
      </c>
      <c r="I3698" s="28">
        <f t="shared" si="115"/>
        <v>723990.30509520008</v>
      </c>
    </row>
    <row r="3699" spans="1:9" ht="15" customHeight="1" x14ac:dyDescent="0.35">
      <c r="A3699" s="26" t="s">
        <v>2966</v>
      </c>
      <c r="B3699" s="25" t="s">
        <v>10520</v>
      </c>
      <c r="C3699" s="6" t="s">
        <v>10535</v>
      </c>
      <c r="D3699" s="13">
        <v>390742.52723999997</v>
      </c>
      <c r="E3699" s="18">
        <v>21</v>
      </c>
      <c r="F3699" s="2">
        <f t="shared" si="114"/>
        <v>472798.45796039997</v>
      </c>
      <c r="G3699" s="3">
        <v>0</v>
      </c>
      <c r="H3699" s="4">
        <v>0.7</v>
      </c>
      <c r="I3699" s="28">
        <f t="shared" si="115"/>
        <v>803757.37853267998</v>
      </c>
    </row>
    <row r="3700" spans="1:9" ht="15" customHeight="1" x14ac:dyDescent="0.35">
      <c r="A3700" s="26" t="s">
        <v>2967</v>
      </c>
      <c r="B3700" s="25" t="s">
        <v>10521</v>
      </c>
      <c r="C3700" s="6" t="s">
        <v>9875</v>
      </c>
      <c r="D3700" s="13">
        <v>390742.52723999997</v>
      </c>
      <c r="E3700" s="18">
        <v>21</v>
      </c>
      <c r="F3700" s="2">
        <f t="shared" si="114"/>
        <v>472798.45796039997</v>
      </c>
      <c r="G3700" s="3">
        <v>0</v>
      </c>
      <c r="H3700" s="4">
        <v>0.7</v>
      </c>
      <c r="I3700" s="28">
        <f t="shared" si="115"/>
        <v>803757.37853267998</v>
      </c>
    </row>
    <row r="3701" spans="1:9" ht="15" customHeight="1" x14ac:dyDescent="0.35">
      <c r="A3701" s="26" t="s">
        <v>2968</v>
      </c>
      <c r="B3701" s="25" t="s">
        <v>10522</v>
      </c>
      <c r="C3701" s="6" t="s">
        <v>9876</v>
      </c>
      <c r="D3701" s="13">
        <v>415722.63938400004</v>
      </c>
      <c r="E3701" s="18">
        <v>21</v>
      </c>
      <c r="F3701" s="2">
        <f t="shared" si="114"/>
        <v>503024.39365464007</v>
      </c>
      <c r="G3701" s="3">
        <v>0</v>
      </c>
      <c r="H3701" s="4">
        <v>0.7</v>
      </c>
      <c r="I3701" s="28">
        <f t="shared" si="115"/>
        <v>855141.46921288804</v>
      </c>
    </row>
    <row r="3702" spans="1:9" ht="15" customHeight="1" x14ac:dyDescent="0.35">
      <c r="A3702" s="26" t="s">
        <v>14024</v>
      </c>
      <c r="B3702" s="25" t="s">
        <v>10523</v>
      </c>
      <c r="C3702" s="6" t="s">
        <v>14025</v>
      </c>
      <c r="D3702" s="13">
        <v>145619.25787500001</v>
      </c>
      <c r="E3702" s="18">
        <v>21</v>
      </c>
      <c r="F3702" s="2">
        <f t="shared" si="114"/>
        <v>176199.30202875001</v>
      </c>
      <c r="G3702" s="3">
        <v>0</v>
      </c>
      <c r="H3702" s="4">
        <v>0.7</v>
      </c>
      <c r="I3702" s="28">
        <f t="shared" si="115"/>
        <v>299538.81344887504</v>
      </c>
    </row>
    <row r="3703" spans="1:9" ht="15" customHeight="1" x14ac:dyDescent="0.35">
      <c r="A3703" s="26" t="s">
        <v>10031</v>
      </c>
      <c r="B3703" s="25" t="s">
        <v>1014</v>
      </c>
      <c r="C3703" s="6" t="s">
        <v>14026</v>
      </c>
      <c r="D3703" s="13">
        <v>150862.018125</v>
      </c>
      <c r="E3703" s="18">
        <v>21</v>
      </c>
      <c r="F3703" s="2">
        <f t="shared" si="114"/>
        <v>182543.04193125002</v>
      </c>
      <c r="G3703" s="3">
        <v>0</v>
      </c>
      <c r="H3703" s="4">
        <v>0.7</v>
      </c>
      <c r="I3703" s="28">
        <f t="shared" si="115"/>
        <v>310323.171283125</v>
      </c>
    </row>
    <row r="3704" spans="1:9" ht="15" customHeight="1" x14ac:dyDescent="0.35">
      <c r="A3704" s="26" t="s">
        <v>11798</v>
      </c>
      <c r="B3704" s="25" t="s">
        <v>1015</v>
      </c>
      <c r="C3704" s="6" t="s">
        <v>12746</v>
      </c>
      <c r="D3704" s="13">
        <v>23092.704263070002</v>
      </c>
      <c r="E3704" s="18">
        <v>21</v>
      </c>
      <c r="F3704" s="2">
        <f t="shared" si="114"/>
        <v>27942.172158314701</v>
      </c>
      <c r="G3704" s="3">
        <v>0</v>
      </c>
      <c r="H3704" s="4">
        <v>0.7</v>
      </c>
      <c r="I3704" s="28">
        <f t="shared" si="115"/>
        <v>47501.692669134987</v>
      </c>
    </row>
    <row r="3705" spans="1:9" ht="15" customHeight="1" x14ac:dyDescent="0.35">
      <c r="A3705" s="26" t="s">
        <v>12747</v>
      </c>
      <c r="B3705" s="25" t="s">
        <v>1016</v>
      </c>
      <c r="C3705" s="6" t="s">
        <v>12748</v>
      </c>
      <c r="D3705" s="13">
        <v>28321.241077349998</v>
      </c>
      <c r="E3705" s="18">
        <v>21</v>
      </c>
      <c r="F3705" s="2">
        <f t="shared" si="114"/>
        <v>34268.701703593499</v>
      </c>
      <c r="G3705" s="3">
        <v>0</v>
      </c>
      <c r="H3705" s="4">
        <v>0.7</v>
      </c>
      <c r="I3705" s="28">
        <f t="shared" si="115"/>
        <v>58256.792896108949</v>
      </c>
    </row>
    <row r="3706" spans="1:9" ht="15" customHeight="1" x14ac:dyDescent="0.35">
      <c r="A3706" s="26" t="s">
        <v>12749</v>
      </c>
      <c r="B3706" s="25" t="s">
        <v>1017</v>
      </c>
      <c r="C3706" s="6" t="s">
        <v>12750</v>
      </c>
      <c r="D3706" s="13">
        <v>35583.097763850004</v>
      </c>
      <c r="E3706" s="18">
        <v>21</v>
      </c>
      <c r="F3706" s="2">
        <f t="shared" si="114"/>
        <v>43055.548294258508</v>
      </c>
      <c r="G3706" s="3">
        <v>0</v>
      </c>
      <c r="H3706" s="4">
        <v>0.7</v>
      </c>
      <c r="I3706" s="28">
        <f t="shared" si="115"/>
        <v>73194.432100239457</v>
      </c>
    </row>
    <row r="3707" spans="1:9" ht="15" customHeight="1" x14ac:dyDescent="0.35">
      <c r="A3707" s="26" t="s">
        <v>12321</v>
      </c>
      <c r="B3707" s="25" t="s">
        <v>1018</v>
      </c>
      <c r="C3707" s="6" t="s">
        <v>12751</v>
      </c>
      <c r="D3707" s="13">
        <v>38197.366170989997</v>
      </c>
      <c r="E3707" s="18">
        <v>21</v>
      </c>
      <c r="F3707" s="2">
        <f t="shared" si="114"/>
        <v>46218.813066897899</v>
      </c>
      <c r="G3707" s="3">
        <v>0</v>
      </c>
      <c r="H3707" s="4">
        <v>0.7</v>
      </c>
      <c r="I3707" s="28">
        <f t="shared" si="115"/>
        <v>78571.982213726427</v>
      </c>
    </row>
    <row r="3708" spans="1:9" ht="15" customHeight="1" x14ac:dyDescent="0.35">
      <c r="A3708" s="26" t="s">
        <v>9310</v>
      </c>
      <c r="B3708" s="25" t="s">
        <v>1019</v>
      </c>
      <c r="C3708" s="6" t="s">
        <v>12752</v>
      </c>
      <c r="D3708" s="13">
        <v>46475.882793600002</v>
      </c>
      <c r="E3708" s="18">
        <v>21</v>
      </c>
      <c r="F3708" s="2">
        <f t="shared" si="114"/>
        <v>56235.818180255999</v>
      </c>
      <c r="G3708" s="3">
        <v>0</v>
      </c>
      <c r="H3708" s="4">
        <v>0.7</v>
      </c>
      <c r="I3708" s="28">
        <f t="shared" si="115"/>
        <v>95600.89090643519</v>
      </c>
    </row>
    <row r="3709" spans="1:9" ht="15" customHeight="1" x14ac:dyDescent="0.35">
      <c r="A3709" s="26" t="s">
        <v>12753</v>
      </c>
      <c r="B3709" s="25" t="s">
        <v>8823</v>
      </c>
      <c r="C3709" s="6" t="s">
        <v>12754</v>
      </c>
      <c r="D3709" s="13">
        <v>38110.834125000001</v>
      </c>
      <c r="E3709" s="18">
        <v>21</v>
      </c>
      <c r="F3709" s="2">
        <f t="shared" si="114"/>
        <v>46114.109291250003</v>
      </c>
      <c r="G3709" s="3">
        <v>0</v>
      </c>
      <c r="H3709" s="4">
        <v>0.7</v>
      </c>
      <c r="I3709" s="28">
        <f t="shared" si="115"/>
        <v>78393.985795125001</v>
      </c>
    </row>
    <row r="3710" spans="1:9" ht="15" customHeight="1" x14ac:dyDescent="0.35">
      <c r="A3710" s="26" t="s">
        <v>12563</v>
      </c>
      <c r="B3710" s="25" t="s">
        <v>1117</v>
      </c>
      <c r="C3710" s="6" t="s">
        <v>12564</v>
      </c>
      <c r="D3710" s="13">
        <v>10429.805706027499</v>
      </c>
      <c r="E3710" s="18">
        <v>21</v>
      </c>
      <c r="F3710" s="2">
        <f t="shared" si="114"/>
        <v>12620.064904293273</v>
      </c>
      <c r="G3710" s="3">
        <v>0</v>
      </c>
      <c r="H3710" s="4">
        <v>0.7</v>
      </c>
      <c r="I3710" s="28">
        <f t="shared" si="115"/>
        <v>21454.110337298564</v>
      </c>
    </row>
    <row r="3711" spans="1:9" ht="15" customHeight="1" x14ac:dyDescent="0.35">
      <c r="A3711" s="26" t="s">
        <v>9089</v>
      </c>
      <c r="B3711" s="25" t="s">
        <v>12320</v>
      </c>
      <c r="C3711" s="6" t="s">
        <v>9090</v>
      </c>
      <c r="D3711" s="13">
        <v>4857.8923887487499</v>
      </c>
      <c r="E3711" s="18">
        <v>21</v>
      </c>
      <c r="F3711" s="2">
        <f t="shared" si="114"/>
        <v>5878.0497903859878</v>
      </c>
      <c r="G3711" s="3">
        <v>0</v>
      </c>
      <c r="H3711" s="4">
        <v>0.7</v>
      </c>
      <c r="I3711" s="28">
        <f t="shared" si="115"/>
        <v>9992.6846436561791</v>
      </c>
    </row>
    <row r="3712" spans="1:9" ht="15" customHeight="1" x14ac:dyDescent="0.35">
      <c r="A3712" s="26" t="s">
        <v>9087</v>
      </c>
      <c r="B3712" s="25" t="s">
        <v>1118</v>
      </c>
      <c r="C3712" s="6" t="s">
        <v>9088</v>
      </c>
      <c r="D3712" s="13">
        <v>4857.8923887487499</v>
      </c>
      <c r="E3712" s="18">
        <v>21</v>
      </c>
      <c r="F3712" s="2">
        <f t="shared" si="114"/>
        <v>5878.0497903859878</v>
      </c>
      <c r="G3712" s="3">
        <v>0</v>
      </c>
      <c r="H3712" s="4">
        <v>0.7</v>
      </c>
      <c r="I3712" s="28">
        <f t="shared" si="115"/>
        <v>9992.6846436561791</v>
      </c>
    </row>
    <row r="3713" spans="1:9" ht="15" customHeight="1" x14ac:dyDescent="0.35">
      <c r="A3713" s="26" t="s">
        <v>2847</v>
      </c>
      <c r="B3713" s="25" t="s">
        <v>11839</v>
      </c>
      <c r="C3713" s="6" t="s">
        <v>12578</v>
      </c>
      <c r="D3713" s="13">
        <v>4857.8923887487499</v>
      </c>
      <c r="E3713" s="18">
        <v>21</v>
      </c>
      <c r="F3713" s="2">
        <f t="shared" si="114"/>
        <v>5878.0497903859878</v>
      </c>
      <c r="G3713" s="3">
        <v>0</v>
      </c>
      <c r="H3713" s="4">
        <v>0.7</v>
      </c>
      <c r="I3713" s="28">
        <f t="shared" si="115"/>
        <v>9992.6846436561791</v>
      </c>
    </row>
    <row r="3714" spans="1:9" ht="15" customHeight="1" x14ac:dyDescent="0.35">
      <c r="A3714" s="26" t="s">
        <v>1364</v>
      </c>
      <c r="B3714" s="25" t="s">
        <v>11841</v>
      </c>
      <c r="C3714" s="6" t="s">
        <v>592</v>
      </c>
      <c r="D3714" s="13">
        <v>11294.916800700001</v>
      </c>
      <c r="E3714" s="18">
        <v>21</v>
      </c>
      <c r="F3714" s="2">
        <f t="shared" si="114"/>
        <v>13666.849328847002</v>
      </c>
      <c r="G3714" s="3">
        <v>0</v>
      </c>
      <c r="H3714" s="4">
        <v>0.7</v>
      </c>
      <c r="I3714" s="28">
        <f t="shared" si="115"/>
        <v>23233.643859039901</v>
      </c>
    </row>
    <row r="3715" spans="1:9" ht="15" customHeight="1" x14ac:dyDescent="0.35">
      <c r="A3715" s="26" t="s">
        <v>1619</v>
      </c>
      <c r="B3715" s="25" t="s">
        <v>590</v>
      </c>
      <c r="C3715" s="6" t="s">
        <v>593</v>
      </c>
      <c r="D3715" s="13">
        <v>76.504999999999995</v>
      </c>
      <c r="E3715" s="18">
        <v>21</v>
      </c>
      <c r="F3715" s="2">
        <f t="shared" si="114"/>
        <v>92.57105</v>
      </c>
      <c r="G3715" s="3">
        <v>0</v>
      </c>
      <c r="H3715" s="4">
        <v>0.7</v>
      </c>
      <c r="I3715" s="28">
        <f t="shared" si="115"/>
        <v>157.37078499999998</v>
      </c>
    </row>
    <row r="3716" spans="1:9" ht="15" customHeight="1" x14ac:dyDescent="0.35">
      <c r="A3716" s="26" t="s">
        <v>8802</v>
      </c>
      <c r="B3716" s="25" t="s">
        <v>10696</v>
      </c>
      <c r="C3716" s="6" t="s">
        <v>9747</v>
      </c>
      <c r="D3716" s="13">
        <v>547.74927084799901</v>
      </c>
      <c r="E3716" s="18">
        <v>21</v>
      </c>
      <c r="F3716" s="2">
        <f t="shared" si="114"/>
        <v>662.77661772607883</v>
      </c>
      <c r="G3716" s="3">
        <v>0</v>
      </c>
      <c r="H3716" s="4">
        <v>0.7</v>
      </c>
      <c r="I3716" s="28">
        <f t="shared" si="115"/>
        <v>1126.720250134334</v>
      </c>
    </row>
    <row r="3717" spans="1:9" ht="15" customHeight="1" x14ac:dyDescent="0.35">
      <c r="A3717" s="26" t="s">
        <v>3583</v>
      </c>
      <c r="B3717" s="25" t="s">
        <v>10697</v>
      </c>
      <c r="C3717" s="6" t="s">
        <v>594</v>
      </c>
      <c r="D3717" s="13">
        <v>3060.2</v>
      </c>
      <c r="E3717" s="18">
        <v>21</v>
      </c>
      <c r="F3717" s="2">
        <f t="shared" si="114"/>
        <v>3702.8419999999996</v>
      </c>
      <c r="G3717" s="3">
        <v>0</v>
      </c>
      <c r="H3717" s="4">
        <v>0.7</v>
      </c>
      <c r="I3717" s="28">
        <f t="shared" si="115"/>
        <v>6294.8313999999991</v>
      </c>
    </row>
    <row r="3718" spans="1:9" ht="15" customHeight="1" x14ac:dyDescent="0.35">
      <c r="A3718" s="26" t="s">
        <v>3584</v>
      </c>
      <c r="B3718" s="25" t="s">
        <v>9643</v>
      </c>
      <c r="C3718" s="6" t="s">
        <v>595</v>
      </c>
      <c r="D3718" s="13">
        <v>3060.2</v>
      </c>
      <c r="E3718" s="18">
        <v>21</v>
      </c>
      <c r="F3718" s="2">
        <f t="shared" ref="F3718:F3781" si="116">D3718*E3718/100+D3718</f>
        <v>3702.8419999999996</v>
      </c>
      <c r="G3718" s="3">
        <v>0</v>
      </c>
      <c r="H3718" s="4">
        <v>0.7</v>
      </c>
      <c r="I3718" s="28">
        <f t="shared" ref="I3718:I3781" si="117">IF(G3718=-1,0,F3718*((100-G3718)/100)*(1+H3718))</f>
        <v>6294.8313999999991</v>
      </c>
    </row>
    <row r="3719" spans="1:9" ht="15" customHeight="1" x14ac:dyDescent="0.35">
      <c r="A3719" s="26" t="s">
        <v>3585</v>
      </c>
      <c r="B3719" s="25" t="s">
        <v>9644</v>
      </c>
      <c r="C3719" s="6" t="s">
        <v>596</v>
      </c>
      <c r="D3719" s="13">
        <v>4173</v>
      </c>
      <c r="E3719" s="18">
        <v>21</v>
      </c>
      <c r="F3719" s="2">
        <f t="shared" si="116"/>
        <v>5049.33</v>
      </c>
      <c r="G3719" s="3">
        <v>0</v>
      </c>
      <c r="H3719" s="4">
        <v>0.7</v>
      </c>
      <c r="I3719" s="28">
        <f t="shared" si="117"/>
        <v>8583.860999999999</v>
      </c>
    </row>
    <row r="3720" spans="1:9" ht="15" customHeight="1" x14ac:dyDescent="0.35">
      <c r="A3720" s="26" t="s">
        <v>3586</v>
      </c>
      <c r="B3720" s="25" t="s">
        <v>591</v>
      </c>
      <c r="C3720" s="6" t="s">
        <v>597</v>
      </c>
      <c r="D3720" s="13">
        <v>3060.2</v>
      </c>
      <c r="E3720" s="18">
        <v>21</v>
      </c>
      <c r="F3720" s="2">
        <f t="shared" si="116"/>
        <v>3702.8419999999996</v>
      </c>
      <c r="G3720" s="3">
        <v>0</v>
      </c>
      <c r="H3720" s="4">
        <v>0.7</v>
      </c>
      <c r="I3720" s="28">
        <f t="shared" si="117"/>
        <v>6294.8313999999991</v>
      </c>
    </row>
    <row r="3721" spans="1:9" ht="15" customHeight="1" x14ac:dyDescent="0.35">
      <c r="A3721" s="26" t="s">
        <v>3587</v>
      </c>
      <c r="B3721" s="25" t="s">
        <v>13243</v>
      </c>
      <c r="C3721" s="6" t="s">
        <v>598</v>
      </c>
      <c r="D3721" s="13">
        <v>4173</v>
      </c>
      <c r="E3721" s="18">
        <v>21</v>
      </c>
      <c r="F3721" s="2">
        <f t="shared" si="116"/>
        <v>5049.33</v>
      </c>
      <c r="G3721" s="3">
        <v>0</v>
      </c>
      <c r="H3721" s="4">
        <v>0.7</v>
      </c>
      <c r="I3721" s="28">
        <f t="shared" si="117"/>
        <v>8583.860999999999</v>
      </c>
    </row>
    <row r="3722" spans="1:9" ht="15" customHeight="1" x14ac:dyDescent="0.35">
      <c r="A3722" s="26" t="s">
        <v>13633</v>
      </c>
      <c r="B3722" s="25" t="s">
        <v>10524</v>
      </c>
      <c r="C3722" s="6" t="s">
        <v>13634</v>
      </c>
      <c r="D3722" s="13">
        <v>18445.7843230701</v>
      </c>
      <c r="E3722" s="18">
        <v>21</v>
      </c>
      <c r="F3722" s="2">
        <f t="shared" si="116"/>
        <v>22319.399030914821</v>
      </c>
      <c r="G3722" s="3">
        <v>0</v>
      </c>
      <c r="H3722" s="4">
        <v>0.7</v>
      </c>
      <c r="I3722" s="28">
        <f t="shared" si="117"/>
        <v>37942.978352555197</v>
      </c>
    </row>
    <row r="3723" spans="1:9" ht="15" customHeight="1" x14ac:dyDescent="0.35">
      <c r="A3723" s="26" t="s">
        <v>2384</v>
      </c>
      <c r="B3723" s="25" t="s">
        <v>10525</v>
      </c>
      <c r="C3723" s="6" t="s">
        <v>11025</v>
      </c>
      <c r="D3723" s="13">
        <v>21335.997691616401</v>
      </c>
      <c r="E3723" s="18">
        <v>21</v>
      </c>
      <c r="F3723" s="2">
        <f t="shared" si="116"/>
        <v>25816.557206855847</v>
      </c>
      <c r="G3723" s="3">
        <v>0</v>
      </c>
      <c r="H3723" s="4">
        <v>0.7</v>
      </c>
      <c r="I3723" s="28">
        <f t="shared" si="117"/>
        <v>43888.14725165494</v>
      </c>
    </row>
    <row r="3724" spans="1:9" ht="15" customHeight="1" x14ac:dyDescent="0.35">
      <c r="A3724" s="26" t="s">
        <v>2385</v>
      </c>
      <c r="B3724" s="25" t="s">
        <v>10526</v>
      </c>
      <c r="C3724" s="6" t="s">
        <v>11026</v>
      </c>
      <c r="D3724" s="13">
        <v>17770.101475510801</v>
      </c>
      <c r="E3724" s="18">
        <v>21</v>
      </c>
      <c r="F3724" s="2">
        <f t="shared" si="116"/>
        <v>21501.822785368069</v>
      </c>
      <c r="G3724" s="3">
        <v>0</v>
      </c>
      <c r="H3724" s="4">
        <v>0.7</v>
      </c>
      <c r="I3724" s="28">
        <f t="shared" si="117"/>
        <v>36553.098735125714</v>
      </c>
    </row>
    <row r="3725" spans="1:9" ht="15" customHeight="1" x14ac:dyDescent="0.35">
      <c r="A3725" s="26" t="s">
        <v>2386</v>
      </c>
      <c r="B3725" s="25" t="s">
        <v>10527</v>
      </c>
      <c r="C3725" s="6" t="s">
        <v>11027</v>
      </c>
      <c r="D3725" s="13">
        <v>15094.367583941301</v>
      </c>
      <c r="E3725" s="18">
        <v>21</v>
      </c>
      <c r="F3725" s="2">
        <f t="shared" si="116"/>
        <v>18264.184776568974</v>
      </c>
      <c r="G3725" s="3">
        <v>0</v>
      </c>
      <c r="H3725" s="4">
        <v>0.7</v>
      </c>
      <c r="I3725" s="28">
        <f t="shared" si="117"/>
        <v>31049.114120167254</v>
      </c>
    </row>
    <row r="3726" spans="1:9" ht="15" customHeight="1" x14ac:dyDescent="0.35">
      <c r="A3726" s="26" t="s">
        <v>2388</v>
      </c>
      <c r="B3726" s="25" t="s">
        <v>11790</v>
      </c>
      <c r="C3726" s="6" t="s">
        <v>11028</v>
      </c>
      <c r="D3726" s="13">
        <v>25937.9676897588</v>
      </c>
      <c r="E3726" s="18">
        <v>21</v>
      </c>
      <c r="F3726" s="2">
        <f t="shared" si="116"/>
        <v>31384.940904608149</v>
      </c>
      <c r="G3726" s="3">
        <v>0</v>
      </c>
      <c r="H3726" s="4">
        <v>0.7</v>
      </c>
      <c r="I3726" s="28">
        <f t="shared" si="117"/>
        <v>53354.399537833851</v>
      </c>
    </row>
    <row r="3727" spans="1:9" ht="15" customHeight="1" x14ac:dyDescent="0.35">
      <c r="A3727" s="26" t="s">
        <v>2387</v>
      </c>
      <c r="B3727" s="25" t="s">
        <v>11791</v>
      </c>
      <c r="C3727" s="6" t="s">
        <v>11029</v>
      </c>
      <c r="D3727" s="13">
        <v>20177.526783304798</v>
      </c>
      <c r="E3727" s="18">
        <v>21</v>
      </c>
      <c r="F3727" s="2">
        <f t="shared" si="116"/>
        <v>24414.807407798806</v>
      </c>
      <c r="G3727" s="3">
        <v>0</v>
      </c>
      <c r="H3727" s="4">
        <v>0.7</v>
      </c>
      <c r="I3727" s="28">
        <f t="shared" si="117"/>
        <v>41505.172593257972</v>
      </c>
    </row>
    <row r="3728" spans="1:9" ht="15" customHeight="1" x14ac:dyDescent="0.35">
      <c r="A3728" s="26" t="s">
        <v>2389</v>
      </c>
      <c r="B3728" s="25" t="s">
        <v>11792</v>
      </c>
      <c r="C3728" s="6" t="s">
        <v>11030</v>
      </c>
      <c r="D3728" s="13">
        <v>18128.411002597601</v>
      </c>
      <c r="E3728" s="18">
        <v>21</v>
      </c>
      <c r="F3728" s="2">
        <f t="shared" si="116"/>
        <v>21935.377313143097</v>
      </c>
      <c r="G3728" s="3">
        <v>0</v>
      </c>
      <c r="H3728" s="4">
        <v>0.7</v>
      </c>
      <c r="I3728" s="28">
        <f t="shared" si="117"/>
        <v>37290.141432343262</v>
      </c>
    </row>
    <row r="3729" spans="1:9" ht="15" customHeight="1" x14ac:dyDescent="0.35">
      <c r="A3729" s="26" t="s">
        <v>9080</v>
      </c>
      <c r="B3729" s="25" t="s">
        <v>11793</v>
      </c>
      <c r="C3729" s="6" t="s">
        <v>11031</v>
      </c>
      <c r="D3729" s="13">
        <v>18128.411002597601</v>
      </c>
      <c r="E3729" s="18">
        <v>21</v>
      </c>
      <c r="F3729" s="2">
        <f t="shared" si="116"/>
        <v>21935.377313143097</v>
      </c>
      <c r="G3729" s="3">
        <v>0</v>
      </c>
      <c r="H3729" s="4">
        <v>0.7</v>
      </c>
      <c r="I3729" s="28">
        <f t="shared" si="117"/>
        <v>37290.141432343262</v>
      </c>
    </row>
    <row r="3730" spans="1:9" ht="15" customHeight="1" x14ac:dyDescent="0.35">
      <c r="A3730" s="26" t="s">
        <v>2391</v>
      </c>
      <c r="B3730" s="25" t="s">
        <v>11794</v>
      </c>
      <c r="C3730" s="6" t="s">
        <v>11032</v>
      </c>
      <c r="D3730" s="13">
        <v>27391.723079292002</v>
      </c>
      <c r="E3730" s="18">
        <v>21</v>
      </c>
      <c r="F3730" s="2">
        <f t="shared" si="116"/>
        <v>33143.984925943325</v>
      </c>
      <c r="G3730" s="3">
        <v>0</v>
      </c>
      <c r="H3730" s="4">
        <v>0.7</v>
      </c>
      <c r="I3730" s="28">
        <f t="shared" si="117"/>
        <v>56344.774374103654</v>
      </c>
    </row>
    <row r="3731" spans="1:9" ht="15" customHeight="1" x14ac:dyDescent="0.35">
      <c r="A3731" s="26" t="s">
        <v>2392</v>
      </c>
      <c r="B3731" s="25" t="s">
        <v>11795</v>
      </c>
      <c r="C3731" s="6" t="s">
        <v>11033</v>
      </c>
      <c r="D3731" s="13">
        <v>23640.965941039201</v>
      </c>
      <c r="E3731" s="18">
        <v>21</v>
      </c>
      <c r="F3731" s="2">
        <f t="shared" si="116"/>
        <v>28605.568788657434</v>
      </c>
      <c r="G3731" s="3">
        <v>0</v>
      </c>
      <c r="H3731" s="4">
        <v>0.7</v>
      </c>
      <c r="I3731" s="28">
        <f t="shared" si="117"/>
        <v>48629.466940717633</v>
      </c>
    </row>
    <row r="3732" spans="1:9" ht="15" customHeight="1" x14ac:dyDescent="0.35">
      <c r="A3732" s="26" t="s">
        <v>2390</v>
      </c>
      <c r="B3732" s="25" t="s">
        <v>11796</v>
      </c>
      <c r="C3732" s="6" t="s">
        <v>11034</v>
      </c>
      <c r="D3732" s="13">
        <v>24196.497839910098</v>
      </c>
      <c r="E3732" s="18">
        <v>21</v>
      </c>
      <c r="F3732" s="2">
        <f t="shared" si="116"/>
        <v>29277.762386291219</v>
      </c>
      <c r="G3732" s="3">
        <v>0</v>
      </c>
      <c r="H3732" s="4">
        <v>0.7</v>
      </c>
      <c r="I3732" s="28">
        <f t="shared" si="117"/>
        <v>49772.196056695073</v>
      </c>
    </row>
    <row r="3733" spans="1:9" ht="15" customHeight="1" x14ac:dyDescent="0.35">
      <c r="A3733" s="26" t="s">
        <v>8854</v>
      </c>
      <c r="B3733" s="25" t="s">
        <v>11797</v>
      </c>
      <c r="C3733" s="6" t="s">
        <v>11304</v>
      </c>
      <c r="D3733" s="13">
        <v>24196.497839910098</v>
      </c>
      <c r="E3733" s="18">
        <v>21</v>
      </c>
      <c r="F3733" s="2">
        <f t="shared" si="116"/>
        <v>29277.762386291219</v>
      </c>
      <c r="G3733" s="3">
        <v>0</v>
      </c>
      <c r="H3733" s="4">
        <v>0.7</v>
      </c>
      <c r="I3733" s="28">
        <f t="shared" si="117"/>
        <v>49772.196056695073</v>
      </c>
    </row>
    <row r="3734" spans="1:9" ht="15" customHeight="1" x14ac:dyDescent="0.35">
      <c r="A3734" s="26" t="s">
        <v>2393</v>
      </c>
      <c r="B3734" s="25" t="s">
        <v>10528</v>
      </c>
      <c r="C3734" s="6" t="s">
        <v>11035</v>
      </c>
      <c r="D3734" s="13">
        <v>28671.95998602</v>
      </c>
      <c r="E3734" s="18">
        <v>21</v>
      </c>
      <c r="F3734" s="2">
        <f t="shared" si="116"/>
        <v>34693.071583084202</v>
      </c>
      <c r="G3734" s="3">
        <v>0</v>
      </c>
      <c r="H3734" s="4">
        <v>0.7</v>
      </c>
      <c r="I3734" s="28">
        <f t="shared" si="117"/>
        <v>58978.22169124314</v>
      </c>
    </row>
    <row r="3735" spans="1:9" ht="15" customHeight="1" x14ac:dyDescent="0.35">
      <c r="A3735" s="26" t="s">
        <v>8855</v>
      </c>
      <c r="B3735" s="25" t="s">
        <v>10529</v>
      </c>
      <c r="C3735" s="6" t="s">
        <v>11036</v>
      </c>
      <c r="D3735" s="13">
        <v>31023.092379633701</v>
      </c>
      <c r="E3735" s="18">
        <v>21</v>
      </c>
      <c r="F3735" s="2">
        <f t="shared" si="116"/>
        <v>37537.941779356777</v>
      </c>
      <c r="G3735" s="3">
        <v>0</v>
      </c>
      <c r="H3735" s="4">
        <v>0.7</v>
      </c>
      <c r="I3735" s="28">
        <f t="shared" si="117"/>
        <v>63814.501024906516</v>
      </c>
    </row>
    <row r="3736" spans="1:9" ht="15" customHeight="1" x14ac:dyDescent="0.35">
      <c r="A3736" s="26" t="s">
        <v>2394</v>
      </c>
      <c r="B3736" s="25" t="s">
        <v>10530</v>
      </c>
      <c r="C3736" s="6" t="s">
        <v>11037</v>
      </c>
      <c r="D3736" s="13">
        <v>24763.5637800408</v>
      </c>
      <c r="E3736" s="18">
        <v>21</v>
      </c>
      <c r="F3736" s="2">
        <f t="shared" si="116"/>
        <v>29963.91217384937</v>
      </c>
      <c r="G3736" s="3">
        <v>0</v>
      </c>
      <c r="H3736" s="4">
        <v>0.7</v>
      </c>
      <c r="I3736" s="28">
        <f t="shared" si="117"/>
        <v>50938.650695543925</v>
      </c>
    </row>
    <row r="3737" spans="1:9" ht="15" customHeight="1" x14ac:dyDescent="0.35">
      <c r="A3737" s="26" t="s">
        <v>2395</v>
      </c>
      <c r="B3737" s="25" t="s">
        <v>13117</v>
      </c>
      <c r="C3737" s="6" t="s">
        <v>11038</v>
      </c>
      <c r="D3737" s="13">
        <v>67167.514398582003</v>
      </c>
      <c r="E3737" s="18">
        <v>21</v>
      </c>
      <c r="F3737" s="2">
        <f t="shared" si="116"/>
        <v>81272.692422284221</v>
      </c>
      <c r="G3737" s="3">
        <v>0</v>
      </c>
      <c r="H3737" s="4">
        <v>0.7</v>
      </c>
      <c r="I3737" s="28">
        <f t="shared" si="117"/>
        <v>138163.57711788316</v>
      </c>
    </row>
    <row r="3738" spans="1:9" ht="15" customHeight="1" x14ac:dyDescent="0.35">
      <c r="A3738" s="26" t="s">
        <v>2396</v>
      </c>
      <c r="B3738" s="25" t="s">
        <v>10531</v>
      </c>
      <c r="C3738" s="6" t="s">
        <v>11039</v>
      </c>
      <c r="D3738" s="13">
        <v>68347.038779604001</v>
      </c>
      <c r="E3738" s="18">
        <v>21</v>
      </c>
      <c r="F3738" s="2">
        <f t="shared" si="116"/>
        <v>82699.916923320838</v>
      </c>
      <c r="G3738" s="3">
        <v>0</v>
      </c>
      <c r="H3738" s="4">
        <v>0.7</v>
      </c>
      <c r="I3738" s="28">
        <f t="shared" si="117"/>
        <v>140589.85876964542</v>
      </c>
    </row>
    <row r="3739" spans="1:9" ht="15" customHeight="1" x14ac:dyDescent="0.35">
      <c r="A3739" s="26" t="s">
        <v>12269</v>
      </c>
      <c r="B3739" s="25" t="s">
        <v>10532</v>
      </c>
      <c r="C3739" s="6" t="s">
        <v>12270</v>
      </c>
      <c r="D3739" s="13">
        <v>25618.631219999999</v>
      </c>
      <c r="E3739" s="18">
        <v>21</v>
      </c>
      <c r="F3739" s="2">
        <f t="shared" si="116"/>
        <v>30998.5437762</v>
      </c>
      <c r="G3739" s="3">
        <v>0</v>
      </c>
      <c r="H3739" s="4">
        <v>0.7</v>
      </c>
      <c r="I3739" s="28">
        <f t="shared" si="117"/>
        <v>52697.524419540001</v>
      </c>
    </row>
    <row r="3740" spans="1:9" ht="15" customHeight="1" x14ac:dyDescent="0.35">
      <c r="A3740" s="26" t="s">
        <v>12271</v>
      </c>
      <c r="B3740" s="25" t="s">
        <v>10533</v>
      </c>
      <c r="C3740" s="6" t="s">
        <v>12272</v>
      </c>
      <c r="D3740" s="13">
        <v>25618.631219999999</v>
      </c>
      <c r="E3740" s="18">
        <v>21</v>
      </c>
      <c r="F3740" s="2">
        <f t="shared" si="116"/>
        <v>30998.5437762</v>
      </c>
      <c r="G3740" s="3">
        <v>0</v>
      </c>
      <c r="H3740" s="4">
        <v>0.7</v>
      </c>
      <c r="I3740" s="28">
        <f t="shared" si="117"/>
        <v>52697.524419540001</v>
      </c>
    </row>
    <row r="3741" spans="1:9" ht="15" customHeight="1" x14ac:dyDescent="0.35">
      <c r="A3741" s="26" t="s">
        <v>12273</v>
      </c>
      <c r="B3741" s="25" t="s">
        <v>10534</v>
      </c>
      <c r="C3741" s="6" t="s">
        <v>12274</v>
      </c>
      <c r="D3741" s="13">
        <v>52814.093085</v>
      </c>
      <c r="E3741" s="18">
        <v>21</v>
      </c>
      <c r="F3741" s="2">
        <f t="shared" si="116"/>
        <v>63905.052632849998</v>
      </c>
      <c r="G3741" s="3">
        <v>0</v>
      </c>
      <c r="H3741" s="4">
        <v>0.7</v>
      </c>
      <c r="I3741" s="28">
        <f t="shared" si="117"/>
        <v>108638.589475845</v>
      </c>
    </row>
    <row r="3742" spans="1:9" ht="15" customHeight="1" x14ac:dyDescent="0.35">
      <c r="A3742" s="26" t="s">
        <v>12275</v>
      </c>
      <c r="B3742" s="25" t="s">
        <v>12215</v>
      </c>
      <c r="C3742" s="6" t="s">
        <v>12276</v>
      </c>
      <c r="D3742" s="13">
        <v>52814.093085</v>
      </c>
      <c r="E3742" s="18">
        <v>21</v>
      </c>
      <c r="F3742" s="2">
        <f t="shared" si="116"/>
        <v>63905.052632849998</v>
      </c>
      <c r="G3742" s="3">
        <v>0</v>
      </c>
      <c r="H3742" s="4">
        <v>0.7</v>
      </c>
      <c r="I3742" s="28">
        <f t="shared" si="117"/>
        <v>108638.589475845</v>
      </c>
    </row>
    <row r="3743" spans="1:9" ht="15" customHeight="1" x14ac:dyDescent="0.35">
      <c r="A3743" s="26" t="s">
        <v>12277</v>
      </c>
      <c r="B3743" s="25" t="s">
        <v>10698</v>
      </c>
      <c r="C3743" s="6" t="s">
        <v>12278</v>
      </c>
      <c r="D3743" s="13">
        <v>72105.934680000006</v>
      </c>
      <c r="E3743" s="18">
        <v>21</v>
      </c>
      <c r="F3743" s="2">
        <f t="shared" si="116"/>
        <v>87248.180962800005</v>
      </c>
      <c r="G3743" s="3">
        <v>0</v>
      </c>
      <c r="H3743" s="4">
        <v>0.7</v>
      </c>
      <c r="I3743" s="28">
        <f t="shared" si="117"/>
        <v>148321.90763676001</v>
      </c>
    </row>
    <row r="3744" spans="1:9" ht="15" customHeight="1" x14ac:dyDescent="0.35">
      <c r="A3744" s="26" t="s">
        <v>12279</v>
      </c>
      <c r="B3744" s="25" t="s">
        <v>10972</v>
      </c>
      <c r="C3744" s="6" t="s">
        <v>12280</v>
      </c>
      <c r="D3744" s="13">
        <v>72105.934680000006</v>
      </c>
      <c r="E3744" s="18">
        <v>21</v>
      </c>
      <c r="F3744" s="2">
        <f t="shared" si="116"/>
        <v>87248.180962800005</v>
      </c>
      <c r="G3744" s="3">
        <v>0</v>
      </c>
      <c r="H3744" s="4">
        <v>0.7</v>
      </c>
      <c r="I3744" s="28">
        <f t="shared" si="117"/>
        <v>148321.90763676001</v>
      </c>
    </row>
    <row r="3745" spans="1:9" ht="15" customHeight="1" x14ac:dyDescent="0.35">
      <c r="A3745" s="26" t="s">
        <v>3915</v>
      </c>
      <c r="B3745" s="25" t="s">
        <v>12806</v>
      </c>
      <c r="C3745" s="6" t="s">
        <v>599</v>
      </c>
      <c r="D3745" s="13">
        <v>28829.797145500001</v>
      </c>
      <c r="E3745" s="18">
        <v>21</v>
      </c>
      <c r="F3745" s="2">
        <f t="shared" si="116"/>
        <v>34884.054546054998</v>
      </c>
      <c r="G3745" s="3">
        <v>0</v>
      </c>
      <c r="H3745" s="4">
        <v>0.7</v>
      </c>
      <c r="I3745" s="28">
        <f t="shared" si="117"/>
        <v>59302.892728293496</v>
      </c>
    </row>
    <row r="3746" spans="1:9" ht="15" customHeight="1" x14ac:dyDescent="0.35">
      <c r="A3746" s="26" t="s">
        <v>3916</v>
      </c>
      <c r="B3746" s="25" t="s">
        <v>9155</v>
      </c>
      <c r="C3746" s="6" t="s">
        <v>600</v>
      </c>
      <c r="D3746" s="13">
        <v>19122.544376000002</v>
      </c>
      <c r="E3746" s="18">
        <v>21</v>
      </c>
      <c r="F3746" s="2">
        <f t="shared" si="116"/>
        <v>23138.278694960001</v>
      </c>
      <c r="G3746" s="3">
        <v>0</v>
      </c>
      <c r="H3746" s="4">
        <v>0.7</v>
      </c>
      <c r="I3746" s="28">
        <f t="shared" si="117"/>
        <v>39335.073781432002</v>
      </c>
    </row>
    <row r="3747" spans="1:9" ht="15" customHeight="1" x14ac:dyDescent="0.35">
      <c r="A3747" s="26" t="s">
        <v>3918</v>
      </c>
      <c r="B3747" s="25" t="s">
        <v>11563</v>
      </c>
      <c r="C3747" s="6" t="s">
        <v>11040</v>
      </c>
      <c r="D3747" s="13">
        <v>19122.544376000002</v>
      </c>
      <c r="E3747" s="18">
        <v>21</v>
      </c>
      <c r="F3747" s="2">
        <f t="shared" si="116"/>
        <v>23138.278694960001</v>
      </c>
      <c r="G3747" s="3">
        <v>0</v>
      </c>
      <c r="H3747" s="4">
        <v>0.7</v>
      </c>
      <c r="I3747" s="28">
        <f t="shared" si="117"/>
        <v>39335.073781432002</v>
      </c>
    </row>
    <row r="3748" spans="1:9" ht="15" customHeight="1" x14ac:dyDescent="0.35">
      <c r="A3748" s="26" t="s">
        <v>3917</v>
      </c>
      <c r="B3748" s="25" t="s">
        <v>1020</v>
      </c>
      <c r="C3748" s="6" t="s">
        <v>601</v>
      </c>
      <c r="D3748" s="13">
        <v>19122.544376000002</v>
      </c>
      <c r="E3748" s="18">
        <v>21</v>
      </c>
      <c r="F3748" s="2">
        <f t="shared" si="116"/>
        <v>23138.278694960001</v>
      </c>
      <c r="G3748" s="3">
        <v>0</v>
      </c>
      <c r="H3748" s="4">
        <v>0.7</v>
      </c>
      <c r="I3748" s="28">
        <f t="shared" si="117"/>
        <v>39335.073781432002</v>
      </c>
    </row>
    <row r="3749" spans="1:9" ht="15" customHeight="1" x14ac:dyDescent="0.35">
      <c r="A3749" s="26" t="s">
        <v>3919</v>
      </c>
      <c r="B3749" s="25" t="s">
        <v>10030</v>
      </c>
      <c r="C3749" s="6" t="s">
        <v>602</v>
      </c>
      <c r="D3749" s="13">
        <v>57793.232529499997</v>
      </c>
      <c r="E3749" s="18">
        <v>21</v>
      </c>
      <c r="F3749" s="2">
        <f t="shared" si="116"/>
        <v>69929.811360694992</v>
      </c>
      <c r="G3749" s="3">
        <v>0</v>
      </c>
      <c r="H3749" s="4">
        <v>0.7</v>
      </c>
      <c r="I3749" s="28">
        <f t="shared" si="117"/>
        <v>118880.67931318148</v>
      </c>
    </row>
    <row r="3750" spans="1:9" ht="15" customHeight="1" x14ac:dyDescent="0.35">
      <c r="A3750" s="26" t="s">
        <v>2476</v>
      </c>
      <c r="B3750" s="25" t="s">
        <v>11382</v>
      </c>
      <c r="C3750" s="6" t="s">
        <v>12504</v>
      </c>
      <c r="D3750" s="13">
        <v>10930.6315229312</v>
      </c>
      <c r="E3750" s="18">
        <v>21</v>
      </c>
      <c r="F3750" s="2">
        <f t="shared" si="116"/>
        <v>13226.064142746753</v>
      </c>
      <c r="G3750" s="3">
        <v>0</v>
      </c>
      <c r="H3750" s="4">
        <v>0.7</v>
      </c>
      <c r="I3750" s="28">
        <f t="shared" si="117"/>
        <v>22484.30904266948</v>
      </c>
    </row>
    <row r="3751" spans="1:9" ht="15" customHeight="1" x14ac:dyDescent="0.35">
      <c r="A3751" s="26" t="s">
        <v>2381</v>
      </c>
      <c r="B3751" s="25" t="s">
        <v>11263</v>
      </c>
      <c r="C3751" s="6" t="s">
        <v>9896</v>
      </c>
      <c r="D3751" s="13">
        <v>3834.9888912035999</v>
      </c>
      <c r="E3751" s="18">
        <v>21</v>
      </c>
      <c r="F3751" s="2">
        <f t="shared" si="116"/>
        <v>4640.3365583563555</v>
      </c>
      <c r="G3751" s="3">
        <v>0</v>
      </c>
      <c r="H3751" s="4">
        <v>0.7</v>
      </c>
      <c r="I3751" s="28">
        <f t="shared" si="117"/>
        <v>7888.5721492058037</v>
      </c>
    </row>
    <row r="3752" spans="1:9" ht="15" customHeight="1" x14ac:dyDescent="0.35">
      <c r="A3752" s="26" t="s">
        <v>5320</v>
      </c>
      <c r="B3752" s="25" t="s">
        <v>9788</v>
      </c>
      <c r="C3752" s="6" t="s">
        <v>603</v>
      </c>
      <c r="D3752" s="13">
        <v>34695.895649650563</v>
      </c>
      <c r="E3752" s="18">
        <v>21</v>
      </c>
      <c r="F3752" s="2">
        <f t="shared" si="116"/>
        <v>41982.033736077181</v>
      </c>
      <c r="G3752" s="3">
        <v>0</v>
      </c>
      <c r="H3752" s="4">
        <v>0.7</v>
      </c>
      <c r="I3752" s="28">
        <f t="shared" si="117"/>
        <v>71369.457351331206</v>
      </c>
    </row>
    <row r="3753" spans="1:9" ht="15" customHeight="1" x14ac:dyDescent="0.35">
      <c r="A3753" s="26" t="s">
        <v>5323</v>
      </c>
      <c r="B3753" s="25" t="s">
        <v>9959</v>
      </c>
      <c r="C3753" s="6" t="s">
        <v>11305</v>
      </c>
      <c r="D3753" s="13">
        <v>142382.02467458503</v>
      </c>
      <c r="E3753" s="18">
        <v>21</v>
      </c>
      <c r="F3753" s="2">
        <f t="shared" si="116"/>
        <v>172282.24985624789</v>
      </c>
      <c r="G3753" s="3">
        <v>0</v>
      </c>
      <c r="H3753" s="4">
        <v>0.7</v>
      </c>
      <c r="I3753" s="28">
        <f t="shared" si="117"/>
        <v>292879.82475562138</v>
      </c>
    </row>
    <row r="3754" spans="1:9" ht="15" customHeight="1" x14ac:dyDescent="0.35">
      <c r="A3754" s="26" t="s">
        <v>12216</v>
      </c>
      <c r="B3754" s="25" t="s">
        <v>11419</v>
      </c>
      <c r="C3754" s="6" t="s">
        <v>12604</v>
      </c>
      <c r="D3754" s="13">
        <v>6616.6322949999994</v>
      </c>
      <c r="E3754" s="18">
        <v>21</v>
      </c>
      <c r="F3754" s="2">
        <f t="shared" si="116"/>
        <v>8006.1250769499993</v>
      </c>
      <c r="G3754" s="3">
        <v>0</v>
      </c>
      <c r="H3754" s="4">
        <v>0.7</v>
      </c>
      <c r="I3754" s="28">
        <f t="shared" si="117"/>
        <v>13610.412630814999</v>
      </c>
    </row>
    <row r="3755" spans="1:9" ht="15" customHeight="1" x14ac:dyDescent="0.35">
      <c r="A3755" s="26" t="s">
        <v>12217</v>
      </c>
      <c r="B3755" s="25" t="s">
        <v>11420</v>
      </c>
      <c r="C3755" s="6" t="s">
        <v>12605</v>
      </c>
      <c r="D3755" s="13">
        <v>6616.6322949999994</v>
      </c>
      <c r="E3755" s="18">
        <v>21</v>
      </c>
      <c r="F3755" s="2">
        <f t="shared" si="116"/>
        <v>8006.1250769499993</v>
      </c>
      <c r="G3755" s="3">
        <v>0</v>
      </c>
      <c r="H3755" s="4">
        <v>0.7</v>
      </c>
      <c r="I3755" s="28">
        <f t="shared" si="117"/>
        <v>13610.412630814999</v>
      </c>
    </row>
    <row r="3756" spans="1:9" ht="15" customHeight="1" x14ac:dyDescent="0.35">
      <c r="A3756" s="26" t="s">
        <v>3022</v>
      </c>
      <c r="B3756" s="25" t="s">
        <v>11421</v>
      </c>
      <c r="C3756" s="6" t="s">
        <v>604</v>
      </c>
      <c r="D3756" s="13">
        <v>196.74693479999999</v>
      </c>
      <c r="E3756" s="18">
        <v>21</v>
      </c>
      <c r="F3756" s="2">
        <f t="shared" si="116"/>
        <v>238.06379110799998</v>
      </c>
      <c r="G3756" s="3">
        <v>0</v>
      </c>
      <c r="H3756" s="4">
        <v>0.7</v>
      </c>
      <c r="I3756" s="28">
        <f t="shared" si="117"/>
        <v>404.70844488359995</v>
      </c>
    </row>
    <row r="3757" spans="1:9" ht="15" customHeight="1" x14ac:dyDescent="0.35">
      <c r="A3757" s="26" t="s">
        <v>3092</v>
      </c>
      <c r="B3757" s="25" t="s">
        <v>11422</v>
      </c>
      <c r="C3757" s="6" t="s">
        <v>605</v>
      </c>
      <c r="D3757" s="13">
        <v>85976.853144000008</v>
      </c>
      <c r="E3757" s="18">
        <v>10.5</v>
      </c>
      <c r="F3757" s="2">
        <f t="shared" si="116"/>
        <v>95004.422724120013</v>
      </c>
      <c r="G3757" s="3">
        <v>0</v>
      </c>
      <c r="H3757" s="4">
        <v>0.7</v>
      </c>
      <c r="I3757" s="28">
        <f t="shared" si="117"/>
        <v>161507.51863100403</v>
      </c>
    </row>
    <row r="3758" spans="1:9" ht="15" customHeight="1" x14ac:dyDescent="0.35">
      <c r="A3758" s="26" t="s">
        <v>3093</v>
      </c>
      <c r="B3758" s="25" t="s">
        <v>11423</v>
      </c>
      <c r="C3758" s="6" t="s">
        <v>606</v>
      </c>
      <c r="D3758" s="13">
        <v>79582.577762999994</v>
      </c>
      <c r="E3758" s="18">
        <v>10.5</v>
      </c>
      <c r="F3758" s="2">
        <f t="shared" si="116"/>
        <v>87938.748428114995</v>
      </c>
      <c r="G3758" s="3">
        <v>0</v>
      </c>
      <c r="H3758" s="4">
        <v>0.7</v>
      </c>
      <c r="I3758" s="28">
        <f t="shared" si="117"/>
        <v>149495.87232779549</v>
      </c>
    </row>
    <row r="3759" spans="1:9" ht="15" customHeight="1" x14ac:dyDescent="0.35">
      <c r="A3759" s="26" t="s">
        <v>3094</v>
      </c>
      <c r="B3759" s="25" t="s">
        <v>11424</v>
      </c>
      <c r="C3759" s="6" t="s">
        <v>1022</v>
      </c>
      <c r="D3759" s="13">
        <v>199386.66610200002</v>
      </c>
      <c r="E3759" s="18">
        <v>10.5</v>
      </c>
      <c r="F3759" s="2">
        <f t="shared" si="116"/>
        <v>220322.26604271002</v>
      </c>
      <c r="G3759" s="3">
        <v>0</v>
      </c>
      <c r="H3759" s="4">
        <v>0.7</v>
      </c>
      <c r="I3759" s="28">
        <f t="shared" si="117"/>
        <v>374547.85227260704</v>
      </c>
    </row>
    <row r="3760" spans="1:9" ht="15" customHeight="1" x14ac:dyDescent="0.35">
      <c r="A3760" s="26" t="s">
        <v>3095</v>
      </c>
      <c r="B3760" s="25" t="s">
        <v>11425</v>
      </c>
      <c r="C3760" s="6" t="s">
        <v>1023</v>
      </c>
      <c r="D3760" s="13">
        <v>124578.70557600001</v>
      </c>
      <c r="E3760" s="18">
        <v>10.5</v>
      </c>
      <c r="F3760" s="2">
        <f t="shared" si="116"/>
        <v>137659.46966148002</v>
      </c>
      <c r="G3760" s="3">
        <v>0</v>
      </c>
      <c r="H3760" s="4">
        <v>0.7</v>
      </c>
      <c r="I3760" s="28">
        <f t="shared" si="117"/>
        <v>234021.09842451604</v>
      </c>
    </row>
    <row r="3761" spans="1:9" ht="15" customHeight="1" x14ac:dyDescent="0.35">
      <c r="A3761" s="26" t="s">
        <v>11878</v>
      </c>
      <c r="B3761" s="25" t="s">
        <v>8852</v>
      </c>
      <c r="C3761" s="6" t="s">
        <v>11879</v>
      </c>
      <c r="D3761" s="13">
        <v>31683.677024999997</v>
      </c>
      <c r="E3761" s="18">
        <v>21</v>
      </c>
      <c r="F3761" s="2">
        <f t="shared" si="116"/>
        <v>38337.249200249993</v>
      </c>
      <c r="G3761" s="3">
        <v>0</v>
      </c>
      <c r="H3761" s="4">
        <v>0.7</v>
      </c>
      <c r="I3761" s="28">
        <f t="shared" si="117"/>
        <v>65173.323640424984</v>
      </c>
    </row>
    <row r="3762" spans="1:9" ht="15" customHeight="1" x14ac:dyDescent="0.35">
      <c r="A3762" s="26" t="s">
        <v>10783</v>
      </c>
      <c r="B3762" s="25" t="s">
        <v>8853</v>
      </c>
      <c r="C3762" s="6" t="s">
        <v>10784</v>
      </c>
      <c r="D3762" s="13">
        <v>13308.545250000001</v>
      </c>
      <c r="E3762" s="18">
        <v>21</v>
      </c>
      <c r="F3762" s="2">
        <f t="shared" si="116"/>
        <v>16103.3397525</v>
      </c>
      <c r="G3762" s="3">
        <v>0</v>
      </c>
      <c r="H3762" s="4">
        <v>0.7</v>
      </c>
      <c r="I3762" s="28">
        <f t="shared" si="117"/>
        <v>27375.677579250001</v>
      </c>
    </row>
    <row r="3763" spans="1:9" ht="15" customHeight="1" x14ac:dyDescent="0.35">
      <c r="A3763" s="26" t="s">
        <v>9311</v>
      </c>
      <c r="B3763" s="25" t="s">
        <v>11292</v>
      </c>
      <c r="C3763" s="6" t="s">
        <v>9312</v>
      </c>
      <c r="D3763" s="13">
        <v>6451.6891042174993</v>
      </c>
      <c r="E3763" s="18">
        <v>21</v>
      </c>
      <c r="F3763" s="2">
        <f t="shared" si="116"/>
        <v>7806.5438161031743</v>
      </c>
      <c r="G3763" s="3">
        <v>0</v>
      </c>
      <c r="H3763" s="4">
        <v>0.7</v>
      </c>
      <c r="I3763" s="28">
        <f t="shared" si="117"/>
        <v>13271.124487375397</v>
      </c>
    </row>
    <row r="3764" spans="1:9" ht="15" customHeight="1" x14ac:dyDescent="0.35">
      <c r="A3764" s="26" t="s">
        <v>10391</v>
      </c>
      <c r="B3764" s="25" t="s">
        <v>10380</v>
      </c>
      <c r="C3764" s="6" t="s">
        <v>10392</v>
      </c>
      <c r="D3764" s="13">
        <v>12321.547875</v>
      </c>
      <c r="E3764" s="18">
        <v>21</v>
      </c>
      <c r="F3764" s="2">
        <f t="shared" si="116"/>
        <v>14909.07292875</v>
      </c>
      <c r="G3764" s="3">
        <v>0</v>
      </c>
      <c r="H3764" s="4">
        <v>0.7</v>
      </c>
      <c r="I3764" s="28">
        <f t="shared" si="117"/>
        <v>25345.423978874998</v>
      </c>
    </row>
    <row r="3765" spans="1:9" ht="15" customHeight="1" x14ac:dyDescent="0.35">
      <c r="A3765" s="26" t="s">
        <v>2868</v>
      </c>
      <c r="B3765" s="25" t="s">
        <v>10699</v>
      </c>
      <c r="C3765" s="6" t="s">
        <v>607</v>
      </c>
      <c r="D3765" s="13">
        <v>34752.568734</v>
      </c>
      <c r="E3765" s="18">
        <v>21</v>
      </c>
      <c r="F3765" s="2">
        <f t="shared" si="116"/>
        <v>42050.608168140003</v>
      </c>
      <c r="G3765" s="3">
        <v>0</v>
      </c>
      <c r="H3765" s="4">
        <v>0.7</v>
      </c>
      <c r="I3765" s="28">
        <f t="shared" si="117"/>
        <v>71486.033885837998</v>
      </c>
    </row>
    <row r="3766" spans="1:9" ht="15" customHeight="1" x14ac:dyDescent="0.35">
      <c r="A3766" s="26" t="s">
        <v>2869</v>
      </c>
      <c r="B3766" s="25" t="s">
        <v>11520</v>
      </c>
      <c r="C3766" s="6" t="s">
        <v>608</v>
      </c>
      <c r="D3766" s="13">
        <v>38996.384544</v>
      </c>
      <c r="E3766" s="18">
        <v>21</v>
      </c>
      <c r="F3766" s="2">
        <f t="shared" si="116"/>
        <v>47185.625298240004</v>
      </c>
      <c r="G3766" s="3">
        <v>0</v>
      </c>
      <c r="H3766" s="4">
        <v>0.7</v>
      </c>
      <c r="I3766" s="28">
        <f t="shared" si="117"/>
        <v>80215.563007008008</v>
      </c>
    </row>
    <row r="3767" spans="1:9" ht="15" customHeight="1" x14ac:dyDescent="0.35">
      <c r="A3767" s="26" t="s">
        <v>2870</v>
      </c>
      <c r="B3767" s="25" t="s">
        <v>10700</v>
      </c>
      <c r="C3767" s="6" t="s">
        <v>9877</v>
      </c>
      <c r="D3767" s="13">
        <v>35359.940538000003</v>
      </c>
      <c r="E3767" s="18">
        <v>21</v>
      </c>
      <c r="F3767" s="2">
        <f t="shared" si="116"/>
        <v>42785.528050980007</v>
      </c>
      <c r="G3767" s="3">
        <v>0</v>
      </c>
      <c r="H3767" s="4">
        <v>0.7</v>
      </c>
      <c r="I3767" s="28">
        <f t="shared" si="117"/>
        <v>72735.397686666009</v>
      </c>
    </row>
    <row r="3768" spans="1:9" ht="15" customHeight="1" x14ac:dyDescent="0.35">
      <c r="A3768" s="26" t="s">
        <v>2871</v>
      </c>
      <c r="B3768" s="25" t="s">
        <v>11522</v>
      </c>
      <c r="C3768" s="6" t="s">
        <v>1024</v>
      </c>
      <c r="D3768" s="13">
        <v>39066.465906000005</v>
      </c>
      <c r="E3768" s="18">
        <v>21</v>
      </c>
      <c r="F3768" s="2">
        <f t="shared" si="116"/>
        <v>47270.423746260007</v>
      </c>
      <c r="G3768" s="3">
        <v>0</v>
      </c>
      <c r="H3768" s="4">
        <v>0.7</v>
      </c>
      <c r="I3768" s="28">
        <f t="shared" si="117"/>
        <v>80359.720368642011</v>
      </c>
    </row>
    <row r="3769" spans="1:9" ht="15" customHeight="1" x14ac:dyDescent="0.35">
      <c r="A3769" s="26" t="s">
        <v>10393</v>
      </c>
      <c r="B3769" s="25" t="s">
        <v>10701</v>
      </c>
      <c r="C3769" s="6" t="s">
        <v>13893</v>
      </c>
      <c r="D3769" s="13">
        <v>8256.81675</v>
      </c>
      <c r="E3769" s="18">
        <v>21</v>
      </c>
      <c r="F3769" s="2">
        <f t="shared" si="116"/>
        <v>9990.7482674999992</v>
      </c>
      <c r="G3769" s="3">
        <v>0</v>
      </c>
      <c r="H3769" s="4">
        <v>0.7</v>
      </c>
      <c r="I3769" s="28">
        <f t="shared" si="117"/>
        <v>16984.272054749999</v>
      </c>
    </row>
    <row r="3770" spans="1:9" ht="15" customHeight="1" x14ac:dyDescent="0.35">
      <c r="A3770" s="26" t="s">
        <v>2872</v>
      </c>
      <c r="B3770" s="25" t="s">
        <v>10382</v>
      </c>
      <c r="C3770" s="6" t="s">
        <v>1119</v>
      </c>
      <c r="D3770" s="13">
        <v>12189.357279905</v>
      </c>
      <c r="E3770" s="18">
        <v>21</v>
      </c>
      <c r="F3770" s="2">
        <f t="shared" si="116"/>
        <v>14749.12230868505</v>
      </c>
      <c r="G3770" s="3">
        <v>0</v>
      </c>
      <c r="H3770" s="4">
        <v>0.7</v>
      </c>
      <c r="I3770" s="28">
        <f t="shared" si="117"/>
        <v>25073.507924764584</v>
      </c>
    </row>
    <row r="3771" spans="1:9" ht="15" customHeight="1" x14ac:dyDescent="0.35">
      <c r="A3771" s="26" t="s">
        <v>2873</v>
      </c>
      <c r="B3771" s="25" t="s">
        <v>1021</v>
      </c>
      <c r="C3771" s="6" t="s">
        <v>1074</v>
      </c>
      <c r="D3771" s="13">
        <v>16906.995557692502</v>
      </c>
      <c r="E3771" s="18">
        <v>21</v>
      </c>
      <c r="F3771" s="2">
        <f t="shared" si="116"/>
        <v>20457.46462480793</v>
      </c>
      <c r="G3771" s="3">
        <v>0</v>
      </c>
      <c r="H3771" s="4">
        <v>0.7</v>
      </c>
      <c r="I3771" s="28">
        <f t="shared" si="117"/>
        <v>34777.68986217348</v>
      </c>
    </row>
    <row r="3772" spans="1:9" ht="15" customHeight="1" x14ac:dyDescent="0.35">
      <c r="A3772" s="26" t="s">
        <v>2874</v>
      </c>
      <c r="B3772" s="25" t="s">
        <v>10959</v>
      </c>
      <c r="C3772" s="6" t="s">
        <v>1075</v>
      </c>
      <c r="D3772" s="13">
        <v>10952.57102870125</v>
      </c>
      <c r="E3772" s="18">
        <v>21</v>
      </c>
      <c r="F3772" s="2">
        <f t="shared" si="116"/>
        <v>13252.610944728513</v>
      </c>
      <c r="G3772" s="3">
        <v>0</v>
      </c>
      <c r="H3772" s="4">
        <v>0.7</v>
      </c>
      <c r="I3772" s="28">
        <f t="shared" si="117"/>
        <v>22529.438606038471</v>
      </c>
    </row>
    <row r="3773" spans="1:9" ht="15" customHeight="1" x14ac:dyDescent="0.35">
      <c r="A3773" s="26" t="s">
        <v>10394</v>
      </c>
      <c r="B3773" s="25" t="s">
        <v>10702</v>
      </c>
      <c r="C3773" s="6" t="s">
        <v>11041</v>
      </c>
      <c r="D3773" s="13">
        <v>8256.81675</v>
      </c>
      <c r="E3773" s="18">
        <v>10.5</v>
      </c>
      <c r="F3773" s="2">
        <f t="shared" si="116"/>
        <v>9123.7825087500005</v>
      </c>
      <c r="G3773" s="3">
        <v>0</v>
      </c>
      <c r="H3773" s="4">
        <v>0.7</v>
      </c>
      <c r="I3773" s="28">
        <f t="shared" si="117"/>
        <v>15510.430264875</v>
      </c>
    </row>
    <row r="3774" spans="1:9" ht="15" customHeight="1" x14ac:dyDescent="0.35">
      <c r="A3774" s="26" t="s">
        <v>8826</v>
      </c>
      <c r="B3774" s="25" t="s">
        <v>10961</v>
      </c>
      <c r="C3774" s="6" t="s">
        <v>11042</v>
      </c>
      <c r="D3774" s="13">
        <v>8415.2466576750012</v>
      </c>
      <c r="E3774" s="18">
        <v>21</v>
      </c>
      <c r="F3774" s="2">
        <f t="shared" si="116"/>
        <v>10182.448455786751</v>
      </c>
      <c r="G3774" s="3">
        <v>0</v>
      </c>
      <c r="H3774" s="4">
        <v>0.7</v>
      </c>
      <c r="I3774" s="28">
        <f t="shared" si="117"/>
        <v>17310.162374837477</v>
      </c>
    </row>
    <row r="3775" spans="1:9" ht="15" customHeight="1" x14ac:dyDescent="0.35">
      <c r="A3775" s="26" t="s">
        <v>10397</v>
      </c>
      <c r="B3775" s="25" t="s">
        <v>10703</v>
      </c>
      <c r="C3775" s="6" t="s">
        <v>11043</v>
      </c>
      <c r="D3775" s="13">
        <v>10856.971125</v>
      </c>
      <c r="E3775" s="18">
        <v>21</v>
      </c>
      <c r="F3775" s="2">
        <f t="shared" si="116"/>
        <v>13136.93506125</v>
      </c>
      <c r="G3775" s="3">
        <v>0</v>
      </c>
      <c r="H3775" s="4">
        <v>0.7</v>
      </c>
      <c r="I3775" s="28">
        <f t="shared" si="117"/>
        <v>22332.789604124999</v>
      </c>
    </row>
    <row r="3776" spans="1:9" ht="15" customHeight="1" x14ac:dyDescent="0.35">
      <c r="A3776" s="26" t="s">
        <v>2875</v>
      </c>
      <c r="B3776" s="25" t="s">
        <v>10963</v>
      </c>
      <c r="C3776" s="6" t="s">
        <v>1076</v>
      </c>
      <c r="D3776" s="13">
        <v>16906.995557692502</v>
      </c>
      <c r="E3776" s="18">
        <v>21</v>
      </c>
      <c r="F3776" s="2">
        <f t="shared" si="116"/>
        <v>20457.46462480793</v>
      </c>
      <c r="G3776" s="3">
        <v>0</v>
      </c>
      <c r="H3776" s="4">
        <v>0.7</v>
      </c>
      <c r="I3776" s="28">
        <f t="shared" si="117"/>
        <v>34777.68986217348</v>
      </c>
    </row>
    <row r="3777" spans="1:9" ht="15" customHeight="1" x14ac:dyDescent="0.35">
      <c r="A3777" s="26" t="s">
        <v>2876</v>
      </c>
      <c r="B3777" s="25" t="s">
        <v>10704</v>
      </c>
      <c r="C3777" s="6" t="s">
        <v>9154</v>
      </c>
      <c r="D3777" s="13">
        <v>12189.357279905</v>
      </c>
      <c r="E3777" s="18">
        <v>21</v>
      </c>
      <c r="F3777" s="2">
        <f t="shared" si="116"/>
        <v>14749.12230868505</v>
      </c>
      <c r="G3777" s="3">
        <v>0</v>
      </c>
      <c r="H3777" s="4">
        <v>0.7</v>
      </c>
      <c r="I3777" s="28">
        <f t="shared" si="117"/>
        <v>25073.507924764584</v>
      </c>
    </row>
    <row r="3778" spans="1:9" ht="15" customHeight="1" x14ac:dyDescent="0.35">
      <c r="A3778" s="26" t="s">
        <v>10395</v>
      </c>
      <c r="B3778" s="25" t="s">
        <v>10384</v>
      </c>
      <c r="C3778" s="6" t="s">
        <v>10396</v>
      </c>
      <c r="D3778" s="13">
        <v>10888.809749999999</v>
      </c>
      <c r="E3778" s="18">
        <v>21</v>
      </c>
      <c r="F3778" s="2">
        <f t="shared" si="116"/>
        <v>13175.459797499998</v>
      </c>
      <c r="G3778" s="3">
        <v>0</v>
      </c>
      <c r="H3778" s="4">
        <v>0.7</v>
      </c>
      <c r="I3778" s="28">
        <f t="shared" si="117"/>
        <v>22398.281655749997</v>
      </c>
    </row>
    <row r="3779" spans="1:9" ht="15" customHeight="1" x14ac:dyDescent="0.35">
      <c r="A3779" s="26" t="s">
        <v>8827</v>
      </c>
      <c r="B3779" s="25" t="s">
        <v>11384</v>
      </c>
      <c r="C3779" s="6" t="s">
        <v>11044</v>
      </c>
      <c r="D3779" s="13">
        <v>11475.336351374999</v>
      </c>
      <c r="E3779" s="18">
        <v>21</v>
      </c>
      <c r="F3779" s="2">
        <f t="shared" si="116"/>
        <v>13885.156985163749</v>
      </c>
      <c r="G3779" s="3">
        <v>0</v>
      </c>
      <c r="H3779" s="4">
        <v>0.7</v>
      </c>
      <c r="I3779" s="28">
        <f t="shared" si="117"/>
        <v>23604.766874778372</v>
      </c>
    </row>
    <row r="3780" spans="1:9" ht="15" customHeight="1" x14ac:dyDescent="0.35">
      <c r="A3780" s="26" t="s">
        <v>13587</v>
      </c>
      <c r="B3780" s="25" t="s">
        <v>10705</v>
      </c>
      <c r="C3780" s="6" t="s">
        <v>13588</v>
      </c>
      <c r="D3780" s="13">
        <v>1217.3449466587499</v>
      </c>
      <c r="E3780" s="18">
        <v>21</v>
      </c>
      <c r="F3780" s="2">
        <f t="shared" si="116"/>
        <v>1472.9873854570874</v>
      </c>
      <c r="G3780" s="3">
        <v>0</v>
      </c>
      <c r="H3780" s="4">
        <v>0.7</v>
      </c>
      <c r="I3780" s="28">
        <f t="shared" si="117"/>
        <v>2504.0785552770485</v>
      </c>
    </row>
    <row r="3781" spans="1:9" ht="15" customHeight="1" x14ac:dyDescent="0.35">
      <c r="A3781" s="26" t="s">
        <v>13589</v>
      </c>
      <c r="B3781" s="25" t="s">
        <v>10386</v>
      </c>
      <c r="C3781" s="6" t="s">
        <v>13590</v>
      </c>
      <c r="D3781" s="13">
        <v>2809.2575692125001</v>
      </c>
      <c r="E3781" s="18">
        <v>21</v>
      </c>
      <c r="F3781" s="2">
        <f t="shared" si="116"/>
        <v>3399.2016587471253</v>
      </c>
      <c r="G3781" s="3">
        <v>0</v>
      </c>
      <c r="H3781" s="4">
        <v>0.7</v>
      </c>
      <c r="I3781" s="28">
        <f t="shared" si="117"/>
        <v>5778.6428198701133</v>
      </c>
    </row>
    <row r="3782" spans="1:9" ht="15" customHeight="1" x14ac:dyDescent="0.35">
      <c r="A3782" s="26" t="s">
        <v>1376</v>
      </c>
      <c r="B3782" s="25" t="s">
        <v>12069</v>
      </c>
      <c r="C3782" s="6" t="s">
        <v>13188</v>
      </c>
      <c r="D3782" s="13">
        <v>20017.573032600001</v>
      </c>
      <c r="E3782" s="18">
        <v>21</v>
      </c>
      <c r="F3782" s="2">
        <f t="shared" ref="F3782:F3845" si="118">D3782*E3782/100+D3782</f>
        <v>24221.263369446002</v>
      </c>
      <c r="G3782" s="3">
        <v>0</v>
      </c>
      <c r="H3782" s="4">
        <v>0.7</v>
      </c>
      <c r="I3782" s="28">
        <f t="shared" ref="I3782:I3845" si="119">IF(G3782=-1,0,F3782*((100-G3782)/100)*(1+H3782))</f>
        <v>41176.147728058204</v>
      </c>
    </row>
    <row r="3783" spans="1:9" ht="15" customHeight="1" x14ac:dyDescent="0.35">
      <c r="A3783" s="26" t="s">
        <v>11963</v>
      </c>
      <c r="B3783" s="25" t="s">
        <v>10706</v>
      </c>
      <c r="C3783" s="6" t="s">
        <v>11964</v>
      </c>
      <c r="D3783" s="13">
        <v>18593.757000000001</v>
      </c>
      <c r="E3783" s="18">
        <v>21</v>
      </c>
      <c r="F3783" s="2">
        <f t="shared" si="118"/>
        <v>22498.445970000001</v>
      </c>
      <c r="G3783" s="3">
        <v>0</v>
      </c>
      <c r="H3783" s="4">
        <v>0.7</v>
      </c>
      <c r="I3783" s="28">
        <f t="shared" si="119"/>
        <v>38247.358149</v>
      </c>
    </row>
    <row r="3784" spans="1:9" ht="15" customHeight="1" x14ac:dyDescent="0.35">
      <c r="A3784" s="26" t="s">
        <v>1377</v>
      </c>
      <c r="B3784" s="25" t="s">
        <v>10388</v>
      </c>
      <c r="C3784" s="6" t="s">
        <v>11965</v>
      </c>
      <c r="D3784" s="13">
        <v>9079.4297880000013</v>
      </c>
      <c r="E3784" s="18">
        <v>21</v>
      </c>
      <c r="F3784" s="2">
        <f t="shared" si="118"/>
        <v>10986.110043480001</v>
      </c>
      <c r="G3784" s="3">
        <v>0</v>
      </c>
      <c r="H3784" s="4">
        <v>0.7</v>
      </c>
      <c r="I3784" s="28">
        <f t="shared" si="119"/>
        <v>18676.387073916001</v>
      </c>
    </row>
    <row r="3785" spans="1:9" ht="15" customHeight="1" x14ac:dyDescent="0.35">
      <c r="A3785" s="26" t="s">
        <v>2892</v>
      </c>
      <c r="B3785" s="25" t="s">
        <v>10707</v>
      </c>
      <c r="C3785" s="6" t="s">
        <v>609</v>
      </c>
      <c r="D3785" s="13">
        <v>15367.025762400001</v>
      </c>
      <c r="E3785" s="18">
        <v>21</v>
      </c>
      <c r="F3785" s="2">
        <f t="shared" si="118"/>
        <v>18594.101172504001</v>
      </c>
      <c r="G3785" s="3">
        <v>0</v>
      </c>
      <c r="H3785" s="4">
        <v>0.7</v>
      </c>
      <c r="I3785" s="28">
        <f t="shared" si="119"/>
        <v>31609.9719932568</v>
      </c>
    </row>
    <row r="3786" spans="1:9" ht="15" customHeight="1" x14ac:dyDescent="0.35">
      <c r="A3786" s="26" t="s">
        <v>2893</v>
      </c>
      <c r="B3786" s="25" t="s">
        <v>10390</v>
      </c>
      <c r="C3786" s="6" t="s">
        <v>610</v>
      </c>
      <c r="D3786" s="13">
        <v>15367.025762400001</v>
      </c>
      <c r="E3786" s="18">
        <v>21</v>
      </c>
      <c r="F3786" s="2">
        <f t="shared" si="118"/>
        <v>18594.101172504001</v>
      </c>
      <c r="G3786" s="3">
        <v>0</v>
      </c>
      <c r="H3786" s="4">
        <v>0.7</v>
      </c>
      <c r="I3786" s="28">
        <f t="shared" si="119"/>
        <v>31609.9719932568</v>
      </c>
    </row>
    <row r="3787" spans="1:9" ht="15" customHeight="1" x14ac:dyDescent="0.35">
      <c r="A3787" s="26" t="s">
        <v>2894</v>
      </c>
      <c r="B3787" s="25" t="s">
        <v>9859</v>
      </c>
      <c r="C3787" s="6" t="s">
        <v>611</v>
      </c>
      <c r="D3787" s="13">
        <v>15367.025762400001</v>
      </c>
      <c r="E3787" s="18">
        <v>21</v>
      </c>
      <c r="F3787" s="2">
        <f t="shared" si="118"/>
        <v>18594.101172504001</v>
      </c>
      <c r="G3787" s="3">
        <v>0</v>
      </c>
      <c r="H3787" s="4">
        <v>0.7</v>
      </c>
      <c r="I3787" s="28">
        <f t="shared" si="119"/>
        <v>31609.9719932568</v>
      </c>
    </row>
    <row r="3788" spans="1:9" ht="15" customHeight="1" x14ac:dyDescent="0.35">
      <c r="A3788" s="26" t="s">
        <v>2594</v>
      </c>
      <c r="B3788" s="25" t="s">
        <v>9860</v>
      </c>
      <c r="C3788" s="6" t="s">
        <v>612</v>
      </c>
      <c r="D3788" s="13">
        <v>1243.9194554825999</v>
      </c>
      <c r="E3788" s="18">
        <v>21</v>
      </c>
      <c r="F3788" s="2">
        <f t="shared" si="118"/>
        <v>1505.142541133946</v>
      </c>
      <c r="G3788" s="3">
        <v>0</v>
      </c>
      <c r="H3788" s="4">
        <v>0.7</v>
      </c>
      <c r="I3788" s="28">
        <f t="shared" si="119"/>
        <v>2558.7423199277082</v>
      </c>
    </row>
    <row r="3789" spans="1:9" ht="15" customHeight="1" x14ac:dyDescent="0.35">
      <c r="A3789" s="26" t="s">
        <v>2477</v>
      </c>
      <c r="B3789" s="25" t="s">
        <v>9861</v>
      </c>
      <c r="C3789" s="6" t="s">
        <v>1189</v>
      </c>
      <c r="D3789" s="13">
        <v>6092.4130800000003</v>
      </c>
      <c r="E3789" s="18">
        <v>21</v>
      </c>
      <c r="F3789" s="2">
        <f t="shared" si="118"/>
        <v>7371.8198268000006</v>
      </c>
      <c r="G3789" s="3">
        <v>0</v>
      </c>
      <c r="H3789" s="4">
        <v>0.7</v>
      </c>
      <c r="I3789" s="28">
        <f t="shared" si="119"/>
        <v>12532.093705560001</v>
      </c>
    </row>
    <row r="3790" spans="1:9" ht="15" customHeight="1" x14ac:dyDescent="0.35">
      <c r="A3790" s="26" t="s">
        <v>2840</v>
      </c>
      <c r="B3790" s="25" t="s">
        <v>9862</v>
      </c>
      <c r="C3790" s="6" t="s">
        <v>1120</v>
      </c>
      <c r="D3790" s="13">
        <v>1232.9128499999999</v>
      </c>
      <c r="E3790" s="18">
        <v>21</v>
      </c>
      <c r="F3790" s="2">
        <f t="shared" si="118"/>
        <v>1491.8245485</v>
      </c>
      <c r="G3790" s="3">
        <v>0</v>
      </c>
      <c r="H3790" s="4">
        <v>0.7</v>
      </c>
      <c r="I3790" s="28">
        <f t="shared" si="119"/>
        <v>2536.1017324499999</v>
      </c>
    </row>
    <row r="3791" spans="1:9" ht="15" customHeight="1" x14ac:dyDescent="0.35">
      <c r="A3791" s="26" t="s">
        <v>9620</v>
      </c>
      <c r="B3791" s="25" t="s">
        <v>9863</v>
      </c>
      <c r="C3791" s="6" t="s">
        <v>9621</v>
      </c>
      <c r="D3791" s="13">
        <v>108384.719742</v>
      </c>
      <c r="E3791" s="18">
        <v>21</v>
      </c>
      <c r="F3791" s="2">
        <f t="shared" si="118"/>
        <v>131145.51088782001</v>
      </c>
      <c r="G3791" s="3">
        <v>0</v>
      </c>
      <c r="H3791" s="4">
        <v>0.7</v>
      </c>
      <c r="I3791" s="28">
        <f t="shared" si="119"/>
        <v>222947.368509294</v>
      </c>
    </row>
    <row r="3792" spans="1:9" ht="15" customHeight="1" x14ac:dyDescent="0.35">
      <c r="A3792" s="26" t="s">
        <v>13691</v>
      </c>
      <c r="B3792" s="25" t="s">
        <v>9864</v>
      </c>
      <c r="C3792" s="6" t="s">
        <v>13692</v>
      </c>
      <c r="D3792" s="13">
        <v>19198.690875</v>
      </c>
      <c r="E3792" s="18">
        <v>10.5</v>
      </c>
      <c r="F3792" s="2">
        <f t="shared" si="118"/>
        <v>21214.553416875002</v>
      </c>
      <c r="G3792" s="3">
        <v>0</v>
      </c>
      <c r="H3792" s="4">
        <v>0.7</v>
      </c>
      <c r="I3792" s="28">
        <f t="shared" si="119"/>
        <v>36064.7408086875</v>
      </c>
    </row>
    <row r="3793" spans="1:9" ht="15" customHeight="1" x14ac:dyDescent="0.35">
      <c r="A3793" s="26" t="s">
        <v>13413</v>
      </c>
      <c r="B3793" s="25" t="s">
        <v>9865</v>
      </c>
      <c r="C3793" s="6" t="s">
        <v>13414</v>
      </c>
      <c r="D3793" s="13">
        <v>876.57446910600004</v>
      </c>
      <c r="E3793" s="18">
        <v>21</v>
      </c>
      <c r="F3793" s="2">
        <f t="shared" si="118"/>
        <v>1060.65510761826</v>
      </c>
      <c r="G3793" s="3">
        <v>0</v>
      </c>
      <c r="H3793" s="4">
        <v>0.7</v>
      </c>
      <c r="I3793" s="28">
        <f t="shared" si="119"/>
        <v>1803.1136829510419</v>
      </c>
    </row>
    <row r="3794" spans="1:9" ht="15" customHeight="1" x14ac:dyDescent="0.35">
      <c r="A3794" s="26" t="s">
        <v>13415</v>
      </c>
      <c r="B3794" s="25" t="s">
        <v>9866</v>
      </c>
      <c r="C3794" s="6" t="s">
        <v>13416</v>
      </c>
      <c r="D3794" s="13">
        <v>1392.20777604352</v>
      </c>
      <c r="E3794" s="18">
        <v>21</v>
      </c>
      <c r="F3794" s="2">
        <f t="shared" si="118"/>
        <v>1684.5714090126592</v>
      </c>
      <c r="G3794" s="3">
        <v>0</v>
      </c>
      <c r="H3794" s="4">
        <v>0.7</v>
      </c>
      <c r="I3794" s="28">
        <f t="shared" si="119"/>
        <v>2863.7713953215207</v>
      </c>
    </row>
    <row r="3795" spans="1:9" ht="15" customHeight="1" x14ac:dyDescent="0.35">
      <c r="A3795" s="26" t="s">
        <v>3290</v>
      </c>
      <c r="B3795" s="25" t="s">
        <v>9867</v>
      </c>
      <c r="C3795" s="6" t="s">
        <v>11666</v>
      </c>
      <c r="D3795" s="13">
        <v>8197.7889500000001</v>
      </c>
      <c r="E3795" s="18">
        <v>10.5</v>
      </c>
      <c r="F3795" s="2">
        <f t="shared" si="118"/>
        <v>9058.5567897500005</v>
      </c>
      <c r="G3795" s="3">
        <v>0</v>
      </c>
      <c r="H3795" s="4">
        <v>0.7</v>
      </c>
      <c r="I3795" s="28">
        <f t="shared" si="119"/>
        <v>15399.546542575001</v>
      </c>
    </row>
    <row r="3796" spans="1:9" ht="15" customHeight="1" x14ac:dyDescent="0.35">
      <c r="A3796" s="26" t="s">
        <v>3291</v>
      </c>
      <c r="B3796" s="25" t="s">
        <v>9868</v>
      </c>
      <c r="C3796" s="6" t="s">
        <v>11979</v>
      </c>
      <c r="D3796" s="13">
        <v>8487.6316200000001</v>
      </c>
      <c r="E3796" s="18">
        <v>10.5</v>
      </c>
      <c r="F3796" s="2">
        <f t="shared" si="118"/>
        <v>9378.832940100001</v>
      </c>
      <c r="G3796" s="3">
        <v>0</v>
      </c>
      <c r="H3796" s="4">
        <v>0.7</v>
      </c>
      <c r="I3796" s="28">
        <f t="shared" si="119"/>
        <v>15944.015998170002</v>
      </c>
    </row>
    <row r="3797" spans="1:9" ht="15" customHeight="1" x14ac:dyDescent="0.35">
      <c r="A3797" s="26" t="s">
        <v>3330</v>
      </c>
      <c r="B3797" s="25" t="s">
        <v>9869</v>
      </c>
      <c r="C3797" s="6" t="s">
        <v>1145</v>
      </c>
      <c r="D3797" s="13">
        <v>11664.285333219999</v>
      </c>
      <c r="E3797" s="18">
        <v>21</v>
      </c>
      <c r="F3797" s="2">
        <f t="shared" si="118"/>
        <v>14113.785253196198</v>
      </c>
      <c r="G3797" s="3">
        <v>0</v>
      </c>
      <c r="H3797" s="4">
        <v>0.7</v>
      </c>
      <c r="I3797" s="28">
        <f t="shared" si="119"/>
        <v>23993.434930433537</v>
      </c>
    </row>
    <row r="3798" spans="1:9" ht="15" customHeight="1" x14ac:dyDescent="0.35">
      <c r="A3798" s="26" t="s">
        <v>3332</v>
      </c>
      <c r="B3798" s="25" t="s">
        <v>9870</v>
      </c>
      <c r="C3798" s="6" t="s">
        <v>10398</v>
      </c>
      <c r="D3798" s="13">
        <v>6482.9030085949998</v>
      </c>
      <c r="E3798" s="18">
        <v>21</v>
      </c>
      <c r="F3798" s="2">
        <f t="shared" si="118"/>
        <v>7844.3126403999495</v>
      </c>
      <c r="G3798" s="3">
        <v>0</v>
      </c>
      <c r="H3798" s="4">
        <v>0.7</v>
      </c>
      <c r="I3798" s="28">
        <f t="shared" si="119"/>
        <v>13335.331488679914</v>
      </c>
    </row>
    <row r="3799" spans="1:9" ht="15" customHeight="1" x14ac:dyDescent="0.35">
      <c r="A3799" s="26" t="s">
        <v>13223</v>
      </c>
      <c r="B3799" s="25" t="s">
        <v>9871</v>
      </c>
      <c r="C3799" s="6" t="s">
        <v>13224</v>
      </c>
      <c r="D3799" s="13">
        <v>13568.569313</v>
      </c>
      <c r="E3799" s="18">
        <v>21</v>
      </c>
      <c r="F3799" s="2">
        <f t="shared" si="118"/>
        <v>16417.96886873</v>
      </c>
      <c r="G3799" s="3">
        <v>0</v>
      </c>
      <c r="H3799" s="4">
        <v>0.7</v>
      </c>
      <c r="I3799" s="28">
        <f t="shared" si="119"/>
        <v>27910.547076841001</v>
      </c>
    </row>
    <row r="3800" spans="1:9" ht="15" customHeight="1" x14ac:dyDescent="0.35">
      <c r="A3800" s="26" t="s">
        <v>4694</v>
      </c>
      <c r="B3800" s="25" t="s">
        <v>9872</v>
      </c>
      <c r="C3800" s="6" t="s">
        <v>10708</v>
      </c>
      <c r="D3800" s="13">
        <v>1095.4124999999999</v>
      </c>
      <c r="E3800" s="18">
        <v>21</v>
      </c>
      <c r="F3800" s="2">
        <f t="shared" si="118"/>
        <v>1325.4491249999999</v>
      </c>
      <c r="G3800" s="3">
        <v>0</v>
      </c>
      <c r="H3800" s="4">
        <v>0.7</v>
      </c>
      <c r="I3800" s="28">
        <f t="shared" si="119"/>
        <v>2253.2635124999997</v>
      </c>
    </row>
    <row r="3801" spans="1:9" ht="15" customHeight="1" x14ac:dyDescent="0.35">
      <c r="A3801" s="26" t="s">
        <v>4695</v>
      </c>
      <c r="B3801" s="25" t="s">
        <v>9873</v>
      </c>
      <c r="C3801" s="6" t="s">
        <v>10709</v>
      </c>
      <c r="D3801" s="13">
        <v>1066.1681160000001</v>
      </c>
      <c r="E3801" s="18">
        <v>21</v>
      </c>
      <c r="F3801" s="2">
        <f t="shared" si="118"/>
        <v>1290.06342036</v>
      </c>
      <c r="G3801" s="3">
        <v>0</v>
      </c>
      <c r="H3801" s="4">
        <v>0.7</v>
      </c>
      <c r="I3801" s="28">
        <f t="shared" si="119"/>
        <v>2193.1078146119999</v>
      </c>
    </row>
    <row r="3802" spans="1:9" ht="15" customHeight="1" x14ac:dyDescent="0.35">
      <c r="A3802" s="26" t="s">
        <v>4693</v>
      </c>
      <c r="B3802" s="25" t="s">
        <v>9874</v>
      </c>
      <c r="C3802" s="6" t="s">
        <v>10710</v>
      </c>
      <c r="D3802" s="13">
        <v>2553.8760000000002</v>
      </c>
      <c r="E3802" s="18">
        <v>21</v>
      </c>
      <c r="F3802" s="2">
        <f t="shared" si="118"/>
        <v>3090.1899600000002</v>
      </c>
      <c r="G3802" s="3">
        <v>0</v>
      </c>
      <c r="H3802" s="4">
        <v>0.7</v>
      </c>
      <c r="I3802" s="28">
        <f t="shared" si="119"/>
        <v>5253.322932</v>
      </c>
    </row>
    <row r="3803" spans="1:9" ht="15" customHeight="1" x14ac:dyDescent="0.35">
      <c r="A3803" s="26" t="s">
        <v>4698</v>
      </c>
      <c r="B3803" s="25" t="s">
        <v>10535</v>
      </c>
      <c r="C3803" s="6" t="s">
        <v>613</v>
      </c>
      <c r="D3803" s="13">
        <v>3852.0388077443999</v>
      </c>
      <c r="E3803" s="18">
        <v>21</v>
      </c>
      <c r="F3803" s="2">
        <f t="shared" si="118"/>
        <v>4660.9669573707242</v>
      </c>
      <c r="G3803" s="3">
        <v>0</v>
      </c>
      <c r="H3803" s="4">
        <v>0.7</v>
      </c>
      <c r="I3803" s="28">
        <f t="shared" si="119"/>
        <v>7923.6438275302307</v>
      </c>
    </row>
    <row r="3804" spans="1:9" ht="15" customHeight="1" x14ac:dyDescent="0.35">
      <c r="A3804" s="26" t="s">
        <v>4700</v>
      </c>
      <c r="B3804" s="25" t="s">
        <v>9875</v>
      </c>
      <c r="C3804" s="6" t="s">
        <v>615</v>
      </c>
      <c r="D3804" s="13">
        <v>645.37187853116097</v>
      </c>
      <c r="E3804" s="18">
        <v>21</v>
      </c>
      <c r="F3804" s="2">
        <f t="shared" si="118"/>
        <v>780.89997302270478</v>
      </c>
      <c r="G3804" s="3">
        <v>0</v>
      </c>
      <c r="H3804" s="4">
        <v>0.7</v>
      </c>
      <c r="I3804" s="28">
        <f t="shared" si="119"/>
        <v>1327.529954138598</v>
      </c>
    </row>
    <row r="3805" spans="1:9" ht="15" customHeight="1" x14ac:dyDescent="0.35">
      <c r="A3805" s="26" t="s">
        <v>4701</v>
      </c>
      <c r="B3805" s="25" t="s">
        <v>9876</v>
      </c>
      <c r="C3805" s="6" t="s">
        <v>616</v>
      </c>
      <c r="D3805" s="13">
        <v>2142.4127550695998</v>
      </c>
      <c r="E3805" s="18">
        <v>21</v>
      </c>
      <c r="F3805" s="2">
        <f t="shared" si="118"/>
        <v>2592.3194336342158</v>
      </c>
      <c r="G3805" s="3">
        <v>0</v>
      </c>
      <c r="H3805" s="4">
        <v>0.7</v>
      </c>
      <c r="I3805" s="28">
        <f t="shared" si="119"/>
        <v>4406.9430371781664</v>
      </c>
    </row>
    <row r="3806" spans="1:9" ht="15" customHeight="1" x14ac:dyDescent="0.35">
      <c r="A3806" s="26" t="s">
        <v>3105</v>
      </c>
      <c r="B3806" s="25" t="s">
        <v>10032</v>
      </c>
      <c r="C3806" s="6" t="s">
        <v>12218</v>
      </c>
      <c r="D3806" s="13">
        <v>1956.7694630250001</v>
      </c>
      <c r="E3806" s="18">
        <v>21</v>
      </c>
      <c r="F3806" s="2">
        <f t="shared" si="118"/>
        <v>2367.69105026025</v>
      </c>
      <c r="G3806" s="3">
        <v>0</v>
      </c>
      <c r="H3806" s="4">
        <v>0.7</v>
      </c>
      <c r="I3806" s="28">
        <f t="shared" si="119"/>
        <v>4025.0747854424249</v>
      </c>
    </row>
    <row r="3807" spans="1:9" ht="15" customHeight="1" x14ac:dyDescent="0.35">
      <c r="A3807" s="26" t="s">
        <v>3106</v>
      </c>
      <c r="B3807" s="25" t="s">
        <v>12746</v>
      </c>
      <c r="C3807" s="6" t="s">
        <v>13074</v>
      </c>
      <c r="D3807" s="13">
        <v>2935.15733298125</v>
      </c>
      <c r="E3807" s="18">
        <v>21</v>
      </c>
      <c r="F3807" s="2">
        <f t="shared" si="118"/>
        <v>3551.5403729073123</v>
      </c>
      <c r="G3807" s="3">
        <v>0</v>
      </c>
      <c r="H3807" s="4">
        <v>0.7</v>
      </c>
      <c r="I3807" s="28">
        <f t="shared" si="119"/>
        <v>6037.6186339424312</v>
      </c>
    </row>
    <row r="3808" spans="1:9" ht="15" customHeight="1" x14ac:dyDescent="0.35">
      <c r="A3808" s="26" t="s">
        <v>3102</v>
      </c>
      <c r="B3808" s="25" t="s">
        <v>12748</v>
      </c>
      <c r="C3808" s="6" t="s">
        <v>13022</v>
      </c>
      <c r="D3808" s="13">
        <v>332.64992995</v>
      </c>
      <c r="E3808" s="18">
        <v>21</v>
      </c>
      <c r="F3808" s="2">
        <f t="shared" si="118"/>
        <v>402.50641523950003</v>
      </c>
      <c r="G3808" s="3">
        <v>0</v>
      </c>
      <c r="H3808" s="4">
        <v>0.7</v>
      </c>
      <c r="I3808" s="28">
        <f t="shared" si="119"/>
        <v>684.26090590715</v>
      </c>
    </row>
    <row r="3809" spans="1:9" ht="15" customHeight="1" x14ac:dyDescent="0.35">
      <c r="A3809" s="26" t="s">
        <v>4697</v>
      </c>
      <c r="B3809" s="25" t="s">
        <v>12750</v>
      </c>
      <c r="C3809" s="6" t="s">
        <v>10711</v>
      </c>
      <c r="D3809" s="13">
        <v>1372.0824</v>
      </c>
      <c r="E3809" s="18">
        <v>21</v>
      </c>
      <c r="F3809" s="2">
        <f t="shared" si="118"/>
        <v>1660.2197040000001</v>
      </c>
      <c r="G3809" s="3">
        <v>0</v>
      </c>
      <c r="H3809" s="4">
        <v>0.7</v>
      </c>
      <c r="I3809" s="28">
        <f t="shared" si="119"/>
        <v>2822.3734967999999</v>
      </c>
    </row>
    <row r="3810" spans="1:9" ht="15" customHeight="1" x14ac:dyDescent="0.35">
      <c r="A3810" s="26" t="s">
        <v>4696</v>
      </c>
      <c r="B3810" s="25" t="s">
        <v>12751</v>
      </c>
      <c r="C3810" s="6" t="s">
        <v>10712</v>
      </c>
      <c r="D3810" s="13">
        <v>2197.0844999999999</v>
      </c>
      <c r="E3810" s="18">
        <v>21</v>
      </c>
      <c r="F3810" s="2">
        <f t="shared" si="118"/>
        <v>2658.4722449999999</v>
      </c>
      <c r="G3810" s="3">
        <v>0</v>
      </c>
      <c r="H3810" s="4">
        <v>0.7</v>
      </c>
      <c r="I3810" s="28">
        <f t="shared" si="119"/>
        <v>4519.4028165</v>
      </c>
    </row>
    <row r="3811" spans="1:9" ht="15" customHeight="1" x14ac:dyDescent="0.35">
      <c r="A3811" s="26" t="s">
        <v>9065</v>
      </c>
      <c r="B3811" s="25" t="s">
        <v>12752</v>
      </c>
      <c r="C3811" s="6" t="s">
        <v>9066</v>
      </c>
      <c r="D3811" s="13">
        <v>63657.283870908002</v>
      </c>
      <c r="E3811" s="18">
        <v>21</v>
      </c>
      <c r="F3811" s="2">
        <f t="shared" si="118"/>
        <v>77025.313483798687</v>
      </c>
      <c r="G3811" s="3">
        <v>0</v>
      </c>
      <c r="H3811" s="4">
        <v>0.7</v>
      </c>
      <c r="I3811" s="28">
        <f t="shared" si="119"/>
        <v>130943.03292245776</v>
      </c>
    </row>
    <row r="3812" spans="1:9" ht="15" customHeight="1" x14ac:dyDescent="0.35">
      <c r="A3812" s="26" t="s">
        <v>10832</v>
      </c>
      <c r="B3812" s="25" t="s">
        <v>12754</v>
      </c>
      <c r="C3812" s="6" t="s">
        <v>10833</v>
      </c>
      <c r="D3812" s="13">
        <v>4781.3538500000004</v>
      </c>
      <c r="E3812" s="18">
        <v>21</v>
      </c>
      <c r="F3812" s="2">
        <f t="shared" si="118"/>
        <v>5785.4381585000001</v>
      </c>
      <c r="G3812" s="3">
        <v>0</v>
      </c>
      <c r="H3812" s="4">
        <v>0.7</v>
      </c>
      <c r="I3812" s="28">
        <f t="shared" si="119"/>
        <v>9835.2448694499999</v>
      </c>
    </row>
    <row r="3813" spans="1:9" ht="15" customHeight="1" x14ac:dyDescent="0.35">
      <c r="A3813" s="26" t="s">
        <v>12565</v>
      </c>
      <c r="B3813" s="25" t="s">
        <v>12564</v>
      </c>
      <c r="C3813" s="6" t="s">
        <v>12566</v>
      </c>
      <c r="D3813" s="13">
        <v>6571.0839999999998</v>
      </c>
      <c r="E3813" s="18">
        <v>21</v>
      </c>
      <c r="F3813" s="2">
        <f t="shared" si="118"/>
        <v>7951.0116399999997</v>
      </c>
      <c r="G3813" s="3">
        <v>0</v>
      </c>
      <c r="H3813" s="4">
        <v>0.7</v>
      </c>
      <c r="I3813" s="28">
        <f t="shared" si="119"/>
        <v>13516.719787999999</v>
      </c>
    </row>
    <row r="3814" spans="1:9" ht="15" customHeight="1" x14ac:dyDescent="0.35">
      <c r="A3814" s="26" t="s">
        <v>12567</v>
      </c>
      <c r="B3814" s="25" t="s">
        <v>9090</v>
      </c>
      <c r="C3814" s="6" t="s">
        <v>12568</v>
      </c>
      <c r="D3814" s="13">
        <v>6571.0839999999998</v>
      </c>
      <c r="E3814" s="18">
        <v>21</v>
      </c>
      <c r="F3814" s="2">
        <f t="shared" si="118"/>
        <v>7951.0116399999997</v>
      </c>
      <c r="G3814" s="3">
        <v>0</v>
      </c>
      <c r="H3814" s="4">
        <v>0.7</v>
      </c>
      <c r="I3814" s="28">
        <f t="shared" si="119"/>
        <v>13516.719787999999</v>
      </c>
    </row>
    <row r="3815" spans="1:9" ht="15" customHeight="1" x14ac:dyDescent="0.35">
      <c r="A3815" s="26" t="s">
        <v>3923</v>
      </c>
      <c r="B3815" s="25" t="s">
        <v>9088</v>
      </c>
      <c r="C3815" s="6" t="s">
        <v>617</v>
      </c>
      <c r="D3815" s="13">
        <v>12751.297</v>
      </c>
      <c r="E3815" s="18">
        <v>21</v>
      </c>
      <c r="F3815" s="2">
        <f t="shared" si="118"/>
        <v>15429.069370000001</v>
      </c>
      <c r="G3815" s="3">
        <v>0</v>
      </c>
      <c r="H3815" s="4">
        <v>0.7</v>
      </c>
      <c r="I3815" s="28">
        <f t="shared" si="119"/>
        <v>26229.417929000003</v>
      </c>
    </row>
    <row r="3816" spans="1:9" ht="15" customHeight="1" x14ac:dyDescent="0.35">
      <c r="A3816" s="26" t="s">
        <v>12171</v>
      </c>
      <c r="B3816" s="25" t="s">
        <v>12578</v>
      </c>
      <c r="C3816" s="6" t="s">
        <v>12172</v>
      </c>
      <c r="D3816" s="13">
        <v>19429.015060000002</v>
      </c>
      <c r="E3816" s="18">
        <v>21</v>
      </c>
      <c r="F3816" s="2">
        <f t="shared" si="118"/>
        <v>23509.108222600004</v>
      </c>
      <c r="G3816" s="3">
        <v>0</v>
      </c>
      <c r="H3816" s="4">
        <v>0.7</v>
      </c>
      <c r="I3816" s="28">
        <f t="shared" si="119"/>
        <v>39965.483978420008</v>
      </c>
    </row>
    <row r="3817" spans="1:9" ht="15" customHeight="1" x14ac:dyDescent="0.35">
      <c r="A3817" s="26" t="s">
        <v>12173</v>
      </c>
      <c r="B3817" s="25" t="s">
        <v>592</v>
      </c>
      <c r="C3817" s="6" t="s">
        <v>12174</v>
      </c>
      <c r="D3817" s="13">
        <v>19429.015060000002</v>
      </c>
      <c r="E3817" s="18">
        <v>21</v>
      </c>
      <c r="F3817" s="2">
        <f t="shared" si="118"/>
        <v>23509.108222600004</v>
      </c>
      <c r="G3817" s="3">
        <v>0</v>
      </c>
      <c r="H3817" s="4">
        <v>0.7</v>
      </c>
      <c r="I3817" s="28">
        <f t="shared" si="119"/>
        <v>39965.483978420008</v>
      </c>
    </row>
    <row r="3818" spans="1:9" ht="15" customHeight="1" x14ac:dyDescent="0.35">
      <c r="A3818" s="26" t="s">
        <v>12175</v>
      </c>
      <c r="B3818" s="25" t="s">
        <v>593</v>
      </c>
      <c r="C3818" s="6" t="s">
        <v>12176</v>
      </c>
      <c r="D3818" s="13">
        <v>22546.447755000001</v>
      </c>
      <c r="E3818" s="18">
        <v>21</v>
      </c>
      <c r="F3818" s="2">
        <f t="shared" si="118"/>
        <v>27281.201783550001</v>
      </c>
      <c r="G3818" s="3">
        <v>0</v>
      </c>
      <c r="H3818" s="4">
        <v>0.7</v>
      </c>
      <c r="I3818" s="28">
        <f t="shared" si="119"/>
        <v>46378.043032034999</v>
      </c>
    </row>
    <row r="3819" spans="1:9" ht="15" customHeight="1" x14ac:dyDescent="0.35">
      <c r="A3819" s="26" t="s">
        <v>13075</v>
      </c>
      <c r="B3819" s="25" t="s">
        <v>9747</v>
      </c>
      <c r="C3819" s="6" t="s">
        <v>13076</v>
      </c>
      <c r="D3819" s="13">
        <v>14011.543</v>
      </c>
      <c r="E3819" s="18">
        <v>21</v>
      </c>
      <c r="F3819" s="2">
        <f t="shared" si="118"/>
        <v>16953.96703</v>
      </c>
      <c r="G3819" s="3">
        <v>0</v>
      </c>
      <c r="H3819" s="4">
        <v>0.7</v>
      </c>
      <c r="I3819" s="28">
        <f t="shared" si="119"/>
        <v>28821.743951</v>
      </c>
    </row>
    <row r="3820" spans="1:9" ht="15" customHeight="1" x14ac:dyDescent="0.35">
      <c r="A3820" s="26" t="s">
        <v>3924</v>
      </c>
      <c r="B3820" s="25" t="s">
        <v>594</v>
      </c>
      <c r="C3820" s="6" t="s">
        <v>10536</v>
      </c>
      <c r="D3820" s="13">
        <v>7212.1833809999998</v>
      </c>
      <c r="E3820" s="18">
        <v>21</v>
      </c>
      <c r="F3820" s="2">
        <f t="shared" si="118"/>
        <v>8726.7418910100005</v>
      </c>
      <c r="G3820" s="3">
        <v>0</v>
      </c>
      <c r="H3820" s="4">
        <v>0.7</v>
      </c>
      <c r="I3820" s="28">
        <f t="shared" si="119"/>
        <v>14835.461214717001</v>
      </c>
    </row>
    <row r="3821" spans="1:9" ht="15" customHeight="1" x14ac:dyDescent="0.35">
      <c r="A3821" s="26" t="s">
        <v>3925</v>
      </c>
      <c r="B3821" s="25" t="s">
        <v>595</v>
      </c>
      <c r="C3821" s="6" t="s">
        <v>13023</v>
      </c>
      <c r="D3821" s="13">
        <v>7886.2939740000002</v>
      </c>
      <c r="E3821" s="18">
        <v>21</v>
      </c>
      <c r="F3821" s="2">
        <f t="shared" si="118"/>
        <v>9542.4157085400002</v>
      </c>
      <c r="G3821" s="3">
        <v>0</v>
      </c>
      <c r="H3821" s="4">
        <v>0.7</v>
      </c>
      <c r="I3821" s="28">
        <f t="shared" si="119"/>
        <v>16222.106704518001</v>
      </c>
    </row>
    <row r="3822" spans="1:9" ht="15" customHeight="1" x14ac:dyDescent="0.35">
      <c r="A3822" s="26" t="s">
        <v>3930</v>
      </c>
      <c r="B3822" s="25" t="s">
        <v>596</v>
      </c>
      <c r="C3822" s="6" t="s">
        <v>13024</v>
      </c>
      <c r="D3822" s="13">
        <v>11863.016919</v>
      </c>
      <c r="E3822" s="18">
        <v>21</v>
      </c>
      <c r="F3822" s="2">
        <f t="shared" si="118"/>
        <v>14354.250471989999</v>
      </c>
      <c r="G3822" s="3">
        <v>0</v>
      </c>
      <c r="H3822" s="4">
        <v>0.7</v>
      </c>
      <c r="I3822" s="28">
        <f t="shared" si="119"/>
        <v>24402.225802382996</v>
      </c>
    </row>
    <row r="3823" spans="1:9" ht="15" customHeight="1" x14ac:dyDescent="0.35">
      <c r="A3823" s="26" t="s">
        <v>3926</v>
      </c>
      <c r="B3823" s="25" t="s">
        <v>597</v>
      </c>
      <c r="C3823" s="6" t="s">
        <v>10537</v>
      </c>
      <c r="D3823" s="13">
        <v>7886.2939740000002</v>
      </c>
      <c r="E3823" s="18">
        <v>21</v>
      </c>
      <c r="F3823" s="2">
        <f t="shared" si="118"/>
        <v>9542.4157085400002</v>
      </c>
      <c r="G3823" s="3">
        <v>0</v>
      </c>
      <c r="H3823" s="4">
        <v>0.7</v>
      </c>
      <c r="I3823" s="28">
        <f t="shared" si="119"/>
        <v>16222.106704518001</v>
      </c>
    </row>
    <row r="3824" spans="1:9" ht="15" customHeight="1" x14ac:dyDescent="0.35">
      <c r="A3824" s="26" t="s">
        <v>4156</v>
      </c>
      <c r="B3824" s="25" t="s">
        <v>598</v>
      </c>
      <c r="C3824" s="6" t="s">
        <v>11426</v>
      </c>
      <c r="D3824" s="13">
        <v>9346.24028</v>
      </c>
      <c r="E3824" s="18">
        <v>21</v>
      </c>
      <c r="F3824" s="2">
        <f t="shared" si="118"/>
        <v>11308.9507388</v>
      </c>
      <c r="G3824" s="3">
        <v>0</v>
      </c>
      <c r="H3824" s="4">
        <v>0.7</v>
      </c>
      <c r="I3824" s="28">
        <f t="shared" si="119"/>
        <v>19225.21625596</v>
      </c>
    </row>
    <row r="3825" spans="1:9" ht="15" customHeight="1" x14ac:dyDescent="0.35">
      <c r="A3825" s="26" t="s">
        <v>4157</v>
      </c>
      <c r="B3825" s="25" t="s">
        <v>11025</v>
      </c>
      <c r="C3825" s="6" t="s">
        <v>11427</v>
      </c>
      <c r="D3825" s="13">
        <v>15615.53292</v>
      </c>
      <c r="E3825" s="18">
        <v>21</v>
      </c>
      <c r="F3825" s="2">
        <f t="shared" si="118"/>
        <v>18894.794833200001</v>
      </c>
      <c r="G3825" s="3">
        <v>0</v>
      </c>
      <c r="H3825" s="4">
        <v>0.7</v>
      </c>
      <c r="I3825" s="28">
        <f t="shared" si="119"/>
        <v>32121.151216440001</v>
      </c>
    </row>
    <row r="3826" spans="1:9" ht="15" customHeight="1" x14ac:dyDescent="0.35">
      <c r="A3826" s="26" t="s">
        <v>3927</v>
      </c>
      <c r="B3826" s="25" t="s">
        <v>11026</v>
      </c>
      <c r="C3826" s="6" t="s">
        <v>10538</v>
      </c>
      <c r="D3826" s="13">
        <v>5697.2091149999997</v>
      </c>
      <c r="E3826" s="18">
        <v>21</v>
      </c>
      <c r="F3826" s="2">
        <f t="shared" si="118"/>
        <v>6893.6230291499996</v>
      </c>
      <c r="G3826" s="3">
        <v>0</v>
      </c>
      <c r="H3826" s="4">
        <v>0.7</v>
      </c>
      <c r="I3826" s="28">
        <f t="shared" si="119"/>
        <v>11719.159149554998</v>
      </c>
    </row>
    <row r="3827" spans="1:9" ht="15" customHeight="1" x14ac:dyDescent="0.35">
      <c r="A3827" s="26" t="s">
        <v>3928</v>
      </c>
      <c r="B3827" s="25" t="s">
        <v>11027</v>
      </c>
      <c r="C3827" s="6" t="s">
        <v>10539</v>
      </c>
      <c r="D3827" s="13">
        <v>5697.2091149999997</v>
      </c>
      <c r="E3827" s="18">
        <v>21</v>
      </c>
      <c r="F3827" s="2">
        <f t="shared" si="118"/>
        <v>6893.6230291499996</v>
      </c>
      <c r="G3827" s="3">
        <v>0</v>
      </c>
      <c r="H3827" s="4">
        <v>0.7</v>
      </c>
      <c r="I3827" s="28">
        <f t="shared" si="119"/>
        <v>11719.159149554998</v>
      </c>
    </row>
    <row r="3828" spans="1:9" ht="15" customHeight="1" x14ac:dyDescent="0.35">
      <c r="A3828" s="26" t="s">
        <v>3929</v>
      </c>
      <c r="B3828" s="25" t="s">
        <v>11028</v>
      </c>
      <c r="C3828" s="6" t="s">
        <v>10540</v>
      </c>
      <c r="D3828" s="13">
        <v>5886.2710530000004</v>
      </c>
      <c r="E3828" s="18">
        <v>21</v>
      </c>
      <c r="F3828" s="2">
        <f t="shared" si="118"/>
        <v>7122.3879741300007</v>
      </c>
      <c r="G3828" s="3">
        <v>0</v>
      </c>
      <c r="H3828" s="4">
        <v>0.7</v>
      </c>
      <c r="I3828" s="28">
        <f t="shared" si="119"/>
        <v>12108.059556021</v>
      </c>
    </row>
    <row r="3829" spans="1:9" ht="15" customHeight="1" x14ac:dyDescent="0.35">
      <c r="A3829" s="26" t="s">
        <v>3931</v>
      </c>
      <c r="B3829" s="25" t="s">
        <v>11029</v>
      </c>
      <c r="C3829" s="6" t="s">
        <v>10541</v>
      </c>
      <c r="D3829" s="13">
        <v>11863.016919</v>
      </c>
      <c r="E3829" s="18">
        <v>21</v>
      </c>
      <c r="F3829" s="2">
        <f t="shared" si="118"/>
        <v>14354.250471989999</v>
      </c>
      <c r="G3829" s="3">
        <v>0</v>
      </c>
      <c r="H3829" s="4">
        <v>0.7</v>
      </c>
      <c r="I3829" s="28">
        <f t="shared" si="119"/>
        <v>24402.225802382996</v>
      </c>
    </row>
    <row r="3830" spans="1:9" ht="15" customHeight="1" x14ac:dyDescent="0.35">
      <c r="A3830" s="26" t="s">
        <v>4220</v>
      </c>
      <c r="B3830" s="25" t="s">
        <v>11030</v>
      </c>
      <c r="C3830" s="6" t="s">
        <v>13244</v>
      </c>
      <c r="D3830" s="13">
        <v>4625.7079050000002</v>
      </c>
      <c r="E3830" s="18">
        <v>21</v>
      </c>
      <c r="F3830" s="2">
        <f t="shared" si="118"/>
        <v>5597.1065650500004</v>
      </c>
      <c r="G3830" s="3">
        <v>0</v>
      </c>
      <c r="H3830" s="4">
        <v>0.7</v>
      </c>
      <c r="I3830" s="28">
        <f t="shared" si="119"/>
        <v>9515.0811605850013</v>
      </c>
    </row>
    <row r="3831" spans="1:9" ht="15" customHeight="1" x14ac:dyDescent="0.35">
      <c r="A3831" s="26" t="s">
        <v>4222</v>
      </c>
      <c r="B3831" s="25" t="s">
        <v>11031</v>
      </c>
      <c r="C3831" s="6" t="s">
        <v>13245</v>
      </c>
      <c r="D3831" s="13">
        <v>4625.7079050000002</v>
      </c>
      <c r="E3831" s="18">
        <v>21</v>
      </c>
      <c r="F3831" s="2">
        <f t="shared" si="118"/>
        <v>5597.1065650500004</v>
      </c>
      <c r="G3831" s="3">
        <v>0</v>
      </c>
      <c r="H3831" s="4">
        <v>0.7</v>
      </c>
      <c r="I3831" s="28">
        <f t="shared" si="119"/>
        <v>9515.0811605850013</v>
      </c>
    </row>
    <row r="3832" spans="1:9" ht="15" customHeight="1" x14ac:dyDescent="0.35">
      <c r="A3832" s="26" t="s">
        <v>5869</v>
      </c>
      <c r="B3832" s="25" t="s">
        <v>11032</v>
      </c>
      <c r="C3832" s="6" t="s">
        <v>12826</v>
      </c>
      <c r="D3832" s="13">
        <v>4152.489705</v>
      </c>
      <c r="E3832" s="18">
        <v>21</v>
      </c>
      <c r="F3832" s="2">
        <f t="shared" si="118"/>
        <v>5024.5125430500002</v>
      </c>
      <c r="G3832" s="3">
        <v>0</v>
      </c>
      <c r="H3832" s="4">
        <v>0.7</v>
      </c>
      <c r="I3832" s="28">
        <f t="shared" si="119"/>
        <v>8541.6713231850008</v>
      </c>
    </row>
    <row r="3833" spans="1:9" ht="15" customHeight="1" x14ac:dyDescent="0.35">
      <c r="A3833" s="26" t="s">
        <v>4218</v>
      </c>
      <c r="B3833" s="25" t="s">
        <v>11033</v>
      </c>
      <c r="C3833" s="6" t="s">
        <v>12827</v>
      </c>
      <c r="D3833" s="13">
        <v>4152.489705</v>
      </c>
      <c r="E3833" s="18">
        <v>21</v>
      </c>
      <c r="F3833" s="2">
        <f t="shared" si="118"/>
        <v>5024.5125430500002</v>
      </c>
      <c r="G3833" s="3">
        <v>0</v>
      </c>
      <c r="H3833" s="4">
        <v>0.7</v>
      </c>
      <c r="I3833" s="28">
        <f t="shared" si="119"/>
        <v>8541.6713231850008</v>
      </c>
    </row>
    <row r="3834" spans="1:9" ht="15" customHeight="1" x14ac:dyDescent="0.35">
      <c r="A3834" s="26" t="s">
        <v>4150</v>
      </c>
      <c r="B3834" s="25" t="s">
        <v>11034</v>
      </c>
      <c r="C3834" s="6" t="s">
        <v>9602</v>
      </c>
      <c r="D3834" s="13">
        <v>4958.915</v>
      </c>
      <c r="E3834" s="18">
        <v>21</v>
      </c>
      <c r="F3834" s="2">
        <f t="shared" si="118"/>
        <v>6000.2871500000001</v>
      </c>
      <c r="G3834" s="3">
        <v>0</v>
      </c>
      <c r="H3834" s="4">
        <v>0.7</v>
      </c>
      <c r="I3834" s="28">
        <f t="shared" si="119"/>
        <v>10200.488154999999</v>
      </c>
    </row>
    <row r="3835" spans="1:9" ht="15" customHeight="1" x14ac:dyDescent="0.35">
      <c r="A3835" s="26" t="s">
        <v>4151</v>
      </c>
      <c r="B3835" s="25" t="s">
        <v>11304</v>
      </c>
      <c r="C3835" s="6" t="s">
        <v>9603</v>
      </c>
      <c r="D3835" s="13">
        <v>4958.915</v>
      </c>
      <c r="E3835" s="18">
        <v>21</v>
      </c>
      <c r="F3835" s="2">
        <f t="shared" si="118"/>
        <v>6000.2871500000001</v>
      </c>
      <c r="G3835" s="3">
        <v>0</v>
      </c>
      <c r="H3835" s="4">
        <v>0.7</v>
      </c>
      <c r="I3835" s="28">
        <f t="shared" si="119"/>
        <v>10200.488154999999</v>
      </c>
    </row>
    <row r="3836" spans="1:9" ht="15" customHeight="1" x14ac:dyDescent="0.35">
      <c r="A3836" s="26" t="s">
        <v>4152</v>
      </c>
      <c r="B3836" s="25" t="s">
        <v>11035</v>
      </c>
      <c r="C3836" s="6" t="s">
        <v>9604</v>
      </c>
      <c r="D3836" s="13">
        <v>7914.0627851999998</v>
      </c>
      <c r="E3836" s="18">
        <v>21</v>
      </c>
      <c r="F3836" s="2">
        <f t="shared" si="118"/>
        <v>9576.0159700919994</v>
      </c>
      <c r="G3836" s="3">
        <v>0</v>
      </c>
      <c r="H3836" s="4">
        <v>0.7</v>
      </c>
      <c r="I3836" s="28">
        <f t="shared" si="119"/>
        <v>16279.227149156399</v>
      </c>
    </row>
    <row r="3837" spans="1:9" ht="15" customHeight="1" x14ac:dyDescent="0.35">
      <c r="A3837" s="26" t="s">
        <v>9724</v>
      </c>
      <c r="B3837" s="25" t="s">
        <v>11036</v>
      </c>
      <c r="C3837" s="6" t="s">
        <v>12219</v>
      </c>
      <c r="D3837" s="13">
        <v>3281.3690000000001</v>
      </c>
      <c r="E3837" s="18">
        <v>21</v>
      </c>
      <c r="F3837" s="2">
        <f t="shared" si="118"/>
        <v>3970.45649</v>
      </c>
      <c r="G3837" s="3">
        <v>0</v>
      </c>
      <c r="H3837" s="4">
        <v>0.7</v>
      </c>
      <c r="I3837" s="28">
        <f t="shared" si="119"/>
        <v>6749.7760330000001</v>
      </c>
    </row>
    <row r="3838" spans="1:9" ht="15" customHeight="1" x14ac:dyDescent="0.35">
      <c r="A3838" s="26" t="s">
        <v>3525</v>
      </c>
      <c r="B3838" s="25" t="s">
        <v>11037</v>
      </c>
      <c r="C3838" s="6" t="s">
        <v>12220</v>
      </c>
      <c r="D3838" s="13">
        <v>11604.369649599999</v>
      </c>
      <c r="E3838" s="18">
        <v>21</v>
      </c>
      <c r="F3838" s="2">
        <f t="shared" si="118"/>
        <v>14041.287276015999</v>
      </c>
      <c r="G3838" s="3">
        <v>0</v>
      </c>
      <c r="H3838" s="4">
        <v>0.7</v>
      </c>
      <c r="I3838" s="28">
        <f t="shared" si="119"/>
        <v>23870.188369227199</v>
      </c>
    </row>
    <row r="3839" spans="1:9" ht="15" customHeight="1" x14ac:dyDescent="0.35">
      <c r="A3839" s="26" t="s">
        <v>9725</v>
      </c>
      <c r="B3839" s="25" t="s">
        <v>11038</v>
      </c>
      <c r="C3839" s="6" t="s">
        <v>12221</v>
      </c>
      <c r="D3839" s="13">
        <v>7454.3689999999997</v>
      </c>
      <c r="E3839" s="18">
        <v>21</v>
      </c>
      <c r="F3839" s="2">
        <f t="shared" si="118"/>
        <v>9019.7864899999986</v>
      </c>
      <c r="G3839" s="3">
        <v>0</v>
      </c>
      <c r="H3839" s="4">
        <v>0.7</v>
      </c>
      <c r="I3839" s="28">
        <f t="shared" si="119"/>
        <v>15333.637032999997</v>
      </c>
    </row>
    <row r="3840" spans="1:9" ht="15" customHeight="1" x14ac:dyDescent="0.35">
      <c r="A3840" s="26" t="s">
        <v>12755</v>
      </c>
      <c r="B3840" s="25" t="s">
        <v>11039</v>
      </c>
      <c r="C3840" s="6" t="s">
        <v>12756</v>
      </c>
      <c r="D3840" s="13">
        <v>14605.5</v>
      </c>
      <c r="E3840" s="18">
        <v>21</v>
      </c>
      <c r="F3840" s="2">
        <f t="shared" si="118"/>
        <v>17672.654999999999</v>
      </c>
      <c r="G3840" s="3">
        <v>0</v>
      </c>
      <c r="H3840" s="4">
        <v>0.7</v>
      </c>
      <c r="I3840" s="28">
        <f t="shared" si="119"/>
        <v>30043.513499999997</v>
      </c>
    </row>
    <row r="3841" spans="1:9" ht="15" customHeight="1" x14ac:dyDescent="0.35">
      <c r="A3841" s="26" t="s">
        <v>12757</v>
      </c>
      <c r="B3841" s="25" t="s">
        <v>12270</v>
      </c>
      <c r="C3841" s="6" t="s">
        <v>12758</v>
      </c>
      <c r="D3841" s="13">
        <v>14605.5</v>
      </c>
      <c r="E3841" s="18">
        <v>21</v>
      </c>
      <c r="F3841" s="2">
        <f t="shared" si="118"/>
        <v>17672.654999999999</v>
      </c>
      <c r="G3841" s="3">
        <v>0</v>
      </c>
      <c r="H3841" s="4">
        <v>0.7</v>
      </c>
      <c r="I3841" s="28">
        <f t="shared" si="119"/>
        <v>30043.513499999997</v>
      </c>
    </row>
    <row r="3842" spans="1:9" ht="15" customHeight="1" x14ac:dyDescent="0.35">
      <c r="A3842" s="26" t="s">
        <v>4158</v>
      </c>
      <c r="B3842" s="25" t="s">
        <v>12272</v>
      </c>
      <c r="C3842" s="6" t="s">
        <v>12222</v>
      </c>
      <c r="D3842" s="13">
        <v>7058.1565600000004</v>
      </c>
      <c r="E3842" s="18">
        <v>21</v>
      </c>
      <c r="F3842" s="2">
        <f t="shared" si="118"/>
        <v>8540.3694376000003</v>
      </c>
      <c r="G3842" s="3">
        <v>0</v>
      </c>
      <c r="H3842" s="4">
        <v>0.7</v>
      </c>
      <c r="I3842" s="28">
        <f t="shared" si="119"/>
        <v>14518.62804392</v>
      </c>
    </row>
    <row r="3843" spans="1:9" ht="15" customHeight="1" x14ac:dyDescent="0.35">
      <c r="A3843" s="26" t="s">
        <v>4159</v>
      </c>
      <c r="B3843" s="25" t="s">
        <v>12274</v>
      </c>
      <c r="C3843" s="6" t="s">
        <v>12223</v>
      </c>
      <c r="D3843" s="13">
        <v>14409.53592</v>
      </c>
      <c r="E3843" s="18">
        <v>21</v>
      </c>
      <c r="F3843" s="2">
        <f t="shared" si="118"/>
        <v>17435.538463199999</v>
      </c>
      <c r="G3843" s="3">
        <v>0</v>
      </c>
      <c r="H3843" s="4">
        <v>0.7</v>
      </c>
      <c r="I3843" s="28">
        <f t="shared" si="119"/>
        <v>29640.415387439996</v>
      </c>
    </row>
    <row r="3844" spans="1:9" ht="15" customHeight="1" x14ac:dyDescent="0.35">
      <c r="A3844" s="26" t="s">
        <v>9423</v>
      </c>
      <c r="B3844" s="25" t="s">
        <v>12276</v>
      </c>
      <c r="C3844" s="6" t="s">
        <v>11799</v>
      </c>
      <c r="D3844" s="13">
        <v>12735.995999999999</v>
      </c>
      <c r="E3844" s="18">
        <v>21</v>
      </c>
      <c r="F3844" s="2">
        <f t="shared" si="118"/>
        <v>15410.55516</v>
      </c>
      <c r="G3844" s="3">
        <v>0</v>
      </c>
      <c r="H3844" s="4">
        <v>0.7</v>
      </c>
      <c r="I3844" s="28">
        <f t="shared" si="119"/>
        <v>26197.943771999999</v>
      </c>
    </row>
    <row r="3845" spans="1:9" ht="15" customHeight="1" x14ac:dyDescent="0.35">
      <c r="A3845" s="26" t="s">
        <v>9424</v>
      </c>
      <c r="B3845" s="25" t="s">
        <v>12278</v>
      </c>
      <c r="C3845" s="6" t="s">
        <v>10542</v>
      </c>
      <c r="D3845" s="13">
        <v>7087.4232000000002</v>
      </c>
      <c r="E3845" s="18">
        <v>21</v>
      </c>
      <c r="F3845" s="2">
        <f t="shared" si="118"/>
        <v>8575.782072</v>
      </c>
      <c r="G3845" s="3">
        <v>0</v>
      </c>
      <c r="H3845" s="4">
        <v>0.7</v>
      </c>
      <c r="I3845" s="28">
        <f t="shared" si="119"/>
        <v>14578.829522399999</v>
      </c>
    </row>
    <row r="3846" spans="1:9" ht="15" customHeight="1" x14ac:dyDescent="0.35">
      <c r="A3846" s="26" t="s">
        <v>4160</v>
      </c>
      <c r="B3846" s="25" t="s">
        <v>12280</v>
      </c>
      <c r="C3846" s="6" t="s">
        <v>9601</v>
      </c>
      <c r="D3846" s="13">
        <v>7058.1565600000004</v>
      </c>
      <c r="E3846" s="18">
        <v>21</v>
      </c>
      <c r="F3846" s="2">
        <f t="shared" ref="F3846:F3909" si="120">D3846*E3846/100+D3846</f>
        <v>8540.3694376000003</v>
      </c>
      <c r="G3846" s="3">
        <v>0</v>
      </c>
      <c r="H3846" s="4">
        <v>0.7</v>
      </c>
      <c r="I3846" s="28">
        <f t="shared" ref="I3846:I3909" si="121">IF(G3846=-1,0,F3846*((100-G3846)/100)*(1+H3846))</f>
        <v>14518.62804392</v>
      </c>
    </row>
    <row r="3847" spans="1:9" ht="15" customHeight="1" x14ac:dyDescent="0.35">
      <c r="A3847" s="26" t="s">
        <v>9514</v>
      </c>
      <c r="B3847" s="25" t="s">
        <v>599</v>
      </c>
      <c r="C3847" s="6" t="s">
        <v>10543</v>
      </c>
      <c r="D3847" s="13">
        <v>7087.4232000000002</v>
      </c>
      <c r="E3847" s="18">
        <v>21</v>
      </c>
      <c r="F3847" s="2">
        <f t="shared" si="120"/>
        <v>8575.782072</v>
      </c>
      <c r="G3847" s="3">
        <v>0</v>
      </c>
      <c r="H3847" s="4">
        <v>0.7</v>
      </c>
      <c r="I3847" s="28">
        <f t="shared" si="121"/>
        <v>14578.829522399999</v>
      </c>
    </row>
    <row r="3848" spans="1:9" ht="15" customHeight="1" x14ac:dyDescent="0.35">
      <c r="A3848" s="26" t="s">
        <v>11800</v>
      </c>
      <c r="B3848" s="25" t="s">
        <v>600</v>
      </c>
      <c r="C3848" s="6" t="s">
        <v>12224</v>
      </c>
      <c r="D3848" s="13">
        <v>4835.116</v>
      </c>
      <c r="E3848" s="18">
        <v>21</v>
      </c>
      <c r="F3848" s="2">
        <f t="shared" si="120"/>
        <v>5850.4903599999998</v>
      </c>
      <c r="G3848" s="3">
        <v>0</v>
      </c>
      <c r="H3848" s="4">
        <v>0.7</v>
      </c>
      <c r="I3848" s="28">
        <f t="shared" si="121"/>
        <v>9945.8336119999985</v>
      </c>
    </row>
    <row r="3849" spans="1:9" ht="15" customHeight="1" x14ac:dyDescent="0.35">
      <c r="A3849" s="26" t="s">
        <v>9384</v>
      </c>
      <c r="B3849" s="25" t="s">
        <v>11040</v>
      </c>
      <c r="C3849" s="6" t="s">
        <v>9385</v>
      </c>
      <c r="D3849" s="13">
        <v>2947.529</v>
      </c>
      <c r="E3849" s="18">
        <v>21</v>
      </c>
      <c r="F3849" s="2">
        <f t="shared" si="120"/>
        <v>3566.5100899999998</v>
      </c>
      <c r="G3849" s="3">
        <v>0</v>
      </c>
      <c r="H3849" s="4">
        <v>0.7</v>
      </c>
      <c r="I3849" s="28">
        <f t="shared" si="121"/>
        <v>6063.0671529999991</v>
      </c>
    </row>
    <row r="3850" spans="1:9" ht="15" customHeight="1" x14ac:dyDescent="0.35">
      <c r="A3850" s="26" t="s">
        <v>4225</v>
      </c>
      <c r="B3850" s="25" t="s">
        <v>601</v>
      </c>
      <c r="C3850" s="6" t="s">
        <v>11880</v>
      </c>
      <c r="D3850" s="13">
        <v>1762.5980266245001</v>
      </c>
      <c r="E3850" s="18">
        <v>21</v>
      </c>
      <c r="F3850" s="2">
        <f t="shared" si="120"/>
        <v>2132.743612215645</v>
      </c>
      <c r="G3850" s="3">
        <v>0</v>
      </c>
      <c r="H3850" s="4">
        <v>0.7</v>
      </c>
      <c r="I3850" s="28">
        <f t="shared" si="121"/>
        <v>3625.6641407665966</v>
      </c>
    </row>
    <row r="3851" spans="1:9" ht="15" customHeight="1" x14ac:dyDescent="0.35">
      <c r="A3851" s="26" t="s">
        <v>4192</v>
      </c>
      <c r="B3851" s="25" t="s">
        <v>602</v>
      </c>
      <c r="C3851" s="6" t="s">
        <v>11906</v>
      </c>
      <c r="D3851" s="13">
        <v>10963.861999999999</v>
      </c>
      <c r="E3851" s="18">
        <v>21</v>
      </c>
      <c r="F3851" s="2">
        <f t="shared" si="120"/>
        <v>13266.273019999999</v>
      </c>
      <c r="G3851" s="3">
        <v>0</v>
      </c>
      <c r="H3851" s="4">
        <v>0.7</v>
      </c>
      <c r="I3851" s="28">
        <f t="shared" si="121"/>
        <v>22552.664133999999</v>
      </c>
    </row>
    <row r="3852" spans="1:9" ht="15" customHeight="1" x14ac:dyDescent="0.35">
      <c r="A3852" s="26" t="s">
        <v>4193</v>
      </c>
      <c r="B3852" s="25" t="s">
        <v>12504</v>
      </c>
      <c r="C3852" s="6" t="s">
        <v>11907</v>
      </c>
      <c r="D3852" s="13">
        <v>10963.861999999999</v>
      </c>
      <c r="E3852" s="18">
        <v>21</v>
      </c>
      <c r="F3852" s="2">
        <f t="shared" si="120"/>
        <v>13266.273019999999</v>
      </c>
      <c r="G3852" s="3">
        <v>0</v>
      </c>
      <c r="H3852" s="4">
        <v>0.7</v>
      </c>
      <c r="I3852" s="28">
        <f t="shared" si="121"/>
        <v>22552.664133999999</v>
      </c>
    </row>
    <row r="3853" spans="1:9" ht="15" customHeight="1" x14ac:dyDescent="0.35">
      <c r="A3853" s="26" t="s">
        <v>4194</v>
      </c>
      <c r="B3853" s="25" t="s">
        <v>9896</v>
      </c>
      <c r="C3853" s="6" t="s">
        <v>11908</v>
      </c>
      <c r="D3853" s="13">
        <v>19547.723000000002</v>
      </c>
      <c r="E3853" s="18">
        <v>21</v>
      </c>
      <c r="F3853" s="2">
        <f t="shared" si="120"/>
        <v>23652.744830000003</v>
      </c>
      <c r="G3853" s="3">
        <v>0</v>
      </c>
      <c r="H3853" s="4">
        <v>0.7</v>
      </c>
      <c r="I3853" s="28">
        <f t="shared" si="121"/>
        <v>40209.666211000003</v>
      </c>
    </row>
    <row r="3854" spans="1:9" ht="15" customHeight="1" x14ac:dyDescent="0.35">
      <c r="A3854" s="26" t="s">
        <v>4195</v>
      </c>
      <c r="B3854" s="25" t="s">
        <v>603</v>
      </c>
      <c r="C3854" s="6" t="s">
        <v>11909</v>
      </c>
      <c r="D3854" s="13">
        <v>19547.723000000002</v>
      </c>
      <c r="E3854" s="18">
        <v>21</v>
      </c>
      <c r="F3854" s="2">
        <f t="shared" si="120"/>
        <v>23652.744830000003</v>
      </c>
      <c r="G3854" s="3">
        <v>0</v>
      </c>
      <c r="H3854" s="4">
        <v>0.7</v>
      </c>
      <c r="I3854" s="28">
        <f t="shared" si="121"/>
        <v>40209.666211000003</v>
      </c>
    </row>
    <row r="3855" spans="1:9" ht="15" customHeight="1" x14ac:dyDescent="0.35">
      <c r="A3855" s="26" t="s">
        <v>4186</v>
      </c>
      <c r="B3855" s="25" t="s">
        <v>11305</v>
      </c>
      <c r="C3855" s="6" t="s">
        <v>12225</v>
      </c>
      <c r="D3855" s="13">
        <v>3525.2947600000002</v>
      </c>
      <c r="E3855" s="18">
        <v>21</v>
      </c>
      <c r="F3855" s="2">
        <f t="shared" si="120"/>
        <v>4265.6066596000001</v>
      </c>
      <c r="G3855" s="3">
        <v>0</v>
      </c>
      <c r="H3855" s="4">
        <v>0.7</v>
      </c>
      <c r="I3855" s="28">
        <f t="shared" si="121"/>
        <v>7251.5313213199997</v>
      </c>
    </row>
    <row r="3856" spans="1:9" ht="15" customHeight="1" x14ac:dyDescent="0.35">
      <c r="A3856" s="26" t="s">
        <v>4197</v>
      </c>
      <c r="B3856" s="25" t="s">
        <v>12604</v>
      </c>
      <c r="C3856" s="6" t="s">
        <v>11910</v>
      </c>
      <c r="D3856" s="13">
        <v>19547.723000000002</v>
      </c>
      <c r="E3856" s="18">
        <v>21</v>
      </c>
      <c r="F3856" s="2">
        <f t="shared" si="120"/>
        <v>23652.744830000003</v>
      </c>
      <c r="G3856" s="3">
        <v>0</v>
      </c>
      <c r="H3856" s="4">
        <v>0.7</v>
      </c>
      <c r="I3856" s="28">
        <f t="shared" si="121"/>
        <v>40209.666211000003</v>
      </c>
    </row>
    <row r="3857" spans="1:9" ht="15" customHeight="1" x14ac:dyDescent="0.35">
      <c r="A3857" s="26" t="s">
        <v>4198</v>
      </c>
      <c r="B3857" s="25" t="s">
        <v>12605</v>
      </c>
      <c r="C3857" s="6" t="s">
        <v>11911</v>
      </c>
      <c r="D3857" s="13">
        <v>19547.723000000002</v>
      </c>
      <c r="E3857" s="18">
        <v>21</v>
      </c>
      <c r="F3857" s="2">
        <f t="shared" si="120"/>
        <v>23652.744830000003</v>
      </c>
      <c r="G3857" s="3">
        <v>0</v>
      </c>
      <c r="H3857" s="4">
        <v>0.7</v>
      </c>
      <c r="I3857" s="28">
        <f t="shared" si="121"/>
        <v>40209.666211000003</v>
      </c>
    </row>
    <row r="3858" spans="1:9" ht="15" customHeight="1" x14ac:dyDescent="0.35">
      <c r="A3858" s="26" t="s">
        <v>4199</v>
      </c>
      <c r="B3858" s="25" t="s">
        <v>604</v>
      </c>
      <c r="C3858" s="6" t="s">
        <v>11912</v>
      </c>
      <c r="D3858" s="13">
        <v>8700.7049999999999</v>
      </c>
      <c r="E3858" s="18">
        <v>21</v>
      </c>
      <c r="F3858" s="2">
        <f t="shared" si="120"/>
        <v>10527.85305</v>
      </c>
      <c r="G3858" s="3">
        <v>0</v>
      </c>
      <c r="H3858" s="4">
        <v>0.7</v>
      </c>
      <c r="I3858" s="28">
        <f t="shared" si="121"/>
        <v>17897.350184999999</v>
      </c>
    </row>
    <row r="3859" spans="1:9" ht="15" customHeight="1" x14ac:dyDescent="0.35">
      <c r="A3859" s="26" t="s">
        <v>4200</v>
      </c>
      <c r="B3859" s="25" t="s">
        <v>605</v>
      </c>
      <c r="C3859" s="6" t="s">
        <v>11913</v>
      </c>
      <c r="D3859" s="13">
        <v>3855.8519999999999</v>
      </c>
      <c r="E3859" s="18">
        <v>21</v>
      </c>
      <c r="F3859" s="2">
        <f t="shared" si="120"/>
        <v>4665.5809199999994</v>
      </c>
      <c r="G3859" s="3">
        <v>0</v>
      </c>
      <c r="H3859" s="4">
        <v>0.7</v>
      </c>
      <c r="I3859" s="28">
        <f t="shared" si="121"/>
        <v>7931.4875639999991</v>
      </c>
    </row>
    <row r="3860" spans="1:9" ht="15" customHeight="1" x14ac:dyDescent="0.35">
      <c r="A3860" s="26" t="s">
        <v>4201</v>
      </c>
      <c r="B3860" s="25" t="s">
        <v>606</v>
      </c>
      <c r="C3860" s="6" t="s">
        <v>11914</v>
      </c>
      <c r="D3860" s="13">
        <v>3855.8519999999999</v>
      </c>
      <c r="E3860" s="18">
        <v>21</v>
      </c>
      <c r="F3860" s="2">
        <f t="shared" si="120"/>
        <v>4665.5809199999994</v>
      </c>
      <c r="G3860" s="3">
        <v>0</v>
      </c>
      <c r="H3860" s="4">
        <v>0.7</v>
      </c>
      <c r="I3860" s="28">
        <f t="shared" si="121"/>
        <v>7931.4875639999991</v>
      </c>
    </row>
    <row r="3861" spans="1:9" ht="15" customHeight="1" x14ac:dyDescent="0.35">
      <c r="A3861" s="26" t="s">
        <v>4202</v>
      </c>
      <c r="B3861" s="25" t="s">
        <v>1022</v>
      </c>
      <c r="C3861" s="6" t="s">
        <v>11915</v>
      </c>
      <c r="D3861" s="13">
        <v>19547.723000000002</v>
      </c>
      <c r="E3861" s="18">
        <v>21</v>
      </c>
      <c r="F3861" s="2">
        <f t="shared" si="120"/>
        <v>23652.744830000003</v>
      </c>
      <c r="G3861" s="3">
        <v>0</v>
      </c>
      <c r="H3861" s="4">
        <v>0.7</v>
      </c>
      <c r="I3861" s="28">
        <f t="shared" si="121"/>
        <v>40209.666211000003</v>
      </c>
    </row>
    <row r="3862" spans="1:9" ht="15" customHeight="1" x14ac:dyDescent="0.35">
      <c r="A3862" s="26" t="s">
        <v>4226</v>
      </c>
      <c r="B3862" s="25" t="s">
        <v>1023</v>
      </c>
      <c r="C3862" s="6" t="s">
        <v>11428</v>
      </c>
      <c r="D3862" s="13">
        <v>2023.8743013255</v>
      </c>
      <c r="E3862" s="18">
        <v>21</v>
      </c>
      <c r="F3862" s="2">
        <f t="shared" si="120"/>
        <v>2448.8879046038551</v>
      </c>
      <c r="G3862" s="3">
        <v>0</v>
      </c>
      <c r="H3862" s="4">
        <v>0.7</v>
      </c>
      <c r="I3862" s="28">
        <f t="shared" si="121"/>
        <v>4163.1094378265534</v>
      </c>
    </row>
    <row r="3863" spans="1:9" ht="15" customHeight="1" x14ac:dyDescent="0.35">
      <c r="A3863" s="26" t="s">
        <v>4185</v>
      </c>
      <c r="B3863" s="25" t="s">
        <v>11879</v>
      </c>
      <c r="C3863" s="6" t="s">
        <v>618</v>
      </c>
      <c r="D3863" s="13">
        <v>3525.2947600000002</v>
      </c>
      <c r="E3863" s="18">
        <v>21</v>
      </c>
      <c r="F3863" s="2">
        <f t="shared" si="120"/>
        <v>4265.6066596000001</v>
      </c>
      <c r="G3863" s="3">
        <v>0</v>
      </c>
      <c r="H3863" s="4">
        <v>0.7</v>
      </c>
      <c r="I3863" s="28">
        <f t="shared" si="121"/>
        <v>7251.5313213199997</v>
      </c>
    </row>
    <row r="3864" spans="1:9" ht="15" customHeight="1" x14ac:dyDescent="0.35">
      <c r="A3864" s="26" t="s">
        <v>4187</v>
      </c>
      <c r="B3864" s="25" t="s">
        <v>10784</v>
      </c>
      <c r="C3864" s="6" t="s">
        <v>619</v>
      </c>
      <c r="D3864" s="13">
        <v>12572.63696</v>
      </c>
      <c r="E3864" s="18">
        <v>21</v>
      </c>
      <c r="F3864" s="2">
        <f t="shared" si="120"/>
        <v>15212.890721600001</v>
      </c>
      <c r="G3864" s="3">
        <v>0</v>
      </c>
      <c r="H3864" s="4">
        <v>0.7</v>
      </c>
      <c r="I3864" s="28">
        <f t="shared" si="121"/>
        <v>25861.91422672</v>
      </c>
    </row>
    <row r="3865" spans="1:9" ht="15" customHeight="1" x14ac:dyDescent="0.35">
      <c r="A3865" s="26" t="s">
        <v>9386</v>
      </c>
      <c r="B3865" s="25" t="s">
        <v>9312</v>
      </c>
      <c r="C3865" s="6" t="s">
        <v>11429</v>
      </c>
      <c r="D3865" s="13">
        <v>2164.3960000000002</v>
      </c>
      <c r="E3865" s="18">
        <v>21</v>
      </c>
      <c r="F3865" s="2">
        <f t="shared" si="120"/>
        <v>2618.9191600000004</v>
      </c>
      <c r="G3865" s="3">
        <v>0</v>
      </c>
      <c r="H3865" s="4">
        <v>0.7</v>
      </c>
      <c r="I3865" s="28">
        <f t="shared" si="121"/>
        <v>4452.1625720000002</v>
      </c>
    </row>
    <row r="3866" spans="1:9" ht="15" customHeight="1" x14ac:dyDescent="0.35">
      <c r="A3866" s="26" t="s">
        <v>13077</v>
      </c>
      <c r="B3866" s="25" t="s">
        <v>10392</v>
      </c>
      <c r="C3866" s="6" t="s">
        <v>13078</v>
      </c>
      <c r="D3866" s="13">
        <v>2164.3960000000002</v>
      </c>
      <c r="E3866" s="18">
        <v>21</v>
      </c>
      <c r="F3866" s="2">
        <f t="shared" si="120"/>
        <v>2618.9191600000004</v>
      </c>
      <c r="G3866" s="3">
        <v>0</v>
      </c>
      <c r="H3866" s="4">
        <v>0.7</v>
      </c>
      <c r="I3866" s="28">
        <f t="shared" si="121"/>
        <v>4452.1625720000002</v>
      </c>
    </row>
    <row r="3867" spans="1:9" ht="15" customHeight="1" x14ac:dyDescent="0.35">
      <c r="A3867" s="26" t="s">
        <v>3935</v>
      </c>
      <c r="B3867" s="25" t="s">
        <v>607</v>
      </c>
      <c r="C3867" s="6" t="s">
        <v>11801</v>
      </c>
      <c r="D3867" s="13">
        <v>5888.9376000000002</v>
      </c>
      <c r="E3867" s="18">
        <v>21</v>
      </c>
      <c r="F3867" s="2">
        <f t="shared" si="120"/>
        <v>7125.6144960000001</v>
      </c>
      <c r="G3867" s="3">
        <v>0</v>
      </c>
      <c r="H3867" s="4">
        <v>0.7</v>
      </c>
      <c r="I3867" s="28">
        <f t="shared" si="121"/>
        <v>12113.544643200001</v>
      </c>
    </row>
    <row r="3868" spans="1:9" ht="15" customHeight="1" x14ac:dyDescent="0.35">
      <c r="A3868" s="26" t="s">
        <v>3936</v>
      </c>
      <c r="B3868" s="25" t="s">
        <v>608</v>
      </c>
      <c r="C3868" s="6" t="s">
        <v>11802</v>
      </c>
      <c r="D3868" s="13">
        <v>2702.9911999999999</v>
      </c>
      <c r="E3868" s="18">
        <v>21</v>
      </c>
      <c r="F3868" s="2">
        <f t="shared" si="120"/>
        <v>3270.6193519999997</v>
      </c>
      <c r="G3868" s="3">
        <v>0</v>
      </c>
      <c r="H3868" s="4">
        <v>0.7</v>
      </c>
      <c r="I3868" s="28">
        <f t="shared" si="121"/>
        <v>5560.0528983999993</v>
      </c>
    </row>
    <row r="3869" spans="1:9" ht="15" customHeight="1" x14ac:dyDescent="0.35">
      <c r="A3869" s="26" t="s">
        <v>3937</v>
      </c>
      <c r="B3869" s="25" t="s">
        <v>9877</v>
      </c>
      <c r="C3869" s="6" t="s">
        <v>11803</v>
      </c>
      <c r="D3869" s="13">
        <v>2702.9911999999999</v>
      </c>
      <c r="E3869" s="18">
        <v>21</v>
      </c>
      <c r="F3869" s="2">
        <f t="shared" si="120"/>
        <v>3270.6193519999997</v>
      </c>
      <c r="G3869" s="3">
        <v>0</v>
      </c>
      <c r="H3869" s="4">
        <v>0.7</v>
      </c>
      <c r="I3869" s="28">
        <f t="shared" si="121"/>
        <v>5560.0528983999993</v>
      </c>
    </row>
    <row r="3870" spans="1:9" ht="15" customHeight="1" x14ac:dyDescent="0.35">
      <c r="A3870" s="26" t="s">
        <v>3938</v>
      </c>
      <c r="B3870" s="25" t="s">
        <v>1024</v>
      </c>
      <c r="C3870" s="6" t="s">
        <v>11804</v>
      </c>
      <c r="D3870" s="13">
        <v>6361.8775999999998</v>
      </c>
      <c r="E3870" s="18">
        <v>21</v>
      </c>
      <c r="F3870" s="2">
        <f t="shared" si="120"/>
        <v>7697.8718959999997</v>
      </c>
      <c r="G3870" s="3">
        <v>0</v>
      </c>
      <c r="H3870" s="4">
        <v>0.7</v>
      </c>
      <c r="I3870" s="28">
        <f t="shared" si="121"/>
        <v>13086.382223199998</v>
      </c>
    </row>
    <row r="3871" spans="1:9" ht="15" customHeight="1" x14ac:dyDescent="0.35">
      <c r="A3871" s="26" t="s">
        <v>3939</v>
      </c>
      <c r="B3871" s="25" t="s">
        <v>11306</v>
      </c>
      <c r="C3871" s="6" t="s">
        <v>11805</v>
      </c>
      <c r="D3871" s="13">
        <v>3239.3607999999999</v>
      </c>
      <c r="E3871" s="18">
        <v>21</v>
      </c>
      <c r="F3871" s="2">
        <f t="shared" si="120"/>
        <v>3919.6265679999997</v>
      </c>
      <c r="G3871" s="3">
        <v>0</v>
      </c>
      <c r="H3871" s="4">
        <v>0.7</v>
      </c>
      <c r="I3871" s="28">
        <f t="shared" si="121"/>
        <v>6663.3651655999993</v>
      </c>
    </row>
    <row r="3872" spans="1:9" ht="15" customHeight="1" x14ac:dyDescent="0.35">
      <c r="A3872" s="26" t="s">
        <v>3942</v>
      </c>
      <c r="B3872" s="25" t="s">
        <v>1119</v>
      </c>
      <c r="C3872" s="6" t="s">
        <v>11806</v>
      </c>
      <c r="D3872" s="13">
        <v>3239.3607999999999</v>
      </c>
      <c r="E3872" s="18">
        <v>21</v>
      </c>
      <c r="F3872" s="2">
        <f t="shared" si="120"/>
        <v>3919.6265679999997</v>
      </c>
      <c r="G3872" s="3">
        <v>0</v>
      </c>
      <c r="H3872" s="4">
        <v>0.7</v>
      </c>
      <c r="I3872" s="28">
        <f t="shared" si="121"/>
        <v>6663.3651655999993</v>
      </c>
    </row>
    <row r="3873" spans="1:9" ht="15" customHeight="1" x14ac:dyDescent="0.35">
      <c r="A3873" s="26" t="s">
        <v>12585</v>
      </c>
      <c r="B3873" s="25" t="s">
        <v>1074</v>
      </c>
      <c r="C3873" s="6" t="s">
        <v>12586</v>
      </c>
      <c r="D3873" s="13">
        <v>4195.2560000000003</v>
      </c>
      <c r="E3873" s="18">
        <v>21</v>
      </c>
      <c r="F3873" s="2">
        <f t="shared" si="120"/>
        <v>5076.2597600000008</v>
      </c>
      <c r="G3873" s="3">
        <v>0</v>
      </c>
      <c r="H3873" s="4">
        <v>0.7</v>
      </c>
      <c r="I3873" s="28">
        <f t="shared" si="121"/>
        <v>8629.6415920000018</v>
      </c>
    </row>
    <row r="3874" spans="1:9" ht="15" customHeight="1" x14ac:dyDescent="0.35">
      <c r="A3874" s="26" t="s">
        <v>4216</v>
      </c>
      <c r="B3874" s="25" t="s">
        <v>1075</v>
      </c>
      <c r="C3874" s="6" t="s">
        <v>12307</v>
      </c>
      <c r="D3874" s="13">
        <v>7745.0434880000003</v>
      </c>
      <c r="E3874" s="18">
        <v>21</v>
      </c>
      <c r="F3874" s="2">
        <f t="shared" si="120"/>
        <v>9371.5026204799997</v>
      </c>
      <c r="G3874" s="3">
        <v>0</v>
      </c>
      <c r="H3874" s="4">
        <v>0.7</v>
      </c>
      <c r="I3874" s="28">
        <f t="shared" si="121"/>
        <v>15931.554454816</v>
      </c>
    </row>
    <row r="3875" spans="1:9" ht="15" customHeight="1" x14ac:dyDescent="0.35">
      <c r="A3875" s="26" t="s">
        <v>4234</v>
      </c>
      <c r="B3875" s="25" t="s">
        <v>11041</v>
      </c>
      <c r="C3875" s="6" t="s">
        <v>11430</v>
      </c>
      <c r="D3875" s="13">
        <v>3834.9870000000001</v>
      </c>
      <c r="E3875" s="18">
        <v>21</v>
      </c>
      <c r="F3875" s="2">
        <f t="shared" si="120"/>
        <v>4640.3342700000003</v>
      </c>
      <c r="G3875" s="3">
        <v>0</v>
      </c>
      <c r="H3875" s="4">
        <v>0.7</v>
      </c>
      <c r="I3875" s="28">
        <f t="shared" si="121"/>
        <v>7888.5682590000006</v>
      </c>
    </row>
    <row r="3876" spans="1:9" ht="15" customHeight="1" x14ac:dyDescent="0.35">
      <c r="A3876" s="26" t="s">
        <v>4233</v>
      </c>
      <c r="B3876" s="25" t="s">
        <v>11042</v>
      </c>
      <c r="C3876" s="6" t="s">
        <v>11807</v>
      </c>
      <c r="D3876" s="13">
        <v>2030.86</v>
      </c>
      <c r="E3876" s="18">
        <v>21</v>
      </c>
      <c r="F3876" s="2">
        <f t="shared" si="120"/>
        <v>2457.3406</v>
      </c>
      <c r="G3876" s="3">
        <v>0</v>
      </c>
      <c r="H3876" s="4">
        <v>0.7</v>
      </c>
      <c r="I3876" s="28">
        <f t="shared" si="121"/>
        <v>4177.4790199999998</v>
      </c>
    </row>
    <row r="3877" spans="1:9" ht="15" customHeight="1" x14ac:dyDescent="0.35">
      <c r="A3877" s="26" t="s">
        <v>4235</v>
      </c>
      <c r="B3877" s="25" t="s">
        <v>11043</v>
      </c>
      <c r="C3877" s="6" t="s">
        <v>11431</v>
      </c>
      <c r="D3877" s="13">
        <v>662.06035999999995</v>
      </c>
      <c r="E3877" s="18">
        <v>21</v>
      </c>
      <c r="F3877" s="2">
        <f t="shared" si="120"/>
        <v>801.09303559999989</v>
      </c>
      <c r="G3877" s="3">
        <v>0</v>
      </c>
      <c r="H3877" s="4">
        <v>0.7</v>
      </c>
      <c r="I3877" s="28">
        <f t="shared" si="121"/>
        <v>1361.8581605199997</v>
      </c>
    </row>
    <row r="3878" spans="1:9" ht="15" customHeight="1" x14ac:dyDescent="0.35">
      <c r="A3878" s="26" t="s">
        <v>4238</v>
      </c>
      <c r="B3878" s="25" t="s">
        <v>1076</v>
      </c>
      <c r="C3878" s="6" t="s">
        <v>11808</v>
      </c>
      <c r="D3878" s="13">
        <v>609.25800000000004</v>
      </c>
      <c r="E3878" s="18">
        <v>21</v>
      </c>
      <c r="F3878" s="2">
        <f t="shared" si="120"/>
        <v>737.20218</v>
      </c>
      <c r="G3878" s="3">
        <v>0</v>
      </c>
      <c r="H3878" s="4">
        <v>0.7</v>
      </c>
      <c r="I3878" s="28">
        <f t="shared" si="121"/>
        <v>1253.243706</v>
      </c>
    </row>
    <row r="3879" spans="1:9" ht="15" customHeight="1" x14ac:dyDescent="0.35">
      <c r="A3879" s="26" t="s">
        <v>10968</v>
      </c>
      <c r="B3879" s="25" t="s">
        <v>9154</v>
      </c>
      <c r="C3879" s="6" t="s">
        <v>12226</v>
      </c>
      <c r="D3879" s="13">
        <v>3746.3448750000002</v>
      </c>
      <c r="E3879" s="18">
        <v>21</v>
      </c>
      <c r="F3879" s="2">
        <f t="shared" si="120"/>
        <v>4533.0772987500004</v>
      </c>
      <c r="G3879" s="3">
        <v>0</v>
      </c>
      <c r="H3879" s="4">
        <v>0.7</v>
      </c>
      <c r="I3879" s="28">
        <f t="shared" si="121"/>
        <v>7706.2314078750005</v>
      </c>
    </row>
    <row r="3880" spans="1:9" ht="15" customHeight="1" x14ac:dyDescent="0.35">
      <c r="A3880" s="26" t="s">
        <v>13176</v>
      </c>
      <c r="B3880" s="25" t="s">
        <v>10396</v>
      </c>
      <c r="C3880" s="6" t="s">
        <v>13177</v>
      </c>
      <c r="D3880" s="13">
        <v>1825.4144999999999</v>
      </c>
      <c r="E3880" s="18">
        <v>21</v>
      </c>
      <c r="F3880" s="2">
        <f t="shared" si="120"/>
        <v>2208.7515450000001</v>
      </c>
      <c r="G3880" s="3">
        <v>0</v>
      </c>
      <c r="H3880" s="4">
        <v>0.7</v>
      </c>
      <c r="I3880" s="28">
        <f t="shared" si="121"/>
        <v>3754.8776265000001</v>
      </c>
    </row>
    <row r="3881" spans="1:9" ht="15" customHeight="1" x14ac:dyDescent="0.35">
      <c r="A3881" s="26" t="s">
        <v>12957</v>
      </c>
      <c r="B3881" s="25" t="s">
        <v>11044</v>
      </c>
      <c r="C3881" s="6" t="s">
        <v>12958</v>
      </c>
      <c r="D3881" s="13">
        <v>15339.28032</v>
      </c>
      <c r="E3881" s="18">
        <v>21</v>
      </c>
      <c r="F3881" s="2">
        <f t="shared" si="120"/>
        <v>18560.529187200002</v>
      </c>
      <c r="G3881" s="3">
        <v>0</v>
      </c>
      <c r="H3881" s="4">
        <v>0.7</v>
      </c>
      <c r="I3881" s="28">
        <f t="shared" si="121"/>
        <v>31552.899618240001</v>
      </c>
    </row>
    <row r="3882" spans="1:9" ht="15" customHeight="1" x14ac:dyDescent="0.35">
      <c r="A3882" s="26" t="s">
        <v>10400</v>
      </c>
      <c r="B3882" s="25" t="s">
        <v>13188</v>
      </c>
      <c r="C3882" s="6" t="s">
        <v>10844</v>
      </c>
      <c r="D3882" s="13">
        <v>16527.521205000001</v>
      </c>
      <c r="E3882" s="18">
        <v>21</v>
      </c>
      <c r="F3882" s="2">
        <f t="shared" si="120"/>
        <v>19998.30065805</v>
      </c>
      <c r="G3882" s="3">
        <v>0</v>
      </c>
      <c r="H3882" s="4">
        <v>0.7</v>
      </c>
      <c r="I3882" s="28">
        <f t="shared" si="121"/>
        <v>33997.111118685003</v>
      </c>
    </row>
    <row r="3883" spans="1:9" ht="15" customHeight="1" x14ac:dyDescent="0.35">
      <c r="A3883" s="26" t="s">
        <v>4122</v>
      </c>
      <c r="B3883" s="25" t="s">
        <v>11964</v>
      </c>
      <c r="C3883" s="6" t="s">
        <v>10544</v>
      </c>
      <c r="D3883" s="13">
        <v>15170.035872611101</v>
      </c>
      <c r="E3883" s="18">
        <v>21</v>
      </c>
      <c r="F3883" s="2">
        <f t="shared" si="120"/>
        <v>18355.74340585943</v>
      </c>
      <c r="G3883" s="3">
        <v>0</v>
      </c>
      <c r="H3883" s="4">
        <v>0.7</v>
      </c>
      <c r="I3883" s="28">
        <f t="shared" si="121"/>
        <v>31204.763789961031</v>
      </c>
    </row>
    <row r="3884" spans="1:9" ht="15" customHeight="1" x14ac:dyDescent="0.35">
      <c r="A3884" s="26" t="s">
        <v>3526</v>
      </c>
      <c r="B3884" s="25" t="s">
        <v>11965</v>
      </c>
      <c r="C3884" s="6" t="s">
        <v>10545</v>
      </c>
      <c r="D3884" s="13">
        <v>1770.09633801</v>
      </c>
      <c r="E3884" s="18">
        <v>21</v>
      </c>
      <c r="F3884" s="2">
        <f t="shared" si="120"/>
        <v>2141.8165689920997</v>
      </c>
      <c r="G3884" s="3">
        <v>0</v>
      </c>
      <c r="H3884" s="4">
        <v>0.7</v>
      </c>
      <c r="I3884" s="28">
        <f t="shared" si="121"/>
        <v>3641.0881672865694</v>
      </c>
    </row>
    <row r="3885" spans="1:9" ht="15" customHeight="1" x14ac:dyDescent="0.35">
      <c r="A3885" s="26" t="s">
        <v>3527</v>
      </c>
      <c r="B3885" s="25" t="s">
        <v>609</v>
      </c>
      <c r="C3885" s="6" t="s">
        <v>10546</v>
      </c>
      <c r="D3885" s="13">
        <v>1770.09633801</v>
      </c>
      <c r="E3885" s="18">
        <v>21</v>
      </c>
      <c r="F3885" s="2">
        <f t="shared" si="120"/>
        <v>2141.8165689920997</v>
      </c>
      <c r="G3885" s="3">
        <v>0</v>
      </c>
      <c r="H3885" s="4">
        <v>0.7</v>
      </c>
      <c r="I3885" s="28">
        <f t="shared" si="121"/>
        <v>3641.0881672865694</v>
      </c>
    </row>
    <row r="3886" spans="1:9" ht="15" customHeight="1" x14ac:dyDescent="0.35">
      <c r="A3886" s="26" t="s">
        <v>10399</v>
      </c>
      <c r="B3886" s="25" t="s">
        <v>610</v>
      </c>
      <c r="C3886" s="6" t="s">
        <v>12070</v>
      </c>
      <c r="D3886" s="13">
        <v>19973.188169999998</v>
      </c>
      <c r="E3886" s="18">
        <v>21</v>
      </c>
      <c r="F3886" s="2">
        <f t="shared" si="120"/>
        <v>24167.557685699998</v>
      </c>
      <c r="G3886" s="3">
        <v>0</v>
      </c>
      <c r="H3886" s="4">
        <v>0.7</v>
      </c>
      <c r="I3886" s="28">
        <f t="shared" si="121"/>
        <v>41084.848065689992</v>
      </c>
    </row>
    <row r="3887" spans="1:9" ht="15" customHeight="1" x14ac:dyDescent="0.35">
      <c r="A3887" s="26" t="s">
        <v>11564</v>
      </c>
      <c r="B3887" s="25" t="s">
        <v>611</v>
      </c>
      <c r="C3887" s="6" t="s">
        <v>11565</v>
      </c>
      <c r="D3887" s="13">
        <v>25476.165000000001</v>
      </c>
      <c r="E3887" s="18">
        <v>21</v>
      </c>
      <c r="F3887" s="2">
        <f t="shared" si="120"/>
        <v>30826.159650000001</v>
      </c>
      <c r="G3887" s="3">
        <v>0</v>
      </c>
      <c r="H3887" s="4">
        <v>0.7</v>
      </c>
      <c r="I3887" s="28">
        <f t="shared" si="121"/>
        <v>52404.471405000004</v>
      </c>
    </row>
    <row r="3888" spans="1:9" ht="15" customHeight="1" x14ac:dyDescent="0.35">
      <c r="A3888" s="26" t="s">
        <v>11566</v>
      </c>
      <c r="B3888" s="25" t="s">
        <v>612</v>
      </c>
      <c r="C3888" s="6" t="s">
        <v>11567</v>
      </c>
      <c r="D3888" s="13">
        <v>21397.753000000001</v>
      </c>
      <c r="E3888" s="18">
        <v>21</v>
      </c>
      <c r="F3888" s="2">
        <f t="shared" si="120"/>
        <v>25891.281130000003</v>
      </c>
      <c r="G3888" s="3">
        <v>0</v>
      </c>
      <c r="H3888" s="4">
        <v>0.7</v>
      </c>
      <c r="I3888" s="28">
        <f t="shared" si="121"/>
        <v>44015.177921000002</v>
      </c>
    </row>
    <row r="3889" spans="1:9" ht="15" customHeight="1" x14ac:dyDescent="0.35">
      <c r="A3889" s="26" t="s">
        <v>11568</v>
      </c>
      <c r="B3889" s="25" t="s">
        <v>1189</v>
      </c>
      <c r="C3889" s="6" t="s">
        <v>11569</v>
      </c>
      <c r="D3889" s="13">
        <v>21397.753000000001</v>
      </c>
      <c r="E3889" s="18">
        <v>21</v>
      </c>
      <c r="F3889" s="2">
        <f t="shared" si="120"/>
        <v>25891.281130000003</v>
      </c>
      <c r="G3889" s="3">
        <v>0</v>
      </c>
      <c r="H3889" s="4">
        <v>0.7</v>
      </c>
      <c r="I3889" s="28">
        <f t="shared" si="121"/>
        <v>44015.177921000002</v>
      </c>
    </row>
    <row r="3890" spans="1:9" ht="15" customHeight="1" x14ac:dyDescent="0.35">
      <c r="A3890" s="26" t="s">
        <v>4215</v>
      </c>
      <c r="B3890" s="25" t="s">
        <v>1120</v>
      </c>
      <c r="C3890" s="6" t="s">
        <v>1077</v>
      </c>
      <c r="D3890" s="13">
        <v>3769.9647049999999</v>
      </c>
      <c r="E3890" s="18">
        <v>21</v>
      </c>
      <c r="F3890" s="2">
        <f t="shared" si="120"/>
        <v>4561.6572930499997</v>
      </c>
      <c r="G3890" s="3">
        <v>0</v>
      </c>
      <c r="H3890" s="4">
        <v>0.7</v>
      </c>
      <c r="I3890" s="28">
        <f t="shared" si="121"/>
        <v>7754.8173981849995</v>
      </c>
    </row>
    <row r="3891" spans="1:9" ht="15" customHeight="1" x14ac:dyDescent="0.35">
      <c r="A3891" s="26" t="s">
        <v>4166</v>
      </c>
      <c r="B3891" s="25" t="s">
        <v>9621</v>
      </c>
      <c r="C3891" s="6" t="s">
        <v>13246</v>
      </c>
      <c r="D3891" s="13">
        <v>8097.4394279999997</v>
      </c>
      <c r="E3891" s="18">
        <v>21</v>
      </c>
      <c r="F3891" s="2">
        <f t="shared" si="120"/>
        <v>9797.9017078799989</v>
      </c>
      <c r="G3891" s="3">
        <v>0</v>
      </c>
      <c r="H3891" s="4">
        <v>0.7</v>
      </c>
      <c r="I3891" s="28">
        <f t="shared" si="121"/>
        <v>16656.432903395998</v>
      </c>
    </row>
    <row r="3892" spans="1:9" ht="15" customHeight="1" x14ac:dyDescent="0.35">
      <c r="A3892" s="26" t="s">
        <v>4167</v>
      </c>
      <c r="B3892" s="25" t="s">
        <v>13414</v>
      </c>
      <c r="C3892" s="6" t="s">
        <v>13247</v>
      </c>
      <c r="D3892" s="13">
        <v>8097.4394279999997</v>
      </c>
      <c r="E3892" s="18">
        <v>21</v>
      </c>
      <c r="F3892" s="2">
        <f t="shared" si="120"/>
        <v>9797.9017078799989</v>
      </c>
      <c r="G3892" s="3">
        <v>0</v>
      </c>
      <c r="H3892" s="4">
        <v>0.7</v>
      </c>
      <c r="I3892" s="28">
        <f t="shared" si="121"/>
        <v>16656.432903395998</v>
      </c>
    </row>
    <row r="3893" spans="1:9" ht="15" customHeight="1" x14ac:dyDescent="0.35">
      <c r="A3893" s="26" t="s">
        <v>4169</v>
      </c>
      <c r="B3893" s="25" t="s">
        <v>13416</v>
      </c>
      <c r="C3893" s="6" t="s">
        <v>12959</v>
      </c>
      <c r="D3893" s="13">
        <v>7495.4382750000004</v>
      </c>
      <c r="E3893" s="18">
        <v>21</v>
      </c>
      <c r="F3893" s="2">
        <f t="shared" si="120"/>
        <v>9069.4803127499999</v>
      </c>
      <c r="G3893" s="3">
        <v>0</v>
      </c>
      <c r="H3893" s="4">
        <v>0.7</v>
      </c>
      <c r="I3893" s="28">
        <f t="shared" si="121"/>
        <v>15418.116531674999</v>
      </c>
    </row>
    <row r="3894" spans="1:9" ht="15" customHeight="1" x14ac:dyDescent="0.35">
      <c r="A3894" s="26" t="s">
        <v>4170</v>
      </c>
      <c r="B3894" s="25" t="s">
        <v>11666</v>
      </c>
      <c r="C3894" s="6" t="s">
        <v>12960</v>
      </c>
      <c r="D3894" s="13">
        <v>7495.4382750000004</v>
      </c>
      <c r="E3894" s="18">
        <v>21</v>
      </c>
      <c r="F3894" s="2">
        <f t="shared" si="120"/>
        <v>9069.4803127499999</v>
      </c>
      <c r="G3894" s="3">
        <v>0</v>
      </c>
      <c r="H3894" s="4">
        <v>0.7</v>
      </c>
      <c r="I3894" s="28">
        <f t="shared" si="121"/>
        <v>15418.116531674999</v>
      </c>
    </row>
    <row r="3895" spans="1:9" ht="15" customHeight="1" x14ac:dyDescent="0.35">
      <c r="A3895" s="26" t="s">
        <v>11570</v>
      </c>
      <c r="B3895" s="25" t="s">
        <v>11979</v>
      </c>
      <c r="C3895" s="6" t="s">
        <v>11571</v>
      </c>
      <c r="D3895" s="13">
        <v>6231.68</v>
      </c>
      <c r="E3895" s="18">
        <v>21</v>
      </c>
      <c r="F3895" s="2">
        <f t="shared" si="120"/>
        <v>7540.3328000000001</v>
      </c>
      <c r="G3895" s="3">
        <v>0</v>
      </c>
      <c r="H3895" s="4">
        <v>0.7</v>
      </c>
      <c r="I3895" s="28">
        <f t="shared" si="121"/>
        <v>12818.565759999999</v>
      </c>
    </row>
    <row r="3896" spans="1:9" ht="15" customHeight="1" x14ac:dyDescent="0.35">
      <c r="A3896" s="26" t="s">
        <v>11572</v>
      </c>
      <c r="B3896" s="25" t="s">
        <v>1145</v>
      </c>
      <c r="C3896" s="6" t="s">
        <v>11573</v>
      </c>
      <c r="D3896" s="13">
        <v>6231.68</v>
      </c>
      <c r="E3896" s="18">
        <v>21</v>
      </c>
      <c r="F3896" s="2">
        <f t="shared" si="120"/>
        <v>7540.3328000000001</v>
      </c>
      <c r="G3896" s="3">
        <v>0</v>
      </c>
      <c r="H3896" s="4">
        <v>0.7</v>
      </c>
      <c r="I3896" s="28">
        <f t="shared" si="121"/>
        <v>12818.565759999999</v>
      </c>
    </row>
    <row r="3897" spans="1:9" ht="15" customHeight="1" x14ac:dyDescent="0.35">
      <c r="A3897" s="26" t="s">
        <v>3940</v>
      </c>
      <c r="B3897" s="25" t="s">
        <v>10398</v>
      </c>
      <c r="C3897" s="6" t="s">
        <v>1179</v>
      </c>
      <c r="D3897" s="13">
        <v>1933.33554336</v>
      </c>
      <c r="E3897" s="18">
        <v>21</v>
      </c>
      <c r="F3897" s="2">
        <f t="shared" si="120"/>
        <v>2339.3360074655998</v>
      </c>
      <c r="G3897" s="3">
        <v>0</v>
      </c>
      <c r="H3897" s="4">
        <v>0.7</v>
      </c>
      <c r="I3897" s="28">
        <f t="shared" si="121"/>
        <v>3976.8712126915193</v>
      </c>
    </row>
    <row r="3898" spans="1:9" ht="15" customHeight="1" x14ac:dyDescent="0.35">
      <c r="A3898" s="26" t="s">
        <v>3941</v>
      </c>
      <c r="B3898" s="25" t="s">
        <v>13224</v>
      </c>
      <c r="C3898" s="6" t="s">
        <v>1180</v>
      </c>
      <c r="D3898" s="13">
        <v>936.84717983999997</v>
      </c>
      <c r="E3898" s="18">
        <v>21</v>
      </c>
      <c r="F3898" s="2">
        <f t="shared" si="120"/>
        <v>1133.5850876064001</v>
      </c>
      <c r="G3898" s="3">
        <v>0</v>
      </c>
      <c r="H3898" s="4">
        <v>0.7</v>
      </c>
      <c r="I3898" s="28">
        <f t="shared" si="121"/>
        <v>1927.0946489308801</v>
      </c>
    </row>
    <row r="3899" spans="1:9" ht="15" customHeight="1" x14ac:dyDescent="0.35">
      <c r="A3899" s="26" t="s">
        <v>13270</v>
      </c>
      <c r="B3899" s="25" t="s">
        <v>10708</v>
      </c>
      <c r="C3899" s="6" t="s">
        <v>13271</v>
      </c>
      <c r="D3899" s="13">
        <v>14011.543</v>
      </c>
      <c r="E3899" s="18">
        <v>21</v>
      </c>
      <c r="F3899" s="2">
        <f t="shared" si="120"/>
        <v>16953.96703</v>
      </c>
      <c r="G3899" s="3">
        <v>0</v>
      </c>
      <c r="H3899" s="4">
        <v>0.7</v>
      </c>
      <c r="I3899" s="28">
        <f t="shared" si="121"/>
        <v>28821.743951</v>
      </c>
    </row>
    <row r="3900" spans="1:9" ht="15" customHeight="1" x14ac:dyDescent="0.35">
      <c r="A3900" s="26" t="s">
        <v>3944</v>
      </c>
      <c r="B3900" s="25" t="s">
        <v>10709</v>
      </c>
      <c r="C3900" s="6" t="s">
        <v>13272</v>
      </c>
      <c r="D3900" s="13">
        <v>26228.696</v>
      </c>
      <c r="E3900" s="18">
        <v>21</v>
      </c>
      <c r="F3900" s="2">
        <f t="shared" si="120"/>
        <v>31736.722160000001</v>
      </c>
      <c r="G3900" s="3">
        <v>0</v>
      </c>
      <c r="H3900" s="4">
        <v>0.7</v>
      </c>
      <c r="I3900" s="28">
        <f t="shared" si="121"/>
        <v>53952.427671999998</v>
      </c>
    </row>
    <row r="3901" spans="1:9" ht="15" customHeight="1" x14ac:dyDescent="0.35">
      <c r="A3901" s="26" t="s">
        <v>3943</v>
      </c>
      <c r="B3901" s="25" t="s">
        <v>10710</v>
      </c>
      <c r="C3901" s="6" t="s">
        <v>10713</v>
      </c>
      <c r="D3901" s="13">
        <v>18306.951000000001</v>
      </c>
      <c r="E3901" s="18">
        <v>21</v>
      </c>
      <c r="F3901" s="2">
        <f t="shared" si="120"/>
        <v>22151.41071</v>
      </c>
      <c r="G3901" s="3">
        <v>0</v>
      </c>
      <c r="H3901" s="4">
        <v>0.7</v>
      </c>
      <c r="I3901" s="28">
        <f t="shared" si="121"/>
        <v>37657.398206999998</v>
      </c>
    </row>
    <row r="3902" spans="1:9" ht="15" customHeight="1" x14ac:dyDescent="0.35">
      <c r="A3902" s="26" t="s">
        <v>3528</v>
      </c>
      <c r="B3902" s="25" t="s">
        <v>613</v>
      </c>
      <c r="C3902" s="6" t="s">
        <v>10547</v>
      </c>
      <c r="D3902" s="13">
        <v>16520.84507268</v>
      </c>
      <c r="E3902" s="18">
        <v>21</v>
      </c>
      <c r="F3902" s="2">
        <f t="shared" si="120"/>
        <v>19990.222537942798</v>
      </c>
      <c r="G3902" s="3">
        <v>0</v>
      </c>
      <c r="H3902" s="4">
        <v>0.7</v>
      </c>
      <c r="I3902" s="28">
        <f t="shared" si="121"/>
        <v>33983.378314502756</v>
      </c>
    </row>
    <row r="3903" spans="1:9" ht="15" customHeight="1" x14ac:dyDescent="0.35">
      <c r="A3903" s="26" t="s">
        <v>3529</v>
      </c>
      <c r="B3903" s="25" t="s">
        <v>614</v>
      </c>
      <c r="C3903" s="6" t="s">
        <v>10548</v>
      </c>
      <c r="D3903" s="13">
        <v>10892.299918500001</v>
      </c>
      <c r="E3903" s="18">
        <v>21</v>
      </c>
      <c r="F3903" s="2">
        <f t="shared" si="120"/>
        <v>13179.682901385</v>
      </c>
      <c r="G3903" s="3">
        <v>0</v>
      </c>
      <c r="H3903" s="4">
        <v>0.7</v>
      </c>
      <c r="I3903" s="28">
        <f t="shared" si="121"/>
        <v>22405.460932354501</v>
      </c>
    </row>
    <row r="3904" spans="1:9" ht="15" customHeight="1" x14ac:dyDescent="0.35">
      <c r="A3904" s="26" t="s">
        <v>9033</v>
      </c>
      <c r="B3904" s="25" t="s">
        <v>615</v>
      </c>
      <c r="C3904" s="6" t="s">
        <v>10549</v>
      </c>
      <c r="D3904" s="13">
        <v>25089.467000000001</v>
      </c>
      <c r="E3904" s="18">
        <v>21</v>
      </c>
      <c r="F3904" s="2">
        <f t="shared" si="120"/>
        <v>30358.255069999999</v>
      </c>
      <c r="G3904" s="3">
        <v>0</v>
      </c>
      <c r="H3904" s="4">
        <v>0.7</v>
      </c>
      <c r="I3904" s="28">
        <f t="shared" si="121"/>
        <v>51609.033618999994</v>
      </c>
    </row>
    <row r="3905" spans="1:9" ht="15" customHeight="1" x14ac:dyDescent="0.35">
      <c r="A3905" s="26" t="s">
        <v>4191</v>
      </c>
      <c r="B3905" s="25" t="s">
        <v>616</v>
      </c>
      <c r="C3905" s="6" t="s">
        <v>11809</v>
      </c>
      <c r="D3905" s="13">
        <v>5164.7830000000004</v>
      </c>
      <c r="E3905" s="18">
        <v>21</v>
      </c>
      <c r="F3905" s="2">
        <f t="shared" si="120"/>
        <v>6249.3874300000007</v>
      </c>
      <c r="G3905" s="3">
        <v>0</v>
      </c>
      <c r="H3905" s="4">
        <v>0.7</v>
      </c>
      <c r="I3905" s="28">
        <f t="shared" si="121"/>
        <v>10623.958631000001</v>
      </c>
    </row>
    <row r="3906" spans="1:9" ht="15" customHeight="1" x14ac:dyDescent="0.35">
      <c r="A3906" s="26" t="s">
        <v>4188</v>
      </c>
      <c r="B3906" s="25" t="s">
        <v>12218</v>
      </c>
      <c r="C3906" s="6" t="s">
        <v>11810</v>
      </c>
      <c r="D3906" s="13">
        <v>3026.8159999999998</v>
      </c>
      <c r="E3906" s="18">
        <v>21</v>
      </c>
      <c r="F3906" s="2">
        <f t="shared" si="120"/>
        <v>3662.4473599999997</v>
      </c>
      <c r="G3906" s="3">
        <v>0</v>
      </c>
      <c r="H3906" s="4">
        <v>0.7</v>
      </c>
      <c r="I3906" s="28">
        <f t="shared" si="121"/>
        <v>6226.1605119999995</v>
      </c>
    </row>
    <row r="3907" spans="1:9" ht="15" customHeight="1" x14ac:dyDescent="0.35">
      <c r="A3907" s="26" t="s">
        <v>4189</v>
      </c>
      <c r="B3907" s="25" t="s">
        <v>13074</v>
      </c>
      <c r="C3907" s="6" t="s">
        <v>11811</v>
      </c>
      <c r="D3907" s="13">
        <v>5164.7830000000004</v>
      </c>
      <c r="E3907" s="18">
        <v>21</v>
      </c>
      <c r="F3907" s="2">
        <f t="shared" si="120"/>
        <v>6249.3874300000007</v>
      </c>
      <c r="G3907" s="3">
        <v>0</v>
      </c>
      <c r="H3907" s="4">
        <v>0.7</v>
      </c>
      <c r="I3907" s="28">
        <f t="shared" si="121"/>
        <v>10623.958631000001</v>
      </c>
    </row>
    <row r="3908" spans="1:9" ht="15" customHeight="1" x14ac:dyDescent="0.35">
      <c r="A3908" s="26" t="s">
        <v>4190</v>
      </c>
      <c r="B3908" s="25" t="s">
        <v>13022</v>
      </c>
      <c r="C3908" s="6" t="s">
        <v>11812</v>
      </c>
      <c r="D3908" s="13">
        <v>3026.8159999999998</v>
      </c>
      <c r="E3908" s="18">
        <v>21</v>
      </c>
      <c r="F3908" s="2">
        <f t="shared" si="120"/>
        <v>3662.4473599999997</v>
      </c>
      <c r="G3908" s="3">
        <v>0</v>
      </c>
      <c r="H3908" s="4">
        <v>0.7</v>
      </c>
      <c r="I3908" s="28">
        <f t="shared" si="121"/>
        <v>6226.1605119999995</v>
      </c>
    </row>
    <row r="3909" spans="1:9" ht="15" customHeight="1" x14ac:dyDescent="0.35">
      <c r="A3909" s="26" t="s">
        <v>4163</v>
      </c>
      <c r="B3909" s="25" t="s">
        <v>10711</v>
      </c>
      <c r="C3909" s="6" t="s">
        <v>11813</v>
      </c>
      <c r="D3909" s="13">
        <v>11767.86</v>
      </c>
      <c r="E3909" s="18">
        <v>21</v>
      </c>
      <c r="F3909" s="2">
        <f t="shared" si="120"/>
        <v>14239.1106</v>
      </c>
      <c r="G3909" s="3">
        <v>0</v>
      </c>
      <c r="H3909" s="4">
        <v>0.7</v>
      </c>
      <c r="I3909" s="28">
        <f t="shared" si="121"/>
        <v>24206.488020000001</v>
      </c>
    </row>
    <row r="3910" spans="1:9" ht="15" customHeight="1" x14ac:dyDescent="0.35">
      <c r="A3910" s="26" t="s">
        <v>4164</v>
      </c>
      <c r="B3910" s="25" t="s">
        <v>10712</v>
      </c>
      <c r="C3910" s="6" t="s">
        <v>11814</v>
      </c>
      <c r="D3910" s="13">
        <v>6419.7431999999999</v>
      </c>
      <c r="E3910" s="18">
        <v>21</v>
      </c>
      <c r="F3910" s="2">
        <f t="shared" ref="F3910:F3973" si="122">D3910*E3910/100+D3910</f>
        <v>7767.8892720000003</v>
      </c>
      <c r="G3910" s="3">
        <v>0</v>
      </c>
      <c r="H3910" s="4">
        <v>0.7</v>
      </c>
      <c r="I3910" s="28">
        <f t="shared" ref="I3910:I3973" si="123">IF(G3910=-1,0,F3910*((100-G3910)/100)*(1+H3910))</f>
        <v>13205.411762400001</v>
      </c>
    </row>
    <row r="3911" spans="1:9" ht="15" customHeight="1" x14ac:dyDescent="0.35">
      <c r="A3911" s="26" t="s">
        <v>11815</v>
      </c>
      <c r="B3911" s="25" t="s">
        <v>9066</v>
      </c>
      <c r="C3911" s="6" t="s">
        <v>11816</v>
      </c>
      <c r="D3911" s="13">
        <v>6419.7431999999999</v>
      </c>
      <c r="E3911" s="18">
        <v>21</v>
      </c>
      <c r="F3911" s="2">
        <f t="shared" si="122"/>
        <v>7767.8892720000003</v>
      </c>
      <c r="G3911" s="3">
        <v>0</v>
      </c>
      <c r="H3911" s="4">
        <v>0.7</v>
      </c>
      <c r="I3911" s="28">
        <f t="shared" si="123"/>
        <v>13205.411762400001</v>
      </c>
    </row>
    <row r="3912" spans="1:9" ht="15" customHeight="1" x14ac:dyDescent="0.35">
      <c r="A3912" s="26" t="s">
        <v>11817</v>
      </c>
      <c r="B3912" s="25" t="s">
        <v>10833</v>
      </c>
      <c r="C3912" s="6" t="s">
        <v>11818</v>
      </c>
      <c r="D3912" s="13">
        <v>6419.7431999999999</v>
      </c>
      <c r="E3912" s="18">
        <v>21</v>
      </c>
      <c r="F3912" s="2">
        <f t="shared" si="122"/>
        <v>7767.8892720000003</v>
      </c>
      <c r="G3912" s="3">
        <v>0</v>
      </c>
      <c r="H3912" s="4">
        <v>0.7</v>
      </c>
      <c r="I3912" s="28">
        <f t="shared" si="123"/>
        <v>13205.411762400001</v>
      </c>
    </row>
    <row r="3913" spans="1:9" ht="15" customHeight="1" x14ac:dyDescent="0.35">
      <c r="A3913" s="26" t="s">
        <v>11842</v>
      </c>
      <c r="B3913" s="25" t="s">
        <v>12566</v>
      </c>
      <c r="C3913" s="6" t="s">
        <v>11843</v>
      </c>
      <c r="D3913" s="13">
        <v>4214.1736000000001</v>
      </c>
      <c r="E3913" s="18">
        <v>21</v>
      </c>
      <c r="F3913" s="2">
        <f t="shared" si="122"/>
        <v>5099.1500560000004</v>
      </c>
      <c r="G3913" s="3">
        <v>0</v>
      </c>
      <c r="H3913" s="4">
        <v>0.7</v>
      </c>
      <c r="I3913" s="28">
        <f t="shared" si="123"/>
        <v>8668.5550952000012</v>
      </c>
    </row>
    <row r="3914" spans="1:9" ht="15" customHeight="1" x14ac:dyDescent="0.35">
      <c r="A3914" s="26" t="s">
        <v>9388</v>
      </c>
      <c r="B3914" s="25" t="s">
        <v>12568</v>
      </c>
      <c r="C3914" s="6" t="s">
        <v>9389</v>
      </c>
      <c r="D3914" s="13">
        <v>2790.346</v>
      </c>
      <c r="E3914" s="18">
        <v>21</v>
      </c>
      <c r="F3914" s="2">
        <f t="shared" si="122"/>
        <v>3376.3186599999999</v>
      </c>
      <c r="G3914" s="3">
        <v>0</v>
      </c>
      <c r="H3914" s="4">
        <v>0.7</v>
      </c>
      <c r="I3914" s="28">
        <f t="shared" si="123"/>
        <v>5739.7417219999998</v>
      </c>
    </row>
    <row r="3915" spans="1:9" ht="15" customHeight="1" x14ac:dyDescent="0.35">
      <c r="A3915" s="26" t="s">
        <v>11574</v>
      </c>
      <c r="B3915" s="25" t="s">
        <v>617</v>
      </c>
      <c r="C3915" s="6" t="s">
        <v>11575</v>
      </c>
      <c r="D3915" s="13">
        <v>2790.346</v>
      </c>
      <c r="E3915" s="18">
        <v>21</v>
      </c>
      <c r="F3915" s="2">
        <f t="shared" si="122"/>
        <v>3376.3186599999999</v>
      </c>
      <c r="G3915" s="3">
        <v>0</v>
      </c>
      <c r="H3915" s="4">
        <v>0.7</v>
      </c>
      <c r="I3915" s="28">
        <f t="shared" si="123"/>
        <v>5739.7417219999998</v>
      </c>
    </row>
    <row r="3916" spans="1:9" ht="15" customHeight="1" x14ac:dyDescent="0.35">
      <c r="A3916" s="26" t="s">
        <v>4213</v>
      </c>
      <c r="B3916" s="25" t="s">
        <v>12172</v>
      </c>
      <c r="C3916" s="6" t="s">
        <v>10715</v>
      </c>
      <c r="D3916" s="13">
        <v>2271.1552499999998</v>
      </c>
      <c r="E3916" s="18">
        <v>21</v>
      </c>
      <c r="F3916" s="2">
        <f t="shared" si="122"/>
        <v>2748.0978524999996</v>
      </c>
      <c r="G3916" s="3">
        <v>0</v>
      </c>
      <c r="H3916" s="4">
        <v>0.7</v>
      </c>
      <c r="I3916" s="28">
        <f t="shared" si="123"/>
        <v>4671.7663492499996</v>
      </c>
    </row>
    <row r="3917" spans="1:9" ht="15" customHeight="1" x14ac:dyDescent="0.35">
      <c r="A3917" s="26" t="s">
        <v>4204</v>
      </c>
      <c r="B3917" s="25" t="s">
        <v>12174</v>
      </c>
      <c r="C3917" s="6" t="s">
        <v>11916</v>
      </c>
      <c r="D3917" s="13">
        <v>9966.5149999999994</v>
      </c>
      <c r="E3917" s="18">
        <v>21</v>
      </c>
      <c r="F3917" s="2">
        <f t="shared" si="122"/>
        <v>12059.48315</v>
      </c>
      <c r="G3917" s="3">
        <v>0</v>
      </c>
      <c r="H3917" s="4">
        <v>0.7</v>
      </c>
      <c r="I3917" s="28">
        <f t="shared" si="123"/>
        <v>20501.121354999999</v>
      </c>
    </row>
    <row r="3918" spans="1:9" ht="15" customHeight="1" x14ac:dyDescent="0.35">
      <c r="A3918" s="26" t="s">
        <v>4207</v>
      </c>
      <c r="B3918" s="25" t="s">
        <v>12176</v>
      </c>
      <c r="C3918" s="6" t="s">
        <v>13933</v>
      </c>
      <c r="D3918" s="13">
        <v>1708.7739499999998</v>
      </c>
      <c r="E3918" s="18">
        <v>21</v>
      </c>
      <c r="F3918" s="2">
        <f t="shared" si="122"/>
        <v>2067.6164794999995</v>
      </c>
      <c r="G3918" s="3">
        <v>0</v>
      </c>
      <c r="H3918" s="4">
        <v>0.7</v>
      </c>
      <c r="I3918" s="28">
        <f t="shared" si="123"/>
        <v>3514.9480151499993</v>
      </c>
    </row>
    <row r="3919" spans="1:9" ht="15" customHeight="1" x14ac:dyDescent="0.35">
      <c r="A3919" s="26" t="s">
        <v>4205</v>
      </c>
      <c r="B3919" s="25" t="s">
        <v>13076</v>
      </c>
      <c r="C3919" s="6" t="s">
        <v>11917</v>
      </c>
      <c r="D3919" s="13">
        <v>9966.5149999999994</v>
      </c>
      <c r="E3919" s="18">
        <v>21</v>
      </c>
      <c r="F3919" s="2">
        <f t="shared" si="122"/>
        <v>12059.48315</v>
      </c>
      <c r="G3919" s="3">
        <v>0</v>
      </c>
      <c r="H3919" s="4">
        <v>0.7</v>
      </c>
      <c r="I3919" s="28">
        <f t="shared" si="123"/>
        <v>20501.121354999999</v>
      </c>
    </row>
    <row r="3920" spans="1:9" ht="15" customHeight="1" x14ac:dyDescent="0.35">
      <c r="A3920" s="26" t="s">
        <v>4206</v>
      </c>
      <c r="B3920" s="25" t="s">
        <v>10536</v>
      </c>
      <c r="C3920" s="6" t="s">
        <v>11918</v>
      </c>
      <c r="D3920" s="13">
        <v>17770.025000000001</v>
      </c>
      <c r="E3920" s="18">
        <v>21</v>
      </c>
      <c r="F3920" s="2">
        <f t="shared" si="122"/>
        <v>21501.730250000001</v>
      </c>
      <c r="G3920" s="3">
        <v>0</v>
      </c>
      <c r="H3920" s="4">
        <v>0.7</v>
      </c>
      <c r="I3920" s="28">
        <f t="shared" si="123"/>
        <v>36552.941424999997</v>
      </c>
    </row>
    <row r="3921" spans="1:9" ht="15" customHeight="1" x14ac:dyDescent="0.35">
      <c r="A3921" s="26" t="s">
        <v>4208</v>
      </c>
      <c r="B3921" s="25" t="s">
        <v>13023</v>
      </c>
      <c r="C3921" s="6" t="s">
        <v>11920</v>
      </c>
      <c r="D3921" s="13">
        <v>17770.025000000001</v>
      </c>
      <c r="E3921" s="18">
        <v>21</v>
      </c>
      <c r="F3921" s="2">
        <f t="shared" si="122"/>
        <v>21501.730250000001</v>
      </c>
      <c r="G3921" s="3">
        <v>0</v>
      </c>
      <c r="H3921" s="4">
        <v>0.7</v>
      </c>
      <c r="I3921" s="28">
        <f t="shared" si="123"/>
        <v>36552.941424999997</v>
      </c>
    </row>
    <row r="3922" spans="1:9" ht="15" customHeight="1" x14ac:dyDescent="0.35">
      <c r="A3922" s="26" t="s">
        <v>4209</v>
      </c>
      <c r="B3922" s="25" t="s">
        <v>13024</v>
      </c>
      <c r="C3922" s="6" t="s">
        <v>11921</v>
      </c>
      <c r="D3922" s="13">
        <v>7909.2259999999997</v>
      </c>
      <c r="E3922" s="18">
        <v>21</v>
      </c>
      <c r="F3922" s="2">
        <f t="shared" si="122"/>
        <v>9570.1634599999998</v>
      </c>
      <c r="G3922" s="3">
        <v>0</v>
      </c>
      <c r="H3922" s="4">
        <v>0.7</v>
      </c>
      <c r="I3922" s="28">
        <f t="shared" si="123"/>
        <v>16269.277881999998</v>
      </c>
    </row>
    <row r="3923" spans="1:9" ht="15" customHeight="1" x14ac:dyDescent="0.35">
      <c r="A3923" s="26" t="s">
        <v>4210</v>
      </c>
      <c r="B3923" s="25" t="s">
        <v>10537</v>
      </c>
      <c r="C3923" s="6" t="s">
        <v>11922</v>
      </c>
      <c r="D3923" s="13">
        <v>3797.43</v>
      </c>
      <c r="E3923" s="18">
        <v>21</v>
      </c>
      <c r="F3923" s="2">
        <f t="shared" si="122"/>
        <v>4594.8903</v>
      </c>
      <c r="G3923" s="3">
        <v>0</v>
      </c>
      <c r="H3923" s="4">
        <v>0.7</v>
      </c>
      <c r="I3923" s="28">
        <f t="shared" si="123"/>
        <v>7811.31351</v>
      </c>
    </row>
    <row r="3924" spans="1:9" ht="15" customHeight="1" x14ac:dyDescent="0.35">
      <c r="A3924" s="26" t="s">
        <v>4211</v>
      </c>
      <c r="B3924" s="25" t="s">
        <v>11426</v>
      </c>
      <c r="C3924" s="6" t="s">
        <v>11923</v>
      </c>
      <c r="D3924" s="13">
        <v>3797.43</v>
      </c>
      <c r="E3924" s="18">
        <v>21</v>
      </c>
      <c r="F3924" s="2">
        <f t="shared" si="122"/>
        <v>4594.8903</v>
      </c>
      <c r="G3924" s="3">
        <v>0</v>
      </c>
      <c r="H3924" s="4">
        <v>0.7</v>
      </c>
      <c r="I3924" s="28">
        <f t="shared" si="123"/>
        <v>7811.31351</v>
      </c>
    </row>
    <row r="3925" spans="1:9" ht="15" customHeight="1" x14ac:dyDescent="0.35">
      <c r="A3925" s="26" t="s">
        <v>9387</v>
      </c>
      <c r="B3925" s="25" t="s">
        <v>11427</v>
      </c>
      <c r="C3925" s="6" t="s">
        <v>10716</v>
      </c>
      <c r="D3925" s="13">
        <v>2019.732</v>
      </c>
      <c r="E3925" s="18">
        <v>21</v>
      </c>
      <c r="F3925" s="2">
        <f t="shared" si="122"/>
        <v>2443.87572</v>
      </c>
      <c r="G3925" s="3">
        <v>0</v>
      </c>
      <c r="H3925" s="4">
        <v>0.7</v>
      </c>
      <c r="I3925" s="28">
        <f t="shared" si="123"/>
        <v>4154.5887240000002</v>
      </c>
    </row>
    <row r="3926" spans="1:9" ht="15" customHeight="1" x14ac:dyDescent="0.35">
      <c r="A3926" s="26" t="s">
        <v>11295</v>
      </c>
      <c r="B3926" s="25" t="s">
        <v>10538</v>
      </c>
      <c r="C3926" s="6" t="s">
        <v>11296</v>
      </c>
      <c r="D3926" s="13">
        <v>2019.732</v>
      </c>
      <c r="E3926" s="18">
        <v>21</v>
      </c>
      <c r="F3926" s="2">
        <f t="shared" si="122"/>
        <v>2443.87572</v>
      </c>
      <c r="G3926" s="3">
        <v>0</v>
      </c>
      <c r="H3926" s="4">
        <v>0.7</v>
      </c>
      <c r="I3926" s="28">
        <f t="shared" si="123"/>
        <v>4154.5887240000002</v>
      </c>
    </row>
    <row r="3927" spans="1:9" ht="15" customHeight="1" x14ac:dyDescent="0.35">
      <c r="A3927" s="26" t="s">
        <v>3945</v>
      </c>
      <c r="B3927" s="25" t="s">
        <v>10539</v>
      </c>
      <c r="C3927" s="6" t="s">
        <v>10550</v>
      </c>
      <c r="D3927" s="13">
        <v>728.25944100000004</v>
      </c>
      <c r="E3927" s="18">
        <v>21</v>
      </c>
      <c r="F3927" s="2">
        <f t="shared" si="122"/>
        <v>881.19392361000007</v>
      </c>
      <c r="G3927" s="3">
        <v>0</v>
      </c>
      <c r="H3927" s="4">
        <v>0.7</v>
      </c>
      <c r="I3927" s="28">
        <f t="shared" si="123"/>
        <v>1498.029670137</v>
      </c>
    </row>
    <row r="3928" spans="1:9" ht="15" customHeight="1" x14ac:dyDescent="0.35">
      <c r="A3928" s="26" t="s">
        <v>9333</v>
      </c>
      <c r="B3928" s="25" t="s">
        <v>10540</v>
      </c>
      <c r="C3928" s="6" t="s">
        <v>9334</v>
      </c>
      <c r="D3928" s="13">
        <v>12137.817036799999</v>
      </c>
      <c r="E3928" s="18">
        <v>21</v>
      </c>
      <c r="F3928" s="2">
        <f t="shared" si="122"/>
        <v>14686.758614527998</v>
      </c>
      <c r="G3928" s="3">
        <v>0</v>
      </c>
      <c r="H3928" s="4">
        <v>0.7</v>
      </c>
      <c r="I3928" s="28">
        <f t="shared" si="123"/>
        <v>24967.489644697598</v>
      </c>
    </row>
    <row r="3929" spans="1:9" ht="15" customHeight="1" x14ac:dyDescent="0.35">
      <c r="A3929" s="26" t="s">
        <v>4165</v>
      </c>
      <c r="B3929" s="25" t="s">
        <v>10541</v>
      </c>
      <c r="C3929" s="6" t="s">
        <v>11819</v>
      </c>
      <c r="D3929" s="13">
        <v>23343.205600000001</v>
      </c>
      <c r="E3929" s="18">
        <v>21</v>
      </c>
      <c r="F3929" s="2">
        <f t="shared" si="122"/>
        <v>28245.278775999999</v>
      </c>
      <c r="G3929" s="3">
        <v>0</v>
      </c>
      <c r="H3929" s="4">
        <v>0.7</v>
      </c>
      <c r="I3929" s="28">
        <f t="shared" si="123"/>
        <v>48016.973919199998</v>
      </c>
    </row>
    <row r="3930" spans="1:9" ht="15" customHeight="1" x14ac:dyDescent="0.35">
      <c r="A3930" s="26" t="s">
        <v>4219</v>
      </c>
      <c r="B3930" s="25" t="s">
        <v>13244</v>
      </c>
      <c r="C3930" s="6" t="s">
        <v>11820</v>
      </c>
      <c r="D3930" s="13">
        <v>15891.8968</v>
      </c>
      <c r="E3930" s="18">
        <v>21</v>
      </c>
      <c r="F3930" s="2">
        <f t="shared" si="122"/>
        <v>19229.195127999999</v>
      </c>
      <c r="G3930" s="3">
        <v>0</v>
      </c>
      <c r="H3930" s="4">
        <v>0.7</v>
      </c>
      <c r="I3930" s="28">
        <f t="shared" si="123"/>
        <v>32689.631717599998</v>
      </c>
    </row>
    <row r="3931" spans="1:9" ht="15" customHeight="1" x14ac:dyDescent="0.35">
      <c r="A3931" s="26" t="s">
        <v>4221</v>
      </c>
      <c r="B3931" s="25" t="s">
        <v>13245</v>
      </c>
      <c r="C3931" s="6" t="s">
        <v>11821</v>
      </c>
      <c r="D3931" s="13">
        <v>10128.705599999999</v>
      </c>
      <c r="E3931" s="18">
        <v>21</v>
      </c>
      <c r="F3931" s="2">
        <f t="shared" si="122"/>
        <v>12255.733775999999</v>
      </c>
      <c r="G3931" s="3">
        <v>0</v>
      </c>
      <c r="H3931" s="4">
        <v>0.7</v>
      </c>
      <c r="I3931" s="28">
        <f t="shared" si="123"/>
        <v>20834.747419199997</v>
      </c>
    </row>
    <row r="3932" spans="1:9" ht="15" customHeight="1" x14ac:dyDescent="0.35">
      <c r="A3932" s="26" t="s">
        <v>4168</v>
      </c>
      <c r="B3932" s="25" t="s">
        <v>12826</v>
      </c>
      <c r="C3932" s="6" t="s">
        <v>11822</v>
      </c>
      <c r="D3932" s="13">
        <v>19852.351999999999</v>
      </c>
      <c r="E3932" s="18">
        <v>21</v>
      </c>
      <c r="F3932" s="2">
        <f t="shared" si="122"/>
        <v>24021.34592</v>
      </c>
      <c r="G3932" s="3">
        <v>0</v>
      </c>
      <c r="H3932" s="4">
        <v>0.7</v>
      </c>
      <c r="I3932" s="28">
        <f t="shared" si="123"/>
        <v>40836.288064</v>
      </c>
    </row>
    <row r="3933" spans="1:9" ht="15" customHeight="1" x14ac:dyDescent="0.35">
      <c r="A3933" s="26" t="s">
        <v>4223</v>
      </c>
      <c r="B3933" s="25" t="s">
        <v>12827</v>
      </c>
      <c r="C3933" s="6" t="s">
        <v>11823</v>
      </c>
      <c r="D3933" s="13">
        <v>13960.075999999999</v>
      </c>
      <c r="E3933" s="18">
        <v>21</v>
      </c>
      <c r="F3933" s="2">
        <f t="shared" si="122"/>
        <v>16891.69196</v>
      </c>
      <c r="G3933" s="3">
        <v>0</v>
      </c>
      <c r="H3933" s="4">
        <v>0.7</v>
      </c>
      <c r="I3933" s="28">
        <f t="shared" si="123"/>
        <v>28715.876332</v>
      </c>
    </row>
    <row r="3934" spans="1:9" ht="15" customHeight="1" x14ac:dyDescent="0.35">
      <c r="A3934" s="26" t="s">
        <v>9948</v>
      </c>
      <c r="B3934" s="25" t="s">
        <v>9602</v>
      </c>
      <c r="C3934" s="6" t="s">
        <v>9949</v>
      </c>
      <c r="D3934" s="13">
        <v>5616.3015999999998</v>
      </c>
      <c r="E3934" s="18">
        <v>21</v>
      </c>
      <c r="F3934" s="2">
        <f t="shared" si="122"/>
        <v>6795.7249359999996</v>
      </c>
      <c r="G3934" s="3">
        <v>0</v>
      </c>
      <c r="H3934" s="4">
        <v>0.7</v>
      </c>
      <c r="I3934" s="28">
        <f t="shared" si="123"/>
        <v>11552.732391199999</v>
      </c>
    </row>
    <row r="3935" spans="1:9" ht="15" customHeight="1" x14ac:dyDescent="0.35">
      <c r="A3935" s="26" t="s">
        <v>3054</v>
      </c>
      <c r="B3935" s="25" t="s">
        <v>9603</v>
      </c>
      <c r="C3935" s="6" t="s">
        <v>12227</v>
      </c>
      <c r="D3935" s="13">
        <v>14180.141658800001</v>
      </c>
      <c r="E3935" s="18">
        <v>21</v>
      </c>
      <c r="F3935" s="2">
        <f t="shared" si="122"/>
        <v>17157.971407148001</v>
      </c>
      <c r="G3935" s="3">
        <v>0</v>
      </c>
      <c r="H3935" s="4">
        <v>0.7</v>
      </c>
      <c r="I3935" s="28">
        <f t="shared" si="123"/>
        <v>29168.551392151599</v>
      </c>
    </row>
    <row r="3936" spans="1:9" ht="15" customHeight="1" x14ac:dyDescent="0.35">
      <c r="A3936" s="26" t="s">
        <v>4768</v>
      </c>
      <c r="B3936" s="25" t="s">
        <v>9604</v>
      </c>
      <c r="C3936" s="6" t="s">
        <v>9093</v>
      </c>
      <c r="D3936" s="13">
        <v>319.005218688002</v>
      </c>
      <c r="E3936" s="18">
        <v>21</v>
      </c>
      <c r="F3936" s="2">
        <f t="shared" si="122"/>
        <v>385.99631461248242</v>
      </c>
      <c r="G3936" s="3">
        <v>0</v>
      </c>
      <c r="H3936" s="4">
        <v>0.7</v>
      </c>
      <c r="I3936" s="28">
        <f t="shared" si="123"/>
        <v>656.19373484122013</v>
      </c>
    </row>
    <row r="3937" spans="1:9" ht="15" customHeight="1" x14ac:dyDescent="0.35">
      <c r="A3937" s="26" t="s">
        <v>4769</v>
      </c>
      <c r="B3937" s="25" t="s">
        <v>12219</v>
      </c>
      <c r="C3937" s="6" t="s">
        <v>1121</v>
      </c>
      <c r="D3937" s="13">
        <v>319.005218688002</v>
      </c>
      <c r="E3937" s="18">
        <v>21</v>
      </c>
      <c r="F3937" s="2">
        <f t="shared" si="122"/>
        <v>385.99631461248242</v>
      </c>
      <c r="G3937" s="3">
        <v>0</v>
      </c>
      <c r="H3937" s="4">
        <v>0.7</v>
      </c>
      <c r="I3937" s="28">
        <f t="shared" si="123"/>
        <v>656.19373484122013</v>
      </c>
    </row>
    <row r="3938" spans="1:9" ht="15" customHeight="1" x14ac:dyDescent="0.35">
      <c r="A3938" s="26" t="s">
        <v>4770</v>
      </c>
      <c r="B3938" s="25" t="s">
        <v>12220</v>
      </c>
      <c r="C3938" s="6" t="s">
        <v>620</v>
      </c>
      <c r="D3938" s="13">
        <v>2065.8157416714898</v>
      </c>
      <c r="E3938" s="18">
        <v>21</v>
      </c>
      <c r="F3938" s="2">
        <f t="shared" si="122"/>
        <v>2499.6370474225027</v>
      </c>
      <c r="G3938" s="3">
        <v>0</v>
      </c>
      <c r="H3938" s="4">
        <v>0.7</v>
      </c>
      <c r="I3938" s="28">
        <f t="shared" si="123"/>
        <v>4249.3829806182548</v>
      </c>
    </row>
    <row r="3939" spans="1:9" ht="15" customHeight="1" x14ac:dyDescent="0.35">
      <c r="A3939" s="26" t="s">
        <v>4771</v>
      </c>
      <c r="B3939" s="25" t="s">
        <v>12221</v>
      </c>
      <c r="C3939" s="6" t="s">
        <v>621</v>
      </c>
      <c r="D3939" s="13">
        <v>2065.8157416714898</v>
      </c>
      <c r="E3939" s="18">
        <v>21</v>
      </c>
      <c r="F3939" s="2">
        <f t="shared" si="122"/>
        <v>2499.6370474225027</v>
      </c>
      <c r="G3939" s="3">
        <v>0</v>
      </c>
      <c r="H3939" s="4">
        <v>0.7</v>
      </c>
      <c r="I3939" s="28">
        <f t="shared" si="123"/>
        <v>4249.3829806182548</v>
      </c>
    </row>
    <row r="3940" spans="1:9" ht="15" customHeight="1" x14ac:dyDescent="0.35">
      <c r="A3940" s="26" t="s">
        <v>4772</v>
      </c>
      <c r="B3940" s="25" t="s">
        <v>12756</v>
      </c>
      <c r="C3940" s="6" t="s">
        <v>622</v>
      </c>
      <c r="D3940" s="13">
        <v>2065.8157416714898</v>
      </c>
      <c r="E3940" s="18">
        <v>21</v>
      </c>
      <c r="F3940" s="2">
        <f t="shared" si="122"/>
        <v>2499.6370474225027</v>
      </c>
      <c r="G3940" s="3">
        <v>0</v>
      </c>
      <c r="H3940" s="4">
        <v>0.7</v>
      </c>
      <c r="I3940" s="28">
        <f t="shared" si="123"/>
        <v>4249.3829806182548</v>
      </c>
    </row>
    <row r="3941" spans="1:9" ht="15" customHeight="1" x14ac:dyDescent="0.35">
      <c r="A3941" s="26" t="s">
        <v>4773</v>
      </c>
      <c r="B3941" s="25" t="s">
        <v>12758</v>
      </c>
      <c r="C3941" s="6" t="s">
        <v>623</v>
      </c>
      <c r="D3941" s="13">
        <v>2065.8157416714898</v>
      </c>
      <c r="E3941" s="18">
        <v>21</v>
      </c>
      <c r="F3941" s="2">
        <f t="shared" si="122"/>
        <v>2499.6370474225027</v>
      </c>
      <c r="G3941" s="3">
        <v>0</v>
      </c>
      <c r="H3941" s="4">
        <v>0.7</v>
      </c>
      <c r="I3941" s="28">
        <f t="shared" si="123"/>
        <v>4249.3829806182548</v>
      </c>
    </row>
    <row r="3942" spans="1:9" ht="15" customHeight="1" x14ac:dyDescent="0.35">
      <c r="A3942" s="26" t="s">
        <v>4774</v>
      </c>
      <c r="B3942" s="25" t="s">
        <v>12222</v>
      </c>
      <c r="C3942" s="6" t="s">
        <v>624</v>
      </c>
      <c r="D3942" s="13">
        <v>338.788488064001</v>
      </c>
      <c r="E3942" s="18">
        <v>21</v>
      </c>
      <c r="F3942" s="2">
        <f t="shared" si="122"/>
        <v>409.9340705574412</v>
      </c>
      <c r="G3942" s="3">
        <v>0</v>
      </c>
      <c r="H3942" s="4">
        <v>0.7</v>
      </c>
      <c r="I3942" s="28">
        <f t="shared" si="123"/>
        <v>696.88791994765006</v>
      </c>
    </row>
    <row r="3943" spans="1:9" ht="15" customHeight="1" x14ac:dyDescent="0.35">
      <c r="A3943" s="26" t="s">
        <v>4775</v>
      </c>
      <c r="B3943" s="25" t="s">
        <v>12223</v>
      </c>
      <c r="C3943" s="6" t="s">
        <v>625</v>
      </c>
      <c r="D3943" s="13">
        <v>2065.8157416714998</v>
      </c>
      <c r="E3943" s="18">
        <v>21</v>
      </c>
      <c r="F3943" s="2">
        <f t="shared" si="122"/>
        <v>2499.637047422515</v>
      </c>
      <c r="G3943" s="3">
        <v>0</v>
      </c>
      <c r="H3943" s="4">
        <v>0.7</v>
      </c>
      <c r="I3943" s="28">
        <f t="shared" si="123"/>
        <v>4249.3829806182757</v>
      </c>
    </row>
    <row r="3944" spans="1:9" ht="15" customHeight="1" x14ac:dyDescent="0.35">
      <c r="A3944" s="26" t="s">
        <v>4776</v>
      </c>
      <c r="B3944" s="25" t="s">
        <v>11799</v>
      </c>
      <c r="C3944" s="6" t="s">
        <v>626</v>
      </c>
      <c r="D3944" s="13">
        <v>2065.8157416714898</v>
      </c>
      <c r="E3944" s="18">
        <v>21</v>
      </c>
      <c r="F3944" s="2">
        <f t="shared" si="122"/>
        <v>2499.6370474225027</v>
      </c>
      <c r="G3944" s="3">
        <v>0</v>
      </c>
      <c r="H3944" s="4">
        <v>0.7</v>
      </c>
      <c r="I3944" s="28">
        <f t="shared" si="123"/>
        <v>4249.3829806182548</v>
      </c>
    </row>
    <row r="3945" spans="1:9" ht="15" customHeight="1" x14ac:dyDescent="0.35">
      <c r="A3945" s="26" t="s">
        <v>10753</v>
      </c>
      <c r="B3945" s="25" t="s">
        <v>10542</v>
      </c>
      <c r="C3945" s="6" t="s">
        <v>10754</v>
      </c>
      <c r="D3945" s="13">
        <v>2065.8157416714898</v>
      </c>
      <c r="E3945" s="18">
        <v>21</v>
      </c>
      <c r="F3945" s="2">
        <f t="shared" si="122"/>
        <v>2499.6370474225027</v>
      </c>
      <c r="G3945" s="3">
        <v>0</v>
      </c>
      <c r="H3945" s="4">
        <v>0.7</v>
      </c>
      <c r="I3945" s="28">
        <f t="shared" si="123"/>
        <v>4249.3829806182548</v>
      </c>
    </row>
    <row r="3946" spans="1:9" ht="15" customHeight="1" x14ac:dyDescent="0.35">
      <c r="A3946" s="26" t="s">
        <v>4777</v>
      </c>
      <c r="B3946" s="25" t="s">
        <v>9601</v>
      </c>
      <c r="C3946" s="6" t="s">
        <v>627</v>
      </c>
      <c r="D3946" s="13">
        <v>2065.8157416714998</v>
      </c>
      <c r="E3946" s="18">
        <v>21</v>
      </c>
      <c r="F3946" s="2">
        <f t="shared" si="122"/>
        <v>2499.637047422515</v>
      </c>
      <c r="G3946" s="3">
        <v>0</v>
      </c>
      <c r="H3946" s="4">
        <v>0.7</v>
      </c>
      <c r="I3946" s="28">
        <f t="shared" si="123"/>
        <v>4249.3829806182757</v>
      </c>
    </row>
    <row r="3947" spans="1:9" ht="15" customHeight="1" x14ac:dyDescent="0.35">
      <c r="A3947" s="26" t="s">
        <v>4778</v>
      </c>
      <c r="B3947" s="25" t="s">
        <v>10543</v>
      </c>
      <c r="C3947" s="6" t="s">
        <v>628</v>
      </c>
      <c r="D3947" s="13">
        <v>2065.8157416714898</v>
      </c>
      <c r="E3947" s="18">
        <v>21</v>
      </c>
      <c r="F3947" s="2">
        <f t="shared" si="122"/>
        <v>2499.6370474225027</v>
      </c>
      <c r="G3947" s="3">
        <v>0</v>
      </c>
      <c r="H3947" s="4">
        <v>0.7</v>
      </c>
      <c r="I3947" s="28">
        <f t="shared" si="123"/>
        <v>4249.3829806182548</v>
      </c>
    </row>
    <row r="3948" spans="1:9" ht="15" customHeight="1" x14ac:dyDescent="0.35">
      <c r="A3948" s="26" t="s">
        <v>4779</v>
      </c>
      <c r="B3948" s="25" t="s">
        <v>12224</v>
      </c>
      <c r="C3948" s="6" t="s">
        <v>629</v>
      </c>
      <c r="D3948" s="13">
        <v>2065.8157416714898</v>
      </c>
      <c r="E3948" s="18">
        <v>21</v>
      </c>
      <c r="F3948" s="2">
        <f t="shared" si="122"/>
        <v>2499.6370474225027</v>
      </c>
      <c r="G3948" s="3">
        <v>0</v>
      </c>
      <c r="H3948" s="4">
        <v>0.7</v>
      </c>
      <c r="I3948" s="28">
        <f t="shared" si="123"/>
        <v>4249.3829806182548</v>
      </c>
    </row>
    <row r="3949" spans="1:9" ht="15" customHeight="1" x14ac:dyDescent="0.35">
      <c r="A3949" s="26" t="s">
        <v>4780</v>
      </c>
      <c r="B3949" s="25" t="s">
        <v>9385</v>
      </c>
      <c r="C3949" s="6" t="s">
        <v>630</v>
      </c>
      <c r="D3949" s="13">
        <v>2065.8157416714898</v>
      </c>
      <c r="E3949" s="18">
        <v>21</v>
      </c>
      <c r="F3949" s="2">
        <f t="shared" si="122"/>
        <v>2499.6370474225027</v>
      </c>
      <c r="G3949" s="3">
        <v>0</v>
      </c>
      <c r="H3949" s="4">
        <v>0.7</v>
      </c>
      <c r="I3949" s="28">
        <f t="shared" si="123"/>
        <v>4249.3829806182548</v>
      </c>
    </row>
    <row r="3950" spans="1:9" ht="15" customHeight="1" x14ac:dyDescent="0.35">
      <c r="A3950" s="26" t="s">
        <v>4781</v>
      </c>
      <c r="B3950" s="25" t="s">
        <v>11880</v>
      </c>
      <c r="C3950" s="6" t="s">
        <v>631</v>
      </c>
      <c r="D3950" s="13">
        <v>328.89685337599798</v>
      </c>
      <c r="E3950" s="18">
        <v>21</v>
      </c>
      <c r="F3950" s="2">
        <f t="shared" si="122"/>
        <v>397.96519258495755</v>
      </c>
      <c r="G3950" s="3">
        <v>0</v>
      </c>
      <c r="H3950" s="4">
        <v>0.7</v>
      </c>
      <c r="I3950" s="28">
        <f t="shared" si="123"/>
        <v>676.54082739442777</v>
      </c>
    </row>
    <row r="3951" spans="1:9" ht="15" customHeight="1" x14ac:dyDescent="0.35">
      <c r="A3951" s="26" t="s">
        <v>10778</v>
      </c>
      <c r="B3951" s="25" t="s">
        <v>11906</v>
      </c>
      <c r="C3951" s="6" t="s">
        <v>10779</v>
      </c>
      <c r="D3951" s="13">
        <v>2065.8157416714998</v>
      </c>
      <c r="E3951" s="18">
        <v>21</v>
      </c>
      <c r="F3951" s="2">
        <f t="shared" si="122"/>
        <v>2499.637047422515</v>
      </c>
      <c r="G3951" s="3">
        <v>0</v>
      </c>
      <c r="H3951" s="4">
        <v>0.7</v>
      </c>
      <c r="I3951" s="28">
        <f t="shared" si="123"/>
        <v>4249.3829806182757</v>
      </c>
    </row>
    <row r="3952" spans="1:9" ht="15" customHeight="1" x14ac:dyDescent="0.35">
      <c r="A3952" s="26" t="s">
        <v>5032</v>
      </c>
      <c r="B3952" s="25" t="s">
        <v>11907</v>
      </c>
      <c r="C3952" s="6" t="s">
        <v>9099</v>
      </c>
      <c r="D3952" s="13">
        <v>1857.42738671812</v>
      </c>
      <c r="E3952" s="18">
        <v>21</v>
      </c>
      <c r="F3952" s="2">
        <f t="shared" si="122"/>
        <v>2247.4871379289252</v>
      </c>
      <c r="G3952" s="3">
        <v>0</v>
      </c>
      <c r="H3952" s="4">
        <v>0.7</v>
      </c>
      <c r="I3952" s="28">
        <f t="shared" si="123"/>
        <v>3820.7281344791727</v>
      </c>
    </row>
    <row r="3953" spans="1:9" ht="15" customHeight="1" x14ac:dyDescent="0.35">
      <c r="A3953" s="26" t="s">
        <v>5033</v>
      </c>
      <c r="B3953" s="25" t="s">
        <v>11908</v>
      </c>
      <c r="C3953" s="6" t="s">
        <v>9100</v>
      </c>
      <c r="D3953" s="13">
        <v>1857.42738671812</v>
      </c>
      <c r="E3953" s="18">
        <v>21</v>
      </c>
      <c r="F3953" s="2">
        <f t="shared" si="122"/>
        <v>2247.4871379289252</v>
      </c>
      <c r="G3953" s="3">
        <v>0</v>
      </c>
      <c r="H3953" s="4">
        <v>0.7</v>
      </c>
      <c r="I3953" s="28">
        <f t="shared" si="123"/>
        <v>3820.7281344791727</v>
      </c>
    </row>
    <row r="3954" spans="1:9" ht="15" customHeight="1" x14ac:dyDescent="0.35">
      <c r="A3954" s="26" t="s">
        <v>5034</v>
      </c>
      <c r="B3954" s="25" t="s">
        <v>11909</v>
      </c>
      <c r="C3954" s="6" t="s">
        <v>9101</v>
      </c>
      <c r="D3954" s="13">
        <v>1857.42738671812</v>
      </c>
      <c r="E3954" s="18">
        <v>21</v>
      </c>
      <c r="F3954" s="2">
        <f t="shared" si="122"/>
        <v>2247.4871379289252</v>
      </c>
      <c r="G3954" s="3">
        <v>0</v>
      </c>
      <c r="H3954" s="4">
        <v>0.7</v>
      </c>
      <c r="I3954" s="28">
        <f t="shared" si="123"/>
        <v>3820.7281344791727</v>
      </c>
    </row>
    <row r="3955" spans="1:9" ht="15" customHeight="1" x14ac:dyDescent="0.35">
      <c r="A3955" s="26" t="s">
        <v>5030</v>
      </c>
      <c r="B3955" s="25" t="s">
        <v>12225</v>
      </c>
      <c r="C3955" s="6" t="s">
        <v>9097</v>
      </c>
      <c r="D3955" s="13">
        <v>1917.9948185143201</v>
      </c>
      <c r="E3955" s="18">
        <v>21</v>
      </c>
      <c r="F3955" s="2">
        <f t="shared" si="122"/>
        <v>2320.7737304023271</v>
      </c>
      <c r="G3955" s="3">
        <v>0</v>
      </c>
      <c r="H3955" s="4">
        <v>0.7</v>
      </c>
      <c r="I3955" s="28">
        <f t="shared" si="123"/>
        <v>3945.3153416839559</v>
      </c>
    </row>
    <row r="3956" spans="1:9" ht="15" customHeight="1" x14ac:dyDescent="0.35">
      <c r="A3956" s="26" t="s">
        <v>5031</v>
      </c>
      <c r="B3956" s="25" t="s">
        <v>11910</v>
      </c>
      <c r="C3956" s="6" t="s">
        <v>9098</v>
      </c>
      <c r="D3956" s="13">
        <v>1917.9948185143201</v>
      </c>
      <c r="E3956" s="18">
        <v>21</v>
      </c>
      <c r="F3956" s="2">
        <f t="shared" si="122"/>
        <v>2320.7737304023271</v>
      </c>
      <c r="G3956" s="3">
        <v>0</v>
      </c>
      <c r="H3956" s="4">
        <v>0.7</v>
      </c>
      <c r="I3956" s="28">
        <f t="shared" si="123"/>
        <v>3945.3153416839559</v>
      </c>
    </row>
    <row r="3957" spans="1:9" ht="15" customHeight="1" x14ac:dyDescent="0.35">
      <c r="A3957" s="26" t="s">
        <v>8948</v>
      </c>
      <c r="B3957" s="25" t="s">
        <v>11911</v>
      </c>
      <c r="C3957" s="6" t="s">
        <v>8949</v>
      </c>
      <c r="D3957" s="13">
        <v>2653.7173896999998</v>
      </c>
      <c r="E3957" s="18">
        <v>21</v>
      </c>
      <c r="F3957" s="2">
        <f t="shared" si="122"/>
        <v>3210.9980415369996</v>
      </c>
      <c r="G3957" s="3">
        <v>0</v>
      </c>
      <c r="H3957" s="4">
        <v>0.7</v>
      </c>
      <c r="I3957" s="28">
        <f t="shared" si="123"/>
        <v>5458.6966706128987</v>
      </c>
    </row>
    <row r="3958" spans="1:9" ht="15" customHeight="1" x14ac:dyDescent="0.35">
      <c r="A3958" s="26" t="s">
        <v>8950</v>
      </c>
      <c r="B3958" s="25" t="s">
        <v>11912</v>
      </c>
      <c r="C3958" s="6" t="s">
        <v>8951</v>
      </c>
      <c r="D3958" s="13">
        <v>2653.7173896999998</v>
      </c>
      <c r="E3958" s="18">
        <v>21</v>
      </c>
      <c r="F3958" s="2">
        <f t="shared" si="122"/>
        <v>3210.9980415369996</v>
      </c>
      <c r="G3958" s="3">
        <v>0</v>
      </c>
      <c r="H3958" s="4">
        <v>0.7</v>
      </c>
      <c r="I3958" s="28">
        <f t="shared" si="123"/>
        <v>5458.6966706128987</v>
      </c>
    </row>
    <row r="3959" spans="1:9" ht="15" customHeight="1" x14ac:dyDescent="0.35">
      <c r="A3959" s="26" t="s">
        <v>2429</v>
      </c>
      <c r="B3959" s="25" t="s">
        <v>11913</v>
      </c>
      <c r="C3959" s="6" t="s">
        <v>632</v>
      </c>
      <c r="D3959" s="13">
        <v>8519.2692195</v>
      </c>
      <c r="E3959" s="18">
        <v>21</v>
      </c>
      <c r="F3959" s="2">
        <f t="shared" si="122"/>
        <v>10308.315755595</v>
      </c>
      <c r="G3959" s="3">
        <v>0</v>
      </c>
      <c r="H3959" s="4">
        <v>0.7</v>
      </c>
      <c r="I3959" s="28">
        <f t="shared" si="123"/>
        <v>17524.136784511498</v>
      </c>
    </row>
    <row r="3960" spans="1:9" ht="15" customHeight="1" x14ac:dyDescent="0.35">
      <c r="A3960" s="26" t="s">
        <v>2430</v>
      </c>
      <c r="B3960" s="25" t="s">
        <v>11914</v>
      </c>
      <c r="C3960" s="6" t="s">
        <v>633</v>
      </c>
      <c r="D3960" s="13">
        <v>11417.209069500001</v>
      </c>
      <c r="E3960" s="18">
        <v>21</v>
      </c>
      <c r="F3960" s="2">
        <f t="shared" si="122"/>
        <v>13814.822974095001</v>
      </c>
      <c r="G3960" s="3">
        <v>0</v>
      </c>
      <c r="H3960" s="4">
        <v>0.7</v>
      </c>
      <c r="I3960" s="28">
        <f t="shared" si="123"/>
        <v>23485.199055961501</v>
      </c>
    </row>
    <row r="3961" spans="1:9" ht="15" customHeight="1" x14ac:dyDescent="0.35">
      <c r="A3961" s="26" t="s">
        <v>2431</v>
      </c>
      <c r="B3961" s="25" t="s">
        <v>11915</v>
      </c>
      <c r="C3961" s="6" t="s">
        <v>634</v>
      </c>
      <c r="D3961" s="13">
        <v>14466.785307</v>
      </c>
      <c r="E3961" s="18">
        <v>21</v>
      </c>
      <c r="F3961" s="2">
        <f t="shared" si="122"/>
        <v>17504.810221470001</v>
      </c>
      <c r="G3961" s="3">
        <v>0</v>
      </c>
      <c r="H3961" s="4">
        <v>0.7</v>
      </c>
      <c r="I3961" s="28">
        <f t="shared" si="123"/>
        <v>29758.177376498999</v>
      </c>
    </row>
    <row r="3962" spans="1:9" ht="15" customHeight="1" x14ac:dyDescent="0.35">
      <c r="A3962" s="26" t="s">
        <v>2432</v>
      </c>
      <c r="B3962" s="25" t="s">
        <v>11428</v>
      </c>
      <c r="C3962" s="6" t="s">
        <v>635</v>
      </c>
      <c r="D3962" s="13">
        <v>19968.1534455</v>
      </c>
      <c r="E3962" s="18">
        <v>21</v>
      </c>
      <c r="F3962" s="2">
        <f t="shared" si="122"/>
        <v>24161.465669055</v>
      </c>
      <c r="G3962" s="3">
        <v>0</v>
      </c>
      <c r="H3962" s="4">
        <v>0.7</v>
      </c>
      <c r="I3962" s="28">
        <f t="shared" si="123"/>
        <v>41074.491637393498</v>
      </c>
    </row>
    <row r="3963" spans="1:9" ht="15" customHeight="1" x14ac:dyDescent="0.35">
      <c r="A3963" s="26" t="s">
        <v>2433</v>
      </c>
      <c r="B3963" s="25" t="s">
        <v>618</v>
      </c>
      <c r="C3963" s="6" t="s">
        <v>636</v>
      </c>
      <c r="D3963" s="13">
        <v>6299.3125065000004</v>
      </c>
      <c r="E3963" s="18">
        <v>21</v>
      </c>
      <c r="F3963" s="2">
        <f t="shared" si="122"/>
        <v>7622.1681328650011</v>
      </c>
      <c r="G3963" s="3">
        <v>0</v>
      </c>
      <c r="H3963" s="4">
        <v>0.7</v>
      </c>
      <c r="I3963" s="28">
        <f t="shared" si="123"/>
        <v>12957.685825870502</v>
      </c>
    </row>
    <row r="3964" spans="1:9" ht="15" customHeight="1" x14ac:dyDescent="0.35">
      <c r="A3964" s="26" t="s">
        <v>5035</v>
      </c>
      <c r="B3964" s="25" t="s">
        <v>619</v>
      </c>
      <c r="C3964" s="6" t="s">
        <v>9102</v>
      </c>
      <c r="D3964" s="13">
        <v>980.79185419600196</v>
      </c>
      <c r="E3964" s="18">
        <v>21</v>
      </c>
      <c r="F3964" s="2">
        <f t="shared" si="122"/>
        <v>1186.7581435771624</v>
      </c>
      <c r="G3964" s="3">
        <v>0</v>
      </c>
      <c r="H3964" s="4">
        <v>0.7</v>
      </c>
      <c r="I3964" s="28">
        <f t="shared" si="123"/>
        <v>2017.488844081176</v>
      </c>
    </row>
    <row r="3965" spans="1:9" ht="15" customHeight="1" x14ac:dyDescent="0.35">
      <c r="A3965" s="26" t="s">
        <v>4709</v>
      </c>
      <c r="B3965" s="25" t="s">
        <v>11429</v>
      </c>
      <c r="C3965" s="6" t="s">
        <v>637</v>
      </c>
      <c r="D3965" s="13">
        <v>478.35327124000099</v>
      </c>
      <c r="E3965" s="18">
        <v>21</v>
      </c>
      <c r="F3965" s="2">
        <f t="shared" si="122"/>
        <v>578.80745820040124</v>
      </c>
      <c r="G3965" s="3">
        <v>0</v>
      </c>
      <c r="H3965" s="4">
        <v>0.7</v>
      </c>
      <c r="I3965" s="28">
        <f t="shared" si="123"/>
        <v>983.97267894068204</v>
      </c>
    </row>
    <row r="3966" spans="1:9" ht="15" customHeight="1" x14ac:dyDescent="0.35">
      <c r="A3966" s="26" t="s">
        <v>4710</v>
      </c>
      <c r="B3966" s="25" t="s">
        <v>13078</v>
      </c>
      <c r="C3966" s="6" t="s">
        <v>10551</v>
      </c>
      <c r="D3966" s="13">
        <v>4230.9293923032401</v>
      </c>
      <c r="E3966" s="18">
        <v>21</v>
      </c>
      <c r="F3966" s="2">
        <f t="shared" si="122"/>
        <v>5119.4245646869203</v>
      </c>
      <c r="G3966" s="3">
        <v>0</v>
      </c>
      <c r="H3966" s="4">
        <v>0.7</v>
      </c>
      <c r="I3966" s="28">
        <f t="shared" si="123"/>
        <v>8703.0217599677635</v>
      </c>
    </row>
    <row r="3967" spans="1:9" ht="15" customHeight="1" x14ac:dyDescent="0.35">
      <c r="A3967" s="26" t="s">
        <v>4711</v>
      </c>
      <c r="B3967" s="25" t="s">
        <v>11801</v>
      </c>
      <c r="C3967" s="6" t="s">
        <v>10552</v>
      </c>
      <c r="D3967" s="13">
        <v>2241.07348400001</v>
      </c>
      <c r="E3967" s="18">
        <v>21</v>
      </c>
      <c r="F3967" s="2">
        <f t="shared" si="122"/>
        <v>2711.6989156400123</v>
      </c>
      <c r="G3967" s="3">
        <v>0</v>
      </c>
      <c r="H3967" s="4">
        <v>0.7</v>
      </c>
      <c r="I3967" s="28">
        <f t="shared" si="123"/>
        <v>4609.888156588021</v>
      </c>
    </row>
    <row r="3968" spans="1:9" ht="15" customHeight="1" x14ac:dyDescent="0.35">
      <c r="A3968" s="26" t="s">
        <v>4712</v>
      </c>
      <c r="B3968" s="25" t="s">
        <v>11802</v>
      </c>
      <c r="C3968" s="6" t="s">
        <v>1062</v>
      </c>
      <c r="D3968" s="13">
        <v>4230.9293923032401</v>
      </c>
      <c r="E3968" s="18">
        <v>21</v>
      </c>
      <c r="F3968" s="2">
        <f t="shared" si="122"/>
        <v>5119.4245646869203</v>
      </c>
      <c r="G3968" s="3">
        <v>0</v>
      </c>
      <c r="H3968" s="4">
        <v>0.7</v>
      </c>
      <c r="I3968" s="28">
        <f t="shared" si="123"/>
        <v>8703.0217599677635</v>
      </c>
    </row>
    <row r="3969" spans="1:9" ht="15" customHeight="1" x14ac:dyDescent="0.35">
      <c r="A3969" s="26" t="s">
        <v>4713</v>
      </c>
      <c r="B3969" s="25" t="s">
        <v>11803</v>
      </c>
      <c r="C3969" s="6" t="s">
        <v>1063</v>
      </c>
      <c r="D3969" s="13">
        <v>4230.9293923032401</v>
      </c>
      <c r="E3969" s="18">
        <v>21</v>
      </c>
      <c r="F3969" s="2">
        <f t="shared" si="122"/>
        <v>5119.4245646869203</v>
      </c>
      <c r="G3969" s="3">
        <v>0</v>
      </c>
      <c r="H3969" s="4">
        <v>0.7</v>
      </c>
      <c r="I3969" s="28">
        <f t="shared" si="123"/>
        <v>8703.0217599677635</v>
      </c>
    </row>
    <row r="3970" spans="1:9" ht="15" customHeight="1" x14ac:dyDescent="0.35">
      <c r="A3970" s="26" t="s">
        <v>4714</v>
      </c>
      <c r="B3970" s="25" t="s">
        <v>11804</v>
      </c>
      <c r="C3970" s="6" t="s">
        <v>1025</v>
      </c>
      <c r="D3970" s="13">
        <v>4230.9293923032401</v>
      </c>
      <c r="E3970" s="18">
        <v>21</v>
      </c>
      <c r="F3970" s="2">
        <f t="shared" si="122"/>
        <v>5119.4245646869203</v>
      </c>
      <c r="G3970" s="3">
        <v>0</v>
      </c>
      <c r="H3970" s="4">
        <v>0.7</v>
      </c>
      <c r="I3970" s="28">
        <f t="shared" si="123"/>
        <v>8703.0217599677635</v>
      </c>
    </row>
    <row r="3971" spans="1:9" ht="15" customHeight="1" x14ac:dyDescent="0.35">
      <c r="A3971" s="26" t="s">
        <v>4715</v>
      </c>
      <c r="B3971" s="25" t="s">
        <v>11805</v>
      </c>
      <c r="C3971" s="6" t="s">
        <v>638</v>
      </c>
      <c r="D3971" s="13">
        <v>478.35327124000099</v>
      </c>
      <c r="E3971" s="18">
        <v>21</v>
      </c>
      <c r="F3971" s="2">
        <f t="shared" si="122"/>
        <v>578.80745820040124</v>
      </c>
      <c r="G3971" s="3">
        <v>0</v>
      </c>
      <c r="H3971" s="4">
        <v>0.7</v>
      </c>
      <c r="I3971" s="28">
        <f t="shared" si="123"/>
        <v>983.97267894068204</v>
      </c>
    </row>
    <row r="3972" spans="1:9" ht="15" customHeight="1" x14ac:dyDescent="0.35">
      <c r="A3972" s="26" t="s">
        <v>4716</v>
      </c>
      <c r="B3972" s="25" t="s">
        <v>11806</v>
      </c>
      <c r="C3972" s="6" t="s">
        <v>639</v>
      </c>
      <c r="D3972" s="13">
        <v>480.67162311999999</v>
      </c>
      <c r="E3972" s="18">
        <v>21</v>
      </c>
      <c r="F3972" s="2">
        <f t="shared" si="122"/>
        <v>581.61266397520001</v>
      </c>
      <c r="G3972" s="3">
        <v>0</v>
      </c>
      <c r="H3972" s="4">
        <v>0.7</v>
      </c>
      <c r="I3972" s="28">
        <f t="shared" si="123"/>
        <v>988.74152875784</v>
      </c>
    </row>
    <row r="3973" spans="1:9" ht="15" customHeight="1" x14ac:dyDescent="0.35">
      <c r="A3973" s="26" t="s">
        <v>5225</v>
      </c>
      <c r="B3973" s="25" t="s">
        <v>12586</v>
      </c>
      <c r="C3973" s="6" t="s">
        <v>1282</v>
      </c>
      <c r="D3973" s="13">
        <v>706.60685679999995</v>
      </c>
      <c r="E3973" s="18">
        <v>21</v>
      </c>
      <c r="F3973" s="2">
        <f t="shared" si="122"/>
        <v>854.99429672799988</v>
      </c>
      <c r="G3973" s="3">
        <v>0</v>
      </c>
      <c r="H3973" s="4">
        <v>0.7</v>
      </c>
      <c r="I3973" s="28">
        <f t="shared" si="123"/>
        <v>1453.4903044375997</v>
      </c>
    </row>
    <row r="3974" spans="1:9" ht="15" customHeight="1" x14ac:dyDescent="0.35">
      <c r="A3974" s="26" t="s">
        <v>5226</v>
      </c>
      <c r="B3974" s="25" t="s">
        <v>12307</v>
      </c>
      <c r="C3974" s="6" t="s">
        <v>1283</v>
      </c>
      <c r="D3974" s="13">
        <v>706.60685679999995</v>
      </c>
      <c r="E3974" s="18">
        <v>21</v>
      </c>
      <c r="F3974" s="2">
        <f t="shared" ref="F3974:F4037" si="124">D3974*E3974/100+D3974</f>
        <v>854.99429672799988</v>
      </c>
      <c r="G3974" s="3">
        <v>0</v>
      </c>
      <c r="H3974" s="4">
        <v>0.7</v>
      </c>
      <c r="I3974" s="28">
        <f t="shared" ref="I3974:I4037" si="125">IF(G3974=-1,0,F3974*((100-G3974)/100)*(1+H3974))</f>
        <v>1453.4903044375997</v>
      </c>
    </row>
    <row r="3975" spans="1:9" ht="15" customHeight="1" x14ac:dyDescent="0.35">
      <c r="A3975" s="26" t="s">
        <v>5227</v>
      </c>
      <c r="B3975" s="25" t="s">
        <v>11430</v>
      </c>
      <c r="C3975" s="6" t="s">
        <v>1284</v>
      </c>
      <c r="D3975" s="13">
        <v>706.60685679999995</v>
      </c>
      <c r="E3975" s="18">
        <v>21</v>
      </c>
      <c r="F3975" s="2">
        <f t="shared" si="124"/>
        <v>854.99429672799988</v>
      </c>
      <c r="G3975" s="3">
        <v>0</v>
      </c>
      <c r="H3975" s="4">
        <v>0.7</v>
      </c>
      <c r="I3975" s="28">
        <f t="shared" si="125"/>
        <v>1453.4903044375997</v>
      </c>
    </row>
    <row r="3976" spans="1:9" ht="15" customHeight="1" x14ac:dyDescent="0.35">
      <c r="A3976" s="26" t="s">
        <v>5228</v>
      </c>
      <c r="B3976" s="25" t="s">
        <v>11807</v>
      </c>
      <c r="C3976" s="6" t="s">
        <v>1285</v>
      </c>
      <c r="D3976" s="13">
        <v>706.60685679999995</v>
      </c>
      <c r="E3976" s="18">
        <v>21</v>
      </c>
      <c r="F3976" s="2">
        <f t="shared" si="124"/>
        <v>854.99429672799988</v>
      </c>
      <c r="G3976" s="3">
        <v>0</v>
      </c>
      <c r="H3976" s="4">
        <v>0.7</v>
      </c>
      <c r="I3976" s="28">
        <f t="shared" si="125"/>
        <v>1453.4903044375997</v>
      </c>
    </row>
    <row r="3977" spans="1:9" ht="15" customHeight="1" x14ac:dyDescent="0.35">
      <c r="A3977" s="26" t="s">
        <v>5229</v>
      </c>
      <c r="B3977" s="25" t="s">
        <v>11431</v>
      </c>
      <c r="C3977" s="6" t="s">
        <v>1286</v>
      </c>
      <c r="D3977" s="13">
        <v>706.60685679999995</v>
      </c>
      <c r="E3977" s="18">
        <v>21</v>
      </c>
      <c r="F3977" s="2">
        <f t="shared" si="124"/>
        <v>854.99429672799988</v>
      </c>
      <c r="G3977" s="3">
        <v>0</v>
      </c>
      <c r="H3977" s="4">
        <v>0.7</v>
      </c>
      <c r="I3977" s="28">
        <f t="shared" si="125"/>
        <v>1453.4903044375997</v>
      </c>
    </row>
    <row r="3978" spans="1:9" ht="15" customHeight="1" x14ac:dyDescent="0.35">
      <c r="A3978" s="26" t="s">
        <v>5230</v>
      </c>
      <c r="B3978" s="25" t="s">
        <v>11808</v>
      </c>
      <c r="C3978" s="6" t="s">
        <v>1287</v>
      </c>
      <c r="D3978" s="13">
        <v>706.60685679999995</v>
      </c>
      <c r="E3978" s="18">
        <v>21</v>
      </c>
      <c r="F3978" s="2">
        <f t="shared" si="124"/>
        <v>854.99429672799988</v>
      </c>
      <c r="G3978" s="3">
        <v>0</v>
      </c>
      <c r="H3978" s="4">
        <v>0.7</v>
      </c>
      <c r="I3978" s="28">
        <f t="shared" si="125"/>
        <v>1453.4903044375997</v>
      </c>
    </row>
    <row r="3979" spans="1:9" ht="15" customHeight="1" x14ac:dyDescent="0.35">
      <c r="A3979" s="26" t="s">
        <v>5231</v>
      </c>
      <c r="B3979" s="25" t="s">
        <v>12226</v>
      </c>
      <c r="C3979" s="6" t="s">
        <v>1210</v>
      </c>
      <c r="D3979" s="13">
        <v>1447.4805813</v>
      </c>
      <c r="E3979" s="18">
        <v>21</v>
      </c>
      <c r="F3979" s="2">
        <f t="shared" si="124"/>
        <v>1751.4515033729999</v>
      </c>
      <c r="G3979" s="3">
        <v>0</v>
      </c>
      <c r="H3979" s="4">
        <v>0.7</v>
      </c>
      <c r="I3979" s="28">
        <f t="shared" si="125"/>
        <v>2977.4675557340997</v>
      </c>
    </row>
    <row r="3980" spans="1:9" ht="15" customHeight="1" x14ac:dyDescent="0.35">
      <c r="A3980" s="26" t="s">
        <v>5232</v>
      </c>
      <c r="B3980" s="25" t="s">
        <v>13177</v>
      </c>
      <c r="C3980" s="6" t="s">
        <v>1211</v>
      </c>
      <c r="D3980" s="13">
        <v>706.60685679999995</v>
      </c>
      <c r="E3980" s="18">
        <v>21</v>
      </c>
      <c r="F3980" s="2">
        <f t="shared" si="124"/>
        <v>854.99429672799988</v>
      </c>
      <c r="G3980" s="3">
        <v>0</v>
      </c>
      <c r="H3980" s="4">
        <v>0.7</v>
      </c>
      <c r="I3980" s="28">
        <f t="shared" si="125"/>
        <v>1453.4903044375997</v>
      </c>
    </row>
    <row r="3981" spans="1:9" ht="15" customHeight="1" x14ac:dyDescent="0.35">
      <c r="A3981" s="26" t="s">
        <v>5233</v>
      </c>
      <c r="B3981" s="25" t="s">
        <v>11432</v>
      </c>
      <c r="C3981" s="6" t="s">
        <v>1212</v>
      </c>
      <c r="D3981" s="13">
        <v>1447.4805813</v>
      </c>
      <c r="E3981" s="18">
        <v>21</v>
      </c>
      <c r="F3981" s="2">
        <f t="shared" si="124"/>
        <v>1751.4515033729999</v>
      </c>
      <c r="G3981" s="3">
        <v>0</v>
      </c>
      <c r="H3981" s="4">
        <v>0.7</v>
      </c>
      <c r="I3981" s="28">
        <f t="shared" si="125"/>
        <v>2977.4675557340997</v>
      </c>
    </row>
    <row r="3982" spans="1:9" ht="15" customHeight="1" x14ac:dyDescent="0.35">
      <c r="A3982" s="26" t="s">
        <v>5234</v>
      </c>
      <c r="B3982" s="25" t="s">
        <v>12958</v>
      </c>
      <c r="C3982" s="6" t="s">
        <v>1213</v>
      </c>
      <c r="D3982" s="13">
        <v>1447.4805813</v>
      </c>
      <c r="E3982" s="18">
        <v>21</v>
      </c>
      <c r="F3982" s="2">
        <f t="shared" si="124"/>
        <v>1751.4515033729999</v>
      </c>
      <c r="G3982" s="3">
        <v>0</v>
      </c>
      <c r="H3982" s="4">
        <v>0.7</v>
      </c>
      <c r="I3982" s="28">
        <f t="shared" si="125"/>
        <v>2977.4675557340997</v>
      </c>
    </row>
    <row r="3983" spans="1:9" ht="15" customHeight="1" x14ac:dyDescent="0.35">
      <c r="A3983" s="26" t="s">
        <v>5235</v>
      </c>
      <c r="B3983" s="25" t="s">
        <v>10844</v>
      </c>
      <c r="C3983" s="6" t="s">
        <v>1214</v>
      </c>
      <c r="D3983" s="13">
        <v>1447.4805813</v>
      </c>
      <c r="E3983" s="18">
        <v>21</v>
      </c>
      <c r="F3983" s="2">
        <f t="shared" si="124"/>
        <v>1751.4515033729999</v>
      </c>
      <c r="G3983" s="3">
        <v>0</v>
      </c>
      <c r="H3983" s="4">
        <v>0.7</v>
      </c>
      <c r="I3983" s="28">
        <f t="shared" si="125"/>
        <v>2977.4675557340997</v>
      </c>
    </row>
    <row r="3984" spans="1:9" ht="15" customHeight="1" x14ac:dyDescent="0.35">
      <c r="A3984" s="26" t="s">
        <v>5236</v>
      </c>
      <c r="B3984" s="25" t="s">
        <v>10544</v>
      </c>
      <c r="C3984" s="6" t="s">
        <v>1288</v>
      </c>
      <c r="D3984" s="13">
        <v>706.60685679999995</v>
      </c>
      <c r="E3984" s="18">
        <v>21</v>
      </c>
      <c r="F3984" s="2">
        <f t="shared" si="124"/>
        <v>854.99429672799988</v>
      </c>
      <c r="G3984" s="3">
        <v>0</v>
      </c>
      <c r="H3984" s="4">
        <v>0.7</v>
      </c>
      <c r="I3984" s="28">
        <f t="shared" si="125"/>
        <v>1453.4903044375997</v>
      </c>
    </row>
    <row r="3985" spans="1:9" ht="15" customHeight="1" x14ac:dyDescent="0.35">
      <c r="A3985" s="26" t="s">
        <v>5237</v>
      </c>
      <c r="B3985" s="25" t="s">
        <v>10545</v>
      </c>
      <c r="C3985" s="6" t="s">
        <v>1289</v>
      </c>
      <c r="D3985" s="13">
        <v>706.60685679999995</v>
      </c>
      <c r="E3985" s="18">
        <v>21</v>
      </c>
      <c r="F3985" s="2">
        <f t="shared" si="124"/>
        <v>854.99429672799988</v>
      </c>
      <c r="G3985" s="3">
        <v>0</v>
      </c>
      <c r="H3985" s="4">
        <v>0.7</v>
      </c>
      <c r="I3985" s="28">
        <f t="shared" si="125"/>
        <v>1453.4903044375997</v>
      </c>
    </row>
    <row r="3986" spans="1:9" ht="15" customHeight="1" x14ac:dyDescent="0.35">
      <c r="A3986" s="26" t="s">
        <v>5036</v>
      </c>
      <c r="B3986" s="25" t="s">
        <v>10546</v>
      </c>
      <c r="C3986" s="6" t="s">
        <v>640</v>
      </c>
      <c r="D3986" s="13">
        <v>5006.5468946016899</v>
      </c>
      <c r="E3986" s="18">
        <v>21</v>
      </c>
      <c r="F3986" s="2">
        <f t="shared" si="124"/>
        <v>6057.9217424680446</v>
      </c>
      <c r="G3986" s="3">
        <v>0</v>
      </c>
      <c r="H3986" s="4">
        <v>0.7</v>
      </c>
      <c r="I3986" s="28">
        <f t="shared" si="125"/>
        <v>10298.466962195676</v>
      </c>
    </row>
    <row r="3987" spans="1:9" ht="15" customHeight="1" x14ac:dyDescent="0.35">
      <c r="A3987" s="26" t="s">
        <v>5037</v>
      </c>
      <c r="B3987" s="25" t="s">
        <v>12070</v>
      </c>
      <c r="C3987" s="6" t="s">
        <v>641</v>
      </c>
      <c r="D3987" s="13">
        <v>5006.5468946016899</v>
      </c>
      <c r="E3987" s="18">
        <v>21</v>
      </c>
      <c r="F3987" s="2">
        <f t="shared" si="124"/>
        <v>6057.9217424680446</v>
      </c>
      <c r="G3987" s="3">
        <v>0</v>
      </c>
      <c r="H3987" s="4">
        <v>0.7</v>
      </c>
      <c r="I3987" s="28">
        <f t="shared" si="125"/>
        <v>10298.466962195676</v>
      </c>
    </row>
    <row r="3988" spans="1:9" ht="15" customHeight="1" x14ac:dyDescent="0.35">
      <c r="A3988" s="26" t="s">
        <v>4913</v>
      </c>
      <c r="B3988" s="25" t="s">
        <v>11565</v>
      </c>
      <c r="C3988" s="6" t="s">
        <v>9094</v>
      </c>
      <c r="D3988" s="13">
        <v>107.854828267801</v>
      </c>
      <c r="E3988" s="18">
        <v>21</v>
      </c>
      <c r="F3988" s="2">
        <f t="shared" si="124"/>
        <v>130.5043422040392</v>
      </c>
      <c r="G3988" s="3">
        <v>0</v>
      </c>
      <c r="H3988" s="4">
        <v>0.7</v>
      </c>
      <c r="I3988" s="28">
        <f t="shared" si="125"/>
        <v>221.85738174686665</v>
      </c>
    </row>
    <row r="3989" spans="1:9" ht="15" customHeight="1" x14ac:dyDescent="0.35">
      <c r="A3989" s="26" t="s">
        <v>4914</v>
      </c>
      <c r="B3989" s="25" t="s">
        <v>11567</v>
      </c>
      <c r="C3989" s="6" t="s">
        <v>9095</v>
      </c>
      <c r="D3989" s="13">
        <v>506.739358489285</v>
      </c>
      <c r="E3989" s="18">
        <v>21</v>
      </c>
      <c r="F3989" s="2">
        <f t="shared" si="124"/>
        <v>613.15462377203482</v>
      </c>
      <c r="G3989" s="3">
        <v>0</v>
      </c>
      <c r="H3989" s="4">
        <v>0.7</v>
      </c>
      <c r="I3989" s="28">
        <f t="shared" si="125"/>
        <v>1042.3628604124592</v>
      </c>
    </row>
    <row r="3990" spans="1:9" ht="15" customHeight="1" x14ac:dyDescent="0.35">
      <c r="A3990" s="26" t="s">
        <v>8952</v>
      </c>
      <c r="B3990" s="25" t="s">
        <v>11569</v>
      </c>
      <c r="C3990" s="6" t="s">
        <v>8953</v>
      </c>
      <c r="D3990" s="13">
        <v>2774.3422667999998</v>
      </c>
      <c r="E3990" s="18">
        <v>21</v>
      </c>
      <c r="F3990" s="2">
        <f t="shared" si="124"/>
        <v>3356.9541428279999</v>
      </c>
      <c r="G3990" s="3">
        <v>0</v>
      </c>
      <c r="H3990" s="4">
        <v>0.7</v>
      </c>
      <c r="I3990" s="28">
        <f t="shared" si="125"/>
        <v>5706.8220428076002</v>
      </c>
    </row>
    <row r="3991" spans="1:9" ht="15" customHeight="1" x14ac:dyDescent="0.35">
      <c r="A3991" s="26" t="s">
        <v>8954</v>
      </c>
      <c r="B3991" s="25" t="s">
        <v>1077</v>
      </c>
      <c r="C3991" s="6" t="s">
        <v>8955</v>
      </c>
      <c r="D3991" s="13">
        <v>2774.3422667999998</v>
      </c>
      <c r="E3991" s="18">
        <v>21</v>
      </c>
      <c r="F3991" s="2">
        <f t="shared" si="124"/>
        <v>3356.9541428279999</v>
      </c>
      <c r="G3991" s="3">
        <v>0</v>
      </c>
      <c r="H3991" s="4">
        <v>0.7</v>
      </c>
      <c r="I3991" s="28">
        <f t="shared" si="125"/>
        <v>5706.8220428076002</v>
      </c>
    </row>
    <row r="3992" spans="1:9" ht="15" customHeight="1" x14ac:dyDescent="0.35">
      <c r="A3992" s="26" t="s">
        <v>2326</v>
      </c>
      <c r="B3992" s="25" t="s">
        <v>13246</v>
      </c>
      <c r="C3992" s="6" t="s">
        <v>10717</v>
      </c>
      <c r="D3992" s="13">
        <v>3375.2029910625001</v>
      </c>
      <c r="E3992" s="18">
        <v>21</v>
      </c>
      <c r="F3992" s="2">
        <f t="shared" si="124"/>
        <v>4083.9956191856254</v>
      </c>
      <c r="G3992" s="3">
        <v>0</v>
      </c>
      <c r="H3992" s="4">
        <v>0.7</v>
      </c>
      <c r="I3992" s="28">
        <f t="shared" si="125"/>
        <v>6942.7925526155632</v>
      </c>
    </row>
    <row r="3993" spans="1:9" ht="15" customHeight="1" x14ac:dyDescent="0.35">
      <c r="A3993" s="26" t="s">
        <v>2632</v>
      </c>
      <c r="B3993" s="25" t="s">
        <v>13247</v>
      </c>
      <c r="C3993" s="6" t="s">
        <v>1122</v>
      </c>
      <c r="D3993" s="13">
        <v>558.90380000000005</v>
      </c>
      <c r="E3993" s="18">
        <v>21</v>
      </c>
      <c r="F3993" s="2">
        <f t="shared" si="124"/>
        <v>676.27359799999999</v>
      </c>
      <c r="G3993" s="3">
        <v>0</v>
      </c>
      <c r="H3993" s="4">
        <v>0.7</v>
      </c>
      <c r="I3993" s="28">
        <f t="shared" si="125"/>
        <v>1149.6651165999999</v>
      </c>
    </row>
    <row r="3994" spans="1:9" ht="15" customHeight="1" x14ac:dyDescent="0.35">
      <c r="A3994" s="26" t="s">
        <v>2633</v>
      </c>
      <c r="B3994" s="25" t="s">
        <v>12959</v>
      </c>
      <c r="C3994" s="6" t="s">
        <v>1123</v>
      </c>
      <c r="D3994" s="13">
        <v>301.84699999999998</v>
      </c>
      <c r="E3994" s="18">
        <v>21</v>
      </c>
      <c r="F3994" s="2">
        <f t="shared" si="124"/>
        <v>365.23487</v>
      </c>
      <c r="G3994" s="3">
        <v>0</v>
      </c>
      <c r="H3994" s="4">
        <v>0.7</v>
      </c>
      <c r="I3994" s="28">
        <f t="shared" si="125"/>
        <v>620.89927899999998</v>
      </c>
    </row>
    <row r="3995" spans="1:9" ht="15" customHeight="1" x14ac:dyDescent="0.35">
      <c r="A3995" s="26" t="s">
        <v>5038</v>
      </c>
      <c r="B3995" s="25" t="s">
        <v>12960</v>
      </c>
      <c r="C3995" s="6" t="s">
        <v>9103</v>
      </c>
      <c r="D3995" s="13">
        <v>679.81621690356496</v>
      </c>
      <c r="E3995" s="18">
        <v>21</v>
      </c>
      <c r="F3995" s="2">
        <f t="shared" si="124"/>
        <v>822.57762245331355</v>
      </c>
      <c r="G3995" s="3">
        <v>0</v>
      </c>
      <c r="H3995" s="4">
        <v>0.7</v>
      </c>
      <c r="I3995" s="28">
        <f t="shared" si="125"/>
        <v>1398.381958170633</v>
      </c>
    </row>
    <row r="3996" spans="1:9" ht="15" customHeight="1" x14ac:dyDescent="0.35">
      <c r="A3996" s="26" t="s">
        <v>5039</v>
      </c>
      <c r="B3996" s="25" t="s">
        <v>11571</v>
      </c>
      <c r="C3996" s="6" t="s">
        <v>9104</v>
      </c>
      <c r="D3996" s="13">
        <v>4106.2710824326296</v>
      </c>
      <c r="E3996" s="18">
        <v>21</v>
      </c>
      <c r="F3996" s="2">
        <f t="shared" si="124"/>
        <v>4968.588009743482</v>
      </c>
      <c r="G3996" s="3">
        <v>0</v>
      </c>
      <c r="H3996" s="4">
        <v>0.7</v>
      </c>
      <c r="I3996" s="28">
        <f t="shared" si="125"/>
        <v>8446.599616563919</v>
      </c>
    </row>
    <row r="3997" spans="1:9" ht="15" customHeight="1" x14ac:dyDescent="0.35">
      <c r="A3997" s="26" t="s">
        <v>5040</v>
      </c>
      <c r="B3997" s="25" t="s">
        <v>11573</v>
      </c>
      <c r="C3997" s="6" t="s">
        <v>9105</v>
      </c>
      <c r="D3997" s="13">
        <v>4106.2710824326296</v>
      </c>
      <c r="E3997" s="18">
        <v>21</v>
      </c>
      <c r="F3997" s="2">
        <f t="shared" si="124"/>
        <v>4968.588009743482</v>
      </c>
      <c r="G3997" s="3">
        <v>0</v>
      </c>
      <c r="H3997" s="4">
        <v>0.7</v>
      </c>
      <c r="I3997" s="28">
        <f t="shared" si="125"/>
        <v>8446.599616563919</v>
      </c>
    </row>
    <row r="3998" spans="1:9" ht="15" customHeight="1" x14ac:dyDescent="0.35">
      <c r="A3998" s="26" t="s">
        <v>5041</v>
      </c>
      <c r="B3998" s="25" t="s">
        <v>1179</v>
      </c>
      <c r="C3998" s="6" t="s">
        <v>9106</v>
      </c>
      <c r="D3998" s="13">
        <v>4106.2710824326296</v>
      </c>
      <c r="E3998" s="18">
        <v>21</v>
      </c>
      <c r="F3998" s="2">
        <f t="shared" si="124"/>
        <v>4968.588009743482</v>
      </c>
      <c r="G3998" s="3">
        <v>0</v>
      </c>
      <c r="H3998" s="4">
        <v>0.7</v>
      </c>
      <c r="I3998" s="28">
        <f t="shared" si="125"/>
        <v>8446.599616563919</v>
      </c>
    </row>
    <row r="3999" spans="1:9" ht="15" customHeight="1" x14ac:dyDescent="0.35">
      <c r="A3999" s="26" t="s">
        <v>5042</v>
      </c>
      <c r="B3999" s="25" t="s">
        <v>1180</v>
      </c>
      <c r="C3999" s="6" t="s">
        <v>9107</v>
      </c>
      <c r="D3999" s="13">
        <v>4106.2710824326296</v>
      </c>
      <c r="E3999" s="18">
        <v>21</v>
      </c>
      <c r="F3999" s="2">
        <f t="shared" si="124"/>
        <v>4968.588009743482</v>
      </c>
      <c r="G3999" s="3">
        <v>0</v>
      </c>
      <c r="H3999" s="4">
        <v>0.7</v>
      </c>
      <c r="I3999" s="28">
        <f t="shared" si="125"/>
        <v>8446.599616563919</v>
      </c>
    </row>
    <row r="4000" spans="1:9" ht="15" customHeight="1" x14ac:dyDescent="0.35">
      <c r="A4000" s="26" t="s">
        <v>5043</v>
      </c>
      <c r="B4000" s="25" t="s">
        <v>13271</v>
      </c>
      <c r="C4000" s="6" t="s">
        <v>9108</v>
      </c>
      <c r="D4000" s="13">
        <v>4106.2710824326296</v>
      </c>
      <c r="E4000" s="18">
        <v>21</v>
      </c>
      <c r="F4000" s="2">
        <f t="shared" si="124"/>
        <v>4968.588009743482</v>
      </c>
      <c r="G4000" s="3">
        <v>0</v>
      </c>
      <c r="H4000" s="4">
        <v>0.7</v>
      </c>
      <c r="I4000" s="28">
        <f t="shared" si="125"/>
        <v>8446.599616563919</v>
      </c>
    </row>
    <row r="4001" spans="1:9" ht="15" customHeight="1" x14ac:dyDescent="0.35">
      <c r="A4001" s="26" t="s">
        <v>5044</v>
      </c>
      <c r="B4001" s="25" t="s">
        <v>13272</v>
      </c>
      <c r="C4001" s="6" t="s">
        <v>9109</v>
      </c>
      <c r="D4001" s="13">
        <v>4106.2710824326296</v>
      </c>
      <c r="E4001" s="18">
        <v>21</v>
      </c>
      <c r="F4001" s="2">
        <f t="shared" si="124"/>
        <v>4968.588009743482</v>
      </c>
      <c r="G4001" s="3">
        <v>0</v>
      </c>
      <c r="H4001" s="4">
        <v>0.7</v>
      </c>
      <c r="I4001" s="28">
        <f t="shared" si="125"/>
        <v>8446.599616563919</v>
      </c>
    </row>
    <row r="4002" spans="1:9" ht="15" customHeight="1" x14ac:dyDescent="0.35">
      <c r="A4002" s="26" t="s">
        <v>5045</v>
      </c>
      <c r="B4002" s="25" t="s">
        <v>10713</v>
      </c>
      <c r="C4002" s="6" t="s">
        <v>9110</v>
      </c>
      <c r="D4002" s="13">
        <v>679.81621690356496</v>
      </c>
      <c r="E4002" s="18">
        <v>21</v>
      </c>
      <c r="F4002" s="2">
        <f t="shared" si="124"/>
        <v>822.57762245331355</v>
      </c>
      <c r="G4002" s="3">
        <v>0</v>
      </c>
      <c r="H4002" s="4">
        <v>0.7</v>
      </c>
      <c r="I4002" s="28">
        <f t="shared" si="125"/>
        <v>1398.381958170633</v>
      </c>
    </row>
    <row r="4003" spans="1:9" ht="15" customHeight="1" x14ac:dyDescent="0.35">
      <c r="A4003" s="26" t="s">
        <v>5046</v>
      </c>
      <c r="B4003" s="25" t="s">
        <v>10547</v>
      </c>
      <c r="C4003" s="6" t="s">
        <v>9111</v>
      </c>
      <c r="D4003" s="13">
        <v>4106.2710824326296</v>
      </c>
      <c r="E4003" s="18">
        <v>21</v>
      </c>
      <c r="F4003" s="2">
        <f t="shared" si="124"/>
        <v>4968.588009743482</v>
      </c>
      <c r="G4003" s="3">
        <v>0</v>
      </c>
      <c r="H4003" s="4">
        <v>0.7</v>
      </c>
      <c r="I4003" s="28">
        <f t="shared" si="125"/>
        <v>8446.599616563919</v>
      </c>
    </row>
    <row r="4004" spans="1:9" ht="15" customHeight="1" x14ac:dyDescent="0.35">
      <c r="A4004" s="26" t="s">
        <v>5047</v>
      </c>
      <c r="B4004" s="25" t="s">
        <v>10548</v>
      </c>
      <c r="C4004" s="6" t="s">
        <v>9112</v>
      </c>
      <c r="D4004" s="13">
        <v>3406.9036588048998</v>
      </c>
      <c r="E4004" s="18">
        <v>21</v>
      </c>
      <c r="F4004" s="2">
        <f t="shared" si="124"/>
        <v>4122.3534271539284</v>
      </c>
      <c r="G4004" s="3">
        <v>0</v>
      </c>
      <c r="H4004" s="4">
        <v>0.7</v>
      </c>
      <c r="I4004" s="28">
        <f t="shared" si="125"/>
        <v>7008.0008261616777</v>
      </c>
    </row>
    <row r="4005" spans="1:9" ht="15" customHeight="1" x14ac:dyDescent="0.35">
      <c r="A4005" s="26" t="s">
        <v>5048</v>
      </c>
      <c r="B4005" s="25" t="s">
        <v>10549</v>
      </c>
      <c r="C4005" s="6" t="s">
        <v>9113</v>
      </c>
      <c r="D4005" s="13">
        <v>3406.9036588048998</v>
      </c>
      <c r="E4005" s="18">
        <v>21</v>
      </c>
      <c r="F4005" s="2">
        <f t="shared" si="124"/>
        <v>4122.3534271539284</v>
      </c>
      <c r="G4005" s="3">
        <v>0</v>
      </c>
      <c r="H4005" s="4">
        <v>0.7</v>
      </c>
      <c r="I4005" s="28">
        <f t="shared" si="125"/>
        <v>7008.0008261616777</v>
      </c>
    </row>
    <row r="4006" spans="1:9" ht="15" customHeight="1" x14ac:dyDescent="0.35">
      <c r="A4006" s="26" t="s">
        <v>5049</v>
      </c>
      <c r="B4006" s="25" t="s">
        <v>11809</v>
      </c>
      <c r="C4006" s="6" t="s">
        <v>9114</v>
      </c>
      <c r="D4006" s="13">
        <v>3406.9036588048998</v>
      </c>
      <c r="E4006" s="18">
        <v>21</v>
      </c>
      <c r="F4006" s="2">
        <f t="shared" si="124"/>
        <v>4122.3534271539284</v>
      </c>
      <c r="G4006" s="3">
        <v>0</v>
      </c>
      <c r="H4006" s="4">
        <v>0.7</v>
      </c>
      <c r="I4006" s="28">
        <f t="shared" si="125"/>
        <v>7008.0008261616777</v>
      </c>
    </row>
    <row r="4007" spans="1:9" ht="15" customHeight="1" x14ac:dyDescent="0.35">
      <c r="A4007" s="26" t="s">
        <v>5050</v>
      </c>
      <c r="B4007" s="25" t="s">
        <v>11810</v>
      </c>
      <c r="C4007" s="6" t="s">
        <v>9115</v>
      </c>
      <c r="D4007" s="13">
        <v>3406.9036588048998</v>
      </c>
      <c r="E4007" s="18">
        <v>21</v>
      </c>
      <c r="F4007" s="2">
        <f t="shared" si="124"/>
        <v>4122.3534271539284</v>
      </c>
      <c r="G4007" s="3">
        <v>0</v>
      </c>
      <c r="H4007" s="4">
        <v>0.7</v>
      </c>
      <c r="I4007" s="28">
        <f t="shared" si="125"/>
        <v>7008.0008261616777</v>
      </c>
    </row>
    <row r="4008" spans="1:9" ht="15" customHeight="1" x14ac:dyDescent="0.35">
      <c r="A4008" s="26" t="s">
        <v>5051</v>
      </c>
      <c r="B4008" s="25" t="s">
        <v>11811</v>
      </c>
      <c r="C4008" s="6" t="s">
        <v>9116</v>
      </c>
      <c r="D4008" s="13">
        <v>3406.9036588048998</v>
      </c>
      <c r="E4008" s="18">
        <v>21</v>
      </c>
      <c r="F4008" s="2">
        <f t="shared" si="124"/>
        <v>4122.3534271539284</v>
      </c>
      <c r="G4008" s="3">
        <v>0</v>
      </c>
      <c r="H4008" s="4">
        <v>0.7</v>
      </c>
      <c r="I4008" s="28">
        <f t="shared" si="125"/>
        <v>7008.0008261616777</v>
      </c>
    </row>
    <row r="4009" spans="1:9" ht="15" customHeight="1" x14ac:dyDescent="0.35">
      <c r="A4009" s="26" t="s">
        <v>5052</v>
      </c>
      <c r="B4009" s="25" t="s">
        <v>11812</v>
      </c>
      <c r="C4009" s="6" t="s">
        <v>9117</v>
      </c>
      <c r="D4009" s="13">
        <v>3406.9036588048998</v>
      </c>
      <c r="E4009" s="18">
        <v>21</v>
      </c>
      <c r="F4009" s="2">
        <f t="shared" si="124"/>
        <v>4122.3534271539284</v>
      </c>
      <c r="G4009" s="3">
        <v>0</v>
      </c>
      <c r="H4009" s="4">
        <v>0.7</v>
      </c>
      <c r="I4009" s="28">
        <f t="shared" si="125"/>
        <v>7008.0008261616777</v>
      </c>
    </row>
    <row r="4010" spans="1:9" ht="15" customHeight="1" x14ac:dyDescent="0.35">
      <c r="A4010" s="26" t="s">
        <v>5053</v>
      </c>
      <c r="B4010" s="25" t="s">
        <v>11813</v>
      </c>
      <c r="C4010" s="6" t="s">
        <v>9118</v>
      </c>
      <c r="D4010" s="13">
        <v>3406.9036588048998</v>
      </c>
      <c r="E4010" s="18">
        <v>21</v>
      </c>
      <c r="F4010" s="2">
        <f t="shared" si="124"/>
        <v>4122.3534271539284</v>
      </c>
      <c r="G4010" s="3">
        <v>0</v>
      </c>
      <c r="H4010" s="4">
        <v>0.7</v>
      </c>
      <c r="I4010" s="28">
        <f t="shared" si="125"/>
        <v>7008.0008261616777</v>
      </c>
    </row>
    <row r="4011" spans="1:9" ht="15" customHeight="1" x14ac:dyDescent="0.35">
      <c r="A4011" s="26" t="s">
        <v>5054</v>
      </c>
      <c r="B4011" s="25" t="s">
        <v>11814</v>
      </c>
      <c r="C4011" s="6" t="s">
        <v>9119</v>
      </c>
      <c r="D4011" s="13">
        <v>3406.9036588048998</v>
      </c>
      <c r="E4011" s="18">
        <v>21</v>
      </c>
      <c r="F4011" s="2">
        <f t="shared" si="124"/>
        <v>4122.3534271539284</v>
      </c>
      <c r="G4011" s="3">
        <v>0</v>
      </c>
      <c r="H4011" s="4">
        <v>0.7</v>
      </c>
      <c r="I4011" s="28">
        <f t="shared" si="125"/>
        <v>7008.0008261616777</v>
      </c>
    </row>
    <row r="4012" spans="1:9" ht="15" customHeight="1" x14ac:dyDescent="0.35">
      <c r="A4012" s="26" t="s">
        <v>9335</v>
      </c>
      <c r="B4012" s="25" t="s">
        <v>11816</v>
      </c>
      <c r="C4012" s="6" t="s">
        <v>9336</v>
      </c>
      <c r="D4012" s="13">
        <v>895.80399999999997</v>
      </c>
      <c r="E4012" s="18">
        <v>21</v>
      </c>
      <c r="F4012" s="2">
        <f t="shared" si="124"/>
        <v>1083.92284</v>
      </c>
      <c r="G4012" s="3">
        <v>0</v>
      </c>
      <c r="H4012" s="4">
        <v>0.7</v>
      </c>
      <c r="I4012" s="28">
        <f t="shared" si="125"/>
        <v>1842.6688279999998</v>
      </c>
    </row>
    <row r="4013" spans="1:9" ht="15" customHeight="1" x14ac:dyDescent="0.35">
      <c r="A4013" s="26" t="s">
        <v>2434</v>
      </c>
      <c r="B4013" s="25" t="s">
        <v>11818</v>
      </c>
      <c r="C4013" s="6" t="s">
        <v>642</v>
      </c>
      <c r="D4013" s="13">
        <v>2869.6343910000001</v>
      </c>
      <c r="E4013" s="18">
        <v>21</v>
      </c>
      <c r="F4013" s="2">
        <f t="shared" si="124"/>
        <v>3472.25761311</v>
      </c>
      <c r="G4013" s="3">
        <v>0</v>
      </c>
      <c r="H4013" s="4">
        <v>0.7</v>
      </c>
      <c r="I4013" s="28">
        <f t="shared" si="125"/>
        <v>5902.8379422869994</v>
      </c>
    </row>
    <row r="4014" spans="1:9" ht="15" customHeight="1" x14ac:dyDescent="0.35">
      <c r="A4014" s="26" t="s">
        <v>2435</v>
      </c>
      <c r="B4014" s="25" t="s">
        <v>11843</v>
      </c>
      <c r="C4014" s="6" t="s">
        <v>643</v>
      </c>
      <c r="D4014" s="13">
        <v>3567.1617735</v>
      </c>
      <c r="E4014" s="18">
        <v>21</v>
      </c>
      <c r="F4014" s="2">
        <f t="shared" si="124"/>
        <v>4316.2657459350003</v>
      </c>
      <c r="G4014" s="3">
        <v>0</v>
      </c>
      <c r="H4014" s="4">
        <v>0.7</v>
      </c>
      <c r="I4014" s="28">
        <f t="shared" si="125"/>
        <v>7337.6517680895004</v>
      </c>
    </row>
    <row r="4015" spans="1:9" ht="15" customHeight="1" x14ac:dyDescent="0.35">
      <c r="A4015" s="26" t="s">
        <v>2436</v>
      </c>
      <c r="B4015" s="25" t="s">
        <v>9389</v>
      </c>
      <c r="C4015" s="6" t="s">
        <v>644</v>
      </c>
      <c r="D4015" s="13">
        <v>3951.3072885000001</v>
      </c>
      <c r="E4015" s="18">
        <v>21</v>
      </c>
      <c r="F4015" s="2">
        <f t="shared" si="124"/>
        <v>4781.0818190850005</v>
      </c>
      <c r="G4015" s="3">
        <v>0</v>
      </c>
      <c r="H4015" s="4">
        <v>0.7</v>
      </c>
      <c r="I4015" s="28">
        <f t="shared" si="125"/>
        <v>8127.8390924445002</v>
      </c>
    </row>
    <row r="4016" spans="1:9" ht="15" customHeight="1" x14ac:dyDescent="0.35">
      <c r="A4016" s="26" t="s">
        <v>2437</v>
      </c>
      <c r="B4016" s="25" t="s">
        <v>11575</v>
      </c>
      <c r="C4016" s="6" t="s">
        <v>645</v>
      </c>
      <c r="D4016" s="13">
        <v>5191.3559685</v>
      </c>
      <c r="E4016" s="18">
        <v>21</v>
      </c>
      <c r="F4016" s="2">
        <f t="shared" si="124"/>
        <v>6281.5407218849996</v>
      </c>
      <c r="G4016" s="3">
        <v>0</v>
      </c>
      <c r="H4016" s="4">
        <v>0.7</v>
      </c>
      <c r="I4016" s="28">
        <f t="shared" si="125"/>
        <v>10678.619227204499</v>
      </c>
    </row>
    <row r="4017" spans="1:9" ht="15" customHeight="1" x14ac:dyDescent="0.35">
      <c r="A4017" s="26" t="s">
        <v>2438</v>
      </c>
      <c r="B4017" s="25" t="s">
        <v>10714</v>
      </c>
      <c r="C4017" s="6" t="s">
        <v>646</v>
      </c>
      <c r="D4017" s="13">
        <v>2643.8646585000001</v>
      </c>
      <c r="E4017" s="18">
        <v>21</v>
      </c>
      <c r="F4017" s="2">
        <f t="shared" si="124"/>
        <v>3199.0762367850002</v>
      </c>
      <c r="G4017" s="3">
        <v>0</v>
      </c>
      <c r="H4017" s="4">
        <v>0.7</v>
      </c>
      <c r="I4017" s="28">
        <f t="shared" si="125"/>
        <v>5438.4296025345002</v>
      </c>
    </row>
    <row r="4018" spans="1:9" ht="15" customHeight="1" x14ac:dyDescent="0.35">
      <c r="A4018" s="26" t="s">
        <v>2439</v>
      </c>
      <c r="B4018" s="25" t="s">
        <v>10715</v>
      </c>
      <c r="C4018" s="6" t="s">
        <v>647</v>
      </c>
      <c r="D4018" s="13">
        <v>1919.379696</v>
      </c>
      <c r="E4018" s="18">
        <v>21</v>
      </c>
      <c r="F4018" s="2">
        <f t="shared" si="124"/>
        <v>2322.44943216</v>
      </c>
      <c r="G4018" s="3">
        <v>0</v>
      </c>
      <c r="H4018" s="4">
        <v>0.7</v>
      </c>
      <c r="I4018" s="28">
        <f t="shared" si="125"/>
        <v>3948.1640346720001</v>
      </c>
    </row>
    <row r="4019" spans="1:9" ht="15" customHeight="1" x14ac:dyDescent="0.35">
      <c r="A4019" s="26" t="s">
        <v>2440</v>
      </c>
      <c r="B4019" s="25" t="s">
        <v>11916</v>
      </c>
      <c r="C4019" s="6" t="s">
        <v>648</v>
      </c>
      <c r="D4019" s="13">
        <v>2582.5361640000001</v>
      </c>
      <c r="E4019" s="18">
        <v>21</v>
      </c>
      <c r="F4019" s="2">
        <f t="shared" si="124"/>
        <v>3124.86875844</v>
      </c>
      <c r="G4019" s="3">
        <v>0</v>
      </c>
      <c r="H4019" s="4">
        <v>0.7</v>
      </c>
      <c r="I4019" s="28">
        <f t="shared" si="125"/>
        <v>5312.2768893479997</v>
      </c>
    </row>
    <row r="4020" spans="1:9" ht="15" customHeight="1" x14ac:dyDescent="0.35">
      <c r="A4020" s="26" t="s">
        <v>2441</v>
      </c>
      <c r="B4020" s="25" t="s">
        <v>11917</v>
      </c>
      <c r="C4020" s="6" t="s">
        <v>649</v>
      </c>
      <c r="D4020" s="13">
        <v>3039.4671450000001</v>
      </c>
      <c r="E4020" s="18">
        <v>21</v>
      </c>
      <c r="F4020" s="2">
        <f t="shared" si="124"/>
        <v>3677.7552454500001</v>
      </c>
      <c r="G4020" s="3">
        <v>0</v>
      </c>
      <c r="H4020" s="4">
        <v>0.7</v>
      </c>
      <c r="I4020" s="28">
        <f t="shared" si="125"/>
        <v>6252.1839172649998</v>
      </c>
    </row>
    <row r="4021" spans="1:9" ht="15" customHeight="1" x14ac:dyDescent="0.35">
      <c r="A4021" s="26" t="s">
        <v>2442</v>
      </c>
      <c r="B4021" s="25" t="s">
        <v>11918</v>
      </c>
      <c r="C4021" s="6" t="s">
        <v>650</v>
      </c>
      <c r="D4021" s="13">
        <v>4433.1740309999996</v>
      </c>
      <c r="E4021" s="18">
        <v>21</v>
      </c>
      <c r="F4021" s="2">
        <f t="shared" si="124"/>
        <v>5364.1405775099993</v>
      </c>
      <c r="G4021" s="3">
        <v>0</v>
      </c>
      <c r="H4021" s="4">
        <v>0.7</v>
      </c>
      <c r="I4021" s="28">
        <f t="shared" si="125"/>
        <v>9119.0389817669984</v>
      </c>
    </row>
    <row r="4022" spans="1:9" ht="15" customHeight="1" x14ac:dyDescent="0.35">
      <c r="A4022" s="26" t="s">
        <v>2443</v>
      </c>
      <c r="B4022" s="25" t="s">
        <v>11919</v>
      </c>
      <c r="C4022" s="6" t="s">
        <v>651</v>
      </c>
      <c r="D4022" s="13">
        <v>1675.413597</v>
      </c>
      <c r="E4022" s="18">
        <v>21</v>
      </c>
      <c r="F4022" s="2">
        <f t="shared" si="124"/>
        <v>2027.2504523699999</v>
      </c>
      <c r="G4022" s="3">
        <v>0</v>
      </c>
      <c r="H4022" s="4">
        <v>0.7</v>
      </c>
      <c r="I4022" s="28">
        <f t="shared" si="125"/>
        <v>3446.3257690289997</v>
      </c>
    </row>
    <row r="4023" spans="1:9" ht="15" customHeight="1" x14ac:dyDescent="0.35">
      <c r="A4023" s="26" t="s">
        <v>2444</v>
      </c>
      <c r="B4023" s="25" t="s">
        <v>11920</v>
      </c>
      <c r="C4023" s="6" t="s">
        <v>652</v>
      </c>
      <c r="D4023" s="13">
        <v>1963.1857634999999</v>
      </c>
      <c r="E4023" s="18">
        <v>21</v>
      </c>
      <c r="F4023" s="2">
        <f t="shared" si="124"/>
        <v>2375.4547738349997</v>
      </c>
      <c r="G4023" s="3">
        <v>0</v>
      </c>
      <c r="H4023" s="4">
        <v>0.7</v>
      </c>
      <c r="I4023" s="28">
        <f t="shared" si="125"/>
        <v>4038.2731155194992</v>
      </c>
    </row>
    <row r="4024" spans="1:9" ht="15" customHeight="1" x14ac:dyDescent="0.35">
      <c r="A4024" s="26" t="s">
        <v>2445</v>
      </c>
      <c r="B4024" s="25" t="s">
        <v>11921</v>
      </c>
      <c r="C4024" s="6" t="s">
        <v>653</v>
      </c>
      <c r="D4024" s="13">
        <v>2380.3543140000002</v>
      </c>
      <c r="E4024" s="18">
        <v>21</v>
      </c>
      <c r="F4024" s="2">
        <f t="shared" si="124"/>
        <v>2880.2287199400002</v>
      </c>
      <c r="G4024" s="3">
        <v>0</v>
      </c>
      <c r="H4024" s="4">
        <v>0.7</v>
      </c>
      <c r="I4024" s="28">
        <f t="shared" si="125"/>
        <v>4896.3888238980007</v>
      </c>
    </row>
    <row r="4025" spans="1:9" ht="15" customHeight="1" x14ac:dyDescent="0.35">
      <c r="A4025" s="26" t="s">
        <v>2446</v>
      </c>
      <c r="B4025" s="25" t="s">
        <v>11922</v>
      </c>
      <c r="C4025" s="6" t="s">
        <v>654</v>
      </c>
      <c r="D4025" s="13">
        <v>2796.1749854999998</v>
      </c>
      <c r="E4025" s="18">
        <v>21</v>
      </c>
      <c r="F4025" s="2">
        <f t="shared" si="124"/>
        <v>3383.3717324549998</v>
      </c>
      <c r="G4025" s="3">
        <v>0</v>
      </c>
      <c r="H4025" s="4">
        <v>0.7</v>
      </c>
      <c r="I4025" s="28">
        <f t="shared" si="125"/>
        <v>5751.7319451734993</v>
      </c>
    </row>
    <row r="4026" spans="1:9" ht="15" customHeight="1" x14ac:dyDescent="0.35">
      <c r="A4026" s="26" t="s">
        <v>2447</v>
      </c>
      <c r="B4026" s="25" t="s">
        <v>11923</v>
      </c>
      <c r="C4026" s="6" t="s">
        <v>655</v>
      </c>
      <c r="D4026" s="13">
        <v>3189.7556534999999</v>
      </c>
      <c r="E4026" s="18">
        <v>21</v>
      </c>
      <c r="F4026" s="2">
        <f t="shared" si="124"/>
        <v>3859.6043407349998</v>
      </c>
      <c r="G4026" s="3">
        <v>0</v>
      </c>
      <c r="H4026" s="4">
        <v>0.7</v>
      </c>
      <c r="I4026" s="28">
        <f t="shared" si="125"/>
        <v>6561.3273792494992</v>
      </c>
    </row>
    <row r="4027" spans="1:9" ht="15" customHeight="1" x14ac:dyDescent="0.35">
      <c r="A4027" s="26" t="s">
        <v>2448</v>
      </c>
      <c r="B4027" s="25" t="s">
        <v>10716</v>
      </c>
      <c r="C4027" s="6" t="s">
        <v>656</v>
      </c>
      <c r="D4027" s="13">
        <v>4848.9947025000001</v>
      </c>
      <c r="E4027" s="18">
        <v>21</v>
      </c>
      <c r="F4027" s="2">
        <f t="shared" si="124"/>
        <v>5867.2835900250002</v>
      </c>
      <c r="G4027" s="3">
        <v>0</v>
      </c>
      <c r="H4027" s="4">
        <v>0.7</v>
      </c>
      <c r="I4027" s="28">
        <f t="shared" si="125"/>
        <v>9974.3821030425006</v>
      </c>
    </row>
    <row r="4028" spans="1:9" ht="15" customHeight="1" x14ac:dyDescent="0.35">
      <c r="A4028" s="26" t="s">
        <v>12721</v>
      </c>
      <c r="B4028" s="25" t="s">
        <v>11296</v>
      </c>
      <c r="C4028" s="6" t="s">
        <v>13273</v>
      </c>
      <c r="D4028" s="13">
        <v>326.78355089249999</v>
      </c>
      <c r="E4028" s="18">
        <v>21</v>
      </c>
      <c r="F4028" s="2">
        <f t="shared" si="124"/>
        <v>395.40809657992497</v>
      </c>
      <c r="G4028" s="3">
        <v>0</v>
      </c>
      <c r="H4028" s="4">
        <v>0.7</v>
      </c>
      <c r="I4028" s="28">
        <f t="shared" si="125"/>
        <v>672.1937641858724</v>
      </c>
    </row>
    <row r="4029" spans="1:9" ht="15" customHeight="1" x14ac:dyDescent="0.35">
      <c r="A4029" s="26" t="s">
        <v>12722</v>
      </c>
      <c r="B4029" s="25" t="s">
        <v>10550</v>
      </c>
      <c r="C4029" s="6" t="s">
        <v>13274</v>
      </c>
      <c r="D4029" s="13">
        <v>326.78355089249999</v>
      </c>
      <c r="E4029" s="18">
        <v>21</v>
      </c>
      <c r="F4029" s="2">
        <f t="shared" si="124"/>
        <v>395.40809657992497</v>
      </c>
      <c r="G4029" s="3">
        <v>0</v>
      </c>
      <c r="H4029" s="4">
        <v>0.7</v>
      </c>
      <c r="I4029" s="28">
        <f t="shared" si="125"/>
        <v>672.1937641858724</v>
      </c>
    </row>
    <row r="4030" spans="1:9" ht="15" customHeight="1" x14ac:dyDescent="0.35">
      <c r="A4030" s="26" t="s">
        <v>4649</v>
      </c>
      <c r="B4030" s="25" t="s">
        <v>9334</v>
      </c>
      <c r="C4030" s="6" t="s">
        <v>13344</v>
      </c>
      <c r="D4030" s="13">
        <v>2228.0907134720401</v>
      </c>
      <c r="E4030" s="18">
        <v>21</v>
      </c>
      <c r="F4030" s="2">
        <f t="shared" si="124"/>
        <v>2695.9897633011688</v>
      </c>
      <c r="G4030" s="3">
        <v>0</v>
      </c>
      <c r="H4030" s="4">
        <v>0.7</v>
      </c>
      <c r="I4030" s="28">
        <f t="shared" si="125"/>
        <v>4583.1825976119871</v>
      </c>
    </row>
    <row r="4031" spans="1:9" ht="15" customHeight="1" x14ac:dyDescent="0.35">
      <c r="A4031" s="26" t="s">
        <v>4648</v>
      </c>
      <c r="B4031" s="25" t="s">
        <v>11819</v>
      </c>
      <c r="C4031" s="6" t="s">
        <v>13345</v>
      </c>
      <c r="D4031" s="13">
        <v>2129.1743665919898</v>
      </c>
      <c r="E4031" s="18">
        <v>21</v>
      </c>
      <c r="F4031" s="2">
        <f t="shared" si="124"/>
        <v>2576.3009835763078</v>
      </c>
      <c r="G4031" s="3">
        <v>0</v>
      </c>
      <c r="H4031" s="4">
        <v>0.7</v>
      </c>
      <c r="I4031" s="28">
        <f t="shared" si="125"/>
        <v>4379.711672079723</v>
      </c>
    </row>
    <row r="4032" spans="1:9" ht="15" customHeight="1" x14ac:dyDescent="0.35">
      <c r="A4032" s="26" t="s">
        <v>13417</v>
      </c>
      <c r="B4032" s="25" t="s">
        <v>11820</v>
      </c>
      <c r="C4032" s="6" t="s">
        <v>13418</v>
      </c>
      <c r="D4032" s="13">
        <v>122.493317112732</v>
      </c>
      <c r="E4032" s="18">
        <v>21</v>
      </c>
      <c r="F4032" s="2">
        <f t="shared" si="124"/>
        <v>148.21691370640571</v>
      </c>
      <c r="G4032" s="3">
        <v>0</v>
      </c>
      <c r="H4032" s="4">
        <v>0.7</v>
      </c>
      <c r="I4032" s="28">
        <f t="shared" si="125"/>
        <v>251.96875330088969</v>
      </c>
    </row>
    <row r="4033" spans="1:9" ht="15" customHeight="1" x14ac:dyDescent="0.35">
      <c r="A4033" s="26" t="s">
        <v>13419</v>
      </c>
      <c r="B4033" s="25" t="s">
        <v>11821</v>
      </c>
      <c r="C4033" s="6" t="s">
        <v>13420</v>
      </c>
      <c r="D4033" s="13">
        <v>183.72652137039299</v>
      </c>
      <c r="E4033" s="18">
        <v>21</v>
      </c>
      <c r="F4033" s="2">
        <f t="shared" si="124"/>
        <v>222.30909085817552</v>
      </c>
      <c r="G4033" s="3">
        <v>0</v>
      </c>
      <c r="H4033" s="4">
        <v>0.7</v>
      </c>
      <c r="I4033" s="28">
        <f t="shared" si="125"/>
        <v>377.9254544588984</v>
      </c>
    </row>
    <row r="4034" spans="1:9" ht="15" customHeight="1" x14ac:dyDescent="0.35">
      <c r="A4034" s="26" t="s">
        <v>13421</v>
      </c>
      <c r="B4034" s="25" t="s">
        <v>11822</v>
      </c>
      <c r="C4034" s="6" t="s">
        <v>13422</v>
      </c>
      <c r="D4034" s="13">
        <v>244.98663422546301</v>
      </c>
      <c r="E4034" s="18">
        <v>21</v>
      </c>
      <c r="F4034" s="2">
        <f t="shared" si="124"/>
        <v>296.43382741281022</v>
      </c>
      <c r="G4034" s="3">
        <v>0</v>
      </c>
      <c r="H4034" s="4">
        <v>0.7</v>
      </c>
      <c r="I4034" s="28">
        <f t="shared" si="125"/>
        <v>503.93750660177733</v>
      </c>
    </row>
    <row r="4035" spans="1:9" ht="15" customHeight="1" x14ac:dyDescent="0.35">
      <c r="A4035" s="26" t="s">
        <v>8956</v>
      </c>
      <c r="B4035" s="25" t="s">
        <v>11823</v>
      </c>
      <c r="C4035" s="6" t="s">
        <v>8957</v>
      </c>
      <c r="D4035" s="13">
        <v>1688.7243542000001</v>
      </c>
      <c r="E4035" s="18">
        <v>21</v>
      </c>
      <c r="F4035" s="2">
        <f t="shared" si="124"/>
        <v>2043.3564685820002</v>
      </c>
      <c r="G4035" s="3">
        <v>0</v>
      </c>
      <c r="H4035" s="4">
        <v>0.7</v>
      </c>
      <c r="I4035" s="28">
        <f t="shared" si="125"/>
        <v>3473.7059965894</v>
      </c>
    </row>
    <row r="4036" spans="1:9" ht="15" customHeight="1" x14ac:dyDescent="0.35">
      <c r="A4036" s="26" t="s">
        <v>8958</v>
      </c>
      <c r="B4036" s="25" t="s">
        <v>9949</v>
      </c>
      <c r="C4036" s="6" t="s">
        <v>8959</v>
      </c>
      <c r="D4036" s="13">
        <v>1688.7243542000001</v>
      </c>
      <c r="E4036" s="18">
        <v>21</v>
      </c>
      <c r="F4036" s="2">
        <f t="shared" si="124"/>
        <v>2043.3564685820002</v>
      </c>
      <c r="G4036" s="3">
        <v>0</v>
      </c>
      <c r="H4036" s="4">
        <v>0.7</v>
      </c>
      <c r="I4036" s="28">
        <f t="shared" si="125"/>
        <v>3473.7059965894</v>
      </c>
    </row>
    <row r="4037" spans="1:9" ht="15" customHeight="1" x14ac:dyDescent="0.35">
      <c r="A4037" s="26" t="s">
        <v>5056</v>
      </c>
      <c r="B4037" s="25" t="s">
        <v>12227</v>
      </c>
      <c r="C4037" s="6" t="s">
        <v>9120</v>
      </c>
      <c r="D4037" s="13">
        <v>4938.0991081401598</v>
      </c>
      <c r="E4037" s="18">
        <v>21</v>
      </c>
      <c r="F4037" s="2">
        <f t="shared" si="124"/>
        <v>5975.0999208495932</v>
      </c>
      <c r="G4037" s="3">
        <v>0</v>
      </c>
      <c r="H4037" s="4">
        <v>0.7</v>
      </c>
      <c r="I4037" s="28">
        <f t="shared" si="125"/>
        <v>10157.669865444308</v>
      </c>
    </row>
    <row r="4038" spans="1:9" ht="15" customHeight="1" x14ac:dyDescent="0.35">
      <c r="A4038" s="26" t="s">
        <v>5057</v>
      </c>
      <c r="B4038" s="25" t="s">
        <v>9093</v>
      </c>
      <c r="C4038" s="6" t="s">
        <v>9121</v>
      </c>
      <c r="D4038" s="13">
        <v>4938.0991081401598</v>
      </c>
      <c r="E4038" s="18">
        <v>21</v>
      </c>
      <c r="F4038" s="2">
        <f t="shared" ref="F4038:F4101" si="126">D4038*E4038/100+D4038</f>
        <v>5975.0999208495932</v>
      </c>
      <c r="G4038" s="3">
        <v>0</v>
      </c>
      <c r="H4038" s="4">
        <v>0.7</v>
      </c>
      <c r="I4038" s="28">
        <f t="shared" ref="I4038:I4101" si="127">IF(G4038=-1,0,F4038*((100-G4038)/100)*(1+H4038))</f>
        <v>10157.669865444308</v>
      </c>
    </row>
    <row r="4039" spans="1:9" ht="15" customHeight="1" x14ac:dyDescent="0.35">
      <c r="A4039" s="26" t="s">
        <v>5058</v>
      </c>
      <c r="B4039" s="25" t="s">
        <v>1121</v>
      </c>
      <c r="C4039" s="6" t="s">
        <v>9122</v>
      </c>
      <c r="D4039" s="13">
        <v>4938.0991081401598</v>
      </c>
      <c r="E4039" s="18">
        <v>21</v>
      </c>
      <c r="F4039" s="2">
        <f t="shared" si="126"/>
        <v>5975.0999208495932</v>
      </c>
      <c r="G4039" s="3">
        <v>0</v>
      </c>
      <c r="H4039" s="4">
        <v>0.7</v>
      </c>
      <c r="I4039" s="28">
        <f t="shared" si="127"/>
        <v>10157.669865444308</v>
      </c>
    </row>
    <row r="4040" spans="1:9" ht="15" customHeight="1" x14ac:dyDescent="0.35">
      <c r="A4040" s="26" t="s">
        <v>5059</v>
      </c>
      <c r="B4040" s="25" t="s">
        <v>620</v>
      </c>
      <c r="C4040" s="6" t="s">
        <v>9123</v>
      </c>
      <c r="D4040" s="13">
        <v>4938.0991081401598</v>
      </c>
      <c r="E4040" s="18">
        <v>21</v>
      </c>
      <c r="F4040" s="2">
        <f t="shared" si="126"/>
        <v>5975.0999208495932</v>
      </c>
      <c r="G4040" s="3">
        <v>0</v>
      </c>
      <c r="H4040" s="4">
        <v>0.7</v>
      </c>
      <c r="I4040" s="28">
        <f t="shared" si="127"/>
        <v>10157.669865444308</v>
      </c>
    </row>
    <row r="4041" spans="1:9" ht="15" customHeight="1" x14ac:dyDescent="0.35">
      <c r="A4041" s="26" t="s">
        <v>5060</v>
      </c>
      <c r="B4041" s="25" t="s">
        <v>621</v>
      </c>
      <c r="C4041" s="6" t="s">
        <v>9124</v>
      </c>
      <c r="D4041" s="13">
        <v>4938.0991081401598</v>
      </c>
      <c r="E4041" s="18">
        <v>21</v>
      </c>
      <c r="F4041" s="2">
        <f t="shared" si="126"/>
        <v>5975.0999208495932</v>
      </c>
      <c r="G4041" s="3">
        <v>0</v>
      </c>
      <c r="H4041" s="4">
        <v>0.7</v>
      </c>
      <c r="I4041" s="28">
        <f t="shared" si="127"/>
        <v>10157.669865444308</v>
      </c>
    </row>
    <row r="4042" spans="1:9" ht="15" customHeight="1" x14ac:dyDescent="0.35">
      <c r="A4042" s="26" t="s">
        <v>5061</v>
      </c>
      <c r="B4042" s="25" t="s">
        <v>622</v>
      </c>
      <c r="C4042" s="6" t="s">
        <v>9125</v>
      </c>
      <c r="D4042" s="13">
        <v>4938.0991081401598</v>
      </c>
      <c r="E4042" s="18">
        <v>21</v>
      </c>
      <c r="F4042" s="2">
        <f t="shared" si="126"/>
        <v>5975.0999208495932</v>
      </c>
      <c r="G4042" s="3">
        <v>0</v>
      </c>
      <c r="H4042" s="4">
        <v>0.7</v>
      </c>
      <c r="I4042" s="28">
        <f t="shared" si="127"/>
        <v>10157.669865444308</v>
      </c>
    </row>
    <row r="4043" spans="1:9" ht="15" customHeight="1" x14ac:dyDescent="0.35">
      <c r="A4043" s="26" t="s">
        <v>2635</v>
      </c>
      <c r="B4043" s="25" t="s">
        <v>623</v>
      </c>
      <c r="C4043" s="6" t="s">
        <v>1124</v>
      </c>
      <c r="D4043" s="13">
        <v>277.61418035000003</v>
      </c>
      <c r="E4043" s="18">
        <v>21</v>
      </c>
      <c r="F4043" s="2">
        <f t="shared" si="126"/>
        <v>335.91315822350003</v>
      </c>
      <c r="G4043" s="3">
        <v>0</v>
      </c>
      <c r="H4043" s="4">
        <v>0.7</v>
      </c>
      <c r="I4043" s="28">
        <f t="shared" si="127"/>
        <v>571.05236897995007</v>
      </c>
    </row>
    <row r="4044" spans="1:9" ht="15" customHeight="1" x14ac:dyDescent="0.35">
      <c r="A4044" s="26" t="s">
        <v>2636</v>
      </c>
      <c r="B4044" s="25" t="s">
        <v>624</v>
      </c>
      <c r="C4044" s="6" t="s">
        <v>657</v>
      </c>
      <c r="D4044" s="13">
        <v>189.56827938750001</v>
      </c>
      <c r="E4044" s="18">
        <v>21</v>
      </c>
      <c r="F4044" s="2">
        <f t="shared" si="126"/>
        <v>229.37761805887502</v>
      </c>
      <c r="G4044" s="3">
        <v>0</v>
      </c>
      <c r="H4044" s="4">
        <v>0.7</v>
      </c>
      <c r="I4044" s="28">
        <f t="shared" si="127"/>
        <v>389.94195070008749</v>
      </c>
    </row>
    <row r="4045" spans="1:9" ht="15" customHeight="1" x14ac:dyDescent="0.35">
      <c r="A4045" s="26" t="s">
        <v>2637</v>
      </c>
      <c r="B4045" s="25" t="s">
        <v>625</v>
      </c>
      <c r="C4045" s="6" t="s">
        <v>658</v>
      </c>
      <c r="D4045" s="13">
        <v>236.28715305</v>
      </c>
      <c r="E4045" s="18">
        <v>21</v>
      </c>
      <c r="F4045" s="2">
        <f t="shared" si="126"/>
        <v>285.9074551905</v>
      </c>
      <c r="G4045" s="3">
        <v>0</v>
      </c>
      <c r="H4045" s="4">
        <v>0.7</v>
      </c>
      <c r="I4045" s="28">
        <f t="shared" si="127"/>
        <v>486.04267382385001</v>
      </c>
    </row>
    <row r="4046" spans="1:9" ht="15" customHeight="1" x14ac:dyDescent="0.35">
      <c r="A4046" s="26" t="s">
        <v>2638</v>
      </c>
      <c r="B4046" s="25" t="s">
        <v>626</v>
      </c>
      <c r="C4046" s="6" t="s">
        <v>659</v>
      </c>
      <c r="D4046" s="13">
        <v>197.65291048750001</v>
      </c>
      <c r="E4046" s="18">
        <v>21</v>
      </c>
      <c r="F4046" s="2">
        <f t="shared" si="126"/>
        <v>239.16002168987501</v>
      </c>
      <c r="G4046" s="3">
        <v>0</v>
      </c>
      <c r="H4046" s="4">
        <v>0.7</v>
      </c>
      <c r="I4046" s="28">
        <f t="shared" si="127"/>
        <v>406.57203687278752</v>
      </c>
    </row>
    <row r="4047" spans="1:9" ht="15" customHeight="1" x14ac:dyDescent="0.35">
      <c r="A4047" s="26" t="s">
        <v>4783</v>
      </c>
      <c r="B4047" s="25" t="s">
        <v>10754</v>
      </c>
      <c r="C4047" s="6" t="s">
        <v>660</v>
      </c>
      <c r="D4047" s="13">
        <v>309.113584</v>
      </c>
      <c r="E4047" s="18">
        <v>21</v>
      </c>
      <c r="F4047" s="2">
        <f t="shared" si="126"/>
        <v>374.02743664000002</v>
      </c>
      <c r="G4047" s="3">
        <v>0</v>
      </c>
      <c r="H4047" s="4">
        <v>0.7</v>
      </c>
      <c r="I4047" s="28">
        <f t="shared" si="127"/>
        <v>635.846642288</v>
      </c>
    </row>
    <row r="4048" spans="1:9" ht="15" customHeight="1" x14ac:dyDescent="0.35">
      <c r="A4048" s="26" t="s">
        <v>4784</v>
      </c>
      <c r="B4048" s="25" t="s">
        <v>627</v>
      </c>
      <c r="C4048" s="6" t="s">
        <v>661</v>
      </c>
      <c r="D4048" s="13">
        <v>1866.0559179112499</v>
      </c>
      <c r="E4048" s="18">
        <v>21</v>
      </c>
      <c r="F4048" s="2">
        <f t="shared" si="126"/>
        <v>2257.9276606726125</v>
      </c>
      <c r="G4048" s="3">
        <v>0</v>
      </c>
      <c r="H4048" s="4">
        <v>0.7</v>
      </c>
      <c r="I4048" s="28">
        <f t="shared" si="127"/>
        <v>3838.4770231434413</v>
      </c>
    </row>
    <row r="4049" spans="1:9" ht="15" customHeight="1" x14ac:dyDescent="0.35">
      <c r="A4049" s="26" t="s">
        <v>5062</v>
      </c>
      <c r="B4049" s="25" t="s">
        <v>628</v>
      </c>
      <c r="C4049" s="6" t="s">
        <v>662</v>
      </c>
      <c r="D4049" s="13">
        <v>733.65393405575503</v>
      </c>
      <c r="E4049" s="18">
        <v>21</v>
      </c>
      <c r="F4049" s="2">
        <f t="shared" si="126"/>
        <v>887.72126020746362</v>
      </c>
      <c r="G4049" s="3">
        <v>0</v>
      </c>
      <c r="H4049" s="4">
        <v>0.7</v>
      </c>
      <c r="I4049" s="28">
        <f t="shared" si="127"/>
        <v>1509.126142352688</v>
      </c>
    </row>
    <row r="4050" spans="1:9" ht="15" customHeight="1" x14ac:dyDescent="0.35">
      <c r="A4050" s="26" t="s">
        <v>5063</v>
      </c>
      <c r="B4050" s="25" t="s">
        <v>629</v>
      </c>
      <c r="C4050" s="6" t="s">
        <v>663</v>
      </c>
      <c r="D4050" s="13">
        <v>733.65393405575503</v>
      </c>
      <c r="E4050" s="18">
        <v>21</v>
      </c>
      <c r="F4050" s="2">
        <f t="shared" si="126"/>
        <v>887.72126020746362</v>
      </c>
      <c r="G4050" s="3">
        <v>0</v>
      </c>
      <c r="H4050" s="4">
        <v>0.7</v>
      </c>
      <c r="I4050" s="28">
        <f t="shared" si="127"/>
        <v>1509.126142352688</v>
      </c>
    </row>
    <row r="4051" spans="1:9" ht="15" customHeight="1" x14ac:dyDescent="0.35">
      <c r="A4051" s="26" t="s">
        <v>2639</v>
      </c>
      <c r="B4051" s="25" t="s">
        <v>630</v>
      </c>
      <c r="C4051" s="6" t="s">
        <v>664</v>
      </c>
      <c r="D4051" s="13">
        <v>158.30310274999999</v>
      </c>
      <c r="E4051" s="18">
        <v>21</v>
      </c>
      <c r="F4051" s="2">
        <f t="shared" si="126"/>
        <v>191.5467543275</v>
      </c>
      <c r="G4051" s="3">
        <v>0</v>
      </c>
      <c r="H4051" s="4">
        <v>0.7</v>
      </c>
      <c r="I4051" s="28">
        <f t="shared" si="127"/>
        <v>325.62948235674997</v>
      </c>
    </row>
    <row r="4052" spans="1:9" ht="15" customHeight="1" x14ac:dyDescent="0.35">
      <c r="A4052" s="26" t="s">
        <v>5064</v>
      </c>
      <c r="B4052" s="25" t="s">
        <v>631</v>
      </c>
      <c r="C4052" s="6" t="s">
        <v>665</v>
      </c>
      <c r="D4052" s="13">
        <v>970.835850557914</v>
      </c>
      <c r="E4052" s="18">
        <v>21</v>
      </c>
      <c r="F4052" s="2">
        <f t="shared" si="126"/>
        <v>1174.711379175076</v>
      </c>
      <c r="G4052" s="3">
        <v>0</v>
      </c>
      <c r="H4052" s="4">
        <v>0.7</v>
      </c>
      <c r="I4052" s="28">
        <f t="shared" si="127"/>
        <v>1997.009344597629</v>
      </c>
    </row>
    <row r="4053" spans="1:9" ht="15" customHeight="1" x14ac:dyDescent="0.35">
      <c r="A4053" s="26" t="s">
        <v>4916</v>
      </c>
      <c r="B4053" s="25" t="s">
        <v>10779</v>
      </c>
      <c r="C4053" s="6" t="s">
        <v>666</v>
      </c>
      <c r="D4053" s="13">
        <v>382.72669500000001</v>
      </c>
      <c r="E4053" s="18">
        <v>21</v>
      </c>
      <c r="F4053" s="2">
        <f t="shared" si="126"/>
        <v>463.09930094999999</v>
      </c>
      <c r="G4053" s="3">
        <v>0</v>
      </c>
      <c r="H4053" s="4">
        <v>0.7</v>
      </c>
      <c r="I4053" s="28">
        <f t="shared" si="127"/>
        <v>787.268811615</v>
      </c>
    </row>
    <row r="4054" spans="1:9" ht="15" customHeight="1" x14ac:dyDescent="0.35">
      <c r="A4054" s="26" t="s">
        <v>4917</v>
      </c>
      <c r="B4054" s="25" t="s">
        <v>9099</v>
      </c>
      <c r="C4054" s="6" t="s">
        <v>667</v>
      </c>
      <c r="D4054" s="13">
        <v>402.09358800000001</v>
      </c>
      <c r="E4054" s="18">
        <v>21</v>
      </c>
      <c r="F4054" s="2">
        <f t="shared" si="126"/>
        <v>486.53324148000002</v>
      </c>
      <c r="G4054" s="3">
        <v>0</v>
      </c>
      <c r="H4054" s="4">
        <v>0.7</v>
      </c>
      <c r="I4054" s="28">
        <f t="shared" si="127"/>
        <v>827.10651051599996</v>
      </c>
    </row>
    <row r="4055" spans="1:9" ht="15" customHeight="1" x14ac:dyDescent="0.35">
      <c r="A4055" s="26" t="s">
        <v>4918</v>
      </c>
      <c r="B4055" s="25" t="s">
        <v>9100</v>
      </c>
      <c r="C4055" s="6" t="s">
        <v>668</v>
      </c>
      <c r="D4055" s="13">
        <v>382.72669500000001</v>
      </c>
      <c r="E4055" s="18">
        <v>21</v>
      </c>
      <c r="F4055" s="2">
        <f t="shared" si="126"/>
        <v>463.09930094999999</v>
      </c>
      <c r="G4055" s="3">
        <v>0</v>
      </c>
      <c r="H4055" s="4">
        <v>0.7</v>
      </c>
      <c r="I4055" s="28">
        <f t="shared" si="127"/>
        <v>787.268811615</v>
      </c>
    </row>
    <row r="4056" spans="1:9" ht="15" customHeight="1" x14ac:dyDescent="0.35">
      <c r="A4056" s="26" t="s">
        <v>11543</v>
      </c>
      <c r="B4056" s="25" t="s">
        <v>9101</v>
      </c>
      <c r="C4056" s="6" t="s">
        <v>11544</v>
      </c>
      <c r="D4056" s="13">
        <v>1313.6421952304599</v>
      </c>
      <c r="E4056" s="18">
        <v>21</v>
      </c>
      <c r="F4056" s="2">
        <f t="shared" si="126"/>
        <v>1589.5070562288565</v>
      </c>
      <c r="G4056" s="3">
        <v>0</v>
      </c>
      <c r="H4056" s="4">
        <v>0.7</v>
      </c>
      <c r="I4056" s="28">
        <f t="shared" si="127"/>
        <v>2702.161995589056</v>
      </c>
    </row>
    <row r="4057" spans="1:9" ht="15" customHeight="1" x14ac:dyDescent="0.35">
      <c r="A4057" s="26" t="s">
        <v>2841</v>
      </c>
      <c r="B4057" s="25" t="s">
        <v>9097</v>
      </c>
      <c r="C4057" s="6" t="s">
        <v>1064</v>
      </c>
      <c r="D4057" s="13">
        <v>627.27145000000007</v>
      </c>
      <c r="E4057" s="18">
        <v>21</v>
      </c>
      <c r="F4057" s="2">
        <f t="shared" si="126"/>
        <v>758.99845450000009</v>
      </c>
      <c r="G4057" s="3">
        <v>0</v>
      </c>
      <c r="H4057" s="4">
        <v>0.7</v>
      </c>
      <c r="I4057" s="28">
        <f t="shared" si="127"/>
        <v>1290.2973726500002</v>
      </c>
    </row>
    <row r="4058" spans="1:9" ht="15" customHeight="1" x14ac:dyDescent="0.35">
      <c r="A4058" s="26" t="s">
        <v>4144</v>
      </c>
      <c r="B4058" s="25" t="s">
        <v>9098</v>
      </c>
      <c r="C4058" s="6" t="s">
        <v>12617</v>
      </c>
      <c r="D4058" s="13">
        <v>19083.211347199998</v>
      </c>
      <c r="E4058" s="18">
        <v>21</v>
      </c>
      <c r="F4058" s="2">
        <f t="shared" si="126"/>
        <v>23090.685730111996</v>
      </c>
      <c r="G4058" s="3">
        <v>0</v>
      </c>
      <c r="H4058" s="4">
        <v>0.7</v>
      </c>
      <c r="I4058" s="28">
        <f t="shared" si="127"/>
        <v>39254.165741190394</v>
      </c>
    </row>
    <row r="4059" spans="1:9" ht="15" customHeight="1" x14ac:dyDescent="0.35">
      <c r="A4059" s="26" t="s">
        <v>4761</v>
      </c>
      <c r="B4059" s="25" t="s">
        <v>8949</v>
      </c>
      <c r="C4059" s="6" t="s">
        <v>669</v>
      </c>
      <c r="D4059" s="13">
        <v>34.926264475737803</v>
      </c>
      <c r="E4059" s="18">
        <v>21</v>
      </c>
      <c r="F4059" s="2">
        <f t="shared" si="126"/>
        <v>42.260780015642737</v>
      </c>
      <c r="G4059" s="3">
        <v>0</v>
      </c>
      <c r="H4059" s="4">
        <v>0.7</v>
      </c>
      <c r="I4059" s="28">
        <f t="shared" si="127"/>
        <v>71.843326026592649</v>
      </c>
    </row>
    <row r="4060" spans="1:9" ht="15" customHeight="1" x14ac:dyDescent="0.35">
      <c r="A4060" s="26" t="s">
        <v>4762</v>
      </c>
      <c r="B4060" s="25" t="s">
        <v>8951</v>
      </c>
      <c r="C4060" s="6" t="s">
        <v>670</v>
      </c>
      <c r="D4060" s="13">
        <v>34.926264475737597</v>
      </c>
      <c r="E4060" s="18">
        <v>21</v>
      </c>
      <c r="F4060" s="2">
        <f t="shared" si="126"/>
        <v>42.260780015642496</v>
      </c>
      <c r="G4060" s="3">
        <v>0</v>
      </c>
      <c r="H4060" s="4">
        <v>0.7</v>
      </c>
      <c r="I4060" s="28">
        <f t="shared" si="127"/>
        <v>71.843326026592237</v>
      </c>
    </row>
    <row r="4061" spans="1:9" ht="15" customHeight="1" x14ac:dyDescent="0.35">
      <c r="A4061" s="26" t="s">
        <v>4763</v>
      </c>
      <c r="B4061" s="25" t="s">
        <v>632</v>
      </c>
      <c r="C4061" s="6" t="s">
        <v>671</v>
      </c>
      <c r="D4061" s="13">
        <v>34.926264475737597</v>
      </c>
      <c r="E4061" s="18">
        <v>21</v>
      </c>
      <c r="F4061" s="2">
        <f t="shared" si="126"/>
        <v>42.260780015642496</v>
      </c>
      <c r="G4061" s="3">
        <v>0</v>
      </c>
      <c r="H4061" s="4">
        <v>0.7</v>
      </c>
      <c r="I4061" s="28">
        <f t="shared" si="127"/>
        <v>71.843326026592237</v>
      </c>
    </row>
    <row r="4062" spans="1:9" ht="15" customHeight="1" x14ac:dyDescent="0.35">
      <c r="A4062" s="26" t="s">
        <v>4764</v>
      </c>
      <c r="B4062" s="25" t="s">
        <v>633</v>
      </c>
      <c r="C4062" s="6" t="s">
        <v>672</v>
      </c>
      <c r="D4062" s="13">
        <v>34.926264475737597</v>
      </c>
      <c r="E4062" s="18">
        <v>21</v>
      </c>
      <c r="F4062" s="2">
        <f t="shared" si="126"/>
        <v>42.260780015642496</v>
      </c>
      <c r="G4062" s="3">
        <v>0</v>
      </c>
      <c r="H4062" s="4">
        <v>0.7</v>
      </c>
      <c r="I4062" s="28">
        <f t="shared" si="127"/>
        <v>71.843326026592237</v>
      </c>
    </row>
    <row r="4063" spans="1:9" ht="15" customHeight="1" x14ac:dyDescent="0.35">
      <c r="A4063" s="26" t="s">
        <v>4765</v>
      </c>
      <c r="B4063" s="25" t="s">
        <v>634</v>
      </c>
      <c r="C4063" s="6" t="s">
        <v>673</v>
      </c>
      <c r="D4063" s="13">
        <v>34.926264475737597</v>
      </c>
      <c r="E4063" s="18">
        <v>21</v>
      </c>
      <c r="F4063" s="2">
        <f t="shared" si="126"/>
        <v>42.260780015642496</v>
      </c>
      <c r="G4063" s="3">
        <v>0</v>
      </c>
      <c r="H4063" s="4">
        <v>0.7</v>
      </c>
      <c r="I4063" s="28">
        <f t="shared" si="127"/>
        <v>71.843326026592237</v>
      </c>
    </row>
    <row r="4064" spans="1:9" ht="15" customHeight="1" x14ac:dyDescent="0.35">
      <c r="A4064" s="26" t="s">
        <v>8960</v>
      </c>
      <c r="B4064" s="25" t="s">
        <v>635</v>
      </c>
      <c r="C4064" s="6" t="s">
        <v>8961</v>
      </c>
      <c r="D4064" s="13">
        <v>2894.9611626000001</v>
      </c>
      <c r="E4064" s="18">
        <v>21</v>
      </c>
      <c r="F4064" s="2">
        <f t="shared" si="126"/>
        <v>3502.9030067459998</v>
      </c>
      <c r="G4064" s="3">
        <v>0</v>
      </c>
      <c r="H4064" s="4">
        <v>0.7</v>
      </c>
      <c r="I4064" s="28">
        <f t="shared" si="127"/>
        <v>5954.9351114681995</v>
      </c>
    </row>
    <row r="4065" spans="1:9" ht="15" customHeight="1" x14ac:dyDescent="0.35">
      <c r="A4065" s="26" t="s">
        <v>8962</v>
      </c>
      <c r="B4065" s="25" t="s">
        <v>636</v>
      </c>
      <c r="C4065" s="6" t="s">
        <v>8963</v>
      </c>
      <c r="D4065" s="13">
        <v>2894.9611626000001</v>
      </c>
      <c r="E4065" s="18">
        <v>21</v>
      </c>
      <c r="F4065" s="2">
        <f t="shared" si="126"/>
        <v>3502.9030067459998</v>
      </c>
      <c r="G4065" s="3">
        <v>0</v>
      </c>
      <c r="H4065" s="4">
        <v>0.7</v>
      </c>
      <c r="I4065" s="28">
        <f t="shared" si="127"/>
        <v>5954.9351114681995</v>
      </c>
    </row>
    <row r="4066" spans="1:9" ht="15" customHeight="1" x14ac:dyDescent="0.35">
      <c r="A4066" s="26" t="s">
        <v>4785</v>
      </c>
      <c r="B4066" s="25" t="s">
        <v>9102</v>
      </c>
      <c r="C4066" s="6" t="s">
        <v>674</v>
      </c>
      <c r="D4066" s="13">
        <v>279.43867993600003</v>
      </c>
      <c r="E4066" s="18">
        <v>21</v>
      </c>
      <c r="F4066" s="2">
        <f t="shared" si="126"/>
        <v>338.12080272256003</v>
      </c>
      <c r="G4066" s="3">
        <v>0</v>
      </c>
      <c r="H4066" s="4">
        <v>0.7</v>
      </c>
      <c r="I4066" s="28">
        <f t="shared" si="127"/>
        <v>574.80536462835198</v>
      </c>
    </row>
    <row r="4067" spans="1:9" ht="15" customHeight="1" x14ac:dyDescent="0.35">
      <c r="A4067" s="26" t="s">
        <v>2640</v>
      </c>
      <c r="B4067" s="25" t="s">
        <v>637</v>
      </c>
      <c r="C4067" s="6" t="s">
        <v>9804</v>
      </c>
      <c r="D4067" s="13">
        <v>794.95650000000001</v>
      </c>
      <c r="E4067" s="18">
        <v>21</v>
      </c>
      <c r="F4067" s="2">
        <f t="shared" si="126"/>
        <v>961.89736500000004</v>
      </c>
      <c r="G4067" s="3">
        <v>0</v>
      </c>
      <c r="H4067" s="4">
        <v>0.7</v>
      </c>
      <c r="I4067" s="28">
        <f t="shared" si="127"/>
        <v>1635.2255205000001</v>
      </c>
    </row>
    <row r="4068" spans="1:9" ht="15" customHeight="1" x14ac:dyDescent="0.35">
      <c r="A4068" s="26" t="s">
        <v>9805</v>
      </c>
      <c r="B4068" s="25" t="s">
        <v>10551</v>
      </c>
      <c r="C4068" s="6" t="s">
        <v>9806</v>
      </c>
      <c r="D4068" s="13">
        <v>128.91788</v>
      </c>
      <c r="E4068" s="18">
        <v>21</v>
      </c>
      <c r="F4068" s="2">
        <f t="shared" si="126"/>
        <v>155.99063480000001</v>
      </c>
      <c r="G4068" s="3">
        <v>0</v>
      </c>
      <c r="H4068" s="4">
        <v>0.7</v>
      </c>
      <c r="I4068" s="28">
        <f t="shared" si="127"/>
        <v>265.18407916000001</v>
      </c>
    </row>
    <row r="4069" spans="1:9" ht="15" customHeight="1" x14ac:dyDescent="0.35">
      <c r="A4069" s="26" t="s">
        <v>2641</v>
      </c>
      <c r="B4069" s="25" t="s">
        <v>10552</v>
      </c>
      <c r="C4069" s="6" t="s">
        <v>9807</v>
      </c>
      <c r="D4069" s="13">
        <v>191.59634</v>
      </c>
      <c r="E4069" s="18">
        <v>21</v>
      </c>
      <c r="F4069" s="2">
        <f t="shared" si="126"/>
        <v>231.8315714</v>
      </c>
      <c r="G4069" s="3">
        <v>0</v>
      </c>
      <c r="H4069" s="4">
        <v>0.7</v>
      </c>
      <c r="I4069" s="28">
        <f t="shared" si="127"/>
        <v>394.11367137999997</v>
      </c>
    </row>
    <row r="4070" spans="1:9" ht="15" customHeight="1" x14ac:dyDescent="0.35">
      <c r="A4070" s="26" t="s">
        <v>13189</v>
      </c>
      <c r="B4070" s="25" t="s">
        <v>1062</v>
      </c>
      <c r="C4070" s="6" t="s">
        <v>13190</v>
      </c>
      <c r="D4070" s="13">
        <v>643.74228100000005</v>
      </c>
      <c r="E4070" s="18">
        <v>21</v>
      </c>
      <c r="F4070" s="2">
        <f t="shared" si="126"/>
        <v>778.92816001000006</v>
      </c>
      <c r="G4070" s="3">
        <v>0</v>
      </c>
      <c r="H4070" s="4">
        <v>0.7</v>
      </c>
      <c r="I4070" s="28">
        <f t="shared" si="127"/>
        <v>1324.177872017</v>
      </c>
    </row>
    <row r="4071" spans="1:9" ht="15" customHeight="1" x14ac:dyDescent="0.35">
      <c r="A4071" s="26" t="s">
        <v>2642</v>
      </c>
      <c r="B4071" s="25" t="s">
        <v>1063</v>
      </c>
      <c r="C4071" s="6" t="s">
        <v>9808</v>
      </c>
      <c r="D4071" s="13">
        <v>667.45343447640005</v>
      </c>
      <c r="E4071" s="18">
        <v>21</v>
      </c>
      <c r="F4071" s="2">
        <f t="shared" si="126"/>
        <v>807.6186557164441</v>
      </c>
      <c r="G4071" s="3">
        <v>0</v>
      </c>
      <c r="H4071" s="4">
        <v>0.7</v>
      </c>
      <c r="I4071" s="28">
        <f t="shared" si="127"/>
        <v>1372.9517147179549</v>
      </c>
    </row>
    <row r="4072" spans="1:9" ht="15" customHeight="1" x14ac:dyDescent="0.35">
      <c r="A4072" s="26" t="s">
        <v>13191</v>
      </c>
      <c r="B4072" s="25" t="s">
        <v>1025</v>
      </c>
      <c r="C4072" s="6" t="s">
        <v>13192</v>
      </c>
      <c r="D4072" s="13">
        <v>585.10954449999997</v>
      </c>
      <c r="E4072" s="18">
        <v>21</v>
      </c>
      <c r="F4072" s="2">
        <f t="shared" si="126"/>
        <v>707.982548845</v>
      </c>
      <c r="G4072" s="3">
        <v>0</v>
      </c>
      <c r="H4072" s="4">
        <v>0.7</v>
      </c>
      <c r="I4072" s="28">
        <f t="shared" si="127"/>
        <v>1203.5703330365</v>
      </c>
    </row>
    <row r="4073" spans="1:9" ht="15" customHeight="1" x14ac:dyDescent="0.35">
      <c r="A4073" s="26" t="s">
        <v>9824</v>
      </c>
      <c r="B4073" s="25" t="s">
        <v>638</v>
      </c>
      <c r="C4073" s="6" t="s">
        <v>9825</v>
      </c>
      <c r="D4073" s="13">
        <v>443.6082386658</v>
      </c>
      <c r="E4073" s="18">
        <v>21</v>
      </c>
      <c r="F4073" s="2">
        <f t="shared" si="126"/>
        <v>536.76596878561804</v>
      </c>
      <c r="G4073" s="3">
        <v>0</v>
      </c>
      <c r="H4073" s="4">
        <v>0.7</v>
      </c>
      <c r="I4073" s="28">
        <f t="shared" si="127"/>
        <v>912.50214693555063</v>
      </c>
    </row>
    <row r="4074" spans="1:9" ht="15" customHeight="1" x14ac:dyDescent="0.35">
      <c r="A4074" s="26" t="s">
        <v>2643</v>
      </c>
      <c r="B4074" s="25" t="s">
        <v>639</v>
      </c>
      <c r="C4074" s="6" t="s">
        <v>9809</v>
      </c>
      <c r="D4074" s="13">
        <v>339.01092454320002</v>
      </c>
      <c r="E4074" s="18">
        <v>21</v>
      </c>
      <c r="F4074" s="2">
        <f t="shared" si="126"/>
        <v>410.20321869727201</v>
      </c>
      <c r="G4074" s="3">
        <v>0</v>
      </c>
      <c r="H4074" s="4">
        <v>0.7</v>
      </c>
      <c r="I4074" s="28">
        <f t="shared" si="127"/>
        <v>697.34547178536241</v>
      </c>
    </row>
    <row r="4075" spans="1:9" ht="15" customHeight="1" x14ac:dyDescent="0.35">
      <c r="A4075" s="26" t="s">
        <v>13193</v>
      </c>
      <c r="B4075" s="25" t="s">
        <v>1282</v>
      </c>
      <c r="C4075" s="6" t="s">
        <v>13194</v>
      </c>
      <c r="D4075" s="13">
        <v>554.56944399999998</v>
      </c>
      <c r="E4075" s="18">
        <v>21</v>
      </c>
      <c r="F4075" s="2">
        <f t="shared" si="126"/>
        <v>671.02902724</v>
      </c>
      <c r="G4075" s="3">
        <v>0</v>
      </c>
      <c r="H4075" s="4">
        <v>0.7</v>
      </c>
      <c r="I4075" s="28">
        <f t="shared" si="127"/>
        <v>1140.749346308</v>
      </c>
    </row>
    <row r="4076" spans="1:9" ht="15" customHeight="1" x14ac:dyDescent="0.35">
      <c r="A4076" s="26" t="s">
        <v>2644</v>
      </c>
      <c r="B4076" s="25" t="s">
        <v>1283</v>
      </c>
      <c r="C4076" s="6" t="s">
        <v>9810</v>
      </c>
      <c r="D4076" s="13">
        <v>96.591040000000007</v>
      </c>
      <c r="E4076" s="18">
        <v>21</v>
      </c>
      <c r="F4076" s="2">
        <f t="shared" si="126"/>
        <v>116.8751584</v>
      </c>
      <c r="G4076" s="3">
        <v>0</v>
      </c>
      <c r="H4076" s="4">
        <v>0.7</v>
      </c>
      <c r="I4076" s="28">
        <f t="shared" si="127"/>
        <v>198.68776928</v>
      </c>
    </row>
    <row r="4077" spans="1:9" ht="15" customHeight="1" x14ac:dyDescent="0.35">
      <c r="A4077" s="26" t="s">
        <v>2645</v>
      </c>
      <c r="B4077" s="25" t="s">
        <v>1284</v>
      </c>
      <c r="C4077" s="6" t="s">
        <v>9811</v>
      </c>
      <c r="D4077" s="13">
        <v>339.01092454320002</v>
      </c>
      <c r="E4077" s="18">
        <v>21</v>
      </c>
      <c r="F4077" s="2">
        <f t="shared" si="126"/>
        <v>410.20321869727201</v>
      </c>
      <c r="G4077" s="3">
        <v>0</v>
      </c>
      <c r="H4077" s="4">
        <v>0.7</v>
      </c>
      <c r="I4077" s="28">
        <f t="shared" si="127"/>
        <v>697.34547178536241</v>
      </c>
    </row>
    <row r="4078" spans="1:9" ht="15" customHeight="1" x14ac:dyDescent="0.35">
      <c r="A4078" s="26" t="s">
        <v>13195</v>
      </c>
      <c r="B4078" s="25" t="s">
        <v>1285</v>
      </c>
      <c r="C4078" s="6" t="s">
        <v>13196</v>
      </c>
      <c r="D4078" s="13">
        <v>643.74228100000005</v>
      </c>
      <c r="E4078" s="18">
        <v>21</v>
      </c>
      <c r="F4078" s="2">
        <f t="shared" si="126"/>
        <v>778.92816001000006</v>
      </c>
      <c r="G4078" s="3">
        <v>0</v>
      </c>
      <c r="H4078" s="4">
        <v>0.7</v>
      </c>
      <c r="I4078" s="28">
        <f t="shared" si="127"/>
        <v>1324.177872017</v>
      </c>
    </row>
    <row r="4079" spans="1:9" ht="15" customHeight="1" x14ac:dyDescent="0.35">
      <c r="A4079" s="26" t="s">
        <v>2646</v>
      </c>
      <c r="B4079" s="25" t="s">
        <v>1286</v>
      </c>
      <c r="C4079" s="6" t="s">
        <v>9812</v>
      </c>
      <c r="D4079" s="13">
        <v>182.13754</v>
      </c>
      <c r="E4079" s="18">
        <v>21</v>
      </c>
      <c r="F4079" s="2">
        <f t="shared" si="126"/>
        <v>220.38642340000001</v>
      </c>
      <c r="G4079" s="3">
        <v>0</v>
      </c>
      <c r="H4079" s="4">
        <v>0.7</v>
      </c>
      <c r="I4079" s="28">
        <f t="shared" si="127"/>
        <v>374.65691978000001</v>
      </c>
    </row>
    <row r="4080" spans="1:9" ht="15" customHeight="1" x14ac:dyDescent="0.35">
      <c r="A4080" s="26" t="s">
        <v>2647</v>
      </c>
      <c r="B4080" s="25" t="s">
        <v>1287</v>
      </c>
      <c r="C4080" s="6" t="s">
        <v>9813</v>
      </c>
      <c r="D4080" s="13">
        <v>522.66913133759999</v>
      </c>
      <c r="E4080" s="18">
        <v>21</v>
      </c>
      <c r="F4080" s="2">
        <f t="shared" si="126"/>
        <v>632.42964891849601</v>
      </c>
      <c r="G4080" s="3">
        <v>0</v>
      </c>
      <c r="H4080" s="4">
        <v>0.7</v>
      </c>
      <c r="I4080" s="28">
        <f t="shared" si="127"/>
        <v>1075.1304031614432</v>
      </c>
    </row>
    <row r="4081" spans="1:9" ht="15" customHeight="1" x14ac:dyDescent="0.35">
      <c r="A4081" s="26" t="s">
        <v>13197</v>
      </c>
      <c r="B4081" s="25" t="s">
        <v>1210</v>
      </c>
      <c r="C4081" s="6" t="s">
        <v>13198</v>
      </c>
      <c r="D4081" s="13">
        <v>585.10954449999997</v>
      </c>
      <c r="E4081" s="18">
        <v>21</v>
      </c>
      <c r="F4081" s="2">
        <f t="shared" si="126"/>
        <v>707.982548845</v>
      </c>
      <c r="G4081" s="3">
        <v>0</v>
      </c>
      <c r="H4081" s="4">
        <v>0.7</v>
      </c>
      <c r="I4081" s="28">
        <f t="shared" si="127"/>
        <v>1203.5703330365</v>
      </c>
    </row>
    <row r="4082" spans="1:9" ht="15" customHeight="1" x14ac:dyDescent="0.35">
      <c r="A4082" s="26" t="s">
        <v>4915</v>
      </c>
      <c r="B4082" s="25" t="s">
        <v>1211</v>
      </c>
      <c r="C4082" s="6" t="s">
        <v>9814</v>
      </c>
      <c r="D4082" s="13">
        <v>140.3519</v>
      </c>
      <c r="E4082" s="18">
        <v>21</v>
      </c>
      <c r="F4082" s="2">
        <f t="shared" si="126"/>
        <v>169.82579900000002</v>
      </c>
      <c r="G4082" s="3">
        <v>0</v>
      </c>
      <c r="H4082" s="4">
        <v>0.7</v>
      </c>
      <c r="I4082" s="28">
        <f t="shared" si="127"/>
        <v>288.70385830000004</v>
      </c>
    </row>
    <row r="4083" spans="1:9" ht="15" customHeight="1" x14ac:dyDescent="0.35">
      <c r="A4083" s="26" t="s">
        <v>2649</v>
      </c>
      <c r="B4083" s="25" t="s">
        <v>1212</v>
      </c>
      <c r="C4083" s="6" t="s">
        <v>9815</v>
      </c>
      <c r="D4083" s="13">
        <v>339.01092454320002</v>
      </c>
      <c r="E4083" s="18">
        <v>21</v>
      </c>
      <c r="F4083" s="2">
        <f t="shared" si="126"/>
        <v>410.20321869727201</v>
      </c>
      <c r="G4083" s="3">
        <v>0</v>
      </c>
      <c r="H4083" s="4">
        <v>0.7</v>
      </c>
      <c r="I4083" s="28">
        <f t="shared" si="127"/>
        <v>697.34547178536241</v>
      </c>
    </row>
    <row r="4084" spans="1:9" ht="15" customHeight="1" x14ac:dyDescent="0.35">
      <c r="A4084" s="26" t="s">
        <v>4786</v>
      </c>
      <c r="B4084" s="25" t="s">
        <v>1213</v>
      </c>
      <c r="C4084" s="6" t="s">
        <v>10553</v>
      </c>
      <c r="D4084" s="13">
        <v>2065.8205715712302</v>
      </c>
      <c r="E4084" s="18">
        <v>21</v>
      </c>
      <c r="F4084" s="2">
        <f t="shared" si="126"/>
        <v>2499.6428916011887</v>
      </c>
      <c r="G4084" s="3">
        <v>0</v>
      </c>
      <c r="H4084" s="4">
        <v>0.7</v>
      </c>
      <c r="I4084" s="28">
        <f t="shared" si="127"/>
        <v>4249.3929157220209</v>
      </c>
    </row>
    <row r="4085" spans="1:9" ht="15" customHeight="1" x14ac:dyDescent="0.35">
      <c r="A4085" s="26" t="s">
        <v>4787</v>
      </c>
      <c r="B4085" s="25" t="s">
        <v>1214</v>
      </c>
      <c r="C4085" s="6" t="s">
        <v>10554</v>
      </c>
      <c r="D4085" s="13">
        <v>2740.9246390272701</v>
      </c>
      <c r="E4085" s="18">
        <v>21</v>
      </c>
      <c r="F4085" s="2">
        <f t="shared" si="126"/>
        <v>3316.5188132229969</v>
      </c>
      <c r="G4085" s="3">
        <v>0</v>
      </c>
      <c r="H4085" s="4">
        <v>0.7</v>
      </c>
      <c r="I4085" s="28">
        <f t="shared" si="127"/>
        <v>5638.0819824790942</v>
      </c>
    </row>
    <row r="4086" spans="1:9" ht="15" customHeight="1" x14ac:dyDescent="0.35">
      <c r="A4086" s="26" t="s">
        <v>4788</v>
      </c>
      <c r="B4086" s="25" t="s">
        <v>1288</v>
      </c>
      <c r="C4086" s="6" t="s">
        <v>10555</v>
      </c>
      <c r="D4086" s="13">
        <v>319.005218688002</v>
      </c>
      <c r="E4086" s="18">
        <v>21</v>
      </c>
      <c r="F4086" s="2">
        <f t="shared" si="126"/>
        <v>385.99631461248242</v>
      </c>
      <c r="G4086" s="3">
        <v>0</v>
      </c>
      <c r="H4086" s="4">
        <v>0.7</v>
      </c>
      <c r="I4086" s="28">
        <f t="shared" si="127"/>
        <v>656.19373484122013</v>
      </c>
    </row>
    <row r="4087" spans="1:9" ht="15" customHeight="1" x14ac:dyDescent="0.35">
      <c r="A4087" s="26" t="s">
        <v>4789</v>
      </c>
      <c r="B4087" s="25" t="s">
        <v>1289</v>
      </c>
      <c r="C4087" s="6" t="s">
        <v>10556</v>
      </c>
      <c r="D4087" s="13">
        <v>319.005218688002</v>
      </c>
      <c r="E4087" s="18">
        <v>21</v>
      </c>
      <c r="F4087" s="2">
        <f t="shared" si="126"/>
        <v>385.99631461248242</v>
      </c>
      <c r="G4087" s="3">
        <v>0</v>
      </c>
      <c r="H4087" s="4">
        <v>0.7</v>
      </c>
      <c r="I4087" s="28">
        <f t="shared" si="127"/>
        <v>656.19373484122013</v>
      </c>
    </row>
    <row r="4088" spans="1:9" ht="15" customHeight="1" x14ac:dyDescent="0.35">
      <c r="A4088" s="26" t="s">
        <v>4790</v>
      </c>
      <c r="B4088" s="25" t="s">
        <v>640</v>
      </c>
      <c r="C4088" s="6" t="s">
        <v>10557</v>
      </c>
      <c r="D4088" s="13">
        <v>1904.83035310425</v>
      </c>
      <c r="E4088" s="18">
        <v>21</v>
      </c>
      <c r="F4088" s="2">
        <f t="shared" si="126"/>
        <v>2304.8447272561425</v>
      </c>
      <c r="G4088" s="3">
        <v>0</v>
      </c>
      <c r="H4088" s="4">
        <v>0.7</v>
      </c>
      <c r="I4088" s="28">
        <f t="shared" si="127"/>
        <v>3918.2360363354423</v>
      </c>
    </row>
    <row r="4089" spans="1:9" ht="15" customHeight="1" x14ac:dyDescent="0.35">
      <c r="A4089" s="26" t="s">
        <v>4791</v>
      </c>
      <c r="B4089" s="25" t="s">
        <v>641</v>
      </c>
      <c r="C4089" s="6" t="s">
        <v>10558</v>
      </c>
      <c r="D4089" s="13">
        <v>2740.9246390272701</v>
      </c>
      <c r="E4089" s="18">
        <v>21</v>
      </c>
      <c r="F4089" s="2">
        <f t="shared" si="126"/>
        <v>3316.5188132229969</v>
      </c>
      <c r="G4089" s="3">
        <v>0</v>
      </c>
      <c r="H4089" s="4">
        <v>0.7</v>
      </c>
      <c r="I4089" s="28">
        <f t="shared" si="127"/>
        <v>5638.0819824790942</v>
      </c>
    </row>
    <row r="4090" spans="1:9" ht="15" customHeight="1" x14ac:dyDescent="0.35">
      <c r="A4090" s="26" t="s">
        <v>4792</v>
      </c>
      <c r="B4090" s="25" t="s">
        <v>9094</v>
      </c>
      <c r="C4090" s="6" t="s">
        <v>10559</v>
      </c>
      <c r="D4090" s="13">
        <v>1904.83035310425</v>
      </c>
      <c r="E4090" s="18">
        <v>21</v>
      </c>
      <c r="F4090" s="2">
        <f t="shared" si="126"/>
        <v>2304.8447272561425</v>
      </c>
      <c r="G4090" s="3">
        <v>0</v>
      </c>
      <c r="H4090" s="4">
        <v>0.7</v>
      </c>
      <c r="I4090" s="28">
        <f t="shared" si="127"/>
        <v>3918.2360363354423</v>
      </c>
    </row>
    <row r="4091" spans="1:9" ht="15" customHeight="1" x14ac:dyDescent="0.35">
      <c r="A4091" s="26" t="s">
        <v>4782</v>
      </c>
      <c r="B4091" s="25" t="s">
        <v>9095</v>
      </c>
      <c r="C4091" s="6" t="s">
        <v>11264</v>
      </c>
      <c r="D4091" s="13">
        <v>309.113584</v>
      </c>
      <c r="E4091" s="18">
        <v>21</v>
      </c>
      <c r="F4091" s="2">
        <f t="shared" si="126"/>
        <v>374.02743664000002</v>
      </c>
      <c r="G4091" s="3">
        <v>0</v>
      </c>
      <c r="H4091" s="4">
        <v>0.7</v>
      </c>
      <c r="I4091" s="28">
        <f t="shared" si="127"/>
        <v>635.846642288</v>
      </c>
    </row>
    <row r="4092" spans="1:9" ht="15" customHeight="1" x14ac:dyDescent="0.35">
      <c r="A4092" s="26" t="s">
        <v>2449</v>
      </c>
      <c r="B4092" s="25" t="s">
        <v>8953</v>
      </c>
      <c r="C4092" s="6" t="s">
        <v>675</v>
      </c>
      <c r="D4092" s="13">
        <v>2700.4755765</v>
      </c>
      <c r="E4092" s="18">
        <v>21</v>
      </c>
      <c r="F4092" s="2">
        <f t="shared" si="126"/>
        <v>3267.5754475650001</v>
      </c>
      <c r="G4092" s="3">
        <v>0</v>
      </c>
      <c r="H4092" s="4">
        <v>0.7</v>
      </c>
      <c r="I4092" s="28">
        <f t="shared" si="127"/>
        <v>5554.8782608604997</v>
      </c>
    </row>
    <row r="4093" spans="1:9" ht="15" customHeight="1" x14ac:dyDescent="0.35">
      <c r="A4093" s="26" t="s">
        <v>2450</v>
      </c>
      <c r="B4093" s="25" t="s">
        <v>8955</v>
      </c>
      <c r="C4093" s="6" t="s">
        <v>676</v>
      </c>
      <c r="D4093" s="13">
        <v>3475.5060014999999</v>
      </c>
      <c r="E4093" s="18">
        <v>21</v>
      </c>
      <c r="F4093" s="2">
        <f t="shared" si="126"/>
        <v>4205.3622618150002</v>
      </c>
      <c r="G4093" s="3">
        <v>0</v>
      </c>
      <c r="H4093" s="4">
        <v>0.7</v>
      </c>
      <c r="I4093" s="28">
        <f t="shared" si="127"/>
        <v>7149.1158450855</v>
      </c>
    </row>
    <row r="4094" spans="1:9" ht="15" customHeight="1" x14ac:dyDescent="0.35">
      <c r="A4094" s="26" t="s">
        <v>2451</v>
      </c>
      <c r="B4094" s="25" t="s">
        <v>10717</v>
      </c>
      <c r="C4094" s="6" t="s">
        <v>677</v>
      </c>
      <c r="D4094" s="13">
        <v>4179.7727789999999</v>
      </c>
      <c r="E4094" s="18">
        <v>21</v>
      </c>
      <c r="F4094" s="2">
        <f t="shared" si="126"/>
        <v>5057.5250625899998</v>
      </c>
      <c r="G4094" s="3">
        <v>0</v>
      </c>
      <c r="H4094" s="4">
        <v>0.7</v>
      </c>
      <c r="I4094" s="28">
        <f t="shared" si="127"/>
        <v>8597.7926064029998</v>
      </c>
    </row>
    <row r="4095" spans="1:9" ht="15" customHeight="1" x14ac:dyDescent="0.35">
      <c r="A4095" s="26" t="s">
        <v>2452</v>
      </c>
      <c r="B4095" s="25" t="s">
        <v>1122</v>
      </c>
      <c r="C4095" s="6" t="s">
        <v>678</v>
      </c>
      <c r="D4095" s="13">
        <v>5124.6359579999998</v>
      </c>
      <c r="E4095" s="18">
        <v>21</v>
      </c>
      <c r="F4095" s="2">
        <f t="shared" si="126"/>
        <v>6200.8095091799996</v>
      </c>
      <c r="G4095" s="3">
        <v>0</v>
      </c>
      <c r="H4095" s="4">
        <v>0.7</v>
      </c>
      <c r="I4095" s="28">
        <f t="shared" si="127"/>
        <v>10541.376165606</v>
      </c>
    </row>
    <row r="4096" spans="1:9" ht="15" customHeight="1" x14ac:dyDescent="0.35">
      <c r="A4096" s="26" t="s">
        <v>2453</v>
      </c>
      <c r="B4096" s="25" t="s">
        <v>1123</v>
      </c>
      <c r="C4096" s="6" t="s">
        <v>679</v>
      </c>
      <c r="D4096" s="13">
        <v>2257.0233855000001</v>
      </c>
      <c r="E4096" s="18">
        <v>21</v>
      </c>
      <c r="F4096" s="2">
        <f t="shared" si="126"/>
        <v>2730.9982964549999</v>
      </c>
      <c r="G4096" s="3">
        <v>0</v>
      </c>
      <c r="H4096" s="4">
        <v>0.7</v>
      </c>
      <c r="I4096" s="28">
        <f t="shared" si="127"/>
        <v>4642.6971039734999</v>
      </c>
    </row>
    <row r="4097" spans="1:9" ht="15" customHeight="1" x14ac:dyDescent="0.35">
      <c r="A4097" s="26" t="s">
        <v>2454</v>
      </c>
      <c r="B4097" s="25" t="s">
        <v>9103</v>
      </c>
      <c r="C4097" s="6" t="s">
        <v>680</v>
      </c>
      <c r="D4097" s="13">
        <v>2700.4755765</v>
      </c>
      <c r="E4097" s="18">
        <v>21</v>
      </c>
      <c r="F4097" s="2">
        <f t="shared" si="126"/>
        <v>3267.5754475650001</v>
      </c>
      <c r="G4097" s="3">
        <v>0</v>
      </c>
      <c r="H4097" s="4">
        <v>0.7</v>
      </c>
      <c r="I4097" s="28">
        <f t="shared" si="127"/>
        <v>5554.8782608604997</v>
      </c>
    </row>
    <row r="4098" spans="1:9" ht="15" customHeight="1" x14ac:dyDescent="0.35">
      <c r="A4098" s="26" t="s">
        <v>2455</v>
      </c>
      <c r="B4098" s="25" t="s">
        <v>9104</v>
      </c>
      <c r="C4098" s="6" t="s">
        <v>681</v>
      </c>
      <c r="D4098" s="13">
        <v>3309.7168845000001</v>
      </c>
      <c r="E4098" s="18">
        <v>21</v>
      </c>
      <c r="F4098" s="2">
        <f t="shared" si="126"/>
        <v>4004.7574302450003</v>
      </c>
      <c r="G4098" s="3">
        <v>0</v>
      </c>
      <c r="H4098" s="4">
        <v>0.7</v>
      </c>
      <c r="I4098" s="28">
        <f t="shared" si="127"/>
        <v>6808.0876314165007</v>
      </c>
    </row>
    <row r="4099" spans="1:9" ht="15" customHeight="1" x14ac:dyDescent="0.35">
      <c r="A4099" s="26" t="s">
        <v>2456</v>
      </c>
      <c r="B4099" s="25" t="s">
        <v>9105</v>
      </c>
      <c r="C4099" s="6" t="s">
        <v>682</v>
      </c>
      <c r="D4099" s="13">
        <v>4018.0272989999999</v>
      </c>
      <c r="E4099" s="18">
        <v>21</v>
      </c>
      <c r="F4099" s="2">
        <f t="shared" si="126"/>
        <v>4861.8130317899995</v>
      </c>
      <c r="G4099" s="3">
        <v>0</v>
      </c>
      <c r="H4099" s="4">
        <v>0.7</v>
      </c>
      <c r="I4099" s="28">
        <f t="shared" si="127"/>
        <v>8265.0821540429988</v>
      </c>
    </row>
    <row r="4100" spans="1:9" ht="15" customHeight="1" x14ac:dyDescent="0.35">
      <c r="A4100" s="26" t="s">
        <v>2457</v>
      </c>
      <c r="B4100" s="25" t="s">
        <v>9106</v>
      </c>
      <c r="C4100" s="6" t="s">
        <v>683</v>
      </c>
      <c r="D4100" s="13">
        <v>5523.608142</v>
      </c>
      <c r="E4100" s="18">
        <v>21</v>
      </c>
      <c r="F4100" s="2">
        <f t="shared" si="126"/>
        <v>6683.5658518199998</v>
      </c>
      <c r="G4100" s="3">
        <v>0</v>
      </c>
      <c r="H4100" s="4">
        <v>0.7</v>
      </c>
      <c r="I4100" s="28">
        <f t="shared" si="127"/>
        <v>11362.061948093999</v>
      </c>
    </row>
    <row r="4101" spans="1:9" ht="15" customHeight="1" x14ac:dyDescent="0.35">
      <c r="A4101" s="26" t="s">
        <v>2458</v>
      </c>
      <c r="B4101" s="25" t="s">
        <v>9107</v>
      </c>
      <c r="C4101" s="6" t="s">
        <v>684</v>
      </c>
      <c r="D4101" s="13">
        <v>2218.6088340000001</v>
      </c>
      <c r="E4101" s="18">
        <v>21</v>
      </c>
      <c r="F4101" s="2">
        <f t="shared" si="126"/>
        <v>2684.5166891400004</v>
      </c>
      <c r="G4101" s="3">
        <v>0</v>
      </c>
      <c r="H4101" s="4">
        <v>0.7</v>
      </c>
      <c r="I4101" s="28">
        <f t="shared" si="127"/>
        <v>4563.6783715380006</v>
      </c>
    </row>
    <row r="4102" spans="1:9" ht="15" customHeight="1" x14ac:dyDescent="0.35">
      <c r="A4102" s="26" t="s">
        <v>5065</v>
      </c>
      <c r="B4102" s="25" t="s">
        <v>9108</v>
      </c>
      <c r="C4102" s="6" t="s">
        <v>9126</v>
      </c>
      <c r="D4102" s="13">
        <v>970.835850557914</v>
      </c>
      <c r="E4102" s="18">
        <v>21</v>
      </c>
      <c r="F4102" s="2">
        <f t="shared" ref="F4102:F4165" si="128">D4102*E4102/100+D4102</f>
        <v>1174.711379175076</v>
      </c>
      <c r="G4102" s="3">
        <v>0</v>
      </c>
      <c r="H4102" s="4">
        <v>0.7</v>
      </c>
      <c r="I4102" s="28">
        <f t="shared" ref="I4102:I4165" si="129">IF(G4102=-1,0,F4102*((100-G4102)/100)*(1+H4102))</f>
        <v>1997.009344597629</v>
      </c>
    </row>
    <row r="4103" spans="1:9" ht="15" customHeight="1" x14ac:dyDescent="0.35">
      <c r="A4103" s="26" t="s">
        <v>5067</v>
      </c>
      <c r="B4103" s="25" t="s">
        <v>9109</v>
      </c>
      <c r="C4103" s="6" t="s">
        <v>9128</v>
      </c>
      <c r="D4103" s="13">
        <v>970.835850557914</v>
      </c>
      <c r="E4103" s="18">
        <v>21</v>
      </c>
      <c r="F4103" s="2">
        <f t="shared" si="128"/>
        <v>1174.711379175076</v>
      </c>
      <c r="G4103" s="3">
        <v>0</v>
      </c>
      <c r="H4103" s="4">
        <v>0.7</v>
      </c>
      <c r="I4103" s="28">
        <f t="shared" si="129"/>
        <v>1997.009344597629</v>
      </c>
    </row>
    <row r="4104" spans="1:9" ht="15" customHeight="1" x14ac:dyDescent="0.35">
      <c r="A4104" s="26" t="s">
        <v>5066</v>
      </c>
      <c r="B4104" s="25" t="s">
        <v>9110</v>
      </c>
      <c r="C4104" s="6" t="s">
        <v>13734</v>
      </c>
      <c r="D4104" s="13">
        <v>970.835850557914</v>
      </c>
      <c r="E4104" s="18">
        <v>21</v>
      </c>
      <c r="F4104" s="2">
        <f t="shared" si="128"/>
        <v>1174.711379175076</v>
      </c>
      <c r="G4104" s="3">
        <v>0</v>
      </c>
      <c r="H4104" s="4">
        <v>0.7</v>
      </c>
      <c r="I4104" s="28">
        <f t="shared" si="129"/>
        <v>1997.009344597629</v>
      </c>
    </row>
    <row r="4105" spans="1:9" ht="15" customHeight="1" x14ac:dyDescent="0.35">
      <c r="A4105" s="26" t="s">
        <v>5068</v>
      </c>
      <c r="B4105" s="25" t="s">
        <v>9111</v>
      </c>
      <c r="C4105" s="6" t="s">
        <v>9129</v>
      </c>
      <c r="D4105" s="13">
        <v>3394.0769377312699</v>
      </c>
      <c r="E4105" s="18">
        <v>21</v>
      </c>
      <c r="F4105" s="2">
        <f t="shared" si="128"/>
        <v>4106.8330946548367</v>
      </c>
      <c r="G4105" s="3">
        <v>0</v>
      </c>
      <c r="H4105" s="4">
        <v>0.7</v>
      </c>
      <c r="I4105" s="28">
        <f t="shared" si="129"/>
        <v>6981.6162609132225</v>
      </c>
    </row>
    <row r="4106" spans="1:9" ht="15" customHeight="1" x14ac:dyDescent="0.35">
      <c r="A4106" s="26" t="s">
        <v>5069</v>
      </c>
      <c r="B4106" s="25" t="s">
        <v>9112</v>
      </c>
      <c r="C4106" s="6" t="s">
        <v>9130</v>
      </c>
      <c r="D4106" s="13">
        <v>3394.0769377312699</v>
      </c>
      <c r="E4106" s="18">
        <v>21</v>
      </c>
      <c r="F4106" s="2">
        <f t="shared" si="128"/>
        <v>4106.8330946548367</v>
      </c>
      <c r="G4106" s="3">
        <v>0</v>
      </c>
      <c r="H4106" s="4">
        <v>0.7</v>
      </c>
      <c r="I4106" s="28">
        <f t="shared" si="129"/>
        <v>6981.6162609132225</v>
      </c>
    </row>
    <row r="4107" spans="1:9" ht="15" customHeight="1" x14ac:dyDescent="0.35">
      <c r="A4107" s="26" t="s">
        <v>5070</v>
      </c>
      <c r="B4107" s="25" t="s">
        <v>9113</v>
      </c>
      <c r="C4107" s="6" t="s">
        <v>9131</v>
      </c>
      <c r="D4107" s="13">
        <v>3394.0769377312699</v>
      </c>
      <c r="E4107" s="18">
        <v>21</v>
      </c>
      <c r="F4107" s="2">
        <f t="shared" si="128"/>
        <v>4106.8330946548367</v>
      </c>
      <c r="G4107" s="3">
        <v>0</v>
      </c>
      <c r="H4107" s="4">
        <v>0.7</v>
      </c>
      <c r="I4107" s="28">
        <f t="shared" si="129"/>
        <v>6981.6162609132225</v>
      </c>
    </row>
    <row r="4108" spans="1:9" ht="15" customHeight="1" x14ac:dyDescent="0.35">
      <c r="A4108" s="26" t="s">
        <v>5080</v>
      </c>
      <c r="B4108" s="25" t="s">
        <v>9114</v>
      </c>
      <c r="C4108" s="6" t="s">
        <v>9141</v>
      </c>
      <c r="D4108" s="13">
        <v>3394.0769377312699</v>
      </c>
      <c r="E4108" s="18">
        <v>21</v>
      </c>
      <c r="F4108" s="2">
        <f t="shared" si="128"/>
        <v>4106.8330946548367</v>
      </c>
      <c r="G4108" s="3">
        <v>0</v>
      </c>
      <c r="H4108" s="4">
        <v>0.7</v>
      </c>
      <c r="I4108" s="28">
        <f t="shared" si="129"/>
        <v>6981.6162609132225</v>
      </c>
    </row>
    <row r="4109" spans="1:9" ht="15" customHeight="1" x14ac:dyDescent="0.35">
      <c r="A4109" s="26" t="s">
        <v>5071</v>
      </c>
      <c r="B4109" s="25" t="s">
        <v>9115</v>
      </c>
      <c r="C4109" s="6" t="s">
        <v>9132</v>
      </c>
      <c r="D4109" s="13">
        <v>3394.0769377312699</v>
      </c>
      <c r="E4109" s="18">
        <v>21</v>
      </c>
      <c r="F4109" s="2">
        <f t="shared" si="128"/>
        <v>4106.8330946548367</v>
      </c>
      <c r="G4109" s="3">
        <v>0</v>
      </c>
      <c r="H4109" s="4">
        <v>0.7</v>
      </c>
      <c r="I4109" s="28">
        <f t="shared" si="129"/>
        <v>6981.6162609132225</v>
      </c>
    </row>
    <row r="4110" spans="1:9" ht="15" customHeight="1" x14ac:dyDescent="0.35">
      <c r="A4110" s="26" t="s">
        <v>5072</v>
      </c>
      <c r="B4110" s="25" t="s">
        <v>9116</v>
      </c>
      <c r="C4110" s="6" t="s">
        <v>9133</v>
      </c>
      <c r="D4110" s="13">
        <v>3394.0769377312699</v>
      </c>
      <c r="E4110" s="18">
        <v>21</v>
      </c>
      <c r="F4110" s="2">
        <f t="shared" si="128"/>
        <v>4106.8330946548367</v>
      </c>
      <c r="G4110" s="3">
        <v>0</v>
      </c>
      <c r="H4110" s="4">
        <v>0.7</v>
      </c>
      <c r="I4110" s="28">
        <f t="shared" si="129"/>
        <v>6981.6162609132225</v>
      </c>
    </row>
    <row r="4111" spans="1:9" ht="15" customHeight="1" x14ac:dyDescent="0.35">
      <c r="A4111" s="26" t="s">
        <v>5073</v>
      </c>
      <c r="B4111" s="25" t="s">
        <v>9117</v>
      </c>
      <c r="C4111" s="6" t="s">
        <v>9134</v>
      </c>
      <c r="D4111" s="13">
        <v>3394.0769377312699</v>
      </c>
      <c r="E4111" s="18">
        <v>21</v>
      </c>
      <c r="F4111" s="2">
        <f t="shared" si="128"/>
        <v>4106.8330946548367</v>
      </c>
      <c r="G4111" s="3">
        <v>0</v>
      </c>
      <c r="H4111" s="4">
        <v>0.7</v>
      </c>
      <c r="I4111" s="28">
        <f t="shared" si="129"/>
        <v>6981.6162609132225</v>
      </c>
    </row>
    <row r="4112" spans="1:9" ht="15" customHeight="1" x14ac:dyDescent="0.35">
      <c r="A4112" s="26" t="s">
        <v>5074</v>
      </c>
      <c r="B4112" s="25" t="s">
        <v>9118</v>
      </c>
      <c r="C4112" s="6" t="s">
        <v>9135</v>
      </c>
      <c r="D4112" s="13">
        <v>3394.0769377312699</v>
      </c>
      <c r="E4112" s="18">
        <v>21</v>
      </c>
      <c r="F4112" s="2">
        <f t="shared" si="128"/>
        <v>4106.8330946548367</v>
      </c>
      <c r="G4112" s="3">
        <v>0</v>
      </c>
      <c r="H4112" s="4">
        <v>0.7</v>
      </c>
      <c r="I4112" s="28">
        <f t="shared" si="129"/>
        <v>6981.6162609132225</v>
      </c>
    </row>
    <row r="4113" spans="1:9" ht="15" customHeight="1" x14ac:dyDescent="0.35">
      <c r="A4113" s="26" t="s">
        <v>5075</v>
      </c>
      <c r="B4113" s="25" t="s">
        <v>9119</v>
      </c>
      <c r="C4113" s="6" t="s">
        <v>9136</v>
      </c>
      <c r="D4113" s="13">
        <v>3768.0022634454299</v>
      </c>
      <c r="E4113" s="18">
        <v>21</v>
      </c>
      <c r="F4113" s="2">
        <f t="shared" si="128"/>
        <v>4559.2827387689704</v>
      </c>
      <c r="G4113" s="3">
        <v>0</v>
      </c>
      <c r="H4113" s="4">
        <v>0.7</v>
      </c>
      <c r="I4113" s="28">
        <f t="shared" si="129"/>
        <v>7750.7806559072496</v>
      </c>
    </row>
    <row r="4114" spans="1:9" ht="15" customHeight="1" x14ac:dyDescent="0.35">
      <c r="A4114" s="26" t="s">
        <v>5076</v>
      </c>
      <c r="B4114" s="25" t="s">
        <v>9336</v>
      </c>
      <c r="C4114" s="6" t="s">
        <v>9137</v>
      </c>
      <c r="D4114" s="13">
        <v>3768.0022634454299</v>
      </c>
      <c r="E4114" s="18">
        <v>21</v>
      </c>
      <c r="F4114" s="2">
        <f t="shared" si="128"/>
        <v>4559.2827387689704</v>
      </c>
      <c r="G4114" s="3">
        <v>0</v>
      </c>
      <c r="H4114" s="4">
        <v>0.7</v>
      </c>
      <c r="I4114" s="28">
        <f t="shared" si="129"/>
        <v>7750.7806559072496</v>
      </c>
    </row>
    <row r="4115" spans="1:9" ht="15" customHeight="1" x14ac:dyDescent="0.35">
      <c r="A4115" s="26" t="s">
        <v>5077</v>
      </c>
      <c r="B4115" s="25" t="s">
        <v>642</v>
      </c>
      <c r="C4115" s="6" t="s">
        <v>9138</v>
      </c>
      <c r="D4115" s="13">
        <v>3768.0022634454299</v>
      </c>
      <c r="E4115" s="18">
        <v>21</v>
      </c>
      <c r="F4115" s="2">
        <f t="shared" si="128"/>
        <v>4559.2827387689704</v>
      </c>
      <c r="G4115" s="3">
        <v>0</v>
      </c>
      <c r="H4115" s="4">
        <v>0.7</v>
      </c>
      <c r="I4115" s="28">
        <f t="shared" si="129"/>
        <v>7750.7806559072496</v>
      </c>
    </row>
    <row r="4116" spans="1:9" ht="15" customHeight="1" x14ac:dyDescent="0.35">
      <c r="A4116" s="26" t="s">
        <v>5078</v>
      </c>
      <c r="B4116" s="25" t="s">
        <v>643</v>
      </c>
      <c r="C4116" s="6" t="s">
        <v>9139</v>
      </c>
      <c r="D4116" s="13">
        <v>3768.0022634454299</v>
      </c>
      <c r="E4116" s="18">
        <v>21</v>
      </c>
      <c r="F4116" s="2">
        <f t="shared" si="128"/>
        <v>4559.2827387689704</v>
      </c>
      <c r="G4116" s="3">
        <v>0</v>
      </c>
      <c r="H4116" s="4">
        <v>0.7</v>
      </c>
      <c r="I4116" s="28">
        <f t="shared" si="129"/>
        <v>7750.7806559072496</v>
      </c>
    </row>
    <row r="4117" spans="1:9" ht="15" customHeight="1" x14ac:dyDescent="0.35">
      <c r="A4117" s="26" t="s">
        <v>5079</v>
      </c>
      <c r="B4117" s="25" t="s">
        <v>644</v>
      </c>
      <c r="C4117" s="6" t="s">
        <v>9140</v>
      </c>
      <c r="D4117" s="13">
        <v>6100.9543197265002</v>
      </c>
      <c r="E4117" s="18">
        <v>21</v>
      </c>
      <c r="F4117" s="2">
        <f t="shared" si="128"/>
        <v>7382.1547268690656</v>
      </c>
      <c r="G4117" s="3">
        <v>0</v>
      </c>
      <c r="H4117" s="4">
        <v>0.7</v>
      </c>
      <c r="I4117" s="28">
        <f t="shared" si="129"/>
        <v>12549.663035677411</v>
      </c>
    </row>
    <row r="4118" spans="1:9" ht="15" customHeight="1" x14ac:dyDescent="0.35">
      <c r="A4118" s="26" t="s">
        <v>3390</v>
      </c>
      <c r="B4118" s="25" t="s">
        <v>645</v>
      </c>
      <c r="C4118" s="6" t="s">
        <v>1290</v>
      </c>
      <c r="D4118" s="13">
        <v>7973.64</v>
      </c>
      <c r="E4118" s="18">
        <v>21</v>
      </c>
      <c r="F4118" s="2">
        <f t="shared" si="128"/>
        <v>9648.1044000000002</v>
      </c>
      <c r="G4118" s="3">
        <v>0</v>
      </c>
      <c r="H4118" s="4">
        <v>0.7</v>
      </c>
      <c r="I4118" s="28">
        <f t="shared" si="129"/>
        <v>16401.777480000001</v>
      </c>
    </row>
    <row r="4119" spans="1:9" ht="15" customHeight="1" x14ac:dyDescent="0.35">
      <c r="A4119" s="26" t="s">
        <v>11966</v>
      </c>
      <c r="B4119" s="25" t="s">
        <v>646</v>
      </c>
      <c r="C4119" s="6" t="s">
        <v>11967</v>
      </c>
      <c r="D4119" s="13">
        <v>449.51269106249998</v>
      </c>
      <c r="E4119" s="18">
        <v>21</v>
      </c>
      <c r="F4119" s="2">
        <f t="shared" si="128"/>
        <v>543.91035618562501</v>
      </c>
      <c r="G4119" s="3">
        <v>0</v>
      </c>
      <c r="H4119" s="4">
        <v>0.7</v>
      </c>
      <c r="I4119" s="28">
        <f t="shared" si="129"/>
        <v>924.64760551556253</v>
      </c>
    </row>
    <row r="4120" spans="1:9" ht="15" customHeight="1" x14ac:dyDescent="0.35">
      <c r="A4120" s="26" t="s">
        <v>10187</v>
      </c>
      <c r="B4120" s="25" t="s">
        <v>647</v>
      </c>
      <c r="C4120" s="6" t="s">
        <v>10188</v>
      </c>
      <c r="D4120" s="13">
        <v>664.05142001249999</v>
      </c>
      <c r="E4120" s="18">
        <v>21</v>
      </c>
      <c r="F4120" s="2">
        <f t="shared" si="128"/>
        <v>803.50221821512491</v>
      </c>
      <c r="G4120" s="3">
        <v>0</v>
      </c>
      <c r="H4120" s="4">
        <v>0.7</v>
      </c>
      <c r="I4120" s="28">
        <f t="shared" si="129"/>
        <v>1365.9537709657122</v>
      </c>
    </row>
    <row r="4121" spans="1:9" ht="15" customHeight="1" x14ac:dyDescent="0.35">
      <c r="A4121" s="26" t="s">
        <v>3391</v>
      </c>
      <c r="B4121" s="25" t="s">
        <v>648</v>
      </c>
      <c r="C4121" s="6" t="s">
        <v>3392</v>
      </c>
      <c r="D4121" s="13">
        <v>8638.11</v>
      </c>
      <c r="E4121" s="18">
        <v>21</v>
      </c>
      <c r="F4121" s="2">
        <f t="shared" si="128"/>
        <v>10452.1131</v>
      </c>
      <c r="G4121" s="3">
        <v>0</v>
      </c>
      <c r="H4121" s="4">
        <v>0.7</v>
      </c>
      <c r="I4121" s="28">
        <f t="shared" si="129"/>
        <v>17768.592270000001</v>
      </c>
    </row>
    <row r="4122" spans="1:9" ht="15" customHeight="1" x14ac:dyDescent="0.35">
      <c r="A4122" s="26" t="s">
        <v>13423</v>
      </c>
      <c r="B4122" s="25" t="s">
        <v>649</v>
      </c>
      <c r="C4122" s="6" t="s">
        <v>13424</v>
      </c>
      <c r="D4122" s="13">
        <v>256.98786866864998</v>
      </c>
      <c r="E4122" s="18">
        <v>21</v>
      </c>
      <c r="F4122" s="2">
        <f t="shared" si="128"/>
        <v>310.9553210890665</v>
      </c>
      <c r="G4122" s="3">
        <v>0</v>
      </c>
      <c r="H4122" s="4">
        <v>0.7</v>
      </c>
      <c r="I4122" s="28">
        <f t="shared" si="129"/>
        <v>528.62404585141303</v>
      </c>
    </row>
    <row r="4123" spans="1:9" ht="15" customHeight="1" x14ac:dyDescent="0.35">
      <c r="A4123" s="26" t="s">
        <v>13425</v>
      </c>
      <c r="B4123" s="25" t="s">
        <v>650</v>
      </c>
      <c r="C4123" s="6" t="s">
        <v>13426</v>
      </c>
      <c r="D4123" s="13">
        <v>396.19142477066202</v>
      </c>
      <c r="E4123" s="18">
        <v>21</v>
      </c>
      <c r="F4123" s="2">
        <f t="shared" si="128"/>
        <v>479.39162397250107</v>
      </c>
      <c r="G4123" s="3">
        <v>0</v>
      </c>
      <c r="H4123" s="4">
        <v>0.7</v>
      </c>
      <c r="I4123" s="28">
        <f t="shared" si="129"/>
        <v>814.96576075325174</v>
      </c>
    </row>
    <row r="4124" spans="1:9" ht="15" customHeight="1" x14ac:dyDescent="0.35">
      <c r="A4124" s="26" t="s">
        <v>13427</v>
      </c>
      <c r="B4124" s="25" t="s">
        <v>651</v>
      </c>
      <c r="C4124" s="6" t="s">
        <v>13428</v>
      </c>
      <c r="D4124" s="13">
        <v>1564.68112197862</v>
      </c>
      <c r="E4124" s="18">
        <v>21</v>
      </c>
      <c r="F4124" s="2">
        <f t="shared" si="128"/>
        <v>1893.2641575941302</v>
      </c>
      <c r="G4124" s="3">
        <v>0</v>
      </c>
      <c r="H4124" s="4">
        <v>0.7</v>
      </c>
      <c r="I4124" s="28">
        <f t="shared" si="129"/>
        <v>3218.5490679100212</v>
      </c>
    </row>
    <row r="4125" spans="1:9" ht="15" customHeight="1" x14ac:dyDescent="0.35">
      <c r="A4125" s="26" t="s">
        <v>13429</v>
      </c>
      <c r="B4125" s="25" t="s">
        <v>652</v>
      </c>
      <c r="C4125" s="6" t="s">
        <v>13430</v>
      </c>
      <c r="D4125" s="13">
        <v>1825.46310288156</v>
      </c>
      <c r="E4125" s="18">
        <v>21</v>
      </c>
      <c r="F4125" s="2">
        <f t="shared" si="128"/>
        <v>2208.8103544866876</v>
      </c>
      <c r="G4125" s="3">
        <v>0</v>
      </c>
      <c r="H4125" s="4">
        <v>0.7</v>
      </c>
      <c r="I4125" s="28">
        <f t="shared" si="129"/>
        <v>3754.9776026273689</v>
      </c>
    </row>
    <row r="4126" spans="1:9" ht="15" customHeight="1" x14ac:dyDescent="0.35">
      <c r="A4126" s="26" t="s">
        <v>13431</v>
      </c>
      <c r="B4126" s="25" t="s">
        <v>653</v>
      </c>
      <c r="C4126" s="6" t="s">
        <v>13432</v>
      </c>
      <c r="D4126" s="13">
        <v>2216.6333833762201</v>
      </c>
      <c r="E4126" s="18">
        <v>21</v>
      </c>
      <c r="F4126" s="2">
        <f t="shared" si="128"/>
        <v>2682.1263938852262</v>
      </c>
      <c r="G4126" s="3">
        <v>0</v>
      </c>
      <c r="H4126" s="4">
        <v>0.7</v>
      </c>
      <c r="I4126" s="28">
        <f t="shared" si="129"/>
        <v>4559.614869604884</v>
      </c>
    </row>
    <row r="4127" spans="1:9" ht="15" customHeight="1" x14ac:dyDescent="0.35">
      <c r="A4127" s="26" t="s">
        <v>1365</v>
      </c>
      <c r="B4127" s="25" t="s">
        <v>654</v>
      </c>
      <c r="C4127" s="6" t="s">
        <v>685</v>
      </c>
      <c r="D4127" s="13">
        <v>38934.090000000004</v>
      </c>
      <c r="E4127" s="18">
        <v>21</v>
      </c>
      <c r="F4127" s="2">
        <f t="shared" si="128"/>
        <v>47110.248900000006</v>
      </c>
      <c r="G4127" s="3">
        <v>0</v>
      </c>
      <c r="H4127" s="4">
        <v>0.7</v>
      </c>
      <c r="I4127" s="28">
        <f t="shared" si="129"/>
        <v>80087.42313000001</v>
      </c>
    </row>
    <row r="4128" spans="1:9" ht="15" customHeight="1" x14ac:dyDescent="0.35">
      <c r="A4128" s="26" t="s">
        <v>2808</v>
      </c>
      <c r="B4128" s="25" t="s">
        <v>655</v>
      </c>
      <c r="C4128" s="6" t="s">
        <v>1026</v>
      </c>
      <c r="D4128" s="13">
        <v>38166.223224999994</v>
      </c>
      <c r="E4128" s="18">
        <v>21</v>
      </c>
      <c r="F4128" s="2">
        <f t="shared" si="128"/>
        <v>46181.13010224999</v>
      </c>
      <c r="G4128" s="3">
        <v>0</v>
      </c>
      <c r="H4128" s="4">
        <v>0.7</v>
      </c>
      <c r="I4128" s="28">
        <f t="shared" si="129"/>
        <v>78507.921173824987</v>
      </c>
    </row>
    <row r="4129" spans="1:9" ht="15" customHeight="1" x14ac:dyDescent="0.35">
      <c r="A4129" s="26" t="s">
        <v>1369</v>
      </c>
      <c r="B4129" s="25" t="s">
        <v>656</v>
      </c>
      <c r="C4129" s="6" t="s">
        <v>1027</v>
      </c>
      <c r="D4129" s="13">
        <v>26635.53070891375</v>
      </c>
      <c r="E4129" s="18">
        <v>21</v>
      </c>
      <c r="F4129" s="2">
        <f t="shared" si="128"/>
        <v>32228.992157785637</v>
      </c>
      <c r="G4129" s="3">
        <v>0</v>
      </c>
      <c r="H4129" s="4">
        <v>0.7</v>
      </c>
      <c r="I4129" s="28">
        <f t="shared" si="129"/>
        <v>54789.286668235582</v>
      </c>
    </row>
    <row r="4130" spans="1:9" ht="15" customHeight="1" x14ac:dyDescent="0.35">
      <c r="A4130" s="26" t="s">
        <v>11893</v>
      </c>
      <c r="B4130" s="25" t="s">
        <v>13273</v>
      </c>
      <c r="C4130" s="6" t="s">
        <v>11894</v>
      </c>
      <c r="D4130" s="13">
        <v>27933.087</v>
      </c>
      <c r="E4130" s="18">
        <v>21</v>
      </c>
      <c r="F4130" s="2">
        <f t="shared" si="128"/>
        <v>33799.03527</v>
      </c>
      <c r="G4130" s="3">
        <v>0</v>
      </c>
      <c r="H4130" s="4">
        <v>0.7</v>
      </c>
      <c r="I4130" s="28">
        <f t="shared" si="129"/>
        <v>57458.359959000001</v>
      </c>
    </row>
    <row r="4131" spans="1:9" ht="15" customHeight="1" x14ac:dyDescent="0.35">
      <c r="A4131" s="26" t="s">
        <v>11895</v>
      </c>
      <c r="B4131" s="25" t="s">
        <v>13274</v>
      </c>
      <c r="C4131" s="6" t="s">
        <v>11896</v>
      </c>
      <c r="D4131" s="13">
        <v>30660.595874999999</v>
      </c>
      <c r="E4131" s="18">
        <v>21</v>
      </c>
      <c r="F4131" s="2">
        <f t="shared" si="128"/>
        <v>37099.321008749997</v>
      </c>
      <c r="G4131" s="3">
        <v>0</v>
      </c>
      <c r="H4131" s="4">
        <v>0.7</v>
      </c>
      <c r="I4131" s="28">
        <f t="shared" si="129"/>
        <v>63068.845714874995</v>
      </c>
    </row>
    <row r="4132" spans="1:9" ht="15" customHeight="1" x14ac:dyDescent="0.35">
      <c r="A4132" s="26" t="s">
        <v>11924</v>
      </c>
      <c r="B4132" s="25" t="s">
        <v>13344</v>
      </c>
      <c r="C4132" s="6" t="s">
        <v>11925</v>
      </c>
      <c r="D4132" s="13">
        <v>54677.531999999999</v>
      </c>
      <c r="E4132" s="18">
        <v>21</v>
      </c>
      <c r="F4132" s="2">
        <f t="shared" si="128"/>
        <v>66159.813720000006</v>
      </c>
      <c r="G4132" s="3">
        <v>0</v>
      </c>
      <c r="H4132" s="4">
        <v>0.7</v>
      </c>
      <c r="I4132" s="28">
        <f t="shared" si="129"/>
        <v>112471.68332400001</v>
      </c>
    </row>
    <row r="4133" spans="1:9" ht="15" customHeight="1" x14ac:dyDescent="0.35">
      <c r="A4133" s="26" t="s">
        <v>11926</v>
      </c>
      <c r="B4133" s="25" t="s">
        <v>13345</v>
      </c>
      <c r="C4133" s="6" t="s">
        <v>11927</v>
      </c>
      <c r="D4133" s="13">
        <v>54677.531999999999</v>
      </c>
      <c r="E4133" s="18">
        <v>21</v>
      </c>
      <c r="F4133" s="2">
        <f t="shared" si="128"/>
        <v>66159.813720000006</v>
      </c>
      <c r="G4133" s="3">
        <v>0</v>
      </c>
      <c r="H4133" s="4">
        <v>0.7</v>
      </c>
      <c r="I4133" s="28">
        <f t="shared" si="129"/>
        <v>112471.68332400001</v>
      </c>
    </row>
    <row r="4134" spans="1:9" ht="15" customHeight="1" x14ac:dyDescent="0.35">
      <c r="A4134" s="26" t="s">
        <v>11970</v>
      </c>
      <c r="B4134" s="25" t="s">
        <v>13418</v>
      </c>
      <c r="C4134" s="6" t="s">
        <v>11971</v>
      </c>
      <c r="D4134" s="13">
        <v>53577.633849999998</v>
      </c>
      <c r="E4134" s="18">
        <v>21</v>
      </c>
      <c r="F4134" s="2">
        <f t="shared" si="128"/>
        <v>64828.936958499995</v>
      </c>
      <c r="G4134" s="3">
        <v>0</v>
      </c>
      <c r="H4134" s="4">
        <v>0.7</v>
      </c>
      <c r="I4134" s="28">
        <f t="shared" si="129"/>
        <v>110209.19282945</v>
      </c>
    </row>
    <row r="4135" spans="1:9" ht="15" customHeight="1" x14ac:dyDescent="0.35">
      <c r="A4135" s="26" t="s">
        <v>11928</v>
      </c>
      <c r="B4135" s="25" t="s">
        <v>13420</v>
      </c>
      <c r="C4135" s="6" t="s">
        <v>11929</v>
      </c>
      <c r="D4135" s="13">
        <v>60429.710250000004</v>
      </c>
      <c r="E4135" s="18">
        <v>21</v>
      </c>
      <c r="F4135" s="2">
        <f t="shared" si="128"/>
        <v>73119.949402500002</v>
      </c>
      <c r="G4135" s="3">
        <v>0</v>
      </c>
      <c r="H4135" s="4">
        <v>0.7</v>
      </c>
      <c r="I4135" s="28">
        <f t="shared" si="129"/>
        <v>124303.91398425</v>
      </c>
    </row>
    <row r="4136" spans="1:9" ht="15" customHeight="1" x14ac:dyDescent="0.35">
      <c r="A4136" s="26" t="s">
        <v>11881</v>
      </c>
      <c r="B4136" s="25" t="s">
        <v>13422</v>
      </c>
      <c r="C4136" s="6" t="s">
        <v>11882</v>
      </c>
      <c r="D4136" s="13">
        <v>4733.3422500000006</v>
      </c>
      <c r="E4136" s="18">
        <v>21</v>
      </c>
      <c r="F4136" s="2">
        <f t="shared" si="128"/>
        <v>5727.3441225000006</v>
      </c>
      <c r="G4136" s="3">
        <v>0</v>
      </c>
      <c r="H4136" s="4">
        <v>0.7</v>
      </c>
      <c r="I4136" s="28">
        <f t="shared" si="129"/>
        <v>9736.4850082500016</v>
      </c>
    </row>
    <row r="4137" spans="1:9" ht="15" customHeight="1" x14ac:dyDescent="0.35">
      <c r="A4137" s="26" t="s">
        <v>11614</v>
      </c>
      <c r="B4137" s="25" t="s">
        <v>8957</v>
      </c>
      <c r="C4137" s="6" t="s">
        <v>11615</v>
      </c>
      <c r="D4137" s="13">
        <v>4733.3422500000006</v>
      </c>
      <c r="E4137" s="18">
        <v>21</v>
      </c>
      <c r="F4137" s="2">
        <f t="shared" si="128"/>
        <v>5727.3441225000006</v>
      </c>
      <c r="G4137" s="3">
        <v>0</v>
      </c>
      <c r="H4137" s="4">
        <v>0.7</v>
      </c>
      <c r="I4137" s="28">
        <f t="shared" si="129"/>
        <v>9736.4850082500016</v>
      </c>
    </row>
    <row r="4138" spans="1:9" ht="15" customHeight="1" x14ac:dyDescent="0.35">
      <c r="A4138" s="26" t="s">
        <v>11293</v>
      </c>
      <c r="B4138" s="25" t="s">
        <v>8959</v>
      </c>
      <c r="C4138" s="6" t="s">
        <v>12759</v>
      </c>
      <c r="D4138" s="13">
        <v>4414.9560000000001</v>
      </c>
      <c r="E4138" s="18">
        <v>21</v>
      </c>
      <c r="F4138" s="2">
        <f t="shared" si="128"/>
        <v>5342.0967600000004</v>
      </c>
      <c r="G4138" s="3">
        <v>0</v>
      </c>
      <c r="H4138" s="4">
        <v>0.7</v>
      </c>
      <c r="I4138" s="28">
        <f t="shared" si="129"/>
        <v>9081.5644919999995</v>
      </c>
    </row>
    <row r="4139" spans="1:9" ht="15" customHeight="1" x14ac:dyDescent="0.35">
      <c r="A4139" s="26" t="s">
        <v>4568</v>
      </c>
      <c r="B4139" s="25" t="s">
        <v>9120</v>
      </c>
      <c r="C4139" s="6" t="s">
        <v>1291</v>
      </c>
      <c r="D4139" s="13">
        <v>3294.5897177700153</v>
      </c>
      <c r="E4139" s="18">
        <v>21</v>
      </c>
      <c r="F4139" s="2">
        <f t="shared" si="128"/>
        <v>3986.4535585017184</v>
      </c>
      <c r="G4139" s="3">
        <v>0</v>
      </c>
      <c r="H4139" s="4">
        <v>0.7</v>
      </c>
      <c r="I4139" s="28">
        <f t="shared" si="129"/>
        <v>6776.9710494529209</v>
      </c>
    </row>
    <row r="4140" spans="1:9" ht="15" customHeight="1" x14ac:dyDescent="0.35">
      <c r="A4140" s="26" t="s">
        <v>4569</v>
      </c>
      <c r="B4140" s="25" t="s">
        <v>9121</v>
      </c>
      <c r="C4140" s="6" t="s">
        <v>1292</v>
      </c>
      <c r="D4140" s="13">
        <v>10899.053418240015</v>
      </c>
      <c r="E4140" s="18">
        <v>21</v>
      </c>
      <c r="F4140" s="2">
        <f t="shared" si="128"/>
        <v>13187.854636070419</v>
      </c>
      <c r="G4140" s="3">
        <v>0</v>
      </c>
      <c r="H4140" s="4">
        <v>0.7</v>
      </c>
      <c r="I4140" s="28">
        <f t="shared" si="129"/>
        <v>22419.352881319712</v>
      </c>
    </row>
    <row r="4141" spans="1:9" ht="15" customHeight="1" x14ac:dyDescent="0.35">
      <c r="A4141" s="26" t="s">
        <v>10898</v>
      </c>
      <c r="B4141" s="25" t="s">
        <v>9122</v>
      </c>
      <c r="C4141" s="6" t="s">
        <v>10899</v>
      </c>
      <c r="D4141" s="13">
        <v>4085.9568750000003</v>
      </c>
      <c r="E4141" s="18">
        <v>21</v>
      </c>
      <c r="F4141" s="2">
        <f t="shared" si="128"/>
        <v>4944.0078187500003</v>
      </c>
      <c r="G4141" s="3">
        <v>0</v>
      </c>
      <c r="H4141" s="4">
        <v>0.7</v>
      </c>
      <c r="I4141" s="28">
        <f t="shared" si="129"/>
        <v>8404.8132918749998</v>
      </c>
    </row>
    <row r="4142" spans="1:9" ht="15" customHeight="1" x14ac:dyDescent="0.35">
      <c r="A4142" s="26" t="s">
        <v>4494</v>
      </c>
      <c r="B4142" s="25" t="s">
        <v>9123</v>
      </c>
      <c r="C4142" s="6" t="s">
        <v>686</v>
      </c>
      <c r="D4142" s="13">
        <v>2797.7258392200156</v>
      </c>
      <c r="E4142" s="18">
        <v>21</v>
      </c>
      <c r="F4142" s="2">
        <f t="shared" si="128"/>
        <v>3385.2482654562191</v>
      </c>
      <c r="G4142" s="3">
        <v>0</v>
      </c>
      <c r="H4142" s="4">
        <v>0.7</v>
      </c>
      <c r="I4142" s="28">
        <f t="shared" si="129"/>
        <v>5754.9220512755719</v>
      </c>
    </row>
    <row r="4143" spans="1:9" ht="15" customHeight="1" x14ac:dyDescent="0.35">
      <c r="A4143" s="26" t="s">
        <v>4571</v>
      </c>
      <c r="B4143" s="25" t="s">
        <v>9124</v>
      </c>
      <c r="C4143" s="6" t="s">
        <v>1293</v>
      </c>
      <c r="D4143" s="13">
        <v>7057.8939670199688</v>
      </c>
      <c r="E4143" s="18">
        <v>21</v>
      </c>
      <c r="F4143" s="2">
        <f t="shared" si="128"/>
        <v>8540.0517000941618</v>
      </c>
      <c r="G4143" s="3">
        <v>0</v>
      </c>
      <c r="H4143" s="4">
        <v>0.7</v>
      </c>
      <c r="I4143" s="28">
        <f t="shared" si="129"/>
        <v>14518.087890160075</v>
      </c>
    </row>
    <row r="4144" spans="1:9" ht="15" customHeight="1" x14ac:dyDescent="0.35">
      <c r="A4144" s="26" t="s">
        <v>4495</v>
      </c>
      <c r="B4144" s="25" t="s">
        <v>9125</v>
      </c>
      <c r="C4144" s="6" t="s">
        <v>687</v>
      </c>
      <c r="D4144" s="13">
        <v>3020.1562953899997</v>
      </c>
      <c r="E4144" s="18">
        <v>21</v>
      </c>
      <c r="F4144" s="2">
        <f t="shared" si="128"/>
        <v>3654.3891174218998</v>
      </c>
      <c r="G4144" s="3">
        <v>0</v>
      </c>
      <c r="H4144" s="4">
        <v>0.7</v>
      </c>
      <c r="I4144" s="28">
        <f t="shared" si="129"/>
        <v>6212.4614996172295</v>
      </c>
    </row>
    <row r="4145" spans="1:9" ht="15" customHeight="1" x14ac:dyDescent="0.35">
      <c r="A4145" s="26" t="s">
        <v>10900</v>
      </c>
      <c r="B4145" s="25" t="s">
        <v>1124</v>
      </c>
      <c r="C4145" s="6" t="s">
        <v>10901</v>
      </c>
      <c r="D4145" s="13">
        <v>4085.9568750000003</v>
      </c>
      <c r="E4145" s="18">
        <v>21</v>
      </c>
      <c r="F4145" s="2">
        <f t="shared" si="128"/>
        <v>4944.0078187500003</v>
      </c>
      <c r="G4145" s="3">
        <v>0</v>
      </c>
      <c r="H4145" s="4">
        <v>0.7</v>
      </c>
      <c r="I4145" s="28">
        <f t="shared" si="129"/>
        <v>8404.8132918749998</v>
      </c>
    </row>
    <row r="4146" spans="1:9" ht="15" customHeight="1" x14ac:dyDescent="0.35">
      <c r="A4146" s="26" t="s">
        <v>8997</v>
      </c>
      <c r="B4146" s="25" t="s">
        <v>657</v>
      </c>
      <c r="C4146" s="6" t="s">
        <v>8998</v>
      </c>
      <c r="D4146" s="13">
        <v>18423.611388000001</v>
      </c>
      <c r="E4146" s="18">
        <v>21</v>
      </c>
      <c r="F4146" s="2">
        <f t="shared" si="128"/>
        <v>22292.56977948</v>
      </c>
      <c r="G4146" s="3">
        <v>0</v>
      </c>
      <c r="H4146" s="4">
        <v>0.7</v>
      </c>
      <c r="I4146" s="28">
        <f t="shared" si="129"/>
        <v>37897.368625115996</v>
      </c>
    </row>
    <row r="4147" spans="1:9" ht="15" customHeight="1" x14ac:dyDescent="0.35">
      <c r="A4147" s="26" t="s">
        <v>4496</v>
      </c>
      <c r="B4147" s="25" t="s">
        <v>658</v>
      </c>
      <c r="C4147" s="6" t="s">
        <v>688</v>
      </c>
      <c r="D4147" s="13">
        <v>2797.7258392200156</v>
      </c>
      <c r="E4147" s="18">
        <v>21</v>
      </c>
      <c r="F4147" s="2">
        <f t="shared" si="128"/>
        <v>3385.2482654562191</v>
      </c>
      <c r="G4147" s="3">
        <v>0</v>
      </c>
      <c r="H4147" s="4">
        <v>0.7</v>
      </c>
      <c r="I4147" s="28">
        <f t="shared" si="129"/>
        <v>5754.9220512755719</v>
      </c>
    </row>
    <row r="4148" spans="1:9" ht="15" customHeight="1" x14ac:dyDescent="0.35">
      <c r="A4148" s="26" t="s">
        <v>4497</v>
      </c>
      <c r="B4148" s="25" t="s">
        <v>659</v>
      </c>
      <c r="C4148" s="6" t="s">
        <v>9034</v>
      </c>
      <c r="D4148" s="13">
        <v>7057.8939670199688</v>
      </c>
      <c r="E4148" s="18">
        <v>21</v>
      </c>
      <c r="F4148" s="2">
        <f t="shared" si="128"/>
        <v>8540.0517000941618</v>
      </c>
      <c r="G4148" s="3">
        <v>0</v>
      </c>
      <c r="H4148" s="4">
        <v>0.7</v>
      </c>
      <c r="I4148" s="28">
        <f t="shared" si="129"/>
        <v>14518.087890160075</v>
      </c>
    </row>
    <row r="4149" spans="1:9" ht="15" customHeight="1" x14ac:dyDescent="0.35">
      <c r="A4149" s="26" t="s">
        <v>11523</v>
      </c>
      <c r="B4149" s="25" t="s">
        <v>660</v>
      </c>
      <c r="C4149" s="6" t="s">
        <v>11524</v>
      </c>
      <c r="D4149" s="13">
        <v>4085.9568750000003</v>
      </c>
      <c r="E4149" s="18">
        <v>21</v>
      </c>
      <c r="F4149" s="2">
        <f t="shared" si="128"/>
        <v>4944.0078187500003</v>
      </c>
      <c r="G4149" s="3">
        <v>0</v>
      </c>
      <c r="H4149" s="4">
        <v>0.7</v>
      </c>
      <c r="I4149" s="28">
        <f t="shared" si="129"/>
        <v>8404.8132918749998</v>
      </c>
    </row>
    <row r="4150" spans="1:9" ht="15" customHeight="1" x14ac:dyDescent="0.35">
      <c r="A4150" s="26" t="s">
        <v>4499</v>
      </c>
      <c r="B4150" s="25" t="s">
        <v>661</v>
      </c>
      <c r="C4150" s="6" t="s">
        <v>689</v>
      </c>
      <c r="D4150" s="13">
        <v>2797.7258392200156</v>
      </c>
      <c r="E4150" s="18">
        <v>21</v>
      </c>
      <c r="F4150" s="2">
        <f t="shared" si="128"/>
        <v>3385.2482654562191</v>
      </c>
      <c r="G4150" s="3">
        <v>0</v>
      </c>
      <c r="H4150" s="4">
        <v>0.7</v>
      </c>
      <c r="I4150" s="28">
        <f t="shared" si="129"/>
        <v>5754.9220512755719</v>
      </c>
    </row>
    <row r="4151" spans="1:9" ht="15" customHeight="1" x14ac:dyDescent="0.35">
      <c r="A4151" s="26" t="s">
        <v>9035</v>
      </c>
      <c r="B4151" s="25" t="s">
        <v>662</v>
      </c>
      <c r="C4151" s="6" t="s">
        <v>9036</v>
      </c>
      <c r="D4151" s="13">
        <v>7057.8939670199998</v>
      </c>
      <c r="E4151" s="18">
        <v>21</v>
      </c>
      <c r="F4151" s="2">
        <f t="shared" si="128"/>
        <v>8540.0517000942</v>
      </c>
      <c r="G4151" s="3">
        <v>0</v>
      </c>
      <c r="H4151" s="4">
        <v>0.7</v>
      </c>
      <c r="I4151" s="28">
        <f t="shared" si="129"/>
        <v>14518.087890160139</v>
      </c>
    </row>
    <row r="4152" spans="1:9" ht="15" customHeight="1" x14ac:dyDescent="0.35">
      <c r="A4152" s="26" t="s">
        <v>4501</v>
      </c>
      <c r="B4152" s="25" t="s">
        <v>663</v>
      </c>
      <c r="C4152" s="6" t="s">
        <v>690</v>
      </c>
      <c r="D4152" s="13">
        <v>3020.1562953899997</v>
      </c>
      <c r="E4152" s="18">
        <v>21</v>
      </c>
      <c r="F4152" s="2">
        <f t="shared" si="128"/>
        <v>3654.3891174218998</v>
      </c>
      <c r="G4152" s="3">
        <v>0</v>
      </c>
      <c r="H4152" s="4">
        <v>0.7</v>
      </c>
      <c r="I4152" s="28">
        <f t="shared" si="129"/>
        <v>6212.4614996172295</v>
      </c>
    </row>
    <row r="4153" spans="1:9" ht="15" customHeight="1" x14ac:dyDescent="0.35">
      <c r="A4153" s="26" t="s">
        <v>11525</v>
      </c>
      <c r="B4153" s="25" t="s">
        <v>664</v>
      </c>
      <c r="C4153" s="6" t="s">
        <v>11526</v>
      </c>
      <c r="D4153" s="13">
        <v>4085.9568750000003</v>
      </c>
      <c r="E4153" s="18">
        <v>21</v>
      </c>
      <c r="F4153" s="2">
        <f t="shared" si="128"/>
        <v>4944.0078187500003</v>
      </c>
      <c r="G4153" s="3">
        <v>0</v>
      </c>
      <c r="H4153" s="4">
        <v>0.7</v>
      </c>
      <c r="I4153" s="28">
        <f t="shared" si="129"/>
        <v>8404.8132918749998</v>
      </c>
    </row>
    <row r="4154" spans="1:9" ht="15" customHeight="1" x14ac:dyDescent="0.35">
      <c r="A4154" s="26" t="s">
        <v>4502</v>
      </c>
      <c r="B4154" s="25" t="s">
        <v>665</v>
      </c>
      <c r="C4154" s="6" t="s">
        <v>691</v>
      </c>
      <c r="D4154" s="13">
        <v>2827.8089127600156</v>
      </c>
      <c r="E4154" s="18">
        <v>21</v>
      </c>
      <c r="F4154" s="2">
        <f t="shared" si="128"/>
        <v>3421.6487844396188</v>
      </c>
      <c r="G4154" s="3">
        <v>0</v>
      </c>
      <c r="H4154" s="4">
        <v>0.7</v>
      </c>
      <c r="I4154" s="28">
        <f t="shared" si="129"/>
        <v>5816.802933547352</v>
      </c>
    </row>
    <row r="4155" spans="1:9" ht="15" customHeight="1" x14ac:dyDescent="0.35">
      <c r="A4155" s="26" t="s">
        <v>5807</v>
      </c>
      <c r="B4155" s="25" t="s">
        <v>666</v>
      </c>
      <c r="C4155" s="6" t="s">
        <v>1294</v>
      </c>
      <c r="D4155" s="13">
        <v>7057.8939670199688</v>
      </c>
      <c r="E4155" s="18">
        <v>21</v>
      </c>
      <c r="F4155" s="2">
        <f t="shared" si="128"/>
        <v>8540.0517000941618</v>
      </c>
      <c r="G4155" s="3">
        <v>0</v>
      </c>
      <c r="H4155" s="4">
        <v>0.7</v>
      </c>
      <c r="I4155" s="28">
        <f t="shared" si="129"/>
        <v>14518.087890160075</v>
      </c>
    </row>
    <row r="4156" spans="1:9" ht="15" customHeight="1" x14ac:dyDescent="0.35">
      <c r="A4156" s="26" t="s">
        <v>11527</v>
      </c>
      <c r="B4156" s="25" t="s">
        <v>667</v>
      </c>
      <c r="C4156" s="6" t="s">
        <v>11528</v>
      </c>
      <c r="D4156" s="13">
        <v>4733.3422500000006</v>
      </c>
      <c r="E4156" s="18">
        <v>21</v>
      </c>
      <c r="F4156" s="2">
        <f t="shared" si="128"/>
        <v>5727.3441225000006</v>
      </c>
      <c r="G4156" s="3">
        <v>0</v>
      </c>
      <c r="H4156" s="4">
        <v>0.7</v>
      </c>
      <c r="I4156" s="28">
        <f t="shared" si="129"/>
        <v>9736.4850082500016</v>
      </c>
    </row>
    <row r="4157" spans="1:9" ht="15" customHeight="1" x14ac:dyDescent="0.35">
      <c r="A4157" s="26" t="s">
        <v>13635</v>
      </c>
      <c r="B4157" s="25" t="s">
        <v>668</v>
      </c>
      <c r="C4157" s="6" t="s">
        <v>13636</v>
      </c>
      <c r="D4157" s="13">
        <v>4085.9568750000003</v>
      </c>
      <c r="E4157" s="18">
        <v>21</v>
      </c>
      <c r="F4157" s="2">
        <f t="shared" si="128"/>
        <v>4944.0078187500003</v>
      </c>
      <c r="G4157" s="3">
        <v>0</v>
      </c>
      <c r="H4157" s="4">
        <v>0.7</v>
      </c>
      <c r="I4157" s="28">
        <f t="shared" si="129"/>
        <v>8404.8132918749998</v>
      </c>
    </row>
    <row r="4158" spans="1:9" ht="15" customHeight="1" x14ac:dyDescent="0.35">
      <c r="A4158" s="26" t="s">
        <v>4504</v>
      </c>
      <c r="B4158" s="25" t="s">
        <v>11544</v>
      </c>
      <c r="C4158" s="6" t="s">
        <v>692</v>
      </c>
      <c r="D4158" s="13">
        <v>2797.7258392200156</v>
      </c>
      <c r="E4158" s="18">
        <v>21</v>
      </c>
      <c r="F4158" s="2">
        <f t="shared" si="128"/>
        <v>3385.2482654562191</v>
      </c>
      <c r="G4158" s="3">
        <v>0</v>
      </c>
      <c r="H4158" s="4">
        <v>0.7</v>
      </c>
      <c r="I4158" s="28">
        <f t="shared" si="129"/>
        <v>5754.9220512755719</v>
      </c>
    </row>
    <row r="4159" spans="1:9" ht="15" customHeight="1" x14ac:dyDescent="0.35">
      <c r="A4159" s="26" t="s">
        <v>4505</v>
      </c>
      <c r="B4159" s="25" t="s">
        <v>1064</v>
      </c>
      <c r="C4159" s="6" t="s">
        <v>1295</v>
      </c>
      <c r="D4159" s="13">
        <v>9006.8566442400152</v>
      </c>
      <c r="E4159" s="18">
        <v>21</v>
      </c>
      <c r="F4159" s="2">
        <f t="shared" si="128"/>
        <v>10898.296539530418</v>
      </c>
      <c r="G4159" s="3">
        <v>0</v>
      </c>
      <c r="H4159" s="4">
        <v>0.7</v>
      </c>
      <c r="I4159" s="28">
        <f t="shared" si="129"/>
        <v>18527.10411720171</v>
      </c>
    </row>
    <row r="4160" spans="1:9" ht="15" customHeight="1" x14ac:dyDescent="0.35">
      <c r="A4160" s="26" t="s">
        <v>12308</v>
      </c>
      <c r="B4160" s="25" t="s">
        <v>12617</v>
      </c>
      <c r="C4160" s="6" t="s">
        <v>12309</v>
      </c>
      <c r="D4160" s="13">
        <v>4414.9560000000001</v>
      </c>
      <c r="E4160" s="18">
        <v>21</v>
      </c>
      <c r="F4160" s="2">
        <f t="shared" si="128"/>
        <v>5342.0967600000004</v>
      </c>
      <c r="G4160" s="3">
        <v>0</v>
      </c>
      <c r="H4160" s="4">
        <v>0.7</v>
      </c>
      <c r="I4160" s="28">
        <f t="shared" si="129"/>
        <v>9081.5644919999995</v>
      </c>
    </row>
    <row r="4161" spans="1:9" ht="15" customHeight="1" x14ac:dyDescent="0.35">
      <c r="A4161" s="26" t="s">
        <v>4507</v>
      </c>
      <c r="B4161" s="25" t="s">
        <v>669</v>
      </c>
      <c r="C4161" s="6" t="s">
        <v>694</v>
      </c>
      <c r="D4161" s="13">
        <v>3072.91198734</v>
      </c>
      <c r="E4161" s="18">
        <v>21</v>
      </c>
      <c r="F4161" s="2">
        <f t="shared" si="128"/>
        <v>3718.2235046814003</v>
      </c>
      <c r="G4161" s="3">
        <v>0</v>
      </c>
      <c r="H4161" s="4">
        <v>0.7</v>
      </c>
      <c r="I4161" s="28">
        <f t="shared" si="129"/>
        <v>6320.9799579583805</v>
      </c>
    </row>
    <row r="4162" spans="1:9" ht="15" customHeight="1" x14ac:dyDescent="0.35">
      <c r="A4162" s="26" t="s">
        <v>4508</v>
      </c>
      <c r="B4162" s="25" t="s">
        <v>670</v>
      </c>
      <c r="C4162" s="6" t="s">
        <v>1296</v>
      </c>
      <c r="D4162" s="13">
        <v>9006.8566442400152</v>
      </c>
      <c r="E4162" s="18">
        <v>21</v>
      </c>
      <c r="F4162" s="2">
        <f t="shared" si="128"/>
        <v>10898.296539530418</v>
      </c>
      <c r="G4162" s="3">
        <v>0</v>
      </c>
      <c r="H4162" s="4">
        <v>0.7</v>
      </c>
      <c r="I4162" s="28">
        <f t="shared" si="129"/>
        <v>18527.10411720171</v>
      </c>
    </row>
    <row r="4163" spans="1:9" ht="15" customHeight="1" x14ac:dyDescent="0.35">
      <c r="A4163" s="26" t="s">
        <v>4509</v>
      </c>
      <c r="B4163" s="25" t="s">
        <v>671</v>
      </c>
      <c r="C4163" s="6" t="s">
        <v>695</v>
      </c>
      <c r="D4163" s="13">
        <v>4359.4111232099995</v>
      </c>
      <c r="E4163" s="18">
        <v>21</v>
      </c>
      <c r="F4163" s="2">
        <f t="shared" si="128"/>
        <v>5274.8874590840996</v>
      </c>
      <c r="G4163" s="3">
        <v>0</v>
      </c>
      <c r="H4163" s="4">
        <v>0.7</v>
      </c>
      <c r="I4163" s="28">
        <f t="shared" si="129"/>
        <v>8967.3086804429695</v>
      </c>
    </row>
    <row r="4164" spans="1:9" ht="15" customHeight="1" x14ac:dyDescent="0.35">
      <c r="A4164" s="26" t="s">
        <v>13894</v>
      </c>
      <c r="B4164" s="25" t="s">
        <v>672</v>
      </c>
      <c r="C4164" s="6" t="s">
        <v>13895</v>
      </c>
      <c r="D4164" s="13">
        <v>4733.3422500000006</v>
      </c>
      <c r="E4164" s="18">
        <v>21</v>
      </c>
      <c r="F4164" s="2">
        <f t="shared" si="128"/>
        <v>5727.3441225000006</v>
      </c>
      <c r="G4164" s="3">
        <v>0</v>
      </c>
      <c r="H4164" s="4">
        <v>0.7</v>
      </c>
      <c r="I4164" s="28">
        <f t="shared" si="129"/>
        <v>9736.4850082500016</v>
      </c>
    </row>
    <row r="4165" spans="1:9" ht="15" customHeight="1" x14ac:dyDescent="0.35">
      <c r="A4165" s="26" t="s">
        <v>4511</v>
      </c>
      <c r="B4165" s="25" t="s">
        <v>673</v>
      </c>
      <c r="C4165" s="6" t="s">
        <v>696</v>
      </c>
      <c r="D4165" s="13">
        <v>3072.91198734</v>
      </c>
      <c r="E4165" s="18">
        <v>21</v>
      </c>
      <c r="F4165" s="2">
        <f t="shared" si="128"/>
        <v>3718.2235046814003</v>
      </c>
      <c r="G4165" s="3">
        <v>0</v>
      </c>
      <c r="H4165" s="4">
        <v>0.7</v>
      </c>
      <c r="I4165" s="28">
        <f t="shared" si="129"/>
        <v>6320.9799579583805</v>
      </c>
    </row>
    <row r="4166" spans="1:9" ht="15" customHeight="1" x14ac:dyDescent="0.35">
      <c r="A4166" s="26" t="s">
        <v>4512</v>
      </c>
      <c r="B4166" s="25" t="s">
        <v>8961</v>
      </c>
      <c r="C4166" s="6" t="s">
        <v>1297</v>
      </c>
      <c r="D4166" s="13">
        <v>14544.685869480247</v>
      </c>
      <c r="E4166" s="18">
        <v>21</v>
      </c>
      <c r="F4166" s="2">
        <f t="shared" ref="F4166:F4229" si="130">D4166*E4166/100+D4166</f>
        <v>17599.0699020711</v>
      </c>
      <c r="G4166" s="3">
        <v>0</v>
      </c>
      <c r="H4166" s="4">
        <v>0.7</v>
      </c>
      <c r="I4166" s="28">
        <f t="shared" ref="I4166:I4229" si="131">IF(G4166=-1,0,F4166*((100-G4166)/100)*(1+H4166))</f>
        <v>29918.418833520867</v>
      </c>
    </row>
    <row r="4167" spans="1:9" ht="15" customHeight="1" x14ac:dyDescent="0.35">
      <c r="A4167" s="26" t="s">
        <v>4513</v>
      </c>
      <c r="B4167" s="25" t="s">
        <v>8963</v>
      </c>
      <c r="C4167" s="6" t="s">
        <v>697</v>
      </c>
      <c r="D4167" s="13">
        <v>6313.6299025800008</v>
      </c>
      <c r="E4167" s="18">
        <v>21</v>
      </c>
      <c r="F4167" s="2">
        <f t="shared" si="130"/>
        <v>7639.4921821218013</v>
      </c>
      <c r="G4167" s="3">
        <v>0</v>
      </c>
      <c r="H4167" s="4">
        <v>0.7</v>
      </c>
      <c r="I4167" s="28">
        <f t="shared" si="131"/>
        <v>12987.136709607063</v>
      </c>
    </row>
    <row r="4168" spans="1:9" ht="15" customHeight="1" x14ac:dyDescent="0.35">
      <c r="A4168" s="26" t="s">
        <v>13896</v>
      </c>
      <c r="B4168" s="25" t="s">
        <v>674</v>
      </c>
      <c r="C4168" s="6" t="s">
        <v>13897</v>
      </c>
      <c r="D4168" s="13">
        <v>4733.3422500000006</v>
      </c>
      <c r="E4168" s="18">
        <v>21</v>
      </c>
      <c r="F4168" s="2">
        <f t="shared" si="130"/>
        <v>5727.3441225000006</v>
      </c>
      <c r="G4168" s="3">
        <v>0</v>
      </c>
      <c r="H4168" s="4">
        <v>0.7</v>
      </c>
      <c r="I4168" s="28">
        <f t="shared" si="131"/>
        <v>9736.4850082500016</v>
      </c>
    </row>
    <row r="4169" spans="1:9" ht="15" customHeight="1" x14ac:dyDescent="0.35">
      <c r="A4169" s="26" t="s">
        <v>4514</v>
      </c>
      <c r="B4169" s="25" t="s">
        <v>9804</v>
      </c>
      <c r="C4169" s="6" t="s">
        <v>698</v>
      </c>
      <c r="D4169" s="13">
        <v>3072.91198734</v>
      </c>
      <c r="E4169" s="18">
        <v>21</v>
      </c>
      <c r="F4169" s="2">
        <f t="shared" si="130"/>
        <v>3718.2235046814003</v>
      </c>
      <c r="G4169" s="3">
        <v>0</v>
      </c>
      <c r="H4169" s="4">
        <v>0.7</v>
      </c>
      <c r="I4169" s="28">
        <f t="shared" si="131"/>
        <v>6320.9799579583805</v>
      </c>
    </row>
    <row r="4170" spans="1:9" ht="15" customHeight="1" x14ac:dyDescent="0.35">
      <c r="A4170" s="26" t="s">
        <v>4515</v>
      </c>
      <c r="B4170" s="25" t="s">
        <v>9806</v>
      </c>
      <c r="C4170" s="6" t="s">
        <v>1298</v>
      </c>
      <c r="D4170" s="13">
        <v>14544.685869480247</v>
      </c>
      <c r="E4170" s="18">
        <v>21</v>
      </c>
      <c r="F4170" s="2">
        <f t="shared" si="130"/>
        <v>17599.0699020711</v>
      </c>
      <c r="G4170" s="3">
        <v>0</v>
      </c>
      <c r="H4170" s="4">
        <v>0.7</v>
      </c>
      <c r="I4170" s="28">
        <f t="shared" si="131"/>
        <v>29918.418833520867</v>
      </c>
    </row>
    <row r="4171" spans="1:9" ht="15" customHeight="1" x14ac:dyDescent="0.35">
      <c r="A4171" s="26" t="s">
        <v>4516</v>
      </c>
      <c r="B4171" s="25" t="s">
        <v>9807</v>
      </c>
      <c r="C4171" s="6" t="s">
        <v>699</v>
      </c>
      <c r="D4171" s="13">
        <v>6313.6299025800008</v>
      </c>
      <c r="E4171" s="18">
        <v>21</v>
      </c>
      <c r="F4171" s="2">
        <f t="shared" si="130"/>
        <v>7639.4921821218013</v>
      </c>
      <c r="G4171" s="3">
        <v>0</v>
      </c>
      <c r="H4171" s="4">
        <v>0.7</v>
      </c>
      <c r="I4171" s="28">
        <f t="shared" si="131"/>
        <v>12987.136709607063</v>
      </c>
    </row>
    <row r="4172" spans="1:9" ht="15" customHeight="1" x14ac:dyDescent="0.35">
      <c r="A4172" s="26" t="s">
        <v>5808</v>
      </c>
      <c r="B4172" s="25" t="s">
        <v>13190</v>
      </c>
      <c r="C4172" s="6" t="s">
        <v>13934</v>
      </c>
      <c r="D4172" s="13">
        <v>7116.7403646481398</v>
      </c>
      <c r="E4172" s="18">
        <v>21</v>
      </c>
      <c r="F4172" s="2">
        <f t="shared" si="130"/>
        <v>8611.2558412242488</v>
      </c>
      <c r="G4172" s="3">
        <v>0</v>
      </c>
      <c r="H4172" s="4">
        <v>0.7</v>
      </c>
      <c r="I4172" s="28">
        <f t="shared" si="131"/>
        <v>14639.134930081222</v>
      </c>
    </row>
    <row r="4173" spans="1:9" ht="15" customHeight="1" x14ac:dyDescent="0.35">
      <c r="A4173" s="26" t="s">
        <v>5809</v>
      </c>
      <c r="B4173" s="25" t="s">
        <v>9808</v>
      </c>
      <c r="C4173" s="6" t="s">
        <v>13935</v>
      </c>
      <c r="D4173" s="13">
        <v>7116.7352457674997</v>
      </c>
      <c r="E4173" s="18">
        <v>21</v>
      </c>
      <c r="F4173" s="2">
        <f t="shared" si="130"/>
        <v>8611.2496473786741</v>
      </c>
      <c r="G4173" s="3">
        <v>0</v>
      </c>
      <c r="H4173" s="4">
        <v>0.7</v>
      </c>
      <c r="I4173" s="28">
        <f t="shared" si="131"/>
        <v>14639.124400543746</v>
      </c>
    </row>
    <row r="4174" spans="1:9" ht="15" customHeight="1" x14ac:dyDescent="0.35">
      <c r="A4174" s="26" t="s">
        <v>5810</v>
      </c>
      <c r="B4174" s="25" t="s">
        <v>13192</v>
      </c>
      <c r="C4174" s="6" t="s">
        <v>13936</v>
      </c>
      <c r="D4174" s="13">
        <v>7116.7352457674997</v>
      </c>
      <c r="E4174" s="18">
        <v>21</v>
      </c>
      <c r="F4174" s="2">
        <f t="shared" si="130"/>
        <v>8611.2496473786741</v>
      </c>
      <c r="G4174" s="3">
        <v>0</v>
      </c>
      <c r="H4174" s="4">
        <v>0.7</v>
      </c>
      <c r="I4174" s="28">
        <f t="shared" si="131"/>
        <v>14639.124400543746</v>
      </c>
    </row>
    <row r="4175" spans="1:9" ht="15" customHeight="1" x14ac:dyDescent="0.35">
      <c r="A4175" s="26" t="s">
        <v>5811</v>
      </c>
      <c r="B4175" s="25" t="s">
        <v>9825</v>
      </c>
      <c r="C4175" s="6" t="s">
        <v>13937</v>
      </c>
      <c r="D4175" s="13">
        <v>7116.7352457674997</v>
      </c>
      <c r="E4175" s="18">
        <v>21</v>
      </c>
      <c r="F4175" s="2">
        <f t="shared" si="130"/>
        <v>8611.2496473786741</v>
      </c>
      <c r="G4175" s="3">
        <v>0</v>
      </c>
      <c r="H4175" s="4">
        <v>0.7</v>
      </c>
      <c r="I4175" s="28">
        <f t="shared" si="131"/>
        <v>14639.124400543746</v>
      </c>
    </row>
    <row r="4176" spans="1:9" ht="15" customHeight="1" x14ac:dyDescent="0.35">
      <c r="A4176" s="26" t="s">
        <v>5812</v>
      </c>
      <c r="B4176" s="25" t="s">
        <v>9809</v>
      </c>
      <c r="C4176" s="6" t="s">
        <v>13938</v>
      </c>
      <c r="D4176" s="13">
        <v>6935.24352</v>
      </c>
      <c r="E4176" s="18">
        <v>21</v>
      </c>
      <c r="F4176" s="2">
        <f t="shared" si="130"/>
        <v>8391.6446591999993</v>
      </c>
      <c r="G4176" s="3">
        <v>0</v>
      </c>
      <c r="H4176" s="4">
        <v>0.7</v>
      </c>
      <c r="I4176" s="28">
        <f t="shared" si="131"/>
        <v>14265.795920639999</v>
      </c>
    </row>
    <row r="4177" spans="1:9" ht="15" customHeight="1" x14ac:dyDescent="0.35">
      <c r="A4177" s="26" t="s">
        <v>10902</v>
      </c>
      <c r="B4177" s="25" t="s">
        <v>13194</v>
      </c>
      <c r="C4177" s="6" t="s">
        <v>10903</v>
      </c>
      <c r="D4177" s="13">
        <v>9360.5557500000014</v>
      </c>
      <c r="E4177" s="18">
        <v>21</v>
      </c>
      <c r="F4177" s="2">
        <f t="shared" si="130"/>
        <v>11326.272457500001</v>
      </c>
      <c r="G4177" s="3">
        <v>0</v>
      </c>
      <c r="H4177" s="4">
        <v>0.7</v>
      </c>
      <c r="I4177" s="28">
        <f t="shared" si="131"/>
        <v>19254.663177750001</v>
      </c>
    </row>
    <row r="4178" spans="1:9" ht="15" customHeight="1" x14ac:dyDescent="0.35">
      <c r="A4178" s="26" t="s">
        <v>10904</v>
      </c>
      <c r="B4178" s="25" t="s">
        <v>9810</v>
      </c>
      <c r="C4178" s="6" t="s">
        <v>10905</v>
      </c>
      <c r="D4178" s="13">
        <v>9360.5557500000014</v>
      </c>
      <c r="E4178" s="18">
        <v>21</v>
      </c>
      <c r="F4178" s="2">
        <f t="shared" si="130"/>
        <v>11326.272457500001</v>
      </c>
      <c r="G4178" s="3">
        <v>0</v>
      </c>
      <c r="H4178" s="4">
        <v>0.7</v>
      </c>
      <c r="I4178" s="28">
        <f t="shared" si="131"/>
        <v>19254.663177750001</v>
      </c>
    </row>
    <row r="4179" spans="1:9" ht="15" customHeight="1" x14ac:dyDescent="0.35">
      <c r="A4179" s="26" t="s">
        <v>10755</v>
      </c>
      <c r="B4179" s="25" t="s">
        <v>9811</v>
      </c>
      <c r="C4179" s="6" t="s">
        <v>10756</v>
      </c>
      <c r="D4179" s="13">
        <v>8479.6871250000004</v>
      </c>
      <c r="E4179" s="18">
        <v>21</v>
      </c>
      <c r="F4179" s="2">
        <f t="shared" si="130"/>
        <v>10260.421421250001</v>
      </c>
      <c r="G4179" s="3">
        <v>0</v>
      </c>
      <c r="H4179" s="4">
        <v>0.7</v>
      </c>
      <c r="I4179" s="28">
        <f t="shared" si="131"/>
        <v>17442.716416125</v>
      </c>
    </row>
    <row r="4180" spans="1:9" ht="15" customHeight="1" x14ac:dyDescent="0.35">
      <c r="A4180" s="26" t="s">
        <v>5831</v>
      </c>
      <c r="B4180" s="25" t="s">
        <v>9826</v>
      </c>
      <c r="C4180" s="6" t="s">
        <v>1299</v>
      </c>
      <c r="D4180" s="13">
        <v>23847.986674980002</v>
      </c>
      <c r="E4180" s="18">
        <v>21</v>
      </c>
      <c r="F4180" s="2">
        <f t="shared" si="130"/>
        <v>28856.063876725802</v>
      </c>
      <c r="G4180" s="3">
        <v>0</v>
      </c>
      <c r="H4180" s="4">
        <v>0.7</v>
      </c>
      <c r="I4180" s="28">
        <f t="shared" si="131"/>
        <v>49055.308590433866</v>
      </c>
    </row>
    <row r="4181" spans="1:9" ht="15" customHeight="1" x14ac:dyDescent="0.35">
      <c r="A4181" s="26" t="s">
        <v>4575</v>
      </c>
      <c r="B4181" s="25" t="s">
        <v>13196</v>
      </c>
      <c r="C4181" s="6" t="s">
        <v>1300</v>
      </c>
      <c r="D4181" s="13">
        <v>6660.0308273200153</v>
      </c>
      <c r="E4181" s="18">
        <v>21</v>
      </c>
      <c r="F4181" s="2">
        <f t="shared" si="130"/>
        <v>8058.6373010572188</v>
      </c>
      <c r="G4181" s="3">
        <v>0</v>
      </c>
      <c r="H4181" s="4">
        <v>0.7</v>
      </c>
      <c r="I4181" s="28">
        <f t="shared" si="131"/>
        <v>13699.683411797272</v>
      </c>
    </row>
    <row r="4182" spans="1:9" ht="15" customHeight="1" x14ac:dyDescent="0.35">
      <c r="A4182" s="26" t="s">
        <v>4576</v>
      </c>
      <c r="B4182" s="25" t="s">
        <v>9812</v>
      </c>
      <c r="C4182" s="6" t="s">
        <v>1301</v>
      </c>
      <c r="D4182" s="13">
        <v>19615.773223799999</v>
      </c>
      <c r="E4182" s="18">
        <v>21</v>
      </c>
      <c r="F4182" s="2">
        <f t="shared" si="130"/>
        <v>23735.085600798</v>
      </c>
      <c r="G4182" s="3">
        <v>0</v>
      </c>
      <c r="H4182" s="4">
        <v>0.7</v>
      </c>
      <c r="I4182" s="28">
        <f t="shared" si="131"/>
        <v>40349.645521356601</v>
      </c>
    </row>
    <row r="4183" spans="1:9" ht="15" customHeight="1" x14ac:dyDescent="0.35">
      <c r="A4183" s="26" t="s">
        <v>13519</v>
      </c>
      <c r="B4183" s="25" t="s">
        <v>9813</v>
      </c>
      <c r="C4183" s="6" t="s">
        <v>13520</v>
      </c>
      <c r="D4183" s="13">
        <v>5076.1487860200159</v>
      </c>
      <c r="E4183" s="18">
        <v>21</v>
      </c>
      <c r="F4183" s="2">
        <f t="shared" si="130"/>
        <v>6142.1400310842191</v>
      </c>
      <c r="G4183" s="3">
        <v>0</v>
      </c>
      <c r="H4183" s="4">
        <v>0.7</v>
      </c>
      <c r="I4183" s="28">
        <f t="shared" si="131"/>
        <v>10441.638052843173</v>
      </c>
    </row>
    <row r="4184" spans="1:9" ht="15" customHeight="1" x14ac:dyDescent="0.35">
      <c r="A4184" s="26" t="s">
        <v>4577</v>
      </c>
      <c r="B4184" s="25" t="s">
        <v>13198</v>
      </c>
      <c r="C4184" s="6" t="s">
        <v>13637</v>
      </c>
      <c r="D4184" s="13">
        <v>6283.9854864540002</v>
      </c>
      <c r="E4184" s="18">
        <v>21</v>
      </c>
      <c r="F4184" s="2">
        <f t="shared" si="130"/>
        <v>7603.62243860934</v>
      </c>
      <c r="G4184" s="3">
        <v>0</v>
      </c>
      <c r="H4184" s="4">
        <v>0.7</v>
      </c>
      <c r="I4184" s="28">
        <f t="shared" si="131"/>
        <v>12926.158145635878</v>
      </c>
    </row>
    <row r="4185" spans="1:9" ht="15" customHeight="1" x14ac:dyDescent="0.35">
      <c r="A4185" s="26" t="s">
        <v>10757</v>
      </c>
      <c r="B4185" s="25" t="s">
        <v>9814</v>
      </c>
      <c r="C4185" s="6" t="s">
        <v>10758</v>
      </c>
      <c r="D4185" s="13">
        <v>7598.8185000000003</v>
      </c>
      <c r="E4185" s="18">
        <v>21</v>
      </c>
      <c r="F4185" s="2">
        <f t="shared" si="130"/>
        <v>9194.5703850000009</v>
      </c>
      <c r="G4185" s="3">
        <v>0</v>
      </c>
      <c r="H4185" s="4">
        <v>0.7</v>
      </c>
      <c r="I4185" s="28">
        <f t="shared" si="131"/>
        <v>15630.769654500002</v>
      </c>
    </row>
    <row r="4186" spans="1:9" ht="15" customHeight="1" x14ac:dyDescent="0.35">
      <c r="A4186" s="26" t="s">
        <v>4608</v>
      </c>
      <c r="B4186" s="25" t="s">
        <v>9815</v>
      </c>
      <c r="C4186" s="6" t="s">
        <v>1302</v>
      </c>
      <c r="D4186" s="13">
        <v>23002.260372000001</v>
      </c>
      <c r="E4186" s="18">
        <v>21</v>
      </c>
      <c r="F4186" s="2">
        <f t="shared" si="130"/>
        <v>27832.735050120002</v>
      </c>
      <c r="G4186" s="3">
        <v>0</v>
      </c>
      <c r="H4186" s="4">
        <v>0.7</v>
      </c>
      <c r="I4186" s="28">
        <f t="shared" si="131"/>
        <v>47315.649585204003</v>
      </c>
    </row>
    <row r="4187" spans="1:9" ht="15" customHeight="1" x14ac:dyDescent="0.35">
      <c r="A4187" s="26" t="s">
        <v>4518</v>
      </c>
      <c r="B4187" s="25" t="s">
        <v>9827</v>
      </c>
      <c r="C4187" s="6" t="s">
        <v>705</v>
      </c>
      <c r="D4187" s="13">
        <v>5640.1653177999842</v>
      </c>
      <c r="E4187" s="18">
        <v>21</v>
      </c>
      <c r="F4187" s="2">
        <f t="shared" si="130"/>
        <v>6824.6000345379807</v>
      </c>
      <c r="G4187" s="3">
        <v>0</v>
      </c>
      <c r="H4187" s="4">
        <v>0.7</v>
      </c>
      <c r="I4187" s="28">
        <f t="shared" si="131"/>
        <v>11601.820058714567</v>
      </c>
    </row>
    <row r="4188" spans="1:9" ht="15" customHeight="1" x14ac:dyDescent="0.35">
      <c r="A4188" s="26" t="s">
        <v>5823</v>
      </c>
      <c r="B4188" s="25" t="s">
        <v>1125</v>
      </c>
      <c r="C4188" s="6" t="s">
        <v>1303</v>
      </c>
      <c r="D4188" s="13">
        <v>14210.399557377501</v>
      </c>
      <c r="E4188" s="18">
        <v>21</v>
      </c>
      <c r="F4188" s="2">
        <f t="shared" si="130"/>
        <v>17194.583464426774</v>
      </c>
      <c r="G4188" s="3">
        <v>0</v>
      </c>
      <c r="H4188" s="4">
        <v>0.7</v>
      </c>
      <c r="I4188" s="28">
        <f t="shared" si="131"/>
        <v>29230.791889525517</v>
      </c>
    </row>
    <row r="4189" spans="1:9" ht="15" customHeight="1" x14ac:dyDescent="0.35">
      <c r="A4189" s="26" t="s">
        <v>4520</v>
      </c>
      <c r="B4189" s="25" t="s">
        <v>10553</v>
      </c>
      <c r="C4189" s="6" t="s">
        <v>706</v>
      </c>
      <c r="D4189" s="13">
        <v>7195.6569099999997</v>
      </c>
      <c r="E4189" s="18">
        <v>21</v>
      </c>
      <c r="F4189" s="2">
        <f t="shared" si="130"/>
        <v>8706.7448611</v>
      </c>
      <c r="G4189" s="3">
        <v>0</v>
      </c>
      <c r="H4189" s="4">
        <v>0.7</v>
      </c>
      <c r="I4189" s="28">
        <f t="shared" si="131"/>
        <v>14801.466263869999</v>
      </c>
    </row>
    <row r="4190" spans="1:9" ht="15" customHeight="1" x14ac:dyDescent="0.35">
      <c r="A4190" s="26" t="s">
        <v>13521</v>
      </c>
      <c r="B4190" s="25" t="s">
        <v>10554</v>
      </c>
      <c r="C4190" s="6" t="s">
        <v>13522</v>
      </c>
      <c r="D4190" s="13">
        <v>5076.1487860200159</v>
      </c>
      <c r="E4190" s="18">
        <v>21</v>
      </c>
      <c r="F4190" s="2">
        <f t="shared" si="130"/>
        <v>6142.1400310842191</v>
      </c>
      <c r="G4190" s="3">
        <v>0</v>
      </c>
      <c r="H4190" s="4">
        <v>0.7</v>
      </c>
      <c r="I4190" s="28">
        <f t="shared" si="131"/>
        <v>10441.638052843173</v>
      </c>
    </row>
    <row r="4191" spans="1:9" ht="15" customHeight="1" x14ac:dyDescent="0.35">
      <c r="A4191" s="26" t="s">
        <v>4578</v>
      </c>
      <c r="B4191" s="25" t="s">
        <v>10555</v>
      </c>
      <c r="C4191" s="6" t="s">
        <v>13638</v>
      </c>
      <c r="D4191" s="13">
        <v>6283.9854864540002</v>
      </c>
      <c r="E4191" s="18">
        <v>21</v>
      </c>
      <c r="F4191" s="2">
        <f t="shared" si="130"/>
        <v>7603.62243860934</v>
      </c>
      <c r="G4191" s="3">
        <v>0</v>
      </c>
      <c r="H4191" s="4">
        <v>0.7</v>
      </c>
      <c r="I4191" s="28">
        <f t="shared" si="131"/>
        <v>12926.158145635878</v>
      </c>
    </row>
    <row r="4192" spans="1:9" ht="15" customHeight="1" x14ac:dyDescent="0.35">
      <c r="A4192" s="26" t="s">
        <v>10759</v>
      </c>
      <c r="B4192" s="25" t="s">
        <v>10556</v>
      </c>
      <c r="C4192" s="6" t="s">
        <v>10760</v>
      </c>
      <c r="D4192" s="13">
        <v>7598.8185000000003</v>
      </c>
      <c r="E4192" s="18">
        <v>21</v>
      </c>
      <c r="F4192" s="2">
        <f t="shared" si="130"/>
        <v>9194.5703850000009</v>
      </c>
      <c r="G4192" s="3">
        <v>0</v>
      </c>
      <c r="H4192" s="4">
        <v>0.7</v>
      </c>
      <c r="I4192" s="28">
        <f t="shared" si="131"/>
        <v>15630.769654500002</v>
      </c>
    </row>
    <row r="4193" spans="1:9" ht="15" customHeight="1" x14ac:dyDescent="0.35">
      <c r="A4193" s="26" t="s">
        <v>4609</v>
      </c>
      <c r="B4193" s="25" t="s">
        <v>10557</v>
      </c>
      <c r="C4193" s="6" t="s">
        <v>1304</v>
      </c>
      <c r="D4193" s="13">
        <v>23002.260372000001</v>
      </c>
      <c r="E4193" s="18">
        <v>21</v>
      </c>
      <c r="F4193" s="2">
        <f t="shared" si="130"/>
        <v>27832.735050120002</v>
      </c>
      <c r="G4193" s="3">
        <v>0</v>
      </c>
      <c r="H4193" s="4">
        <v>0.7</v>
      </c>
      <c r="I4193" s="28">
        <f t="shared" si="131"/>
        <v>47315.649585204003</v>
      </c>
    </row>
    <row r="4194" spans="1:9" ht="15" customHeight="1" x14ac:dyDescent="0.35">
      <c r="A4194" s="26" t="s">
        <v>4521</v>
      </c>
      <c r="B4194" s="25" t="s">
        <v>10558</v>
      </c>
      <c r="C4194" s="6" t="s">
        <v>707</v>
      </c>
      <c r="D4194" s="13">
        <v>5640.1653177999842</v>
      </c>
      <c r="E4194" s="18">
        <v>21</v>
      </c>
      <c r="F4194" s="2">
        <f t="shared" si="130"/>
        <v>6824.6000345379807</v>
      </c>
      <c r="G4194" s="3">
        <v>0</v>
      </c>
      <c r="H4194" s="4">
        <v>0.7</v>
      </c>
      <c r="I4194" s="28">
        <f t="shared" si="131"/>
        <v>11601.820058714567</v>
      </c>
    </row>
    <row r="4195" spans="1:9" ht="15" customHeight="1" x14ac:dyDescent="0.35">
      <c r="A4195" s="26" t="s">
        <v>5824</v>
      </c>
      <c r="B4195" s="25" t="s">
        <v>10559</v>
      </c>
      <c r="C4195" s="6" t="s">
        <v>1305</v>
      </c>
      <c r="D4195" s="13">
        <v>14210.399557377501</v>
      </c>
      <c r="E4195" s="18">
        <v>21</v>
      </c>
      <c r="F4195" s="2">
        <f t="shared" si="130"/>
        <v>17194.583464426774</v>
      </c>
      <c r="G4195" s="3">
        <v>0</v>
      </c>
      <c r="H4195" s="4">
        <v>0.7</v>
      </c>
      <c r="I4195" s="28">
        <f t="shared" si="131"/>
        <v>29230.791889525517</v>
      </c>
    </row>
    <row r="4196" spans="1:9" ht="15" customHeight="1" x14ac:dyDescent="0.35">
      <c r="A4196" s="26" t="s">
        <v>4522</v>
      </c>
      <c r="B4196" s="25" t="s">
        <v>11264</v>
      </c>
      <c r="C4196" s="6" t="s">
        <v>708</v>
      </c>
      <c r="D4196" s="13">
        <v>7195.6569099999997</v>
      </c>
      <c r="E4196" s="18">
        <v>21</v>
      </c>
      <c r="F4196" s="2">
        <f t="shared" si="130"/>
        <v>8706.7448611</v>
      </c>
      <c r="G4196" s="3">
        <v>0</v>
      </c>
      <c r="H4196" s="4">
        <v>0.7</v>
      </c>
      <c r="I4196" s="28">
        <f t="shared" si="131"/>
        <v>14801.466263869999</v>
      </c>
    </row>
    <row r="4197" spans="1:9" ht="15" customHeight="1" x14ac:dyDescent="0.35">
      <c r="A4197" s="26" t="s">
        <v>13523</v>
      </c>
      <c r="B4197" s="25" t="s">
        <v>675</v>
      </c>
      <c r="C4197" s="6" t="s">
        <v>13524</v>
      </c>
      <c r="D4197" s="13">
        <v>5076.1487860200159</v>
      </c>
      <c r="E4197" s="18">
        <v>21</v>
      </c>
      <c r="F4197" s="2">
        <f t="shared" si="130"/>
        <v>6142.1400310842191</v>
      </c>
      <c r="G4197" s="3">
        <v>0</v>
      </c>
      <c r="H4197" s="4">
        <v>0.7</v>
      </c>
      <c r="I4197" s="28">
        <f t="shared" si="131"/>
        <v>10441.638052843173</v>
      </c>
    </row>
    <row r="4198" spans="1:9" ht="15" customHeight="1" x14ac:dyDescent="0.35">
      <c r="A4198" s="26" t="s">
        <v>13639</v>
      </c>
      <c r="B4198" s="25" t="s">
        <v>676</v>
      </c>
      <c r="C4198" s="6" t="s">
        <v>13640</v>
      </c>
      <c r="D4198" s="13">
        <v>6283.9854864540002</v>
      </c>
      <c r="E4198" s="18">
        <v>21</v>
      </c>
      <c r="F4198" s="2">
        <f t="shared" si="130"/>
        <v>7603.62243860934</v>
      </c>
      <c r="G4198" s="3">
        <v>0</v>
      </c>
      <c r="H4198" s="4">
        <v>0.7</v>
      </c>
      <c r="I4198" s="28">
        <f t="shared" si="131"/>
        <v>12926.158145635878</v>
      </c>
    </row>
    <row r="4199" spans="1:9" ht="15" customHeight="1" x14ac:dyDescent="0.35">
      <c r="A4199" s="26" t="s">
        <v>10761</v>
      </c>
      <c r="B4199" s="25" t="s">
        <v>677</v>
      </c>
      <c r="C4199" s="6" t="s">
        <v>10762</v>
      </c>
      <c r="D4199" s="13">
        <v>7598.8185000000003</v>
      </c>
      <c r="E4199" s="18">
        <v>21</v>
      </c>
      <c r="F4199" s="2">
        <f t="shared" si="130"/>
        <v>9194.5703850000009</v>
      </c>
      <c r="G4199" s="3">
        <v>0</v>
      </c>
      <c r="H4199" s="4">
        <v>0.7</v>
      </c>
      <c r="I4199" s="28">
        <f t="shared" si="131"/>
        <v>15630.769654500002</v>
      </c>
    </row>
    <row r="4200" spans="1:9" ht="15" customHeight="1" x14ac:dyDescent="0.35">
      <c r="A4200" s="26" t="s">
        <v>5832</v>
      </c>
      <c r="B4200" s="25" t="s">
        <v>678</v>
      </c>
      <c r="C4200" s="6" t="s">
        <v>1306</v>
      </c>
      <c r="D4200" s="13">
        <v>23002.260372000001</v>
      </c>
      <c r="E4200" s="18">
        <v>21</v>
      </c>
      <c r="F4200" s="2">
        <f t="shared" si="130"/>
        <v>27832.735050120002</v>
      </c>
      <c r="G4200" s="3">
        <v>0</v>
      </c>
      <c r="H4200" s="4">
        <v>0.7</v>
      </c>
      <c r="I4200" s="28">
        <f t="shared" si="131"/>
        <v>47315.649585204003</v>
      </c>
    </row>
    <row r="4201" spans="1:9" ht="15" customHeight="1" x14ac:dyDescent="0.35">
      <c r="A4201" s="26" t="s">
        <v>4523</v>
      </c>
      <c r="B4201" s="25" t="s">
        <v>679</v>
      </c>
      <c r="C4201" s="6" t="s">
        <v>709</v>
      </c>
      <c r="D4201" s="13">
        <v>5640.1653177999842</v>
      </c>
      <c r="E4201" s="18">
        <v>21</v>
      </c>
      <c r="F4201" s="2">
        <f t="shared" si="130"/>
        <v>6824.6000345379807</v>
      </c>
      <c r="G4201" s="3">
        <v>0</v>
      </c>
      <c r="H4201" s="4">
        <v>0.7</v>
      </c>
      <c r="I4201" s="28">
        <f t="shared" si="131"/>
        <v>11601.820058714567</v>
      </c>
    </row>
    <row r="4202" spans="1:9" ht="15" customHeight="1" x14ac:dyDescent="0.35">
      <c r="A4202" s="26" t="s">
        <v>4579</v>
      </c>
      <c r="B4202" s="25" t="s">
        <v>680</v>
      </c>
      <c r="C4202" s="6" t="s">
        <v>4580</v>
      </c>
      <c r="D4202" s="13">
        <v>14210.399557377501</v>
      </c>
      <c r="E4202" s="18">
        <v>21</v>
      </c>
      <c r="F4202" s="2">
        <f t="shared" si="130"/>
        <v>17194.583464426774</v>
      </c>
      <c r="G4202" s="3">
        <v>0</v>
      </c>
      <c r="H4202" s="4">
        <v>0.7</v>
      </c>
      <c r="I4202" s="28">
        <f t="shared" si="131"/>
        <v>29230.791889525517</v>
      </c>
    </row>
    <row r="4203" spans="1:9" ht="15" customHeight="1" x14ac:dyDescent="0.35">
      <c r="A4203" s="26" t="s">
        <v>13525</v>
      </c>
      <c r="B4203" s="25" t="s">
        <v>681</v>
      </c>
      <c r="C4203" s="6" t="s">
        <v>13526</v>
      </c>
      <c r="D4203" s="13">
        <v>5076.1487860200159</v>
      </c>
      <c r="E4203" s="18">
        <v>21</v>
      </c>
      <c r="F4203" s="2">
        <f t="shared" si="130"/>
        <v>6142.1400310842191</v>
      </c>
      <c r="G4203" s="3">
        <v>0</v>
      </c>
      <c r="H4203" s="4">
        <v>0.7</v>
      </c>
      <c r="I4203" s="28">
        <f t="shared" si="131"/>
        <v>10441.638052843173</v>
      </c>
    </row>
    <row r="4204" spans="1:9" ht="15" customHeight="1" x14ac:dyDescent="0.35">
      <c r="A4204" s="26" t="s">
        <v>4581</v>
      </c>
      <c r="B4204" s="25" t="s">
        <v>682</v>
      </c>
      <c r="C4204" s="6" t="s">
        <v>13641</v>
      </c>
      <c r="D4204" s="13">
        <v>6283.9854864540002</v>
      </c>
      <c r="E4204" s="18">
        <v>21</v>
      </c>
      <c r="F4204" s="2">
        <f t="shared" si="130"/>
        <v>7603.62243860934</v>
      </c>
      <c r="G4204" s="3">
        <v>0</v>
      </c>
      <c r="H4204" s="4">
        <v>0.7</v>
      </c>
      <c r="I4204" s="28">
        <f t="shared" si="131"/>
        <v>12926.158145635878</v>
      </c>
    </row>
    <row r="4205" spans="1:9" ht="15" customHeight="1" x14ac:dyDescent="0.35">
      <c r="A4205" s="26" t="s">
        <v>10763</v>
      </c>
      <c r="B4205" s="25" t="s">
        <v>683</v>
      </c>
      <c r="C4205" s="6" t="s">
        <v>10764</v>
      </c>
      <c r="D4205" s="13">
        <v>7598.8185000000003</v>
      </c>
      <c r="E4205" s="18">
        <v>21</v>
      </c>
      <c r="F4205" s="2">
        <f t="shared" si="130"/>
        <v>9194.5703850000009</v>
      </c>
      <c r="G4205" s="3">
        <v>0</v>
      </c>
      <c r="H4205" s="4">
        <v>0.7</v>
      </c>
      <c r="I4205" s="28">
        <f t="shared" si="131"/>
        <v>15630.769654500002</v>
      </c>
    </row>
    <row r="4206" spans="1:9" ht="15" customHeight="1" x14ac:dyDescent="0.35">
      <c r="A4206" s="26" t="s">
        <v>5833</v>
      </c>
      <c r="B4206" s="25" t="s">
        <v>684</v>
      </c>
      <c r="C4206" s="6" t="s">
        <v>1307</v>
      </c>
      <c r="D4206" s="13">
        <v>23002.260372000001</v>
      </c>
      <c r="E4206" s="18">
        <v>21</v>
      </c>
      <c r="F4206" s="2">
        <f t="shared" si="130"/>
        <v>27832.735050120002</v>
      </c>
      <c r="G4206" s="3">
        <v>0</v>
      </c>
      <c r="H4206" s="4">
        <v>0.7</v>
      </c>
      <c r="I4206" s="28">
        <f t="shared" si="131"/>
        <v>47315.649585204003</v>
      </c>
    </row>
    <row r="4207" spans="1:9" ht="15" customHeight="1" x14ac:dyDescent="0.35">
      <c r="A4207" s="26" t="s">
        <v>4525</v>
      </c>
      <c r="B4207" s="25" t="s">
        <v>9126</v>
      </c>
      <c r="C4207" s="6" t="s">
        <v>711</v>
      </c>
      <c r="D4207" s="13">
        <v>5640.1653177999842</v>
      </c>
      <c r="E4207" s="18">
        <v>21</v>
      </c>
      <c r="F4207" s="2">
        <f t="shared" si="130"/>
        <v>6824.6000345379807</v>
      </c>
      <c r="G4207" s="3">
        <v>0</v>
      </c>
      <c r="H4207" s="4">
        <v>0.7</v>
      </c>
      <c r="I4207" s="28">
        <f t="shared" si="131"/>
        <v>11601.820058714567</v>
      </c>
    </row>
    <row r="4208" spans="1:9" ht="15" customHeight="1" x14ac:dyDescent="0.35">
      <c r="A4208" s="26" t="s">
        <v>8724</v>
      </c>
      <c r="B4208" s="25" t="s">
        <v>9127</v>
      </c>
      <c r="C4208" s="6" t="s">
        <v>8741</v>
      </c>
      <c r="D4208" s="13">
        <v>14210.39777274</v>
      </c>
      <c r="E4208" s="18">
        <v>21</v>
      </c>
      <c r="F4208" s="2">
        <f t="shared" si="130"/>
        <v>17194.581305015399</v>
      </c>
      <c r="G4208" s="3">
        <v>0</v>
      </c>
      <c r="H4208" s="4">
        <v>0.7</v>
      </c>
      <c r="I4208" s="28">
        <f t="shared" si="131"/>
        <v>29230.788218526177</v>
      </c>
    </row>
    <row r="4209" spans="1:9" ht="15" customHeight="1" x14ac:dyDescent="0.35">
      <c r="A4209" s="26" t="s">
        <v>13527</v>
      </c>
      <c r="B4209" s="25" t="s">
        <v>9128</v>
      </c>
      <c r="C4209" s="6" t="s">
        <v>13528</v>
      </c>
      <c r="D4209" s="13">
        <v>5076.1487860200159</v>
      </c>
      <c r="E4209" s="18">
        <v>21</v>
      </c>
      <c r="F4209" s="2">
        <f t="shared" si="130"/>
        <v>6142.1400310842191</v>
      </c>
      <c r="G4209" s="3">
        <v>0</v>
      </c>
      <c r="H4209" s="4">
        <v>0.7</v>
      </c>
      <c r="I4209" s="28">
        <f t="shared" si="131"/>
        <v>10441.638052843173</v>
      </c>
    </row>
    <row r="4210" spans="1:9" ht="15" customHeight="1" x14ac:dyDescent="0.35">
      <c r="A4210" s="26" t="s">
        <v>4582</v>
      </c>
      <c r="B4210" s="25" t="s">
        <v>9129</v>
      </c>
      <c r="C4210" s="6" t="s">
        <v>13642</v>
      </c>
      <c r="D4210" s="13">
        <v>6772.7399131781995</v>
      </c>
      <c r="E4210" s="18">
        <v>21</v>
      </c>
      <c r="F4210" s="2">
        <f t="shared" si="130"/>
        <v>8195.0152949456206</v>
      </c>
      <c r="G4210" s="3">
        <v>0</v>
      </c>
      <c r="H4210" s="4">
        <v>0.7</v>
      </c>
      <c r="I4210" s="28">
        <f t="shared" si="131"/>
        <v>13931.526001407554</v>
      </c>
    </row>
    <row r="4211" spans="1:9" ht="15" customHeight="1" x14ac:dyDescent="0.35">
      <c r="A4211" s="26" t="s">
        <v>10765</v>
      </c>
      <c r="B4211" s="25" t="s">
        <v>9130</v>
      </c>
      <c r="C4211" s="6" t="s">
        <v>10766</v>
      </c>
      <c r="D4211" s="13">
        <v>7598.8185000000003</v>
      </c>
      <c r="E4211" s="18">
        <v>21</v>
      </c>
      <c r="F4211" s="2">
        <f t="shared" si="130"/>
        <v>9194.5703850000009</v>
      </c>
      <c r="G4211" s="3">
        <v>0</v>
      </c>
      <c r="H4211" s="4">
        <v>0.7</v>
      </c>
      <c r="I4211" s="28">
        <f t="shared" si="131"/>
        <v>15630.769654500002</v>
      </c>
    </row>
    <row r="4212" spans="1:9" ht="15" customHeight="1" x14ac:dyDescent="0.35">
      <c r="A4212" s="26" t="s">
        <v>5834</v>
      </c>
      <c r="B4212" s="25" t="s">
        <v>9131</v>
      </c>
      <c r="C4212" s="6" t="s">
        <v>1308</v>
      </c>
      <c r="D4212" s="13">
        <v>36294.358698000004</v>
      </c>
      <c r="E4212" s="18">
        <v>21</v>
      </c>
      <c r="F4212" s="2">
        <f t="shared" si="130"/>
        <v>43916.174024580003</v>
      </c>
      <c r="G4212" s="3">
        <v>0</v>
      </c>
      <c r="H4212" s="4">
        <v>0.7</v>
      </c>
      <c r="I4212" s="28">
        <f t="shared" si="131"/>
        <v>74657.495841786003</v>
      </c>
    </row>
    <row r="4213" spans="1:9" ht="15" customHeight="1" x14ac:dyDescent="0.35">
      <c r="A4213" s="26" t="s">
        <v>4527</v>
      </c>
      <c r="B4213" s="25" t="s">
        <v>9141</v>
      </c>
      <c r="C4213" s="6" t="s">
        <v>713</v>
      </c>
      <c r="D4213" s="13">
        <v>5640.1653177999842</v>
      </c>
      <c r="E4213" s="18">
        <v>21</v>
      </c>
      <c r="F4213" s="2">
        <f t="shared" si="130"/>
        <v>6824.6000345379807</v>
      </c>
      <c r="G4213" s="3">
        <v>0</v>
      </c>
      <c r="H4213" s="4">
        <v>0.7</v>
      </c>
      <c r="I4213" s="28">
        <f t="shared" si="131"/>
        <v>11601.820058714567</v>
      </c>
    </row>
    <row r="4214" spans="1:9" ht="15" customHeight="1" x14ac:dyDescent="0.35">
      <c r="A4214" s="26" t="s">
        <v>8725</v>
      </c>
      <c r="B4214" s="25" t="s">
        <v>9132</v>
      </c>
      <c r="C4214" s="6" t="s">
        <v>8742</v>
      </c>
      <c r="D4214" s="13">
        <v>18310.159749253005</v>
      </c>
      <c r="E4214" s="18">
        <v>21</v>
      </c>
      <c r="F4214" s="2">
        <f t="shared" si="130"/>
        <v>22155.293296596137</v>
      </c>
      <c r="G4214" s="3">
        <v>0</v>
      </c>
      <c r="H4214" s="4">
        <v>0.7</v>
      </c>
      <c r="I4214" s="28">
        <f t="shared" si="131"/>
        <v>37663.998604213433</v>
      </c>
    </row>
    <row r="4215" spans="1:9" ht="15" customHeight="1" x14ac:dyDescent="0.35">
      <c r="A4215" s="26" t="s">
        <v>13529</v>
      </c>
      <c r="B4215" s="25" t="s">
        <v>9133</v>
      </c>
      <c r="C4215" s="6" t="s">
        <v>13530</v>
      </c>
      <c r="D4215" s="13">
        <v>5949.2154722000005</v>
      </c>
      <c r="E4215" s="18">
        <v>21</v>
      </c>
      <c r="F4215" s="2">
        <f t="shared" si="130"/>
        <v>7198.5507213620003</v>
      </c>
      <c r="G4215" s="3">
        <v>0</v>
      </c>
      <c r="H4215" s="4">
        <v>0.7</v>
      </c>
      <c r="I4215" s="28">
        <f t="shared" si="131"/>
        <v>12237.5362263154</v>
      </c>
    </row>
    <row r="4216" spans="1:9" ht="15" customHeight="1" x14ac:dyDescent="0.35">
      <c r="A4216" s="26" t="s">
        <v>4583</v>
      </c>
      <c r="B4216" s="25" t="s">
        <v>9134</v>
      </c>
      <c r="C4216" s="6" t="s">
        <v>13643</v>
      </c>
      <c r="D4216" s="13">
        <v>6772.7399131781995</v>
      </c>
      <c r="E4216" s="18">
        <v>21</v>
      </c>
      <c r="F4216" s="2">
        <f t="shared" si="130"/>
        <v>8195.0152949456206</v>
      </c>
      <c r="G4216" s="3">
        <v>0</v>
      </c>
      <c r="H4216" s="4">
        <v>0.7</v>
      </c>
      <c r="I4216" s="28">
        <f t="shared" si="131"/>
        <v>13931.526001407554</v>
      </c>
    </row>
    <row r="4217" spans="1:9" ht="15" customHeight="1" x14ac:dyDescent="0.35">
      <c r="A4217" s="26" t="s">
        <v>10906</v>
      </c>
      <c r="B4217" s="25" t="s">
        <v>9135</v>
      </c>
      <c r="C4217" s="6" t="s">
        <v>10907</v>
      </c>
      <c r="D4217" s="13">
        <v>8479.6871250000004</v>
      </c>
      <c r="E4217" s="18">
        <v>21</v>
      </c>
      <c r="F4217" s="2">
        <f t="shared" si="130"/>
        <v>10260.421421250001</v>
      </c>
      <c r="G4217" s="3">
        <v>0</v>
      </c>
      <c r="H4217" s="4">
        <v>0.7</v>
      </c>
      <c r="I4217" s="28">
        <f t="shared" si="131"/>
        <v>17442.716416125</v>
      </c>
    </row>
    <row r="4218" spans="1:9" ht="15" customHeight="1" x14ac:dyDescent="0.35">
      <c r="A4218" s="26" t="s">
        <v>4530</v>
      </c>
      <c r="B4218" s="25" t="s">
        <v>9136</v>
      </c>
      <c r="C4218" s="6" t="s">
        <v>714</v>
      </c>
      <c r="D4218" s="13">
        <v>6227.3606111599993</v>
      </c>
      <c r="E4218" s="18">
        <v>21</v>
      </c>
      <c r="F4218" s="2">
        <f t="shared" si="130"/>
        <v>7535.106339503599</v>
      </c>
      <c r="G4218" s="3">
        <v>0</v>
      </c>
      <c r="H4218" s="4">
        <v>0.7</v>
      </c>
      <c r="I4218" s="28">
        <f t="shared" si="131"/>
        <v>12809.680777156118</v>
      </c>
    </row>
    <row r="4219" spans="1:9" ht="15" customHeight="1" x14ac:dyDescent="0.35">
      <c r="A4219" s="26" t="s">
        <v>8726</v>
      </c>
      <c r="B4219" s="25" t="s">
        <v>9137</v>
      </c>
      <c r="C4219" s="6" t="s">
        <v>8743</v>
      </c>
      <c r="D4219" s="13">
        <v>18310.157449739847</v>
      </c>
      <c r="E4219" s="18">
        <v>21</v>
      </c>
      <c r="F4219" s="2">
        <f t="shared" si="130"/>
        <v>22155.290514185213</v>
      </c>
      <c r="G4219" s="3">
        <v>0</v>
      </c>
      <c r="H4219" s="4">
        <v>0.7</v>
      </c>
      <c r="I4219" s="28">
        <f t="shared" si="131"/>
        <v>37663.993874114865</v>
      </c>
    </row>
    <row r="4220" spans="1:9" ht="15" customHeight="1" x14ac:dyDescent="0.35">
      <c r="A4220" s="26" t="s">
        <v>4532</v>
      </c>
      <c r="B4220" s="25" t="s">
        <v>9138</v>
      </c>
      <c r="C4220" s="6" t="s">
        <v>715</v>
      </c>
      <c r="D4220" s="13">
        <v>6532.2837520199992</v>
      </c>
      <c r="E4220" s="18">
        <v>21</v>
      </c>
      <c r="F4220" s="2">
        <f t="shared" si="130"/>
        <v>7904.0633399441995</v>
      </c>
      <c r="G4220" s="3">
        <v>0</v>
      </c>
      <c r="H4220" s="4">
        <v>0.7</v>
      </c>
      <c r="I4220" s="28">
        <f t="shared" si="131"/>
        <v>13436.907677905139</v>
      </c>
    </row>
    <row r="4221" spans="1:9" ht="15" customHeight="1" x14ac:dyDescent="0.35">
      <c r="A4221" s="26" t="s">
        <v>12071</v>
      </c>
      <c r="B4221" s="25" t="s">
        <v>9139</v>
      </c>
      <c r="C4221" s="6" t="s">
        <v>12072</v>
      </c>
      <c r="D4221" s="13">
        <v>9360.5557500000014</v>
      </c>
      <c r="E4221" s="18">
        <v>21</v>
      </c>
      <c r="F4221" s="2">
        <f t="shared" si="130"/>
        <v>11326.272457500001</v>
      </c>
      <c r="G4221" s="3">
        <v>0</v>
      </c>
      <c r="H4221" s="4">
        <v>0.7</v>
      </c>
      <c r="I4221" s="28">
        <f t="shared" si="131"/>
        <v>19254.663177750001</v>
      </c>
    </row>
    <row r="4222" spans="1:9" ht="15" customHeight="1" x14ac:dyDescent="0.35">
      <c r="A4222" s="26" t="s">
        <v>4533</v>
      </c>
      <c r="B4222" s="25" t="s">
        <v>9140</v>
      </c>
      <c r="C4222" s="6" t="s">
        <v>716</v>
      </c>
      <c r="D4222" s="13">
        <v>6227.3606111599993</v>
      </c>
      <c r="E4222" s="18">
        <v>21</v>
      </c>
      <c r="F4222" s="2">
        <f t="shared" si="130"/>
        <v>7535.106339503599</v>
      </c>
      <c r="G4222" s="3">
        <v>0</v>
      </c>
      <c r="H4222" s="4">
        <v>0.7</v>
      </c>
      <c r="I4222" s="28">
        <f t="shared" si="131"/>
        <v>12809.680777156118</v>
      </c>
    </row>
    <row r="4223" spans="1:9" ht="15" customHeight="1" x14ac:dyDescent="0.35">
      <c r="A4223" s="26" t="s">
        <v>4534</v>
      </c>
      <c r="B4223" s="25" t="s">
        <v>1290</v>
      </c>
      <c r="C4223" s="6" t="s">
        <v>1309</v>
      </c>
      <c r="D4223" s="13">
        <v>31694.295964500001</v>
      </c>
      <c r="E4223" s="18">
        <v>21</v>
      </c>
      <c r="F4223" s="2">
        <f t="shared" si="130"/>
        <v>38350.098117045003</v>
      </c>
      <c r="G4223" s="3">
        <v>0</v>
      </c>
      <c r="H4223" s="4">
        <v>0.7</v>
      </c>
      <c r="I4223" s="28">
        <f t="shared" si="131"/>
        <v>65195.166798976505</v>
      </c>
    </row>
    <row r="4224" spans="1:9" ht="15" customHeight="1" x14ac:dyDescent="0.35">
      <c r="A4224" s="26" t="s">
        <v>4535</v>
      </c>
      <c r="B4224" s="25" t="s">
        <v>11967</v>
      </c>
      <c r="C4224" s="6" t="s">
        <v>717</v>
      </c>
      <c r="D4224" s="13">
        <v>11971.29825684</v>
      </c>
      <c r="E4224" s="18">
        <v>21</v>
      </c>
      <c r="F4224" s="2">
        <f t="shared" si="130"/>
        <v>14485.270890776401</v>
      </c>
      <c r="G4224" s="3">
        <v>0</v>
      </c>
      <c r="H4224" s="4">
        <v>0.7</v>
      </c>
      <c r="I4224" s="28">
        <f t="shared" si="131"/>
        <v>24624.960514319882</v>
      </c>
    </row>
    <row r="4225" spans="1:9" ht="15" customHeight="1" x14ac:dyDescent="0.35">
      <c r="A4225" s="26" t="s">
        <v>4536</v>
      </c>
      <c r="B4225" s="25" t="s">
        <v>10188</v>
      </c>
      <c r="C4225" s="6" t="s">
        <v>718</v>
      </c>
      <c r="D4225" s="13">
        <v>6227.3606111599993</v>
      </c>
      <c r="E4225" s="18">
        <v>21</v>
      </c>
      <c r="F4225" s="2">
        <f t="shared" si="130"/>
        <v>7535.106339503599</v>
      </c>
      <c r="G4225" s="3">
        <v>0</v>
      </c>
      <c r="H4225" s="4">
        <v>0.7</v>
      </c>
      <c r="I4225" s="28">
        <f t="shared" si="131"/>
        <v>12809.680777156118</v>
      </c>
    </row>
    <row r="4226" spans="1:9" ht="15" customHeight="1" x14ac:dyDescent="0.35">
      <c r="A4226" s="26" t="s">
        <v>4537</v>
      </c>
      <c r="B4226" s="25" t="s">
        <v>3392</v>
      </c>
      <c r="C4226" s="6" t="s">
        <v>1310</v>
      </c>
      <c r="D4226" s="13">
        <v>31694.295964500001</v>
      </c>
      <c r="E4226" s="18">
        <v>21</v>
      </c>
      <c r="F4226" s="2">
        <f t="shared" si="130"/>
        <v>38350.098117045003</v>
      </c>
      <c r="G4226" s="3">
        <v>0</v>
      </c>
      <c r="H4226" s="4">
        <v>0.7</v>
      </c>
      <c r="I4226" s="28">
        <f t="shared" si="131"/>
        <v>65195.166798976505</v>
      </c>
    </row>
    <row r="4227" spans="1:9" ht="15" customHeight="1" x14ac:dyDescent="0.35">
      <c r="A4227" s="26" t="s">
        <v>4538</v>
      </c>
      <c r="B4227" s="25" t="s">
        <v>13424</v>
      </c>
      <c r="C4227" s="6" t="s">
        <v>719</v>
      </c>
      <c r="D4227" s="13">
        <v>11971.29825684</v>
      </c>
      <c r="E4227" s="18">
        <v>21</v>
      </c>
      <c r="F4227" s="2">
        <f t="shared" si="130"/>
        <v>14485.270890776401</v>
      </c>
      <c r="G4227" s="3">
        <v>0</v>
      </c>
      <c r="H4227" s="4">
        <v>0.7</v>
      </c>
      <c r="I4227" s="28">
        <f t="shared" si="131"/>
        <v>24624.960514319882</v>
      </c>
    </row>
    <row r="4228" spans="1:9" ht="15" customHeight="1" x14ac:dyDescent="0.35">
      <c r="A4228" s="26" t="s">
        <v>13909</v>
      </c>
      <c r="B4228" s="25" t="s">
        <v>13426</v>
      </c>
      <c r="C4228" s="6" t="s">
        <v>13939</v>
      </c>
      <c r="D4228" s="13">
        <v>14444.489112836</v>
      </c>
      <c r="E4228" s="18">
        <v>21</v>
      </c>
      <c r="F4228" s="2">
        <f t="shared" si="130"/>
        <v>17477.831826531561</v>
      </c>
      <c r="G4228" s="3">
        <v>0</v>
      </c>
      <c r="H4228" s="4">
        <v>0.7</v>
      </c>
      <c r="I4228" s="28">
        <f t="shared" si="131"/>
        <v>29712.314105103655</v>
      </c>
    </row>
    <row r="4229" spans="1:9" ht="15" customHeight="1" x14ac:dyDescent="0.35">
      <c r="A4229" s="26" t="s">
        <v>13910</v>
      </c>
      <c r="B4229" s="25" t="s">
        <v>13428</v>
      </c>
      <c r="C4229" s="6" t="s">
        <v>13940</v>
      </c>
      <c r="D4229" s="13">
        <v>14444.490782036301</v>
      </c>
      <c r="E4229" s="18">
        <v>21</v>
      </c>
      <c r="F4229" s="2">
        <f t="shared" si="130"/>
        <v>17477.833846263922</v>
      </c>
      <c r="G4229" s="3">
        <v>0</v>
      </c>
      <c r="H4229" s="4">
        <v>0.7</v>
      </c>
      <c r="I4229" s="28">
        <f t="shared" si="131"/>
        <v>29712.317538648666</v>
      </c>
    </row>
    <row r="4230" spans="1:9" ht="15" customHeight="1" x14ac:dyDescent="0.35">
      <c r="A4230" s="26" t="s">
        <v>5816</v>
      </c>
      <c r="B4230" s="25" t="s">
        <v>13430</v>
      </c>
      <c r="C4230" s="6" t="s">
        <v>13941</v>
      </c>
      <c r="D4230" s="13">
        <v>14444.489112836</v>
      </c>
      <c r="E4230" s="18">
        <v>21</v>
      </c>
      <c r="F4230" s="2">
        <f t="shared" ref="F4230:F4293" si="132">D4230*E4230/100+D4230</f>
        <v>17477.831826531561</v>
      </c>
      <c r="G4230" s="3">
        <v>0</v>
      </c>
      <c r="H4230" s="4">
        <v>0.7</v>
      </c>
      <c r="I4230" s="28">
        <f t="shared" ref="I4230:I4293" si="133">IF(G4230=-1,0,F4230*((100-G4230)/100)*(1+H4230))</f>
        <v>29712.314105103655</v>
      </c>
    </row>
    <row r="4231" spans="1:9" ht="15" customHeight="1" x14ac:dyDescent="0.35">
      <c r="A4231" s="26" t="s">
        <v>5817</v>
      </c>
      <c r="B4231" s="25" t="s">
        <v>13432</v>
      </c>
      <c r="C4231" s="6" t="s">
        <v>13942</v>
      </c>
      <c r="D4231" s="13">
        <v>14444.488968</v>
      </c>
      <c r="E4231" s="18">
        <v>21</v>
      </c>
      <c r="F4231" s="2">
        <f t="shared" si="132"/>
        <v>17477.831651280001</v>
      </c>
      <c r="G4231" s="3">
        <v>0</v>
      </c>
      <c r="H4231" s="4">
        <v>0.7</v>
      </c>
      <c r="I4231" s="28">
        <f t="shared" si="133"/>
        <v>29712.313807176</v>
      </c>
    </row>
    <row r="4232" spans="1:9" ht="15" customHeight="1" x14ac:dyDescent="0.35">
      <c r="A4232" s="26" t="s">
        <v>5818</v>
      </c>
      <c r="B4232" s="25" t="s">
        <v>685</v>
      </c>
      <c r="C4232" s="6" t="s">
        <v>13943</v>
      </c>
      <c r="D4232" s="13">
        <v>18530.37820504</v>
      </c>
      <c r="E4232" s="18">
        <v>21</v>
      </c>
      <c r="F4232" s="2">
        <f t="shared" si="132"/>
        <v>22421.757628098399</v>
      </c>
      <c r="G4232" s="3">
        <v>0</v>
      </c>
      <c r="H4232" s="4">
        <v>0.7</v>
      </c>
      <c r="I4232" s="28">
        <f t="shared" si="133"/>
        <v>38116.98796776728</v>
      </c>
    </row>
    <row r="4233" spans="1:9" ht="15" customHeight="1" x14ac:dyDescent="0.35">
      <c r="A4233" s="26" t="s">
        <v>5819</v>
      </c>
      <c r="B4233" s="25" t="s">
        <v>1026</v>
      </c>
      <c r="C4233" s="6" t="s">
        <v>13944</v>
      </c>
      <c r="D4233" s="13">
        <v>18530.38131117</v>
      </c>
      <c r="E4233" s="18">
        <v>21</v>
      </c>
      <c r="F4233" s="2">
        <f t="shared" si="132"/>
        <v>22421.7613865157</v>
      </c>
      <c r="G4233" s="3">
        <v>0</v>
      </c>
      <c r="H4233" s="4">
        <v>0.7</v>
      </c>
      <c r="I4233" s="28">
        <f t="shared" si="133"/>
        <v>38116.994357076692</v>
      </c>
    </row>
    <row r="4234" spans="1:9" ht="15" customHeight="1" x14ac:dyDescent="0.35">
      <c r="A4234" s="26" t="s">
        <v>13911</v>
      </c>
      <c r="B4234" s="25" t="s">
        <v>1027</v>
      </c>
      <c r="C4234" s="6" t="s">
        <v>13945</v>
      </c>
      <c r="D4234" s="13">
        <v>19374.4144002092</v>
      </c>
      <c r="E4234" s="18">
        <v>21</v>
      </c>
      <c r="F4234" s="2">
        <f t="shared" si="132"/>
        <v>23443.041424253133</v>
      </c>
      <c r="G4234" s="3">
        <v>0</v>
      </c>
      <c r="H4234" s="4">
        <v>0.7</v>
      </c>
      <c r="I4234" s="28">
        <f t="shared" si="133"/>
        <v>39853.170421230323</v>
      </c>
    </row>
    <row r="4235" spans="1:9" ht="15" customHeight="1" x14ac:dyDescent="0.35">
      <c r="A4235" s="26" t="s">
        <v>4539</v>
      </c>
      <c r="B4235" s="25" t="s">
        <v>13119</v>
      </c>
      <c r="C4235" s="6" t="s">
        <v>1311</v>
      </c>
      <c r="D4235" s="13">
        <v>29839.94312598</v>
      </c>
      <c r="E4235" s="18">
        <v>21</v>
      </c>
      <c r="F4235" s="2">
        <f t="shared" si="132"/>
        <v>36106.331182435802</v>
      </c>
      <c r="G4235" s="3">
        <v>0</v>
      </c>
      <c r="H4235" s="4">
        <v>0.7</v>
      </c>
      <c r="I4235" s="28">
        <f t="shared" si="133"/>
        <v>61380.763010140865</v>
      </c>
    </row>
    <row r="4236" spans="1:9" ht="15" customHeight="1" x14ac:dyDescent="0.35">
      <c r="A4236" s="26" t="s">
        <v>11667</v>
      </c>
      <c r="B4236" s="25" t="s">
        <v>13121</v>
      </c>
      <c r="C4236" s="6" t="s">
        <v>11668</v>
      </c>
      <c r="D4236" s="13">
        <v>11790.904125000001</v>
      </c>
      <c r="E4236" s="18">
        <v>21</v>
      </c>
      <c r="F4236" s="2">
        <f t="shared" si="132"/>
        <v>14266.993991250001</v>
      </c>
      <c r="G4236" s="3">
        <v>0</v>
      </c>
      <c r="H4236" s="4">
        <v>0.7</v>
      </c>
      <c r="I4236" s="28">
        <f t="shared" si="133"/>
        <v>24253.889785125</v>
      </c>
    </row>
    <row r="4237" spans="1:9" ht="15" customHeight="1" x14ac:dyDescent="0.35">
      <c r="A4237" s="26" t="s">
        <v>5835</v>
      </c>
      <c r="B4237" s="25" t="s">
        <v>13179</v>
      </c>
      <c r="C4237" s="6" t="s">
        <v>1312</v>
      </c>
      <c r="D4237" s="13">
        <v>41838.573113999999</v>
      </c>
      <c r="E4237" s="18">
        <v>21</v>
      </c>
      <c r="F4237" s="2">
        <f t="shared" si="132"/>
        <v>50624.673467939996</v>
      </c>
      <c r="G4237" s="3">
        <v>0</v>
      </c>
      <c r="H4237" s="4">
        <v>0.7</v>
      </c>
      <c r="I4237" s="28">
        <f t="shared" si="133"/>
        <v>86061.944895497989</v>
      </c>
    </row>
    <row r="4238" spans="1:9" ht="15" customHeight="1" x14ac:dyDescent="0.35">
      <c r="A4238" s="26" t="s">
        <v>4540</v>
      </c>
      <c r="B4238" s="25" t="s">
        <v>13181</v>
      </c>
      <c r="C4238" s="6" t="s">
        <v>723</v>
      </c>
      <c r="D4238" s="13">
        <v>8475.700484420031</v>
      </c>
      <c r="E4238" s="18">
        <v>21</v>
      </c>
      <c r="F4238" s="2">
        <f t="shared" si="132"/>
        <v>10255.597586148237</v>
      </c>
      <c r="G4238" s="3">
        <v>0</v>
      </c>
      <c r="H4238" s="4">
        <v>0.7</v>
      </c>
      <c r="I4238" s="28">
        <f t="shared" si="133"/>
        <v>17434.515896452001</v>
      </c>
    </row>
    <row r="4239" spans="1:9" ht="15" customHeight="1" x14ac:dyDescent="0.35">
      <c r="A4239" s="26" t="s">
        <v>4541</v>
      </c>
      <c r="B4239" s="25" t="s">
        <v>11894</v>
      </c>
      <c r="C4239" s="6" t="s">
        <v>9037</v>
      </c>
      <c r="D4239" s="13">
        <v>22586.524995548021</v>
      </c>
      <c r="E4239" s="18">
        <v>21</v>
      </c>
      <c r="F4239" s="2">
        <f t="shared" si="132"/>
        <v>27329.695244613104</v>
      </c>
      <c r="G4239" s="3">
        <v>0</v>
      </c>
      <c r="H4239" s="4">
        <v>0.7</v>
      </c>
      <c r="I4239" s="28">
        <f t="shared" si="133"/>
        <v>46460.481915842276</v>
      </c>
    </row>
    <row r="4240" spans="1:9" ht="15" customHeight="1" x14ac:dyDescent="0.35">
      <c r="A4240" s="26" t="s">
        <v>4542</v>
      </c>
      <c r="B4240" s="25" t="s">
        <v>11896</v>
      </c>
      <c r="C4240" s="6" t="s">
        <v>724</v>
      </c>
      <c r="D4240" s="13">
        <v>11233.34151498</v>
      </c>
      <c r="E4240" s="18">
        <v>21</v>
      </c>
      <c r="F4240" s="2">
        <f t="shared" si="132"/>
        <v>13592.343233125801</v>
      </c>
      <c r="G4240" s="3">
        <v>0</v>
      </c>
      <c r="H4240" s="4">
        <v>0.7</v>
      </c>
      <c r="I4240" s="28">
        <f t="shared" si="133"/>
        <v>23106.98349631386</v>
      </c>
    </row>
    <row r="4241" spans="1:9" ht="15" customHeight="1" x14ac:dyDescent="0.35">
      <c r="A4241" s="26" t="s">
        <v>4543</v>
      </c>
      <c r="B4241" s="25" t="s">
        <v>11925</v>
      </c>
      <c r="C4241" s="6" t="s">
        <v>725</v>
      </c>
      <c r="D4241" s="13">
        <v>11233.34151498</v>
      </c>
      <c r="E4241" s="18">
        <v>21</v>
      </c>
      <c r="F4241" s="2">
        <f t="shared" si="132"/>
        <v>13592.343233125801</v>
      </c>
      <c r="G4241" s="3">
        <v>0</v>
      </c>
      <c r="H4241" s="4">
        <v>0.7</v>
      </c>
      <c r="I4241" s="28">
        <f t="shared" si="133"/>
        <v>23106.98349631386</v>
      </c>
    </row>
    <row r="4242" spans="1:9" ht="15" customHeight="1" x14ac:dyDescent="0.35">
      <c r="A4242" s="26" t="s">
        <v>11860</v>
      </c>
      <c r="B4242" s="25" t="s">
        <v>11985</v>
      </c>
      <c r="C4242" s="6" t="s">
        <v>11861</v>
      </c>
      <c r="D4242" s="13">
        <v>11790.904125000001</v>
      </c>
      <c r="E4242" s="18">
        <v>21</v>
      </c>
      <c r="F4242" s="2">
        <f t="shared" si="132"/>
        <v>14266.993991250001</v>
      </c>
      <c r="G4242" s="3">
        <v>0</v>
      </c>
      <c r="H4242" s="4">
        <v>0.7</v>
      </c>
      <c r="I4242" s="28">
        <f t="shared" si="133"/>
        <v>24253.889785125</v>
      </c>
    </row>
    <row r="4243" spans="1:9" ht="15" customHeight="1" x14ac:dyDescent="0.35">
      <c r="A4243" s="26" t="s">
        <v>4544</v>
      </c>
      <c r="B4243" s="25" t="s">
        <v>11927</v>
      </c>
      <c r="C4243" s="6" t="s">
        <v>726</v>
      </c>
      <c r="D4243" s="13">
        <v>8475.700484420031</v>
      </c>
      <c r="E4243" s="18">
        <v>21</v>
      </c>
      <c r="F4243" s="2">
        <f t="shared" si="132"/>
        <v>10255.597586148237</v>
      </c>
      <c r="G4243" s="3">
        <v>0</v>
      </c>
      <c r="H4243" s="4">
        <v>0.7</v>
      </c>
      <c r="I4243" s="28">
        <f t="shared" si="133"/>
        <v>17434.515896452001</v>
      </c>
    </row>
    <row r="4244" spans="1:9" ht="15" customHeight="1" x14ac:dyDescent="0.35">
      <c r="A4244" s="26" t="s">
        <v>9001</v>
      </c>
      <c r="B4244" s="25" t="s">
        <v>11986</v>
      </c>
      <c r="C4244" s="6" t="s">
        <v>9002</v>
      </c>
      <c r="D4244" s="13">
        <v>22586.522158980002</v>
      </c>
      <c r="E4244" s="18">
        <v>21</v>
      </c>
      <c r="F4244" s="2">
        <f t="shared" si="132"/>
        <v>27329.691812365803</v>
      </c>
      <c r="G4244" s="3">
        <v>0</v>
      </c>
      <c r="H4244" s="4">
        <v>0.7</v>
      </c>
      <c r="I4244" s="28">
        <f t="shared" si="133"/>
        <v>46460.476081021865</v>
      </c>
    </row>
    <row r="4245" spans="1:9" ht="15" customHeight="1" x14ac:dyDescent="0.35">
      <c r="A4245" s="26" t="s">
        <v>10908</v>
      </c>
      <c r="B4245" s="25" t="s">
        <v>11971</v>
      </c>
      <c r="C4245" s="6" t="s">
        <v>10909</v>
      </c>
      <c r="D4245" s="13">
        <v>11790.904125000001</v>
      </c>
      <c r="E4245" s="18">
        <v>21</v>
      </c>
      <c r="F4245" s="2">
        <f t="shared" si="132"/>
        <v>14266.993991250001</v>
      </c>
      <c r="G4245" s="3">
        <v>0</v>
      </c>
      <c r="H4245" s="4">
        <v>0.7</v>
      </c>
      <c r="I4245" s="28">
        <f t="shared" si="133"/>
        <v>24253.889785125</v>
      </c>
    </row>
    <row r="4246" spans="1:9" ht="15" customHeight="1" x14ac:dyDescent="0.35">
      <c r="A4246" s="26" t="s">
        <v>4546</v>
      </c>
      <c r="B4246" s="25" t="s">
        <v>11929</v>
      </c>
      <c r="C4246" s="6" t="s">
        <v>727</v>
      </c>
      <c r="D4246" s="13">
        <v>8475.700484420031</v>
      </c>
      <c r="E4246" s="18">
        <v>21</v>
      </c>
      <c r="F4246" s="2">
        <f t="shared" si="132"/>
        <v>10255.597586148237</v>
      </c>
      <c r="G4246" s="3">
        <v>0</v>
      </c>
      <c r="H4246" s="4">
        <v>0.7</v>
      </c>
      <c r="I4246" s="28">
        <f t="shared" si="133"/>
        <v>17434.515896452001</v>
      </c>
    </row>
    <row r="4247" spans="1:9" ht="15" customHeight="1" x14ac:dyDescent="0.35">
      <c r="A4247" s="26" t="s">
        <v>4547</v>
      </c>
      <c r="B4247" s="25" t="s">
        <v>11882</v>
      </c>
      <c r="C4247" s="6" t="s">
        <v>1313</v>
      </c>
      <c r="D4247" s="13">
        <v>22586.522158980311</v>
      </c>
      <c r="E4247" s="18">
        <v>21</v>
      </c>
      <c r="F4247" s="2">
        <f t="shared" si="132"/>
        <v>27329.691812366178</v>
      </c>
      <c r="G4247" s="3">
        <v>0</v>
      </c>
      <c r="H4247" s="4">
        <v>0.7</v>
      </c>
      <c r="I4247" s="28">
        <f t="shared" si="133"/>
        <v>46460.476081022498</v>
      </c>
    </row>
    <row r="4248" spans="1:9" ht="15" customHeight="1" x14ac:dyDescent="0.35">
      <c r="A4248" s="26" t="s">
        <v>4548</v>
      </c>
      <c r="B4248" s="25" t="s">
        <v>11615</v>
      </c>
      <c r="C4248" s="6" t="s">
        <v>728</v>
      </c>
      <c r="D4248" s="13">
        <v>11233.34151498</v>
      </c>
      <c r="E4248" s="18">
        <v>21</v>
      </c>
      <c r="F4248" s="2">
        <f t="shared" si="132"/>
        <v>13592.343233125801</v>
      </c>
      <c r="G4248" s="3">
        <v>0</v>
      </c>
      <c r="H4248" s="4">
        <v>0.7</v>
      </c>
      <c r="I4248" s="28">
        <f t="shared" si="133"/>
        <v>23106.98349631386</v>
      </c>
    </row>
    <row r="4249" spans="1:9" ht="15" customHeight="1" x14ac:dyDescent="0.35">
      <c r="A4249" s="26" t="s">
        <v>10897</v>
      </c>
      <c r="B4249" s="25" t="s">
        <v>12759</v>
      </c>
      <c r="C4249" s="6" t="s">
        <v>11433</v>
      </c>
      <c r="D4249" s="13">
        <v>11790.904125000001</v>
      </c>
      <c r="E4249" s="18">
        <v>21</v>
      </c>
      <c r="F4249" s="2">
        <f t="shared" si="132"/>
        <v>14266.993991250001</v>
      </c>
      <c r="G4249" s="3">
        <v>0</v>
      </c>
      <c r="H4249" s="4">
        <v>0.7</v>
      </c>
      <c r="I4249" s="28">
        <f t="shared" si="133"/>
        <v>24253.889785125</v>
      </c>
    </row>
    <row r="4250" spans="1:9" ht="15" customHeight="1" x14ac:dyDescent="0.35">
      <c r="A4250" s="26" t="s">
        <v>4549</v>
      </c>
      <c r="B4250" s="25" t="s">
        <v>1291</v>
      </c>
      <c r="C4250" s="6" t="s">
        <v>729</v>
      </c>
      <c r="D4250" s="13">
        <v>8475.700484420031</v>
      </c>
      <c r="E4250" s="18">
        <v>21</v>
      </c>
      <c r="F4250" s="2">
        <f t="shared" si="132"/>
        <v>10255.597586148237</v>
      </c>
      <c r="G4250" s="3">
        <v>0</v>
      </c>
      <c r="H4250" s="4">
        <v>0.7</v>
      </c>
      <c r="I4250" s="28">
        <f t="shared" si="133"/>
        <v>17434.515896452001</v>
      </c>
    </row>
    <row r="4251" spans="1:9" ht="15" customHeight="1" x14ac:dyDescent="0.35">
      <c r="A4251" s="26" t="s">
        <v>9541</v>
      </c>
      <c r="B4251" s="25" t="s">
        <v>1292</v>
      </c>
      <c r="C4251" s="6" t="s">
        <v>9542</v>
      </c>
      <c r="D4251" s="13">
        <v>22586.522158980311</v>
      </c>
      <c r="E4251" s="18">
        <v>21</v>
      </c>
      <c r="F4251" s="2">
        <f t="shared" si="132"/>
        <v>27329.691812366178</v>
      </c>
      <c r="G4251" s="3">
        <v>0</v>
      </c>
      <c r="H4251" s="4">
        <v>0.7</v>
      </c>
      <c r="I4251" s="28">
        <f t="shared" si="133"/>
        <v>46460.476081022498</v>
      </c>
    </row>
    <row r="4252" spans="1:9" ht="15" customHeight="1" x14ac:dyDescent="0.35">
      <c r="A4252" s="26" t="s">
        <v>4551</v>
      </c>
      <c r="B4252" s="25" t="s">
        <v>10899</v>
      </c>
      <c r="C4252" s="6" t="s">
        <v>730</v>
      </c>
      <c r="D4252" s="13">
        <v>11233.34151498</v>
      </c>
      <c r="E4252" s="18">
        <v>21</v>
      </c>
      <c r="F4252" s="2">
        <f t="shared" si="132"/>
        <v>13592.343233125801</v>
      </c>
      <c r="G4252" s="3">
        <v>0</v>
      </c>
      <c r="H4252" s="4">
        <v>0.7</v>
      </c>
      <c r="I4252" s="28">
        <f t="shared" si="133"/>
        <v>23106.98349631386</v>
      </c>
    </row>
    <row r="4253" spans="1:9" ht="15" customHeight="1" x14ac:dyDescent="0.35">
      <c r="A4253" s="26" t="s">
        <v>10910</v>
      </c>
      <c r="B4253" s="25" t="s">
        <v>686</v>
      </c>
      <c r="C4253" s="6" t="s">
        <v>12577</v>
      </c>
      <c r="D4253" s="13">
        <v>11790.904125000001</v>
      </c>
      <c r="E4253" s="18">
        <v>21</v>
      </c>
      <c r="F4253" s="2">
        <f t="shared" si="132"/>
        <v>14266.993991250001</v>
      </c>
      <c r="G4253" s="3">
        <v>0</v>
      </c>
      <c r="H4253" s="4">
        <v>0.7</v>
      </c>
      <c r="I4253" s="28">
        <f t="shared" si="133"/>
        <v>24253.889785125</v>
      </c>
    </row>
    <row r="4254" spans="1:9" ht="15" customHeight="1" x14ac:dyDescent="0.35">
      <c r="A4254" s="26" t="s">
        <v>4584</v>
      </c>
      <c r="B4254" s="25" t="s">
        <v>1293</v>
      </c>
      <c r="C4254" s="6" t="s">
        <v>1314</v>
      </c>
      <c r="D4254" s="13">
        <v>8475.700484420031</v>
      </c>
      <c r="E4254" s="18">
        <v>21</v>
      </c>
      <c r="F4254" s="2">
        <f t="shared" si="132"/>
        <v>10255.597586148237</v>
      </c>
      <c r="G4254" s="3">
        <v>0</v>
      </c>
      <c r="H4254" s="4">
        <v>0.7</v>
      </c>
      <c r="I4254" s="28">
        <f t="shared" si="133"/>
        <v>17434.515896452001</v>
      </c>
    </row>
    <row r="4255" spans="1:9" ht="15" customHeight="1" x14ac:dyDescent="0.35">
      <c r="A4255" s="26" t="s">
        <v>4552</v>
      </c>
      <c r="B4255" s="25" t="s">
        <v>687</v>
      </c>
      <c r="C4255" s="6" t="s">
        <v>1315</v>
      </c>
      <c r="D4255" s="13">
        <v>22586.522158980002</v>
      </c>
      <c r="E4255" s="18">
        <v>21</v>
      </c>
      <c r="F4255" s="2">
        <f t="shared" si="132"/>
        <v>27329.691812365803</v>
      </c>
      <c r="G4255" s="3">
        <v>0</v>
      </c>
      <c r="H4255" s="4">
        <v>0.7</v>
      </c>
      <c r="I4255" s="28">
        <f t="shared" si="133"/>
        <v>46460.476081021865</v>
      </c>
    </row>
    <row r="4256" spans="1:9" ht="15" customHeight="1" x14ac:dyDescent="0.35">
      <c r="A4256" s="26" t="s">
        <v>4553</v>
      </c>
      <c r="B4256" s="25" t="s">
        <v>10901</v>
      </c>
      <c r="C4256" s="6" t="s">
        <v>731</v>
      </c>
      <c r="D4256" s="13">
        <v>11233.34151498</v>
      </c>
      <c r="E4256" s="18">
        <v>21</v>
      </c>
      <c r="F4256" s="2">
        <f t="shared" si="132"/>
        <v>13592.343233125801</v>
      </c>
      <c r="G4256" s="3">
        <v>0</v>
      </c>
      <c r="H4256" s="4">
        <v>0.7</v>
      </c>
      <c r="I4256" s="28">
        <f t="shared" si="133"/>
        <v>23106.98349631386</v>
      </c>
    </row>
    <row r="4257" spans="1:9" ht="15" customHeight="1" x14ac:dyDescent="0.35">
      <c r="A4257" s="26" t="s">
        <v>10911</v>
      </c>
      <c r="B4257" s="25" t="s">
        <v>8998</v>
      </c>
      <c r="C4257" s="6" t="s">
        <v>11930</v>
      </c>
      <c r="D4257" s="13">
        <v>12990.159</v>
      </c>
      <c r="E4257" s="18">
        <v>21</v>
      </c>
      <c r="F4257" s="2">
        <f t="shared" si="132"/>
        <v>15718.09239</v>
      </c>
      <c r="G4257" s="3">
        <v>0</v>
      </c>
      <c r="H4257" s="4">
        <v>0.7</v>
      </c>
      <c r="I4257" s="28">
        <f t="shared" si="133"/>
        <v>26720.757062999997</v>
      </c>
    </row>
    <row r="4258" spans="1:9" ht="15" customHeight="1" x14ac:dyDescent="0.35">
      <c r="A4258" s="26" t="s">
        <v>4585</v>
      </c>
      <c r="B4258" s="25" t="s">
        <v>688</v>
      </c>
      <c r="C4258" s="6" t="s">
        <v>1316</v>
      </c>
      <c r="D4258" s="13">
        <v>9341.0409167400157</v>
      </c>
      <c r="E4258" s="18">
        <v>21</v>
      </c>
      <c r="F4258" s="2">
        <f t="shared" si="132"/>
        <v>11302.65950925542</v>
      </c>
      <c r="G4258" s="3">
        <v>0</v>
      </c>
      <c r="H4258" s="4">
        <v>0.7</v>
      </c>
      <c r="I4258" s="28">
        <f t="shared" si="133"/>
        <v>19214.521165734212</v>
      </c>
    </row>
    <row r="4259" spans="1:9" ht="15" customHeight="1" x14ac:dyDescent="0.35">
      <c r="A4259" s="26" t="s">
        <v>5825</v>
      </c>
      <c r="B4259" s="25" t="s">
        <v>9034</v>
      </c>
      <c r="C4259" s="6" t="s">
        <v>1317</v>
      </c>
      <c r="D4259" s="13">
        <v>28206.346577759999</v>
      </c>
      <c r="E4259" s="18">
        <v>21</v>
      </c>
      <c r="F4259" s="2">
        <f t="shared" si="132"/>
        <v>34129.679359089598</v>
      </c>
      <c r="G4259" s="3">
        <v>0</v>
      </c>
      <c r="H4259" s="4">
        <v>0.7</v>
      </c>
      <c r="I4259" s="28">
        <f t="shared" si="133"/>
        <v>58020.454910452318</v>
      </c>
    </row>
    <row r="4260" spans="1:9" ht="15" customHeight="1" x14ac:dyDescent="0.35">
      <c r="A4260" s="26" t="s">
        <v>4554</v>
      </c>
      <c r="B4260" s="25" t="s">
        <v>11524</v>
      </c>
      <c r="C4260" s="6" t="s">
        <v>732</v>
      </c>
      <c r="D4260" s="13">
        <v>14349.158869500001</v>
      </c>
      <c r="E4260" s="18">
        <v>21</v>
      </c>
      <c r="F4260" s="2">
        <f t="shared" si="132"/>
        <v>17362.482232095001</v>
      </c>
      <c r="G4260" s="3">
        <v>0</v>
      </c>
      <c r="H4260" s="4">
        <v>0.7</v>
      </c>
      <c r="I4260" s="28">
        <f t="shared" si="133"/>
        <v>29516.219794561501</v>
      </c>
    </row>
    <row r="4261" spans="1:9" ht="15" customHeight="1" x14ac:dyDescent="0.35">
      <c r="A4261" s="26" t="s">
        <v>10912</v>
      </c>
      <c r="B4261" s="25" t="s">
        <v>689</v>
      </c>
      <c r="C4261" s="6" t="s">
        <v>10913</v>
      </c>
      <c r="D4261" s="13">
        <v>14539.638750000002</v>
      </c>
      <c r="E4261" s="18">
        <v>21</v>
      </c>
      <c r="F4261" s="2">
        <f t="shared" si="132"/>
        <v>17592.962887500002</v>
      </c>
      <c r="G4261" s="3">
        <v>0</v>
      </c>
      <c r="H4261" s="4">
        <v>0.7</v>
      </c>
      <c r="I4261" s="28">
        <f t="shared" si="133"/>
        <v>29908.03690875</v>
      </c>
    </row>
    <row r="4262" spans="1:9" ht="15" customHeight="1" x14ac:dyDescent="0.35">
      <c r="A4262" s="26" t="s">
        <v>9313</v>
      </c>
      <c r="B4262" s="25" t="s">
        <v>9036</v>
      </c>
      <c r="C4262" s="6" t="s">
        <v>9314</v>
      </c>
      <c r="D4262" s="13">
        <v>9341.0409167400157</v>
      </c>
      <c r="E4262" s="18">
        <v>21</v>
      </c>
      <c r="F4262" s="2">
        <f t="shared" si="132"/>
        <v>11302.65950925542</v>
      </c>
      <c r="G4262" s="3">
        <v>0</v>
      </c>
      <c r="H4262" s="4">
        <v>0.7</v>
      </c>
      <c r="I4262" s="28">
        <f t="shared" si="133"/>
        <v>19214.521165734212</v>
      </c>
    </row>
    <row r="4263" spans="1:9" ht="15" customHeight="1" x14ac:dyDescent="0.35">
      <c r="A4263" s="26" t="s">
        <v>9003</v>
      </c>
      <c r="B4263" s="25" t="s">
        <v>690</v>
      </c>
      <c r="C4263" s="6" t="s">
        <v>9004</v>
      </c>
      <c r="D4263" s="13">
        <v>49777.38980136031</v>
      </c>
      <c r="E4263" s="18">
        <v>21</v>
      </c>
      <c r="F4263" s="2">
        <f t="shared" si="132"/>
        <v>60230.641659645975</v>
      </c>
      <c r="G4263" s="3">
        <v>0</v>
      </c>
      <c r="H4263" s="4">
        <v>0.7</v>
      </c>
      <c r="I4263" s="28">
        <f t="shared" si="133"/>
        <v>102392.09082139816</v>
      </c>
    </row>
    <row r="4264" spans="1:9" ht="15" customHeight="1" x14ac:dyDescent="0.35">
      <c r="A4264" s="26" t="s">
        <v>4556</v>
      </c>
      <c r="B4264" s="25" t="s">
        <v>11526</v>
      </c>
      <c r="C4264" s="6" t="s">
        <v>733</v>
      </c>
      <c r="D4264" s="13">
        <v>17300.985836939999</v>
      </c>
      <c r="E4264" s="18">
        <v>21</v>
      </c>
      <c r="F4264" s="2">
        <f t="shared" si="132"/>
        <v>20934.1928626974</v>
      </c>
      <c r="G4264" s="3">
        <v>0</v>
      </c>
      <c r="H4264" s="4">
        <v>0.7</v>
      </c>
      <c r="I4264" s="28">
        <f t="shared" si="133"/>
        <v>35588.127866585579</v>
      </c>
    </row>
    <row r="4265" spans="1:9" ht="15" customHeight="1" x14ac:dyDescent="0.35">
      <c r="A4265" s="26" t="s">
        <v>11931</v>
      </c>
      <c r="B4265" s="25" t="s">
        <v>691</v>
      </c>
      <c r="C4265" s="6" t="s">
        <v>11932</v>
      </c>
      <c r="D4265" s="13">
        <v>12990.159</v>
      </c>
      <c r="E4265" s="18">
        <v>21</v>
      </c>
      <c r="F4265" s="2">
        <f t="shared" si="132"/>
        <v>15718.09239</v>
      </c>
      <c r="G4265" s="3">
        <v>0</v>
      </c>
      <c r="H4265" s="4">
        <v>0.7</v>
      </c>
      <c r="I4265" s="28">
        <f t="shared" si="133"/>
        <v>26720.757062999997</v>
      </c>
    </row>
    <row r="4266" spans="1:9" ht="15" customHeight="1" x14ac:dyDescent="0.35">
      <c r="A4266" s="26" t="s">
        <v>10914</v>
      </c>
      <c r="B4266" s="25" t="s">
        <v>1294</v>
      </c>
      <c r="C4266" s="6" t="s">
        <v>12579</v>
      </c>
      <c r="D4266" s="13">
        <v>14539.638750000002</v>
      </c>
      <c r="E4266" s="18">
        <v>21</v>
      </c>
      <c r="F4266" s="2">
        <f t="shared" si="132"/>
        <v>17592.962887500002</v>
      </c>
      <c r="G4266" s="3">
        <v>0</v>
      </c>
      <c r="H4266" s="4">
        <v>0.7</v>
      </c>
      <c r="I4266" s="28">
        <f t="shared" si="133"/>
        <v>29908.03690875</v>
      </c>
    </row>
    <row r="4267" spans="1:9" ht="15" customHeight="1" x14ac:dyDescent="0.35">
      <c r="A4267" s="26" t="s">
        <v>9337</v>
      </c>
      <c r="B4267" s="25" t="s">
        <v>11528</v>
      </c>
      <c r="C4267" s="6" t="s">
        <v>9338</v>
      </c>
      <c r="D4267" s="13">
        <v>9341.0409167400157</v>
      </c>
      <c r="E4267" s="18">
        <v>21</v>
      </c>
      <c r="F4267" s="2">
        <f t="shared" si="132"/>
        <v>11302.65950925542</v>
      </c>
      <c r="G4267" s="3">
        <v>0</v>
      </c>
      <c r="H4267" s="4">
        <v>0.7</v>
      </c>
      <c r="I4267" s="28">
        <f t="shared" si="133"/>
        <v>19214.521165734212</v>
      </c>
    </row>
    <row r="4268" spans="1:9" ht="15" customHeight="1" x14ac:dyDescent="0.35">
      <c r="A4268" s="26" t="s">
        <v>4557</v>
      </c>
      <c r="B4268" s="25" t="s">
        <v>692</v>
      </c>
      <c r="C4268" s="6" t="s">
        <v>1318</v>
      </c>
      <c r="D4268" s="13">
        <v>49777.389801360005</v>
      </c>
      <c r="E4268" s="18">
        <v>21</v>
      </c>
      <c r="F4268" s="2">
        <f t="shared" si="132"/>
        <v>60230.641659645604</v>
      </c>
      <c r="G4268" s="3">
        <v>0</v>
      </c>
      <c r="H4268" s="4">
        <v>0.7</v>
      </c>
      <c r="I4268" s="28">
        <f t="shared" si="133"/>
        <v>102392.09082139752</v>
      </c>
    </row>
    <row r="4269" spans="1:9" ht="15" customHeight="1" x14ac:dyDescent="0.35">
      <c r="A4269" s="26" t="s">
        <v>5836</v>
      </c>
      <c r="B4269" s="25" t="s">
        <v>1295</v>
      </c>
      <c r="C4269" s="6" t="s">
        <v>1319</v>
      </c>
      <c r="D4269" s="13">
        <v>362772.276984</v>
      </c>
      <c r="E4269" s="18">
        <v>21</v>
      </c>
      <c r="F4269" s="2">
        <f t="shared" si="132"/>
        <v>438954.45515063999</v>
      </c>
      <c r="G4269" s="3">
        <v>0</v>
      </c>
      <c r="H4269" s="4">
        <v>0.7</v>
      </c>
      <c r="I4269" s="28">
        <f t="shared" si="133"/>
        <v>746222.57375608792</v>
      </c>
    </row>
    <row r="4270" spans="1:9" ht="15" customHeight="1" x14ac:dyDescent="0.35">
      <c r="A4270" s="26" t="s">
        <v>5820</v>
      </c>
      <c r="B4270" s="25" t="s">
        <v>693</v>
      </c>
      <c r="C4270" s="6" t="s">
        <v>734</v>
      </c>
      <c r="D4270" s="13">
        <v>46320.982844820559</v>
      </c>
      <c r="E4270" s="18">
        <v>21</v>
      </c>
      <c r="F4270" s="2">
        <f t="shared" si="132"/>
        <v>56048.389242232879</v>
      </c>
      <c r="G4270" s="3">
        <v>0</v>
      </c>
      <c r="H4270" s="4">
        <v>0.7</v>
      </c>
      <c r="I4270" s="28">
        <f t="shared" si="133"/>
        <v>95282.261711795887</v>
      </c>
    </row>
    <row r="4271" spans="1:9" ht="15" customHeight="1" x14ac:dyDescent="0.35">
      <c r="A4271" s="26" t="s">
        <v>5821</v>
      </c>
      <c r="B4271" s="25" t="s">
        <v>12309</v>
      </c>
      <c r="C4271" s="6" t="s">
        <v>735</v>
      </c>
      <c r="D4271" s="13">
        <v>46320.982844820559</v>
      </c>
      <c r="E4271" s="18">
        <v>21</v>
      </c>
      <c r="F4271" s="2">
        <f t="shared" si="132"/>
        <v>56048.389242232879</v>
      </c>
      <c r="G4271" s="3">
        <v>0</v>
      </c>
      <c r="H4271" s="4">
        <v>0.7</v>
      </c>
      <c r="I4271" s="28">
        <f t="shared" si="133"/>
        <v>95282.261711795887</v>
      </c>
    </row>
    <row r="4272" spans="1:9" ht="15" customHeight="1" x14ac:dyDescent="0.35">
      <c r="A4272" s="26" t="s">
        <v>5822</v>
      </c>
      <c r="B4272" s="25" t="s">
        <v>694</v>
      </c>
      <c r="C4272" s="6" t="s">
        <v>736</v>
      </c>
      <c r="D4272" s="13">
        <v>52483.231188180005</v>
      </c>
      <c r="E4272" s="18">
        <v>21</v>
      </c>
      <c r="F4272" s="2">
        <f t="shared" si="132"/>
        <v>63504.709737697805</v>
      </c>
      <c r="G4272" s="3">
        <v>0</v>
      </c>
      <c r="H4272" s="4">
        <v>0.7</v>
      </c>
      <c r="I4272" s="28">
        <f t="shared" si="133"/>
        <v>107958.00655408627</v>
      </c>
    </row>
    <row r="4273" spans="1:9" ht="15" customHeight="1" x14ac:dyDescent="0.35">
      <c r="A4273" s="26" t="s">
        <v>4586</v>
      </c>
      <c r="B4273" s="25" t="s">
        <v>1296</v>
      </c>
      <c r="C4273" s="6" t="s">
        <v>1320</v>
      </c>
      <c r="D4273" s="13">
        <v>13320.06165464</v>
      </c>
      <c r="E4273" s="18">
        <v>21</v>
      </c>
      <c r="F4273" s="2">
        <f t="shared" si="132"/>
        <v>16117.274602114399</v>
      </c>
      <c r="G4273" s="3">
        <v>0</v>
      </c>
      <c r="H4273" s="4">
        <v>0.7</v>
      </c>
      <c r="I4273" s="28">
        <f t="shared" si="133"/>
        <v>27399.366823594479</v>
      </c>
    </row>
    <row r="4274" spans="1:9" ht="15" customHeight="1" x14ac:dyDescent="0.35">
      <c r="A4274" s="26" t="s">
        <v>4604</v>
      </c>
      <c r="B4274" s="25" t="s">
        <v>695</v>
      </c>
      <c r="C4274" s="6" t="s">
        <v>9149</v>
      </c>
      <c r="D4274" s="13">
        <v>40612.850092619847</v>
      </c>
      <c r="E4274" s="18">
        <v>21</v>
      </c>
      <c r="F4274" s="2">
        <f t="shared" si="132"/>
        <v>49141.548612070015</v>
      </c>
      <c r="G4274" s="3">
        <v>0</v>
      </c>
      <c r="H4274" s="4">
        <v>0.7</v>
      </c>
      <c r="I4274" s="28">
        <f t="shared" si="133"/>
        <v>83540.632640519019</v>
      </c>
    </row>
    <row r="4275" spans="1:9" ht="15" customHeight="1" x14ac:dyDescent="0.35">
      <c r="A4275" s="26" t="s">
        <v>10915</v>
      </c>
      <c r="B4275" s="25" t="s">
        <v>696</v>
      </c>
      <c r="C4275" s="6" t="s">
        <v>11862</v>
      </c>
      <c r="D4275" s="13">
        <v>14985.379500000001</v>
      </c>
      <c r="E4275" s="18">
        <v>21</v>
      </c>
      <c r="F4275" s="2">
        <f t="shared" si="132"/>
        <v>18132.309195000002</v>
      </c>
      <c r="G4275" s="3">
        <v>0</v>
      </c>
      <c r="H4275" s="4">
        <v>0.7</v>
      </c>
      <c r="I4275" s="28">
        <f t="shared" si="133"/>
        <v>30824.925631500002</v>
      </c>
    </row>
    <row r="4276" spans="1:9" ht="15" customHeight="1" x14ac:dyDescent="0.35">
      <c r="A4276" s="26" t="s">
        <v>5837</v>
      </c>
      <c r="B4276" s="25" t="s">
        <v>1297</v>
      </c>
      <c r="C4276" s="6" t="s">
        <v>1321</v>
      </c>
      <c r="D4276" s="13">
        <v>57240.899118000001</v>
      </c>
      <c r="E4276" s="18">
        <v>21</v>
      </c>
      <c r="F4276" s="2">
        <f t="shared" si="132"/>
        <v>69261.487932780001</v>
      </c>
      <c r="G4276" s="3">
        <v>0</v>
      </c>
      <c r="H4276" s="4">
        <v>0.7</v>
      </c>
      <c r="I4276" s="28">
        <f t="shared" si="133"/>
        <v>117744.529485726</v>
      </c>
    </row>
    <row r="4277" spans="1:9" ht="15" customHeight="1" x14ac:dyDescent="0.35">
      <c r="A4277" s="26" t="s">
        <v>4558</v>
      </c>
      <c r="B4277" s="25" t="s">
        <v>697</v>
      </c>
      <c r="C4277" s="6" t="s">
        <v>737</v>
      </c>
      <c r="D4277" s="13">
        <v>11288.056889460015</v>
      </c>
      <c r="E4277" s="18">
        <v>21</v>
      </c>
      <c r="F4277" s="2">
        <f t="shared" si="132"/>
        <v>13658.548836246617</v>
      </c>
      <c r="G4277" s="3">
        <v>0</v>
      </c>
      <c r="H4277" s="4">
        <v>0.7</v>
      </c>
      <c r="I4277" s="28">
        <f t="shared" si="133"/>
        <v>23219.533021619249</v>
      </c>
    </row>
    <row r="4278" spans="1:9" ht="15" customHeight="1" x14ac:dyDescent="0.35">
      <c r="A4278" s="26" t="s">
        <v>8727</v>
      </c>
      <c r="B4278" s="25" t="s">
        <v>698</v>
      </c>
      <c r="C4278" s="6" t="s">
        <v>8744</v>
      </c>
      <c r="D4278" s="13">
        <v>33012.526383720156</v>
      </c>
      <c r="E4278" s="18">
        <v>21</v>
      </c>
      <c r="F4278" s="2">
        <f t="shared" si="132"/>
        <v>39945.156924301387</v>
      </c>
      <c r="G4278" s="3">
        <v>0</v>
      </c>
      <c r="H4278" s="4">
        <v>0.7</v>
      </c>
      <c r="I4278" s="28">
        <f t="shared" si="133"/>
        <v>67906.766771312352</v>
      </c>
    </row>
    <row r="4279" spans="1:9" ht="15" customHeight="1" x14ac:dyDescent="0.35">
      <c r="A4279" s="26" t="s">
        <v>4560</v>
      </c>
      <c r="B4279" s="25" t="s">
        <v>1298</v>
      </c>
      <c r="C4279" s="6" t="s">
        <v>738</v>
      </c>
      <c r="D4279" s="13">
        <v>16276.04591769</v>
      </c>
      <c r="E4279" s="18">
        <v>21</v>
      </c>
      <c r="F4279" s="2">
        <f t="shared" si="132"/>
        <v>19694.0155604049</v>
      </c>
      <c r="G4279" s="3">
        <v>0</v>
      </c>
      <c r="H4279" s="4">
        <v>0.7</v>
      </c>
      <c r="I4279" s="28">
        <f t="shared" si="133"/>
        <v>33479.826452688329</v>
      </c>
    </row>
    <row r="4280" spans="1:9" ht="15" customHeight="1" x14ac:dyDescent="0.35">
      <c r="A4280" s="26" t="s">
        <v>10916</v>
      </c>
      <c r="B4280" s="25" t="s">
        <v>699</v>
      </c>
      <c r="C4280" s="6" t="s">
        <v>11863</v>
      </c>
      <c r="D4280" s="13">
        <v>95229.327374999993</v>
      </c>
      <c r="E4280" s="18">
        <v>21</v>
      </c>
      <c r="F4280" s="2">
        <f t="shared" si="132"/>
        <v>115227.48612374999</v>
      </c>
      <c r="G4280" s="3">
        <v>0</v>
      </c>
      <c r="H4280" s="4">
        <v>0.7</v>
      </c>
      <c r="I4280" s="28">
        <f t="shared" si="133"/>
        <v>195886.72641037498</v>
      </c>
    </row>
    <row r="4281" spans="1:9" ht="15" customHeight="1" x14ac:dyDescent="0.35">
      <c r="A4281" s="26" t="s">
        <v>5838</v>
      </c>
      <c r="B4281" s="25" t="s">
        <v>700</v>
      </c>
      <c r="C4281" s="6" t="s">
        <v>9150</v>
      </c>
      <c r="D4281" s="13">
        <v>370893.928158</v>
      </c>
      <c r="E4281" s="18">
        <v>21</v>
      </c>
      <c r="F4281" s="2">
        <f t="shared" si="132"/>
        <v>448781.65307117999</v>
      </c>
      <c r="G4281" s="3">
        <v>0</v>
      </c>
      <c r="H4281" s="4">
        <v>0.7</v>
      </c>
      <c r="I4281" s="28">
        <f t="shared" si="133"/>
        <v>762928.81022100593</v>
      </c>
    </row>
    <row r="4282" spans="1:9" ht="15" customHeight="1" x14ac:dyDescent="0.35">
      <c r="A4282" s="26" t="s">
        <v>4561</v>
      </c>
      <c r="B4282" s="25" t="s">
        <v>701</v>
      </c>
      <c r="C4282" s="6" t="s">
        <v>739</v>
      </c>
      <c r="D4282" s="13">
        <v>85315.998878369996</v>
      </c>
      <c r="E4282" s="18">
        <v>21</v>
      </c>
      <c r="F4282" s="2">
        <f t="shared" si="132"/>
        <v>103232.35864282769</v>
      </c>
      <c r="G4282" s="3">
        <v>0</v>
      </c>
      <c r="H4282" s="4">
        <v>0.7</v>
      </c>
      <c r="I4282" s="28">
        <f t="shared" si="133"/>
        <v>175495.00969280707</v>
      </c>
    </row>
    <row r="4283" spans="1:9" ht="15" customHeight="1" x14ac:dyDescent="0.35">
      <c r="A4283" s="26" t="s">
        <v>11844</v>
      </c>
      <c r="B4283" s="25" t="s">
        <v>702</v>
      </c>
      <c r="C4283" s="6" t="s">
        <v>11845</v>
      </c>
      <c r="D4283" s="13">
        <v>119034.00599999999</v>
      </c>
      <c r="E4283" s="18">
        <v>21</v>
      </c>
      <c r="F4283" s="2">
        <f t="shared" si="132"/>
        <v>144031.14726</v>
      </c>
      <c r="G4283" s="3">
        <v>0</v>
      </c>
      <c r="H4283" s="4">
        <v>0.7</v>
      </c>
      <c r="I4283" s="28">
        <f t="shared" si="133"/>
        <v>244852.950342</v>
      </c>
    </row>
    <row r="4284" spans="1:9" ht="15" customHeight="1" x14ac:dyDescent="0.35">
      <c r="A4284" s="26" t="s">
        <v>4610</v>
      </c>
      <c r="B4284" s="25" t="s">
        <v>703</v>
      </c>
      <c r="C4284" s="6" t="s">
        <v>1322</v>
      </c>
      <c r="D4284" s="13">
        <v>414025.11306</v>
      </c>
      <c r="E4284" s="18">
        <v>21</v>
      </c>
      <c r="F4284" s="2">
        <f t="shared" si="132"/>
        <v>500970.3868026</v>
      </c>
      <c r="G4284" s="3">
        <v>0</v>
      </c>
      <c r="H4284" s="4">
        <v>0.7</v>
      </c>
      <c r="I4284" s="28">
        <f t="shared" si="133"/>
        <v>851649.65756442002</v>
      </c>
    </row>
    <row r="4285" spans="1:9" ht="15" customHeight="1" x14ac:dyDescent="0.35">
      <c r="A4285" s="26" t="s">
        <v>10917</v>
      </c>
      <c r="B4285" s="25" t="s">
        <v>704</v>
      </c>
      <c r="C4285" s="6" t="s">
        <v>10918</v>
      </c>
      <c r="D4285" s="13">
        <v>14985.379500000001</v>
      </c>
      <c r="E4285" s="18">
        <v>21</v>
      </c>
      <c r="F4285" s="2">
        <f t="shared" si="132"/>
        <v>18132.309195000002</v>
      </c>
      <c r="G4285" s="3">
        <v>0</v>
      </c>
      <c r="H4285" s="4">
        <v>0.7</v>
      </c>
      <c r="I4285" s="28">
        <f t="shared" si="133"/>
        <v>30824.925631500002</v>
      </c>
    </row>
    <row r="4286" spans="1:9" ht="15" customHeight="1" x14ac:dyDescent="0.35">
      <c r="A4286" s="26" t="s">
        <v>5839</v>
      </c>
      <c r="B4286" s="25" t="s">
        <v>10903</v>
      </c>
      <c r="C4286" s="6" t="s">
        <v>1323</v>
      </c>
      <c r="D4286" s="13">
        <v>57240.899118000001</v>
      </c>
      <c r="E4286" s="18">
        <v>21</v>
      </c>
      <c r="F4286" s="2">
        <f t="shared" si="132"/>
        <v>69261.487932780001</v>
      </c>
      <c r="G4286" s="3">
        <v>0</v>
      </c>
      <c r="H4286" s="4">
        <v>0.7</v>
      </c>
      <c r="I4286" s="28">
        <f t="shared" si="133"/>
        <v>117744.529485726</v>
      </c>
    </row>
    <row r="4287" spans="1:9" ht="15" customHeight="1" x14ac:dyDescent="0.35">
      <c r="A4287" s="26" t="s">
        <v>4562</v>
      </c>
      <c r="B4287" s="25" t="s">
        <v>10905</v>
      </c>
      <c r="C4287" s="6" t="s">
        <v>740</v>
      </c>
      <c r="D4287" s="13">
        <v>11288.056889460015</v>
      </c>
      <c r="E4287" s="18">
        <v>21</v>
      </c>
      <c r="F4287" s="2">
        <f t="shared" si="132"/>
        <v>13658.548836246617</v>
      </c>
      <c r="G4287" s="3">
        <v>0</v>
      </c>
      <c r="H4287" s="4">
        <v>0.7</v>
      </c>
      <c r="I4287" s="28">
        <f t="shared" si="133"/>
        <v>23219.533021619249</v>
      </c>
    </row>
    <row r="4288" spans="1:9" ht="15" customHeight="1" x14ac:dyDescent="0.35">
      <c r="A4288" s="26" t="s">
        <v>8729</v>
      </c>
      <c r="B4288" s="25" t="s">
        <v>10756</v>
      </c>
      <c r="C4288" s="6" t="s">
        <v>8746</v>
      </c>
      <c r="D4288" s="13">
        <v>33012.526383720156</v>
      </c>
      <c r="E4288" s="18">
        <v>21</v>
      </c>
      <c r="F4288" s="2">
        <f t="shared" si="132"/>
        <v>39945.156924301387</v>
      </c>
      <c r="G4288" s="3">
        <v>0</v>
      </c>
      <c r="H4288" s="4">
        <v>0.7</v>
      </c>
      <c r="I4288" s="28">
        <f t="shared" si="133"/>
        <v>67906.766771312352</v>
      </c>
    </row>
    <row r="4289" spans="1:9" ht="15" customHeight="1" x14ac:dyDescent="0.35">
      <c r="A4289" s="26" t="s">
        <v>4564</v>
      </c>
      <c r="B4289" s="25" t="s">
        <v>1299</v>
      </c>
      <c r="C4289" s="6" t="s">
        <v>741</v>
      </c>
      <c r="D4289" s="13">
        <v>16276.04591769</v>
      </c>
      <c r="E4289" s="18">
        <v>21</v>
      </c>
      <c r="F4289" s="2">
        <f t="shared" si="132"/>
        <v>19694.0155604049</v>
      </c>
      <c r="G4289" s="3">
        <v>0</v>
      </c>
      <c r="H4289" s="4">
        <v>0.7</v>
      </c>
      <c r="I4289" s="28">
        <f t="shared" si="133"/>
        <v>33479.826452688329</v>
      </c>
    </row>
    <row r="4290" spans="1:9" ht="15" customHeight="1" x14ac:dyDescent="0.35">
      <c r="A4290" s="26" t="s">
        <v>4589</v>
      </c>
      <c r="B4290" s="25" t="s">
        <v>1300</v>
      </c>
      <c r="C4290" s="6" t="s">
        <v>13644</v>
      </c>
      <c r="D4290" s="13">
        <v>12515.604427187551</v>
      </c>
      <c r="E4290" s="18">
        <v>21</v>
      </c>
      <c r="F4290" s="2">
        <f t="shared" si="132"/>
        <v>15143.881356896936</v>
      </c>
      <c r="G4290" s="3">
        <v>0</v>
      </c>
      <c r="H4290" s="4">
        <v>0.7</v>
      </c>
      <c r="I4290" s="28">
        <f t="shared" si="133"/>
        <v>25744.598306724791</v>
      </c>
    </row>
    <row r="4291" spans="1:9" ht="15" customHeight="1" x14ac:dyDescent="0.35">
      <c r="A4291" s="26" t="s">
        <v>10919</v>
      </c>
      <c r="B4291" s="25" t="s">
        <v>1301</v>
      </c>
      <c r="C4291" s="6" t="s">
        <v>10920</v>
      </c>
      <c r="D4291" s="13">
        <v>14985.379500000001</v>
      </c>
      <c r="E4291" s="18">
        <v>21</v>
      </c>
      <c r="F4291" s="2">
        <f t="shared" si="132"/>
        <v>18132.309195000002</v>
      </c>
      <c r="G4291" s="3">
        <v>0</v>
      </c>
      <c r="H4291" s="4">
        <v>0.7</v>
      </c>
      <c r="I4291" s="28">
        <f t="shared" si="133"/>
        <v>30824.925631500002</v>
      </c>
    </row>
    <row r="4292" spans="1:9" ht="15" customHeight="1" x14ac:dyDescent="0.35">
      <c r="A4292" s="26" t="s">
        <v>5840</v>
      </c>
      <c r="B4292" s="25" t="s">
        <v>10758</v>
      </c>
      <c r="C4292" s="6" t="s">
        <v>1324</v>
      </c>
      <c r="D4292" s="13">
        <v>57240.899118000001</v>
      </c>
      <c r="E4292" s="18">
        <v>21</v>
      </c>
      <c r="F4292" s="2">
        <f t="shared" si="132"/>
        <v>69261.487932780001</v>
      </c>
      <c r="G4292" s="3">
        <v>0</v>
      </c>
      <c r="H4292" s="4">
        <v>0.7</v>
      </c>
      <c r="I4292" s="28">
        <f t="shared" si="133"/>
        <v>117744.529485726</v>
      </c>
    </row>
    <row r="4293" spans="1:9" ht="15" customHeight="1" x14ac:dyDescent="0.35">
      <c r="A4293" s="26" t="s">
        <v>4565</v>
      </c>
      <c r="B4293" s="25" t="s">
        <v>1302</v>
      </c>
      <c r="C4293" s="6" t="s">
        <v>742</v>
      </c>
      <c r="D4293" s="13">
        <v>11288.056889460015</v>
      </c>
      <c r="E4293" s="18">
        <v>21</v>
      </c>
      <c r="F4293" s="2">
        <f t="shared" si="132"/>
        <v>13658.548836246617</v>
      </c>
      <c r="G4293" s="3">
        <v>0</v>
      </c>
      <c r="H4293" s="4">
        <v>0.7</v>
      </c>
      <c r="I4293" s="28">
        <f t="shared" si="133"/>
        <v>23219.533021619249</v>
      </c>
    </row>
    <row r="4294" spans="1:9" ht="15" customHeight="1" x14ac:dyDescent="0.35">
      <c r="A4294" s="26" t="s">
        <v>8728</v>
      </c>
      <c r="B4294" s="25" t="s">
        <v>705</v>
      </c>
      <c r="C4294" s="6" t="s">
        <v>8745</v>
      </c>
      <c r="D4294" s="13">
        <v>33012.526383720156</v>
      </c>
      <c r="E4294" s="18">
        <v>21</v>
      </c>
      <c r="F4294" s="2">
        <f t="shared" ref="F4294:F4357" si="134">D4294*E4294/100+D4294</f>
        <v>39945.156924301387</v>
      </c>
      <c r="G4294" s="3">
        <v>0</v>
      </c>
      <c r="H4294" s="4">
        <v>0.7</v>
      </c>
      <c r="I4294" s="28">
        <f t="shared" ref="I4294:I4357" si="135">IF(G4294=-1,0,F4294*((100-G4294)/100)*(1+H4294))</f>
        <v>67906.766771312352</v>
      </c>
    </row>
    <row r="4295" spans="1:9" ht="15" customHeight="1" x14ac:dyDescent="0.35">
      <c r="A4295" s="26" t="s">
        <v>13784</v>
      </c>
      <c r="B4295" s="25" t="s">
        <v>1303</v>
      </c>
      <c r="C4295" s="6" t="s">
        <v>13785</v>
      </c>
      <c r="D4295" s="13">
        <v>12515.604427187551</v>
      </c>
      <c r="E4295" s="18">
        <v>21</v>
      </c>
      <c r="F4295" s="2">
        <f t="shared" si="134"/>
        <v>15143.881356896936</v>
      </c>
      <c r="G4295" s="3">
        <v>0</v>
      </c>
      <c r="H4295" s="4">
        <v>0.7</v>
      </c>
      <c r="I4295" s="28">
        <f t="shared" si="135"/>
        <v>25744.598306724791</v>
      </c>
    </row>
    <row r="4296" spans="1:9" ht="15" customHeight="1" x14ac:dyDescent="0.35">
      <c r="A4296" s="26" t="s">
        <v>10921</v>
      </c>
      <c r="B4296" s="25" t="s">
        <v>706</v>
      </c>
      <c r="C4296" s="6" t="s">
        <v>11576</v>
      </c>
      <c r="D4296" s="13">
        <v>14985.379500000001</v>
      </c>
      <c r="E4296" s="18">
        <v>21</v>
      </c>
      <c r="F4296" s="2">
        <f t="shared" si="134"/>
        <v>18132.309195000002</v>
      </c>
      <c r="G4296" s="3">
        <v>0</v>
      </c>
      <c r="H4296" s="4">
        <v>0.7</v>
      </c>
      <c r="I4296" s="28">
        <f t="shared" si="135"/>
        <v>30824.925631500002</v>
      </c>
    </row>
    <row r="4297" spans="1:9" ht="15" customHeight="1" x14ac:dyDescent="0.35">
      <c r="A4297" s="26" t="s">
        <v>5841</v>
      </c>
      <c r="B4297" s="25" t="s">
        <v>10760</v>
      </c>
      <c r="C4297" s="6" t="s">
        <v>1325</v>
      </c>
      <c r="D4297" s="13">
        <v>57240.899118000001</v>
      </c>
      <c r="E4297" s="18">
        <v>21</v>
      </c>
      <c r="F4297" s="2">
        <f t="shared" si="134"/>
        <v>69261.487932780001</v>
      </c>
      <c r="G4297" s="3">
        <v>0</v>
      </c>
      <c r="H4297" s="4">
        <v>0.7</v>
      </c>
      <c r="I4297" s="28">
        <f t="shared" si="135"/>
        <v>117744.529485726</v>
      </c>
    </row>
    <row r="4298" spans="1:9" ht="15" customHeight="1" x14ac:dyDescent="0.35">
      <c r="A4298" s="26" t="s">
        <v>4590</v>
      </c>
      <c r="B4298" s="25" t="s">
        <v>1304</v>
      </c>
      <c r="C4298" s="6" t="s">
        <v>743</v>
      </c>
      <c r="D4298" s="13">
        <v>11288.056889460015</v>
      </c>
      <c r="E4298" s="18">
        <v>21</v>
      </c>
      <c r="F4298" s="2">
        <f t="shared" si="134"/>
        <v>13658.548836246617</v>
      </c>
      <c r="G4298" s="3">
        <v>0</v>
      </c>
      <c r="H4298" s="4">
        <v>0.7</v>
      </c>
      <c r="I4298" s="28">
        <f t="shared" si="135"/>
        <v>23219.533021619249</v>
      </c>
    </row>
    <row r="4299" spans="1:9" ht="15" customHeight="1" x14ac:dyDescent="0.35">
      <c r="A4299" s="26" t="s">
        <v>4591</v>
      </c>
      <c r="B4299" s="25" t="s">
        <v>707</v>
      </c>
      <c r="C4299" s="6" t="s">
        <v>1326</v>
      </c>
      <c r="D4299" s="13">
        <v>33012.53052965556</v>
      </c>
      <c r="E4299" s="18">
        <v>21</v>
      </c>
      <c r="F4299" s="2">
        <f t="shared" si="134"/>
        <v>39945.161940883227</v>
      </c>
      <c r="G4299" s="3">
        <v>0</v>
      </c>
      <c r="H4299" s="4">
        <v>0.7</v>
      </c>
      <c r="I4299" s="28">
        <f t="shared" si="135"/>
        <v>67906.775299501489</v>
      </c>
    </row>
    <row r="4300" spans="1:9" ht="15" customHeight="1" x14ac:dyDescent="0.35">
      <c r="A4300" s="26" t="s">
        <v>4592</v>
      </c>
      <c r="B4300" s="25" t="s">
        <v>1305</v>
      </c>
      <c r="C4300" s="6" t="s">
        <v>744</v>
      </c>
      <c r="D4300" s="13">
        <v>16276.04591769</v>
      </c>
      <c r="E4300" s="18">
        <v>21</v>
      </c>
      <c r="F4300" s="2">
        <f t="shared" si="134"/>
        <v>19694.0155604049</v>
      </c>
      <c r="G4300" s="3">
        <v>0</v>
      </c>
      <c r="H4300" s="4">
        <v>0.7</v>
      </c>
      <c r="I4300" s="28">
        <f t="shared" si="135"/>
        <v>33479.826452688329</v>
      </c>
    </row>
    <row r="4301" spans="1:9" ht="15" customHeight="1" x14ac:dyDescent="0.35">
      <c r="A4301" s="26" t="s">
        <v>4593</v>
      </c>
      <c r="B4301" s="25" t="s">
        <v>708</v>
      </c>
      <c r="C4301" s="6" t="s">
        <v>13645</v>
      </c>
      <c r="D4301" s="13">
        <v>13417.472714595298</v>
      </c>
      <c r="E4301" s="18">
        <v>21</v>
      </c>
      <c r="F4301" s="2">
        <f t="shared" si="134"/>
        <v>16235.141984660311</v>
      </c>
      <c r="G4301" s="3">
        <v>0</v>
      </c>
      <c r="H4301" s="4">
        <v>0.7</v>
      </c>
      <c r="I4301" s="28">
        <f t="shared" si="135"/>
        <v>27599.741373922527</v>
      </c>
    </row>
    <row r="4302" spans="1:9" ht="15" customHeight="1" x14ac:dyDescent="0.35">
      <c r="A4302" s="26" t="s">
        <v>10922</v>
      </c>
      <c r="B4302" s="25" t="s">
        <v>10762</v>
      </c>
      <c r="C4302" s="6" t="s">
        <v>11824</v>
      </c>
      <c r="D4302" s="13">
        <v>14985.379500000001</v>
      </c>
      <c r="E4302" s="18">
        <v>21</v>
      </c>
      <c r="F4302" s="2">
        <f t="shared" si="134"/>
        <v>18132.309195000002</v>
      </c>
      <c r="G4302" s="3">
        <v>0</v>
      </c>
      <c r="H4302" s="4">
        <v>0.7</v>
      </c>
      <c r="I4302" s="28">
        <f t="shared" si="135"/>
        <v>30824.925631500002</v>
      </c>
    </row>
    <row r="4303" spans="1:9" ht="15" customHeight="1" x14ac:dyDescent="0.35">
      <c r="A4303" s="26" t="s">
        <v>5842</v>
      </c>
      <c r="B4303" s="25" t="s">
        <v>1306</v>
      </c>
      <c r="C4303" s="6" t="s">
        <v>1327</v>
      </c>
      <c r="D4303" s="13">
        <v>63135.520343999997</v>
      </c>
      <c r="E4303" s="18">
        <v>21</v>
      </c>
      <c r="F4303" s="2">
        <f t="shared" si="134"/>
        <v>76393.979616240002</v>
      </c>
      <c r="G4303" s="3">
        <v>0</v>
      </c>
      <c r="H4303" s="4">
        <v>0.7</v>
      </c>
      <c r="I4303" s="28">
        <f t="shared" si="135"/>
        <v>129869.765347608</v>
      </c>
    </row>
    <row r="4304" spans="1:9" ht="15" customHeight="1" x14ac:dyDescent="0.35">
      <c r="A4304" s="26" t="s">
        <v>4594</v>
      </c>
      <c r="B4304" s="25" t="s">
        <v>709</v>
      </c>
      <c r="C4304" s="6" t="s">
        <v>745</v>
      </c>
      <c r="D4304" s="13">
        <v>11288.056889460015</v>
      </c>
      <c r="E4304" s="18">
        <v>21</v>
      </c>
      <c r="F4304" s="2">
        <f t="shared" si="134"/>
        <v>13658.548836246617</v>
      </c>
      <c r="G4304" s="3">
        <v>0</v>
      </c>
      <c r="H4304" s="4">
        <v>0.7</v>
      </c>
      <c r="I4304" s="28">
        <f t="shared" si="135"/>
        <v>23219.533021619249</v>
      </c>
    </row>
    <row r="4305" spans="1:9" ht="15" customHeight="1" x14ac:dyDescent="0.35">
      <c r="A4305" s="26" t="s">
        <v>5827</v>
      </c>
      <c r="B4305" s="25" t="s">
        <v>4580</v>
      </c>
      <c r="C4305" s="6" t="s">
        <v>1328</v>
      </c>
      <c r="D4305" s="13">
        <v>39111.707318580156</v>
      </c>
      <c r="E4305" s="18">
        <v>21</v>
      </c>
      <c r="F4305" s="2">
        <f t="shared" si="134"/>
        <v>47325.165855481988</v>
      </c>
      <c r="G4305" s="3">
        <v>0</v>
      </c>
      <c r="H4305" s="4">
        <v>0.7</v>
      </c>
      <c r="I4305" s="28">
        <f t="shared" si="135"/>
        <v>80452.781954319376</v>
      </c>
    </row>
    <row r="4306" spans="1:9" ht="15" customHeight="1" x14ac:dyDescent="0.35">
      <c r="A4306" s="26" t="s">
        <v>4596</v>
      </c>
      <c r="B4306" s="25" t="s">
        <v>710</v>
      </c>
      <c r="C4306" s="6" t="s">
        <v>13646</v>
      </c>
      <c r="D4306" s="13">
        <v>13417.472714595298</v>
      </c>
      <c r="E4306" s="18">
        <v>21</v>
      </c>
      <c r="F4306" s="2">
        <f t="shared" si="134"/>
        <v>16235.141984660311</v>
      </c>
      <c r="G4306" s="3">
        <v>0</v>
      </c>
      <c r="H4306" s="4">
        <v>0.7</v>
      </c>
      <c r="I4306" s="28">
        <f t="shared" si="135"/>
        <v>27599.741373922527</v>
      </c>
    </row>
    <row r="4307" spans="1:9" ht="15" customHeight="1" x14ac:dyDescent="0.35">
      <c r="A4307" s="26" t="s">
        <v>10923</v>
      </c>
      <c r="B4307" s="25" t="s">
        <v>10764</v>
      </c>
      <c r="C4307" s="6" t="s">
        <v>10924</v>
      </c>
      <c r="D4307" s="13">
        <v>17298.986250000002</v>
      </c>
      <c r="E4307" s="18">
        <v>21</v>
      </c>
      <c r="F4307" s="2">
        <f t="shared" si="134"/>
        <v>20931.773362500004</v>
      </c>
      <c r="G4307" s="3">
        <v>0</v>
      </c>
      <c r="H4307" s="4">
        <v>0.7</v>
      </c>
      <c r="I4307" s="28">
        <f t="shared" si="135"/>
        <v>35584.014716250007</v>
      </c>
    </row>
    <row r="4308" spans="1:9" ht="15" customHeight="1" x14ac:dyDescent="0.35">
      <c r="A4308" s="26" t="s">
        <v>9897</v>
      </c>
      <c r="B4308" s="25" t="s">
        <v>1307</v>
      </c>
      <c r="C4308" s="6" t="s">
        <v>9898</v>
      </c>
      <c r="D4308" s="13">
        <v>63135.520343999997</v>
      </c>
      <c r="E4308" s="18">
        <v>21</v>
      </c>
      <c r="F4308" s="2">
        <f t="shared" si="134"/>
        <v>76393.979616240002</v>
      </c>
      <c r="G4308" s="3">
        <v>0</v>
      </c>
      <c r="H4308" s="4">
        <v>0.7</v>
      </c>
      <c r="I4308" s="28">
        <f t="shared" si="135"/>
        <v>129869.765347608</v>
      </c>
    </row>
    <row r="4309" spans="1:9" ht="15" customHeight="1" x14ac:dyDescent="0.35">
      <c r="A4309" s="26" t="s">
        <v>4597</v>
      </c>
      <c r="B4309" s="25" t="s">
        <v>711</v>
      </c>
      <c r="C4309" s="6" t="s">
        <v>746</v>
      </c>
      <c r="D4309" s="13">
        <v>12446.994968460014</v>
      </c>
      <c r="E4309" s="18">
        <v>21</v>
      </c>
      <c r="F4309" s="2">
        <f t="shared" si="134"/>
        <v>15060.863911836617</v>
      </c>
      <c r="G4309" s="3">
        <v>0</v>
      </c>
      <c r="H4309" s="4">
        <v>0.7</v>
      </c>
      <c r="I4309" s="28">
        <f t="shared" si="135"/>
        <v>25603.46865012225</v>
      </c>
    </row>
    <row r="4310" spans="1:9" ht="15" customHeight="1" x14ac:dyDescent="0.35">
      <c r="A4310" s="26" t="s">
        <v>5829</v>
      </c>
      <c r="B4310" s="25" t="s">
        <v>8741</v>
      </c>
      <c r="C4310" s="6" t="s">
        <v>1329</v>
      </c>
      <c r="D4310" s="13">
        <v>39111.707318580156</v>
      </c>
      <c r="E4310" s="18">
        <v>21</v>
      </c>
      <c r="F4310" s="2">
        <f t="shared" si="134"/>
        <v>47325.165855481988</v>
      </c>
      <c r="G4310" s="3">
        <v>0</v>
      </c>
      <c r="H4310" s="4">
        <v>0.7</v>
      </c>
      <c r="I4310" s="28">
        <f t="shared" si="135"/>
        <v>80452.781954319376</v>
      </c>
    </row>
    <row r="4311" spans="1:9" ht="15" customHeight="1" x14ac:dyDescent="0.35">
      <c r="A4311" s="26" t="s">
        <v>4598</v>
      </c>
      <c r="B4311" s="25" t="s">
        <v>712</v>
      </c>
      <c r="C4311" s="6" t="s">
        <v>747</v>
      </c>
      <c r="D4311" s="13">
        <v>18066.274309980003</v>
      </c>
      <c r="E4311" s="18">
        <v>21</v>
      </c>
      <c r="F4311" s="2">
        <f t="shared" si="134"/>
        <v>21860.191915075804</v>
      </c>
      <c r="G4311" s="3">
        <v>0</v>
      </c>
      <c r="H4311" s="4">
        <v>0.7</v>
      </c>
      <c r="I4311" s="28">
        <f t="shared" si="135"/>
        <v>37162.326255628868</v>
      </c>
    </row>
    <row r="4312" spans="1:9" ht="15" customHeight="1" x14ac:dyDescent="0.35">
      <c r="A4312" s="26" t="s">
        <v>4599</v>
      </c>
      <c r="B4312" s="25" t="s">
        <v>10766</v>
      </c>
      <c r="C4312" s="6" t="s">
        <v>748</v>
      </c>
      <c r="D4312" s="13">
        <v>16276.04591769</v>
      </c>
      <c r="E4312" s="18">
        <v>21</v>
      </c>
      <c r="F4312" s="2">
        <f t="shared" si="134"/>
        <v>19694.0155604049</v>
      </c>
      <c r="G4312" s="3">
        <v>0</v>
      </c>
      <c r="H4312" s="4">
        <v>0.7</v>
      </c>
      <c r="I4312" s="28">
        <f t="shared" si="135"/>
        <v>33479.826452688329</v>
      </c>
    </row>
    <row r="4313" spans="1:9" ht="15" customHeight="1" x14ac:dyDescent="0.35">
      <c r="A4313" s="26" t="s">
        <v>4600</v>
      </c>
      <c r="B4313" s="25" t="s">
        <v>1308</v>
      </c>
      <c r="C4313" s="6" t="s">
        <v>13647</v>
      </c>
      <c r="D4313" s="13">
        <v>14412.43708328385</v>
      </c>
      <c r="E4313" s="18">
        <v>21</v>
      </c>
      <c r="F4313" s="2">
        <f t="shared" si="134"/>
        <v>17439.048870773458</v>
      </c>
      <c r="G4313" s="3">
        <v>0</v>
      </c>
      <c r="H4313" s="4">
        <v>0.7</v>
      </c>
      <c r="I4313" s="28">
        <f t="shared" si="135"/>
        <v>29646.383080314878</v>
      </c>
    </row>
    <row r="4314" spans="1:9" ht="15" customHeight="1" x14ac:dyDescent="0.35">
      <c r="A4314" s="26" t="s">
        <v>10925</v>
      </c>
      <c r="B4314" s="25" t="s">
        <v>713</v>
      </c>
      <c r="C4314" s="6" t="s">
        <v>10926</v>
      </c>
      <c r="D4314" s="13">
        <v>18402.72525</v>
      </c>
      <c r="E4314" s="18">
        <v>21</v>
      </c>
      <c r="F4314" s="2">
        <f t="shared" si="134"/>
        <v>22267.2975525</v>
      </c>
      <c r="G4314" s="3">
        <v>0</v>
      </c>
      <c r="H4314" s="4">
        <v>0.7</v>
      </c>
      <c r="I4314" s="28">
        <f t="shared" si="135"/>
        <v>37854.405839250001</v>
      </c>
    </row>
    <row r="4315" spans="1:9" ht="15" customHeight="1" x14ac:dyDescent="0.35">
      <c r="A4315" s="26" t="s">
        <v>9899</v>
      </c>
      <c r="B4315" s="25" t="s">
        <v>8742</v>
      </c>
      <c r="C4315" s="6" t="s">
        <v>9900</v>
      </c>
      <c r="D4315" s="13">
        <v>112246.98147000001</v>
      </c>
      <c r="E4315" s="18">
        <v>21</v>
      </c>
      <c r="F4315" s="2">
        <f t="shared" si="134"/>
        <v>135818.84757870002</v>
      </c>
      <c r="G4315" s="3">
        <v>0</v>
      </c>
      <c r="H4315" s="4">
        <v>0.7</v>
      </c>
      <c r="I4315" s="28">
        <f t="shared" si="135"/>
        <v>230892.04088379003</v>
      </c>
    </row>
    <row r="4316" spans="1:9" ht="15" customHeight="1" x14ac:dyDescent="0.35">
      <c r="A4316" s="26" t="s">
        <v>4601</v>
      </c>
      <c r="B4316" s="25" t="s">
        <v>10907</v>
      </c>
      <c r="C4316" s="6" t="s">
        <v>749</v>
      </c>
      <c r="D4316" s="13">
        <v>12446.994968460014</v>
      </c>
      <c r="E4316" s="18">
        <v>21</v>
      </c>
      <c r="F4316" s="2">
        <f t="shared" si="134"/>
        <v>15060.863911836617</v>
      </c>
      <c r="G4316" s="3">
        <v>0</v>
      </c>
      <c r="H4316" s="4">
        <v>0.7</v>
      </c>
      <c r="I4316" s="28">
        <f t="shared" si="135"/>
        <v>25603.46865012225</v>
      </c>
    </row>
    <row r="4317" spans="1:9" ht="15" customHeight="1" x14ac:dyDescent="0.35">
      <c r="A4317" s="26" t="s">
        <v>8730</v>
      </c>
      <c r="B4317" s="25" t="s">
        <v>714</v>
      </c>
      <c r="C4317" s="6" t="s">
        <v>8747</v>
      </c>
      <c r="D4317" s="13">
        <v>65583.548423263084</v>
      </c>
      <c r="E4317" s="18">
        <v>21</v>
      </c>
      <c r="F4317" s="2">
        <f t="shared" si="134"/>
        <v>79356.093592148332</v>
      </c>
      <c r="G4317" s="3">
        <v>0</v>
      </c>
      <c r="H4317" s="4">
        <v>0.7</v>
      </c>
      <c r="I4317" s="28">
        <f t="shared" si="135"/>
        <v>134905.35910665215</v>
      </c>
    </row>
    <row r="4318" spans="1:9" ht="15" customHeight="1" x14ac:dyDescent="0.35">
      <c r="A4318" s="26" t="s">
        <v>4603</v>
      </c>
      <c r="B4318" s="25" t="s">
        <v>8743</v>
      </c>
      <c r="C4318" s="6" t="s">
        <v>750</v>
      </c>
      <c r="D4318" s="13">
        <v>23669.279201880003</v>
      </c>
      <c r="E4318" s="18">
        <v>21</v>
      </c>
      <c r="F4318" s="2">
        <f t="shared" si="134"/>
        <v>28639.827834274802</v>
      </c>
      <c r="G4318" s="3">
        <v>0</v>
      </c>
      <c r="H4318" s="4">
        <v>0.7</v>
      </c>
      <c r="I4318" s="28">
        <f t="shared" si="135"/>
        <v>48687.707318267159</v>
      </c>
    </row>
    <row r="4319" spans="1:9" ht="15" customHeight="1" x14ac:dyDescent="0.35">
      <c r="A4319" s="26" t="s">
        <v>10927</v>
      </c>
      <c r="B4319" s="25" t="s">
        <v>715</v>
      </c>
      <c r="C4319" s="6" t="s">
        <v>11933</v>
      </c>
      <c r="D4319" s="13">
        <v>17298.986250000002</v>
      </c>
      <c r="E4319" s="18">
        <v>21</v>
      </c>
      <c r="F4319" s="2">
        <f t="shared" si="134"/>
        <v>20931.773362500004</v>
      </c>
      <c r="G4319" s="3">
        <v>0</v>
      </c>
      <c r="H4319" s="4">
        <v>0.7</v>
      </c>
      <c r="I4319" s="28">
        <f t="shared" si="135"/>
        <v>35584.014716250007</v>
      </c>
    </row>
    <row r="4320" spans="1:9" ht="15" customHeight="1" x14ac:dyDescent="0.35">
      <c r="A4320" s="26" t="s">
        <v>13648</v>
      </c>
      <c r="B4320" s="25" t="s">
        <v>12072</v>
      </c>
      <c r="C4320" s="6" t="s">
        <v>13649</v>
      </c>
      <c r="D4320" s="13">
        <v>14416.510036839885</v>
      </c>
      <c r="E4320" s="18">
        <v>21</v>
      </c>
      <c r="F4320" s="2">
        <f t="shared" si="134"/>
        <v>17443.97714457626</v>
      </c>
      <c r="G4320" s="3">
        <v>0</v>
      </c>
      <c r="H4320" s="4">
        <v>0.7</v>
      </c>
      <c r="I4320" s="28">
        <f t="shared" si="135"/>
        <v>29654.761145779641</v>
      </c>
    </row>
    <row r="4321" spans="1:9" ht="15" customHeight="1" x14ac:dyDescent="0.35">
      <c r="A4321" s="26" t="s">
        <v>10928</v>
      </c>
      <c r="B4321" s="25" t="s">
        <v>716</v>
      </c>
      <c r="C4321" s="6" t="s">
        <v>10929</v>
      </c>
      <c r="D4321" s="13">
        <v>18402.72525</v>
      </c>
      <c r="E4321" s="18">
        <v>21</v>
      </c>
      <c r="F4321" s="2">
        <f t="shared" si="134"/>
        <v>22267.2975525</v>
      </c>
      <c r="G4321" s="3">
        <v>0</v>
      </c>
      <c r="H4321" s="4">
        <v>0.7</v>
      </c>
      <c r="I4321" s="28">
        <f t="shared" si="135"/>
        <v>37854.405839250001</v>
      </c>
    </row>
    <row r="4322" spans="1:9" ht="15" customHeight="1" x14ac:dyDescent="0.35">
      <c r="A4322" s="26" t="s">
        <v>9901</v>
      </c>
      <c r="B4322" s="25" t="s">
        <v>1309</v>
      </c>
      <c r="C4322" s="6" t="s">
        <v>9902</v>
      </c>
      <c r="D4322" s="13">
        <v>132718.52599199998</v>
      </c>
      <c r="E4322" s="18">
        <v>21</v>
      </c>
      <c r="F4322" s="2">
        <f t="shared" si="134"/>
        <v>160589.41645031999</v>
      </c>
      <c r="G4322" s="3">
        <v>0</v>
      </c>
      <c r="H4322" s="4">
        <v>0.7</v>
      </c>
      <c r="I4322" s="28">
        <f t="shared" si="135"/>
        <v>273002.00796554395</v>
      </c>
    </row>
    <row r="4323" spans="1:9" ht="15" customHeight="1" x14ac:dyDescent="0.35">
      <c r="A4323" s="26" t="s">
        <v>4605</v>
      </c>
      <c r="B4323" s="25" t="s">
        <v>717</v>
      </c>
      <c r="C4323" s="6" t="s">
        <v>751</v>
      </c>
      <c r="D4323" s="13">
        <v>12446.994968460014</v>
      </c>
      <c r="E4323" s="18">
        <v>21</v>
      </c>
      <c r="F4323" s="2">
        <f t="shared" si="134"/>
        <v>15060.863911836617</v>
      </c>
      <c r="G4323" s="3">
        <v>0</v>
      </c>
      <c r="H4323" s="4">
        <v>0.7</v>
      </c>
      <c r="I4323" s="28">
        <f t="shared" si="135"/>
        <v>25603.46865012225</v>
      </c>
    </row>
    <row r="4324" spans="1:9" ht="15" customHeight="1" x14ac:dyDescent="0.35">
      <c r="A4324" s="26" t="s">
        <v>5830</v>
      </c>
      <c r="B4324" s="25" t="s">
        <v>718</v>
      </c>
      <c r="C4324" s="6" t="s">
        <v>1330</v>
      </c>
      <c r="D4324" s="13">
        <v>65583.540186840008</v>
      </c>
      <c r="E4324" s="18">
        <v>21</v>
      </c>
      <c r="F4324" s="2">
        <f t="shared" si="134"/>
        <v>79356.083626076404</v>
      </c>
      <c r="G4324" s="3">
        <v>0</v>
      </c>
      <c r="H4324" s="4">
        <v>0.7</v>
      </c>
      <c r="I4324" s="28">
        <f t="shared" si="135"/>
        <v>134905.34216432989</v>
      </c>
    </row>
    <row r="4325" spans="1:9" ht="15" customHeight="1" x14ac:dyDescent="0.35">
      <c r="A4325" s="26" t="s">
        <v>10930</v>
      </c>
      <c r="B4325" s="25" t="s">
        <v>1310</v>
      </c>
      <c r="C4325" s="6" t="s">
        <v>11864</v>
      </c>
      <c r="D4325" s="13">
        <v>95229.327374999993</v>
      </c>
      <c r="E4325" s="18">
        <v>21</v>
      </c>
      <c r="F4325" s="2">
        <f t="shared" si="134"/>
        <v>115227.48612374999</v>
      </c>
      <c r="G4325" s="3">
        <v>0</v>
      </c>
      <c r="H4325" s="4">
        <v>0.7</v>
      </c>
      <c r="I4325" s="28">
        <f t="shared" si="135"/>
        <v>195886.72641037498</v>
      </c>
    </row>
    <row r="4326" spans="1:9" ht="15" customHeight="1" x14ac:dyDescent="0.35">
      <c r="A4326" s="26" t="s">
        <v>4611</v>
      </c>
      <c r="B4326" s="25" t="s">
        <v>719</v>
      </c>
      <c r="C4326" s="6" t="s">
        <v>9151</v>
      </c>
      <c r="D4326" s="13">
        <v>362772.276984</v>
      </c>
      <c r="E4326" s="18">
        <v>21</v>
      </c>
      <c r="F4326" s="2">
        <f t="shared" si="134"/>
        <v>438954.45515063999</v>
      </c>
      <c r="G4326" s="3">
        <v>0</v>
      </c>
      <c r="H4326" s="4">
        <v>0.7</v>
      </c>
      <c r="I4326" s="28">
        <f t="shared" si="135"/>
        <v>746222.57375608792</v>
      </c>
    </row>
    <row r="4327" spans="1:9" ht="15" customHeight="1" x14ac:dyDescent="0.35">
      <c r="A4327" s="26" t="s">
        <v>4607</v>
      </c>
      <c r="B4327" s="25" t="s">
        <v>720</v>
      </c>
      <c r="C4327" s="6" t="s">
        <v>752</v>
      </c>
      <c r="D4327" s="13">
        <v>85315.998878369996</v>
      </c>
      <c r="E4327" s="18">
        <v>21</v>
      </c>
      <c r="F4327" s="2">
        <f t="shared" si="134"/>
        <v>103232.35864282769</v>
      </c>
      <c r="G4327" s="3">
        <v>0</v>
      </c>
      <c r="H4327" s="4">
        <v>0.7</v>
      </c>
      <c r="I4327" s="28">
        <f t="shared" si="135"/>
        <v>175495.00969280707</v>
      </c>
    </row>
    <row r="4328" spans="1:9" ht="15" customHeight="1" x14ac:dyDescent="0.35">
      <c r="A4328" s="26" t="s">
        <v>13912</v>
      </c>
      <c r="B4328" s="25" t="s">
        <v>721</v>
      </c>
      <c r="C4328" s="6" t="s">
        <v>13946</v>
      </c>
      <c r="D4328" s="13">
        <v>31632.084463200001</v>
      </c>
      <c r="E4328" s="18">
        <v>21</v>
      </c>
      <c r="F4328" s="2">
        <f t="shared" si="134"/>
        <v>38274.822200472001</v>
      </c>
      <c r="G4328" s="3">
        <v>0</v>
      </c>
      <c r="H4328" s="4">
        <v>0.7</v>
      </c>
      <c r="I4328" s="28">
        <f t="shared" si="135"/>
        <v>65067.197740802403</v>
      </c>
    </row>
    <row r="4329" spans="1:9" ht="15" customHeight="1" x14ac:dyDescent="0.35">
      <c r="A4329" s="26" t="s">
        <v>13913</v>
      </c>
      <c r="B4329" s="25" t="s">
        <v>722</v>
      </c>
      <c r="C4329" s="6" t="s">
        <v>13947</v>
      </c>
      <c r="D4329" s="13">
        <v>31632.085576000001</v>
      </c>
      <c r="E4329" s="18">
        <v>21</v>
      </c>
      <c r="F4329" s="2">
        <f t="shared" si="134"/>
        <v>38274.823546960004</v>
      </c>
      <c r="G4329" s="3">
        <v>0</v>
      </c>
      <c r="H4329" s="4">
        <v>0.7</v>
      </c>
      <c r="I4329" s="28">
        <f t="shared" si="135"/>
        <v>65067.200029832005</v>
      </c>
    </row>
    <row r="4330" spans="1:9" ht="15" customHeight="1" x14ac:dyDescent="0.35">
      <c r="A4330" s="26" t="s">
        <v>13914</v>
      </c>
      <c r="B4330" s="25" t="s">
        <v>1311</v>
      </c>
      <c r="C4330" s="6" t="s">
        <v>13948</v>
      </c>
      <c r="D4330" s="13">
        <v>31632.085576000001</v>
      </c>
      <c r="E4330" s="18">
        <v>21</v>
      </c>
      <c r="F4330" s="2">
        <f t="shared" si="134"/>
        <v>38274.823546960004</v>
      </c>
      <c r="G4330" s="3">
        <v>0</v>
      </c>
      <c r="H4330" s="4">
        <v>0.7</v>
      </c>
      <c r="I4330" s="28">
        <f t="shared" si="135"/>
        <v>65067.200029832005</v>
      </c>
    </row>
    <row r="4331" spans="1:9" ht="15" customHeight="1" x14ac:dyDescent="0.35">
      <c r="A4331" s="26" t="s">
        <v>13915</v>
      </c>
      <c r="B4331" s="25" t="s">
        <v>11668</v>
      </c>
      <c r="C4331" s="6" t="s">
        <v>13949</v>
      </c>
      <c r="D4331" s="13">
        <v>31632.085576000001</v>
      </c>
      <c r="E4331" s="18">
        <v>21</v>
      </c>
      <c r="F4331" s="2">
        <f t="shared" si="134"/>
        <v>38274.823546960004</v>
      </c>
      <c r="G4331" s="3">
        <v>0</v>
      </c>
      <c r="H4331" s="4">
        <v>0.7</v>
      </c>
      <c r="I4331" s="28">
        <f t="shared" si="135"/>
        <v>65067.200029832005</v>
      </c>
    </row>
    <row r="4332" spans="1:9" ht="15" customHeight="1" x14ac:dyDescent="0.35">
      <c r="A4332" s="26" t="s">
        <v>13916</v>
      </c>
      <c r="B4332" s="25" t="s">
        <v>1312</v>
      </c>
      <c r="C4332" s="6" t="s">
        <v>13950</v>
      </c>
      <c r="D4332" s="13">
        <v>39688.768704000002</v>
      </c>
      <c r="E4332" s="18">
        <v>21</v>
      </c>
      <c r="F4332" s="2">
        <f t="shared" si="134"/>
        <v>48023.410131840006</v>
      </c>
      <c r="G4332" s="3">
        <v>0</v>
      </c>
      <c r="H4332" s="4">
        <v>0.7</v>
      </c>
      <c r="I4332" s="28">
        <f t="shared" si="135"/>
        <v>81639.797224128008</v>
      </c>
    </row>
    <row r="4333" spans="1:9" ht="15" customHeight="1" x14ac:dyDescent="0.35">
      <c r="A4333" s="26" t="s">
        <v>13917</v>
      </c>
      <c r="B4333" s="25" t="s">
        <v>723</v>
      </c>
      <c r="C4333" s="6" t="s">
        <v>13951</v>
      </c>
      <c r="D4333" s="13">
        <v>39688.768704000002</v>
      </c>
      <c r="E4333" s="18">
        <v>21</v>
      </c>
      <c r="F4333" s="2">
        <f t="shared" si="134"/>
        <v>48023.410131840006</v>
      </c>
      <c r="G4333" s="3">
        <v>0</v>
      </c>
      <c r="H4333" s="4">
        <v>0.7</v>
      </c>
      <c r="I4333" s="28">
        <f t="shared" si="135"/>
        <v>81639.797224128008</v>
      </c>
    </row>
    <row r="4334" spans="1:9" ht="15" customHeight="1" x14ac:dyDescent="0.35">
      <c r="A4334" s="26" t="s">
        <v>13918</v>
      </c>
      <c r="B4334" s="25" t="s">
        <v>9037</v>
      </c>
      <c r="C4334" s="6" t="s">
        <v>13952</v>
      </c>
      <c r="D4334" s="13">
        <v>66717.033760000006</v>
      </c>
      <c r="E4334" s="18">
        <v>21</v>
      </c>
      <c r="F4334" s="2">
        <f t="shared" si="134"/>
        <v>80727.610849600009</v>
      </c>
      <c r="G4334" s="3">
        <v>0</v>
      </c>
      <c r="H4334" s="4">
        <v>0.7</v>
      </c>
      <c r="I4334" s="28">
        <f t="shared" si="135"/>
        <v>137236.93844432003</v>
      </c>
    </row>
    <row r="4335" spans="1:9" ht="15" customHeight="1" x14ac:dyDescent="0.35">
      <c r="A4335" s="26" t="s">
        <v>13919</v>
      </c>
      <c r="B4335" s="25" t="s">
        <v>724</v>
      </c>
      <c r="C4335" s="6" t="s">
        <v>13953</v>
      </c>
      <c r="D4335" s="13">
        <v>66717.033760000006</v>
      </c>
      <c r="E4335" s="18">
        <v>21</v>
      </c>
      <c r="F4335" s="2">
        <f t="shared" si="134"/>
        <v>80727.610849600009</v>
      </c>
      <c r="G4335" s="3">
        <v>0</v>
      </c>
      <c r="H4335" s="4">
        <v>0.7</v>
      </c>
      <c r="I4335" s="28">
        <f t="shared" si="135"/>
        <v>137236.93844432003</v>
      </c>
    </row>
    <row r="4336" spans="1:9" ht="15" customHeight="1" x14ac:dyDescent="0.35">
      <c r="A4336" s="26" t="s">
        <v>12029</v>
      </c>
      <c r="B4336" s="25" t="s">
        <v>725</v>
      </c>
      <c r="C4336" s="6" t="s">
        <v>12030</v>
      </c>
      <c r="D4336" s="13">
        <v>37867.295933999994</v>
      </c>
      <c r="E4336" s="18">
        <v>21</v>
      </c>
      <c r="F4336" s="2">
        <f t="shared" si="134"/>
        <v>45819.428080139995</v>
      </c>
      <c r="G4336" s="3">
        <v>0</v>
      </c>
      <c r="H4336" s="4">
        <v>0.7</v>
      </c>
      <c r="I4336" s="28">
        <f t="shared" si="135"/>
        <v>77893.027736237986</v>
      </c>
    </row>
    <row r="4337" spans="1:9" ht="15" customHeight="1" x14ac:dyDescent="0.35">
      <c r="A4337" s="26" t="s">
        <v>9543</v>
      </c>
      <c r="B4337" s="25" t="s">
        <v>11861</v>
      </c>
      <c r="C4337" s="6" t="s">
        <v>10626</v>
      </c>
      <c r="D4337" s="13">
        <v>68819.897484000001</v>
      </c>
      <c r="E4337" s="18">
        <v>21</v>
      </c>
      <c r="F4337" s="2">
        <f t="shared" si="134"/>
        <v>83272.075955640001</v>
      </c>
      <c r="G4337" s="3">
        <v>0</v>
      </c>
      <c r="H4337" s="4">
        <v>0.7</v>
      </c>
      <c r="I4337" s="28">
        <f t="shared" si="135"/>
        <v>141562.52912458801</v>
      </c>
    </row>
    <row r="4338" spans="1:9" ht="15" customHeight="1" x14ac:dyDescent="0.35">
      <c r="A4338" s="26" t="s">
        <v>12031</v>
      </c>
      <c r="B4338" s="25" t="s">
        <v>726</v>
      </c>
      <c r="C4338" s="6" t="s">
        <v>12032</v>
      </c>
      <c r="D4338" s="13">
        <v>92359.448298000003</v>
      </c>
      <c r="E4338" s="18">
        <v>21</v>
      </c>
      <c r="F4338" s="2">
        <f t="shared" si="134"/>
        <v>111754.93244058</v>
      </c>
      <c r="G4338" s="3">
        <v>0</v>
      </c>
      <c r="H4338" s="4">
        <v>0.7</v>
      </c>
      <c r="I4338" s="28">
        <f t="shared" si="135"/>
        <v>189983.38514898598</v>
      </c>
    </row>
    <row r="4339" spans="1:9" ht="15" customHeight="1" x14ac:dyDescent="0.35">
      <c r="A4339" s="26" t="s">
        <v>9585</v>
      </c>
      <c r="B4339" s="25" t="s">
        <v>9002</v>
      </c>
      <c r="C4339" s="6" t="s">
        <v>9586</v>
      </c>
      <c r="D4339" s="13">
        <v>92359.448298000003</v>
      </c>
      <c r="E4339" s="18">
        <v>21</v>
      </c>
      <c r="F4339" s="2">
        <f t="shared" si="134"/>
        <v>111754.93244058</v>
      </c>
      <c r="G4339" s="3">
        <v>0</v>
      </c>
      <c r="H4339" s="4">
        <v>0.7</v>
      </c>
      <c r="I4339" s="28">
        <f t="shared" si="135"/>
        <v>189983.38514898598</v>
      </c>
    </row>
    <row r="4340" spans="1:9" ht="15" customHeight="1" x14ac:dyDescent="0.35">
      <c r="A4340" s="26" t="s">
        <v>12033</v>
      </c>
      <c r="B4340" s="25" t="s">
        <v>10909</v>
      </c>
      <c r="C4340" s="6" t="s">
        <v>12034</v>
      </c>
      <c r="D4340" s="13">
        <v>106492.522968</v>
      </c>
      <c r="E4340" s="18">
        <v>21</v>
      </c>
      <c r="F4340" s="2">
        <f t="shared" si="134"/>
        <v>128855.95279128</v>
      </c>
      <c r="G4340" s="3">
        <v>0</v>
      </c>
      <c r="H4340" s="4">
        <v>0.7</v>
      </c>
      <c r="I4340" s="28">
        <f t="shared" si="135"/>
        <v>219055.11974517599</v>
      </c>
    </row>
    <row r="4341" spans="1:9" ht="15" customHeight="1" x14ac:dyDescent="0.35">
      <c r="A4341" s="26" t="s">
        <v>13118</v>
      </c>
      <c r="B4341" s="25" t="s">
        <v>727</v>
      </c>
      <c r="C4341" s="6" t="s">
        <v>13541</v>
      </c>
      <c r="D4341" s="13">
        <v>27933.087</v>
      </c>
      <c r="E4341" s="18">
        <v>21</v>
      </c>
      <c r="F4341" s="2">
        <f t="shared" si="134"/>
        <v>33799.03527</v>
      </c>
      <c r="G4341" s="3">
        <v>0</v>
      </c>
      <c r="H4341" s="4">
        <v>0.7</v>
      </c>
      <c r="I4341" s="28">
        <f t="shared" si="135"/>
        <v>57458.359959000001</v>
      </c>
    </row>
    <row r="4342" spans="1:9" ht="15" customHeight="1" x14ac:dyDescent="0.35">
      <c r="A4342" s="26" t="s">
        <v>13120</v>
      </c>
      <c r="B4342" s="25" t="s">
        <v>1313</v>
      </c>
      <c r="C4342" s="6" t="s">
        <v>13542</v>
      </c>
      <c r="D4342" s="13">
        <v>54677.531999999999</v>
      </c>
      <c r="E4342" s="18">
        <v>21</v>
      </c>
      <c r="F4342" s="2">
        <f t="shared" si="134"/>
        <v>66159.813720000006</v>
      </c>
      <c r="G4342" s="3">
        <v>0</v>
      </c>
      <c r="H4342" s="4">
        <v>0.7</v>
      </c>
      <c r="I4342" s="28">
        <f t="shared" si="135"/>
        <v>112471.68332400001</v>
      </c>
    </row>
    <row r="4343" spans="1:9" ht="15" customHeight="1" x14ac:dyDescent="0.35">
      <c r="A4343" s="26" t="s">
        <v>13178</v>
      </c>
      <c r="B4343" s="25" t="s">
        <v>728</v>
      </c>
      <c r="C4343" s="6" t="s">
        <v>13543</v>
      </c>
      <c r="D4343" s="13">
        <v>54677.531999999999</v>
      </c>
      <c r="E4343" s="18">
        <v>21</v>
      </c>
      <c r="F4343" s="2">
        <f t="shared" si="134"/>
        <v>66159.813720000006</v>
      </c>
      <c r="G4343" s="3">
        <v>0</v>
      </c>
      <c r="H4343" s="4">
        <v>0.7</v>
      </c>
      <c r="I4343" s="28">
        <f t="shared" si="135"/>
        <v>112471.68332400001</v>
      </c>
    </row>
    <row r="4344" spans="1:9" ht="15" customHeight="1" x14ac:dyDescent="0.35">
      <c r="A4344" s="26" t="s">
        <v>13180</v>
      </c>
      <c r="B4344" s="25" t="s">
        <v>11433</v>
      </c>
      <c r="C4344" s="6" t="s">
        <v>13544</v>
      </c>
      <c r="D4344" s="13">
        <v>54677.531999999999</v>
      </c>
      <c r="E4344" s="18">
        <v>21</v>
      </c>
      <c r="F4344" s="2">
        <f t="shared" si="134"/>
        <v>66159.813720000006</v>
      </c>
      <c r="G4344" s="3">
        <v>0</v>
      </c>
      <c r="H4344" s="4">
        <v>0.7</v>
      </c>
      <c r="I4344" s="28">
        <f t="shared" si="135"/>
        <v>112471.68332400001</v>
      </c>
    </row>
    <row r="4345" spans="1:9" ht="15" customHeight="1" x14ac:dyDescent="0.35">
      <c r="A4345" s="26" t="s">
        <v>4517</v>
      </c>
      <c r="B4345" s="25" t="s">
        <v>729</v>
      </c>
      <c r="C4345" s="6" t="s">
        <v>13538</v>
      </c>
      <c r="D4345" s="13">
        <v>11288.056889459986</v>
      </c>
      <c r="E4345" s="18">
        <v>21</v>
      </c>
      <c r="F4345" s="2">
        <f t="shared" si="134"/>
        <v>13658.548836246582</v>
      </c>
      <c r="G4345" s="3">
        <v>0</v>
      </c>
      <c r="H4345" s="4">
        <v>0.7</v>
      </c>
      <c r="I4345" s="28">
        <f t="shared" si="135"/>
        <v>23219.533021619191</v>
      </c>
    </row>
    <row r="4346" spans="1:9" ht="15" customHeight="1" x14ac:dyDescent="0.35">
      <c r="A4346" s="26" t="s">
        <v>11968</v>
      </c>
      <c r="B4346" s="25" t="s">
        <v>9542</v>
      </c>
      <c r="C4346" s="6" t="s">
        <v>13539</v>
      </c>
      <c r="D4346" s="13">
        <v>94983.605964000002</v>
      </c>
      <c r="E4346" s="18">
        <v>21</v>
      </c>
      <c r="F4346" s="2">
        <f t="shared" si="134"/>
        <v>114930.16321644001</v>
      </c>
      <c r="G4346" s="3">
        <v>0</v>
      </c>
      <c r="H4346" s="4">
        <v>0.7</v>
      </c>
      <c r="I4346" s="28">
        <f t="shared" si="135"/>
        <v>195381.27746794801</v>
      </c>
    </row>
    <row r="4347" spans="1:9" ht="15" customHeight="1" x14ac:dyDescent="0.35">
      <c r="A4347" s="26" t="s">
        <v>11969</v>
      </c>
      <c r="B4347" s="25" t="s">
        <v>730</v>
      </c>
      <c r="C4347" s="6" t="s">
        <v>13540</v>
      </c>
      <c r="D4347" s="13">
        <v>94983.605964000002</v>
      </c>
      <c r="E4347" s="18">
        <v>21</v>
      </c>
      <c r="F4347" s="2">
        <f t="shared" si="134"/>
        <v>114930.16321644001</v>
      </c>
      <c r="G4347" s="3">
        <v>0</v>
      </c>
      <c r="H4347" s="4">
        <v>0.7</v>
      </c>
      <c r="I4347" s="28">
        <f t="shared" si="135"/>
        <v>195381.27746794801</v>
      </c>
    </row>
    <row r="4348" spans="1:9" ht="15" customHeight="1" x14ac:dyDescent="0.35">
      <c r="A4348" s="26" t="s">
        <v>12310</v>
      </c>
      <c r="B4348" s="25" t="s">
        <v>12577</v>
      </c>
      <c r="C4348" s="6" t="s">
        <v>12311</v>
      </c>
      <c r="D4348" s="13">
        <v>26671.225352915</v>
      </c>
      <c r="E4348" s="18">
        <v>21</v>
      </c>
      <c r="F4348" s="2">
        <f t="shared" si="134"/>
        <v>32272.182677027151</v>
      </c>
      <c r="G4348" s="3">
        <v>0</v>
      </c>
      <c r="H4348" s="4">
        <v>0.7</v>
      </c>
      <c r="I4348" s="28">
        <f t="shared" si="135"/>
        <v>54862.710550946154</v>
      </c>
    </row>
    <row r="4349" spans="1:9" ht="15" customHeight="1" x14ac:dyDescent="0.35">
      <c r="A4349" s="26" t="s">
        <v>8733</v>
      </c>
      <c r="B4349" s="25" t="s">
        <v>1314</v>
      </c>
      <c r="C4349" s="6" t="s">
        <v>8748</v>
      </c>
      <c r="D4349" s="13">
        <v>1711.1394846000001</v>
      </c>
      <c r="E4349" s="18">
        <v>21</v>
      </c>
      <c r="F4349" s="2">
        <f t="shared" si="134"/>
        <v>2070.4787763660001</v>
      </c>
      <c r="G4349" s="3">
        <v>0</v>
      </c>
      <c r="H4349" s="4">
        <v>0.7</v>
      </c>
      <c r="I4349" s="28">
        <f t="shared" si="135"/>
        <v>3519.8139198222002</v>
      </c>
    </row>
    <row r="4350" spans="1:9" ht="15" customHeight="1" x14ac:dyDescent="0.35">
      <c r="A4350" s="26" t="s">
        <v>1718</v>
      </c>
      <c r="B4350" s="25" t="s">
        <v>1315</v>
      </c>
      <c r="C4350" s="6" t="s">
        <v>1331</v>
      </c>
      <c r="D4350" s="13">
        <v>2161.4387339999998</v>
      </c>
      <c r="E4350" s="18">
        <v>21</v>
      </c>
      <c r="F4350" s="2">
        <f t="shared" si="134"/>
        <v>2615.3408681399997</v>
      </c>
      <c r="G4350" s="3">
        <v>0</v>
      </c>
      <c r="H4350" s="4">
        <v>0.7</v>
      </c>
      <c r="I4350" s="28">
        <f t="shared" si="135"/>
        <v>4446.0794758379989</v>
      </c>
    </row>
    <row r="4351" spans="1:9" ht="15" customHeight="1" x14ac:dyDescent="0.35">
      <c r="A4351" s="26" t="s">
        <v>1719</v>
      </c>
      <c r="B4351" s="25" t="s">
        <v>731</v>
      </c>
      <c r="C4351" s="6" t="s">
        <v>1332</v>
      </c>
      <c r="D4351" s="13">
        <v>3152.0947458000001</v>
      </c>
      <c r="E4351" s="18">
        <v>21</v>
      </c>
      <c r="F4351" s="2">
        <f t="shared" si="134"/>
        <v>3814.0346424180002</v>
      </c>
      <c r="G4351" s="3">
        <v>0</v>
      </c>
      <c r="H4351" s="4">
        <v>0.7</v>
      </c>
      <c r="I4351" s="28">
        <f t="shared" si="135"/>
        <v>6483.8588921106002</v>
      </c>
    </row>
    <row r="4352" spans="1:9" ht="15" customHeight="1" x14ac:dyDescent="0.35">
      <c r="A4352" s="26" t="s">
        <v>1720</v>
      </c>
      <c r="B4352" s="25" t="s">
        <v>11930</v>
      </c>
      <c r="C4352" s="6" t="s">
        <v>1028</v>
      </c>
      <c r="D4352" s="13">
        <v>3872.5723763999999</v>
      </c>
      <c r="E4352" s="18">
        <v>21</v>
      </c>
      <c r="F4352" s="2">
        <f t="shared" si="134"/>
        <v>4685.8125754439998</v>
      </c>
      <c r="G4352" s="3">
        <v>0</v>
      </c>
      <c r="H4352" s="4">
        <v>0.7</v>
      </c>
      <c r="I4352" s="28">
        <f t="shared" si="135"/>
        <v>7965.8813782547995</v>
      </c>
    </row>
    <row r="4353" spans="1:9" ht="15" customHeight="1" x14ac:dyDescent="0.35">
      <c r="A4353" s="26" t="s">
        <v>1721</v>
      </c>
      <c r="B4353" s="25" t="s">
        <v>1316</v>
      </c>
      <c r="C4353" s="6" t="s">
        <v>1029</v>
      </c>
      <c r="D4353" s="13">
        <v>5313.5334798000004</v>
      </c>
      <c r="E4353" s="18">
        <v>21</v>
      </c>
      <c r="F4353" s="2">
        <f t="shared" si="134"/>
        <v>6429.3755105580003</v>
      </c>
      <c r="G4353" s="3">
        <v>0</v>
      </c>
      <c r="H4353" s="4">
        <v>0.7</v>
      </c>
      <c r="I4353" s="28">
        <f t="shared" si="135"/>
        <v>10929.9383679486</v>
      </c>
    </row>
    <row r="4354" spans="1:9" ht="15" customHeight="1" x14ac:dyDescent="0.35">
      <c r="A4354" s="26" t="s">
        <v>1722</v>
      </c>
      <c r="B4354" s="25" t="s">
        <v>1317</v>
      </c>
      <c r="C4354" s="6" t="s">
        <v>1030</v>
      </c>
      <c r="D4354" s="13">
        <v>7294.8513456000001</v>
      </c>
      <c r="E4354" s="18">
        <v>21</v>
      </c>
      <c r="F4354" s="2">
        <f t="shared" si="134"/>
        <v>8826.7701281760001</v>
      </c>
      <c r="G4354" s="3">
        <v>0</v>
      </c>
      <c r="H4354" s="4">
        <v>0.7</v>
      </c>
      <c r="I4354" s="28">
        <f t="shared" si="135"/>
        <v>15005.5092178992</v>
      </c>
    </row>
    <row r="4355" spans="1:9" ht="15" customHeight="1" x14ac:dyDescent="0.35">
      <c r="A4355" s="26" t="s">
        <v>1672</v>
      </c>
      <c r="B4355" s="25" t="s">
        <v>732</v>
      </c>
      <c r="C4355" s="6" t="s">
        <v>8869</v>
      </c>
      <c r="D4355" s="13">
        <v>337.96848799999998</v>
      </c>
      <c r="E4355" s="18">
        <v>21</v>
      </c>
      <c r="F4355" s="2">
        <f t="shared" si="134"/>
        <v>408.94187047999998</v>
      </c>
      <c r="G4355" s="3">
        <v>0</v>
      </c>
      <c r="H4355" s="4">
        <v>0.7</v>
      </c>
      <c r="I4355" s="28">
        <f t="shared" si="135"/>
        <v>695.20117981599992</v>
      </c>
    </row>
    <row r="4356" spans="1:9" ht="15" customHeight="1" x14ac:dyDescent="0.35">
      <c r="A4356" s="26" t="s">
        <v>1671</v>
      </c>
      <c r="B4356" s="25" t="s">
        <v>10913</v>
      </c>
      <c r="C4356" s="6" t="s">
        <v>8870</v>
      </c>
      <c r="D4356" s="13">
        <v>345.74751639999999</v>
      </c>
      <c r="E4356" s="18">
        <v>21</v>
      </c>
      <c r="F4356" s="2">
        <f t="shared" si="134"/>
        <v>418.35449484399999</v>
      </c>
      <c r="G4356" s="3">
        <v>0</v>
      </c>
      <c r="H4356" s="4">
        <v>0.7</v>
      </c>
      <c r="I4356" s="28">
        <f t="shared" si="135"/>
        <v>711.20264123480001</v>
      </c>
    </row>
    <row r="4357" spans="1:9" ht="15" customHeight="1" x14ac:dyDescent="0.35">
      <c r="A4357" s="26" t="s">
        <v>1680</v>
      </c>
      <c r="B4357" s="25" t="s">
        <v>9314</v>
      </c>
      <c r="C4357" s="6" t="s">
        <v>8871</v>
      </c>
      <c r="D4357" s="13">
        <v>359.64694480000003</v>
      </c>
      <c r="E4357" s="18">
        <v>21</v>
      </c>
      <c r="F4357" s="2">
        <f t="shared" si="134"/>
        <v>435.172803208</v>
      </c>
      <c r="G4357" s="3">
        <v>0</v>
      </c>
      <c r="H4357" s="4">
        <v>0.7</v>
      </c>
      <c r="I4357" s="28">
        <f t="shared" si="135"/>
        <v>739.79376545360003</v>
      </c>
    </row>
    <row r="4358" spans="1:9" ht="15" customHeight="1" x14ac:dyDescent="0.35">
      <c r="A4358" s="26" t="s">
        <v>1677</v>
      </c>
      <c r="B4358" s="25" t="s">
        <v>9004</v>
      </c>
      <c r="C4358" s="6" t="s">
        <v>8872</v>
      </c>
      <c r="D4358" s="13">
        <v>349.63397040000001</v>
      </c>
      <c r="E4358" s="18">
        <v>21</v>
      </c>
      <c r="F4358" s="2">
        <f t="shared" ref="F4358:F4421" si="136">D4358*E4358/100+D4358</f>
        <v>423.05710418400002</v>
      </c>
      <c r="G4358" s="3">
        <v>0</v>
      </c>
      <c r="H4358" s="4">
        <v>0.7</v>
      </c>
      <c r="I4358" s="28">
        <f t="shared" ref="I4358:I4421" si="137">IF(G4358=-1,0,F4358*((100-G4358)/100)*(1+H4358))</f>
        <v>719.1970771128</v>
      </c>
    </row>
    <row r="4359" spans="1:9" ht="15" customHeight="1" x14ac:dyDescent="0.35">
      <c r="A4359" s="26" t="s">
        <v>1679</v>
      </c>
      <c r="B4359" s="25" t="s">
        <v>733</v>
      </c>
      <c r="C4359" s="6" t="s">
        <v>8873</v>
      </c>
      <c r="D4359" s="13">
        <v>488.1753448</v>
      </c>
      <c r="E4359" s="18">
        <v>21</v>
      </c>
      <c r="F4359" s="2">
        <f t="shared" si="136"/>
        <v>590.692167208</v>
      </c>
      <c r="G4359" s="3">
        <v>0</v>
      </c>
      <c r="H4359" s="4">
        <v>0.7</v>
      </c>
      <c r="I4359" s="28">
        <f t="shared" si="137"/>
        <v>1004.1766842536</v>
      </c>
    </row>
    <row r="4360" spans="1:9" ht="15" customHeight="1" x14ac:dyDescent="0.35">
      <c r="A4360" s="26" t="s">
        <v>1685</v>
      </c>
      <c r="B4360" s="25" t="s">
        <v>11932</v>
      </c>
      <c r="C4360" s="6" t="s">
        <v>8874</v>
      </c>
      <c r="D4360" s="13">
        <v>494.44263439999997</v>
      </c>
      <c r="E4360" s="18">
        <v>21</v>
      </c>
      <c r="F4360" s="2">
        <f t="shared" si="136"/>
        <v>598.27558762399997</v>
      </c>
      <c r="G4360" s="3">
        <v>0</v>
      </c>
      <c r="H4360" s="4">
        <v>0.7</v>
      </c>
      <c r="I4360" s="28">
        <f t="shared" si="137"/>
        <v>1017.0684989608</v>
      </c>
    </row>
    <row r="4361" spans="1:9" ht="15" customHeight="1" x14ac:dyDescent="0.35">
      <c r="A4361" s="26" t="s">
        <v>10870</v>
      </c>
      <c r="B4361" s="25" t="s">
        <v>12579</v>
      </c>
      <c r="C4361" s="6" t="s">
        <v>11297</v>
      </c>
      <c r="D4361" s="13">
        <v>300.37699120000002</v>
      </c>
      <c r="E4361" s="18">
        <v>21</v>
      </c>
      <c r="F4361" s="2">
        <f t="shared" si="136"/>
        <v>363.45615935200004</v>
      </c>
      <c r="G4361" s="3">
        <v>0</v>
      </c>
      <c r="H4361" s="4">
        <v>0.7</v>
      </c>
      <c r="I4361" s="28">
        <f t="shared" si="137"/>
        <v>617.87547089840007</v>
      </c>
    </row>
    <row r="4362" spans="1:9" ht="15" customHeight="1" x14ac:dyDescent="0.35">
      <c r="A4362" s="26" t="s">
        <v>1681</v>
      </c>
      <c r="B4362" s="25" t="s">
        <v>9338</v>
      </c>
      <c r="C4362" s="6" t="s">
        <v>8875</v>
      </c>
      <c r="D4362" s="13">
        <v>939.64053039999999</v>
      </c>
      <c r="E4362" s="18">
        <v>21</v>
      </c>
      <c r="F4362" s="2">
        <f t="shared" si="136"/>
        <v>1136.9650417840001</v>
      </c>
      <c r="G4362" s="3">
        <v>0</v>
      </c>
      <c r="H4362" s="4">
        <v>0.7</v>
      </c>
      <c r="I4362" s="28">
        <f t="shared" si="137"/>
        <v>1932.8405710328</v>
      </c>
    </row>
    <row r="4363" spans="1:9" ht="15" customHeight="1" x14ac:dyDescent="0.35">
      <c r="A4363" s="26" t="s">
        <v>1668</v>
      </c>
      <c r="B4363" s="25" t="s">
        <v>1318</v>
      </c>
      <c r="C4363" s="6" t="s">
        <v>8876</v>
      </c>
      <c r="D4363" s="13">
        <v>950.6878524</v>
      </c>
      <c r="E4363" s="18">
        <v>21</v>
      </c>
      <c r="F4363" s="2">
        <f t="shared" si="136"/>
        <v>1150.332301404</v>
      </c>
      <c r="G4363" s="3">
        <v>0</v>
      </c>
      <c r="H4363" s="4">
        <v>0.7</v>
      </c>
      <c r="I4363" s="28">
        <f t="shared" si="137"/>
        <v>1955.5649123868</v>
      </c>
    </row>
    <row r="4364" spans="1:9" ht="15" customHeight="1" x14ac:dyDescent="0.35">
      <c r="A4364" s="26" t="s">
        <v>1669</v>
      </c>
      <c r="B4364" s="25" t="s">
        <v>1319</v>
      </c>
      <c r="C4364" s="6" t="s">
        <v>8877</v>
      </c>
      <c r="D4364" s="13">
        <v>7718.8342659999998</v>
      </c>
      <c r="E4364" s="18">
        <v>21</v>
      </c>
      <c r="F4364" s="2">
        <f t="shared" si="136"/>
        <v>9339.7894618600003</v>
      </c>
      <c r="G4364" s="3">
        <v>0</v>
      </c>
      <c r="H4364" s="4">
        <v>0.7</v>
      </c>
      <c r="I4364" s="28">
        <f t="shared" si="137"/>
        <v>15877.642085162001</v>
      </c>
    </row>
    <row r="4365" spans="1:9" ht="15" customHeight="1" x14ac:dyDescent="0.35">
      <c r="A4365" s="26" t="s">
        <v>9667</v>
      </c>
      <c r="B4365" s="25" t="s">
        <v>734</v>
      </c>
      <c r="C4365" s="6" t="s">
        <v>9668</v>
      </c>
      <c r="D4365" s="13">
        <v>10751.688318799999</v>
      </c>
      <c r="E4365" s="18">
        <v>21</v>
      </c>
      <c r="F4365" s="2">
        <f t="shared" si="136"/>
        <v>13009.542865747999</v>
      </c>
      <c r="G4365" s="3">
        <v>0</v>
      </c>
      <c r="H4365" s="4">
        <v>0.7</v>
      </c>
      <c r="I4365" s="28">
        <f t="shared" si="137"/>
        <v>22116.222871771599</v>
      </c>
    </row>
    <row r="4366" spans="1:9" ht="15" customHeight="1" x14ac:dyDescent="0.35">
      <c r="A4366" s="26" t="s">
        <v>1682</v>
      </c>
      <c r="B4366" s="25" t="s">
        <v>735</v>
      </c>
      <c r="C4366" s="6" t="s">
        <v>8878</v>
      </c>
      <c r="D4366" s="13">
        <v>1256.8241399999999</v>
      </c>
      <c r="E4366" s="18">
        <v>21</v>
      </c>
      <c r="F4366" s="2">
        <f t="shared" si="136"/>
        <v>1520.7572094</v>
      </c>
      <c r="G4366" s="3">
        <v>0</v>
      </c>
      <c r="H4366" s="4">
        <v>0.7</v>
      </c>
      <c r="I4366" s="28">
        <f t="shared" si="137"/>
        <v>2585.2872559799998</v>
      </c>
    </row>
    <row r="4367" spans="1:9" ht="15" customHeight="1" x14ac:dyDescent="0.35">
      <c r="A4367" s="26" t="s">
        <v>1670</v>
      </c>
      <c r="B4367" s="25" t="s">
        <v>736</v>
      </c>
      <c r="C4367" s="6" t="s">
        <v>8879</v>
      </c>
      <c r="D4367" s="13">
        <v>1182.0756948000001</v>
      </c>
      <c r="E4367" s="18">
        <v>21</v>
      </c>
      <c r="F4367" s="2">
        <f t="shared" si="136"/>
        <v>1430.311590708</v>
      </c>
      <c r="G4367" s="3">
        <v>0</v>
      </c>
      <c r="H4367" s="4">
        <v>0.7</v>
      </c>
      <c r="I4367" s="28">
        <f t="shared" si="137"/>
        <v>2431.5297042036</v>
      </c>
    </row>
    <row r="4368" spans="1:9" ht="15" customHeight="1" x14ac:dyDescent="0.35">
      <c r="A4368" s="26" t="s">
        <v>1675</v>
      </c>
      <c r="B4368" s="25" t="s">
        <v>1320</v>
      </c>
      <c r="C4368" s="6" t="s">
        <v>11447</v>
      </c>
      <c r="D4368" s="13">
        <v>1663.2186999999999</v>
      </c>
      <c r="E4368" s="18">
        <v>21</v>
      </c>
      <c r="F4368" s="2">
        <f t="shared" si="136"/>
        <v>2012.494627</v>
      </c>
      <c r="G4368" s="3">
        <v>0</v>
      </c>
      <c r="H4368" s="4">
        <v>0.7</v>
      </c>
      <c r="I4368" s="28">
        <f t="shared" si="137"/>
        <v>3421.2408658999998</v>
      </c>
    </row>
    <row r="4369" spans="1:9" ht="15" customHeight="1" x14ac:dyDescent="0.35">
      <c r="A4369" s="26" t="s">
        <v>1674</v>
      </c>
      <c r="B4369" s="25" t="s">
        <v>9149</v>
      </c>
      <c r="C4369" s="6" t="s">
        <v>8880</v>
      </c>
      <c r="D4369" s="13">
        <v>1310.2613524000001</v>
      </c>
      <c r="E4369" s="18">
        <v>21</v>
      </c>
      <c r="F4369" s="2">
        <f t="shared" si="136"/>
        <v>1585.4162364040001</v>
      </c>
      <c r="G4369" s="3">
        <v>0</v>
      </c>
      <c r="H4369" s="4">
        <v>0.7</v>
      </c>
      <c r="I4369" s="28">
        <f t="shared" si="137"/>
        <v>2695.2076018868001</v>
      </c>
    </row>
    <row r="4370" spans="1:9" ht="15" customHeight="1" x14ac:dyDescent="0.35">
      <c r="A4370" s="26" t="s">
        <v>1673</v>
      </c>
      <c r="B4370" s="25" t="s">
        <v>11862</v>
      </c>
      <c r="C4370" s="6" t="s">
        <v>8881</v>
      </c>
      <c r="D4370" s="13">
        <v>1285.7675116</v>
      </c>
      <c r="E4370" s="18">
        <v>21</v>
      </c>
      <c r="F4370" s="2">
        <f t="shared" si="136"/>
        <v>1555.7786890360001</v>
      </c>
      <c r="G4370" s="3">
        <v>0</v>
      </c>
      <c r="H4370" s="4">
        <v>0.7</v>
      </c>
      <c r="I4370" s="28">
        <f t="shared" si="137"/>
        <v>2644.8237713612002</v>
      </c>
    </row>
    <row r="4371" spans="1:9" ht="15" customHeight="1" x14ac:dyDescent="0.35">
      <c r="A4371" s="26" t="s">
        <v>1676</v>
      </c>
      <c r="B4371" s="25" t="s">
        <v>1321</v>
      </c>
      <c r="C4371" s="6" t="s">
        <v>8882</v>
      </c>
      <c r="D4371" s="13">
        <v>2056.7175772000001</v>
      </c>
      <c r="E4371" s="18">
        <v>21</v>
      </c>
      <c r="F4371" s="2">
        <f t="shared" si="136"/>
        <v>2488.6282684120001</v>
      </c>
      <c r="G4371" s="3">
        <v>0</v>
      </c>
      <c r="H4371" s="4">
        <v>0.7</v>
      </c>
      <c r="I4371" s="28">
        <f t="shared" si="137"/>
        <v>4230.6680563004002</v>
      </c>
    </row>
    <row r="4372" spans="1:9" ht="15" customHeight="1" x14ac:dyDescent="0.35">
      <c r="A4372" s="26" t="s">
        <v>11448</v>
      </c>
      <c r="B4372" s="25" t="s">
        <v>737</v>
      </c>
      <c r="C4372" s="6" t="s">
        <v>11449</v>
      </c>
      <c r="D4372" s="13">
        <v>2056.7175772000001</v>
      </c>
      <c r="E4372" s="18">
        <v>21</v>
      </c>
      <c r="F4372" s="2">
        <f t="shared" si="136"/>
        <v>2488.6282684120001</v>
      </c>
      <c r="G4372" s="3">
        <v>0</v>
      </c>
      <c r="H4372" s="4">
        <v>0.7</v>
      </c>
      <c r="I4372" s="28">
        <f t="shared" si="137"/>
        <v>4230.6680563004002</v>
      </c>
    </row>
    <row r="4373" spans="1:9" ht="15" customHeight="1" x14ac:dyDescent="0.35">
      <c r="A4373" s="26" t="s">
        <v>1683</v>
      </c>
      <c r="B4373" s="25" t="s">
        <v>8744</v>
      </c>
      <c r="C4373" s="6" t="s">
        <v>8883</v>
      </c>
      <c r="D4373" s="13">
        <v>2310.0715352000002</v>
      </c>
      <c r="E4373" s="18">
        <v>21</v>
      </c>
      <c r="F4373" s="2">
        <f t="shared" si="136"/>
        <v>2795.1865575920001</v>
      </c>
      <c r="G4373" s="3">
        <v>0</v>
      </c>
      <c r="H4373" s="4">
        <v>0.7</v>
      </c>
      <c r="I4373" s="28">
        <f t="shared" si="137"/>
        <v>4751.8171479064004</v>
      </c>
    </row>
    <row r="4374" spans="1:9" ht="15" customHeight="1" x14ac:dyDescent="0.35">
      <c r="A4374" s="26" t="s">
        <v>1684</v>
      </c>
      <c r="B4374" s="25" t="s">
        <v>738</v>
      </c>
      <c r="C4374" s="6" t="s">
        <v>8884</v>
      </c>
      <c r="D4374" s="13">
        <v>2922.3930736000002</v>
      </c>
      <c r="E4374" s="18">
        <v>21</v>
      </c>
      <c r="F4374" s="2">
        <f t="shared" si="136"/>
        <v>3536.095619056</v>
      </c>
      <c r="G4374" s="3">
        <v>0</v>
      </c>
      <c r="H4374" s="4">
        <v>0.7</v>
      </c>
      <c r="I4374" s="28">
        <f t="shared" si="137"/>
        <v>6011.3625523951996</v>
      </c>
    </row>
    <row r="4375" spans="1:9" ht="15" customHeight="1" x14ac:dyDescent="0.35">
      <c r="A4375" s="26" t="s">
        <v>1678</v>
      </c>
      <c r="B4375" s="25" t="s">
        <v>11863</v>
      </c>
      <c r="C4375" s="6" t="s">
        <v>8885</v>
      </c>
      <c r="D4375" s="13">
        <v>2688.0858004000002</v>
      </c>
      <c r="E4375" s="18">
        <v>21</v>
      </c>
      <c r="F4375" s="2">
        <f t="shared" si="136"/>
        <v>3252.5838184840004</v>
      </c>
      <c r="G4375" s="3">
        <v>0</v>
      </c>
      <c r="H4375" s="4">
        <v>0.7</v>
      </c>
      <c r="I4375" s="28">
        <f t="shared" si="137"/>
        <v>5529.392491422801</v>
      </c>
    </row>
    <row r="4376" spans="1:9" ht="15" customHeight="1" x14ac:dyDescent="0.35">
      <c r="A4376" s="26" t="s">
        <v>13803</v>
      </c>
      <c r="B4376" s="25" t="s">
        <v>9150</v>
      </c>
      <c r="C4376" s="6" t="s">
        <v>13804</v>
      </c>
      <c r="D4376" s="13">
        <v>3101.9472483999998</v>
      </c>
      <c r="E4376" s="18">
        <v>21</v>
      </c>
      <c r="F4376" s="2">
        <f t="shared" si="136"/>
        <v>3753.3561705639995</v>
      </c>
      <c r="G4376" s="3">
        <v>0</v>
      </c>
      <c r="H4376" s="4">
        <v>0.7</v>
      </c>
      <c r="I4376" s="28">
        <f t="shared" si="137"/>
        <v>6380.7054899587993</v>
      </c>
    </row>
    <row r="4377" spans="1:9" ht="15" customHeight="1" x14ac:dyDescent="0.35">
      <c r="A4377" s="26" t="s">
        <v>9669</v>
      </c>
      <c r="B4377" s="25" t="s">
        <v>739</v>
      </c>
      <c r="C4377" s="6" t="s">
        <v>9670</v>
      </c>
      <c r="D4377" s="13">
        <v>4186.5739344000003</v>
      </c>
      <c r="E4377" s="18">
        <v>21</v>
      </c>
      <c r="F4377" s="2">
        <f t="shared" si="136"/>
        <v>5065.7544606240008</v>
      </c>
      <c r="G4377" s="3">
        <v>0</v>
      </c>
      <c r="H4377" s="4">
        <v>0.7</v>
      </c>
      <c r="I4377" s="28">
        <f t="shared" si="137"/>
        <v>8611.7825830608017</v>
      </c>
    </row>
    <row r="4378" spans="1:9" ht="15" customHeight="1" x14ac:dyDescent="0.35">
      <c r="A4378" s="26" t="s">
        <v>11450</v>
      </c>
      <c r="B4378" s="25" t="s">
        <v>11845</v>
      </c>
      <c r="C4378" s="6" t="s">
        <v>11451</v>
      </c>
      <c r="D4378" s="13">
        <v>4196.7950024000002</v>
      </c>
      <c r="E4378" s="18">
        <v>21</v>
      </c>
      <c r="F4378" s="2">
        <f t="shared" si="136"/>
        <v>5078.121952904</v>
      </c>
      <c r="G4378" s="3">
        <v>0</v>
      </c>
      <c r="H4378" s="4">
        <v>0.7</v>
      </c>
      <c r="I4378" s="28">
        <f t="shared" si="137"/>
        <v>8632.8073199367991</v>
      </c>
    </row>
    <row r="4379" spans="1:9" ht="15" customHeight="1" x14ac:dyDescent="0.35">
      <c r="A4379" s="26" t="s">
        <v>13564</v>
      </c>
      <c r="B4379" s="25" t="s">
        <v>1322</v>
      </c>
      <c r="C4379" s="6" t="s">
        <v>13565</v>
      </c>
      <c r="D4379" s="13">
        <v>6130.1987603999996</v>
      </c>
      <c r="E4379" s="18">
        <v>21</v>
      </c>
      <c r="F4379" s="2">
        <f t="shared" si="136"/>
        <v>7417.5405000840001</v>
      </c>
      <c r="G4379" s="3">
        <v>0</v>
      </c>
      <c r="H4379" s="4">
        <v>0.7</v>
      </c>
      <c r="I4379" s="28">
        <f t="shared" si="137"/>
        <v>12609.818850142799</v>
      </c>
    </row>
    <row r="4380" spans="1:9" ht="15" customHeight="1" x14ac:dyDescent="0.35">
      <c r="A4380" s="26" t="s">
        <v>9726</v>
      </c>
      <c r="B4380" s="25" t="s">
        <v>10918</v>
      </c>
      <c r="C4380" s="6" t="s">
        <v>9727</v>
      </c>
      <c r="D4380" s="13">
        <v>3460.2357425999999</v>
      </c>
      <c r="E4380" s="18">
        <v>21</v>
      </c>
      <c r="F4380" s="2">
        <f t="shared" si="136"/>
        <v>4186.8852485460002</v>
      </c>
      <c r="G4380" s="3">
        <v>0</v>
      </c>
      <c r="H4380" s="4">
        <v>0.7</v>
      </c>
      <c r="I4380" s="28">
        <f t="shared" si="137"/>
        <v>7117.7049225281999</v>
      </c>
    </row>
    <row r="4381" spans="1:9" ht="15" customHeight="1" x14ac:dyDescent="0.35">
      <c r="A4381" s="26" t="s">
        <v>9728</v>
      </c>
      <c r="B4381" s="25" t="s">
        <v>1323</v>
      </c>
      <c r="C4381" s="6" t="s">
        <v>9729</v>
      </c>
      <c r="D4381" s="13">
        <v>4130.5113486</v>
      </c>
      <c r="E4381" s="18">
        <v>21</v>
      </c>
      <c r="F4381" s="2">
        <f t="shared" si="136"/>
        <v>4997.9187318060003</v>
      </c>
      <c r="G4381" s="3">
        <v>0</v>
      </c>
      <c r="H4381" s="4">
        <v>0.7</v>
      </c>
      <c r="I4381" s="28">
        <f t="shared" si="137"/>
        <v>8496.4618440701997</v>
      </c>
    </row>
    <row r="4382" spans="1:9" ht="15" customHeight="1" x14ac:dyDescent="0.35">
      <c r="A4382" s="26" t="s">
        <v>11452</v>
      </c>
      <c r="B4382" s="25" t="s">
        <v>740</v>
      </c>
      <c r="C4382" s="6" t="s">
        <v>11453</v>
      </c>
      <c r="D4382" s="13">
        <v>740.56311419999997</v>
      </c>
      <c r="E4382" s="18">
        <v>21</v>
      </c>
      <c r="F4382" s="2">
        <f t="shared" si="136"/>
        <v>896.08136818200001</v>
      </c>
      <c r="G4382" s="3">
        <v>0</v>
      </c>
      <c r="H4382" s="4">
        <v>0.7</v>
      </c>
      <c r="I4382" s="28">
        <f t="shared" si="137"/>
        <v>1523.3383259094001</v>
      </c>
    </row>
    <row r="4383" spans="1:9" ht="15" customHeight="1" x14ac:dyDescent="0.35">
      <c r="A4383" s="26" t="s">
        <v>9730</v>
      </c>
      <c r="B4383" s="25" t="s">
        <v>8746</v>
      </c>
      <c r="C4383" s="6" t="s">
        <v>9731</v>
      </c>
      <c r="D4383" s="13">
        <v>740.56311419999997</v>
      </c>
      <c r="E4383" s="18">
        <v>21</v>
      </c>
      <c r="F4383" s="2">
        <f t="shared" si="136"/>
        <v>896.08136818200001</v>
      </c>
      <c r="G4383" s="3">
        <v>0</v>
      </c>
      <c r="H4383" s="4">
        <v>0.7</v>
      </c>
      <c r="I4383" s="28">
        <f t="shared" si="137"/>
        <v>1523.3383259094001</v>
      </c>
    </row>
    <row r="4384" spans="1:9" ht="15" customHeight="1" x14ac:dyDescent="0.35">
      <c r="A4384" s="26" t="s">
        <v>9732</v>
      </c>
      <c r="B4384" s="25" t="s">
        <v>741</v>
      </c>
      <c r="C4384" s="6" t="s">
        <v>9733</v>
      </c>
      <c r="D4384" s="13">
        <v>890.08838100000003</v>
      </c>
      <c r="E4384" s="18">
        <v>21</v>
      </c>
      <c r="F4384" s="2">
        <f t="shared" si="136"/>
        <v>1077.00694101</v>
      </c>
      <c r="G4384" s="3">
        <v>0</v>
      </c>
      <c r="H4384" s="4">
        <v>0.7</v>
      </c>
      <c r="I4384" s="28">
        <f t="shared" si="137"/>
        <v>1830.9117997169999</v>
      </c>
    </row>
    <row r="4385" spans="1:9" ht="15" customHeight="1" x14ac:dyDescent="0.35">
      <c r="A4385" s="26" t="s">
        <v>9734</v>
      </c>
      <c r="B4385" s="25" t="s">
        <v>10920</v>
      </c>
      <c r="C4385" s="6" t="s">
        <v>9735</v>
      </c>
      <c r="D4385" s="13">
        <v>1530.0897066</v>
      </c>
      <c r="E4385" s="18">
        <v>21</v>
      </c>
      <c r="F4385" s="2">
        <f t="shared" si="136"/>
        <v>1851.4085449859999</v>
      </c>
      <c r="G4385" s="3">
        <v>0</v>
      </c>
      <c r="H4385" s="4">
        <v>0.7</v>
      </c>
      <c r="I4385" s="28">
        <f t="shared" si="137"/>
        <v>3147.3945264761996</v>
      </c>
    </row>
    <row r="4386" spans="1:9" ht="15" customHeight="1" x14ac:dyDescent="0.35">
      <c r="A4386" s="26" t="s">
        <v>9736</v>
      </c>
      <c r="B4386" s="25" t="s">
        <v>1324</v>
      </c>
      <c r="C4386" s="6" t="s">
        <v>9737</v>
      </c>
      <c r="D4386" s="13">
        <v>2064.8087460000002</v>
      </c>
      <c r="E4386" s="18">
        <v>21</v>
      </c>
      <c r="F4386" s="2">
        <f t="shared" si="136"/>
        <v>2498.4185826600001</v>
      </c>
      <c r="G4386" s="3">
        <v>0</v>
      </c>
      <c r="H4386" s="4">
        <v>0.7</v>
      </c>
      <c r="I4386" s="28">
        <f t="shared" si="137"/>
        <v>4247.3115905220002</v>
      </c>
    </row>
    <row r="4387" spans="1:9" ht="15" customHeight="1" x14ac:dyDescent="0.35">
      <c r="A4387" s="26" t="s">
        <v>9738</v>
      </c>
      <c r="B4387" s="25" t="s">
        <v>742</v>
      </c>
      <c r="C4387" s="6" t="s">
        <v>9739</v>
      </c>
      <c r="D4387" s="13">
        <v>2317.4722115999998</v>
      </c>
      <c r="E4387" s="18">
        <v>21</v>
      </c>
      <c r="F4387" s="2">
        <f t="shared" si="136"/>
        <v>2804.1413760359997</v>
      </c>
      <c r="G4387" s="3">
        <v>0</v>
      </c>
      <c r="H4387" s="4">
        <v>0.7</v>
      </c>
      <c r="I4387" s="28">
        <f t="shared" si="137"/>
        <v>4767.0403392611997</v>
      </c>
    </row>
    <row r="4388" spans="1:9" ht="15" customHeight="1" x14ac:dyDescent="0.35">
      <c r="A4388" s="26" t="s">
        <v>1698</v>
      </c>
      <c r="B4388" s="25" t="s">
        <v>8745</v>
      </c>
      <c r="C4388" s="6" t="s">
        <v>753</v>
      </c>
      <c r="D4388" s="13">
        <v>273.42080220000003</v>
      </c>
      <c r="E4388" s="18">
        <v>21</v>
      </c>
      <c r="F4388" s="2">
        <f t="shared" si="136"/>
        <v>330.83917066200001</v>
      </c>
      <c r="G4388" s="3">
        <v>0</v>
      </c>
      <c r="H4388" s="4">
        <v>0.7</v>
      </c>
      <c r="I4388" s="28">
        <f t="shared" si="137"/>
        <v>562.42659012540003</v>
      </c>
    </row>
    <row r="4389" spans="1:9" ht="15" customHeight="1" x14ac:dyDescent="0.35">
      <c r="A4389" s="26" t="s">
        <v>1699</v>
      </c>
      <c r="B4389" s="25" t="s">
        <v>11576</v>
      </c>
      <c r="C4389" s="6" t="s">
        <v>754</v>
      </c>
      <c r="D4389" s="13">
        <v>28.819572600000001</v>
      </c>
      <c r="E4389" s="18">
        <v>21</v>
      </c>
      <c r="F4389" s="2">
        <f t="shared" si="136"/>
        <v>34.871682845999999</v>
      </c>
      <c r="G4389" s="3">
        <v>0</v>
      </c>
      <c r="H4389" s="4">
        <v>0.7</v>
      </c>
      <c r="I4389" s="28">
        <f t="shared" si="137"/>
        <v>59.281860838199997</v>
      </c>
    </row>
    <row r="4390" spans="1:9" ht="15" customHeight="1" x14ac:dyDescent="0.35">
      <c r="A4390" s="26" t="s">
        <v>1700</v>
      </c>
      <c r="B4390" s="25" t="s">
        <v>13208</v>
      </c>
      <c r="C4390" s="6" t="s">
        <v>755</v>
      </c>
      <c r="D4390" s="13">
        <v>40.714291799999998</v>
      </c>
      <c r="E4390" s="18">
        <v>21</v>
      </c>
      <c r="F4390" s="2">
        <f t="shared" si="136"/>
        <v>49.264293077999994</v>
      </c>
      <c r="G4390" s="3">
        <v>0</v>
      </c>
      <c r="H4390" s="4">
        <v>0.7</v>
      </c>
      <c r="I4390" s="28">
        <f t="shared" si="137"/>
        <v>83.749298232599983</v>
      </c>
    </row>
    <row r="4391" spans="1:9" ht="15" customHeight="1" x14ac:dyDescent="0.35">
      <c r="A4391" s="26" t="s">
        <v>1701</v>
      </c>
      <c r="B4391" s="25" t="s">
        <v>1325</v>
      </c>
      <c r="C4391" s="6" t="s">
        <v>756</v>
      </c>
      <c r="D4391" s="13">
        <v>79.973875800000002</v>
      </c>
      <c r="E4391" s="18">
        <v>21</v>
      </c>
      <c r="F4391" s="2">
        <f t="shared" si="136"/>
        <v>96.768389718000009</v>
      </c>
      <c r="G4391" s="3">
        <v>0</v>
      </c>
      <c r="H4391" s="4">
        <v>0.7</v>
      </c>
      <c r="I4391" s="28">
        <f t="shared" si="137"/>
        <v>164.50626252060002</v>
      </c>
    </row>
    <row r="4392" spans="1:9" ht="15" customHeight="1" x14ac:dyDescent="0.35">
      <c r="A4392" s="26" t="s">
        <v>1702</v>
      </c>
      <c r="B4392" s="25" t="s">
        <v>743</v>
      </c>
      <c r="C4392" s="6" t="s">
        <v>757</v>
      </c>
      <c r="D4392" s="13">
        <v>77.093671200000003</v>
      </c>
      <c r="E4392" s="18">
        <v>21</v>
      </c>
      <c r="F4392" s="2">
        <f t="shared" si="136"/>
        <v>93.283342152000003</v>
      </c>
      <c r="G4392" s="3">
        <v>0</v>
      </c>
      <c r="H4392" s="4">
        <v>0.7</v>
      </c>
      <c r="I4392" s="28">
        <f t="shared" si="137"/>
        <v>158.58168165840002</v>
      </c>
    </row>
    <row r="4393" spans="1:9" ht="15" customHeight="1" x14ac:dyDescent="0.35">
      <c r="A4393" s="26" t="s">
        <v>1703</v>
      </c>
      <c r="B4393" s="25" t="s">
        <v>1326</v>
      </c>
      <c r="C4393" s="6" t="s">
        <v>758</v>
      </c>
      <c r="D4393" s="13">
        <v>79.255285200000003</v>
      </c>
      <c r="E4393" s="18">
        <v>21</v>
      </c>
      <c r="F4393" s="2">
        <f t="shared" si="136"/>
        <v>95.898895092000004</v>
      </c>
      <c r="G4393" s="3">
        <v>0</v>
      </c>
      <c r="H4393" s="4">
        <v>0.7</v>
      </c>
      <c r="I4393" s="28">
        <f t="shared" si="137"/>
        <v>163.0281216564</v>
      </c>
    </row>
    <row r="4394" spans="1:9" ht="15" customHeight="1" x14ac:dyDescent="0.35">
      <c r="A4394" s="26" t="s">
        <v>1704</v>
      </c>
      <c r="B4394" s="25" t="s">
        <v>744</v>
      </c>
      <c r="C4394" s="6" t="s">
        <v>759</v>
      </c>
      <c r="D4394" s="13">
        <v>28.819572600000001</v>
      </c>
      <c r="E4394" s="18">
        <v>21</v>
      </c>
      <c r="F4394" s="2">
        <f t="shared" si="136"/>
        <v>34.871682845999999</v>
      </c>
      <c r="G4394" s="3">
        <v>0</v>
      </c>
      <c r="H4394" s="4">
        <v>0.7</v>
      </c>
      <c r="I4394" s="28">
        <f t="shared" si="137"/>
        <v>59.281860838199997</v>
      </c>
    </row>
    <row r="4395" spans="1:9" ht="15" customHeight="1" x14ac:dyDescent="0.35">
      <c r="A4395" s="26" t="s">
        <v>1705</v>
      </c>
      <c r="B4395" s="25" t="s">
        <v>11824</v>
      </c>
      <c r="C4395" s="6" t="s">
        <v>760</v>
      </c>
      <c r="D4395" s="13">
        <v>41.789256600000002</v>
      </c>
      <c r="E4395" s="18">
        <v>21</v>
      </c>
      <c r="F4395" s="2">
        <f t="shared" si="136"/>
        <v>50.565000486000002</v>
      </c>
      <c r="G4395" s="3">
        <v>0</v>
      </c>
      <c r="H4395" s="4">
        <v>0.7</v>
      </c>
      <c r="I4395" s="28">
        <f t="shared" si="137"/>
        <v>85.960500826200004</v>
      </c>
    </row>
    <row r="4396" spans="1:9" ht="15" customHeight="1" x14ac:dyDescent="0.35">
      <c r="A4396" s="26" t="s">
        <v>1706</v>
      </c>
      <c r="B4396" s="25" t="s">
        <v>1327</v>
      </c>
      <c r="C4396" s="6" t="s">
        <v>761</v>
      </c>
      <c r="D4396" s="13">
        <v>60.519349800000001</v>
      </c>
      <c r="E4396" s="18">
        <v>21</v>
      </c>
      <c r="F4396" s="2">
        <f t="shared" si="136"/>
        <v>73.228413258000003</v>
      </c>
      <c r="G4396" s="3">
        <v>0</v>
      </c>
      <c r="H4396" s="4">
        <v>0.7</v>
      </c>
      <c r="I4396" s="28">
        <f t="shared" si="137"/>
        <v>124.4883025386</v>
      </c>
    </row>
    <row r="4397" spans="1:9" ht="15" customHeight="1" x14ac:dyDescent="0.35">
      <c r="A4397" s="26" t="s">
        <v>1707</v>
      </c>
      <c r="B4397" s="25" t="s">
        <v>745</v>
      </c>
      <c r="C4397" s="6" t="s">
        <v>762</v>
      </c>
      <c r="D4397" s="13">
        <v>23.777754000000002</v>
      </c>
      <c r="E4397" s="18">
        <v>21</v>
      </c>
      <c r="F4397" s="2">
        <f t="shared" si="136"/>
        <v>28.771082340000003</v>
      </c>
      <c r="G4397" s="3">
        <v>0</v>
      </c>
      <c r="H4397" s="4">
        <v>0.7</v>
      </c>
      <c r="I4397" s="28">
        <f t="shared" si="137"/>
        <v>48.910839978000006</v>
      </c>
    </row>
    <row r="4398" spans="1:9" ht="15" customHeight="1" x14ac:dyDescent="0.35">
      <c r="A4398" s="26" t="s">
        <v>1708</v>
      </c>
      <c r="B4398" s="25" t="s">
        <v>1328</v>
      </c>
      <c r="C4398" s="6" t="s">
        <v>763</v>
      </c>
      <c r="D4398" s="13">
        <v>44.669461200000001</v>
      </c>
      <c r="E4398" s="18">
        <v>21</v>
      </c>
      <c r="F4398" s="2">
        <f t="shared" si="136"/>
        <v>54.050048052000001</v>
      </c>
      <c r="G4398" s="3">
        <v>0</v>
      </c>
      <c r="H4398" s="4">
        <v>0.7</v>
      </c>
      <c r="I4398" s="28">
        <f t="shared" si="137"/>
        <v>91.885081688399993</v>
      </c>
    </row>
    <row r="4399" spans="1:9" ht="15" customHeight="1" x14ac:dyDescent="0.35">
      <c r="A4399" s="26" t="s">
        <v>1709</v>
      </c>
      <c r="B4399" s="25" t="s">
        <v>10924</v>
      </c>
      <c r="C4399" s="6" t="s">
        <v>764</v>
      </c>
      <c r="D4399" s="13">
        <v>80.143299600000006</v>
      </c>
      <c r="E4399" s="18">
        <v>21</v>
      </c>
      <c r="F4399" s="2">
        <f t="shared" si="136"/>
        <v>96.973392516000004</v>
      </c>
      <c r="G4399" s="3">
        <v>0</v>
      </c>
      <c r="H4399" s="4">
        <v>0.7</v>
      </c>
      <c r="I4399" s="28">
        <f t="shared" si="137"/>
        <v>164.85476727720001</v>
      </c>
    </row>
    <row r="4400" spans="1:9" ht="15" customHeight="1" x14ac:dyDescent="0.35">
      <c r="A4400" s="26" t="s">
        <v>1710</v>
      </c>
      <c r="B4400" s="25" t="s">
        <v>9898</v>
      </c>
      <c r="C4400" s="6" t="s">
        <v>765</v>
      </c>
      <c r="D4400" s="13">
        <v>78.530852400000001</v>
      </c>
      <c r="E4400" s="18">
        <v>21</v>
      </c>
      <c r="F4400" s="2">
        <f t="shared" si="136"/>
        <v>95.022331403999999</v>
      </c>
      <c r="G4400" s="3">
        <v>0</v>
      </c>
      <c r="H4400" s="4">
        <v>0.7</v>
      </c>
      <c r="I4400" s="28">
        <f t="shared" si="137"/>
        <v>161.53796338679999</v>
      </c>
    </row>
    <row r="4401" spans="1:9" ht="15" customHeight="1" x14ac:dyDescent="0.35">
      <c r="A4401" s="26" t="s">
        <v>1711</v>
      </c>
      <c r="B4401" s="25" t="s">
        <v>746</v>
      </c>
      <c r="C4401" s="6" t="s">
        <v>766</v>
      </c>
      <c r="D4401" s="13">
        <v>63.3995544</v>
      </c>
      <c r="E4401" s="18">
        <v>21</v>
      </c>
      <c r="F4401" s="2">
        <f t="shared" si="136"/>
        <v>76.713460823999995</v>
      </c>
      <c r="G4401" s="3">
        <v>0</v>
      </c>
      <c r="H4401" s="4">
        <v>0.7</v>
      </c>
      <c r="I4401" s="28">
        <f t="shared" si="137"/>
        <v>130.41288340079998</v>
      </c>
    </row>
    <row r="4402" spans="1:9" ht="15" customHeight="1" x14ac:dyDescent="0.35">
      <c r="A4402" s="26" t="s">
        <v>1712</v>
      </c>
      <c r="B4402" s="25" t="s">
        <v>1329</v>
      </c>
      <c r="C4402" s="6" t="s">
        <v>767</v>
      </c>
      <c r="D4402" s="13">
        <v>37.845771599999999</v>
      </c>
      <c r="E4402" s="18">
        <v>21</v>
      </c>
      <c r="F4402" s="2">
        <f t="shared" si="136"/>
        <v>45.793383636000002</v>
      </c>
      <c r="G4402" s="3">
        <v>0</v>
      </c>
      <c r="H4402" s="4">
        <v>0.7</v>
      </c>
      <c r="I4402" s="28">
        <f t="shared" si="137"/>
        <v>77.848752181199998</v>
      </c>
    </row>
    <row r="4403" spans="1:9" ht="15" customHeight="1" x14ac:dyDescent="0.35">
      <c r="A4403" s="26" t="s">
        <v>1713</v>
      </c>
      <c r="B4403" s="25" t="s">
        <v>747</v>
      </c>
      <c r="C4403" s="6" t="s">
        <v>768</v>
      </c>
      <c r="D4403" s="13">
        <v>74.2076244</v>
      </c>
      <c r="E4403" s="18">
        <v>21</v>
      </c>
      <c r="F4403" s="2">
        <f t="shared" si="136"/>
        <v>89.791225523999998</v>
      </c>
      <c r="G4403" s="3">
        <v>0</v>
      </c>
      <c r="H4403" s="4">
        <v>0.7</v>
      </c>
      <c r="I4403" s="28">
        <f t="shared" si="137"/>
        <v>152.64508339079998</v>
      </c>
    </row>
    <row r="4404" spans="1:9" ht="15" customHeight="1" x14ac:dyDescent="0.35">
      <c r="A4404" s="26" t="s">
        <v>1714</v>
      </c>
      <c r="B4404" s="25" t="s">
        <v>748</v>
      </c>
      <c r="C4404" s="6" t="s">
        <v>769</v>
      </c>
      <c r="D4404" s="13">
        <v>77.093671200000003</v>
      </c>
      <c r="E4404" s="18">
        <v>21</v>
      </c>
      <c r="F4404" s="2">
        <f t="shared" si="136"/>
        <v>93.283342152000003</v>
      </c>
      <c r="G4404" s="3">
        <v>0</v>
      </c>
      <c r="H4404" s="4">
        <v>0.7</v>
      </c>
      <c r="I4404" s="28">
        <f t="shared" si="137"/>
        <v>158.58168165840002</v>
      </c>
    </row>
    <row r="4405" spans="1:9" ht="15" customHeight="1" x14ac:dyDescent="0.35">
      <c r="A4405" s="26" t="s">
        <v>1715</v>
      </c>
      <c r="B4405" s="25" t="s">
        <v>10926</v>
      </c>
      <c r="C4405" s="6" t="s">
        <v>770</v>
      </c>
      <c r="D4405" s="13">
        <v>85.734285</v>
      </c>
      <c r="E4405" s="18">
        <v>21</v>
      </c>
      <c r="F4405" s="2">
        <f t="shared" si="136"/>
        <v>103.73848484999999</v>
      </c>
      <c r="G4405" s="3">
        <v>0</v>
      </c>
      <c r="H4405" s="4">
        <v>0.7</v>
      </c>
      <c r="I4405" s="28">
        <f t="shared" si="137"/>
        <v>176.35542424499999</v>
      </c>
    </row>
    <row r="4406" spans="1:9" ht="15" customHeight="1" x14ac:dyDescent="0.35">
      <c r="A4406" s="26" t="s">
        <v>1716</v>
      </c>
      <c r="B4406" s="25" t="s">
        <v>9900</v>
      </c>
      <c r="C4406" s="6" t="s">
        <v>771</v>
      </c>
      <c r="D4406" s="13">
        <v>100.1469924</v>
      </c>
      <c r="E4406" s="18">
        <v>21</v>
      </c>
      <c r="F4406" s="2">
        <f t="shared" si="136"/>
        <v>121.17786080400001</v>
      </c>
      <c r="G4406" s="3">
        <v>0</v>
      </c>
      <c r="H4406" s="4">
        <v>0.7</v>
      </c>
      <c r="I4406" s="28">
        <f t="shared" si="137"/>
        <v>206.00236336680001</v>
      </c>
    </row>
    <row r="4407" spans="1:9" ht="15" customHeight="1" x14ac:dyDescent="0.35">
      <c r="A4407" s="26" t="s">
        <v>1717</v>
      </c>
      <c r="B4407" s="25" t="s">
        <v>749</v>
      </c>
      <c r="C4407" s="6" t="s">
        <v>772</v>
      </c>
      <c r="D4407" s="13">
        <v>108.0690156</v>
      </c>
      <c r="E4407" s="18">
        <v>21</v>
      </c>
      <c r="F4407" s="2">
        <f t="shared" si="136"/>
        <v>130.763508876</v>
      </c>
      <c r="G4407" s="3">
        <v>0</v>
      </c>
      <c r="H4407" s="4">
        <v>0.7</v>
      </c>
      <c r="I4407" s="28">
        <f t="shared" si="137"/>
        <v>222.29796508920001</v>
      </c>
    </row>
    <row r="4408" spans="1:9" ht="15" customHeight="1" x14ac:dyDescent="0.35">
      <c r="A4408" s="26" t="s">
        <v>14007</v>
      </c>
      <c r="B4408" s="25" t="s">
        <v>8747</v>
      </c>
      <c r="C4408" s="6" t="s">
        <v>14008</v>
      </c>
      <c r="D4408" s="13">
        <v>2509.746525</v>
      </c>
      <c r="E4408" s="18">
        <v>21</v>
      </c>
      <c r="F4408" s="2">
        <f t="shared" si="136"/>
        <v>3036.79329525</v>
      </c>
      <c r="G4408" s="3">
        <v>0</v>
      </c>
      <c r="H4408" s="4">
        <v>0.7</v>
      </c>
      <c r="I4408" s="28">
        <f t="shared" si="137"/>
        <v>5162.5486019250002</v>
      </c>
    </row>
    <row r="4409" spans="1:9" ht="15" customHeight="1" x14ac:dyDescent="0.35">
      <c r="A4409" s="26" t="s">
        <v>14009</v>
      </c>
      <c r="B4409" s="25" t="s">
        <v>750</v>
      </c>
      <c r="C4409" s="6" t="s">
        <v>14010</v>
      </c>
      <c r="D4409" s="13">
        <v>3612.5139374999999</v>
      </c>
      <c r="E4409" s="18">
        <v>21</v>
      </c>
      <c r="F4409" s="2">
        <f t="shared" si="136"/>
        <v>4371.1418643750003</v>
      </c>
      <c r="G4409" s="3">
        <v>0</v>
      </c>
      <c r="H4409" s="4">
        <v>0.7</v>
      </c>
      <c r="I4409" s="28">
        <f t="shared" si="137"/>
        <v>7430.9411694375003</v>
      </c>
    </row>
    <row r="4410" spans="1:9" ht="15" customHeight="1" x14ac:dyDescent="0.35">
      <c r="A4410" s="26" t="s">
        <v>5783</v>
      </c>
      <c r="B4410" s="25" t="s">
        <v>11933</v>
      </c>
      <c r="C4410" s="6" t="s">
        <v>14011</v>
      </c>
      <c r="D4410" s="13">
        <v>3878.6991750000002</v>
      </c>
      <c r="E4410" s="18">
        <v>21</v>
      </c>
      <c r="F4410" s="2">
        <f t="shared" si="136"/>
        <v>4693.2260017500003</v>
      </c>
      <c r="G4410" s="3">
        <v>0</v>
      </c>
      <c r="H4410" s="4">
        <v>0.7</v>
      </c>
      <c r="I4410" s="28">
        <f t="shared" si="137"/>
        <v>7978.4842029749998</v>
      </c>
    </row>
    <row r="4411" spans="1:9" ht="15" customHeight="1" x14ac:dyDescent="0.35">
      <c r="A4411" s="26" t="s">
        <v>9425</v>
      </c>
      <c r="B4411" s="25" t="s">
        <v>10929</v>
      </c>
      <c r="C4411" s="6" t="s">
        <v>9426</v>
      </c>
      <c r="D4411" s="13">
        <v>303.7944</v>
      </c>
      <c r="E4411" s="18">
        <v>21</v>
      </c>
      <c r="F4411" s="2">
        <f t="shared" si="136"/>
        <v>367.59122400000001</v>
      </c>
      <c r="G4411" s="3">
        <v>0</v>
      </c>
      <c r="H4411" s="4">
        <v>0.7</v>
      </c>
      <c r="I4411" s="28">
        <f t="shared" si="137"/>
        <v>624.90508079999995</v>
      </c>
    </row>
    <row r="4412" spans="1:9" ht="15" customHeight="1" x14ac:dyDescent="0.35">
      <c r="A4412" s="26" t="s">
        <v>9703</v>
      </c>
      <c r="B4412" s="25" t="s">
        <v>9902</v>
      </c>
      <c r="C4412" s="6" t="s">
        <v>9704</v>
      </c>
      <c r="D4412" s="13">
        <v>303.7944</v>
      </c>
      <c r="E4412" s="18">
        <v>21</v>
      </c>
      <c r="F4412" s="2">
        <f t="shared" si="136"/>
        <v>367.59122400000001</v>
      </c>
      <c r="G4412" s="3">
        <v>0</v>
      </c>
      <c r="H4412" s="4">
        <v>0.7</v>
      </c>
      <c r="I4412" s="28">
        <f t="shared" si="137"/>
        <v>624.90508079999995</v>
      </c>
    </row>
    <row r="4413" spans="1:9" ht="15" customHeight="1" x14ac:dyDescent="0.35">
      <c r="A4413" s="26" t="s">
        <v>10871</v>
      </c>
      <c r="B4413" s="25" t="s">
        <v>751</v>
      </c>
      <c r="C4413" s="6" t="s">
        <v>10872</v>
      </c>
      <c r="D4413" s="13">
        <v>133.80974879999999</v>
      </c>
      <c r="E4413" s="18">
        <v>21</v>
      </c>
      <c r="F4413" s="2">
        <f t="shared" si="136"/>
        <v>161.909796048</v>
      </c>
      <c r="G4413" s="3">
        <v>0</v>
      </c>
      <c r="H4413" s="4">
        <v>0.7</v>
      </c>
      <c r="I4413" s="28">
        <f t="shared" si="137"/>
        <v>275.2466532816</v>
      </c>
    </row>
    <row r="4414" spans="1:9" ht="15" customHeight="1" x14ac:dyDescent="0.35">
      <c r="A4414" s="26" t="s">
        <v>10873</v>
      </c>
      <c r="B4414" s="25" t="s">
        <v>1330</v>
      </c>
      <c r="C4414" s="6" t="s">
        <v>10874</v>
      </c>
      <c r="D4414" s="13">
        <v>154.2399222</v>
      </c>
      <c r="E4414" s="18">
        <v>21</v>
      </c>
      <c r="F4414" s="2">
        <f t="shared" si="136"/>
        <v>186.630305862</v>
      </c>
      <c r="G4414" s="3">
        <v>0</v>
      </c>
      <c r="H4414" s="4">
        <v>0.7</v>
      </c>
      <c r="I4414" s="28">
        <f t="shared" si="137"/>
        <v>317.27151996539999</v>
      </c>
    </row>
    <row r="4415" spans="1:9" ht="15" customHeight="1" x14ac:dyDescent="0.35">
      <c r="A4415" s="26" t="s">
        <v>1628</v>
      </c>
      <c r="B4415" s="25" t="s">
        <v>11864</v>
      </c>
      <c r="C4415" s="6" t="s">
        <v>774</v>
      </c>
      <c r="D4415" s="13">
        <v>250.52522039999999</v>
      </c>
      <c r="E4415" s="18">
        <v>21</v>
      </c>
      <c r="F4415" s="2">
        <f t="shared" si="136"/>
        <v>303.13551668399998</v>
      </c>
      <c r="G4415" s="3">
        <v>0</v>
      </c>
      <c r="H4415" s="4">
        <v>0.7</v>
      </c>
      <c r="I4415" s="28">
        <f t="shared" si="137"/>
        <v>515.33037836279993</v>
      </c>
    </row>
    <row r="4416" spans="1:9" ht="15" customHeight="1" x14ac:dyDescent="0.35">
      <c r="A4416" s="26" t="s">
        <v>1629</v>
      </c>
      <c r="B4416" s="25" t="s">
        <v>9151</v>
      </c>
      <c r="C4416" s="6" t="s">
        <v>775</v>
      </c>
      <c r="D4416" s="13">
        <v>312.00853319999999</v>
      </c>
      <c r="E4416" s="18">
        <v>21</v>
      </c>
      <c r="F4416" s="2">
        <f t="shared" si="136"/>
        <v>377.530325172</v>
      </c>
      <c r="G4416" s="3">
        <v>0</v>
      </c>
      <c r="H4416" s="4">
        <v>0.7</v>
      </c>
      <c r="I4416" s="28">
        <f t="shared" si="137"/>
        <v>641.8015527924</v>
      </c>
    </row>
    <row r="4417" spans="1:9" ht="15" customHeight="1" x14ac:dyDescent="0.35">
      <c r="A4417" s="26" t="s">
        <v>1630</v>
      </c>
      <c r="B4417" s="25" t="s">
        <v>752</v>
      </c>
      <c r="C4417" s="6" t="s">
        <v>776</v>
      </c>
      <c r="D4417" s="13">
        <v>88.929968400000007</v>
      </c>
      <c r="E4417" s="18">
        <v>21</v>
      </c>
      <c r="F4417" s="2">
        <f t="shared" si="136"/>
        <v>107.60526176400001</v>
      </c>
      <c r="G4417" s="3">
        <v>0</v>
      </c>
      <c r="H4417" s="4">
        <v>0.7</v>
      </c>
      <c r="I4417" s="28">
        <f t="shared" si="137"/>
        <v>182.92894499880001</v>
      </c>
    </row>
    <row r="4418" spans="1:9" ht="15" customHeight="1" x14ac:dyDescent="0.35">
      <c r="A4418" s="26" t="s">
        <v>1631</v>
      </c>
      <c r="B4418" s="25" t="s">
        <v>12030</v>
      </c>
      <c r="C4418" s="6" t="s">
        <v>777</v>
      </c>
      <c r="D4418" s="13">
        <v>96.705936600000001</v>
      </c>
      <c r="E4418" s="18">
        <v>21</v>
      </c>
      <c r="F4418" s="2">
        <f t="shared" si="136"/>
        <v>117.01418328600001</v>
      </c>
      <c r="G4418" s="3">
        <v>0</v>
      </c>
      <c r="H4418" s="4">
        <v>0.7</v>
      </c>
      <c r="I4418" s="28">
        <f t="shared" si="137"/>
        <v>198.92411158620001</v>
      </c>
    </row>
    <row r="4419" spans="1:9" ht="15" customHeight="1" x14ac:dyDescent="0.35">
      <c r="A4419" s="26" t="s">
        <v>1632</v>
      </c>
      <c r="B4419" s="25" t="s">
        <v>10626</v>
      </c>
      <c r="C4419" s="6" t="s">
        <v>778</v>
      </c>
      <c r="D4419" s="13">
        <v>94.900696800000006</v>
      </c>
      <c r="E4419" s="18">
        <v>21</v>
      </c>
      <c r="F4419" s="2">
        <f t="shared" si="136"/>
        <v>114.82984312800001</v>
      </c>
      <c r="G4419" s="3">
        <v>0</v>
      </c>
      <c r="H4419" s="4">
        <v>0.7</v>
      </c>
      <c r="I4419" s="28">
        <f t="shared" si="137"/>
        <v>195.21073331760002</v>
      </c>
    </row>
    <row r="4420" spans="1:9" ht="15" customHeight="1" x14ac:dyDescent="0.35">
      <c r="A4420" s="26" t="s">
        <v>1633</v>
      </c>
      <c r="B4420" s="25" t="s">
        <v>12032</v>
      </c>
      <c r="C4420" s="6" t="s">
        <v>779</v>
      </c>
      <c r="D4420" s="13">
        <v>100.1820456</v>
      </c>
      <c r="E4420" s="18">
        <v>21</v>
      </c>
      <c r="F4420" s="2">
        <f t="shared" si="136"/>
        <v>121.220275176</v>
      </c>
      <c r="G4420" s="3">
        <v>0</v>
      </c>
      <c r="H4420" s="4">
        <v>0.7</v>
      </c>
      <c r="I4420" s="28">
        <f t="shared" si="137"/>
        <v>206.07446779919999</v>
      </c>
    </row>
    <row r="4421" spans="1:9" ht="15" customHeight="1" x14ac:dyDescent="0.35">
      <c r="A4421" s="26" t="s">
        <v>1634</v>
      </c>
      <c r="B4421" s="25" t="s">
        <v>9586</v>
      </c>
      <c r="C4421" s="6" t="s">
        <v>780</v>
      </c>
      <c r="D4421" s="13">
        <v>131.86429620000001</v>
      </c>
      <c r="E4421" s="18">
        <v>21</v>
      </c>
      <c r="F4421" s="2">
        <f t="shared" si="136"/>
        <v>159.55579840200002</v>
      </c>
      <c r="G4421" s="3">
        <v>0</v>
      </c>
      <c r="H4421" s="4">
        <v>0.7</v>
      </c>
      <c r="I4421" s="28">
        <f t="shared" si="137"/>
        <v>271.24485728340005</v>
      </c>
    </row>
    <row r="4422" spans="1:9" ht="15" customHeight="1" x14ac:dyDescent="0.35">
      <c r="A4422" s="26" t="s">
        <v>1635</v>
      </c>
      <c r="B4422" s="25" t="s">
        <v>12034</v>
      </c>
      <c r="C4422" s="6" t="s">
        <v>781</v>
      </c>
      <c r="D4422" s="13">
        <v>83.508406800000003</v>
      </c>
      <c r="E4422" s="18">
        <v>21</v>
      </c>
      <c r="F4422" s="2">
        <f t="shared" ref="F4422:F4485" si="138">D4422*E4422/100+D4422</f>
        <v>101.04517222800001</v>
      </c>
      <c r="G4422" s="3">
        <v>0</v>
      </c>
      <c r="H4422" s="4">
        <v>0.7</v>
      </c>
      <c r="I4422" s="28">
        <f t="shared" ref="I4422:I4485" si="139">IF(G4422=-1,0,F4422*((100-G4422)/100)*(1+H4422))</f>
        <v>171.77679278760002</v>
      </c>
    </row>
    <row r="4423" spans="1:9" ht="15" customHeight="1" x14ac:dyDescent="0.35">
      <c r="A4423" s="26" t="s">
        <v>1636</v>
      </c>
      <c r="B4423" s="25" t="s">
        <v>12311</v>
      </c>
      <c r="C4423" s="6" t="s">
        <v>782</v>
      </c>
      <c r="D4423" s="13">
        <v>109.9093086</v>
      </c>
      <c r="E4423" s="18">
        <v>21</v>
      </c>
      <c r="F4423" s="2">
        <f t="shared" si="138"/>
        <v>132.990263406</v>
      </c>
      <c r="G4423" s="3">
        <v>0</v>
      </c>
      <c r="H4423" s="4">
        <v>0.7</v>
      </c>
      <c r="I4423" s="28">
        <f t="shared" si="139"/>
        <v>226.08344779019998</v>
      </c>
    </row>
    <row r="4424" spans="1:9" ht="15" customHeight="1" x14ac:dyDescent="0.35">
      <c r="A4424" s="26" t="s">
        <v>1637</v>
      </c>
      <c r="B4424" s="25" t="s">
        <v>8748</v>
      </c>
      <c r="C4424" s="6" t="s">
        <v>783</v>
      </c>
      <c r="D4424" s="13">
        <v>109.9093086</v>
      </c>
      <c r="E4424" s="18">
        <v>21</v>
      </c>
      <c r="F4424" s="2">
        <f t="shared" si="138"/>
        <v>132.990263406</v>
      </c>
      <c r="G4424" s="3">
        <v>0</v>
      </c>
      <c r="H4424" s="4">
        <v>0.7</v>
      </c>
      <c r="I4424" s="28">
        <f t="shared" si="139"/>
        <v>226.08344779019998</v>
      </c>
    </row>
    <row r="4425" spans="1:9" ht="15" customHeight="1" x14ac:dyDescent="0.35">
      <c r="A4425" s="26" t="s">
        <v>1638</v>
      </c>
      <c r="B4425" s="25" t="s">
        <v>1331</v>
      </c>
      <c r="C4425" s="6" t="s">
        <v>784</v>
      </c>
      <c r="D4425" s="13">
        <v>96.291140400000003</v>
      </c>
      <c r="E4425" s="18">
        <v>21</v>
      </c>
      <c r="F4425" s="2">
        <f t="shared" si="138"/>
        <v>116.51227988400001</v>
      </c>
      <c r="G4425" s="3">
        <v>0</v>
      </c>
      <c r="H4425" s="4">
        <v>0.7</v>
      </c>
      <c r="I4425" s="28">
        <f t="shared" si="139"/>
        <v>198.0708758028</v>
      </c>
    </row>
    <row r="4426" spans="1:9" ht="15" customHeight="1" x14ac:dyDescent="0.35">
      <c r="A4426" s="26" t="s">
        <v>1639</v>
      </c>
      <c r="B4426" s="25" t="s">
        <v>1332</v>
      </c>
      <c r="C4426" s="6" t="s">
        <v>785</v>
      </c>
      <c r="D4426" s="13">
        <v>97.821796800000001</v>
      </c>
      <c r="E4426" s="18">
        <v>21</v>
      </c>
      <c r="F4426" s="2">
        <f t="shared" si="138"/>
        <v>118.36437412800001</v>
      </c>
      <c r="G4426" s="3">
        <v>0</v>
      </c>
      <c r="H4426" s="4">
        <v>0.7</v>
      </c>
      <c r="I4426" s="28">
        <f t="shared" si="139"/>
        <v>201.2194360176</v>
      </c>
    </row>
    <row r="4427" spans="1:9" ht="15" customHeight="1" x14ac:dyDescent="0.35">
      <c r="A4427" s="26" t="s">
        <v>1640</v>
      </c>
      <c r="B4427" s="25" t="s">
        <v>1028</v>
      </c>
      <c r="C4427" s="6" t="s">
        <v>786</v>
      </c>
      <c r="D4427" s="13">
        <v>152.84363640000001</v>
      </c>
      <c r="E4427" s="18">
        <v>21</v>
      </c>
      <c r="F4427" s="2">
        <f t="shared" si="138"/>
        <v>184.94080004400001</v>
      </c>
      <c r="G4427" s="3">
        <v>0</v>
      </c>
      <c r="H4427" s="4">
        <v>0.7</v>
      </c>
      <c r="I4427" s="28">
        <f t="shared" si="139"/>
        <v>314.39936007480003</v>
      </c>
    </row>
    <row r="4428" spans="1:9" ht="15" customHeight="1" x14ac:dyDescent="0.35">
      <c r="A4428" s="26" t="s">
        <v>1641</v>
      </c>
      <c r="B4428" s="25" t="s">
        <v>1029</v>
      </c>
      <c r="C4428" s="6" t="s">
        <v>787</v>
      </c>
      <c r="D4428" s="13">
        <v>342.79108500000001</v>
      </c>
      <c r="E4428" s="18">
        <v>21</v>
      </c>
      <c r="F4428" s="2">
        <f t="shared" si="138"/>
        <v>414.77721285000001</v>
      </c>
      <c r="G4428" s="3">
        <v>0</v>
      </c>
      <c r="H4428" s="4">
        <v>0.7</v>
      </c>
      <c r="I4428" s="28">
        <f t="shared" si="139"/>
        <v>705.12126184500005</v>
      </c>
    </row>
    <row r="4429" spans="1:9" ht="15" customHeight="1" x14ac:dyDescent="0.35">
      <c r="A4429" s="26" t="s">
        <v>1642</v>
      </c>
      <c r="B4429" s="25" t="s">
        <v>1030</v>
      </c>
      <c r="C4429" s="6" t="s">
        <v>788</v>
      </c>
      <c r="D4429" s="13">
        <v>347.9964852</v>
      </c>
      <c r="E4429" s="18">
        <v>21</v>
      </c>
      <c r="F4429" s="2">
        <f t="shared" si="138"/>
        <v>421.07574709199997</v>
      </c>
      <c r="G4429" s="3">
        <v>0</v>
      </c>
      <c r="H4429" s="4">
        <v>0.7</v>
      </c>
      <c r="I4429" s="28">
        <f t="shared" si="139"/>
        <v>715.82877005639989</v>
      </c>
    </row>
    <row r="4430" spans="1:9" ht="15" customHeight="1" x14ac:dyDescent="0.35">
      <c r="A4430" s="26" t="s">
        <v>1643</v>
      </c>
      <c r="B4430" s="25" t="s">
        <v>8869</v>
      </c>
      <c r="C4430" s="6" t="s">
        <v>789</v>
      </c>
      <c r="D4430" s="13">
        <v>108.17417519999999</v>
      </c>
      <c r="E4430" s="18">
        <v>21</v>
      </c>
      <c r="F4430" s="2">
        <f t="shared" si="138"/>
        <v>130.89075199199999</v>
      </c>
      <c r="G4430" s="3">
        <v>0</v>
      </c>
      <c r="H4430" s="4">
        <v>0.7</v>
      </c>
      <c r="I4430" s="28">
        <f t="shared" si="139"/>
        <v>222.51427838639998</v>
      </c>
    </row>
    <row r="4431" spans="1:9" ht="15" customHeight="1" x14ac:dyDescent="0.35">
      <c r="A4431" s="26" t="s">
        <v>1644</v>
      </c>
      <c r="B4431" s="25" t="s">
        <v>8870</v>
      </c>
      <c r="C4431" s="6" t="s">
        <v>790</v>
      </c>
      <c r="D4431" s="13">
        <v>118.6609242</v>
      </c>
      <c r="E4431" s="18">
        <v>21</v>
      </c>
      <c r="F4431" s="2">
        <f t="shared" si="138"/>
        <v>143.57971828199999</v>
      </c>
      <c r="G4431" s="3">
        <v>0</v>
      </c>
      <c r="H4431" s="4">
        <v>0.7</v>
      </c>
      <c r="I4431" s="28">
        <f t="shared" si="139"/>
        <v>244.08552107939997</v>
      </c>
    </row>
    <row r="4432" spans="1:9" ht="15" customHeight="1" x14ac:dyDescent="0.35">
      <c r="A4432" s="26" t="s">
        <v>1645</v>
      </c>
      <c r="B4432" s="25" t="s">
        <v>8871</v>
      </c>
      <c r="C4432" s="6" t="s">
        <v>791</v>
      </c>
      <c r="D4432" s="13">
        <v>118.6609242</v>
      </c>
      <c r="E4432" s="18">
        <v>21</v>
      </c>
      <c r="F4432" s="2">
        <f t="shared" si="138"/>
        <v>143.57971828199999</v>
      </c>
      <c r="G4432" s="3">
        <v>0</v>
      </c>
      <c r="H4432" s="4">
        <v>0.7</v>
      </c>
      <c r="I4432" s="28">
        <f t="shared" si="139"/>
        <v>244.08552107939997</v>
      </c>
    </row>
    <row r="4433" spans="1:9" ht="15" customHeight="1" x14ac:dyDescent="0.35">
      <c r="A4433" s="26" t="s">
        <v>1646</v>
      </c>
      <c r="B4433" s="25" t="s">
        <v>8872</v>
      </c>
      <c r="C4433" s="6" t="s">
        <v>792</v>
      </c>
      <c r="D4433" s="13">
        <v>137.07553859999999</v>
      </c>
      <c r="E4433" s="18">
        <v>21</v>
      </c>
      <c r="F4433" s="2">
        <f t="shared" si="138"/>
        <v>165.86140170599998</v>
      </c>
      <c r="G4433" s="3">
        <v>0</v>
      </c>
      <c r="H4433" s="4">
        <v>0.7</v>
      </c>
      <c r="I4433" s="28">
        <f t="shared" si="139"/>
        <v>281.96438290019995</v>
      </c>
    </row>
    <row r="4434" spans="1:9" ht="15" customHeight="1" x14ac:dyDescent="0.35">
      <c r="A4434" s="26" t="s">
        <v>1647</v>
      </c>
      <c r="B4434" s="25" t="s">
        <v>8873</v>
      </c>
      <c r="C4434" s="6" t="s">
        <v>793</v>
      </c>
      <c r="D4434" s="13">
        <v>178.47920999999999</v>
      </c>
      <c r="E4434" s="18">
        <v>21</v>
      </c>
      <c r="F4434" s="2">
        <f t="shared" si="138"/>
        <v>215.9598441</v>
      </c>
      <c r="G4434" s="3">
        <v>0</v>
      </c>
      <c r="H4434" s="4">
        <v>0.7</v>
      </c>
      <c r="I4434" s="28">
        <f t="shared" si="139"/>
        <v>367.13173496999997</v>
      </c>
    </row>
    <row r="4435" spans="1:9" ht="15" customHeight="1" x14ac:dyDescent="0.35">
      <c r="A4435" s="26" t="s">
        <v>1648</v>
      </c>
      <c r="B4435" s="25" t="s">
        <v>8874</v>
      </c>
      <c r="C4435" s="6" t="s">
        <v>794</v>
      </c>
      <c r="D4435" s="13">
        <v>232.9460406</v>
      </c>
      <c r="E4435" s="18">
        <v>21</v>
      </c>
      <c r="F4435" s="2">
        <f t="shared" si="138"/>
        <v>281.86470912599998</v>
      </c>
      <c r="G4435" s="3">
        <v>0</v>
      </c>
      <c r="H4435" s="4">
        <v>0.7</v>
      </c>
      <c r="I4435" s="28">
        <f t="shared" si="139"/>
        <v>479.17000551419994</v>
      </c>
    </row>
    <row r="4436" spans="1:9" ht="15" customHeight="1" x14ac:dyDescent="0.35">
      <c r="A4436" s="26" t="s">
        <v>1649</v>
      </c>
      <c r="B4436" s="25" t="s">
        <v>11297</v>
      </c>
      <c r="C4436" s="6" t="s">
        <v>795</v>
      </c>
      <c r="D4436" s="13">
        <v>118.6609242</v>
      </c>
      <c r="E4436" s="18">
        <v>21</v>
      </c>
      <c r="F4436" s="2">
        <f t="shared" si="138"/>
        <v>143.57971828199999</v>
      </c>
      <c r="G4436" s="3">
        <v>0</v>
      </c>
      <c r="H4436" s="4">
        <v>0.7</v>
      </c>
      <c r="I4436" s="28">
        <f t="shared" si="139"/>
        <v>244.08552107939997</v>
      </c>
    </row>
    <row r="4437" spans="1:9" ht="15" customHeight="1" x14ac:dyDescent="0.35">
      <c r="A4437" s="26" t="s">
        <v>1650</v>
      </c>
      <c r="B4437" s="25" t="s">
        <v>8875</v>
      </c>
      <c r="C4437" s="6" t="s">
        <v>796</v>
      </c>
      <c r="D4437" s="13">
        <v>118.6609242</v>
      </c>
      <c r="E4437" s="18">
        <v>21</v>
      </c>
      <c r="F4437" s="2">
        <f t="shared" si="138"/>
        <v>143.57971828199999</v>
      </c>
      <c r="G4437" s="3">
        <v>0</v>
      </c>
      <c r="H4437" s="4">
        <v>0.7</v>
      </c>
      <c r="I4437" s="28">
        <f t="shared" si="139"/>
        <v>244.08552107939997</v>
      </c>
    </row>
    <row r="4438" spans="1:9" ht="15" customHeight="1" x14ac:dyDescent="0.35">
      <c r="A4438" s="26" t="s">
        <v>1651</v>
      </c>
      <c r="B4438" s="25" t="s">
        <v>8876</v>
      </c>
      <c r="C4438" s="6" t="s">
        <v>797</v>
      </c>
      <c r="D4438" s="13">
        <v>254.90102820000001</v>
      </c>
      <c r="E4438" s="18">
        <v>21</v>
      </c>
      <c r="F4438" s="2">
        <f t="shared" si="138"/>
        <v>308.43024412200003</v>
      </c>
      <c r="G4438" s="3">
        <v>0</v>
      </c>
      <c r="H4438" s="4">
        <v>0.7</v>
      </c>
      <c r="I4438" s="28">
        <f t="shared" si="139"/>
        <v>524.3314150074001</v>
      </c>
    </row>
    <row r="4439" spans="1:9" ht="15" customHeight="1" x14ac:dyDescent="0.35">
      <c r="A4439" s="26" t="s">
        <v>1652</v>
      </c>
      <c r="B4439" s="25" t="s">
        <v>8877</v>
      </c>
      <c r="C4439" s="6" t="s">
        <v>798</v>
      </c>
      <c r="D4439" s="13">
        <v>351.54270059999999</v>
      </c>
      <c r="E4439" s="18">
        <v>21</v>
      </c>
      <c r="F4439" s="2">
        <f t="shared" si="138"/>
        <v>425.366667726</v>
      </c>
      <c r="G4439" s="3">
        <v>0</v>
      </c>
      <c r="H4439" s="4">
        <v>0.7</v>
      </c>
      <c r="I4439" s="28">
        <f t="shared" si="139"/>
        <v>723.12333513420003</v>
      </c>
    </row>
    <row r="4440" spans="1:9" ht="15" customHeight="1" x14ac:dyDescent="0.35">
      <c r="A4440" s="26" t="s">
        <v>1723</v>
      </c>
      <c r="B4440" s="25" t="s">
        <v>9668</v>
      </c>
      <c r="C4440" s="6" t="s">
        <v>1031</v>
      </c>
      <c r="D4440" s="13">
        <v>194.428416</v>
      </c>
      <c r="E4440" s="18">
        <v>21</v>
      </c>
      <c r="F4440" s="2">
        <f t="shared" si="138"/>
        <v>235.25838335999998</v>
      </c>
      <c r="G4440" s="3">
        <v>0</v>
      </c>
      <c r="H4440" s="4">
        <v>0.7</v>
      </c>
      <c r="I4440" s="28">
        <f t="shared" si="139"/>
        <v>399.93925171199999</v>
      </c>
    </row>
    <row r="4441" spans="1:9" ht="15" customHeight="1" x14ac:dyDescent="0.35">
      <c r="A4441" s="26" t="s">
        <v>1724</v>
      </c>
      <c r="B4441" s="25" t="s">
        <v>8878</v>
      </c>
      <c r="C4441" s="6" t="s">
        <v>1032</v>
      </c>
      <c r="D4441" s="13">
        <v>102.6591384</v>
      </c>
      <c r="E4441" s="18">
        <v>21</v>
      </c>
      <c r="F4441" s="2">
        <f t="shared" si="138"/>
        <v>124.21755746400001</v>
      </c>
      <c r="G4441" s="3">
        <v>0</v>
      </c>
      <c r="H4441" s="4">
        <v>0.7</v>
      </c>
      <c r="I4441" s="28">
        <f t="shared" si="139"/>
        <v>211.16984768880002</v>
      </c>
    </row>
    <row r="4442" spans="1:9" ht="15" customHeight="1" x14ac:dyDescent="0.35">
      <c r="A4442" s="26" t="s">
        <v>1725</v>
      </c>
      <c r="B4442" s="25" t="s">
        <v>8879</v>
      </c>
      <c r="C4442" s="6" t="s">
        <v>1033</v>
      </c>
      <c r="D4442" s="13">
        <v>94.100315399999999</v>
      </c>
      <c r="E4442" s="18">
        <v>21</v>
      </c>
      <c r="F4442" s="2">
        <f t="shared" si="138"/>
        <v>113.861381634</v>
      </c>
      <c r="G4442" s="3">
        <v>0</v>
      </c>
      <c r="H4442" s="4">
        <v>0.7</v>
      </c>
      <c r="I4442" s="28">
        <f t="shared" si="139"/>
        <v>193.56434877779998</v>
      </c>
    </row>
    <row r="4443" spans="1:9" ht="15" customHeight="1" x14ac:dyDescent="0.35">
      <c r="A4443" s="26" t="s">
        <v>1726</v>
      </c>
      <c r="B4443" s="25" t="s">
        <v>11447</v>
      </c>
      <c r="C4443" s="6" t="s">
        <v>1034</v>
      </c>
      <c r="D4443" s="13">
        <v>136.87690380000001</v>
      </c>
      <c r="E4443" s="18">
        <v>21</v>
      </c>
      <c r="F4443" s="2">
        <f t="shared" si="138"/>
        <v>165.621053598</v>
      </c>
      <c r="G4443" s="3">
        <v>0</v>
      </c>
      <c r="H4443" s="4">
        <v>0.7</v>
      </c>
      <c r="I4443" s="28">
        <f t="shared" si="139"/>
        <v>281.55579111660001</v>
      </c>
    </row>
    <row r="4444" spans="1:9" ht="15" customHeight="1" x14ac:dyDescent="0.35">
      <c r="A4444" s="26" t="s">
        <v>3393</v>
      </c>
      <c r="B4444" s="25" t="s">
        <v>8880</v>
      </c>
      <c r="C4444" s="6" t="s">
        <v>1198</v>
      </c>
      <c r="D4444" s="13">
        <v>31488.486755114998</v>
      </c>
      <c r="E4444" s="18">
        <v>21</v>
      </c>
      <c r="F4444" s="2">
        <f t="shared" si="138"/>
        <v>38101.068973689151</v>
      </c>
      <c r="G4444" s="3">
        <v>0</v>
      </c>
      <c r="H4444" s="4">
        <v>0.7</v>
      </c>
      <c r="I4444" s="28">
        <f t="shared" si="139"/>
        <v>64771.817255271555</v>
      </c>
    </row>
    <row r="4445" spans="1:9" ht="15" customHeight="1" x14ac:dyDescent="0.35">
      <c r="A4445" s="26" t="s">
        <v>1623</v>
      </c>
      <c r="B4445" s="25" t="s">
        <v>8881</v>
      </c>
      <c r="C4445" s="6" t="s">
        <v>1624</v>
      </c>
      <c r="D4445" s="13">
        <v>30290.47164</v>
      </c>
      <c r="E4445" s="18">
        <v>21</v>
      </c>
      <c r="F4445" s="2">
        <f t="shared" si="138"/>
        <v>36651.470684400003</v>
      </c>
      <c r="G4445" s="3">
        <v>0</v>
      </c>
      <c r="H4445" s="4">
        <v>0.7</v>
      </c>
      <c r="I4445" s="28">
        <f t="shared" si="139"/>
        <v>62307.500163480006</v>
      </c>
    </row>
    <row r="4446" spans="1:9" ht="15" customHeight="1" x14ac:dyDescent="0.35">
      <c r="A4446" s="26" t="s">
        <v>1625</v>
      </c>
      <c r="B4446" s="25" t="s">
        <v>8882</v>
      </c>
      <c r="C4446" s="6" t="s">
        <v>1626</v>
      </c>
      <c r="D4446" s="13">
        <v>32037.99885</v>
      </c>
      <c r="E4446" s="18">
        <v>21</v>
      </c>
      <c r="F4446" s="2">
        <f t="shared" si="138"/>
        <v>38765.978608500001</v>
      </c>
      <c r="G4446" s="3">
        <v>0</v>
      </c>
      <c r="H4446" s="4">
        <v>0.7</v>
      </c>
      <c r="I4446" s="28">
        <f t="shared" si="139"/>
        <v>65902.16363445</v>
      </c>
    </row>
    <row r="4447" spans="1:9" ht="15" customHeight="1" x14ac:dyDescent="0.35">
      <c r="A4447" s="26" t="s">
        <v>1627</v>
      </c>
      <c r="B4447" s="25" t="s">
        <v>11449</v>
      </c>
      <c r="C4447" s="6" t="s">
        <v>1126</v>
      </c>
      <c r="D4447" s="13">
        <v>36179.910000000003</v>
      </c>
      <c r="E4447" s="18">
        <v>21</v>
      </c>
      <c r="F4447" s="2">
        <f t="shared" si="138"/>
        <v>43777.691100000004</v>
      </c>
      <c r="G4447" s="3">
        <v>0</v>
      </c>
      <c r="H4447" s="4">
        <v>0.7</v>
      </c>
      <c r="I4447" s="28">
        <f t="shared" si="139"/>
        <v>74422.074870000011</v>
      </c>
    </row>
    <row r="4448" spans="1:9" ht="15" customHeight="1" x14ac:dyDescent="0.35">
      <c r="A4448" s="26" t="s">
        <v>1767</v>
      </c>
      <c r="B4448" s="25" t="s">
        <v>8883</v>
      </c>
      <c r="C4448" s="6" t="s">
        <v>12337</v>
      </c>
      <c r="D4448" s="13">
        <v>1756.66115292841</v>
      </c>
      <c r="E4448" s="18">
        <v>21</v>
      </c>
      <c r="F4448" s="2">
        <f t="shared" si="138"/>
        <v>2125.5599950433761</v>
      </c>
      <c r="G4448" s="3">
        <v>0</v>
      </c>
      <c r="H4448" s="4">
        <v>0.7</v>
      </c>
      <c r="I4448" s="28">
        <f t="shared" si="139"/>
        <v>3613.4519915737392</v>
      </c>
    </row>
    <row r="4449" spans="1:9" ht="15" customHeight="1" x14ac:dyDescent="0.35">
      <c r="A4449" s="26" t="s">
        <v>1768</v>
      </c>
      <c r="B4449" s="25" t="s">
        <v>8884</v>
      </c>
      <c r="C4449" s="6" t="s">
        <v>12338</v>
      </c>
      <c r="D4449" s="13">
        <v>1159.5376000000001</v>
      </c>
      <c r="E4449" s="18">
        <v>21</v>
      </c>
      <c r="F4449" s="2">
        <f t="shared" si="138"/>
        <v>1403.0404960000001</v>
      </c>
      <c r="G4449" s="3">
        <v>0</v>
      </c>
      <c r="H4449" s="4">
        <v>0.7</v>
      </c>
      <c r="I4449" s="28">
        <f t="shared" si="139"/>
        <v>2385.1688432000001</v>
      </c>
    </row>
    <row r="4450" spans="1:9" ht="15" customHeight="1" x14ac:dyDescent="0.35">
      <c r="A4450" s="26" t="s">
        <v>1769</v>
      </c>
      <c r="B4450" s="25" t="s">
        <v>8885</v>
      </c>
      <c r="C4450" s="6" t="s">
        <v>12339</v>
      </c>
      <c r="D4450" s="13">
        <v>883.42409999999995</v>
      </c>
      <c r="E4450" s="18">
        <v>21</v>
      </c>
      <c r="F4450" s="2">
        <f t="shared" si="138"/>
        <v>1068.9431609999999</v>
      </c>
      <c r="G4450" s="3">
        <v>0</v>
      </c>
      <c r="H4450" s="4">
        <v>0.7</v>
      </c>
      <c r="I4450" s="28">
        <f t="shared" si="139"/>
        <v>1817.2033736999997</v>
      </c>
    </row>
    <row r="4451" spans="1:9" ht="15" customHeight="1" x14ac:dyDescent="0.35">
      <c r="A4451" s="26" t="s">
        <v>1770</v>
      </c>
      <c r="B4451" s="25" t="s">
        <v>9670</v>
      </c>
      <c r="C4451" s="6" t="s">
        <v>12340</v>
      </c>
      <c r="D4451" s="13">
        <v>1048.6971770077701</v>
      </c>
      <c r="E4451" s="18">
        <v>21</v>
      </c>
      <c r="F4451" s="2">
        <f t="shared" si="138"/>
        <v>1268.9235841794018</v>
      </c>
      <c r="G4451" s="3">
        <v>0</v>
      </c>
      <c r="H4451" s="4">
        <v>0.7</v>
      </c>
      <c r="I4451" s="28">
        <f t="shared" si="139"/>
        <v>2157.1700931049832</v>
      </c>
    </row>
    <row r="4452" spans="1:9" ht="15" customHeight="1" x14ac:dyDescent="0.35">
      <c r="A4452" s="26" t="s">
        <v>1771</v>
      </c>
      <c r="B4452" s="25" t="s">
        <v>11451</v>
      </c>
      <c r="C4452" s="6" t="s">
        <v>12341</v>
      </c>
      <c r="D4452" s="13">
        <v>743.10413735999998</v>
      </c>
      <c r="E4452" s="18">
        <v>21</v>
      </c>
      <c r="F4452" s="2">
        <f t="shared" si="138"/>
        <v>899.15600620559997</v>
      </c>
      <c r="G4452" s="3">
        <v>0</v>
      </c>
      <c r="H4452" s="4">
        <v>0.7</v>
      </c>
      <c r="I4452" s="28">
        <f t="shared" si="139"/>
        <v>1528.5652105495199</v>
      </c>
    </row>
    <row r="4453" spans="1:9" ht="15" customHeight="1" x14ac:dyDescent="0.35">
      <c r="A4453" s="26" t="s">
        <v>1772</v>
      </c>
      <c r="B4453" s="25" t="s">
        <v>9727</v>
      </c>
      <c r="C4453" s="6" t="s">
        <v>12342</v>
      </c>
      <c r="D4453" s="13">
        <v>1565.5565899999999</v>
      </c>
      <c r="E4453" s="18">
        <v>21</v>
      </c>
      <c r="F4453" s="2">
        <f t="shared" si="138"/>
        <v>1894.3234739</v>
      </c>
      <c r="G4453" s="3">
        <v>0</v>
      </c>
      <c r="H4453" s="4">
        <v>0.7</v>
      </c>
      <c r="I4453" s="28">
        <f t="shared" si="139"/>
        <v>3220.3499056299997</v>
      </c>
    </row>
    <row r="4454" spans="1:9" ht="15" customHeight="1" x14ac:dyDescent="0.35">
      <c r="A4454" s="26" t="s">
        <v>1773</v>
      </c>
      <c r="B4454" s="25" t="s">
        <v>9729</v>
      </c>
      <c r="C4454" s="6" t="s">
        <v>12343</v>
      </c>
      <c r="D4454" s="13">
        <v>1458.10184</v>
      </c>
      <c r="E4454" s="18">
        <v>21</v>
      </c>
      <c r="F4454" s="2">
        <f t="shared" si="138"/>
        <v>1764.3032264000001</v>
      </c>
      <c r="G4454" s="3">
        <v>0</v>
      </c>
      <c r="H4454" s="4">
        <v>0.7</v>
      </c>
      <c r="I4454" s="28">
        <f t="shared" si="139"/>
        <v>2999.31548488</v>
      </c>
    </row>
    <row r="4455" spans="1:9" ht="15" customHeight="1" x14ac:dyDescent="0.35">
      <c r="A4455" s="26" t="s">
        <v>2398</v>
      </c>
      <c r="B4455" s="25" t="s">
        <v>11453</v>
      </c>
      <c r="C4455" s="6" t="s">
        <v>1035</v>
      </c>
      <c r="D4455" s="13">
        <v>22702.699114945201</v>
      </c>
      <c r="E4455" s="18">
        <v>21</v>
      </c>
      <c r="F4455" s="2">
        <f t="shared" si="138"/>
        <v>27470.265929083693</v>
      </c>
      <c r="G4455" s="3">
        <v>0</v>
      </c>
      <c r="H4455" s="4">
        <v>0.7</v>
      </c>
      <c r="I4455" s="28">
        <f t="shared" si="139"/>
        <v>46699.452079442279</v>
      </c>
    </row>
    <row r="4456" spans="1:9" ht="15" customHeight="1" x14ac:dyDescent="0.35">
      <c r="A4456" s="26" t="s">
        <v>13837</v>
      </c>
      <c r="B4456" s="25" t="s">
        <v>9731</v>
      </c>
      <c r="C4456" s="6" t="s">
        <v>13838</v>
      </c>
      <c r="D4456" s="13">
        <v>9946.6553968306707</v>
      </c>
      <c r="E4456" s="18">
        <v>21</v>
      </c>
      <c r="F4456" s="2">
        <f t="shared" si="138"/>
        <v>12035.453030165112</v>
      </c>
      <c r="G4456" s="3">
        <v>0</v>
      </c>
      <c r="H4456" s="4">
        <v>0.7</v>
      </c>
      <c r="I4456" s="28">
        <f t="shared" si="139"/>
        <v>20460.270151280689</v>
      </c>
    </row>
    <row r="4457" spans="1:9" ht="15" customHeight="1" x14ac:dyDescent="0.35">
      <c r="A4457" s="26" t="s">
        <v>1417</v>
      </c>
      <c r="B4457" s="25" t="s">
        <v>9733</v>
      </c>
      <c r="C4457" s="6" t="s">
        <v>13873</v>
      </c>
      <c r="D4457" s="13">
        <v>6050.3575860000001</v>
      </c>
      <c r="E4457" s="18">
        <v>21</v>
      </c>
      <c r="F4457" s="2">
        <f t="shared" si="138"/>
        <v>7320.9326790599998</v>
      </c>
      <c r="G4457" s="3">
        <v>0</v>
      </c>
      <c r="H4457" s="4">
        <v>0.7</v>
      </c>
      <c r="I4457" s="28">
        <f t="shared" si="139"/>
        <v>12445.585554402</v>
      </c>
    </row>
    <row r="4458" spans="1:9" ht="15" customHeight="1" x14ac:dyDescent="0.35">
      <c r="A4458" s="26" t="s">
        <v>1382</v>
      </c>
      <c r="B4458" s="25" t="s">
        <v>9735</v>
      </c>
      <c r="C4458" s="6" t="s">
        <v>13839</v>
      </c>
      <c r="D4458" s="13">
        <v>16311.220705</v>
      </c>
      <c r="E4458" s="18">
        <v>21</v>
      </c>
      <c r="F4458" s="2">
        <f t="shared" si="138"/>
        <v>19736.577053050001</v>
      </c>
      <c r="G4458" s="3">
        <v>0</v>
      </c>
      <c r="H4458" s="4">
        <v>0.7</v>
      </c>
      <c r="I4458" s="28">
        <f t="shared" si="139"/>
        <v>33552.180990184999</v>
      </c>
    </row>
    <row r="4459" spans="1:9" ht="15" customHeight="1" x14ac:dyDescent="0.35">
      <c r="A4459" s="26" t="s">
        <v>1386</v>
      </c>
      <c r="B4459" s="25" t="s">
        <v>9737</v>
      </c>
      <c r="C4459" s="6" t="s">
        <v>13591</v>
      </c>
      <c r="D4459" s="13">
        <v>21608.41995</v>
      </c>
      <c r="E4459" s="18">
        <v>21</v>
      </c>
      <c r="F4459" s="2">
        <f t="shared" si="138"/>
        <v>26146.188139499998</v>
      </c>
      <c r="G4459" s="3">
        <v>0</v>
      </c>
      <c r="H4459" s="4">
        <v>0.7</v>
      </c>
      <c r="I4459" s="28">
        <f t="shared" si="139"/>
        <v>44448.519837149994</v>
      </c>
    </row>
    <row r="4460" spans="1:9" ht="15" customHeight="1" x14ac:dyDescent="0.35">
      <c r="A4460" s="26" t="s">
        <v>1388</v>
      </c>
      <c r="B4460" s="25" t="s">
        <v>9739</v>
      </c>
      <c r="C4460" s="6" t="s">
        <v>13954</v>
      </c>
      <c r="D4460" s="13">
        <v>7473.5279385000003</v>
      </c>
      <c r="E4460" s="18">
        <v>21</v>
      </c>
      <c r="F4460" s="2">
        <f t="shared" si="138"/>
        <v>9042.9688055850002</v>
      </c>
      <c r="G4460" s="3">
        <v>0</v>
      </c>
      <c r="H4460" s="4">
        <v>0.7</v>
      </c>
      <c r="I4460" s="28">
        <f t="shared" si="139"/>
        <v>15373.0469694945</v>
      </c>
    </row>
    <row r="4461" spans="1:9" ht="15" customHeight="1" x14ac:dyDescent="0.35">
      <c r="A4461" s="26" t="s">
        <v>1390</v>
      </c>
      <c r="B4461" s="25" t="s">
        <v>753</v>
      </c>
      <c r="C4461" s="6" t="s">
        <v>12315</v>
      </c>
      <c r="D4461" s="13">
        <v>20676.96078084</v>
      </c>
      <c r="E4461" s="18">
        <v>21</v>
      </c>
      <c r="F4461" s="2">
        <f t="shared" si="138"/>
        <v>25019.1225448164</v>
      </c>
      <c r="G4461" s="3">
        <v>0</v>
      </c>
      <c r="H4461" s="4">
        <v>0.7</v>
      </c>
      <c r="I4461" s="28">
        <f t="shared" si="139"/>
        <v>42532.508326187883</v>
      </c>
    </row>
    <row r="4462" spans="1:9" ht="15" customHeight="1" x14ac:dyDescent="0.35">
      <c r="A4462" s="26" t="s">
        <v>11529</v>
      </c>
      <c r="B4462" s="25" t="s">
        <v>754</v>
      </c>
      <c r="C4462" s="6" t="s">
        <v>13735</v>
      </c>
      <c r="D4462" s="13">
        <v>23231.583375000002</v>
      </c>
      <c r="E4462" s="18">
        <v>10.5</v>
      </c>
      <c r="F4462" s="2">
        <f t="shared" si="138"/>
        <v>25670.899629375002</v>
      </c>
      <c r="G4462" s="3">
        <v>0</v>
      </c>
      <c r="H4462" s="4">
        <v>0.7</v>
      </c>
      <c r="I4462" s="28">
        <f t="shared" si="139"/>
        <v>43640.529369937503</v>
      </c>
    </row>
    <row r="4463" spans="1:9" ht="15" customHeight="1" x14ac:dyDescent="0.35">
      <c r="A4463" s="26" t="s">
        <v>10401</v>
      </c>
      <c r="B4463" s="25" t="s">
        <v>755</v>
      </c>
      <c r="C4463" s="6" t="s">
        <v>12760</v>
      </c>
      <c r="D4463" s="13">
        <v>28633.536749999999</v>
      </c>
      <c r="E4463" s="18">
        <v>10.5</v>
      </c>
      <c r="F4463" s="2">
        <f t="shared" si="138"/>
        <v>31640.05810875</v>
      </c>
      <c r="G4463" s="3">
        <v>0</v>
      </c>
      <c r="H4463" s="4">
        <v>0.7</v>
      </c>
      <c r="I4463" s="28">
        <f t="shared" si="139"/>
        <v>53788.098784875001</v>
      </c>
    </row>
    <row r="4464" spans="1:9" ht="15" customHeight="1" x14ac:dyDescent="0.35">
      <c r="A4464" s="26" t="s">
        <v>11638</v>
      </c>
      <c r="B4464" s="25" t="s">
        <v>756</v>
      </c>
      <c r="C4464" s="6" t="s">
        <v>13736</v>
      </c>
      <c r="D4464" s="13">
        <v>23231.583375000002</v>
      </c>
      <c r="E4464" s="18">
        <v>10.5</v>
      </c>
      <c r="F4464" s="2">
        <f t="shared" si="138"/>
        <v>25670.899629375002</v>
      </c>
      <c r="G4464" s="3">
        <v>0</v>
      </c>
      <c r="H4464" s="4">
        <v>0.7</v>
      </c>
      <c r="I4464" s="28">
        <f t="shared" si="139"/>
        <v>43640.529369937503</v>
      </c>
    </row>
    <row r="4465" spans="1:9" ht="15" customHeight="1" x14ac:dyDescent="0.35">
      <c r="A4465" s="26" t="s">
        <v>10402</v>
      </c>
      <c r="B4465" s="25" t="s">
        <v>757</v>
      </c>
      <c r="C4465" s="6" t="s">
        <v>12761</v>
      </c>
      <c r="D4465" s="13">
        <v>28633.536749999999</v>
      </c>
      <c r="E4465" s="18">
        <v>10.5</v>
      </c>
      <c r="F4465" s="2">
        <f t="shared" si="138"/>
        <v>31640.05810875</v>
      </c>
      <c r="G4465" s="3">
        <v>0</v>
      </c>
      <c r="H4465" s="4">
        <v>0.7</v>
      </c>
      <c r="I4465" s="28">
        <f t="shared" si="139"/>
        <v>53788.098784875001</v>
      </c>
    </row>
    <row r="4466" spans="1:9" ht="15" customHeight="1" x14ac:dyDescent="0.35">
      <c r="A4466" s="26" t="s">
        <v>10931</v>
      </c>
      <c r="B4466" s="25" t="s">
        <v>758</v>
      </c>
      <c r="C4466" s="6" t="s">
        <v>12762</v>
      </c>
      <c r="D4466" s="13">
        <v>20111.398125</v>
      </c>
      <c r="E4466" s="18">
        <v>10.5</v>
      </c>
      <c r="F4466" s="2">
        <f t="shared" si="138"/>
        <v>22223.094928125</v>
      </c>
      <c r="G4466" s="3">
        <v>0</v>
      </c>
      <c r="H4466" s="4">
        <v>0.7</v>
      </c>
      <c r="I4466" s="28">
        <f t="shared" si="139"/>
        <v>37779.261377812501</v>
      </c>
    </row>
    <row r="4467" spans="1:9" ht="15" customHeight="1" x14ac:dyDescent="0.35">
      <c r="A4467" s="26" t="s">
        <v>10932</v>
      </c>
      <c r="B4467" s="25" t="s">
        <v>759</v>
      </c>
      <c r="C4467" s="6" t="s">
        <v>12763</v>
      </c>
      <c r="D4467" s="13">
        <v>20111.398125</v>
      </c>
      <c r="E4467" s="18">
        <v>10.5</v>
      </c>
      <c r="F4467" s="2">
        <f t="shared" si="138"/>
        <v>22223.094928125</v>
      </c>
      <c r="G4467" s="3">
        <v>0</v>
      </c>
      <c r="H4467" s="4">
        <v>0.7</v>
      </c>
      <c r="I4467" s="28">
        <f t="shared" si="139"/>
        <v>37779.261377812501</v>
      </c>
    </row>
    <row r="4468" spans="1:9" ht="15" customHeight="1" x14ac:dyDescent="0.35">
      <c r="A4468" s="26" t="s">
        <v>12764</v>
      </c>
      <c r="B4468" s="25" t="s">
        <v>760</v>
      </c>
      <c r="C4468" s="6" t="s">
        <v>12765</v>
      </c>
      <c r="D4468" s="13">
        <v>20111.398125</v>
      </c>
      <c r="E4468" s="18">
        <v>10.5</v>
      </c>
      <c r="F4468" s="2">
        <f t="shared" si="138"/>
        <v>22223.094928125</v>
      </c>
      <c r="G4468" s="3">
        <v>0</v>
      </c>
      <c r="H4468" s="4">
        <v>0.7</v>
      </c>
      <c r="I4468" s="28">
        <f t="shared" si="139"/>
        <v>37779.261377812501</v>
      </c>
    </row>
    <row r="4469" spans="1:9" ht="15" customHeight="1" x14ac:dyDescent="0.35">
      <c r="A4469" s="26" t="s">
        <v>10933</v>
      </c>
      <c r="B4469" s="25" t="s">
        <v>761</v>
      </c>
      <c r="C4469" s="6" t="s">
        <v>12768</v>
      </c>
      <c r="D4469" s="13">
        <v>26128.898249999998</v>
      </c>
      <c r="E4469" s="18">
        <v>10.5</v>
      </c>
      <c r="F4469" s="2">
        <f t="shared" si="138"/>
        <v>28872.432566249998</v>
      </c>
      <c r="G4469" s="3">
        <v>0</v>
      </c>
      <c r="H4469" s="4">
        <v>0.7</v>
      </c>
      <c r="I4469" s="28">
        <f t="shared" si="139"/>
        <v>49083.135362624998</v>
      </c>
    </row>
    <row r="4470" spans="1:9" ht="15" customHeight="1" x14ac:dyDescent="0.35">
      <c r="A4470" s="26" t="s">
        <v>5687</v>
      </c>
      <c r="B4470" s="25" t="s">
        <v>762</v>
      </c>
      <c r="C4470" s="6" t="s">
        <v>800</v>
      </c>
      <c r="D4470" s="13">
        <v>17090.767706999999</v>
      </c>
      <c r="E4470" s="18">
        <v>21</v>
      </c>
      <c r="F4470" s="2">
        <f t="shared" si="138"/>
        <v>20679.828925469999</v>
      </c>
      <c r="G4470" s="3">
        <v>0</v>
      </c>
      <c r="H4470" s="4">
        <v>0.7</v>
      </c>
      <c r="I4470" s="28">
        <f t="shared" si="139"/>
        <v>35155.709173299001</v>
      </c>
    </row>
    <row r="4471" spans="1:9" ht="15" customHeight="1" x14ac:dyDescent="0.35">
      <c r="A4471" s="26" t="s">
        <v>5688</v>
      </c>
      <c r="B4471" s="25" t="s">
        <v>763</v>
      </c>
      <c r="C4471" s="6" t="s">
        <v>801</v>
      </c>
      <c r="D4471" s="13">
        <v>14964.966393000001</v>
      </c>
      <c r="E4471" s="18">
        <v>21</v>
      </c>
      <c r="F4471" s="2">
        <f t="shared" si="138"/>
        <v>18107.60933553</v>
      </c>
      <c r="G4471" s="3">
        <v>0</v>
      </c>
      <c r="H4471" s="4">
        <v>0.7</v>
      </c>
      <c r="I4471" s="28">
        <f t="shared" si="139"/>
        <v>30782.935870400997</v>
      </c>
    </row>
    <row r="4472" spans="1:9" ht="15" customHeight="1" x14ac:dyDescent="0.35">
      <c r="A4472" s="26" t="s">
        <v>5689</v>
      </c>
      <c r="B4472" s="25" t="s">
        <v>764</v>
      </c>
      <c r="C4472" s="6" t="s">
        <v>802</v>
      </c>
      <c r="D4472" s="13">
        <v>20583.155579999999</v>
      </c>
      <c r="E4472" s="18">
        <v>21</v>
      </c>
      <c r="F4472" s="2">
        <f t="shared" si="138"/>
        <v>24905.618251799999</v>
      </c>
      <c r="G4472" s="3">
        <v>0</v>
      </c>
      <c r="H4472" s="4">
        <v>0.7</v>
      </c>
      <c r="I4472" s="28">
        <f t="shared" si="139"/>
        <v>42339.551028059999</v>
      </c>
    </row>
    <row r="4473" spans="1:9" ht="15" customHeight="1" x14ac:dyDescent="0.35">
      <c r="A4473" s="26" t="s">
        <v>5690</v>
      </c>
      <c r="B4473" s="25" t="s">
        <v>765</v>
      </c>
      <c r="C4473" s="6" t="s">
        <v>803</v>
      </c>
      <c r="D4473" s="13">
        <v>18170.539803</v>
      </c>
      <c r="E4473" s="18">
        <v>21</v>
      </c>
      <c r="F4473" s="2">
        <f t="shared" si="138"/>
        <v>21986.353161629999</v>
      </c>
      <c r="G4473" s="3">
        <v>0</v>
      </c>
      <c r="H4473" s="4">
        <v>0.7</v>
      </c>
      <c r="I4473" s="28">
        <f t="shared" si="139"/>
        <v>37376.800374770995</v>
      </c>
    </row>
    <row r="4474" spans="1:9" ht="15" customHeight="1" x14ac:dyDescent="0.35">
      <c r="A4474" s="26" t="s">
        <v>5691</v>
      </c>
      <c r="B4474" s="25" t="s">
        <v>766</v>
      </c>
      <c r="C4474" s="6" t="s">
        <v>804</v>
      </c>
      <c r="D4474" s="13">
        <v>13716.479907000001</v>
      </c>
      <c r="E4474" s="18">
        <v>21</v>
      </c>
      <c r="F4474" s="2">
        <f t="shared" si="138"/>
        <v>16596.94068747</v>
      </c>
      <c r="G4474" s="3">
        <v>0</v>
      </c>
      <c r="H4474" s="4">
        <v>0.7</v>
      </c>
      <c r="I4474" s="28">
        <f t="shared" si="139"/>
        <v>28214.799168698999</v>
      </c>
    </row>
    <row r="4475" spans="1:9" ht="15" customHeight="1" x14ac:dyDescent="0.35">
      <c r="A4475" s="26" t="s">
        <v>9593</v>
      </c>
      <c r="B4475" s="25" t="s">
        <v>767</v>
      </c>
      <c r="C4475" s="6" t="s">
        <v>9594</v>
      </c>
      <c r="D4475" s="13">
        <v>8806.8911580000004</v>
      </c>
      <c r="E4475" s="18">
        <v>21</v>
      </c>
      <c r="F4475" s="2">
        <f t="shared" si="138"/>
        <v>10656.33830118</v>
      </c>
      <c r="G4475" s="3">
        <v>0</v>
      </c>
      <c r="H4475" s="4">
        <v>0.7</v>
      </c>
      <c r="I4475" s="28">
        <f t="shared" si="139"/>
        <v>18115.775112005998</v>
      </c>
    </row>
    <row r="4476" spans="1:9" ht="15" customHeight="1" x14ac:dyDescent="0.35">
      <c r="A4476" s="26" t="s">
        <v>5697</v>
      </c>
      <c r="B4476" s="25" t="s">
        <v>768</v>
      </c>
      <c r="C4476" s="6" t="s">
        <v>805</v>
      </c>
      <c r="D4476" s="13">
        <v>8806.8911580000004</v>
      </c>
      <c r="E4476" s="18">
        <v>21</v>
      </c>
      <c r="F4476" s="2">
        <f t="shared" si="138"/>
        <v>10656.33830118</v>
      </c>
      <c r="G4476" s="3">
        <v>0</v>
      </c>
      <c r="H4476" s="4">
        <v>0.7</v>
      </c>
      <c r="I4476" s="28">
        <f t="shared" si="139"/>
        <v>18115.775112005998</v>
      </c>
    </row>
    <row r="4477" spans="1:9" ht="15" customHeight="1" x14ac:dyDescent="0.35">
      <c r="A4477" s="26" t="s">
        <v>5698</v>
      </c>
      <c r="B4477" s="25" t="s">
        <v>769</v>
      </c>
      <c r="C4477" s="6" t="s">
        <v>806</v>
      </c>
      <c r="D4477" s="13">
        <v>11810.007299999999</v>
      </c>
      <c r="E4477" s="18">
        <v>21</v>
      </c>
      <c r="F4477" s="2">
        <f t="shared" si="138"/>
        <v>14290.108832999998</v>
      </c>
      <c r="G4477" s="3">
        <v>0</v>
      </c>
      <c r="H4477" s="4">
        <v>0.7</v>
      </c>
      <c r="I4477" s="28">
        <f t="shared" si="139"/>
        <v>24293.185016099997</v>
      </c>
    </row>
    <row r="4478" spans="1:9" ht="15" customHeight="1" x14ac:dyDescent="0.35">
      <c r="A4478" s="26" t="s">
        <v>5699</v>
      </c>
      <c r="B4478" s="25" t="s">
        <v>770</v>
      </c>
      <c r="C4478" s="6" t="s">
        <v>807</v>
      </c>
      <c r="D4478" s="13">
        <v>15639.823953000001</v>
      </c>
      <c r="E4478" s="18">
        <v>21</v>
      </c>
      <c r="F4478" s="2">
        <f t="shared" si="138"/>
        <v>18924.186983129999</v>
      </c>
      <c r="G4478" s="3">
        <v>0</v>
      </c>
      <c r="H4478" s="4">
        <v>0.7</v>
      </c>
      <c r="I4478" s="28">
        <f t="shared" si="139"/>
        <v>32171.117871320999</v>
      </c>
    </row>
    <row r="4479" spans="1:9" ht="15" customHeight="1" x14ac:dyDescent="0.35">
      <c r="A4479" s="26" t="s">
        <v>5700</v>
      </c>
      <c r="B4479" s="25" t="s">
        <v>771</v>
      </c>
      <c r="C4479" s="6" t="s">
        <v>808</v>
      </c>
      <c r="D4479" s="13">
        <v>11270.121252000001</v>
      </c>
      <c r="E4479" s="18">
        <v>21</v>
      </c>
      <c r="F4479" s="2">
        <f t="shared" si="138"/>
        <v>13636.846714920001</v>
      </c>
      <c r="G4479" s="3">
        <v>0</v>
      </c>
      <c r="H4479" s="4">
        <v>0.7</v>
      </c>
      <c r="I4479" s="28">
        <f t="shared" si="139"/>
        <v>23182.639415363999</v>
      </c>
    </row>
    <row r="4480" spans="1:9" ht="15" customHeight="1" x14ac:dyDescent="0.35">
      <c r="A4480" s="26" t="s">
        <v>5701</v>
      </c>
      <c r="B4480" s="25" t="s">
        <v>772</v>
      </c>
      <c r="C4480" s="6" t="s">
        <v>809</v>
      </c>
      <c r="D4480" s="13">
        <v>10089.120521999999</v>
      </c>
      <c r="E4480" s="18">
        <v>21</v>
      </c>
      <c r="F4480" s="2">
        <f t="shared" si="138"/>
        <v>12207.835831619999</v>
      </c>
      <c r="G4480" s="3">
        <v>0</v>
      </c>
      <c r="H4480" s="4">
        <v>0.7</v>
      </c>
      <c r="I4480" s="28">
        <f t="shared" si="139"/>
        <v>20753.320913754</v>
      </c>
    </row>
    <row r="4481" spans="1:9" ht="15" customHeight="1" x14ac:dyDescent="0.35">
      <c r="A4481" s="26" t="s">
        <v>5702</v>
      </c>
      <c r="B4481" s="25" t="s">
        <v>773</v>
      </c>
      <c r="C4481" s="6" t="s">
        <v>810</v>
      </c>
      <c r="D4481" s="13">
        <v>13514.022638999999</v>
      </c>
      <c r="E4481" s="18">
        <v>21</v>
      </c>
      <c r="F4481" s="2">
        <f t="shared" si="138"/>
        <v>16351.967393189998</v>
      </c>
      <c r="G4481" s="3">
        <v>0</v>
      </c>
      <c r="H4481" s="4">
        <v>0.7</v>
      </c>
      <c r="I4481" s="28">
        <f t="shared" si="139"/>
        <v>27798.344568422996</v>
      </c>
    </row>
    <row r="4482" spans="1:9" ht="15" customHeight="1" x14ac:dyDescent="0.35">
      <c r="A4482" s="26" t="s">
        <v>5693</v>
      </c>
      <c r="B4482" s="25" t="s">
        <v>9426</v>
      </c>
      <c r="C4482" s="6" t="s">
        <v>812</v>
      </c>
      <c r="D4482" s="13">
        <v>20515.669824000001</v>
      </c>
      <c r="E4482" s="18">
        <v>21</v>
      </c>
      <c r="F4482" s="2">
        <f t="shared" si="138"/>
        <v>24823.96048704</v>
      </c>
      <c r="G4482" s="3">
        <v>0</v>
      </c>
      <c r="H4482" s="4">
        <v>0.7</v>
      </c>
      <c r="I4482" s="28">
        <f t="shared" si="139"/>
        <v>42200.732827968</v>
      </c>
    </row>
    <row r="4483" spans="1:9" ht="15" customHeight="1" x14ac:dyDescent="0.35">
      <c r="A4483" s="26" t="s">
        <v>5694</v>
      </c>
      <c r="B4483" s="25" t="s">
        <v>9704</v>
      </c>
      <c r="C4483" s="6" t="s">
        <v>813</v>
      </c>
      <c r="D4483" s="13">
        <v>18575.454339</v>
      </c>
      <c r="E4483" s="18">
        <v>21</v>
      </c>
      <c r="F4483" s="2">
        <f t="shared" si="138"/>
        <v>22476.299750189999</v>
      </c>
      <c r="G4483" s="3">
        <v>0</v>
      </c>
      <c r="H4483" s="4">
        <v>0.7</v>
      </c>
      <c r="I4483" s="28">
        <f t="shared" si="139"/>
        <v>38209.709575322995</v>
      </c>
    </row>
    <row r="4484" spans="1:9" ht="15" customHeight="1" x14ac:dyDescent="0.35">
      <c r="A4484" s="26" t="s">
        <v>5695</v>
      </c>
      <c r="B4484" s="25" t="s">
        <v>10872</v>
      </c>
      <c r="C4484" s="6" t="s">
        <v>814</v>
      </c>
      <c r="D4484" s="13">
        <v>23231.971503000001</v>
      </c>
      <c r="E4484" s="18">
        <v>21</v>
      </c>
      <c r="F4484" s="2">
        <f t="shared" si="138"/>
        <v>28110.685518630002</v>
      </c>
      <c r="G4484" s="3">
        <v>0</v>
      </c>
      <c r="H4484" s="4">
        <v>0.7</v>
      </c>
      <c r="I4484" s="28">
        <f t="shared" si="139"/>
        <v>47788.165381671002</v>
      </c>
    </row>
    <row r="4485" spans="1:9" ht="15" customHeight="1" x14ac:dyDescent="0.35">
      <c r="A4485" s="26" t="s">
        <v>5696</v>
      </c>
      <c r="B4485" s="25" t="s">
        <v>10874</v>
      </c>
      <c r="C4485" s="6" t="s">
        <v>815</v>
      </c>
      <c r="D4485" s="13">
        <v>17310.096414</v>
      </c>
      <c r="E4485" s="18">
        <v>21</v>
      </c>
      <c r="F4485" s="2">
        <f t="shared" si="138"/>
        <v>20945.216660940001</v>
      </c>
      <c r="G4485" s="3">
        <v>0</v>
      </c>
      <c r="H4485" s="4">
        <v>0.7</v>
      </c>
      <c r="I4485" s="28">
        <f t="shared" si="139"/>
        <v>35606.868323597999</v>
      </c>
    </row>
    <row r="4486" spans="1:9" ht="15" customHeight="1" x14ac:dyDescent="0.35">
      <c r="A4486" s="26" t="s">
        <v>10574</v>
      </c>
      <c r="B4486" s="25" t="s">
        <v>774</v>
      </c>
      <c r="C4486" s="6" t="s">
        <v>12966</v>
      </c>
      <c r="D4486" s="13">
        <v>17086.373346041997</v>
      </c>
      <c r="E4486" s="18">
        <v>21</v>
      </c>
      <c r="F4486" s="2">
        <f t="shared" ref="F4486:F4493" si="140">D4486*E4486/100+D4486</f>
        <v>20674.511748710815</v>
      </c>
      <c r="G4486" s="3">
        <v>0</v>
      </c>
      <c r="H4486" s="4">
        <v>0.7</v>
      </c>
      <c r="I4486" s="28">
        <f t="shared" ref="I4486:I4493" si="141">IF(G4486=-1,0,F4486*((100-G4486)/100)*(1+H4486))</f>
        <v>35146.669972808384</v>
      </c>
    </row>
    <row r="4487" spans="1:9" ht="15" customHeight="1" x14ac:dyDescent="0.35">
      <c r="A4487" s="26" t="s">
        <v>10033</v>
      </c>
      <c r="B4487" s="25" t="s">
        <v>775</v>
      </c>
      <c r="C4487" s="6" t="s">
        <v>11045</v>
      </c>
      <c r="D4487" s="13">
        <v>16559.358583745248</v>
      </c>
      <c r="E4487" s="18">
        <v>21</v>
      </c>
      <c r="F4487" s="2">
        <f t="shared" si="140"/>
        <v>20036.823886331749</v>
      </c>
      <c r="G4487" s="3">
        <v>0</v>
      </c>
      <c r="H4487" s="4">
        <v>0.7</v>
      </c>
      <c r="I4487" s="28">
        <f t="shared" si="141"/>
        <v>34062.600606763976</v>
      </c>
    </row>
    <row r="4488" spans="1:9" ht="15" customHeight="1" x14ac:dyDescent="0.35">
      <c r="A4488" s="26" t="s">
        <v>12788</v>
      </c>
      <c r="B4488" s="25" t="s">
        <v>776</v>
      </c>
      <c r="C4488" s="6" t="s">
        <v>12789</v>
      </c>
      <c r="D4488" s="13">
        <v>14345.896582098901</v>
      </c>
      <c r="E4488" s="18">
        <v>21</v>
      </c>
      <c r="F4488" s="2">
        <f t="shared" si="140"/>
        <v>17358.534864339672</v>
      </c>
      <c r="G4488" s="3">
        <v>0</v>
      </c>
      <c r="H4488" s="4">
        <v>0.7</v>
      </c>
      <c r="I4488" s="28">
        <f t="shared" si="141"/>
        <v>29509.509269377442</v>
      </c>
    </row>
    <row r="4489" spans="1:9" ht="15" customHeight="1" x14ac:dyDescent="0.35">
      <c r="A4489" s="26" t="s">
        <v>10034</v>
      </c>
      <c r="B4489" s="25" t="s">
        <v>777</v>
      </c>
      <c r="C4489" s="6" t="s">
        <v>11046</v>
      </c>
      <c r="D4489" s="13">
        <v>20153.3615115885</v>
      </c>
      <c r="E4489" s="18">
        <v>21</v>
      </c>
      <c r="F4489" s="2">
        <f t="shared" si="140"/>
        <v>24385.567429022085</v>
      </c>
      <c r="G4489" s="3">
        <v>0</v>
      </c>
      <c r="H4489" s="4">
        <v>0.7</v>
      </c>
      <c r="I4489" s="28">
        <f t="shared" si="141"/>
        <v>41455.464629337541</v>
      </c>
    </row>
    <row r="4490" spans="1:9" ht="15" customHeight="1" x14ac:dyDescent="0.35">
      <c r="A4490" s="26" t="s">
        <v>10035</v>
      </c>
      <c r="B4490" s="25" t="s">
        <v>778</v>
      </c>
      <c r="C4490" s="6" t="s">
        <v>11047</v>
      </c>
      <c r="D4490" s="13">
        <v>16950.459012607575</v>
      </c>
      <c r="E4490" s="18">
        <v>21</v>
      </c>
      <c r="F4490" s="2">
        <f t="shared" si="140"/>
        <v>20510.055405255167</v>
      </c>
      <c r="G4490" s="3">
        <v>0</v>
      </c>
      <c r="H4490" s="4">
        <v>0.7</v>
      </c>
      <c r="I4490" s="28">
        <f t="shared" si="141"/>
        <v>34867.094188933785</v>
      </c>
    </row>
    <row r="4491" spans="1:9" ht="15" customHeight="1" x14ac:dyDescent="0.35">
      <c r="A4491" s="26" t="s">
        <v>13834</v>
      </c>
      <c r="B4491" s="25" t="s">
        <v>779</v>
      </c>
      <c r="C4491" s="6" t="s">
        <v>13835</v>
      </c>
      <c r="D4491" s="13">
        <v>32028.628738108273</v>
      </c>
      <c r="E4491" s="18">
        <v>21</v>
      </c>
      <c r="F4491" s="2">
        <f t="shared" si="140"/>
        <v>38754.640773111008</v>
      </c>
      <c r="G4491" s="3">
        <v>0</v>
      </c>
      <c r="H4491" s="4">
        <v>0.7</v>
      </c>
      <c r="I4491" s="28">
        <f t="shared" si="141"/>
        <v>65882.88931428871</v>
      </c>
    </row>
    <row r="4492" spans="1:9" ht="15" customHeight="1" x14ac:dyDescent="0.35">
      <c r="A4492" s="26" t="s">
        <v>9672</v>
      </c>
      <c r="B4492" s="25" t="s">
        <v>780</v>
      </c>
      <c r="C4492" s="6" t="s">
        <v>11048</v>
      </c>
      <c r="D4492" s="13">
        <v>51298.745208223496</v>
      </c>
      <c r="E4492" s="18">
        <v>21</v>
      </c>
      <c r="F4492" s="2">
        <f t="shared" si="140"/>
        <v>62071.481701950426</v>
      </c>
      <c r="G4492" s="3">
        <v>0</v>
      </c>
      <c r="H4492" s="4">
        <v>0.7</v>
      </c>
      <c r="I4492" s="28">
        <f t="shared" si="141"/>
        <v>105521.51889331572</v>
      </c>
    </row>
    <row r="4493" spans="1:9" ht="15" customHeight="1" x14ac:dyDescent="0.35">
      <c r="A4493" s="26" t="s">
        <v>9671</v>
      </c>
      <c r="B4493" s="25" t="s">
        <v>781</v>
      </c>
      <c r="C4493" s="6" t="s">
        <v>12961</v>
      </c>
      <c r="D4493" s="13">
        <v>31644.6608398635</v>
      </c>
      <c r="E4493" s="18">
        <v>21</v>
      </c>
      <c r="F4493" s="2">
        <f t="shared" si="140"/>
        <v>38290.039616234833</v>
      </c>
      <c r="G4493" s="3">
        <v>0</v>
      </c>
      <c r="H4493" s="4">
        <v>0.7</v>
      </c>
      <c r="I4493" s="28">
        <f t="shared" si="141"/>
        <v>65093.067347599215</v>
      </c>
    </row>
    <row r="4494" spans="1:9" ht="15" customHeight="1" x14ac:dyDescent="0.35">
      <c r="A4494" s="26" t="s">
        <v>9748</v>
      </c>
      <c r="B4494" s="25" t="s">
        <v>782</v>
      </c>
      <c r="C4494" s="6" t="s">
        <v>12073</v>
      </c>
      <c r="D4494" s="13">
        <v>25629.560019062999</v>
      </c>
      <c r="E4494" s="18">
        <v>21</v>
      </c>
      <c r="F4494" s="2">
        <f t="shared" ref="F4494:F4505" si="142">D4494*E4494/100+D4494</f>
        <v>31011.767623066229</v>
      </c>
      <c r="G4494" s="3">
        <v>0</v>
      </c>
      <c r="H4494" s="4">
        <v>0.7</v>
      </c>
      <c r="I4494" s="28">
        <f t="shared" ref="I4494:I4505" si="143">IF(G4494=-1,0,F4494*((100-G4494)/100)*(1+H4494))</f>
        <v>52720.004959212587</v>
      </c>
    </row>
    <row r="4495" spans="1:9" ht="15" customHeight="1" x14ac:dyDescent="0.35">
      <c r="A4495" s="26" t="s">
        <v>10575</v>
      </c>
      <c r="B4495" s="25" t="s">
        <v>783</v>
      </c>
      <c r="C4495" s="6" t="s">
        <v>12965</v>
      </c>
      <c r="D4495" s="13">
        <v>17086.373346041997</v>
      </c>
      <c r="E4495" s="18">
        <v>21</v>
      </c>
      <c r="F4495" s="2">
        <f t="shared" si="142"/>
        <v>20674.511748710815</v>
      </c>
      <c r="G4495" s="3">
        <v>0</v>
      </c>
      <c r="H4495" s="4">
        <v>0.7</v>
      </c>
      <c r="I4495" s="28">
        <f t="shared" si="143"/>
        <v>35146.669972808384</v>
      </c>
    </row>
    <row r="4496" spans="1:9" ht="15" customHeight="1" x14ac:dyDescent="0.35">
      <c r="A4496" s="26" t="s">
        <v>10785</v>
      </c>
      <c r="B4496" s="25" t="s">
        <v>784</v>
      </c>
      <c r="C4496" s="6" t="s">
        <v>10786</v>
      </c>
      <c r="D4496" s="13">
        <v>30503.455941055501</v>
      </c>
      <c r="E4496" s="18">
        <v>21</v>
      </c>
      <c r="F4496" s="2">
        <f t="shared" si="142"/>
        <v>36909.181688677156</v>
      </c>
      <c r="G4496" s="3">
        <v>0</v>
      </c>
      <c r="H4496" s="4">
        <v>0.7</v>
      </c>
      <c r="I4496" s="28">
        <f t="shared" si="143"/>
        <v>62745.608870751166</v>
      </c>
    </row>
    <row r="4497" spans="1:9" ht="15" customHeight="1" x14ac:dyDescent="0.35">
      <c r="A4497" s="26" t="s">
        <v>10036</v>
      </c>
      <c r="B4497" s="25" t="s">
        <v>785</v>
      </c>
      <c r="C4497" s="6" t="s">
        <v>10037</v>
      </c>
      <c r="D4497" s="13">
        <v>20517.9130764855</v>
      </c>
      <c r="E4497" s="18">
        <v>21</v>
      </c>
      <c r="F4497" s="2">
        <f t="shared" si="142"/>
        <v>24826.674822547455</v>
      </c>
      <c r="G4497" s="3">
        <v>0</v>
      </c>
      <c r="H4497" s="4">
        <v>0.7</v>
      </c>
      <c r="I4497" s="28">
        <f t="shared" si="143"/>
        <v>42205.347198330674</v>
      </c>
    </row>
    <row r="4498" spans="1:9" ht="15" customHeight="1" x14ac:dyDescent="0.35">
      <c r="A4498" s="26" t="s">
        <v>10038</v>
      </c>
      <c r="B4498" s="25" t="s">
        <v>786</v>
      </c>
      <c r="C4498" s="6" t="s">
        <v>12317</v>
      </c>
      <c r="D4498" s="13">
        <v>27951.594986776501</v>
      </c>
      <c r="E4498" s="18">
        <v>21</v>
      </c>
      <c r="F4498" s="2">
        <f t="shared" si="142"/>
        <v>33821.429933999563</v>
      </c>
      <c r="G4498" s="3">
        <v>0</v>
      </c>
      <c r="H4498" s="4">
        <v>0.7</v>
      </c>
      <c r="I4498" s="28">
        <f t="shared" si="143"/>
        <v>57496.430887799259</v>
      </c>
    </row>
    <row r="4499" spans="1:9" ht="15" customHeight="1" x14ac:dyDescent="0.35">
      <c r="A4499" s="26" t="s">
        <v>12344</v>
      </c>
      <c r="B4499" s="25" t="s">
        <v>787</v>
      </c>
      <c r="C4499" s="6" t="s">
        <v>12967</v>
      </c>
      <c r="D4499" s="13">
        <v>23664.151582227001</v>
      </c>
      <c r="E4499" s="18">
        <v>21</v>
      </c>
      <c r="F4499" s="2">
        <f t="shared" si="142"/>
        <v>28633.623414494672</v>
      </c>
      <c r="G4499" s="3">
        <v>0</v>
      </c>
      <c r="H4499" s="4">
        <v>0.7</v>
      </c>
      <c r="I4499" s="28">
        <f t="shared" si="143"/>
        <v>48677.159804640942</v>
      </c>
    </row>
    <row r="4500" spans="1:9" ht="15" customHeight="1" x14ac:dyDescent="0.35">
      <c r="A4500" s="26" t="s">
        <v>12637</v>
      </c>
      <c r="B4500" s="25" t="s">
        <v>788</v>
      </c>
      <c r="C4500" s="6" t="s">
        <v>12638</v>
      </c>
      <c r="D4500" s="13">
        <v>39680.645335636502</v>
      </c>
      <c r="E4500" s="18">
        <v>21</v>
      </c>
      <c r="F4500" s="2">
        <f t="shared" si="142"/>
        <v>48013.58085612017</v>
      </c>
      <c r="G4500" s="3">
        <v>0</v>
      </c>
      <c r="H4500" s="4">
        <v>0.7</v>
      </c>
      <c r="I4500" s="28">
        <f t="shared" si="143"/>
        <v>81623.087455404282</v>
      </c>
    </row>
    <row r="4501" spans="1:9" ht="15" customHeight="1" x14ac:dyDescent="0.35">
      <c r="A4501" s="26" t="s">
        <v>12641</v>
      </c>
      <c r="B4501" s="25" t="s">
        <v>789</v>
      </c>
      <c r="C4501" s="6" t="s">
        <v>12642</v>
      </c>
      <c r="D4501" s="13">
        <v>18623.03744242305</v>
      </c>
      <c r="E4501" s="18">
        <v>21</v>
      </c>
      <c r="F4501" s="2">
        <f t="shared" si="142"/>
        <v>22533.875305331891</v>
      </c>
      <c r="G4501" s="3">
        <v>0</v>
      </c>
      <c r="H4501" s="4">
        <v>0.7</v>
      </c>
      <c r="I4501" s="28">
        <f t="shared" si="143"/>
        <v>38307.588019064213</v>
      </c>
    </row>
    <row r="4502" spans="1:9" ht="15" customHeight="1" x14ac:dyDescent="0.35">
      <c r="A4502" s="26" t="s">
        <v>12639</v>
      </c>
      <c r="B4502" s="25" t="s">
        <v>790</v>
      </c>
      <c r="C4502" s="6" t="s">
        <v>12640</v>
      </c>
      <c r="D4502" s="13">
        <v>26850.015258066</v>
      </c>
      <c r="E4502" s="18">
        <v>21</v>
      </c>
      <c r="F4502" s="2">
        <f t="shared" si="142"/>
        <v>32488.518462259861</v>
      </c>
      <c r="G4502" s="3">
        <v>0</v>
      </c>
      <c r="H4502" s="4">
        <v>0.7</v>
      </c>
      <c r="I4502" s="28">
        <f t="shared" si="143"/>
        <v>55230.481385841762</v>
      </c>
    </row>
    <row r="4503" spans="1:9" ht="15" customHeight="1" x14ac:dyDescent="0.35">
      <c r="A4503" s="26" t="s">
        <v>12635</v>
      </c>
      <c r="B4503" s="25" t="s">
        <v>791</v>
      </c>
      <c r="C4503" s="6" t="s">
        <v>12636</v>
      </c>
      <c r="D4503" s="13">
        <v>38444.340028594503</v>
      </c>
      <c r="E4503" s="18">
        <v>21</v>
      </c>
      <c r="F4503" s="2">
        <f t="shared" si="142"/>
        <v>46517.651434599349</v>
      </c>
      <c r="G4503" s="3">
        <v>0</v>
      </c>
      <c r="H4503" s="4">
        <v>0.7</v>
      </c>
      <c r="I4503" s="28">
        <f t="shared" si="143"/>
        <v>79080.007438818895</v>
      </c>
    </row>
    <row r="4504" spans="1:9" ht="15" customHeight="1" x14ac:dyDescent="0.35">
      <c r="A4504" s="26" t="s">
        <v>5781</v>
      </c>
      <c r="B4504" s="25" t="s">
        <v>792</v>
      </c>
      <c r="C4504" s="6" t="s">
        <v>14012</v>
      </c>
      <c r="D4504" s="13">
        <v>4859.7819074999998</v>
      </c>
      <c r="E4504" s="18">
        <v>21</v>
      </c>
      <c r="F4504" s="2">
        <f t="shared" si="142"/>
        <v>5880.3361080750001</v>
      </c>
      <c r="G4504" s="3">
        <v>0</v>
      </c>
      <c r="H4504" s="4">
        <v>0.7</v>
      </c>
      <c r="I4504" s="28">
        <f t="shared" si="143"/>
        <v>9996.5713837274998</v>
      </c>
    </row>
    <row r="4505" spans="1:9" ht="15" customHeight="1" x14ac:dyDescent="0.35">
      <c r="A4505" s="26" t="s">
        <v>5782</v>
      </c>
      <c r="B4505" s="25" t="s">
        <v>793</v>
      </c>
      <c r="C4505" s="6" t="s">
        <v>14013</v>
      </c>
      <c r="D4505" s="13">
        <v>5475.8105999999998</v>
      </c>
      <c r="E4505" s="18">
        <v>21</v>
      </c>
      <c r="F4505" s="2">
        <f t="shared" si="142"/>
        <v>6625.730826</v>
      </c>
      <c r="G4505" s="3">
        <v>0</v>
      </c>
      <c r="H4505" s="4">
        <v>0.7</v>
      </c>
      <c r="I4505" s="28">
        <f t="shared" si="143"/>
        <v>11263.7424042</v>
      </c>
    </row>
    <row r="4506" spans="1:9" ht="15" customHeight="1" x14ac:dyDescent="0.35">
      <c r="A4506" s="26" t="s">
        <v>5784</v>
      </c>
      <c r="B4506" s="25" t="s">
        <v>794</v>
      </c>
      <c r="C4506" s="6" t="s">
        <v>14014</v>
      </c>
      <c r="D4506" s="13">
        <v>5065.1248050000004</v>
      </c>
      <c r="E4506" s="18">
        <v>21</v>
      </c>
      <c r="F4506" s="2">
        <f t="shared" ref="F4506:F4509" si="144">D4506*E4506/100+D4506</f>
        <v>6128.801014050001</v>
      </c>
      <c r="G4506" s="3">
        <v>0</v>
      </c>
      <c r="H4506" s="4">
        <v>0.7</v>
      </c>
      <c r="I4506" s="28">
        <f t="shared" ref="I4506:I4509" si="145">IF(G4506=-1,0,F4506*((100-G4506)/100)*(1+H4506))</f>
        <v>10418.961723885001</v>
      </c>
    </row>
    <row r="4507" spans="1:9" ht="15" customHeight="1" x14ac:dyDescent="0.35">
      <c r="A4507" s="26" t="s">
        <v>2842</v>
      </c>
      <c r="B4507" s="25" t="s">
        <v>795</v>
      </c>
      <c r="C4507" s="6" t="s">
        <v>1127</v>
      </c>
      <c r="D4507" s="13">
        <v>1708.7739499999998</v>
      </c>
      <c r="E4507" s="18">
        <v>21</v>
      </c>
      <c r="F4507" s="2">
        <f t="shared" si="144"/>
        <v>2067.6164794999995</v>
      </c>
      <c r="G4507" s="3">
        <v>0</v>
      </c>
      <c r="H4507" s="4">
        <v>0.7</v>
      </c>
      <c r="I4507" s="28">
        <f t="shared" si="145"/>
        <v>3514.9480151499993</v>
      </c>
    </row>
    <row r="4508" spans="1:9" ht="15" customHeight="1" x14ac:dyDescent="0.35">
      <c r="A4508" s="26" t="s">
        <v>3589</v>
      </c>
      <c r="B4508" s="25" t="s">
        <v>796</v>
      </c>
      <c r="C4508" s="6" t="s">
        <v>9705</v>
      </c>
      <c r="D4508" s="13">
        <v>11321.627200000001</v>
      </c>
      <c r="E4508" s="18">
        <v>21</v>
      </c>
      <c r="F4508" s="2">
        <f t="shared" si="144"/>
        <v>13699.168912000001</v>
      </c>
      <c r="G4508" s="3">
        <v>0</v>
      </c>
      <c r="H4508" s="4">
        <v>0.7</v>
      </c>
      <c r="I4508" s="28">
        <f t="shared" si="145"/>
        <v>23288.587150400002</v>
      </c>
    </row>
    <row r="4509" spans="1:9" ht="15" customHeight="1" x14ac:dyDescent="0.35">
      <c r="A4509" s="26" t="s">
        <v>9706</v>
      </c>
      <c r="B4509" s="25" t="s">
        <v>797</v>
      </c>
      <c r="C4509" s="6" t="s">
        <v>9707</v>
      </c>
      <c r="D4509" s="13">
        <v>11321.627200000001</v>
      </c>
      <c r="E4509" s="18">
        <v>21</v>
      </c>
      <c r="F4509" s="2">
        <f t="shared" si="144"/>
        <v>13699.168912000001</v>
      </c>
      <c r="G4509" s="3">
        <v>0</v>
      </c>
      <c r="H4509" s="4">
        <v>0.7</v>
      </c>
      <c r="I4509" s="28">
        <f t="shared" si="145"/>
        <v>23288.587150400002</v>
      </c>
    </row>
    <row r="4510" spans="1:9" ht="15" customHeight="1" x14ac:dyDescent="0.35">
      <c r="A4510" s="26" t="s">
        <v>3590</v>
      </c>
      <c r="B4510" s="25" t="s">
        <v>798</v>
      </c>
      <c r="C4510" s="6" t="s">
        <v>9708</v>
      </c>
      <c r="D4510" s="13">
        <v>14712.328799999999</v>
      </c>
      <c r="E4510" s="18">
        <v>21</v>
      </c>
      <c r="F4510" s="2">
        <f t="shared" ref="F4510:F4522" si="146">D4510*E4510/100+D4510</f>
        <v>17801.917847999997</v>
      </c>
      <c r="G4510" s="3">
        <v>0</v>
      </c>
      <c r="H4510" s="4">
        <v>0.7</v>
      </c>
      <c r="I4510" s="28">
        <f t="shared" ref="I4510:I4522" si="147">IF(G4510=-1,0,F4510*((100-G4510)/100)*(1+H4510))</f>
        <v>30263.260341599995</v>
      </c>
    </row>
    <row r="4511" spans="1:9" ht="15" customHeight="1" x14ac:dyDescent="0.35">
      <c r="A4511" s="26" t="s">
        <v>9709</v>
      </c>
      <c r="B4511" s="25" t="s">
        <v>1031</v>
      </c>
      <c r="C4511" s="6" t="s">
        <v>9710</v>
      </c>
      <c r="D4511" s="13">
        <v>14712.328799999999</v>
      </c>
      <c r="E4511" s="18">
        <v>21</v>
      </c>
      <c r="F4511" s="2">
        <f t="shared" si="146"/>
        <v>17801.917847999997</v>
      </c>
      <c r="G4511" s="3">
        <v>0</v>
      </c>
      <c r="H4511" s="4">
        <v>0.7</v>
      </c>
      <c r="I4511" s="28">
        <f t="shared" si="147"/>
        <v>30263.260341599995</v>
      </c>
    </row>
    <row r="4512" spans="1:9" ht="15" customHeight="1" x14ac:dyDescent="0.35">
      <c r="A4512" s="26" t="s">
        <v>3591</v>
      </c>
      <c r="B4512" s="25" t="s">
        <v>1032</v>
      </c>
      <c r="C4512" s="6" t="s">
        <v>9944</v>
      </c>
      <c r="D4512" s="13">
        <v>11321.627200000001</v>
      </c>
      <c r="E4512" s="18">
        <v>21</v>
      </c>
      <c r="F4512" s="2">
        <f t="shared" si="146"/>
        <v>13699.168912000001</v>
      </c>
      <c r="G4512" s="3">
        <v>0</v>
      </c>
      <c r="H4512" s="4">
        <v>0.7</v>
      </c>
      <c r="I4512" s="28">
        <f t="shared" si="147"/>
        <v>23288.587150400002</v>
      </c>
    </row>
    <row r="4513" spans="1:9" ht="15" customHeight="1" x14ac:dyDescent="0.35">
      <c r="A4513" s="26" t="s">
        <v>10174</v>
      </c>
      <c r="B4513" s="25" t="s">
        <v>1033</v>
      </c>
      <c r="C4513" s="6" t="s">
        <v>10175</v>
      </c>
      <c r="D4513" s="13">
        <v>11321.627200000001</v>
      </c>
      <c r="E4513" s="18">
        <v>21</v>
      </c>
      <c r="F4513" s="2">
        <f t="shared" si="146"/>
        <v>13699.168912000001</v>
      </c>
      <c r="G4513" s="3">
        <v>0</v>
      </c>
      <c r="H4513" s="4">
        <v>0.7</v>
      </c>
      <c r="I4513" s="28">
        <f t="shared" si="147"/>
        <v>23288.587150400002</v>
      </c>
    </row>
    <row r="4514" spans="1:9" ht="15" customHeight="1" x14ac:dyDescent="0.35">
      <c r="A4514" s="26" t="s">
        <v>3592</v>
      </c>
      <c r="B4514" s="25" t="s">
        <v>1034</v>
      </c>
      <c r="C4514" s="6" t="s">
        <v>9711</v>
      </c>
      <c r="D4514" s="13">
        <v>14712.328799999999</v>
      </c>
      <c r="E4514" s="18">
        <v>21</v>
      </c>
      <c r="F4514" s="2">
        <f t="shared" si="146"/>
        <v>17801.917847999997</v>
      </c>
      <c r="G4514" s="3">
        <v>0</v>
      </c>
      <c r="H4514" s="4">
        <v>0.7</v>
      </c>
      <c r="I4514" s="28">
        <f t="shared" si="147"/>
        <v>30263.260341599995</v>
      </c>
    </row>
    <row r="4515" spans="1:9" ht="15" customHeight="1" x14ac:dyDescent="0.35">
      <c r="A4515" s="26" t="s">
        <v>9712</v>
      </c>
      <c r="B4515" s="25" t="s">
        <v>1198</v>
      </c>
      <c r="C4515" s="6" t="s">
        <v>9713</v>
      </c>
      <c r="D4515" s="13">
        <v>14712.328799999999</v>
      </c>
      <c r="E4515" s="18">
        <v>21</v>
      </c>
      <c r="F4515" s="2">
        <f t="shared" si="146"/>
        <v>17801.917847999997</v>
      </c>
      <c r="G4515" s="3">
        <v>0</v>
      </c>
      <c r="H4515" s="4">
        <v>0.7</v>
      </c>
      <c r="I4515" s="28">
        <f t="shared" si="147"/>
        <v>30263.260341599995</v>
      </c>
    </row>
    <row r="4516" spans="1:9" ht="15" customHeight="1" x14ac:dyDescent="0.35">
      <c r="A4516" s="26" t="s">
        <v>3594</v>
      </c>
      <c r="B4516" s="25" t="s">
        <v>1624</v>
      </c>
      <c r="C4516" s="6" t="s">
        <v>13275</v>
      </c>
      <c r="D4516" s="13">
        <v>6747.4332441559991</v>
      </c>
      <c r="E4516" s="18">
        <v>21</v>
      </c>
      <c r="F4516" s="2">
        <f t="shared" si="146"/>
        <v>8164.3942254287585</v>
      </c>
      <c r="G4516" s="3">
        <v>0</v>
      </c>
      <c r="H4516" s="4">
        <v>0.7</v>
      </c>
      <c r="I4516" s="28">
        <f t="shared" si="147"/>
        <v>13879.470183228888</v>
      </c>
    </row>
    <row r="4517" spans="1:9" ht="15" customHeight="1" x14ac:dyDescent="0.35">
      <c r="A4517" s="26" t="s">
        <v>3593</v>
      </c>
      <c r="B4517" s="25" t="s">
        <v>1626</v>
      </c>
      <c r="C4517" s="6" t="s">
        <v>13276</v>
      </c>
      <c r="D4517" s="13">
        <v>5400.2180303409204</v>
      </c>
      <c r="E4517" s="18">
        <v>21</v>
      </c>
      <c r="F4517" s="2">
        <f t="shared" si="146"/>
        <v>6534.2638167125133</v>
      </c>
      <c r="G4517" s="3">
        <v>0</v>
      </c>
      <c r="H4517" s="4">
        <v>0.7</v>
      </c>
      <c r="I4517" s="28">
        <f t="shared" si="147"/>
        <v>11108.248488411273</v>
      </c>
    </row>
    <row r="4518" spans="1:9" ht="15" customHeight="1" x14ac:dyDescent="0.35">
      <c r="A4518" s="26" t="s">
        <v>3596</v>
      </c>
      <c r="B4518" s="25" t="s">
        <v>1126</v>
      </c>
      <c r="C4518" s="6" t="s">
        <v>13277</v>
      </c>
      <c r="D4518" s="13">
        <v>6906.4749649999994</v>
      </c>
      <c r="E4518" s="18">
        <v>21</v>
      </c>
      <c r="F4518" s="2">
        <f t="shared" si="146"/>
        <v>8356.8347076499995</v>
      </c>
      <c r="G4518" s="3">
        <v>0</v>
      </c>
      <c r="H4518" s="4">
        <v>0.7</v>
      </c>
      <c r="I4518" s="28">
        <f t="shared" si="147"/>
        <v>14206.619003004998</v>
      </c>
    </row>
    <row r="4519" spans="1:9" ht="15" customHeight="1" x14ac:dyDescent="0.35">
      <c r="A4519" s="26" t="s">
        <v>3595</v>
      </c>
      <c r="B4519" s="25" t="s">
        <v>12337</v>
      </c>
      <c r="C4519" s="6" t="s">
        <v>13278</v>
      </c>
      <c r="D4519" s="13">
        <v>5753.5933000000005</v>
      </c>
      <c r="E4519" s="18">
        <v>21</v>
      </c>
      <c r="F4519" s="2">
        <f t="shared" si="146"/>
        <v>6961.8478930000001</v>
      </c>
      <c r="G4519" s="3">
        <v>0</v>
      </c>
      <c r="H4519" s="4">
        <v>0.7</v>
      </c>
      <c r="I4519" s="28">
        <f t="shared" si="147"/>
        <v>11835.1414181</v>
      </c>
    </row>
    <row r="4520" spans="1:9" ht="15" customHeight="1" x14ac:dyDescent="0.35">
      <c r="A4520" s="26" t="s">
        <v>3599</v>
      </c>
      <c r="B4520" s="25" t="s">
        <v>12338</v>
      </c>
      <c r="C4520" s="6" t="s">
        <v>14015</v>
      </c>
      <c r="D4520" s="13">
        <v>6929.8813220000002</v>
      </c>
      <c r="E4520" s="18">
        <v>21</v>
      </c>
      <c r="F4520" s="2">
        <f t="shared" si="146"/>
        <v>8385.1563996200002</v>
      </c>
      <c r="G4520" s="3">
        <v>0</v>
      </c>
      <c r="H4520" s="4">
        <v>0.7</v>
      </c>
      <c r="I4520" s="28">
        <f t="shared" si="147"/>
        <v>14254.765879353999</v>
      </c>
    </row>
    <row r="4521" spans="1:9" ht="15" customHeight="1" x14ac:dyDescent="0.35">
      <c r="A4521" s="26" t="s">
        <v>3598</v>
      </c>
      <c r="B4521" s="25" t="s">
        <v>12339</v>
      </c>
      <c r="C4521" s="6" t="s">
        <v>10719</v>
      </c>
      <c r="D4521" s="13">
        <v>6929.8813220000002</v>
      </c>
      <c r="E4521" s="18">
        <v>21</v>
      </c>
      <c r="F4521" s="2">
        <f t="shared" si="146"/>
        <v>8385.1563996200002</v>
      </c>
      <c r="G4521" s="3">
        <v>0</v>
      </c>
      <c r="H4521" s="4">
        <v>0.7</v>
      </c>
      <c r="I4521" s="28">
        <f t="shared" si="147"/>
        <v>14254.765879353999</v>
      </c>
    </row>
    <row r="4522" spans="1:9" ht="15" customHeight="1" x14ac:dyDescent="0.35">
      <c r="A4522" s="26" t="s">
        <v>1343</v>
      </c>
      <c r="B4522" s="25" t="s">
        <v>12340</v>
      </c>
      <c r="C4522" s="6" t="s">
        <v>8780</v>
      </c>
      <c r="D4522" s="13">
        <v>23417.485000000001</v>
      </c>
      <c r="E4522" s="18">
        <v>21</v>
      </c>
      <c r="F4522" s="2">
        <f t="shared" si="146"/>
        <v>28335.156849999999</v>
      </c>
      <c r="G4522" s="3">
        <v>0</v>
      </c>
      <c r="H4522" s="4">
        <v>0.7</v>
      </c>
      <c r="I4522" s="28">
        <f t="shared" si="147"/>
        <v>48169.766644999996</v>
      </c>
    </row>
    <row r="4523" spans="1:9" ht="15" customHeight="1" x14ac:dyDescent="0.35">
      <c r="A4523" s="26" t="s">
        <v>9206</v>
      </c>
      <c r="B4523" s="25" t="s">
        <v>12341</v>
      </c>
      <c r="C4523" s="6" t="s">
        <v>9225</v>
      </c>
      <c r="D4523" s="13">
        <v>86024.871855000005</v>
      </c>
      <c r="E4523" s="18">
        <v>21</v>
      </c>
      <c r="F4523" s="2">
        <f t="shared" ref="F4523:F4526" si="148">D4523*E4523/100+D4523</f>
        <v>104090.09494455</v>
      </c>
      <c r="G4523" s="3">
        <v>0</v>
      </c>
      <c r="H4523" s="4">
        <v>0.7</v>
      </c>
      <c r="I4523" s="28">
        <f t="shared" ref="I4523:I4526" si="149">IF(G4523=-1,0,F4523*((100-G4523)/100)*(1+H4523))</f>
        <v>176953.16140573501</v>
      </c>
    </row>
    <row r="4524" spans="1:9" ht="15" customHeight="1" x14ac:dyDescent="0.35">
      <c r="A4524" s="26" t="s">
        <v>9207</v>
      </c>
      <c r="B4524" s="25" t="s">
        <v>12342</v>
      </c>
      <c r="C4524" s="6" t="s">
        <v>9985</v>
      </c>
      <c r="D4524" s="13">
        <v>34047.861705000003</v>
      </c>
      <c r="E4524" s="18">
        <v>21</v>
      </c>
      <c r="F4524" s="2">
        <f t="shared" si="148"/>
        <v>41197.912663050003</v>
      </c>
      <c r="G4524" s="3">
        <v>0</v>
      </c>
      <c r="H4524" s="4">
        <v>0.7</v>
      </c>
      <c r="I4524" s="28">
        <f t="shared" si="149"/>
        <v>70036.45152718501</v>
      </c>
    </row>
    <row r="4525" spans="1:9" ht="15" customHeight="1" x14ac:dyDescent="0.35">
      <c r="A4525" s="26" t="s">
        <v>4249</v>
      </c>
      <c r="B4525" s="25" t="s">
        <v>12343</v>
      </c>
      <c r="C4525" s="6" t="s">
        <v>1128</v>
      </c>
      <c r="D4525" s="13">
        <v>93325.013730000006</v>
      </c>
      <c r="E4525" s="18">
        <v>21</v>
      </c>
      <c r="F4525" s="2">
        <f t="shared" si="148"/>
        <v>112923.2666133</v>
      </c>
      <c r="G4525" s="3">
        <v>0</v>
      </c>
      <c r="H4525" s="4">
        <v>0.7</v>
      </c>
      <c r="I4525" s="28">
        <f t="shared" si="149"/>
        <v>191969.55324261001</v>
      </c>
    </row>
    <row r="4526" spans="1:9" ht="15" customHeight="1" x14ac:dyDescent="0.35">
      <c r="A4526" s="26" t="s">
        <v>10973</v>
      </c>
      <c r="B4526" s="25" t="s">
        <v>1035</v>
      </c>
      <c r="C4526" s="6" t="s">
        <v>10974</v>
      </c>
      <c r="D4526" s="13">
        <v>39167.694539999997</v>
      </c>
      <c r="E4526" s="18">
        <v>21</v>
      </c>
      <c r="F4526" s="2">
        <f t="shared" si="148"/>
        <v>47392.910393399994</v>
      </c>
      <c r="G4526" s="3">
        <v>0</v>
      </c>
      <c r="H4526" s="4">
        <v>0.7</v>
      </c>
      <c r="I4526" s="28">
        <f t="shared" si="149"/>
        <v>80567.947668779991</v>
      </c>
    </row>
    <row r="4527" spans="1:9" ht="15" customHeight="1" x14ac:dyDescent="0.35">
      <c r="A4527" s="26" t="s">
        <v>4250</v>
      </c>
      <c r="B4527" s="25" t="s">
        <v>1333</v>
      </c>
      <c r="C4527" s="6" t="s">
        <v>1129</v>
      </c>
      <c r="D4527" s="13">
        <v>65234.067795000003</v>
      </c>
      <c r="E4527" s="18">
        <v>21</v>
      </c>
      <c r="F4527" s="2">
        <f t="shared" ref="F4527:F4533" si="150">D4527*E4527/100+D4527</f>
        <v>78933.222031950005</v>
      </c>
      <c r="G4527" s="3">
        <v>0</v>
      </c>
      <c r="H4527" s="4">
        <v>0.7</v>
      </c>
      <c r="I4527" s="28">
        <f t="shared" ref="I4527:I4533" si="151">IF(G4527=-1,0,F4527*((100-G4527)/100)*(1+H4527))</f>
        <v>134186.477454315</v>
      </c>
    </row>
    <row r="4528" spans="1:9" ht="15" customHeight="1" x14ac:dyDescent="0.35">
      <c r="A4528" s="26" t="s">
        <v>4251</v>
      </c>
      <c r="B4528" s="25" t="s">
        <v>13122</v>
      </c>
      <c r="C4528" s="6" t="s">
        <v>1130</v>
      </c>
      <c r="D4528" s="13">
        <v>70782.175619999995</v>
      </c>
      <c r="E4528" s="18">
        <v>21</v>
      </c>
      <c r="F4528" s="2">
        <f t="shared" si="150"/>
        <v>85646.432500199997</v>
      </c>
      <c r="G4528" s="3">
        <v>0</v>
      </c>
      <c r="H4528" s="4">
        <v>0.7</v>
      </c>
      <c r="I4528" s="28">
        <f t="shared" si="151"/>
        <v>145598.93525034</v>
      </c>
    </row>
    <row r="4529" spans="1:9" ht="15" customHeight="1" x14ac:dyDescent="0.35">
      <c r="A4529" s="26" t="s">
        <v>11669</v>
      </c>
      <c r="B4529" s="25" t="s">
        <v>12312</v>
      </c>
      <c r="C4529" s="6" t="s">
        <v>11670</v>
      </c>
      <c r="D4529" s="13">
        <v>26444.275103057502</v>
      </c>
      <c r="E4529" s="18">
        <v>21</v>
      </c>
      <c r="F4529" s="2">
        <f t="shared" si="150"/>
        <v>31997.572874699577</v>
      </c>
      <c r="G4529" s="3">
        <v>0</v>
      </c>
      <c r="H4529" s="4">
        <v>0.7</v>
      </c>
      <c r="I4529" s="28">
        <f t="shared" si="151"/>
        <v>54395.873886989277</v>
      </c>
    </row>
    <row r="4530" spans="1:9" ht="15" customHeight="1" x14ac:dyDescent="0.35">
      <c r="A4530" s="26" t="s">
        <v>12505</v>
      </c>
      <c r="B4530" s="25" t="s">
        <v>12313</v>
      </c>
      <c r="C4530" s="6" t="s">
        <v>12506</v>
      </c>
      <c r="D4530" s="13">
        <v>26444.275103057502</v>
      </c>
      <c r="E4530" s="18">
        <v>21</v>
      </c>
      <c r="F4530" s="2">
        <f t="shared" si="150"/>
        <v>31997.572874699577</v>
      </c>
      <c r="G4530" s="3">
        <v>0</v>
      </c>
      <c r="H4530" s="4">
        <v>0.7</v>
      </c>
      <c r="I4530" s="28">
        <f t="shared" si="151"/>
        <v>54395.873886989277</v>
      </c>
    </row>
    <row r="4531" spans="1:9" ht="15" customHeight="1" x14ac:dyDescent="0.35">
      <c r="A4531" s="26" t="s">
        <v>3056</v>
      </c>
      <c r="B4531" s="25" t="s">
        <v>12314</v>
      </c>
      <c r="C4531" s="6" t="s">
        <v>1334</v>
      </c>
      <c r="D4531" s="13">
        <v>26444.275103057502</v>
      </c>
      <c r="E4531" s="18">
        <v>21</v>
      </c>
      <c r="F4531" s="2">
        <f t="shared" si="150"/>
        <v>31997.572874699577</v>
      </c>
      <c r="G4531" s="3">
        <v>0</v>
      </c>
      <c r="H4531" s="4">
        <v>0.7</v>
      </c>
      <c r="I4531" s="28">
        <f t="shared" si="151"/>
        <v>54395.873886989277</v>
      </c>
    </row>
    <row r="4532" spans="1:9" ht="15" customHeight="1" x14ac:dyDescent="0.35">
      <c r="A4532" s="26" t="s">
        <v>2488</v>
      </c>
      <c r="B4532" s="25" t="s">
        <v>12315</v>
      </c>
      <c r="C4532" s="6" t="s">
        <v>1036</v>
      </c>
      <c r="D4532" s="13">
        <v>1526.4729675000001</v>
      </c>
      <c r="E4532" s="18">
        <v>21</v>
      </c>
      <c r="F4532" s="2">
        <f t="shared" si="150"/>
        <v>1847.0322906750002</v>
      </c>
      <c r="G4532" s="3">
        <v>0</v>
      </c>
      <c r="H4532" s="4">
        <v>0.7</v>
      </c>
      <c r="I4532" s="28">
        <f t="shared" si="151"/>
        <v>3139.9548941475005</v>
      </c>
    </row>
    <row r="4533" spans="1:9" ht="15" customHeight="1" x14ac:dyDescent="0.35">
      <c r="A4533" s="26" t="s">
        <v>2489</v>
      </c>
      <c r="B4533" s="25" t="s">
        <v>12316</v>
      </c>
      <c r="C4533" s="6" t="s">
        <v>1037</v>
      </c>
      <c r="D4533" s="13">
        <v>1997.5566779999999</v>
      </c>
      <c r="E4533" s="18">
        <v>21</v>
      </c>
      <c r="F4533" s="2">
        <f t="shared" si="150"/>
        <v>2417.0435803800001</v>
      </c>
      <c r="G4533" s="3">
        <v>0</v>
      </c>
      <c r="H4533" s="4">
        <v>0.7</v>
      </c>
      <c r="I4533" s="28">
        <f t="shared" si="151"/>
        <v>4108.9740866459997</v>
      </c>
    </row>
    <row r="4534" spans="1:9" ht="15" customHeight="1" x14ac:dyDescent="0.35">
      <c r="A4534" s="26" t="s">
        <v>2490</v>
      </c>
      <c r="B4534" s="25" t="s">
        <v>12760</v>
      </c>
      <c r="C4534" s="6" t="s">
        <v>1038</v>
      </c>
      <c r="D4534" s="13">
        <v>2478.0755414999999</v>
      </c>
      <c r="E4534" s="18">
        <v>21</v>
      </c>
      <c r="F4534" s="2">
        <f t="shared" ref="F4534:F4545" si="152">D4534*E4534/100+D4534</f>
        <v>2998.4714052149998</v>
      </c>
      <c r="G4534" s="3">
        <v>0</v>
      </c>
      <c r="H4534" s="4">
        <v>0.7</v>
      </c>
      <c r="I4534" s="28">
        <f t="shared" ref="I4534:I4545" si="153">IF(G4534=-1,0,F4534*((100-G4534)/100)*(1+H4534))</f>
        <v>5097.4013888654999</v>
      </c>
    </row>
    <row r="4535" spans="1:9" ht="15" customHeight="1" x14ac:dyDescent="0.35">
      <c r="A4535" s="26" t="s">
        <v>2491</v>
      </c>
      <c r="B4535" s="25" t="s">
        <v>12761</v>
      </c>
      <c r="C4535" s="6" t="s">
        <v>1039</v>
      </c>
      <c r="D4535" s="13">
        <v>3683.0793675</v>
      </c>
      <c r="E4535" s="18">
        <v>21</v>
      </c>
      <c r="F4535" s="2">
        <f t="shared" si="152"/>
        <v>4456.5260346750001</v>
      </c>
      <c r="G4535" s="3">
        <v>0</v>
      </c>
      <c r="H4535" s="4">
        <v>0.7</v>
      </c>
      <c r="I4535" s="28">
        <f t="shared" si="153"/>
        <v>7576.0942589474998</v>
      </c>
    </row>
    <row r="4536" spans="1:9" ht="15" customHeight="1" x14ac:dyDescent="0.35">
      <c r="A4536" s="26" t="s">
        <v>2492</v>
      </c>
      <c r="B4536" s="25" t="s">
        <v>12762</v>
      </c>
      <c r="C4536" s="6" t="s">
        <v>1040</v>
      </c>
      <c r="D4536" s="13">
        <v>4971.6516915000002</v>
      </c>
      <c r="E4536" s="18">
        <v>21</v>
      </c>
      <c r="F4536" s="2">
        <f t="shared" si="152"/>
        <v>6015.6985467150007</v>
      </c>
      <c r="G4536" s="3">
        <v>0</v>
      </c>
      <c r="H4536" s="4">
        <v>0.7</v>
      </c>
      <c r="I4536" s="28">
        <f t="shared" si="153"/>
        <v>10226.687529415502</v>
      </c>
    </row>
    <row r="4537" spans="1:9" ht="15" customHeight="1" x14ac:dyDescent="0.35">
      <c r="A4537" s="26" t="s">
        <v>2493</v>
      </c>
      <c r="B4537" s="25" t="s">
        <v>12763</v>
      </c>
      <c r="C4537" s="6" t="s">
        <v>1041</v>
      </c>
      <c r="D4537" s="13">
        <v>1120.7613885000001</v>
      </c>
      <c r="E4537" s="18">
        <v>21</v>
      </c>
      <c r="F4537" s="2">
        <f t="shared" si="152"/>
        <v>1356.1212800850001</v>
      </c>
      <c r="G4537" s="3">
        <v>0</v>
      </c>
      <c r="H4537" s="4">
        <v>0.7</v>
      </c>
      <c r="I4537" s="28">
        <f t="shared" si="153"/>
        <v>2305.4061761445</v>
      </c>
    </row>
    <row r="4538" spans="1:9" ht="15" customHeight="1" x14ac:dyDescent="0.35">
      <c r="A4538" s="26" t="s">
        <v>2494</v>
      </c>
      <c r="B4538" s="25" t="s">
        <v>12765</v>
      </c>
      <c r="C4538" s="6" t="s">
        <v>1042</v>
      </c>
      <c r="D4538" s="13">
        <v>1233.9832245</v>
      </c>
      <c r="E4538" s="18">
        <v>21</v>
      </c>
      <c r="F4538" s="2">
        <f t="shared" si="152"/>
        <v>1493.1197016450001</v>
      </c>
      <c r="G4538" s="3">
        <v>0</v>
      </c>
      <c r="H4538" s="4">
        <v>0.7</v>
      </c>
      <c r="I4538" s="28">
        <f t="shared" si="153"/>
        <v>2538.3034927965</v>
      </c>
    </row>
    <row r="4539" spans="1:9" ht="15" customHeight="1" x14ac:dyDescent="0.35">
      <c r="A4539" s="26" t="s">
        <v>2495</v>
      </c>
      <c r="B4539" s="25" t="s">
        <v>12766</v>
      </c>
      <c r="C4539" s="6" t="s">
        <v>1043</v>
      </c>
      <c r="D4539" s="13">
        <v>1438.8608325</v>
      </c>
      <c r="E4539" s="18">
        <v>21</v>
      </c>
      <c r="F4539" s="2">
        <f t="shared" si="152"/>
        <v>1741.0216073250001</v>
      </c>
      <c r="G4539" s="3">
        <v>0</v>
      </c>
      <c r="H4539" s="4">
        <v>0.7</v>
      </c>
      <c r="I4539" s="28">
        <f t="shared" si="153"/>
        <v>2959.7367324525003</v>
      </c>
    </row>
    <row r="4540" spans="1:9" ht="15" customHeight="1" x14ac:dyDescent="0.35">
      <c r="A4540" s="26" t="s">
        <v>2496</v>
      </c>
      <c r="B4540" s="25" t="s">
        <v>12767</v>
      </c>
      <c r="C4540" s="6" t="s">
        <v>1044</v>
      </c>
      <c r="D4540" s="13">
        <v>1599.2584334999999</v>
      </c>
      <c r="E4540" s="18">
        <v>21</v>
      </c>
      <c r="F4540" s="2">
        <f t="shared" si="152"/>
        <v>1935.1027045349999</v>
      </c>
      <c r="G4540" s="3">
        <v>0</v>
      </c>
      <c r="H4540" s="4">
        <v>0.7</v>
      </c>
      <c r="I4540" s="28">
        <f t="shared" si="153"/>
        <v>3289.6745977094997</v>
      </c>
    </row>
    <row r="4541" spans="1:9" ht="15" customHeight="1" x14ac:dyDescent="0.35">
      <c r="A4541" s="26" t="s">
        <v>2497</v>
      </c>
      <c r="B4541" s="25" t="s">
        <v>12768</v>
      </c>
      <c r="C4541" s="6" t="s">
        <v>1045</v>
      </c>
      <c r="D4541" s="13">
        <v>1986.0997064999999</v>
      </c>
      <c r="E4541" s="18">
        <v>21</v>
      </c>
      <c r="F4541" s="2">
        <f t="shared" si="152"/>
        <v>2403.180644865</v>
      </c>
      <c r="G4541" s="3">
        <v>0</v>
      </c>
      <c r="H4541" s="4">
        <v>0.7</v>
      </c>
      <c r="I4541" s="28">
        <f t="shared" si="153"/>
        <v>4085.4070962705</v>
      </c>
    </row>
    <row r="4542" spans="1:9" ht="15" customHeight="1" x14ac:dyDescent="0.35">
      <c r="A4542" s="26" t="s">
        <v>13903</v>
      </c>
      <c r="B4542" s="25" t="s">
        <v>799</v>
      </c>
      <c r="C4542" s="6" t="s">
        <v>13904</v>
      </c>
      <c r="D4542" s="13">
        <v>2769.2174055</v>
      </c>
      <c r="E4542" s="18">
        <v>21</v>
      </c>
      <c r="F4542" s="2">
        <f t="shared" si="152"/>
        <v>3350.7530606549999</v>
      </c>
      <c r="G4542" s="3">
        <v>0</v>
      </c>
      <c r="H4542" s="4">
        <v>0.7</v>
      </c>
      <c r="I4542" s="28">
        <f t="shared" si="153"/>
        <v>5696.2802031134997</v>
      </c>
    </row>
    <row r="4543" spans="1:9" ht="15" customHeight="1" x14ac:dyDescent="0.35">
      <c r="A4543" s="26" t="s">
        <v>13751</v>
      </c>
      <c r="B4543" s="25" t="s">
        <v>800</v>
      </c>
      <c r="C4543" s="6" t="s">
        <v>13752</v>
      </c>
      <c r="D4543" s="13">
        <v>3214.6914149999998</v>
      </c>
      <c r="E4543" s="18">
        <v>21</v>
      </c>
      <c r="F4543" s="2">
        <f t="shared" si="152"/>
        <v>3889.7766121499999</v>
      </c>
      <c r="G4543" s="3">
        <v>0</v>
      </c>
      <c r="H4543" s="4">
        <v>0.7</v>
      </c>
      <c r="I4543" s="28">
        <f t="shared" si="153"/>
        <v>6612.6202406550001</v>
      </c>
    </row>
    <row r="4544" spans="1:9" ht="15" customHeight="1" x14ac:dyDescent="0.35">
      <c r="A4544" s="26" t="s">
        <v>13110</v>
      </c>
      <c r="B4544" s="25" t="s">
        <v>801</v>
      </c>
      <c r="C4544" s="6" t="s">
        <v>13111</v>
      </c>
      <c r="D4544" s="13">
        <v>1618.1287394999999</v>
      </c>
      <c r="E4544" s="18">
        <v>21</v>
      </c>
      <c r="F4544" s="2">
        <f t="shared" si="152"/>
        <v>1957.9357747949998</v>
      </c>
      <c r="G4544" s="3">
        <v>0</v>
      </c>
      <c r="H4544" s="4">
        <v>0.7</v>
      </c>
      <c r="I4544" s="28">
        <f t="shared" si="153"/>
        <v>3328.4908171514994</v>
      </c>
    </row>
    <row r="4545" spans="1:9" ht="15" customHeight="1" x14ac:dyDescent="0.35">
      <c r="A4545" s="26" t="s">
        <v>13112</v>
      </c>
      <c r="B4545" s="25" t="s">
        <v>802</v>
      </c>
      <c r="C4545" s="6" t="s">
        <v>13113</v>
      </c>
      <c r="D4545" s="13">
        <v>1400.446281</v>
      </c>
      <c r="E4545" s="18">
        <v>21</v>
      </c>
      <c r="F4545" s="2">
        <f t="shared" si="152"/>
        <v>1694.5400000099999</v>
      </c>
      <c r="G4545" s="3">
        <v>0</v>
      </c>
      <c r="H4545" s="4">
        <v>0.7</v>
      </c>
      <c r="I4545" s="28">
        <f t="shared" si="153"/>
        <v>2880.7180000169997</v>
      </c>
    </row>
    <row r="4546" spans="1:9" ht="15" customHeight="1" x14ac:dyDescent="0.35">
      <c r="A4546" s="26" t="s">
        <v>12322</v>
      </c>
      <c r="B4546" s="25" t="s">
        <v>803</v>
      </c>
      <c r="C4546" s="6" t="s">
        <v>12323</v>
      </c>
      <c r="D4546" s="13">
        <v>2165.4464831999999</v>
      </c>
      <c r="E4546" s="18">
        <v>21</v>
      </c>
      <c r="F4546" s="2">
        <f t="shared" ref="F4546:F4605" si="154">D4546*E4546/100+D4546</f>
        <v>2620.1902446719996</v>
      </c>
      <c r="G4546" s="3">
        <v>0</v>
      </c>
      <c r="H4546" s="4">
        <v>0.7</v>
      </c>
      <c r="I4546" s="28">
        <f t="shared" ref="I4546:I4605" si="155">IF(G4546=-1,0,F4546*((100-G4546)/100)*(1+H4546))</f>
        <v>4454.3234159423992</v>
      </c>
    </row>
    <row r="4547" spans="1:9" ht="15" customHeight="1" x14ac:dyDescent="0.35">
      <c r="A4547" s="26" t="s">
        <v>1524</v>
      </c>
      <c r="B4547" s="25" t="s">
        <v>804</v>
      </c>
      <c r="C4547" s="6" t="s">
        <v>10720</v>
      </c>
      <c r="D4547" s="13">
        <v>1663.7083319999999</v>
      </c>
      <c r="E4547" s="18">
        <v>21</v>
      </c>
      <c r="F4547" s="2">
        <f t="shared" si="154"/>
        <v>2013.0870817199998</v>
      </c>
      <c r="G4547" s="3">
        <v>0</v>
      </c>
      <c r="H4547" s="4">
        <v>0.7</v>
      </c>
      <c r="I4547" s="28">
        <f t="shared" si="155"/>
        <v>3422.2480389239995</v>
      </c>
    </row>
    <row r="4548" spans="1:9" ht="15" customHeight="1" x14ac:dyDescent="0.35">
      <c r="A4548" s="26" t="s">
        <v>13650</v>
      </c>
      <c r="B4548" s="25" t="s">
        <v>9594</v>
      </c>
      <c r="C4548" s="6" t="s">
        <v>13651</v>
      </c>
      <c r="D4548" s="13">
        <v>2670.72</v>
      </c>
      <c r="E4548" s="18">
        <v>21</v>
      </c>
      <c r="F4548" s="2">
        <f t="shared" si="154"/>
        <v>3231.5711999999999</v>
      </c>
      <c r="G4548" s="3">
        <v>0</v>
      </c>
      <c r="H4548" s="4">
        <v>0.7</v>
      </c>
      <c r="I4548" s="28">
        <f t="shared" si="155"/>
        <v>5493.6710399999993</v>
      </c>
    </row>
    <row r="4549" spans="1:9" ht="15" customHeight="1" x14ac:dyDescent="0.35">
      <c r="A4549" s="26" t="s">
        <v>1525</v>
      </c>
      <c r="B4549" s="25" t="s">
        <v>805</v>
      </c>
      <c r="C4549" s="6" t="s">
        <v>10721</v>
      </c>
      <c r="D4549" s="13">
        <v>1663.7083319999999</v>
      </c>
      <c r="E4549" s="18">
        <v>21</v>
      </c>
      <c r="F4549" s="2">
        <f t="shared" si="154"/>
        <v>2013.0870817199998</v>
      </c>
      <c r="G4549" s="3">
        <v>0</v>
      </c>
      <c r="H4549" s="4">
        <v>0.7</v>
      </c>
      <c r="I4549" s="28">
        <f t="shared" si="155"/>
        <v>3422.2480389239995</v>
      </c>
    </row>
    <row r="4550" spans="1:9" ht="15" customHeight="1" x14ac:dyDescent="0.35">
      <c r="A4550" s="26" t="s">
        <v>1522</v>
      </c>
      <c r="B4550" s="25" t="s">
        <v>806</v>
      </c>
      <c r="C4550" s="6" t="s">
        <v>816</v>
      </c>
      <c r="D4550" s="13">
        <v>4117.3580525999996</v>
      </c>
      <c r="E4550" s="18">
        <v>21</v>
      </c>
      <c r="F4550" s="2">
        <f t="shared" si="154"/>
        <v>4982.0032436459996</v>
      </c>
      <c r="G4550" s="3">
        <v>0</v>
      </c>
      <c r="H4550" s="4">
        <v>0.7</v>
      </c>
      <c r="I4550" s="28">
        <f t="shared" si="155"/>
        <v>8469.4055141981989</v>
      </c>
    </row>
    <row r="4551" spans="1:9" ht="15" customHeight="1" x14ac:dyDescent="0.35">
      <c r="A4551" s="26" t="s">
        <v>1523</v>
      </c>
      <c r="B4551" s="25" t="s">
        <v>807</v>
      </c>
      <c r="C4551" s="6" t="s">
        <v>817</v>
      </c>
      <c r="D4551" s="13">
        <v>4409.4672179999998</v>
      </c>
      <c r="E4551" s="18">
        <v>21</v>
      </c>
      <c r="F4551" s="2">
        <f t="shared" si="154"/>
        <v>5335.4553337799998</v>
      </c>
      <c r="G4551" s="3">
        <v>0</v>
      </c>
      <c r="H4551" s="4">
        <v>0.7</v>
      </c>
      <c r="I4551" s="28">
        <f t="shared" si="155"/>
        <v>9070.2740674260003</v>
      </c>
    </row>
    <row r="4552" spans="1:9" ht="15" customHeight="1" x14ac:dyDescent="0.35">
      <c r="A4552" s="26" t="s">
        <v>5632</v>
      </c>
      <c r="B4552" s="25" t="s">
        <v>808</v>
      </c>
      <c r="C4552" s="6" t="s">
        <v>818</v>
      </c>
      <c r="D4552" s="13">
        <v>7388.3403379584515</v>
      </c>
      <c r="E4552" s="18">
        <v>21</v>
      </c>
      <c r="F4552" s="2">
        <f t="shared" si="154"/>
        <v>8939.8918089297258</v>
      </c>
      <c r="G4552" s="3">
        <v>0</v>
      </c>
      <c r="H4552" s="4">
        <v>0.7</v>
      </c>
      <c r="I4552" s="28">
        <f t="shared" si="155"/>
        <v>15197.816075180534</v>
      </c>
    </row>
    <row r="4553" spans="1:9" ht="15" customHeight="1" x14ac:dyDescent="0.35">
      <c r="A4553" s="26" t="s">
        <v>5633</v>
      </c>
      <c r="B4553" s="25" t="s">
        <v>809</v>
      </c>
      <c r="C4553" s="6" t="s">
        <v>11049</v>
      </c>
      <c r="D4553" s="13">
        <v>6990.5066662971785</v>
      </c>
      <c r="E4553" s="18">
        <v>21</v>
      </c>
      <c r="F4553" s="2">
        <f t="shared" si="154"/>
        <v>8458.5130662195861</v>
      </c>
      <c r="G4553" s="3">
        <v>0</v>
      </c>
      <c r="H4553" s="4">
        <v>0.7</v>
      </c>
      <c r="I4553" s="28">
        <f t="shared" si="155"/>
        <v>14379.472212573295</v>
      </c>
    </row>
    <row r="4554" spans="1:9" ht="15" customHeight="1" x14ac:dyDescent="0.35">
      <c r="A4554" s="26" t="s">
        <v>5634</v>
      </c>
      <c r="B4554" s="25" t="s">
        <v>810</v>
      </c>
      <c r="C4554" s="6" t="s">
        <v>819</v>
      </c>
      <c r="D4554" s="13">
        <v>7582.491902412994</v>
      </c>
      <c r="E4554" s="18">
        <v>21</v>
      </c>
      <c r="F4554" s="2">
        <f t="shared" si="154"/>
        <v>9174.8152019197223</v>
      </c>
      <c r="G4554" s="3">
        <v>0</v>
      </c>
      <c r="H4554" s="4">
        <v>0.7</v>
      </c>
      <c r="I4554" s="28">
        <f t="shared" si="155"/>
        <v>15597.185843263527</v>
      </c>
    </row>
    <row r="4555" spans="1:9" ht="15" customHeight="1" x14ac:dyDescent="0.35">
      <c r="A4555" s="26" t="s">
        <v>5635</v>
      </c>
      <c r="B4555" s="25" t="s">
        <v>811</v>
      </c>
      <c r="C4555" s="6" t="s">
        <v>13874</v>
      </c>
      <c r="D4555" s="13">
        <v>4827.8270114782335</v>
      </c>
      <c r="E4555" s="18">
        <v>21</v>
      </c>
      <c r="F4555" s="2">
        <f t="shared" si="154"/>
        <v>5841.6706838886621</v>
      </c>
      <c r="G4555" s="3">
        <v>0</v>
      </c>
      <c r="H4555" s="4">
        <v>0.7</v>
      </c>
      <c r="I4555" s="28">
        <f t="shared" si="155"/>
        <v>9930.8401626107261</v>
      </c>
    </row>
    <row r="4556" spans="1:9" ht="15" customHeight="1" x14ac:dyDescent="0.35">
      <c r="A4556" s="26" t="s">
        <v>5636</v>
      </c>
      <c r="B4556" s="25" t="s">
        <v>812</v>
      </c>
      <c r="C4556" s="6" t="s">
        <v>13875</v>
      </c>
      <c r="D4556" s="13">
        <v>6139.5759379148521</v>
      </c>
      <c r="E4556" s="18">
        <v>21</v>
      </c>
      <c r="F4556" s="2">
        <f t="shared" si="154"/>
        <v>7428.8868848769707</v>
      </c>
      <c r="G4556" s="3">
        <v>0</v>
      </c>
      <c r="H4556" s="4">
        <v>0.7</v>
      </c>
      <c r="I4556" s="28">
        <f t="shared" si="155"/>
        <v>12629.107704290849</v>
      </c>
    </row>
    <row r="4557" spans="1:9" ht="15" customHeight="1" x14ac:dyDescent="0.35">
      <c r="A4557" s="26" t="s">
        <v>5638</v>
      </c>
      <c r="B4557" s="25" t="s">
        <v>813</v>
      </c>
      <c r="C4557" s="6" t="s">
        <v>822</v>
      </c>
      <c r="D4557" s="13">
        <v>7624.8521855999998</v>
      </c>
      <c r="E4557" s="18">
        <v>21</v>
      </c>
      <c r="F4557" s="2">
        <f t="shared" si="154"/>
        <v>9226.0711445759989</v>
      </c>
      <c r="G4557" s="3">
        <v>0</v>
      </c>
      <c r="H4557" s="4">
        <v>0.7</v>
      </c>
      <c r="I4557" s="28">
        <f t="shared" si="155"/>
        <v>15684.320945779198</v>
      </c>
    </row>
    <row r="4558" spans="1:9" ht="15" customHeight="1" x14ac:dyDescent="0.35">
      <c r="A4558" s="26" t="s">
        <v>5639</v>
      </c>
      <c r="B4558" s="25" t="s">
        <v>814</v>
      </c>
      <c r="C4558" s="6" t="s">
        <v>823</v>
      </c>
      <c r="D4558" s="13">
        <v>5736.2892599999996</v>
      </c>
      <c r="E4558" s="18">
        <v>21</v>
      </c>
      <c r="F4558" s="2">
        <f t="shared" si="154"/>
        <v>6940.9100045999994</v>
      </c>
      <c r="G4558" s="3">
        <v>0</v>
      </c>
      <c r="H4558" s="4">
        <v>0.7</v>
      </c>
      <c r="I4558" s="28">
        <f t="shared" si="155"/>
        <v>11799.547007819998</v>
      </c>
    </row>
    <row r="4559" spans="1:9" ht="15" customHeight="1" x14ac:dyDescent="0.35">
      <c r="A4559" s="26" t="s">
        <v>5640</v>
      </c>
      <c r="B4559" s="25" t="s">
        <v>815</v>
      </c>
      <c r="C4559" s="6" t="s">
        <v>824</v>
      </c>
      <c r="D4559" s="13">
        <v>6341.0571120000004</v>
      </c>
      <c r="E4559" s="18">
        <v>21</v>
      </c>
      <c r="F4559" s="2">
        <f t="shared" si="154"/>
        <v>7672.6791055200001</v>
      </c>
      <c r="G4559" s="3">
        <v>0</v>
      </c>
      <c r="H4559" s="4">
        <v>0.7</v>
      </c>
      <c r="I4559" s="28">
        <f t="shared" si="155"/>
        <v>13043.554479384</v>
      </c>
    </row>
    <row r="4560" spans="1:9" ht="15" customHeight="1" x14ac:dyDescent="0.35">
      <c r="A4560" s="26" t="s">
        <v>5641</v>
      </c>
      <c r="B4560" s="25" t="s">
        <v>12966</v>
      </c>
      <c r="C4560" s="6" t="s">
        <v>10560</v>
      </c>
      <c r="D4560" s="13">
        <v>3488.4944639999999</v>
      </c>
      <c r="E4560" s="18">
        <v>21</v>
      </c>
      <c r="F4560" s="2">
        <f t="shared" si="154"/>
        <v>4221.0783014399994</v>
      </c>
      <c r="G4560" s="3">
        <v>0</v>
      </c>
      <c r="H4560" s="4">
        <v>0.7</v>
      </c>
      <c r="I4560" s="28">
        <f t="shared" si="155"/>
        <v>7175.8331124479992</v>
      </c>
    </row>
    <row r="4561" spans="1:9" ht="15" customHeight="1" x14ac:dyDescent="0.35">
      <c r="A4561" s="26" t="s">
        <v>5643</v>
      </c>
      <c r="B4561" s="25" t="s">
        <v>11045</v>
      </c>
      <c r="C4561" s="6" t="s">
        <v>10562</v>
      </c>
      <c r="D4561" s="13">
        <v>5824.5398639999994</v>
      </c>
      <c r="E4561" s="18">
        <v>21</v>
      </c>
      <c r="F4561" s="2">
        <f t="shared" si="154"/>
        <v>7047.6932354399996</v>
      </c>
      <c r="G4561" s="3">
        <v>0</v>
      </c>
      <c r="H4561" s="4">
        <v>0.7</v>
      </c>
      <c r="I4561" s="28">
        <f t="shared" si="155"/>
        <v>11981.078500247999</v>
      </c>
    </row>
    <row r="4562" spans="1:9" ht="15" customHeight="1" x14ac:dyDescent="0.35">
      <c r="A4562" s="26" t="s">
        <v>5646</v>
      </c>
      <c r="B4562" s="25" t="s">
        <v>12789</v>
      </c>
      <c r="C4562" s="6" t="s">
        <v>11050</v>
      </c>
      <c r="D4562" s="13">
        <v>3488.4944788521784</v>
      </c>
      <c r="E4562" s="18">
        <v>21</v>
      </c>
      <c r="F4562" s="2">
        <f t="shared" si="154"/>
        <v>4221.0783194111355</v>
      </c>
      <c r="G4562" s="3">
        <v>0</v>
      </c>
      <c r="H4562" s="4">
        <v>0.7</v>
      </c>
      <c r="I4562" s="28">
        <f t="shared" si="155"/>
        <v>7175.8331429989303</v>
      </c>
    </row>
    <row r="4563" spans="1:9" ht="15" customHeight="1" x14ac:dyDescent="0.35">
      <c r="A4563" s="26" t="s">
        <v>5384</v>
      </c>
      <c r="B4563" s="25" t="s">
        <v>11046</v>
      </c>
      <c r="C4563" s="6" t="s">
        <v>10563</v>
      </c>
      <c r="D4563" s="13">
        <v>4526.0879625000007</v>
      </c>
      <c r="E4563" s="18">
        <v>10.5</v>
      </c>
      <c r="F4563" s="2">
        <f t="shared" si="154"/>
        <v>5001.3271985625006</v>
      </c>
      <c r="G4563" s="3">
        <v>0</v>
      </c>
      <c r="H4563" s="4">
        <v>0.7</v>
      </c>
      <c r="I4563" s="28">
        <f t="shared" si="155"/>
        <v>8502.2562375562502</v>
      </c>
    </row>
    <row r="4564" spans="1:9" ht="15" customHeight="1" x14ac:dyDescent="0.35">
      <c r="A4564" s="26" t="s">
        <v>12974</v>
      </c>
      <c r="B4564" s="25" t="s">
        <v>11047</v>
      </c>
      <c r="C4564" s="6" t="s">
        <v>12975</v>
      </c>
      <c r="D4564" s="13">
        <v>4526.0879625000007</v>
      </c>
      <c r="E4564" s="18">
        <v>10.5</v>
      </c>
      <c r="F4564" s="2">
        <f t="shared" si="154"/>
        <v>5001.3271985625006</v>
      </c>
      <c r="G4564" s="3">
        <v>0</v>
      </c>
      <c r="H4564" s="4">
        <v>0.7</v>
      </c>
      <c r="I4564" s="28">
        <f t="shared" si="155"/>
        <v>8502.2562375562502</v>
      </c>
    </row>
    <row r="4565" spans="1:9" ht="15" customHeight="1" x14ac:dyDescent="0.35">
      <c r="A4565" s="26" t="s">
        <v>5385</v>
      </c>
      <c r="B4565" s="25" t="s">
        <v>11048</v>
      </c>
      <c r="C4565" s="6" t="s">
        <v>13974</v>
      </c>
      <c r="D4565" s="13">
        <v>2058.8977500000001</v>
      </c>
      <c r="E4565" s="18">
        <v>10.5</v>
      </c>
      <c r="F4565" s="2">
        <f t="shared" si="154"/>
        <v>2275.08201375</v>
      </c>
      <c r="G4565" s="3">
        <v>0</v>
      </c>
      <c r="H4565" s="4">
        <v>0.7</v>
      </c>
      <c r="I4565" s="28">
        <f t="shared" si="155"/>
        <v>3867.6394233749998</v>
      </c>
    </row>
    <row r="4566" spans="1:9" ht="15" customHeight="1" x14ac:dyDescent="0.35">
      <c r="A4566" s="26" t="s">
        <v>13975</v>
      </c>
      <c r="B4566" s="25" t="s">
        <v>12961</v>
      </c>
      <c r="C4566" s="6" t="s">
        <v>10564</v>
      </c>
      <c r="D4566" s="13">
        <v>1849.369275</v>
      </c>
      <c r="E4566" s="18">
        <v>10.5</v>
      </c>
      <c r="F4566" s="2">
        <f t="shared" si="154"/>
        <v>2043.5530488750001</v>
      </c>
      <c r="G4566" s="3">
        <v>0</v>
      </c>
      <c r="H4566" s="4">
        <v>0.7</v>
      </c>
      <c r="I4566" s="28">
        <f t="shared" si="155"/>
        <v>3474.0401830874998</v>
      </c>
    </row>
    <row r="4567" spans="1:9" ht="15" customHeight="1" x14ac:dyDescent="0.35">
      <c r="A4567" s="26" t="s">
        <v>5393</v>
      </c>
      <c r="B4567" s="25" t="s">
        <v>12073</v>
      </c>
      <c r="C4567" s="6" t="s">
        <v>12882</v>
      </c>
      <c r="D4567" s="13">
        <v>1849.369275</v>
      </c>
      <c r="E4567" s="18">
        <v>10.5</v>
      </c>
      <c r="F4567" s="2">
        <f t="shared" si="154"/>
        <v>2043.5530488750001</v>
      </c>
      <c r="G4567" s="3">
        <v>0</v>
      </c>
      <c r="H4567" s="4">
        <v>0.7</v>
      </c>
      <c r="I4567" s="28">
        <f t="shared" si="155"/>
        <v>3474.0401830874998</v>
      </c>
    </row>
    <row r="4568" spans="1:9" ht="15" customHeight="1" x14ac:dyDescent="0.35">
      <c r="A4568" s="26" t="s">
        <v>5386</v>
      </c>
      <c r="B4568" s="25" t="s">
        <v>12965</v>
      </c>
      <c r="C4568" s="6" t="s">
        <v>10565</v>
      </c>
      <c r="D4568" s="13">
        <v>1849.369275</v>
      </c>
      <c r="E4568" s="18">
        <v>10.5</v>
      </c>
      <c r="F4568" s="2">
        <f t="shared" si="154"/>
        <v>2043.5530488750001</v>
      </c>
      <c r="G4568" s="3">
        <v>0</v>
      </c>
      <c r="H4568" s="4">
        <v>0.7</v>
      </c>
      <c r="I4568" s="28">
        <f t="shared" si="155"/>
        <v>3474.0401830874998</v>
      </c>
    </row>
    <row r="4569" spans="1:9" ht="15" customHeight="1" x14ac:dyDescent="0.35">
      <c r="A4569" s="26" t="s">
        <v>10406</v>
      </c>
      <c r="B4569" s="25" t="s">
        <v>10786</v>
      </c>
      <c r="C4569" s="6" t="s">
        <v>10407</v>
      </c>
      <c r="D4569" s="13">
        <v>2058.8977500000001</v>
      </c>
      <c r="E4569" s="18">
        <v>10.5</v>
      </c>
      <c r="F4569" s="2">
        <f t="shared" si="154"/>
        <v>2275.08201375</v>
      </c>
      <c r="G4569" s="3">
        <v>0</v>
      </c>
      <c r="H4569" s="4">
        <v>0.7</v>
      </c>
      <c r="I4569" s="28">
        <f t="shared" si="155"/>
        <v>3867.6394233749998</v>
      </c>
    </row>
    <row r="4570" spans="1:9" ht="15" customHeight="1" x14ac:dyDescent="0.35">
      <c r="A4570" s="26" t="s">
        <v>5392</v>
      </c>
      <c r="B4570" s="25" t="s">
        <v>10037</v>
      </c>
      <c r="C4570" s="6" t="s">
        <v>11434</v>
      </c>
      <c r="D4570" s="13">
        <v>4615.6352879975002</v>
      </c>
      <c r="E4570" s="18">
        <v>10.5</v>
      </c>
      <c r="F4570" s="2">
        <f t="shared" si="154"/>
        <v>5100.2769932372375</v>
      </c>
      <c r="G4570" s="3">
        <v>0</v>
      </c>
      <c r="H4570" s="4">
        <v>0.7</v>
      </c>
      <c r="I4570" s="28">
        <f t="shared" si="155"/>
        <v>8670.4708885033033</v>
      </c>
    </row>
    <row r="4571" spans="1:9" ht="15" customHeight="1" x14ac:dyDescent="0.35">
      <c r="A4571" s="26" t="s">
        <v>5395</v>
      </c>
      <c r="B4571" s="25" t="s">
        <v>12317</v>
      </c>
      <c r="C4571" s="6" t="s">
        <v>10568</v>
      </c>
      <c r="D4571" s="13">
        <v>2014.5590483525002</v>
      </c>
      <c r="E4571" s="18">
        <v>10.5</v>
      </c>
      <c r="F4571" s="2">
        <f t="shared" si="154"/>
        <v>2226.0877484295129</v>
      </c>
      <c r="G4571" s="3">
        <v>0</v>
      </c>
      <c r="H4571" s="4">
        <v>0.7</v>
      </c>
      <c r="I4571" s="28">
        <f t="shared" si="155"/>
        <v>3784.3491723301718</v>
      </c>
    </row>
    <row r="4572" spans="1:9" ht="15" customHeight="1" x14ac:dyDescent="0.35">
      <c r="A4572" s="26" t="s">
        <v>9081</v>
      </c>
      <c r="B4572" s="25" t="s">
        <v>12967</v>
      </c>
      <c r="C4572" s="6" t="s">
        <v>10569</v>
      </c>
      <c r="D4572" s="13">
        <v>3192.5953800000002</v>
      </c>
      <c r="E4572" s="18">
        <v>10.5</v>
      </c>
      <c r="F4572" s="2">
        <f t="shared" si="154"/>
        <v>3527.8178949000003</v>
      </c>
      <c r="G4572" s="3">
        <v>0</v>
      </c>
      <c r="H4572" s="4">
        <v>0.7</v>
      </c>
      <c r="I4572" s="28">
        <f t="shared" si="155"/>
        <v>5997.2904213300008</v>
      </c>
    </row>
    <row r="4573" spans="1:9" ht="15" customHeight="1" x14ac:dyDescent="0.35">
      <c r="A4573" s="26" t="s">
        <v>5396</v>
      </c>
      <c r="B4573" s="25" t="s">
        <v>12638</v>
      </c>
      <c r="C4573" s="6" t="s">
        <v>11269</v>
      </c>
      <c r="D4573" s="13">
        <v>15077.2263525</v>
      </c>
      <c r="E4573" s="18">
        <v>10.5</v>
      </c>
      <c r="F4573" s="2">
        <f t="shared" si="154"/>
        <v>16660.3351195125</v>
      </c>
      <c r="G4573" s="3">
        <v>0</v>
      </c>
      <c r="H4573" s="4">
        <v>0.7</v>
      </c>
      <c r="I4573" s="28">
        <f t="shared" si="155"/>
        <v>28322.569703171248</v>
      </c>
    </row>
    <row r="4574" spans="1:9" ht="15" customHeight="1" x14ac:dyDescent="0.35">
      <c r="A4574" s="26" t="s">
        <v>9463</v>
      </c>
      <c r="B4574" s="25" t="s">
        <v>12642</v>
      </c>
      <c r="C4574" s="6" t="s">
        <v>11436</v>
      </c>
      <c r="D4574" s="13">
        <v>25555.803</v>
      </c>
      <c r="E4574" s="18">
        <v>10.5</v>
      </c>
      <c r="F4574" s="2">
        <f t="shared" si="154"/>
        <v>28239.162315000001</v>
      </c>
      <c r="G4574" s="3">
        <v>0</v>
      </c>
      <c r="H4574" s="4">
        <v>0.7</v>
      </c>
      <c r="I4574" s="28">
        <f t="shared" si="155"/>
        <v>48006.575935500005</v>
      </c>
    </row>
    <row r="4575" spans="1:9" ht="15" customHeight="1" x14ac:dyDescent="0.35">
      <c r="A4575" s="26" t="s">
        <v>5394</v>
      </c>
      <c r="B4575" s="25" t="s">
        <v>12640</v>
      </c>
      <c r="C4575" s="6" t="s">
        <v>10876</v>
      </c>
      <c r="D4575" s="13">
        <v>2422.5710075124998</v>
      </c>
      <c r="E4575" s="18">
        <v>10.5</v>
      </c>
      <c r="F4575" s="2">
        <f t="shared" si="154"/>
        <v>2676.9409633013124</v>
      </c>
      <c r="G4575" s="3">
        <v>0</v>
      </c>
      <c r="H4575" s="4">
        <v>0.7</v>
      </c>
      <c r="I4575" s="28">
        <f t="shared" si="155"/>
        <v>4550.799637612231</v>
      </c>
    </row>
    <row r="4576" spans="1:9" ht="15" customHeight="1" x14ac:dyDescent="0.35">
      <c r="A4576" s="26" t="s">
        <v>10403</v>
      </c>
      <c r="B4576" s="25" t="s">
        <v>12636</v>
      </c>
      <c r="C4576" s="6" t="s">
        <v>13876</v>
      </c>
      <c r="D4576" s="13">
        <v>3014.0564999999997</v>
      </c>
      <c r="E4576" s="18">
        <v>10.5</v>
      </c>
      <c r="F4576" s="2">
        <f t="shared" si="154"/>
        <v>3330.5324324999997</v>
      </c>
      <c r="G4576" s="3">
        <v>0</v>
      </c>
      <c r="H4576" s="4">
        <v>0.7</v>
      </c>
      <c r="I4576" s="28">
        <f t="shared" si="155"/>
        <v>5661.9051352499991</v>
      </c>
    </row>
    <row r="4577" spans="1:9" ht="15" customHeight="1" x14ac:dyDescent="0.35">
      <c r="A4577" s="26" t="s">
        <v>5381</v>
      </c>
      <c r="B4577" s="25" t="s">
        <v>13433</v>
      </c>
      <c r="C4577" s="6" t="s">
        <v>13877</v>
      </c>
      <c r="D4577" s="13">
        <v>2082.9738150000003</v>
      </c>
      <c r="E4577" s="18">
        <v>10.5</v>
      </c>
      <c r="F4577" s="2">
        <f t="shared" si="154"/>
        <v>2301.6860655750002</v>
      </c>
      <c r="G4577" s="3">
        <v>0</v>
      </c>
      <c r="H4577" s="4">
        <v>0.7</v>
      </c>
      <c r="I4577" s="28">
        <f t="shared" si="155"/>
        <v>3912.8663114774999</v>
      </c>
    </row>
    <row r="4578" spans="1:9" ht="15" customHeight="1" x14ac:dyDescent="0.35">
      <c r="A4578" s="26" t="s">
        <v>3663</v>
      </c>
      <c r="B4578" s="25" t="s">
        <v>13434</v>
      </c>
      <c r="C4578" s="6" t="s">
        <v>12580</v>
      </c>
      <c r="D4578" s="13">
        <v>2082.9738150000003</v>
      </c>
      <c r="E4578" s="18">
        <v>10.5</v>
      </c>
      <c r="F4578" s="2">
        <f t="shared" si="154"/>
        <v>2301.6860655750002</v>
      </c>
      <c r="G4578" s="3">
        <v>0</v>
      </c>
      <c r="H4578" s="4">
        <v>0.7</v>
      </c>
      <c r="I4578" s="28">
        <f t="shared" si="155"/>
        <v>3912.8663114774999</v>
      </c>
    </row>
    <row r="4579" spans="1:9" ht="15" customHeight="1" x14ac:dyDescent="0.35">
      <c r="A4579" s="26" t="s">
        <v>10405</v>
      </c>
      <c r="B4579" s="25" t="s">
        <v>13435</v>
      </c>
      <c r="C4579" s="6" t="s">
        <v>10877</v>
      </c>
      <c r="D4579" s="13">
        <v>3024.6693749999999</v>
      </c>
      <c r="E4579" s="18">
        <v>10.5</v>
      </c>
      <c r="F4579" s="2">
        <f t="shared" si="154"/>
        <v>3342.259659375</v>
      </c>
      <c r="G4579" s="3">
        <v>0</v>
      </c>
      <c r="H4579" s="4">
        <v>0.7</v>
      </c>
      <c r="I4579" s="28">
        <f t="shared" si="155"/>
        <v>5681.8414209374996</v>
      </c>
    </row>
    <row r="4580" spans="1:9" ht="15" customHeight="1" x14ac:dyDescent="0.35">
      <c r="A4580" s="26" t="s">
        <v>5390</v>
      </c>
      <c r="B4580" s="25" t="s">
        <v>1127</v>
      </c>
      <c r="C4580" s="6" t="s">
        <v>13878</v>
      </c>
      <c r="D4580" s="13">
        <v>2388.15219045</v>
      </c>
      <c r="E4580" s="18">
        <v>10.5</v>
      </c>
      <c r="F4580" s="2">
        <f t="shared" si="154"/>
        <v>2638.9081704472501</v>
      </c>
      <c r="G4580" s="3">
        <v>0</v>
      </c>
      <c r="H4580" s="4">
        <v>0.7</v>
      </c>
      <c r="I4580" s="28">
        <f t="shared" si="155"/>
        <v>4486.1438897603248</v>
      </c>
    </row>
    <row r="4581" spans="1:9" ht="15" customHeight="1" x14ac:dyDescent="0.35">
      <c r="A4581" s="26" t="s">
        <v>2289</v>
      </c>
      <c r="B4581" s="25" t="s">
        <v>9705</v>
      </c>
      <c r="C4581" s="6" t="s">
        <v>9528</v>
      </c>
      <c r="D4581" s="13">
        <v>85.629959999999997</v>
      </c>
      <c r="E4581" s="18">
        <v>21</v>
      </c>
      <c r="F4581" s="2">
        <f t="shared" si="154"/>
        <v>103.61225159999999</v>
      </c>
      <c r="G4581" s="3">
        <v>0</v>
      </c>
      <c r="H4581" s="4">
        <v>0.7</v>
      </c>
      <c r="I4581" s="28">
        <f t="shared" si="155"/>
        <v>176.14082771999998</v>
      </c>
    </row>
    <row r="4582" spans="1:9" ht="15" customHeight="1" x14ac:dyDescent="0.35">
      <c r="A4582" s="26" t="s">
        <v>2290</v>
      </c>
      <c r="B4582" s="25" t="s">
        <v>9707</v>
      </c>
      <c r="C4582" s="6" t="s">
        <v>825</v>
      </c>
      <c r="D4582" s="13">
        <v>849.41204761642143</v>
      </c>
      <c r="E4582" s="18">
        <v>21</v>
      </c>
      <c r="F4582" s="2">
        <f t="shared" si="154"/>
        <v>1027.7885776158701</v>
      </c>
      <c r="G4582" s="3">
        <v>0</v>
      </c>
      <c r="H4582" s="4">
        <v>0.7</v>
      </c>
      <c r="I4582" s="28">
        <f t="shared" si="155"/>
        <v>1747.2405819469791</v>
      </c>
    </row>
    <row r="4583" spans="1:9" ht="15" customHeight="1" x14ac:dyDescent="0.35">
      <c r="A4583" s="26" t="s">
        <v>2292</v>
      </c>
      <c r="B4583" s="25" t="s">
        <v>9708</v>
      </c>
      <c r="C4583" s="6" t="s">
        <v>826</v>
      </c>
      <c r="D4583" s="13">
        <v>682.86067254365798</v>
      </c>
      <c r="E4583" s="18">
        <v>21</v>
      </c>
      <c r="F4583" s="2">
        <f t="shared" si="154"/>
        <v>826.26141377782619</v>
      </c>
      <c r="G4583" s="3">
        <v>0</v>
      </c>
      <c r="H4583" s="4">
        <v>0.7</v>
      </c>
      <c r="I4583" s="28">
        <f t="shared" si="155"/>
        <v>1404.6444034223045</v>
      </c>
    </row>
    <row r="4584" spans="1:9" ht="15" customHeight="1" x14ac:dyDescent="0.35">
      <c r="A4584" s="26" t="s">
        <v>10189</v>
      </c>
      <c r="B4584" s="25" t="s">
        <v>9710</v>
      </c>
      <c r="C4584" s="6" t="s">
        <v>11671</v>
      </c>
      <c r="D4584" s="13">
        <v>1721.0046130875</v>
      </c>
      <c r="E4584" s="18">
        <v>21</v>
      </c>
      <c r="F4584" s="2">
        <f t="shared" si="154"/>
        <v>2082.4155818358749</v>
      </c>
      <c r="G4584" s="3">
        <v>0</v>
      </c>
      <c r="H4584" s="4">
        <v>0.7</v>
      </c>
      <c r="I4584" s="28">
        <f t="shared" si="155"/>
        <v>3540.1064891209871</v>
      </c>
    </row>
    <row r="4585" spans="1:9" ht="15" customHeight="1" x14ac:dyDescent="0.35">
      <c r="A4585" s="26" t="s">
        <v>11454</v>
      </c>
      <c r="B4585" s="25" t="s">
        <v>9944</v>
      </c>
      <c r="C4585" s="6" t="s">
        <v>11672</v>
      </c>
      <c r="D4585" s="13">
        <v>1505.3122582875001</v>
      </c>
      <c r="E4585" s="18">
        <v>21</v>
      </c>
      <c r="F4585" s="2">
        <f t="shared" si="154"/>
        <v>1821.4278325278751</v>
      </c>
      <c r="G4585" s="3">
        <v>0</v>
      </c>
      <c r="H4585" s="4">
        <v>0.7</v>
      </c>
      <c r="I4585" s="28">
        <f t="shared" si="155"/>
        <v>3096.4273152973878</v>
      </c>
    </row>
    <row r="4586" spans="1:9" ht="15" customHeight="1" x14ac:dyDescent="0.35">
      <c r="A4586" s="26" t="s">
        <v>8758</v>
      </c>
      <c r="B4586" s="25" t="s">
        <v>10175</v>
      </c>
      <c r="C4586" s="6" t="s">
        <v>11673</v>
      </c>
      <c r="D4586" s="13">
        <v>912.34559812500095</v>
      </c>
      <c r="E4586" s="18">
        <v>21</v>
      </c>
      <c r="F4586" s="2">
        <f t="shared" si="154"/>
        <v>1103.9381737312513</v>
      </c>
      <c r="G4586" s="3">
        <v>0</v>
      </c>
      <c r="H4586" s="4">
        <v>0.7</v>
      </c>
      <c r="I4586" s="28">
        <f t="shared" si="155"/>
        <v>1876.694895343127</v>
      </c>
    </row>
    <row r="4587" spans="1:9" ht="15" customHeight="1" x14ac:dyDescent="0.35">
      <c r="A4587" s="26" t="s">
        <v>12177</v>
      </c>
      <c r="B4587" s="25" t="s">
        <v>9711</v>
      </c>
      <c r="C4587" s="6" t="s">
        <v>12178</v>
      </c>
      <c r="D4587" s="13">
        <v>2442.2110581375</v>
      </c>
      <c r="E4587" s="18">
        <v>21</v>
      </c>
      <c r="F4587" s="2">
        <f t="shared" si="154"/>
        <v>2955.0753803463749</v>
      </c>
      <c r="G4587" s="3">
        <v>0</v>
      </c>
      <c r="H4587" s="4">
        <v>0.7</v>
      </c>
      <c r="I4587" s="28">
        <f t="shared" si="155"/>
        <v>5023.6281465888369</v>
      </c>
    </row>
    <row r="4588" spans="1:9" ht="15" customHeight="1" x14ac:dyDescent="0.35">
      <c r="A4588" s="26" t="s">
        <v>2303</v>
      </c>
      <c r="B4588" s="25" t="s">
        <v>9713</v>
      </c>
      <c r="C4588" s="6" t="s">
        <v>11674</v>
      </c>
      <c r="D4588" s="13">
        <v>738.50488627499999</v>
      </c>
      <c r="E4588" s="18">
        <v>21</v>
      </c>
      <c r="F4588" s="2">
        <f t="shared" si="154"/>
        <v>893.59091239274994</v>
      </c>
      <c r="G4588" s="3">
        <v>0</v>
      </c>
      <c r="H4588" s="4">
        <v>0.7</v>
      </c>
      <c r="I4588" s="28">
        <f t="shared" si="155"/>
        <v>1519.1045510676749</v>
      </c>
    </row>
    <row r="4589" spans="1:9" ht="15" customHeight="1" x14ac:dyDescent="0.35">
      <c r="A4589" s="26" t="s">
        <v>2304</v>
      </c>
      <c r="B4589" s="25" t="s">
        <v>13275</v>
      </c>
      <c r="C4589" s="6" t="s">
        <v>11675</v>
      </c>
      <c r="D4589" s="13">
        <v>912.34559812500095</v>
      </c>
      <c r="E4589" s="18">
        <v>21</v>
      </c>
      <c r="F4589" s="2">
        <f t="shared" si="154"/>
        <v>1103.9381737312513</v>
      </c>
      <c r="G4589" s="3">
        <v>0</v>
      </c>
      <c r="H4589" s="4">
        <v>0.7</v>
      </c>
      <c r="I4589" s="28">
        <f t="shared" si="155"/>
        <v>1876.694895343127</v>
      </c>
    </row>
    <row r="4590" spans="1:9" ht="15" customHeight="1" x14ac:dyDescent="0.35">
      <c r="A4590" s="26" t="s">
        <v>12664</v>
      </c>
      <c r="B4590" s="25" t="s">
        <v>10718</v>
      </c>
      <c r="C4590" s="6" t="s">
        <v>12665</v>
      </c>
      <c r="D4590" s="13">
        <v>45.902999999999999</v>
      </c>
      <c r="E4590" s="18">
        <v>21</v>
      </c>
      <c r="F4590" s="2">
        <f t="shared" si="154"/>
        <v>55.542630000000003</v>
      </c>
      <c r="G4590" s="3">
        <v>0</v>
      </c>
      <c r="H4590" s="4">
        <v>0.7</v>
      </c>
      <c r="I4590" s="28">
        <f t="shared" si="155"/>
        <v>94.422471000000002</v>
      </c>
    </row>
    <row r="4591" spans="1:9" ht="15" customHeight="1" x14ac:dyDescent="0.35">
      <c r="A4591" s="26" t="s">
        <v>12666</v>
      </c>
      <c r="B4591" s="25" t="s">
        <v>13276</v>
      </c>
      <c r="C4591" s="6" t="s">
        <v>12667</v>
      </c>
      <c r="D4591" s="13">
        <v>82.069000000000003</v>
      </c>
      <c r="E4591" s="18">
        <v>21</v>
      </c>
      <c r="F4591" s="2">
        <f t="shared" si="154"/>
        <v>99.303490000000011</v>
      </c>
      <c r="G4591" s="3">
        <v>0</v>
      </c>
      <c r="H4591" s="4">
        <v>0.7</v>
      </c>
      <c r="I4591" s="28">
        <f t="shared" si="155"/>
        <v>168.815933</v>
      </c>
    </row>
    <row r="4592" spans="1:9" ht="15" customHeight="1" x14ac:dyDescent="0.35">
      <c r="A4592" s="26" t="s">
        <v>12668</v>
      </c>
      <c r="B4592" s="25" t="s">
        <v>13277</v>
      </c>
      <c r="C4592" s="6" t="s">
        <v>12669</v>
      </c>
      <c r="D4592" s="13">
        <v>59.395699999999998</v>
      </c>
      <c r="E4592" s="18">
        <v>21</v>
      </c>
      <c r="F4592" s="2">
        <f t="shared" si="154"/>
        <v>71.868797000000001</v>
      </c>
      <c r="G4592" s="3">
        <v>0</v>
      </c>
      <c r="H4592" s="4">
        <v>0.7</v>
      </c>
      <c r="I4592" s="28">
        <f t="shared" si="155"/>
        <v>122.1769549</v>
      </c>
    </row>
    <row r="4593" spans="1:9" ht="15" customHeight="1" x14ac:dyDescent="0.35">
      <c r="A4593" s="26" t="s">
        <v>3864</v>
      </c>
      <c r="B4593" s="25" t="s">
        <v>13278</v>
      </c>
      <c r="C4593" s="6" t="s">
        <v>827</v>
      </c>
      <c r="D4593" s="13">
        <v>5797.6880000000001</v>
      </c>
      <c r="E4593" s="18">
        <v>21</v>
      </c>
      <c r="F4593" s="2">
        <f t="shared" si="154"/>
        <v>7015.2024799999999</v>
      </c>
      <c r="G4593" s="3">
        <v>0</v>
      </c>
      <c r="H4593" s="4">
        <v>0.7</v>
      </c>
      <c r="I4593" s="28">
        <f t="shared" si="155"/>
        <v>11925.844216</v>
      </c>
    </row>
    <row r="4594" spans="1:9" ht="15" customHeight="1" x14ac:dyDescent="0.35">
      <c r="A4594" s="26" t="s">
        <v>3820</v>
      </c>
      <c r="B4594" s="25" t="s">
        <v>10719</v>
      </c>
      <c r="C4594" s="6" t="s">
        <v>1335</v>
      </c>
      <c r="D4594" s="13">
        <v>15504.642400000001</v>
      </c>
      <c r="E4594" s="18">
        <v>21</v>
      </c>
      <c r="F4594" s="2">
        <f t="shared" si="154"/>
        <v>18760.617303999999</v>
      </c>
      <c r="G4594" s="3">
        <v>0</v>
      </c>
      <c r="H4594" s="4">
        <v>0.7</v>
      </c>
      <c r="I4594" s="28">
        <f t="shared" si="155"/>
        <v>31893.049416799997</v>
      </c>
    </row>
    <row r="4595" spans="1:9" ht="15" customHeight="1" x14ac:dyDescent="0.35">
      <c r="A4595" s="26" t="s">
        <v>13279</v>
      </c>
      <c r="B4595" s="25" t="s">
        <v>8780</v>
      </c>
      <c r="C4595" s="6" t="s">
        <v>13280</v>
      </c>
      <c r="D4595" s="13">
        <v>856.85599999999999</v>
      </c>
      <c r="E4595" s="18">
        <v>21</v>
      </c>
      <c r="F4595" s="2">
        <f t="shared" si="154"/>
        <v>1036.79576</v>
      </c>
      <c r="G4595" s="3">
        <v>0</v>
      </c>
      <c r="H4595" s="4">
        <v>0.7</v>
      </c>
      <c r="I4595" s="28">
        <f t="shared" si="155"/>
        <v>1762.552792</v>
      </c>
    </row>
    <row r="4596" spans="1:9" ht="15" customHeight="1" x14ac:dyDescent="0.35">
      <c r="A4596" s="26" t="s">
        <v>2356</v>
      </c>
      <c r="B4596" s="25" t="s">
        <v>9225</v>
      </c>
      <c r="C4596" s="6" t="s">
        <v>12769</v>
      </c>
      <c r="D4596" s="13">
        <v>102.51659873520001</v>
      </c>
      <c r="E4596" s="18">
        <v>21</v>
      </c>
      <c r="F4596" s="2">
        <f t="shared" si="154"/>
        <v>124.04508446959201</v>
      </c>
      <c r="G4596" s="3">
        <v>0</v>
      </c>
      <c r="H4596" s="4">
        <v>0.7</v>
      </c>
      <c r="I4596" s="28">
        <f t="shared" si="155"/>
        <v>210.87664359830643</v>
      </c>
    </row>
    <row r="4597" spans="1:9" ht="15" customHeight="1" x14ac:dyDescent="0.35">
      <c r="A4597" s="26" t="s">
        <v>2355</v>
      </c>
      <c r="B4597" s="25" t="s">
        <v>9985</v>
      </c>
      <c r="C4597" s="6" t="s">
        <v>11051</v>
      </c>
      <c r="D4597" s="13">
        <v>128.340824672385</v>
      </c>
      <c r="E4597" s="18">
        <v>21</v>
      </c>
      <c r="F4597" s="2">
        <f t="shared" si="154"/>
        <v>155.29239785358584</v>
      </c>
      <c r="G4597" s="3">
        <v>0</v>
      </c>
      <c r="H4597" s="4">
        <v>0.7</v>
      </c>
      <c r="I4597" s="28">
        <f t="shared" si="155"/>
        <v>263.99707635109593</v>
      </c>
    </row>
    <row r="4598" spans="1:9" ht="15" customHeight="1" x14ac:dyDescent="0.35">
      <c r="A4598" s="26" t="s">
        <v>2358</v>
      </c>
      <c r="B4598" s="25" t="s">
        <v>1128</v>
      </c>
      <c r="C4598" s="6" t="s">
        <v>12770</v>
      </c>
      <c r="D4598" s="13">
        <v>107.2262415276</v>
      </c>
      <c r="E4598" s="18">
        <v>21</v>
      </c>
      <c r="F4598" s="2">
        <f t="shared" si="154"/>
        <v>129.74375224839599</v>
      </c>
      <c r="G4598" s="3">
        <v>0</v>
      </c>
      <c r="H4598" s="4">
        <v>0.7</v>
      </c>
      <c r="I4598" s="28">
        <f t="shared" si="155"/>
        <v>220.56437882227317</v>
      </c>
    </row>
    <row r="4599" spans="1:9" ht="15" customHeight="1" x14ac:dyDescent="0.35">
      <c r="A4599" s="26" t="s">
        <v>2357</v>
      </c>
      <c r="B4599" s="25" t="s">
        <v>10974</v>
      </c>
      <c r="C4599" s="6" t="s">
        <v>11052</v>
      </c>
      <c r="D4599" s="13">
        <v>129.77194749012</v>
      </c>
      <c r="E4599" s="18">
        <v>21</v>
      </c>
      <c r="F4599" s="2">
        <f t="shared" si="154"/>
        <v>157.02405646304521</v>
      </c>
      <c r="G4599" s="3">
        <v>0</v>
      </c>
      <c r="H4599" s="4">
        <v>0.7</v>
      </c>
      <c r="I4599" s="28">
        <f t="shared" si="155"/>
        <v>266.94089598717687</v>
      </c>
    </row>
    <row r="4600" spans="1:9" ht="15" customHeight="1" x14ac:dyDescent="0.35">
      <c r="A4600" s="26" t="s">
        <v>13652</v>
      </c>
      <c r="B4600" s="25" t="s">
        <v>1129</v>
      </c>
      <c r="C4600" s="6" t="s">
        <v>13653</v>
      </c>
      <c r="D4600" s="13">
        <v>117.94350704759999</v>
      </c>
      <c r="E4600" s="18">
        <v>21</v>
      </c>
      <c r="F4600" s="2">
        <f t="shared" si="154"/>
        <v>142.71164352759598</v>
      </c>
      <c r="G4600" s="3">
        <v>0</v>
      </c>
      <c r="H4600" s="4">
        <v>0.7</v>
      </c>
      <c r="I4600" s="28">
        <f t="shared" si="155"/>
        <v>242.60979399691317</v>
      </c>
    </row>
    <row r="4601" spans="1:9" ht="15" customHeight="1" x14ac:dyDescent="0.35">
      <c r="A4601" s="26" t="s">
        <v>2360</v>
      </c>
      <c r="B4601" s="25" t="s">
        <v>1130</v>
      </c>
      <c r="C4601" s="6" t="s">
        <v>12771</v>
      </c>
      <c r="D4601" s="13">
        <v>142.65275810759999</v>
      </c>
      <c r="E4601" s="18">
        <v>21</v>
      </c>
      <c r="F4601" s="2">
        <f t="shared" si="154"/>
        <v>172.60983731019599</v>
      </c>
      <c r="G4601" s="3">
        <v>0</v>
      </c>
      <c r="H4601" s="4">
        <v>0.7</v>
      </c>
      <c r="I4601" s="28">
        <f t="shared" si="155"/>
        <v>293.43672342733316</v>
      </c>
    </row>
    <row r="4602" spans="1:9" ht="15" customHeight="1" x14ac:dyDescent="0.35">
      <c r="A4602" s="26" t="s">
        <v>2359</v>
      </c>
      <c r="B4602" s="25" t="s">
        <v>11670</v>
      </c>
      <c r="C4602" s="6" t="s">
        <v>11053</v>
      </c>
      <c r="D4602" s="13">
        <v>176.17311021492</v>
      </c>
      <c r="E4602" s="18">
        <v>21</v>
      </c>
      <c r="F4602" s="2">
        <f t="shared" si="154"/>
        <v>213.16946336005321</v>
      </c>
      <c r="G4602" s="3">
        <v>0</v>
      </c>
      <c r="H4602" s="4">
        <v>0.7</v>
      </c>
      <c r="I4602" s="28">
        <f t="shared" si="155"/>
        <v>362.38808771209045</v>
      </c>
    </row>
    <row r="4603" spans="1:9" ht="15" customHeight="1" x14ac:dyDescent="0.35">
      <c r="A4603" s="26" t="s">
        <v>2362</v>
      </c>
      <c r="B4603" s="25" t="s">
        <v>12506</v>
      </c>
      <c r="C4603" s="6" t="s">
        <v>12772</v>
      </c>
      <c r="D4603" s="13">
        <v>154.56083090760001</v>
      </c>
      <c r="E4603" s="18">
        <v>21</v>
      </c>
      <c r="F4603" s="2">
        <f t="shared" si="154"/>
        <v>187.018605398196</v>
      </c>
      <c r="G4603" s="3">
        <v>0</v>
      </c>
      <c r="H4603" s="4">
        <v>0.7</v>
      </c>
      <c r="I4603" s="28">
        <f t="shared" si="155"/>
        <v>317.9316291769332</v>
      </c>
    </row>
    <row r="4604" spans="1:9" ht="15" customHeight="1" x14ac:dyDescent="0.35">
      <c r="A4604" s="26" t="s">
        <v>2361</v>
      </c>
      <c r="B4604" s="25" t="s">
        <v>1334</v>
      </c>
      <c r="C4604" s="6" t="s">
        <v>11054</v>
      </c>
      <c r="D4604" s="13">
        <v>200.59676570349001</v>
      </c>
      <c r="E4604" s="18">
        <v>21</v>
      </c>
      <c r="F4604" s="2">
        <f t="shared" si="154"/>
        <v>242.72208650122292</v>
      </c>
      <c r="G4604" s="3">
        <v>0</v>
      </c>
      <c r="H4604" s="4">
        <v>0.7</v>
      </c>
      <c r="I4604" s="28">
        <f t="shared" si="155"/>
        <v>412.62754705207897</v>
      </c>
    </row>
    <row r="4605" spans="1:9" ht="15" customHeight="1" x14ac:dyDescent="0.35">
      <c r="A4605" s="26" t="s">
        <v>2364</v>
      </c>
      <c r="B4605" s="25" t="s">
        <v>1036</v>
      </c>
      <c r="C4605" s="6" t="s">
        <v>12773</v>
      </c>
      <c r="D4605" s="13">
        <v>374.61606221519997</v>
      </c>
      <c r="E4605" s="18">
        <v>21</v>
      </c>
      <c r="F4605" s="2">
        <f t="shared" si="154"/>
        <v>453.28543528039199</v>
      </c>
      <c r="G4605" s="3">
        <v>0</v>
      </c>
      <c r="H4605" s="4">
        <v>0.7</v>
      </c>
      <c r="I4605" s="28">
        <f t="shared" si="155"/>
        <v>770.58523997666634</v>
      </c>
    </row>
    <row r="4606" spans="1:9" ht="15" customHeight="1" x14ac:dyDescent="0.35">
      <c r="A4606" s="26" t="s">
        <v>2363</v>
      </c>
      <c r="B4606" s="25" t="s">
        <v>1037</v>
      </c>
      <c r="C4606" s="6" t="s">
        <v>11055</v>
      </c>
      <c r="D4606" s="13">
        <v>532.26420709292995</v>
      </c>
      <c r="E4606" s="18">
        <v>21</v>
      </c>
      <c r="F4606" s="2">
        <f t="shared" ref="F4606:F4624" si="156">D4606*E4606/100+D4606</f>
        <v>644.03969058244525</v>
      </c>
      <c r="G4606" s="3">
        <v>0</v>
      </c>
      <c r="H4606" s="4">
        <v>0.7</v>
      </c>
      <c r="I4606" s="28">
        <f t="shared" ref="I4606:I4624" si="157">IF(G4606=-1,0,F4606*((100-G4606)/100)*(1+H4606))</f>
        <v>1094.8674739901569</v>
      </c>
    </row>
    <row r="4607" spans="1:9" ht="15" customHeight="1" x14ac:dyDescent="0.35">
      <c r="A4607" s="26" t="s">
        <v>2366</v>
      </c>
      <c r="B4607" s="25" t="s">
        <v>1038</v>
      </c>
      <c r="C4607" s="6" t="s">
        <v>12774</v>
      </c>
      <c r="D4607" s="13">
        <v>450.48239402399997</v>
      </c>
      <c r="E4607" s="18">
        <v>21</v>
      </c>
      <c r="F4607" s="2">
        <f t="shared" si="156"/>
        <v>545.08369676903999</v>
      </c>
      <c r="G4607" s="3">
        <v>0</v>
      </c>
      <c r="H4607" s="4">
        <v>0.7</v>
      </c>
      <c r="I4607" s="28">
        <f t="shared" si="157"/>
        <v>926.642284507368</v>
      </c>
    </row>
    <row r="4608" spans="1:9" ht="15" customHeight="1" x14ac:dyDescent="0.35">
      <c r="A4608" s="26" t="s">
        <v>2365</v>
      </c>
      <c r="B4608" s="25" t="s">
        <v>1039</v>
      </c>
      <c r="C4608" s="6" t="s">
        <v>11056</v>
      </c>
      <c r="D4608" s="13">
        <v>730.4400425673</v>
      </c>
      <c r="E4608" s="18">
        <v>21</v>
      </c>
      <c r="F4608" s="2">
        <f t="shared" si="156"/>
        <v>883.83245150643302</v>
      </c>
      <c r="G4608" s="3">
        <v>0</v>
      </c>
      <c r="H4608" s="4">
        <v>0.7</v>
      </c>
      <c r="I4608" s="28">
        <f t="shared" si="157"/>
        <v>1502.5151675609361</v>
      </c>
    </row>
    <row r="4609" spans="1:9" ht="15" customHeight="1" x14ac:dyDescent="0.35">
      <c r="A4609" s="26" t="s">
        <v>2368</v>
      </c>
      <c r="B4609" s="25" t="s">
        <v>1040</v>
      </c>
      <c r="C4609" s="6" t="s">
        <v>12775</v>
      </c>
      <c r="D4609" s="13">
        <v>717.58046692799996</v>
      </c>
      <c r="E4609" s="18">
        <v>21</v>
      </c>
      <c r="F4609" s="2">
        <f t="shared" si="156"/>
        <v>868.27236498287994</v>
      </c>
      <c r="G4609" s="3">
        <v>0</v>
      </c>
      <c r="H4609" s="4">
        <v>0.7</v>
      </c>
      <c r="I4609" s="28">
        <f t="shared" si="157"/>
        <v>1476.0630204708959</v>
      </c>
    </row>
    <row r="4610" spans="1:9" ht="15" customHeight="1" x14ac:dyDescent="0.35">
      <c r="A4610" s="26" t="s">
        <v>2367</v>
      </c>
      <c r="B4610" s="25" t="s">
        <v>1041</v>
      </c>
      <c r="C4610" s="6" t="s">
        <v>11057</v>
      </c>
      <c r="D4610" s="13">
        <v>1011.9929673128</v>
      </c>
      <c r="E4610" s="18">
        <v>21</v>
      </c>
      <c r="F4610" s="2">
        <f t="shared" si="156"/>
        <v>1224.5114904484881</v>
      </c>
      <c r="G4610" s="3">
        <v>0</v>
      </c>
      <c r="H4610" s="4">
        <v>0.7</v>
      </c>
      <c r="I4610" s="28">
        <f t="shared" si="157"/>
        <v>2081.6695337624296</v>
      </c>
    </row>
    <row r="4611" spans="1:9" ht="15" customHeight="1" x14ac:dyDescent="0.35">
      <c r="A4611" s="26" t="s">
        <v>2459</v>
      </c>
      <c r="B4611" s="25" t="s">
        <v>1042</v>
      </c>
      <c r="C4611" s="6" t="s">
        <v>1046</v>
      </c>
      <c r="D4611" s="13">
        <v>5725.1160524999996</v>
      </c>
      <c r="E4611" s="18">
        <v>21</v>
      </c>
      <c r="F4611" s="2">
        <f t="shared" si="156"/>
        <v>6927.3904235249993</v>
      </c>
      <c r="G4611" s="3">
        <v>0</v>
      </c>
      <c r="H4611" s="4">
        <v>0.7</v>
      </c>
      <c r="I4611" s="28">
        <f t="shared" si="157"/>
        <v>11776.563719992499</v>
      </c>
    </row>
    <row r="4612" spans="1:9" ht="15" customHeight="1" x14ac:dyDescent="0.35">
      <c r="A4612" s="26" t="s">
        <v>2460</v>
      </c>
      <c r="B4612" s="25" t="s">
        <v>1043</v>
      </c>
      <c r="C4612" s="6" t="s">
        <v>1047</v>
      </c>
      <c r="D4612" s="13">
        <v>6429.3828299999996</v>
      </c>
      <c r="E4612" s="18">
        <v>21</v>
      </c>
      <c r="F4612" s="2">
        <f t="shared" si="156"/>
        <v>7779.5532242999998</v>
      </c>
      <c r="G4612" s="3">
        <v>0</v>
      </c>
      <c r="H4612" s="4">
        <v>0.7</v>
      </c>
      <c r="I4612" s="28">
        <f t="shared" si="157"/>
        <v>13225.24048131</v>
      </c>
    </row>
    <row r="4613" spans="1:9" ht="15" customHeight="1" x14ac:dyDescent="0.35">
      <c r="A4613" s="26" t="s">
        <v>2461</v>
      </c>
      <c r="B4613" s="25" t="s">
        <v>1044</v>
      </c>
      <c r="C4613" s="6" t="s">
        <v>1048</v>
      </c>
      <c r="D4613" s="13">
        <v>7629.6690795000004</v>
      </c>
      <c r="E4613" s="18">
        <v>21</v>
      </c>
      <c r="F4613" s="2">
        <f t="shared" si="156"/>
        <v>9231.8995861950007</v>
      </c>
      <c r="G4613" s="3">
        <v>0</v>
      </c>
      <c r="H4613" s="4">
        <v>0.7</v>
      </c>
      <c r="I4613" s="28">
        <f t="shared" si="157"/>
        <v>15694.229296531501</v>
      </c>
    </row>
    <row r="4614" spans="1:9" ht="15" customHeight="1" x14ac:dyDescent="0.35">
      <c r="A4614" s="26" t="s">
        <v>2462</v>
      </c>
      <c r="B4614" s="25" t="s">
        <v>1045</v>
      </c>
      <c r="C4614" s="6" t="s">
        <v>1049</v>
      </c>
      <c r="D4614" s="13">
        <v>9086.7262785000003</v>
      </c>
      <c r="E4614" s="18">
        <v>21</v>
      </c>
      <c r="F4614" s="2">
        <f t="shared" si="156"/>
        <v>10994.938796984999</v>
      </c>
      <c r="G4614" s="3">
        <v>0</v>
      </c>
      <c r="H4614" s="4">
        <v>0.7</v>
      </c>
      <c r="I4614" s="28">
        <f t="shared" si="157"/>
        <v>18691.395954874497</v>
      </c>
    </row>
    <row r="4615" spans="1:9" ht="15" customHeight="1" x14ac:dyDescent="0.35">
      <c r="A4615" s="26" t="s">
        <v>2463</v>
      </c>
      <c r="B4615" s="25" t="s">
        <v>13111</v>
      </c>
      <c r="C4615" s="6" t="s">
        <v>1050</v>
      </c>
      <c r="D4615" s="13">
        <v>5204.8347585000001</v>
      </c>
      <c r="E4615" s="18">
        <v>21</v>
      </c>
      <c r="F4615" s="2">
        <f t="shared" si="156"/>
        <v>6297.850057785</v>
      </c>
      <c r="G4615" s="3">
        <v>0</v>
      </c>
      <c r="H4615" s="4">
        <v>0.7</v>
      </c>
      <c r="I4615" s="28">
        <f t="shared" si="157"/>
        <v>10706.3450982345</v>
      </c>
    </row>
    <row r="4616" spans="1:9" ht="15" customHeight="1" x14ac:dyDescent="0.35">
      <c r="A4616" s="26" t="s">
        <v>13436</v>
      </c>
      <c r="B4616" s="25" t="s">
        <v>13113</v>
      </c>
      <c r="C4616" s="6" t="s">
        <v>13437</v>
      </c>
      <c r="D4616" s="13">
        <v>643.05627909508098</v>
      </c>
      <c r="E4616" s="18">
        <v>21</v>
      </c>
      <c r="F4616" s="2">
        <f t="shared" si="156"/>
        <v>778.09809770504796</v>
      </c>
      <c r="G4616" s="3">
        <v>0</v>
      </c>
      <c r="H4616" s="4">
        <v>0.7</v>
      </c>
      <c r="I4616" s="28">
        <f t="shared" si="157"/>
        <v>1322.7667660985815</v>
      </c>
    </row>
    <row r="4617" spans="1:9" ht="15" customHeight="1" x14ac:dyDescent="0.35">
      <c r="A4617" s="26" t="s">
        <v>13438</v>
      </c>
      <c r="B4617" s="25" t="s">
        <v>12323</v>
      </c>
      <c r="C4617" s="6" t="s">
        <v>13439</v>
      </c>
      <c r="D4617" s="13">
        <v>826.79356390443695</v>
      </c>
      <c r="E4617" s="18">
        <v>21</v>
      </c>
      <c r="F4617" s="2">
        <f t="shared" si="156"/>
        <v>1000.4202123243688</v>
      </c>
      <c r="G4617" s="3">
        <v>0</v>
      </c>
      <c r="H4617" s="4">
        <v>0.7</v>
      </c>
      <c r="I4617" s="28">
        <f t="shared" si="157"/>
        <v>1700.7143609514269</v>
      </c>
    </row>
    <row r="4618" spans="1:9" ht="15" customHeight="1" x14ac:dyDescent="0.35">
      <c r="A4618" s="26" t="s">
        <v>13440</v>
      </c>
      <c r="B4618" s="25" t="s">
        <v>10720</v>
      </c>
      <c r="C4618" s="6" t="s">
        <v>13441</v>
      </c>
      <c r="D4618" s="13">
        <v>1369.0932908715599</v>
      </c>
      <c r="E4618" s="18">
        <v>21</v>
      </c>
      <c r="F4618" s="2">
        <f t="shared" si="156"/>
        <v>1656.6028819545875</v>
      </c>
      <c r="G4618" s="3">
        <v>0</v>
      </c>
      <c r="H4618" s="4">
        <v>0.7</v>
      </c>
      <c r="I4618" s="28">
        <f t="shared" si="157"/>
        <v>2816.2248993227986</v>
      </c>
    </row>
    <row r="4619" spans="1:9" ht="15" customHeight="1" x14ac:dyDescent="0.35">
      <c r="A4619" s="26" t="s">
        <v>10190</v>
      </c>
      <c r="B4619" s="25" t="s">
        <v>10721</v>
      </c>
      <c r="C4619" s="6" t="s">
        <v>10191</v>
      </c>
      <c r="D4619" s="13">
        <v>5774.4860852250004</v>
      </c>
      <c r="E4619" s="18">
        <v>21</v>
      </c>
      <c r="F4619" s="2">
        <f t="shared" si="156"/>
        <v>6987.12816312225</v>
      </c>
      <c r="G4619" s="3">
        <v>0</v>
      </c>
      <c r="H4619" s="4">
        <v>0.7</v>
      </c>
      <c r="I4619" s="28">
        <f t="shared" si="157"/>
        <v>11878.117877307825</v>
      </c>
    </row>
    <row r="4620" spans="1:9" ht="15" customHeight="1" x14ac:dyDescent="0.35">
      <c r="A4620" s="26" t="s">
        <v>10192</v>
      </c>
      <c r="B4620" s="25" t="s">
        <v>816</v>
      </c>
      <c r="C4620" s="6" t="s">
        <v>10193</v>
      </c>
      <c r="D4620" s="13">
        <v>3932.8235066249999</v>
      </c>
      <c r="E4620" s="18">
        <v>21</v>
      </c>
      <c r="F4620" s="2">
        <f t="shared" si="156"/>
        <v>4758.7164430162502</v>
      </c>
      <c r="G4620" s="3">
        <v>0</v>
      </c>
      <c r="H4620" s="4">
        <v>0.7</v>
      </c>
      <c r="I4620" s="28">
        <f t="shared" si="157"/>
        <v>8089.8179531276255</v>
      </c>
    </row>
    <row r="4621" spans="1:9" ht="15" customHeight="1" x14ac:dyDescent="0.35">
      <c r="A4621" s="26" t="s">
        <v>2308</v>
      </c>
      <c r="B4621" s="25" t="s">
        <v>817</v>
      </c>
      <c r="C4621" s="6" t="s">
        <v>1164</v>
      </c>
      <c r="D4621" s="13">
        <v>2719.1347808625001</v>
      </c>
      <c r="E4621" s="18">
        <v>21</v>
      </c>
      <c r="F4621" s="2">
        <f t="shared" si="156"/>
        <v>3290.153084843625</v>
      </c>
      <c r="G4621" s="3">
        <v>0</v>
      </c>
      <c r="H4621" s="4">
        <v>0.7</v>
      </c>
      <c r="I4621" s="28">
        <f t="shared" si="157"/>
        <v>5593.2602442341622</v>
      </c>
    </row>
    <row r="4622" spans="1:9" ht="15" customHeight="1" x14ac:dyDescent="0.35">
      <c r="A4622" s="26" t="s">
        <v>2309</v>
      </c>
      <c r="B4622" s="25" t="s">
        <v>818</v>
      </c>
      <c r="C4622" s="6" t="s">
        <v>1165</v>
      </c>
      <c r="D4622" s="13">
        <v>1932.6235982625001</v>
      </c>
      <c r="E4622" s="18">
        <v>21</v>
      </c>
      <c r="F4622" s="2">
        <f t="shared" si="156"/>
        <v>2338.4745538976249</v>
      </c>
      <c r="G4622" s="3">
        <v>0</v>
      </c>
      <c r="H4622" s="4">
        <v>0.7</v>
      </c>
      <c r="I4622" s="28">
        <f t="shared" si="157"/>
        <v>3975.4067416259622</v>
      </c>
    </row>
    <row r="4623" spans="1:9" ht="15" customHeight="1" x14ac:dyDescent="0.35">
      <c r="A4623" s="26" t="s">
        <v>2310</v>
      </c>
      <c r="B4623" s="25" t="s">
        <v>11049</v>
      </c>
      <c r="C4623" s="6" t="s">
        <v>1166</v>
      </c>
      <c r="D4623" s="13">
        <v>2264.1631798499998</v>
      </c>
      <c r="E4623" s="18">
        <v>21</v>
      </c>
      <c r="F4623" s="2">
        <f t="shared" si="156"/>
        <v>2739.6374476184997</v>
      </c>
      <c r="G4623" s="3">
        <v>0</v>
      </c>
      <c r="H4623" s="4">
        <v>0.7</v>
      </c>
      <c r="I4623" s="28">
        <f t="shared" si="157"/>
        <v>4657.3836609514492</v>
      </c>
    </row>
    <row r="4624" spans="1:9" ht="15" customHeight="1" x14ac:dyDescent="0.35">
      <c r="A4624" s="26" t="s">
        <v>12281</v>
      </c>
      <c r="B4624" s="25" t="s">
        <v>819</v>
      </c>
      <c r="C4624" s="6" t="s">
        <v>12282</v>
      </c>
      <c r="D4624" s="13">
        <v>5509.1737349999994</v>
      </c>
      <c r="E4624" s="18">
        <v>21</v>
      </c>
      <c r="F4624" s="2">
        <f t="shared" si="156"/>
        <v>6666.100219349999</v>
      </c>
      <c r="G4624" s="3">
        <v>0</v>
      </c>
      <c r="H4624" s="4">
        <v>0.7</v>
      </c>
      <c r="I4624" s="28">
        <f t="shared" si="157"/>
        <v>11332.370372894999</v>
      </c>
    </row>
    <row r="4625" spans="1:9" ht="15" customHeight="1" x14ac:dyDescent="0.35">
      <c r="A4625" s="26" t="s">
        <v>12283</v>
      </c>
      <c r="B4625" s="25" t="s">
        <v>820</v>
      </c>
      <c r="C4625" s="6" t="s">
        <v>12284</v>
      </c>
      <c r="D4625" s="13">
        <v>5509.1737349999994</v>
      </c>
      <c r="E4625" s="18">
        <v>21</v>
      </c>
      <c r="F4625" s="2">
        <f t="shared" ref="F4625:F4628" si="158">D4625*E4625/100+D4625</f>
        <v>6666.100219349999</v>
      </c>
      <c r="G4625" s="3">
        <v>0</v>
      </c>
      <c r="H4625" s="4">
        <v>0.7</v>
      </c>
      <c r="I4625" s="28">
        <f t="shared" ref="I4625:I4628" si="159">IF(G4625=-1,0,F4625*((100-G4625)/100)*(1+H4625))</f>
        <v>11332.370372894999</v>
      </c>
    </row>
    <row r="4626" spans="1:9" ht="15" customHeight="1" x14ac:dyDescent="0.35">
      <c r="A4626" s="26" t="s">
        <v>2265</v>
      </c>
      <c r="B4626" s="25" t="s">
        <v>821</v>
      </c>
      <c r="C4626" s="6" t="s">
        <v>828</v>
      </c>
      <c r="D4626" s="13">
        <v>403.35279075</v>
      </c>
      <c r="E4626" s="18">
        <v>21</v>
      </c>
      <c r="F4626" s="2">
        <f t="shared" si="158"/>
        <v>488.05687680749998</v>
      </c>
      <c r="G4626" s="3">
        <v>0</v>
      </c>
      <c r="H4626" s="4">
        <v>0.7</v>
      </c>
      <c r="I4626" s="28">
        <f t="shared" si="159"/>
        <v>829.69669057274996</v>
      </c>
    </row>
    <row r="4627" spans="1:9" ht="15" customHeight="1" x14ac:dyDescent="0.35">
      <c r="A4627" s="26" t="s">
        <v>8772</v>
      </c>
      <c r="B4627" s="25" t="s">
        <v>822</v>
      </c>
      <c r="C4627" s="6" t="s">
        <v>8773</v>
      </c>
      <c r="D4627" s="13">
        <v>1136.65958826875</v>
      </c>
      <c r="E4627" s="18">
        <v>21</v>
      </c>
      <c r="F4627" s="2">
        <f t="shared" si="158"/>
        <v>1375.3581018051875</v>
      </c>
      <c r="G4627" s="3">
        <v>0</v>
      </c>
      <c r="H4627" s="4">
        <v>0.7</v>
      </c>
      <c r="I4627" s="28">
        <f t="shared" si="159"/>
        <v>2338.1087730688187</v>
      </c>
    </row>
    <row r="4628" spans="1:9" ht="15" customHeight="1" x14ac:dyDescent="0.35">
      <c r="A4628" s="26" t="s">
        <v>8770</v>
      </c>
      <c r="B4628" s="25" t="s">
        <v>823</v>
      </c>
      <c r="C4628" s="6" t="s">
        <v>8771</v>
      </c>
      <c r="D4628" s="13">
        <v>740.53463347499996</v>
      </c>
      <c r="E4628" s="18">
        <v>21</v>
      </c>
      <c r="F4628" s="2">
        <f t="shared" si="158"/>
        <v>896.04690650474993</v>
      </c>
      <c r="G4628" s="3">
        <v>0</v>
      </c>
      <c r="H4628" s="4">
        <v>0.7</v>
      </c>
      <c r="I4628" s="28">
        <f t="shared" si="159"/>
        <v>1523.2797410580749</v>
      </c>
    </row>
    <row r="4629" spans="1:9" ht="15" customHeight="1" x14ac:dyDescent="0.35">
      <c r="A4629" s="26" t="s">
        <v>2266</v>
      </c>
      <c r="B4629" s="25" t="s">
        <v>824</v>
      </c>
      <c r="C4629" s="6" t="s">
        <v>829</v>
      </c>
      <c r="D4629" s="13">
        <v>249.5376625625</v>
      </c>
      <c r="E4629" s="18">
        <v>21</v>
      </c>
      <c r="F4629" s="2">
        <f t="shared" ref="F4629:F4642" si="160">D4629*E4629/100+D4629</f>
        <v>301.94057170062501</v>
      </c>
      <c r="G4629" s="3">
        <v>0</v>
      </c>
      <c r="H4629" s="4">
        <v>0.7</v>
      </c>
      <c r="I4629" s="28">
        <f t="shared" ref="I4629:I4642" si="161">IF(G4629=-1,0,F4629*((100-G4629)/100)*(1+H4629))</f>
        <v>513.29897189106248</v>
      </c>
    </row>
    <row r="4630" spans="1:9" ht="15" customHeight="1" x14ac:dyDescent="0.35">
      <c r="A4630" s="26" t="s">
        <v>2267</v>
      </c>
      <c r="B4630" s="25" t="s">
        <v>10560</v>
      </c>
      <c r="C4630" s="6" t="s">
        <v>830</v>
      </c>
      <c r="D4630" s="13">
        <v>237.47662323124999</v>
      </c>
      <c r="E4630" s="18">
        <v>21</v>
      </c>
      <c r="F4630" s="2">
        <f t="shared" si="160"/>
        <v>287.34671410981247</v>
      </c>
      <c r="G4630" s="3">
        <v>0</v>
      </c>
      <c r="H4630" s="4">
        <v>0.7</v>
      </c>
      <c r="I4630" s="28">
        <f t="shared" si="161"/>
        <v>488.4894139866812</v>
      </c>
    </row>
    <row r="4631" spans="1:9" ht="15" customHeight="1" x14ac:dyDescent="0.35">
      <c r="A4631" s="26" t="s">
        <v>2268</v>
      </c>
      <c r="B4631" s="25" t="s">
        <v>10561</v>
      </c>
      <c r="C4631" s="6" t="s">
        <v>831</v>
      </c>
      <c r="D4631" s="13">
        <v>319.73523391875</v>
      </c>
      <c r="E4631" s="18">
        <v>21</v>
      </c>
      <c r="F4631" s="2">
        <f t="shared" si="160"/>
        <v>386.8796330416875</v>
      </c>
      <c r="G4631" s="3">
        <v>0</v>
      </c>
      <c r="H4631" s="4">
        <v>0.7</v>
      </c>
      <c r="I4631" s="28">
        <f t="shared" si="161"/>
        <v>657.69537617086871</v>
      </c>
    </row>
    <row r="4632" spans="1:9" ht="15" customHeight="1" x14ac:dyDescent="0.35">
      <c r="A4632" s="26" t="s">
        <v>2464</v>
      </c>
      <c r="B4632" s="25" t="s">
        <v>10562</v>
      </c>
      <c r="C4632" s="6" t="s">
        <v>1051</v>
      </c>
      <c r="D4632" s="13">
        <v>4508.6552549999997</v>
      </c>
      <c r="E4632" s="18">
        <v>21</v>
      </c>
      <c r="F4632" s="2">
        <f t="shared" si="160"/>
        <v>5455.4728585499997</v>
      </c>
      <c r="G4632" s="3">
        <v>0</v>
      </c>
      <c r="H4632" s="4">
        <v>0.7</v>
      </c>
      <c r="I4632" s="28">
        <f t="shared" si="161"/>
        <v>9274.303859534999</v>
      </c>
    </row>
    <row r="4633" spans="1:9" ht="15" customHeight="1" x14ac:dyDescent="0.35">
      <c r="A4633" s="26" t="s">
        <v>2465</v>
      </c>
      <c r="B4633" s="25" t="s">
        <v>11050</v>
      </c>
      <c r="C4633" s="6" t="s">
        <v>1052</v>
      </c>
      <c r="D4633" s="13">
        <v>5131.3753530000004</v>
      </c>
      <c r="E4633" s="18">
        <v>21</v>
      </c>
      <c r="F4633" s="2">
        <f t="shared" si="160"/>
        <v>6208.9641771300003</v>
      </c>
      <c r="G4633" s="3">
        <v>0</v>
      </c>
      <c r="H4633" s="4">
        <v>0.7</v>
      </c>
      <c r="I4633" s="28">
        <f t="shared" si="161"/>
        <v>10555.239101121</v>
      </c>
    </row>
    <row r="4634" spans="1:9" ht="15" customHeight="1" x14ac:dyDescent="0.35">
      <c r="A4634" s="26" t="s">
        <v>2466</v>
      </c>
      <c r="B4634" s="25" t="s">
        <v>10563</v>
      </c>
      <c r="C4634" s="6" t="s">
        <v>1053</v>
      </c>
      <c r="D4634" s="13">
        <v>5990.6482155000003</v>
      </c>
      <c r="E4634" s="18">
        <v>21</v>
      </c>
      <c r="F4634" s="2">
        <f t="shared" si="160"/>
        <v>7248.6843407550004</v>
      </c>
      <c r="G4634" s="3">
        <v>0</v>
      </c>
      <c r="H4634" s="4">
        <v>0.7</v>
      </c>
      <c r="I4634" s="28">
        <f t="shared" si="161"/>
        <v>12322.7633792835</v>
      </c>
    </row>
    <row r="4635" spans="1:9" ht="15" customHeight="1" x14ac:dyDescent="0.35">
      <c r="A4635" s="26" t="s">
        <v>2467</v>
      </c>
      <c r="B4635" s="25" t="s">
        <v>12975</v>
      </c>
      <c r="C4635" s="6" t="s">
        <v>1054</v>
      </c>
      <c r="D4635" s="13">
        <v>7715.2593960000004</v>
      </c>
      <c r="E4635" s="18">
        <v>21</v>
      </c>
      <c r="F4635" s="2">
        <f t="shared" si="160"/>
        <v>9335.4638691600012</v>
      </c>
      <c r="G4635" s="3">
        <v>0</v>
      </c>
      <c r="H4635" s="4">
        <v>0.7</v>
      </c>
      <c r="I4635" s="28">
        <f t="shared" si="161"/>
        <v>15870.288577572002</v>
      </c>
    </row>
    <row r="4636" spans="1:9" ht="15" customHeight="1" x14ac:dyDescent="0.35">
      <c r="A4636" s="26" t="s">
        <v>2468</v>
      </c>
      <c r="B4636" s="25" t="s">
        <v>10564</v>
      </c>
      <c r="C4636" s="6" t="s">
        <v>14027</v>
      </c>
      <c r="D4636" s="13">
        <v>15149.4860205</v>
      </c>
      <c r="E4636" s="18">
        <v>21</v>
      </c>
      <c r="F4636" s="2">
        <f t="shared" si="160"/>
        <v>18330.878084805001</v>
      </c>
      <c r="G4636" s="3">
        <v>0</v>
      </c>
      <c r="H4636" s="4">
        <v>0.7</v>
      </c>
      <c r="I4636" s="28">
        <f t="shared" si="161"/>
        <v>31162.492744168499</v>
      </c>
    </row>
    <row r="4637" spans="1:9" ht="15" customHeight="1" x14ac:dyDescent="0.35">
      <c r="A4637" s="26" t="s">
        <v>2469</v>
      </c>
      <c r="B4637" s="25" t="s">
        <v>12882</v>
      </c>
      <c r="C4637" s="6" t="s">
        <v>1055</v>
      </c>
      <c r="D4637" s="13">
        <v>3804.3884775000001</v>
      </c>
      <c r="E4637" s="18">
        <v>21</v>
      </c>
      <c r="F4637" s="2">
        <f t="shared" si="160"/>
        <v>4603.3100577750001</v>
      </c>
      <c r="G4637" s="3">
        <v>0</v>
      </c>
      <c r="H4637" s="4">
        <v>0.7</v>
      </c>
      <c r="I4637" s="28">
        <f t="shared" si="161"/>
        <v>7825.6270982175001</v>
      </c>
    </row>
    <row r="4638" spans="1:9" ht="15" customHeight="1" x14ac:dyDescent="0.35">
      <c r="A4638" s="26" t="s">
        <v>13753</v>
      </c>
      <c r="B4638" s="25" t="s">
        <v>10565</v>
      </c>
      <c r="C4638" s="6" t="s">
        <v>13754</v>
      </c>
      <c r="D4638" s="13">
        <v>20786.315998499998</v>
      </c>
      <c r="E4638" s="18">
        <v>21</v>
      </c>
      <c r="F4638" s="2">
        <f t="shared" si="160"/>
        <v>25151.442358184999</v>
      </c>
      <c r="G4638" s="3">
        <v>0</v>
      </c>
      <c r="H4638" s="4">
        <v>0.7</v>
      </c>
      <c r="I4638" s="28">
        <f t="shared" si="161"/>
        <v>42757.452008914493</v>
      </c>
    </row>
    <row r="4639" spans="1:9" ht="15" customHeight="1" x14ac:dyDescent="0.35">
      <c r="A4639" s="26" t="s">
        <v>5655</v>
      </c>
      <c r="B4639" s="25" t="s">
        <v>10404</v>
      </c>
      <c r="C4639" s="6" t="s">
        <v>832</v>
      </c>
      <c r="D4639" s="13">
        <v>40.811438506889303</v>
      </c>
      <c r="E4639" s="18">
        <v>21</v>
      </c>
      <c r="F4639" s="2">
        <f t="shared" si="160"/>
        <v>49.381840593336058</v>
      </c>
      <c r="G4639" s="3">
        <v>0</v>
      </c>
      <c r="H4639" s="4">
        <v>0.7</v>
      </c>
      <c r="I4639" s="28">
        <f t="shared" si="161"/>
        <v>83.949129008671292</v>
      </c>
    </row>
    <row r="4640" spans="1:9" ht="15" customHeight="1" x14ac:dyDescent="0.35">
      <c r="A4640" s="26" t="s">
        <v>8964</v>
      </c>
      <c r="B4640" s="25" t="s">
        <v>10407</v>
      </c>
      <c r="C4640" s="6" t="s">
        <v>9571</v>
      </c>
      <c r="D4640" s="13">
        <v>1193.97876</v>
      </c>
      <c r="E4640" s="18">
        <v>21</v>
      </c>
      <c r="F4640" s="2">
        <f t="shared" si="160"/>
        <v>1444.7142996</v>
      </c>
      <c r="G4640" s="3">
        <v>0</v>
      </c>
      <c r="H4640" s="4">
        <v>0.7</v>
      </c>
      <c r="I4640" s="28">
        <f t="shared" si="161"/>
        <v>2456.0143093199999</v>
      </c>
    </row>
    <row r="4641" spans="1:9" ht="15" customHeight="1" x14ac:dyDescent="0.35">
      <c r="A4641" s="26" t="s">
        <v>8965</v>
      </c>
      <c r="B4641" s="25" t="s">
        <v>10566</v>
      </c>
      <c r="C4641" s="6" t="s">
        <v>11865</v>
      </c>
      <c r="D4641" s="13">
        <v>1204.7937850000001</v>
      </c>
      <c r="E4641" s="18">
        <v>21</v>
      </c>
      <c r="F4641" s="2">
        <f t="shared" si="160"/>
        <v>1457.8004798500001</v>
      </c>
      <c r="G4641" s="3">
        <v>0</v>
      </c>
      <c r="H4641" s="4">
        <v>0.7</v>
      </c>
      <c r="I4641" s="28">
        <f t="shared" si="161"/>
        <v>2478.2608157449999</v>
      </c>
    </row>
    <row r="4642" spans="1:9" ht="15" customHeight="1" x14ac:dyDescent="0.35">
      <c r="A4642" s="26" t="s">
        <v>13840</v>
      </c>
      <c r="B4642" s="25" t="s">
        <v>10567</v>
      </c>
      <c r="C4642" s="6" t="s">
        <v>13841</v>
      </c>
      <c r="D4642" s="13">
        <v>10339.2195426709</v>
      </c>
      <c r="E4642" s="18">
        <v>21</v>
      </c>
      <c r="F4642" s="2">
        <f t="shared" si="160"/>
        <v>12510.45564663179</v>
      </c>
      <c r="G4642" s="3">
        <v>0</v>
      </c>
      <c r="H4642" s="4">
        <v>0.7</v>
      </c>
      <c r="I4642" s="28">
        <f t="shared" si="161"/>
        <v>21267.774599274042</v>
      </c>
    </row>
    <row r="4643" spans="1:9" ht="15" customHeight="1" x14ac:dyDescent="0.35">
      <c r="A4643" s="26" t="s">
        <v>1434</v>
      </c>
      <c r="B4643" s="25" t="s">
        <v>11434</v>
      </c>
      <c r="C4643" s="6" t="s">
        <v>1336</v>
      </c>
      <c r="D4643" s="13">
        <v>914.22709950000001</v>
      </c>
      <c r="E4643" s="18">
        <v>21</v>
      </c>
      <c r="F4643" s="2">
        <f t="shared" ref="F4643:F4659" si="162">D4643*E4643/100+D4643</f>
        <v>1106.2147903949999</v>
      </c>
      <c r="G4643" s="3">
        <v>0</v>
      </c>
      <c r="H4643" s="4">
        <v>0.7</v>
      </c>
      <c r="I4643" s="28">
        <f t="shared" ref="I4643:I4659" si="163">IF(G4643=-1,0,F4643*((100-G4643)/100)*(1+H4643))</f>
        <v>1880.5651436714998</v>
      </c>
    </row>
    <row r="4644" spans="1:9" ht="15" customHeight="1" x14ac:dyDescent="0.35">
      <c r="A4644" s="26" t="s">
        <v>13592</v>
      </c>
      <c r="B4644" s="25" t="s">
        <v>10568</v>
      </c>
      <c r="C4644" s="6" t="s">
        <v>13593</v>
      </c>
      <c r="D4644" s="13">
        <v>34256.463519340999</v>
      </c>
      <c r="E4644" s="18">
        <v>21</v>
      </c>
      <c r="F4644" s="2">
        <f t="shared" si="162"/>
        <v>41450.320858402607</v>
      </c>
      <c r="G4644" s="3">
        <v>0</v>
      </c>
      <c r="H4644" s="4">
        <v>0.7</v>
      </c>
      <c r="I4644" s="28">
        <f t="shared" si="163"/>
        <v>70465.545459284433</v>
      </c>
    </row>
    <row r="4645" spans="1:9" ht="15" customHeight="1" x14ac:dyDescent="0.35">
      <c r="A4645" s="26" t="s">
        <v>3335</v>
      </c>
      <c r="B4645" s="25" t="s">
        <v>10569</v>
      </c>
      <c r="C4645" s="6" t="s">
        <v>833</v>
      </c>
      <c r="D4645" s="13">
        <v>12508.358850000001</v>
      </c>
      <c r="E4645" s="18">
        <v>21</v>
      </c>
      <c r="F4645" s="2">
        <f t="shared" si="162"/>
        <v>15135.114208500001</v>
      </c>
      <c r="G4645" s="3">
        <v>0</v>
      </c>
      <c r="H4645" s="4">
        <v>0.7</v>
      </c>
      <c r="I4645" s="28">
        <f t="shared" si="163"/>
        <v>25729.69415445</v>
      </c>
    </row>
    <row r="4646" spans="1:9" ht="15" customHeight="1" x14ac:dyDescent="0.35">
      <c r="A4646" s="26" t="s">
        <v>2498</v>
      </c>
      <c r="B4646" s="25" t="s">
        <v>11269</v>
      </c>
      <c r="C4646" s="6" t="s">
        <v>1056</v>
      </c>
      <c r="D4646" s="13">
        <v>1029.3399999999999</v>
      </c>
      <c r="E4646" s="18">
        <v>21</v>
      </c>
      <c r="F4646" s="2">
        <f t="shared" si="162"/>
        <v>1245.5013999999999</v>
      </c>
      <c r="G4646" s="3">
        <v>0</v>
      </c>
      <c r="H4646" s="4">
        <v>0.7</v>
      </c>
      <c r="I4646" s="28">
        <f t="shared" si="163"/>
        <v>2117.3523799999998</v>
      </c>
    </row>
    <row r="4647" spans="1:9" ht="15" customHeight="1" x14ac:dyDescent="0.35">
      <c r="A4647" s="26" t="s">
        <v>2499</v>
      </c>
      <c r="B4647" s="25" t="s">
        <v>11436</v>
      </c>
      <c r="C4647" s="6" t="s">
        <v>1057</v>
      </c>
      <c r="D4647" s="13">
        <v>2183.87</v>
      </c>
      <c r="E4647" s="18">
        <v>21</v>
      </c>
      <c r="F4647" s="2">
        <f t="shared" si="162"/>
        <v>2642.4827</v>
      </c>
      <c r="G4647" s="3">
        <v>0</v>
      </c>
      <c r="H4647" s="4">
        <v>0.7</v>
      </c>
      <c r="I4647" s="28">
        <f t="shared" si="163"/>
        <v>4492.2205899999999</v>
      </c>
    </row>
    <row r="4648" spans="1:9" ht="15" customHeight="1" x14ac:dyDescent="0.35">
      <c r="A4648" s="26" t="s">
        <v>2501</v>
      </c>
      <c r="B4648" s="25" t="s">
        <v>10876</v>
      </c>
      <c r="C4648" s="6" t="s">
        <v>1058</v>
      </c>
      <c r="D4648" s="13">
        <v>1550.9649999999999</v>
      </c>
      <c r="E4648" s="18">
        <v>21</v>
      </c>
      <c r="F4648" s="2">
        <f t="shared" si="162"/>
        <v>1876.6676499999999</v>
      </c>
      <c r="G4648" s="3">
        <v>0</v>
      </c>
      <c r="H4648" s="4">
        <v>0.7</v>
      </c>
      <c r="I4648" s="28">
        <f t="shared" si="163"/>
        <v>3190.3350049999999</v>
      </c>
    </row>
    <row r="4649" spans="1:9" ht="15" customHeight="1" x14ac:dyDescent="0.35">
      <c r="A4649" s="26" t="s">
        <v>2500</v>
      </c>
      <c r="B4649" s="25" t="s">
        <v>12580</v>
      </c>
      <c r="C4649" s="6" t="s">
        <v>9529</v>
      </c>
      <c r="D4649" s="13">
        <v>3504.0681</v>
      </c>
      <c r="E4649" s="18">
        <v>21</v>
      </c>
      <c r="F4649" s="2">
        <f t="shared" si="162"/>
        <v>4239.9224009999998</v>
      </c>
      <c r="G4649" s="3">
        <v>0</v>
      </c>
      <c r="H4649" s="4">
        <v>0.7</v>
      </c>
      <c r="I4649" s="28">
        <f t="shared" si="163"/>
        <v>7207.8680816999995</v>
      </c>
    </row>
    <row r="4650" spans="1:9" ht="15" customHeight="1" x14ac:dyDescent="0.35">
      <c r="A4650" s="26" t="s">
        <v>4289</v>
      </c>
      <c r="B4650" s="25" t="s">
        <v>10877</v>
      </c>
      <c r="C4650" s="6" t="s">
        <v>834</v>
      </c>
      <c r="D4650" s="13">
        <v>3999.8954496338101</v>
      </c>
      <c r="E4650" s="18">
        <v>21</v>
      </c>
      <c r="F4650" s="2">
        <f t="shared" si="162"/>
        <v>4839.8734940569102</v>
      </c>
      <c r="G4650" s="3">
        <v>0</v>
      </c>
      <c r="H4650" s="4">
        <v>0.7</v>
      </c>
      <c r="I4650" s="28">
        <f t="shared" si="163"/>
        <v>8227.7849398967464</v>
      </c>
    </row>
    <row r="4651" spans="1:9" ht="15" customHeight="1" x14ac:dyDescent="0.35">
      <c r="A4651" s="26" t="s">
        <v>8808</v>
      </c>
      <c r="B4651" s="25" t="s">
        <v>9528</v>
      </c>
      <c r="C4651" s="6" t="s">
        <v>8809</v>
      </c>
      <c r="D4651" s="13">
        <v>67226.195400000011</v>
      </c>
      <c r="E4651" s="18">
        <v>21</v>
      </c>
      <c r="F4651" s="2">
        <f t="shared" si="162"/>
        <v>81343.696434000012</v>
      </c>
      <c r="G4651" s="3">
        <v>0</v>
      </c>
      <c r="H4651" s="4">
        <v>0.7</v>
      </c>
      <c r="I4651" s="28">
        <f t="shared" si="163"/>
        <v>138284.28393780001</v>
      </c>
    </row>
    <row r="4652" spans="1:9" ht="15" customHeight="1" x14ac:dyDescent="0.35">
      <c r="A4652" s="26" t="s">
        <v>9903</v>
      </c>
      <c r="B4652" s="25" t="s">
        <v>825</v>
      </c>
      <c r="C4652" s="6" t="s">
        <v>9904</v>
      </c>
      <c r="D4652" s="13">
        <v>77842.400597</v>
      </c>
      <c r="E4652" s="18">
        <v>21</v>
      </c>
      <c r="F4652" s="2">
        <f t="shared" si="162"/>
        <v>94189.304722369998</v>
      </c>
      <c r="G4652" s="3">
        <v>0</v>
      </c>
      <c r="H4652" s="4">
        <v>0.7</v>
      </c>
      <c r="I4652" s="28">
        <f t="shared" si="163"/>
        <v>160121.818028029</v>
      </c>
    </row>
    <row r="4653" spans="1:9" ht="15" customHeight="1" x14ac:dyDescent="0.35">
      <c r="A4653" s="26" t="s">
        <v>3337</v>
      </c>
      <c r="B4653" s="25" t="s">
        <v>826</v>
      </c>
      <c r="C4653" s="6" t="s">
        <v>1183</v>
      </c>
      <c r="D4653" s="13">
        <v>215546.80056</v>
      </c>
      <c r="E4653" s="18">
        <v>21</v>
      </c>
      <c r="F4653" s="2">
        <f t="shared" si="162"/>
        <v>260811.62867760001</v>
      </c>
      <c r="G4653" s="3">
        <v>0</v>
      </c>
      <c r="H4653" s="4">
        <v>0.7</v>
      </c>
      <c r="I4653" s="28">
        <f t="shared" si="163"/>
        <v>443379.76875192003</v>
      </c>
    </row>
    <row r="4654" spans="1:9" ht="15" customHeight="1" x14ac:dyDescent="0.35">
      <c r="A4654" s="26" t="s">
        <v>8781</v>
      </c>
      <c r="B4654" s="25" t="s">
        <v>11671</v>
      </c>
      <c r="C4654" s="6" t="s">
        <v>11385</v>
      </c>
      <c r="D4654" s="13">
        <v>123687.72</v>
      </c>
      <c r="E4654" s="18">
        <v>21</v>
      </c>
      <c r="F4654" s="2">
        <f t="shared" si="162"/>
        <v>149662.14120000001</v>
      </c>
      <c r="G4654" s="3">
        <v>0</v>
      </c>
      <c r="H4654" s="4">
        <v>0.7</v>
      </c>
      <c r="I4654" s="28">
        <f t="shared" si="163"/>
        <v>254425.64004000003</v>
      </c>
    </row>
    <row r="4655" spans="1:9" ht="15" customHeight="1" x14ac:dyDescent="0.35">
      <c r="A4655" s="26" t="s">
        <v>3338</v>
      </c>
      <c r="B4655" s="25" t="s">
        <v>11672</v>
      </c>
      <c r="C4655" s="6" t="s">
        <v>1131</v>
      </c>
      <c r="D4655" s="13">
        <v>140613.408</v>
      </c>
      <c r="E4655" s="18">
        <v>21</v>
      </c>
      <c r="F4655" s="2">
        <f t="shared" si="162"/>
        <v>170142.22368</v>
      </c>
      <c r="G4655" s="3">
        <v>0</v>
      </c>
      <c r="H4655" s="4">
        <v>0.7</v>
      </c>
      <c r="I4655" s="28">
        <f t="shared" si="163"/>
        <v>289241.780256</v>
      </c>
    </row>
    <row r="4656" spans="1:9" ht="15" customHeight="1" x14ac:dyDescent="0.35">
      <c r="A4656" s="26" t="s">
        <v>3339</v>
      </c>
      <c r="B4656" s="25" t="s">
        <v>11673</v>
      </c>
      <c r="C4656" s="6" t="s">
        <v>1132</v>
      </c>
      <c r="D4656" s="13">
        <v>117177.84</v>
      </c>
      <c r="E4656" s="18">
        <v>21</v>
      </c>
      <c r="F4656" s="2">
        <f t="shared" si="162"/>
        <v>141785.18640000001</v>
      </c>
      <c r="G4656" s="3">
        <v>0</v>
      </c>
      <c r="H4656" s="4">
        <v>0.7</v>
      </c>
      <c r="I4656" s="28">
        <f t="shared" si="163"/>
        <v>241034.81688</v>
      </c>
    </row>
    <row r="4657" spans="1:9" ht="15" customHeight="1" x14ac:dyDescent="0.35">
      <c r="A4657" s="26" t="s">
        <v>8782</v>
      </c>
      <c r="B4657" s="25" t="s">
        <v>12178</v>
      </c>
      <c r="C4657" s="6" t="s">
        <v>8783</v>
      </c>
      <c r="D4657" s="13">
        <v>117177.84</v>
      </c>
      <c r="E4657" s="18">
        <v>21</v>
      </c>
      <c r="F4657" s="2">
        <f t="shared" si="162"/>
        <v>141785.18640000001</v>
      </c>
      <c r="G4657" s="3">
        <v>0</v>
      </c>
      <c r="H4657" s="4">
        <v>0.7</v>
      </c>
      <c r="I4657" s="28">
        <f t="shared" si="163"/>
        <v>241034.81688</v>
      </c>
    </row>
    <row r="4658" spans="1:9" ht="15" customHeight="1" x14ac:dyDescent="0.35">
      <c r="A4658" s="26" t="s">
        <v>3341</v>
      </c>
      <c r="B4658" s="25" t="s">
        <v>11674</v>
      </c>
      <c r="C4658" s="6" t="s">
        <v>1181</v>
      </c>
      <c r="D4658" s="13">
        <v>145821.31200000001</v>
      </c>
      <c r="E4658" s="18">
        <v>21</v>
      </c>
      <c r="F4658" s="2">
        <f t="shared" si="162"/>
        <v>176443.78752000001</v>
      </c>
      <c r="G4658" s="3">
        <v>0</v>
      </c>
      <c r="H4658" s="4">
        <v>0.7</v>
      </c>
      <c r="I4658" s="28">
        <f t="shared" si="163"/>
        <v>299954.438784</v>
      </c>
    </row>
    <row r="4659" spans="1:9" ht="15" customHeight="1" x14ac:dyDescent="0.35">
      <c r="A4659" s="26" t="s">
        <v>8754</v>
      </c>
      <c r="B4659" s="25" t="s">
        <v>11675</v>
      </c>
      <c r="C4659" s="6" t="s">
        <v>8755</v>
      </c>
      <c r="D4659" s="13">
        <v>37652.621791199999</v>
      </c>
      <c r="E4659" s="18">
        <v>21</v>
      </c>
      <c r="F4659" s="2">
        <f t="shared" si="162"/>
        <v>45559.672367352003</v>
      </c>
      <c r="G4659" s="3">
        <v>0</v>
      </c>
      <c r="H4659" s="4">
        <v>0.7</v>
      </c>
      <c r="I4659" s="28">
        <f t="shared" si="163"/>
        <v>77451.443024498396</v>
      </c>
    </row>
    <row r="4660" spans="1:9" ht="15" customHeight="1" x14ac:dyDescent="0.35">
      <c r="A4660" s="26" t="s">
        <v>8756</v>
      </c>
      <c r="B4660" s="25"/>
      <c r="C4660" s="6" t="s">
        <v>8757</v>
      </c>
      <c r="D4660" s="13">
        <v>4317.6340934999998</v>
      </c>
      <c r="E4660" s="18">
        <v>21</v>
      </c>
      <c r="F4660" s="2">
        <f t="shared" ref="F4660:F4666" si="164">D4660*E4660/100+D4660</f>
        <v>5224.3372531349996</v>
      </c>
      <c r="G4660" s="3">
        <v>0</v>
      </c>
      <c r="H4660" s="4">
        <v>0.7</v>
      </c>
      <c r="I4660" s="28">
        <f t="shared" ref="I4660:I4666" si="165">IF(G4660=-1,0,F4660*((100-G4660)/100)*(1+H4660))</f>
        <v>8881.3733303294994</v>
      </c>
    </row>
    <row r="4661" spans="1:9" ht="15" customHeight="1" x14ac:dyDescent="0.35">
      <c r="A4661" s="26" t="s">
        <v>3550</v>
      </c>
      <c r="B4661" s="25"/>
      <c r="C4661" s="6" t="s">
        <v>835</v>
      </c>
      <c r="D4661" s="13">
        <v>674.49951659999999</v>
      </c>
      <c r="E4661" s="18">
        <v>21</v>
      </c>
      <c r="F4661" s="2">
        <f t="shared" si="164"/>
        <v>816.14441508599998</v>
      </c>
      <c r="G4661" s="3">
        <v>0</v>
      </c>
      <c r="H4661" s="4">
        <v>0.7</v>
      </c>
      <c r="I4661" s="28">
        <f t="shared" si="165"/>
        <v>1387.4455056462</v>
      </c>
    </row>
    <row r="4662" spans="1:9" ht="15" customHeight="1" x14ac:dyDescent="0.35">
      <c r="A4662" s="26" t="s">
        <v>3567</v>
      </c>
      <c r="B4662" s="25"/>
      <c r="C4662" s="6" t="s">
        <v>836</v>
      </c>
      <c r="D4662" s="13">
        <v>8281.4365245012978</v>
      </c>
      <c r="E4662" s="18">
        <v>21</v>
      </c>
      <c r="F4662" s="2">
        <f t="shared" si="164"/>
        <v>10020.53819464657</v>
      </c>
      <c r="G4662" s="3">
        <v>0</v>
      </c>
      <c r="H4662" s="4">
        <v>0.7</v>
      </c>
      <c r="I4662" s="28">
        <f t="shared" si="165"/>
        <v>17034.914930899169</v>
      </c>
    </row>
    <row r="4663" spans="1:9" ht="15" customHeight="1" x14ac:dyDescent="0.35">
      <c r="A4663" s="26" t="s">
        <v>3568</v>
      </c>
      <c r="B4663" s="25"/>
      <c r="C4663" s="6" t="s">
        <v>837</v>
      </c>
      <c r="D4663" s="13">
        <v>9040.3922575402357</v>
      </c>
      <c r="E4663" s="18">
        <v>21</v>
      </c>
      <c r="F4663" s="2">
        <f t="shared" si="164"/>
        <v>10938.874631623685</v>
      </c>
      <c r="G4663" s="3">
        <v>0</v>
      </c>
      <c r="H4663" s="4">
        <v>0.7</v>
      </c>
      <c r="I4663" s="28">
        <f t="shared" si="165"/>
        <v>18596.086873760265</v>
      </c>
    </row>
    <row r="4664" spans="1:9" ht="15" customHeight="1" x14ac:dyDescent="0.35">
      <c r="A4664" s="26" t="s">
        <v>3551</v>
      </c>
      <c r="B4664" s="25"/>
      <c r="C4664" s="6" t="s">
        <v>838</v>
      </c>
      <c r="D4664" s="13">
        <v>2621.7533225000002</v>
      </c>
      <c r="E4664" s="18">
        <v>21</v>
      </c>
      <c r="F4664" s="2">
        <f t="shared" si="164"/>
        <v>3172.3215202250003</v>
      </c>
      <c r="G4664" s="3">
        <v>0</v>
      </c>
      <c r="H4664" s="4">
        <v>0.7</v>
      </c>
      <c r="I4664" s="28">
        <f t="shared" si="165"/>
        <v>5392.9465843825001</v>
      </c>
    </row>
    <row r="4665" spans="1:9" ht="15" customHeight="1" x14ac:dyDescent="0.35">
      <c r="A4665" s="26" t="s">
        <v>11846</v>
      </c>
      <c r="B4665" s="25"/>
      <c r="C4665" s="6" t="s">
        <v>11847</v>
      </c>
      <c r="D4665" s="13">
        <v>45187.324476970003</v>
      </c>
      <c r="E4665" s="18">
        <v>21</v>
      </c>
      <c r="F4665" s="2">
        <f t="shared" si="164"/>
        <v>54676.662617133705</v>
      </c>
      <c r="G4665" s="3">
        <v>0</v>
      </c>
      <c r="H4665" s="4">
        <v>0.7</v>
      </c>
      <c r="I4665" s="28">
        <f t="shared" si="165"/>
        <v>92950.3264491273</v>
      </c>
    </row>
    <row r="4666" spans="1:9" ht="15" customHeight="1" x14ac:dyDescent="0.35">
      <c r="A4666" s="26" t="s">
        <v>3061</v>
      </c>
      <c r="B4666" s="25"/>
      <c r="C4666" s="6" t="s">
        <v>8810</v>
      </c>
      <c r="D4666" s="13">
        <v>4965.8716691999998</v>
      </c>
      <c r="E4666" s="18">
        <v>21</v>
      </c>
      <c r="F4666" s="2">
        <f t="shared" si="164"/>
        <v>6008.7047197319998</v>
      </c>
      <c r="G4666" s="3">
        <v>0</v>
      </c>
      <c r="H4666" s="4">
        <v>0.7</v>
      </c>
      <c r="I4666" s="28">
        <f t="shared" si="165"/>
        <v>10214.798023544399</v>
      </c>
    </row>
    <row r="4667" spans="1:9" ht="15" customHeight="1" x14ac:dyDescent="0.35">
      <c r="A4667" s="26" t="s">
        <v>9581</v>
      </c>
      <c r="B4667" s="25"/>
      <c r="C4667" s="6" t="s">
        <v>13969</v>
      </c>
      <c r="D4667" s="13">
        <v>6732.6926470588214</v>
      </c>
      <c r="E4667" s="18">
        <v>10.5</v>
      </c>
      <c r="F4667" s="2">
        <f t="shared" ref="F4667:F4677" si="166">D4667*E4667/100+D4667</f>
        <v>7439.6253749999978</v>
      </c>
      <c r="G4667" s="3">
        <v>0</v>
      </c>
      <c r="H4667" s="4">
        <v>0.7</v>
      </c>
      <c r="I4667" s="28">
        <f t="shared" ref="I4667:I4677" si="167">IF(G4667=-1,0,F4667*((100-G4667)/100)*(1+H4667))</f>
        <v>12647.363137499997</v>
      </c>
    </row>
    <row r="4668" spans="1:9" ht="15" customHeight="1" x14ac:dyDescent="0.35">
      <c r="A4668" s="26" t="s">
        <v>9579</v>
      </c>
      <c r="B4668" s="25"/>
      <c r="C4668" s="6" t="s">
        <v>9580</v>
      </c>
      <c r="D4668" s="13">
        <v>7178.4604064712494</v>
      </c>
      <c r="E4668" s="18">
        <v>10.5</v>
      </c>
      <c r="F4668" s="2">
        <f t="shared" si="166"/>
        <v>7932.1987491507307</v>
      </c>
      <c r="G4668" s="3">
        <v>0</v>
      </c>
      <c r="H4668" s="4">
        <v>0.7</v>
      </c>
      <c r="I4668" s="28">
        <f t="shared" si="167"/>
        <v>13484.737873556242</v>
      </c>
    </row>
    <row r="4669" spans="1:9" ht="15" customHeight="1" x14ac:dyDescent="0.35">
      <c r="A4669" s="26" t="s">
        <v>3425</v>
      </c>
      <c r="B4669" s="25"/>
      <c r="C4669" s="6" t="s">
        <v>1133</v>
      </c>
      <c r="D4669" s="13">
        <v>1329.7246076512799</v>
      </c>
      <c r="E4669" s="18">
        <v>21</v>
      </c>
      <c r="F4669" s="2">
        <f t="shared" si="166"/>
        <v>1608.9667752580488</v>
      </c>
      <c r="G4669" s="3">
        <v>0</v>
      </c>
      <c r="H4669" s="4">
        <v>0.7</v>
      </c>
      <c r="I4669" s="28">
        <f t="shared" si="167"/>
        <v>2735.243517938683</v>
      </c>
    </row>
    <row r="4670" spans="1:9" ht="15" customHeight="1" x14ac:dyDescent="0.35">
      <c r="A4670" s="26" t="s">
        <v>3426</v>
      </c>
      <c r="B4670" s="25"/>
      <c r="C4670" s="6" t="s">
        <v>839</v>
      </c>
      <c r="D4670" s="13">
        <v>497.49115</v>
      </c>
      <c r="E4670" s="18">
        <v>21</v>
      </c>
      <c r="F4670" s="2">
        <f t="shared" si="166"/>
        <v>601.96429149999994</v>
      </c>
      <c r="G4670" s="3">
        <v>0</v>
      </c>
      <c r="H4670" s="4">
        <v>0.7</v>
      </c>
      <c r="I4670" s="28">
        <f t="shared" si="167"/>
        <v>1023.3392955499999</v>
      </c>
    </row>
    <row r="4671" spans="1:9" ht="15" customHeight="1" x14ac:dyDescent="0.35">
      <c r="A4671" s="26" t="s">
        <v>3427</v>
      </c>
      <c r="B4671" s="25"/>
      <c r="C4671" s="6" t="s">
        <v>840</v>
      </c>
      <c r="D4671" s="13">
        <v>2717.6245199999998</v>
      </c>
      <c r="E4671" s="18">
        <v>21</v>
      </c>
      <c r="F4671" s="2">
        <f t="shared" si="166"/>
        <v>3288.3256692</v>
      </c>
      <c r="G4671" s="3">
        <v>0</v>
      </c>
      <c r="H4671" s="4">
        <v>0.7</v>
      </c>
      <c r="I4671" s="28">
        <f t="shared" si="167"/>
        <v>5590.1536376399999</v>
      </c>
    </row>
    <row r="4672" spans="1:9" ht="15" customHeight="1" x14ac:dyDescent="0.35">
      <c r="A4672" s="26" t="s">
        <v>2806</v>
      </c>
      <c r="B4672" s="25"/>
      <c r="C4672" s="6" t="s">
        <v>1134</v>
      </c>
      <c r="D4672" s="13">
        <v>8199.5103342691509</v>
      </c>
      <c r="E4672" s="18">
        <v>21</v>
      </c>
      <c r="F4672" s="2">
        <f t="shared" si="166"/>
        <v>9921.4075044656729</v>
      </c>
      <c r="G4672" s="3">
        <v>0</v>
      </c>
      <c r="H4672" s="4">
        <v>0.7</v>
      </c>
      <c r="I4672" s="28">
        <f t="shared" si="167"/>
        <v>16866.392757591642</v>
      </c>
    </row>
    <row r="4673" spans="1:9" ht="15" customHeight="1" x14ac:dyDescent="0.35">
      <c r="A4673" s="26" t="s">
        <v>3428</v>
      </c>
      <c r="B4673" s="25"/>
      <c r="C4673" s="6" t="s">
        <v>841</v>
      </c>
      <c r="D4673" s="13">
        <v>769.91849999999999</v>
      </c>
      <c r="E4673" s="18">
        <v>21</v>
      </c>
      <c r="F4673" s="2">
        <f t="shared" si="166"/>
        <v>931.60138499999994</v>
      </c>
      <c r="G4673" s="3">
        <v>0</v>
      </c>
      <c r="H4673" s="4">
        <v>0.7</v>
      </c>
      <c r="I4673" s="28">
        <f t="shared" si="167"/>
        <v>1583.7223544999999</v>
      </c>
    </row>
    <row r="4674" spans="1:9" ht="15" customHeight="1" x14ac:dyDescent="0.35">
      <c r="A4674" s="26" t="s">
        <v>3429</v>
      </c>
      <c r="B4674" s="25"/>
      <c r="C4674" s="6" t="s">
        <v>1135</v>
      </c>
      <c r="D4674" s="13">
        <v>1023.79108214496</v>
      </c>
      <c r="E4674" s="18">
        <v>21</v>
      </c>
      <c r="F4674" s="2">
        <f t="shared" si="166"/>
        <v>1238.7872093954015</v>
      </c>
      <c r="G4674" s="3">
        <v>0</v>
      </c>
      <c r="H4674" s="4">
        <v>0.7</v>
      </c>
      <c r="I4674" s="28">
        <f t="shared" si="167"/>
        <v>2105.9382559721826</v>
      </c>
    </row>
    <row r="4675" spans="1:9" ht="15" customHeight="1" x14ac:dyDescent="0.35">
      <c r="A4675" s="26" t="s">
        <v>1419</v>
      </c>
      <c r="B4675" s="25"/>
      <c r="C4675" s="6" t="s">
        <v>842</v>
      </c>
      <c r="D4675" s="13">
        <v>20253.513618000001</v>
      </c>
      <c r="E4675" s="18">
        <v>21</v>
      </c>
      <c r="F4675" s="2">
        <f t="shared" si="166"/>
        <v>24506.751477780002</v>
      </c>
      <c r="G4675" s="3">
        <v>0</v>
      </c>
      <c r="H4675" s="4">
        <v>0.7</v>
      </c>
      <c r="I4675" s="28">
        <f t="shared" si="167"/>
        <v>41661.477512226003</v>
      </c>
    </row>
    <row r="4676" spans="1:9" ht="15" customHeight="1" x14ac:dyDescent="0.35">
      <c r="A4676" s="26" t="s">
        <v>1420</v>
      </c>
      <c r="B4676" s="25"/>
      <c r="C4676" s="6" t="s">
        <v>843</v>
      </c>
      <c r="D4676" s="13">
        <v>19576.925653999999</v>
      </c>
      <c r="E4676" s="18">
        <v>21</v>
      </c>
      <c r="F4676" s="2">
        <f t="shared" si="166"/>
        <v>23688.080041339999</v>
      </c>
      <c r="G4676" s="3">
        <v>0</v>
      </c>
      <c r="H4676" s="4">
        <v>0.7</v>
      </c>
      <c r="I4676" s="28">
        <f t="shared" si="167"/>
        <v>40269.736070277999</v>
      </c>
    </row>
    <row r="4677" spans="1:9" ht="15" customHeight="1" x14ac:dyDescent="0.35">
      <c r="A4677" s="26" t="s">
        <v>1421</v>
      </c>
      <c r="B4677" s="25"/>
      <c r="C4677" s="6" t="s">
        <v>844</v>
      </c>
      <c r="D4677" s="13">
        <v>19576.925653999999</v>
      </c>
      <c r="E4677" s="18">
        <v>21</v>
      </c>
      <c r="F4677" s="2">
        <f t="shared" si="166"/>
        <v>23688.080041339999</v>
      </c>
      <c r="G4677" s="3">
        <v>0</v>
      </c>
      <c r="H4677" s="4">
        <v>0.7</v>
      </c>
      <c r="I4677" s="28">
        <f t="shared" si="167"/>
        <v>40269.736070277999</v>
      </c>
    </row>
  </sheetData>
  <autoFilter ref="A5:D5" xr:uid="{00000000-0009-0000-0000-000000000000}"/>
  <sortState xmlns:xlrd2="http://schemas.microsoft.com/office/spreadsheetml/2017/richdata2" ref="A6:I4493">
    <sortCondition ref="B6:B4493"/>
  </sortState>
  <mergeCells count="1">
    <mergeCell ref="A1:I4"/>
  </mergeCells>
  <phoneticPr fontId="17" type="noConversion"/>
  <pageMargins left="0.7" right="0.7" top="0.75" bottom="0.75" header="0" footer="0"/>
  <pageSetup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73"/>
  <sheetViews>
    <sheetView topLeftCell="B1" workbookViewId="0">
      <selection activeCell="F2" sqref="F2:F4673"/>
    </sheetView>
  </sheetViews>
  <sheetFormatPr baseColWidth="10" defaultRowHeight="14.4" x14ac:dyDescent="0.3"/>
  <cols>
    <col min="1" max="1" width="7.44140625" style="14" hidden="1" customWidth="1"/>
    <col min="2" max="2" width="7.44140625" style="1" bestFit="1" customWidth="1"/>
    <col min="3" max="3" width="74" bestFit="1" customWidth="1"/>
    <col min="4" max="4" width="12" bestFit="1" customWidth="1"/>
    <col min="5" max="5" width="16.44140625" bestFit="1" customWidth="1"/>
    <col min="6" max="6" width="5.6640625" style="1" customWidth="1"/>
  </cols>
  <sheetData>
    <row r="1" spans="1:7" ht="17.399999999999999" x14ac:dyDescent="0.3">
      <c r="A1" s="15" t="s">
        <v>8793</v>
      </c>
      <c r="B1" s="16" t="s">
        <v>5879</v>
      </c>
      <c r="C1" s="16" t="s">
        <v>5885</v>
      </c>
      <c r="D1" s="20" t="s">
        <v>11616</v>
      </c>
      <c r="E1" s="16" t="s">
        <v>5886</v>
      </c>
      <c r="F1" s="19" t="s">
        <v>5890</v>
      </c>
      <c r="G1" s="7">
        <v>1555</v>
      </c>
    </row>
    <row r="2" spans="1:7" x14ac:dyDescent="0.3">
      <c r="A2" s="14" t="e">
        <f>VLOOKUP(B2,'Relacion codigos'!$A:$B,2,FALSE)</f>
        <v>#N/A</v>
      </c>
      <c r="B2" s="6" t="s">
        <v>12807</v>
      </c>
      <c r="C2" s="6" t="s">
        <v>12808</v>
      </c>
      <c r="D2" s="24">
        <v>9383.0995543999998</v>
      </c>
      <c r="E2" s="6" t="s">
        <v>5889</v>
      </c>
      <c r="F2" s="6">
        <v>21</v>
      </c>
      <c r="G2" s="8">
        <f t="shared" ref="G2:G65" si="0">IF(E2="Dolares",D2*$G$1,D2)</f>
        <v>9383.0995543999998</v>
      </c>
    </row>
    <row r="3" spans="1:7" x14ac:dyDescent="0.3">
      <c r="A3" s="14" t="str">
        <f>VLOOKUP(B3,'Relacion codigos'!$A:$B,2,FALSE)</f>
        <v>1323</v>
      </c>
      <c r="B3" s="6" t="s">
        <v>2269</v>
      </c>
      <c r="C3" s="6" t="s">
        <v>6</v>
      </c>
      <c r="D3" s="24">
        <v>385.87169606309999</v>
      </c>
      <c r="E3" s="6" t="s">
        <v>5889</v>
      </c>
      <c r="F3" s="6">
        <v>21</v>
      </c>
      <c r="G3" s="8">
        <f t="shared" si="0"/>
        <v>385.87169606309999</v>
      </c>
    </row>
    <row r="4" spans="1:7" x14ac:dyDescent="0.3">
      <c r="A4" s="14" t="str">
        <f>VLOOKUP(B4,'Relacion codigos'!$A:$B,2,FALSE)</f>
        <v>1321</v>
      </c>
      <c r="B4" s="6" t="s">
        <v>2270</v>
      </c>
      <c r="C4" s="6" t="s">
        <v>7</v>
      </c>
      <c r="D4" s="24">
        <v>317.4893701785</v>
      </c>
      <c r="E4" s="6" t="s">
        <v>5889</v>
      </c>
      <c r="F4" s="6">
        <v>21</v>
      </c>
      <c r="G4" s="8">
        <f t="shared" si="0"/>
        <v>317.4893701785</v>
      </c>
    </row>
    <row r="5" spans="1:7" x14ac:dyDescent="0.3">
      <c r="A5" s="14" t="str">
        <f>VLOOKUP(B5,'Relacion codigos'!$A:$B,2,FALSE)</f>
        <v>1327</v>
      </c>
      <c r="B5" s="6" t="s">
        <v>2271</v>
      </c>
      <c r="C5" s="6" t="s">
        <v>8</v>
      </c>
      <c r="D5" s="24">
        <v>178.5538509209</v>
      </c>
      <c r="E5" s="6" t="s">
        <v>5889</v>
      </c>
      <c r="F5" s="6">
        <v>21</v>
      </c>
      <c r="G5" s="8">
        <f t="shared" si="0"/>
        <v>178.5538509209</v>
      </c>
    </row>
    <row r="6" spans="1:7" x14ac:dyDescent="0.3">
      <c r="A6" s="14" t="e">
        <f>VLOOKUP(B6,'Relacion codigos'!$A:$B,2,FALSE)</f>
        <v>#N/A</v>
      </c>
      <c r="B6" s="6" t="s">
        <v>8811</v>
      </c>
      <c r="C6" s="6" t="s">
        <v>8812</v>
      </c>
      <c r="D6" s="24">
        <v>547.60132394890002</v>
      </c>
      <c r="E6" s="6" t="s">
        <v>5889</v>
      </c>
      <c r="F6" s="6">
        <v>21</v>
      </c>
      <c r="G6" s="8">
        <f t="shared" si="0"/>
        <v>547.60132394890002</v>
      </c>
    </row>
    <row r="7" spans="1:7" x14ac:dyDescent="0.3">
      <c r="A7" s="14" t="str">
        <f>VLOOKUP(B7,'Relacion codigos'!$A:$B,2,FALSE)</f>
        <v>1325</v>
      </c>
      <c r="B7" s="6" t="s">
        <v>2272</v>
      </c>
      <c r="C7" s="6" t="s">
        <v>9981</v>
      </c>
      <c r="D7" s="24">
        <v>100.9453382106</v>
      </c>
      <c r="E7" s="6" t="s">
        <v>5889</v>
      </c>
      <c r="F7" s="6">
        <v>21</v>
      </c>
      <c r="G7" s="8">
        <f t="shared" si="0"/>
        <v>100.9453382106</v>
      </c>
    </row>
    <row r="8" spans="1:7" x14ac:dyDescent="0.3">
      <c r="A8" s="14" t="str">
        <f>VLOOKUP(B8,'Relacion codigos'!$A:$B,2,FALSE)</f>
        <v>1324</v>
      </c>
      <c r="B8" s="6" t="s">
        <v>2273</v>
      </c>
      <c r="C8" s="6" t="s">
        <v>9982</v>
      </c>
      <c r="D8" s="24">
        <v>88.462850152300007</v>
      </c>
      <c r="E8" s="6" t="s">
        <v>5889</v>
      </c>
      <c r="F8" s="6">
        <v>21</v>
      </c>
      <c r="G8" s="8">
        <f t="shared" si="0"/>
        <v>88.462850152300007</v>
      </c>
    </row>
    <row r="9" spans="1:7" x14ac:dyDescent="0.3">
      <c r="A9" s="14" t="str">
        <f>VLOOKUP(B9,'Relacion codigos'!$A:$B,2,FALSE)</f>
        <v>1326</v>
      </c>
      <c r="B9" s="6" t="s">
        <v>2274</v>
      </c>
      <c r="C9" s="6" t="s">
        <v>9983</v>
      </c>
      <c r="D9" s="24">
        <v>135.67921802500001</v>
      </c>
      <c r="E9" s="6" t="s">
        <v>5889</v>
      </c>
      <c r="F9" s="6">
        <v>21</v>
      </c>
      <c r="G9" s="8">
        <f t="shared" si="0"/>
        <v>135.67921802500001</v>
      </c>
    </row>
    <row r="10" spans="1:7" x14ac:dyDescent="0.3">
      <c r="A10" s="14" t="str">
        <f>VLOOKUP(B10,'Relacion codigos'!$A:$B,2,FALSE)</f>
        <v>6147</v>
      </c>
      <c r="B10" s="6" t="s">
        <v>2275</v>
      </c>
      <c r="C10" s="6" t="s">
        <v>1078</v>
      </c>
      <c r="D10" s="24">
        <v>70.982730000000004</v>
      </c>
      <c r="E10" s="6" t="s">
        <v>5889</v>
      </c>
      <c r="F10" s="6">
        <v>21</v>
      </c>
      <c r="G10" s="8">
        <f t="shared" si="0"/>
        <v>70.982730000000004</v>
      </c>
    </row>
    <row r="11" spans="1:7" x14ac:dyDescent="0.3">
      <c r="A11" s="14" t="str">
        <f>VLOOKUP(B11,'Relacion codigos'!$A:$B,2,FALSE)</f>
        <v>6145</v>
      </c>
      <c r="B11" s="6" t="s">
        <v>2276</v>
      </c>
      <c r="C11" s="6" t="s">
        <v>1079</v>
      </c>
      <c r="D11" s="24">
        <v>64.239370649999998</v>
      </c>
      <c r="E11" s="6" t="s">
        <v>5889</v>
      </c>
      <c r="F11" s="6">
        <v>21</v>
      </c>
      <c r="G11" s="8">
        <f t="shared" si="0"/>
        <v>64.239370649999998</v>
      </c>
    </row>
    <row r="12" spans="1:7" x14ac:dyDescent="0.3">
      <c r="A12" s="14" t="str">
        <f>VLOOKUP(B12,'Relacion codigos'!$A:$B,2,FALSE)</f>
        <v>6146</v>
      </c>
      <c r="B12" s="6" t="s">
        <v>2277</v>
      </c>
      <c r="C12" s="6" t="s">
        <v>1080</v>
      </c>
      <c r="D12" s="24">
        <v>70.982730000000004</v>
      </c>
      <c r="E12" s="6" t="s">
        <v>5889</v>
      </c>
      <c r="F12" s="6">
        <v>21</v>
      </c>
      <c r="G12" s="8">
        <f t="shared" si="0"/>
        <v>70.982730000000004</v>
      </c>
    </row>
    <row r="13" spans="1:7" x14ac:dyDescent="0.3">
      <c r="A13" s="14" t="str">
        <f>VLOOKUP(B13,'Relacion codigos'!$A:$B,2,FALSE)</f>
        <v>8879</v>
      </c>
      <c r="B13" s="6" t="s">
        <v>2278</v>
      </c>
      <c r="C13" s="6" t="s">
        <v>1081</v>
      </c>
      <c r="D13" s="24">
        <v>155.7597422927</v>
      </c>
      <c r="E13" s="6" t="s">
        <v>5889</v>
      </c>
      <c r="F13" s="6">
        <v>21</v>
      </c>
      <c r="G13" s="8">
        <f t="shared" si="0"/>
        <v>155.7597422927</v>
      </c>
    </row>
    <row r="14" spans="1:7" x14ac:dyDescent="0.3">
      <c r="A14" s="14" t="str">
        <f>VLOOKUP(B14,'Relacion codigos'!$A:$B,2,FALSE)</f>
        <v>1717</v>
      </c>
      <c r="B14" s="6" t="s">
        <v>2279</v>
      </c>
      <c r="C14" s="6" t="s">
        <v>9</v>
      </c>
      <c r="D14" s="24">
        <v>336.484460702001</v>
      </c>
      <c r="E14" s="6" t="s">
        <v>5889</v>
      </c>
      <c r="F14" s="6">
        <v>21</v>
      </c>
      <c r="G14" s="8">
        <f t="shared" si="0"/>
        <v>336.484460702001</v>
      </c>
    </row>
    <row r="15" spans="1:7" x14ac:dyDescent="0.3">
      <c r="A15" s="14" t="str">
        <f>VLOOKUP(B15,'Relacion codigos'!$A:$B,2,FALSE)</f>
        <v>1716</v>
      </c>
      <c r="B15" s="6" t="s">
        <v>2280</v>
      </c>
      <c r="C15" s="6" t="s">
        <v>10</v>
      </c>
      <c r="D15" s="24">
        <v>278.4137553873</v>
      </c>
      <c r="E15" s="6" t="s">
        <v>5889</v>
      </c>
      <c r="F15" s="6">
        <v>21</v>
      </c>
      <c r="G15" s="8">
        <f t="shared" si="0"/>
        <v>278.4137553873</v>
      </c>
    </row>
    <row r="16" spans="1:7" x14ac:dyDescent="0.3">
      <c r="A16" s="14" t="str">
        <f>VLOOKUP(B16,'Relacion codigos'!$A:$B,2,FALSE)</f>
        <v>181</v>
      </c>
      <c r="B16" s="6" t="s">
        <v>2281</v>
      </c>
      <c r="C16" s="6" t="s">
        <v>11</v>
      </c>
      <c r="D16" s="24">
        <v>159.55876039739999</v>
      </c>
      <c r="E16" s="6" t="s">
        <v>5889</v>
      </c>
      <c r="F16" s="6">
        <v>21</v>
      </c>
      <c r="G16" s="8">
        <f t="shared" si="0"/>
        <v>159.55876039739999</v>
      </c>
    </row>
    <row r="17" spans="1:7" x14ac:dyDescent="0.3">
      <c r="A17" s="14" t="str">
        <f>VLOOKUP(B17,'Relacion codigos'!$A:$B,2,FALSE)</f>
        <v>1516</v>
      </c>
      <c r="B17" s="6" t="s">
        <v>2282</v>
      </c>
      <c r="C17" s="6" t="s">
        <v>12</v>
      </c>
      <c r="D17" s="24">
        <v>478.67628119220001</v>
      </c>
      <c r="E17" s="6" t="s">
        <v>5889</v>
      </c>
      <c r="F17" s="6">
        <v>21</v>
      </c>
      <c r="G17" s="8">
        <f t="shared" si="0"/>
        <v>478.67628119220001</v>
      </c>
    </row>
    <row r="18" spans="1:7" x14ac:dyDescent="0.3">
      <c r="A18" s="14" t="str">
        <f>VLOOKUP(B18,'Relacion codigos'!$A:$B,2,FALSE)</f>
        <v>179</v>
      </c>
      <c r="B18" s="6" t="s">
        <v>2283</v>
      </c>
      <c r="C18" s="6" t="s">
        <v>13</v>
      </c>
      <c r="D18" s="24">
        <v>93.890018873299994</v>
      </c>
      <c r="E18" s="6" t="s">
        <v>5889</v>
      </c>
      <c r="F18" s="6">
        <v>21</v>
      </c>
      <c r="G18" s="8">
        <f t="shared" si="0"/>
        <v>93.890018873299994</v>
      </c>
    </row>
    <row r="19" spans="1:7" x14ac:dyDescent="0.3">
      <c r="A19" s="14" t="str">
        <f>VLOOKUP(B19,'Relacion codigos'!$A:$B,2,FALSE)</f>
        <v>178</v>
      </c>
      <c r="B19" s="6" t="s">
        <v>2284</v>
      </c>
      <c r="C19" s="6" t="s">
        <v>14</v>
      </c>
      <c r="D19" s="24">
        <v>78.151229582400006</v>
      </c>
      <c r="E19" s="6" t="s">
        <v>5889</v>
      </c>
      <c r="F19" s="6">
        <v>21</v>
      </c>
      <c r="G19" s="8">
        <f t="shared" si="0"/>
        <v>78.151229582400006</v>
      </c>
    </row>
    <row r="20" spans="1:7" x14ac:dyDescent="0.3">
      <c r="A20" s="14" t="str">
        <f>VLOOKUP(B20,'Relacion codigos'!$A:$B,2,FALSE)</f>
        <v>180</v>
      </c>
      <c r="B20" s="6" t="s">
        <v>2285</v>
      </c>
      <c r="C20" s="6" t="s">
        <v>15</v>
      </c>
      <c r="D20" s="24">
        <v>124.824880583</v>
      </c>
      <c r="E20" s="6" t="s">
        <v>5889</v>
      </c>
      <c r="F20" s="6">
        <v>21</v>
      </c>
      <c r="G20" s="8">
        <f t="shared" si="0"/>
        <v>124.824880583</v>
      </c>
    </row>
    <row r="21" spans="1:7" x14ac:dyDescent="0.3">
      <c r="A21" s="14" t="e">
        <f>VLOOKUP(B21,'Relacion codigos'!$A:$B,2,FALSE)</f>
        <v>#N/A</v>
      </c>
      <c r="B21" s="6" t="s">
        <v>12809</v>
      </c>
      <c r="C21" s="6" t="s">
        <v>13531</v>
      </c>
      <c r="D21" s="24">
        <v>10317.196671600001</v>
      </c>
      <c r="E21" s="6" t="s">
        <v>5889</v>
      </c>
      <c r="F21" s="6">
        <v>21</v>
      </c>
      <c r="G21" s="8">
        <f t="shared" si="0"/>
        <v>10317.196671600001</v>
      </c>
    </row>
    <row r="22" spans="1:7" x14ac:dyDescent="0.3">
      <c r="A22" s="14" t="str">
        <f>VLOOKUP(B22,'Relacion codigos'!$A:$B,2,FALSE)</f>
        <v>9133</v>
      </c>
      <c r="B22" s="6" t="s">
        <v>1727</v>
      </c>
      <c r="C22" s="6" t="s">
        <v>8749</v>
      </c>
      <c r="D22" s="24">
        <v>10550.493244200001</v>
      </c>
      <c r="E22" s="6" t="s">
        <v>5889</v>
      </c>
      <c r="F22" s="6">
        <v>21</v>
      </c>
      <c r="G22" s="8">
        <f t="shared" si="0"/>
        <v>10550.493244200001</v>
      </c>
    </row>
    <row r="23" spans="1:7" x14ac:dyDescent="0.3">
      <c r="A23" s="14" t="e">
        <f>VLOOKUP(B23,'Relacion codigos'!$A:$B,2,FALSE)</f>
        <v>#N/A</v>
      </c>
      <c r="B23" s="6" t="s">
        <v>12811</v>
      </c>
      <c r="C23" s="6" t="s">
        <v>12812</v>
      </c>
      <c r="D23" s="24">
        <v>2051.1379980000002</v>
      </c>
      <c r="E23" s="6" t="s">
        <v>5889</v>
      </c>
      <c r="F23" s="6">
        <v>21</v>
      </c>
      <c r="G23" s="8">
        <f t="shared" si="0"/>
        <v>2051.1379980000002</v>
      </c>
    </row>
    <row r="24" spans="1:7" x14ac:dyDescent="0.3">
      <c r="A24" s="14" t="str">
        <f>VLOOKUP(B24,'Relacion codigos'!$A:$B,2,FALSE)</f>
        <v>2122</v>
      </c>
      <c r="B24" s="6" t="s">
        <v>2565</v>
      </c>
      <c r="C24" s="6" t="s">
        <v>12394</v>
      </c>
      <c r="D24" s="24">
        <v>256.5117961848</v>
      </c>
      <c r="E24" s="6" t="s">
        <v>5889</v>
      </c>
      <c r="F24" s="6">
        <v>21</v>
      </c>
      <c r="G24" s="8">
        <f t="shared" si="0"/>
        <v>256.5117961848</v>
      </c>
    </row>
    <row r="25" spans="1:7" x14ac:dyDescent="0.3">
      <c r="A25" s="14" t="str">
        <f>VLOOKUP(B25,'Relacion codigos'!$A:$B,2,FALSE)</f>
        <v>9015</v>
      </c>
      <c r="B25" s="6" t="s">
        <v>2550</v>
      </c>
      <c r="C25" s="6" t="s">
        <v>12395</v>
      </c>
      <c r="D25" s="24">
        <v>3497.6518082382199</v>
      </c>
      <c r="E25" s="6" t="s">
        <v>5889</v>
      </c>
      <c r="F25" s="6">
        <v>21</v>
      </c>
      <c r="G25" s="8">
        <f t="shared" si="0"/>
        <v>3497.6518082382199</v>
      </c>
    </row>
    <row r="26" spans="1:7" x14ac:dyDescent="0.3">
      <c r="A26" s="14" t="str">
        <f>VLOOKUP(B26,'Relacion codigos'!$A:$B,2,FALSE)</f>
        <v>8896</v>
      </c>
      <c r="B26" s="6" t="s">
        <v>2533</v>
      </c>
      <c r="C26" s="6" t="s">
        <v>12396</v>
      </c>
      <c r="D26" s="24">
        <v>4635.9560418600004</v>
      </c>
      <c r="E26" s="6" t="s">
        <v>5889</v>
      </c>
      <c r="F26" s="6">
        <v>21</v>
      </c>
      <c r="G26" s="8">
        <f t="shared" si="0"/>
        <v>4635.9560418600004</v>
      </c>
    </row>
    <row r="27" spans="1:7" x14ac:dyDescent="0.3">
      <c r="A27" s="14" t="e">
        <f>VLOOKUP(B27,'Relacion codigos'!$A:$B,2,FALSE)</f>
        <v>#N/A</v>
      </c>
      <c r="B27" s="6" t="s">
        <v>12397</v>
      </c>
      <c r="C27" s="6" t="s">
        <v>12398</v>
      </c>
      <c r="D27" s="24">
        <v>1345.3681109076001</v>
      </c>
      <c r="E27" s="6" t="s">
        <v>5889</v>
      </c>
      <c r="F27" s="6">
        <v>21</v>
      </c>
      <c r="G27" s="8">
        <f t="shared" si="0"/>
        <v>1345.3681109076001</v>
      </c>
    </row>
    <row r="28" spans="1:7" x14ac:dyDescent="0.3">
      <c r="A28" s="14" t="str">
        <f>VLOOKUP(B28,'Relacion codigos'!$A:$B,2,FALSE)</f>
        <v>6802</v>
      </c>
      <c r="B28" s="6" t="s">
        <v>2547</v>
      </c>
      <c r="C28" s="6" t="s">
        <v>12345</v>
      </c>
      <c r="D28" s="24">
        <v>2148.6257099283598</v>
      </c>
      <c r="E28" s="6" t="s">
        <v>5889</v>
      </c>
      <c r="F28" s="6">
        <v>21</v>
      </c>
      <c r="G28" s="8">
        <f t="shared" si="0"/>
        <v>2148.6257099283598</v>
      </c>
    </row>
    <row r="29" spans="1:7" x14ac:dyDescent="0.3">
      <c r="A29" s="14" t="str">
        <f>VLOOKUP(B29,'Relacion codigos'!$A:$B,2,FALSE)</f>
        <v>6798</v>
      </c>
      <c r="B29" s="6" t="s">
        <v>2548</v>
      </c>
      <c r="C29" s="6" t="s">
        <v>12346</v>
      </c>
      <c r="D29" s="24">
        <v>3632.3300232367001</v>
      </c>
      <c r="E29" s="6" t="s">
        <v>5889</v>
      </c>
      <c r="F29" s="6">
        <v>21</v>
      </c>
      <c r="G29" s="8">
        <f t="shared" si="0"/>
        <v>3632.3300232367001</v>
      </c>
    </row>
    <row r="30" spans="1:7" x14ac:dyDescent="0.3">
      <c r="A30" s="14" t="str">
        <f>VLOOKUP(B30,'Relacion codigos'!$A:$B,2,FALSE)</f>
        <v>6799</v>
      </c>
      <c r="B30" s="6" t="s">
        <v>2549</v>
      </c>
      <c r="C30" s="6" t="s">
        <v>12347</v>
      </c>
      <c r="D30" s="24">
        <v>3096.6745105576802</v>
      </c>
      <c r="E30" s="6" t="s">
        <v>5889</v>
      </c>
      <c r="F30" s="6">
        <v>21</v>
      </c>
      <c r="G30" s="8">
        <f t="shared" si="0"/>
        <v>3096.6745105576802</v>
      </c>
    </row>
    <row r="31" spans="1:7" x14ac:dyDescent="0.3">
      <c r="A31" s="14" t="str">
        <f>VLOOKUP(B31,'Relacion codigos'!$A:$B,2,FALSE)</f>
        <v>8897</v>
      </c>
      <c r="B31" s="6" t="s">
        <v>2530</v>
      </c>
      <c r="C31" s="6" t="s">
        <v>12399</v>
      </c>
      <c r="D31" s="24">
        <v>4196.7276780000002</v>
      </c>
      <c r="E31" s="6" t="s">
        <v>5889</v>
      </c>
      <c r="F31" s="6">
        <v>21</v>
      </c>
      <c r="G31" s="8">
        <f t="shared" si="0"/>
        <v>4196.7276780000002</v>
      </c>
    </row>
    <row r="32" spans="1:7" x14ac:dyDescent="0.3">
      <c r="A32" s="14" t="e">
        <f>VLOOKUP(B32,'Relacion codigos'!$A:$B,2,FALSE)</f>
        <v>#N/A</v>
      </c>
      <c r="B32" s="6" t="s">
        <v>12400</v>
      </c>
      <c r="C32" s="6" t="s">
        <v>12401</v>
      </c>
      <c r="D32" s="24">
        <v>1930.3879114260001</v>
      </c>
      <c r="E32" s="6" t="s">
        <v>5889</v>
      </c>
      <c r="F32" s="6">
        <v>21</v>
      </c>
      <c r="G32" s="8">
        <f t="shared" si="0"/>
        <v>1930.3879114260001</v>
      </c>
    </row>
    <row r="33" spans="1:7" x14ac:dyDescent="0.3">
      <c r="A33" s="14" t="str">
        <f>VLOOKUP(B33,'Relacion codigos'!$A:$B,2,FALSE)</f>
        <v>8898</v>
      </c>
      <c r="B33" s="6" t="s">
        <v>2531</v>
      </c>
      <c r="C33" s="6" t="s">
        <v>12402</v>
      </c>
      <c r="D33" s="24">
        <v>3846.0769561500001</v>
      </c>
      <c r="E33" s="6" t="s">
        <v>5889</v>
      </c>
      <c r="F33" s="6">
        <v>21</v>
      </c>
      <c r="G33" s="8">
        <f t="shared" si="0"/>
        <v>3846.0769561500001</v>
      </c>
    </row>
    <row r="34" spans="1:7" x14ac:dyDescent="0.3">
      <c r="A34" s="14" t="e">
        <f>VLOOKUP(B34,'Relacion codigos'!$A:$B,2,FALSE)</f>
        <v>#N/A</v>
      </c>
      <c r="B34" s="6" t="s">
        <v>12403</v>
      </c>
      <c r="C34" s="6" t="s">
        <v>12404</v>
      </c>
      <c r="D34" s="24">
        <v>1345.3681109076001</v>
      </c>
      <c r="E34" s="6" t="s">
        <v>5889</v>
      </c>
      <c r="F34" s="6">
        <v>21</v>
      </c>
      <c r="G34" s="8">
        <f t="shared" si="0"/>
        <v>1345.3681109076001</v>
      </c>
    </row>
    <row r="35" spans="1:7" x14ac:dyDescent="0.3">
      <c r="A35" s="14" t="e">
        <f>VLOOKUP(B35,'Relacion codigos'!$A:$B,2,FALSE)</f>
        <v>#N/A</v>
      </c>
      <c r="B35" s="6" t="s">
        <v>12405</v>
      </c>
      <c r="C35" s="6" t="s">
        <v>12406</v>
      </c>
      <c r="D35" s="24">
        <v>2108.4731401499998</v>
      </c>
      <c r="E35" s="6" t="s">
        <v>5889</v>
      </c>
      <c r="F35" s="6">
        <v>21</v>
      </c>
      <c r="G35" s="8">
        <f t="shared" si="0"/>
        <v>2108.4731401499998</v>
      </c>
    </row>
    <row r="36" spans="1:7" x14ac:dyDescent="0.3">
      <c r="A36" s="14" t="str">
        <f>VLOOKUP(B36,'Relacion codigos'!$A:$B,2,FALSE)</f>
        <v>6801</v>
      </c>
      <c r="B36" s="6" t="s">
        <v>2551</v>
      </c>
      <c r="C36" s="6" t="s">
        <v>12348</v>
      </c>
      <c r="D36" s="24">
        <v>3770.4012740222302</v>
      </c>
      <c r="E36" s="6" t="s">
        <v>5889</v>
      </c>
      <c r="F36" s="6">
        <v>21</v>
      </c>
      <c r="G36" s="8">
        <f t="shared" si="0"/>
        <v>3770.4012740222302</v>
      </c>
    </row>
    <row r="37" spans="1:7" x14ac:dyDescent="0.3">
      <c r="A37" s="14" t="str">
        <f>VLOOKUP(B37,'Relacion codigos'!$A:$B,2,FALSE)</f>
        <v>8899</v>
      </c>
      <c r="B37" s="6" t="s">
        <v>2532</v>
      </c>
      <c r="C37" s="6" t="s">
        <v>9152</v>
      </c>
      <c r="D37" s="24">
        <v>3227.7424307699998</v>
      </c>
      <c r="E37" s="6" t="s">
        <v>5889</v>
      </c>
      <c r="F37" s="6">
        <v>21</v>
      </c>
      <c r="G37" s="8">
        <f t="shared" si="0"/>
        <v>3227.7424307699998</v>
      </c>
    </row>
    <row r="38" spans="1:7" x14ac:dyDescent="0.3">
      <c r="A38" s="14" t="str">
        <f>VLOOKUP(B38,'Relacion codigos'!$A:$B,2,FALSE)</f>
        <v>8902</v>
      </c>
      <c r="B38" s="6" t="s">
        <v>2535</v>
      </c>
      <c r="C38" s="6" t="s">
        <v>9153</v>
      </c>
      <c r="D38" s="24">
        <v>2160.50318913</v>
      </c>
      <c r="E38" s="6" t="s">
        <v>5889</v>
      </c>
      <c r="F38" s="6">
        <v>21</v>
      </c>
      <c r="G38" s="8">
        <f t="shared" si="0"/>
        <v>2160.50318913</v>
      </c>
    </row>
    <row r="39" spans="1:7" x14ac:dyDescent="0.3">
      <c r="A39" s="14" t="e">
        <f>VLOOKUP(B39,'Relacion codigos'!$A:$B,2,FALSE)</f>
        <v>#N/A</v>
      </c>
      <c r="B39" s="6" t="s">
        <v>12407</v>
      </c>
      <c r="C39" s="6" t="s">
        <v>12408</v>
      </c>
      <c r="D39" s="24">
        <v>724.755378471276</v>
      </c>
      <c r="E39" s="6" t="s">
        <v>5889</v>
      </c>
      <c r="F39" s="6">
        <v>21</v>
      </c>
      <c r="G39" s="8">
        <f t="shared" si="0"/>
        <v>724.755378471276</v>
      </c>
    </row>
    <row r="40" spans="1:7" x14ac:dyDescent="0.3">
      <c r="A40" s="14" t="str">
        <f>VLOOKUP(B40,'Relacion codigos'!$A:$B,2,FALSE)</f>
        <v>6800</v>
      </c>
      <c r="B40" s="6" t="s">
        <v>2552</v>
      </c>
      <c r="C40" s="6" t="s">
        <v>12349</v>
      </c>
      <c r="D40" s="24">
        <v>2511.0272377288802</v>
      </c>
      <c r="E40" s="6" t="s">
        <v>5889</v>
      </c>
      <c r="F40" s="6">
        <v>21</v>
      </c>
      <c r="G40" s="8">
        <f t="shared" si="0"/>
        <v>2511.0272377288802</v>
      </c>
    </row>
    <row r="41" spans="1:7" x14ac:dyDescent="0.3">
      <c r="A41" s="14" t="str">
        <f>VLOOKUP(B41,'Relacion codigos'!$A:$B,2,FALSE)</f>
        <v>8900</v>
      </c>
      <c r="B41" s="6" t="s">
        <v>2536</v>
      </c>
      <c r="C41" s="6" t="s">
        <v>12409</v>
      </c>
      <c r="D41" s="24">
        <v>1696.3855301250001</v>
      </c>
      <c r="E41" s="6" t="s">
        <v>5889</v>
      </c>
      <c r="F41" s="6">
        <v>21</v>
      </c>
      <c r="G41" s="8">
        <f t="shared" si="0"/>
        <v>1696.3855301250001</v>
      </c>
    </row>
    <row r="42" spans="1:7" x14ac:dyDescent="0.3">
      <c r="A42" s="14" t="str">
        <f>VLOOKUP(B42,'Relacion codigos'!$A:$B,2,FALSE)</f>
        <v>1816</v>
      </c>
      <c r="B42" s="6" t="s">
        <v>2572</v>
      </c>
      <c r="C42" s="6" t="s">
        <v>12410</v>
      </c>
      <c r="D42" s="24">
        <v>95.044283053200004</v>
      </c>
      <c r="E42" s="6" t="s">
        <v>5889</v>
      </c>
      <c r="F42" s="6">
        <v>21</v>
      </c>
      <c r="G42" s="8">
        <f t="shared" si="0"/>
        <v>95.044283053200004</v>
      </c>
    </row>
    <row r="43" spans="1:7" x14ac:dyDescent="0.3">
      <c r="A43" s="14" t="str">
        <f>VLOOKUP(B43,'Relacion codigos'!$A:$B,2,FALSE)</f>
        <v>NUEVO</v>
      </c>
      <c r="B43" s="6" t="s">
        <v>8761</v>
      </c>
      <c r="C43" s="6" t="s">
        <v>12350</v>
      </c>
      <c r="D43" s="24">
        <v>198.04974297966001</v>
      </c>
      <c r="E43" s="6" t="s">
        <v>5889</v>
      </c>
      <c r="F43" s="6">
        <v>21</v>
      </c>
      <c r="G43" s="8">
        <f t="shared" si="0"/>
        <v>198.04974297966001</v>
      </c>
    </row>
    <row r="44" spans="1:7" x14ac:dyDescent="0.3">
      <c r="A44" s="14" t="str">
        <f>VLOOKUP(B44,'Relacion codigos'!$A:$B,2,FALSE)</f>
        <v>444</v>
      </c>
      <c r="B44" s="6" t="s">
        <v>2580</v>
      </c>
      <c r="C44" s="6" t="s">
        <v>12411</v>
      </c>
      <c r="D44" s="24">
        <v>95.044283053200004</v>
      </c>
      <c r="E44" s="6" t="s">
        <v>5889</v>
      </c>
      <c r="F44" s="6">
        <v>21</v>
      </c>
      <c r="G44" s="8">
        <f t="shared" si="0"/>
        <v>95.044283053200004</v>
      </c>
    </row>
    <row r="45" spans="1:7" x14ac:dyDescent="0.3">
      <c r="A45" s="14" t="str">
        <f>VLOOKUP(B45,'Relacion codigos'!$A:$B,2,FALSE)</f>
        <v>450</v>
      </c>
      <c r="B45" s="6" t="s">
        <v>2579</v>
      </c>
      <c r="C45" s="6" t="s">
        <v>12351</v>
      </c>
      <c r="D45" s="24">
        <v>198.04974297966001</v>
      </c>
      <c r="E45" s="6" t="s">
        <v>5889</v>
      </c>
      <c r="F45" s="6">
        <v>21</v>
      </c>
      <c r="G45" s="8">
        <f t="shared" si="0"/>
        <v>198.04974297966001</v>
      </c>
    </row>
    <row r="46" spans="1:7" x14ac:dyDescent="0.3">
      <c r="A46" s="14" t="str">
        <f>VLOOKUP(B46,'Relacion codigos'!$A:$B,2,FALSE)</f>
        <v>445</v>
      </c>
      <c r="B46" s="6" t="s">
        <v>2582</v>
      </c>
      <c r="C46" s="6" t="s">
        <v>12412</v>
      </c>
      <c r="D46" s="24">
        <v>95.044283053200004</v>
      </c>
      <c r="E46" s="6" t="s">
        <v>5889</v>
      </c>
      <c r="F46" s="6">
        <v>21</v>
      </c>
      <c r="G46" s="8">
        <f t="shared" si="0"/>
        <v>95.044283053200004</v>
      </c>
    </row>
    <row r="47" spans="1:7" x14ac:dyDescent="0.3">
      <c r="A47" s="14" t="str">
        <f>VLOOKUP(B47,'Relacion codigos'!$A:$B,2,FALSE)</f>
        <v>449</v>
      </c>
      <c r="B47" s="6" t="s">
        <v>2581</v>
      </c>
      <c r="C47" s="6" t="s">
        <v>12352</v>
      </c>
      <c r="D47" s="24">
        <v>198.04974297966001</v>
      </c>
      <c r="E47" s="6" t="s">
        <v>5889</v>
      </c>
      <c r="F47" s="6">
        <v>21</v>
      </c>
      <c r="G47" s="8">
        <f t="shared" si="0"/>
        <v>198.04974297966001</v>
      </c>
    </row>
    <row r="48" spans="1:7" x14ac:dyDescent="0.3">
      <c r="A48" s="14" t="str">
        <f>VLOOKUP(B48,'Relacion codigos'!$A:$B,2,FALSE)</f>
        <v>446</v>
      </c>
      <c r="B48" s="6" t="s">
        <v>2584</v>
      </c>
      <c r="C48" s="6" t="s">
        <v>12413</v>
      </c>
      <c r="D48" s="24">
        <v>95.425341382799999</v>
      </c>
      <c r="E48" s="6" t="s">
        <v>5889</v>
      </c>
      <c r="F48" s="6">
        <v>21</v>
      </c>
      <c r="G48" s="8">
        <f t="shared" si="0"/>
        <v>95.425341382799999</v>
      </c>
    </row>
    <row r="49" spans="1:7" x14ac:dyDescent="0.3">
      <c r="A49" s="14" t="e">
        <f>VLOOKUP(B49,'Relacion codigos'!$A:$B,2,FALSE)</f>
        <v>#N/A</v>
      </c>
      <c r="B49" s="6" t="s">
        <v>12414</v>
      </c>
      <c r="C49" s="6" t="s">
        <v>12415</v>
      </c>
      <c r="D49" s="24">
        <v>95.044283053200004</v>
      </c>
      <c r="E49" s="6" t="s">
        <v>5889</v>
      </c>
      <c r="F49" s="6">
        <v>21</v>
      </c>
      <c r="G49" s="8">
        <f t="shared" si="0"/>
        <v>95.044283053200004</v>
      </c>
    </row>
    <row r="50" spans="1:7" x14ac:dyDescent="0.3">
      <c r="A50" s="14" t="str">
        <f>VLOOKUP(B50,'Relacion codigos'!$A:$B,2,FALSE)</f>
        <v>451</v>
      </c>
      <c r="B50" s="6" t="s">
        <v>2583</v>
      </c>
      <c r="C50" s="6" t="s">
        <v>12353</v>
      </c>
      <c r="D50" s="24">
        <v>198.04974297966001</v>
      </c>
      <c r="E50" s="6" t="s">
        <v>5889</v>
      </c>
      <c r="F50" s="6">
        <v>21</v>
      </c>
      <c r="G50" s="8">
        <f t="shared" si="0"/>
        <v>198.04974297966001</v>
      </c>
    </row>
    <row r="51" spans="1:7" x14ac:dyDescent="0.3">
      <c r="A51" s="14" t="e">
        <f>VLOOKUP(B51,'Relacion codigos'!$A:$B,2,FALSE)</f>
        <v>#N/A</v>
      </c>
      <c r="B51" s="6" t="s">
        <v>12416</v>
      </c>
      <c r="C51" s="6" t="s">
        <v>12417</v>
      </c>
      <c r="D51" s="24">
        <v>95.044283053200004</v>
      </c>
      <c r="E51" s="6" t="s">
        <v>5889</v>
      </c>
      <c r="F51" s="6">
        <v>21</v>
      </c>
      <c r="G51" s="8">
        <f t="shared" si="0"/>
        <v>95.044283053200004</v>
      </c>
    </row>
    <row r="52" spans="1:7" x14ac:dyDescent="0.3">
      <c r="A52" s="14" t="str">
        <f>VLOOKUP(B52,'Relacion codigos'!$A:$B,2,FALSE)</f>
        <v>447</v>
      </c>
      <c r="B52" s="6" t="s">
        <v>2543</v>
      </c>
      <c r="C52" s="6" t="s">
        <v>12354</v>
      </c>
      <c r="D52" s="24">
        <v>198.04974297966001</v>
      </c>
      <c r="E52" s="6" t="s">
        <v>5889</v>
      </c>
      <c r="F52" s="6">
        <v>21</v>
      </c>
      <c r="G52" s="8">
        <f t="shared" si="0"/>
        <v>198.04974297966001</v>
      </c>
    </row>
    <row r="53" spans="1:7" x14ac:dyDescent="0.3">
      <c r="A53" s="14" t="str">
        <f>VLOOKUP(B53,'Relacion codigos'!$A:$B,2,FALSE)</f>
        <v>NUEVO</v>
      </c>
      <c r="B53" s="6" t="s">
        <v>8764</v>
      </c>
      <c r="C53" s="6" t="s">
        <v>10176</v>
      </c>
      <c r="D53" s="24">
        <v>357.15316000000001</v>
      </c>
      <c r="E53" s="6" t="s">
        <v>5889</v>
      </c>
      <c r="F53" s="6">
        <v>21</v>
      </c>
      <c r="G53" s="8">
        <f t="shared" si="0"/>
        <v>357.15316000000001</v>
      </c>
    </row>
    <row r="54" spans="1:7" x14ac:dyDescent="0.3">
      <c r="A54" s="14" t="e">
        <f>VLOOKUP(B54,'Relacion codigos'!$A:$B,2,FALSE)</f>
        <v>#N/A</v>
      </c>
      <c r="B54" s="6" t="s">
        <v>12418</v>
      </c>
      <c r="C54" s="6" t="s">
        <v>12419</v>
      </c>
      <c r="D54" s="24">
        <v>256.5117961848</v>
      </c>
      <c r="E54" s="6" t="s">
        <v>5889</v>
      </c>
      <c r="F54" s="6">
        <v>21</v>
      </c>
      <c r="G54" s="8">
        <f t="shared" si="0"/>
        <v>256.5117961848</v>
      </c>
    </row>
    <row r="55" spans="1:7" x14ac:dyDescent="0.3">
      <c r="A55" s="14" t="str">
        <f>VLOOKUP(B55,'Relacion codigos'!$A:$B,2,FALSE)</f>
        <v>NUEVO</v>
      </c>
      <c r="B55" s="6" t="s">
        <v>8768</v>
      </c>
      <c r="C55" s="6" t="s">
        <v>12355</v>
      </c>
      <c r="D55" s="24">
        <v>842.69426477651996</v>
      </c>
      <c r="E55" s="6" t="s">
        <v>5889</v>
      </c>
      <c r="F55" s="6">
        <v>21</v>
      </c>
      <c r="G55" s="8">
        <f t="shared" si="0"/>
        <v>842.69426477651996</v>
      </c>
    </row>
    <row r="56" spans="1:7" x14ac:dyDescent="0.3">
      <c r="A56" s="14" t="str">
        <f>VLOOKUP(B56,'Relacion codigos'!$A:$B,2,FALSE)</f>
        <v>2121</v>
      </c>
      <c r="B56" s="6" t="s">
        <v>2563</v>
      </c>
      <c r="C56" s="6" t="s">
        <v>12420</v>
      </c>
      <c r="D56" s="24">
        <v>256.5117961848</v>
      </c>
      <c r="E56" s="6" t="s">
        <v>5889</v>
      </c>
      <c r="F56" s="6">
        <v>21</v>
      </c>
      <c r="G56" s="8">
        <f t="shared" si="0"/>
        <v>256.5117961848</v>
      </c>
    </row>
    <row r="57" spans="1:7" x14ac:dyDescent="0.3">
      <c r="A57" s="14" t="str">
        <f>VLOOKUP(B57,'Relacion codigos'!$A:$B,2,FALSE)</f>
        <v>NUEVO</v>
      </c>
      <c r="B57" s="6" t="s">
        <v>8766</v>
      </c>
      <c r="C57" s="6" t="s">
        <v>12356</v>
      </c>
      <c r="D57" s="24">
        <v>842.69426477651996</v>
      </c>
      <c r="E57" s="6" t="s">
        <v>5889</v>
      </c>
      <c r="F57" s="6">
        <v>21</v>
      </c>
      <c r="G57" s="8">
        <f t="shared" si="0"/>
        <v>842.69426477651996</v>
      </c>
    </row>
    <row r="58" spans="1:7" x14ac:dyDescent="0.3">
      <c r="A58" s="14" t="str">
        <f>VLOOKUP(B58,'Relacion codigos'!$A:$B,2,FALSE)</f>
        <v>NUEVO</v>
      </c>
      <c r="B58" s="6" t="s">
        <v>8767</v>
      </c>
      <c r="C58" s="6" t="s">
        <v>12357</v>
      </c>
      <c r="D58" s="24">
        <v>842.69426477651996</v>
      </c>
      <c r="E58" s="6" t="s">
        <v>5889</v>
      </c>
      <c r="F58" s="6">
        <v>21</v>
      </c>
      <c r="G58" s="8">
        <f t="shared" si="0"/>
        <v>842.69426477651996</v>
      </c>
    </row>
    <row r="59" spans="1:7" x14ac:dyDescent="0.3">
      <c r="A59" s="14" t="str">
        <f>VLOOKUP(B59,'Relacion codigos'!$A:$B,2,FALSE)</f>
        <v>478</v>
      </c>
      <c r="B59" s="6" t="s">
        <v>2577</v>
      </c>
      <c r="C59" s="6" t="s">
        <v>12421</v>
      </c>
      <c r="D59" s="24">
        <v>256.5117961848</v>
      </c>
      <c r="E59" s="6" t="s">
        <v>5889</v>
      </c>
      <c r="F59" s="6">
        <v>21</v>
      </c>
      <c r="G59" s="8">
        <f t="shared" si="0"/>
        <v>256.5117961848</v>
      </c>
    </row>
    <row r="60" spans="1:7" x14ac:dyDescent="0.3">
      <c r="A60" s="14" t="str">
        <f>VLOOKUP(B60,'Relacion codigos'!$A:$B,2,FALSE)</f>
        <v>NUEVO</v>
      </c>
      <c r="B60" s="6" t="s">
        <v>8765</v>
      </c>
      <c r="C60" s="6" t="s">
        <v>12358</v>
      </c>
      <c r="D60" s="24">
        <v>842.69426477651996</v>
      </c>
      <c r="E60" s="6" t="s">
        <v>5889</v>
      </c>
      <c r="F60" s="6">
        <v>21</v>
      </c>
      <c r="G60" s="8">
        <f t="shared" si="0"/>
        <v>842.69426477651996</v>
      </c>
    </row>
    <row r="61" spans="1:7" x14ac:dyDescent="0.3">
      <c r="A61" s="14" t="e">
        <f>VLOOKUP(B61,'Relacion codigos'!$A:$B,2,FALSE)</f>
        <v>#N/A</v>
      </c>
      <c r="B61" s="6" t="s">
        <v>12422</v>
      </c>
      <c r="C61" s="6" t="s">
        <v>12423</v>
      </c>
      <c r="D61" s="24">
        <v>256.5117961848</v>
      </c>
      <c r="E61" s="6" t="s">
        <v>5889</v>
      </c>
      <c r="F61" s="6">
        <v>21</v>
      </c>
      <c r="G61" s="8">
        <f t="shared" si="0"/>
        <v>256.5117961848</v>
      </c>
    </row>
    <row r="62" spans="1:7" x14ac:dyDescent="0.3">
      <c r="A62" s="14" t="e">
        <f>VLOOKUP(B62,'Relacion codigos'!$A:$B,2,FALSE)</f>
        <v>#N/A</v>
      </c>
      <c r="B62" s="6" t="s">
        <v>12424</v>
      </c>
      <c r="C62" s="6" t="s">
        <v>12425</v>
      </c>
      <c r="D62" s="24">
        <v>256.5117961848</v>
      </c>
      <c r="E62" s="6" t="s">
        <v>5889</v>
      </c>
      <c r="F62" s="6">
        <v>21</v>
      </c>
      <c r="G62" s="8">
        <f t="shared" si="0"/>
        <v>256.5117961848</v>
      </c>
    </row>
    <row r="63" spans="1:7" x14ac:dyDescent="0.3">
      <c r="A63" s="14" t="str">
        <f>VLOOKUP(B63,'Relacion codigos'!$A:$B,2,FALSE)</f>
        <v>NUEVO</v>
      </c>
      <c r="B63" s="6" t="s">
        <v>8769</v>
      </c>
      <c r="C63" s="6" t="s">
        <v>12359</v>
      </c>
      <c r="D63" s="24">
        <v>842.69426477651996</v>
      </c>
      <c r="E63" s="6" t="s">
        <v>5889</v>
      </c>
      <c r="F63" s="6">
        <v>21</v>
      </c>
      <c r="G63" s="8">
        <f t="shared" si="0"/>
        <v>842.69426477651996</v>
      </c>
    </row>
    <row r="64" spans="1:7" x14ac:dyDescent="0.3">
      <c r="A64" s="14" t="e">
        <f>VLOOKUP(B64,'Relacion codigos'!$A:$B,2,FALSE)</f>
        <v>#N/A</v>
      </c>
      <c r="B64" s="6" t="s">
        <v>12426</v>
      </c>
      <c r="C64" s="6" t="s">
        <v>12427</v>
      </c>
      <c r="D64" s="24">
        <v>154.20358872360001</v>
      </c>
      <c r="E64" s="6" t="s">
        <v>5889</v>
      </c>
      <c r="F64" s="6">
        <v>21</v>
      </c>
      <c r="G64" s="8">
        <f t="shared" si="0"/>
        <v>154.20358872360001</v>
      </c>
    </row>
    <row r="65" spans="1:7" x14ac:dyDescent="0.3">
      <c r="A65" s="14" t="str">
        <f>VLOOKUP(B65,'Relacion codigos'!$A:$B,2,FALSE)</f>
        <v>443</v>
      </c>
      <c r="B65" s="6" t="s">
        <v>2546</v>
      </c>
      <c r="C65" s="6" t="s">
        <v>12360</v>
      </c>
      <c r="D65" s="24">
        <v>330.53048959554002</v>
      </c>
      <c r="E65" s="6" t="s">
        <v>5889</v>
      </c>
      <c r="F65" s="6">
        <v>21</v>
      </c>
      <c r="G65" s="8">
        <f t="shared" si="0"/>
        <v>330.53048959554002</v>
      </c>
    </row>
    <row r="66" spans="1:7" x14ac:dyDescent="0.3">
      <c r="A66" s="14" t="str">
        <f>VLOOKUP(B66,'Relacion codigos'!$A:$B,2,FALSE)</f>
        <v>6555</v>
      </c>
      <c r="B66" s="6" t="s">
        <v>2538</v>
      </c>
      <c r="C66" s="6" t="s">
        <v>12361</v>
      </c>
      <c r="D66" s="24">
        <v>330.53048959554002</v>
      </c>
      <c r="E66" s="6" t="s">
        <v>5889</v>
      </c>
      <c r="F66" s="6">
        <v>21</v>
      </c>
      <c r="G66" s="8">
        <f t="shared" ref="G66:G129" si="1">IF(E66="Dolares",D66*$G$1,D66)</f>
        <v>330.53048959554002</v>
      </c>
    </row>
    <row r="67" spans="1:7" x14ac:dyDescent="0.3">
      <c r="A67" s="14" t="str">
        <f>VLOOKUP(B67,'Relacion codigos'!$A:$B,2,FALSE)</f>
        <v>8996</v>
      </c>
      <c r="B67" s="6" t="s">
        <v>2587</v>
      </c>
      <c r="C67" s="6" t="s">
        <v>12428</v>
      </c>
      <c r="D67" s="24">
        <v>154.20358872360001</v>
      </c>
      <c r="E67" s="6" t="s">
        <v>5889</v>
      </c>
      <c r="F67" s="6">
        <v>21</v>
      </c>
      <c r="G67" s="8">
        <f t="shared" si="1"/>
        <v>154.20358872360001</v>
      </c>
    </row>
    <row r="68" spans="1:7" x14ac:dyDescent="0.3">
      <c r="A68" s="14" t="str">
        <f>VLOOKUP(B68,'Relacion codigos'!$A:$B,2,FALSE)</f>
        <v>8997</v>
      </c>
      <c r="B68" s="6" t="s">
        <v>2588</v>
      </c>
      <c r="C68" s="6" t="s">
        <v>12429</v>
      </c>
      <c r="D68" s="24">
        <v>154.20358872360001</v>
      </c>
      <c r="E68" s="6" t="s">
        <v>5889</v>
      </c>
      <c r="F68" s="6">
        <v>21</v>
      </c>
      <c r="G68" s="8">
        <f t="shared" si="1"/>
        <v>154.20358872360001</v>
      </c>
    </row>
    <row r="69" spans="1:7" x14ac:dyDescent="0.3">
      <c r="A69" s="14" t="str">
        <f>VLOOKUP(B69,'Relacion codigos'!$A:$B,2,FALSE)</f>
        <v>6559</v>
      </c>
      <c r="B69" s="6" t="s">
        <v>2539</v>
      </c>
      <c r="C69" s="6" t="s">
        <v>12362</v>
      </c>
      <c r="D69" s="24">
        <v>330.53048959554002</v>
      </c>
      <c r="E69" s="6" t="s">
        <v>5889</v>
      </c>
      <c r="F69" s="6">
        <v>21</v>
      </c>
      <c r="G69" s="8">
        <f t="shared" si="1"/>
        <v>330.53048959554002</v>
      </c>
    </row>
    <row r="70" spans="1:7" x14ac:dyDescent="0.3">
      <c r="A70" s="14" t="str">
        <f>VLOOKUP(B70,'Relacion codigos'!$A:$B,2,FALSE)</f>
        <v>2119</v>
      </c>
      <c r="B70" s="6" t="s">
        <v>2566</v>
      </c>
      <c r="C70" s="6" t="s">
        <v>12430</v>
      </c>
      <c r="D70" s="24">
        <v>154.20358872360001</v>
      </c>
      <c r="E70" s="6" t="s">
        <v>5889</v>
      </c>
      <c r="F70" s="6">
        <v>21</v>
      </c>
      <c r="G70" s="8">
        <f t="shared" si="1"/>
        <v>154.20358872360001</v>
      </c>
    </row>
    <row r="71" spans="1:7" x14ac:dyDescent="0.3">
      <c r="A71" s="14" t="str">
        <f>VLOOKUP(B71,'Relacion codigos'!$A:$B,2,FALSE)</f>
        <v>6556</v>
      </c>
      <c r="B71" s="6" t="s">
        <v>2540</v>
      </c>
      <c r="C71" s="6" t="s">
        <v>12519</v>
      </c>
      <c r="D71" s="24">
        <v>330.53048959554002</v>
      </c>
      <c r="E71" s="6" t="s">
        <v>5889</v>
      </c>
      <c r="F71" s="6">
        <v>21</v>
      </c>
      <c r="G71" s="8">
        <f t="shared" si="1"/>
        <v>330.53048959554002</v>
      </c>
    </row>
    <row r="72" spans="1:7" x14ac:dyDescent="0.3">
      <c r="A72" s="14" t="e">
        <f>VLOOKUP(B72,'Relacion codigos'!$A:$B,2,FALSE)</f>
        <v>#N/A</v>
      </c>
      <c r="B72" s="6" t="s">
        <v>12431</v>
      </c>
      <c r="C72" s="6" t="s">
        <v>12432</v>
      </c>
      <c r="D72" s="24">
        <v>154.20358872360001</v>
      </c>
      <c r="E72" s="6" t="s">
        <v>5889</v>
      </c>
      <c r="F72" s="6">
        <v>21</v>
      </c>
      <c r="G72" s="8">
        <f t="shared" si="1"/>
        <v>154.20358872360001</v>
      </c>
    </row>
    <row r="73" spans="1:7" x14ac:dyDescent="0.3">
      <c r="A73" s="14" t="str">
        <f>VLOOKUP(B73,'Relacion codigos'!$A:$B,2,FALSE)</f>
        <v>6558</v>
      </c>
      <c r="B73" s="6" t="s">
        <v>2541</v>
      </c>
      <c r="C73" s="6" t="s">
        <v>12363</v>
      </c>
      <c r="D73" s="24">
        <v>330.53048959554002</v>
      </c>
      <c r="E73" s="6" t="s">
        <v>5889</v>
      </c>
      <c r="F73" s="6">
        <v>21</v>
      </c>
      <c r="G73" s="8">
        <f t="shared" si="1"/>
        <v>330.53048959554002</v>
      </c>
    </row>
    <row r="74" spans="1:7" x14ac:dyDescent="0.3">
      <c r="A74" s="14" t="e">
        <f>VLOOKUP(B74,'Relacion codigos'!$A:$B,2,FALSE)</f>
        <v>#N/A</v>
      </c>
      <c r="B74" s="6" t="s">
        <v>12433</v>
      </c>
      <c r="C74" s="6" t="s">
        <v>12434</v>
      </c>
      <c r="D74" s="24">
        <v>154.20358872360001</v>
      </c>
      <c r="E74" s="6" t="s">
        <v>5889</v>
      </c>
      <c r="F74" s="6">
        <v>21</v>
      </c>
      <c r="G74" s="8">
        <f t="shared" si="1"/>
        <v>154.20358872360001</v>
      </c>
    </row>
    <row r="75" spans="1:7" x14ac:dyDescent="0.3">
      <c r="A75" s="14" t="str">
        <f>VLOOKUP(B75,'Relacion codigos'!$A:$B,2,FALSE)</f>
        <v>442</v>
      </c>
      <c r="B75" s="6" t="s">
        <v>2544</v>
      </c>
      <c r="C75" s="6" t="s">
        <v>12364</v>
      </c>
      <c r="D75" s="24">
        <v>330.53048959554002</v>
      </c>
      <c r="E75" s="6" t="s">
        <v>5889</v>
      </c>
      <c r="F75" s="6">
        <v>21</v>
      </c>
      <c r="G75" s="8">
        <f t="shared" si="1"/>
        <v>330.53048959554002</v>
      </c>
    </row>
    <row r="76" spans="1:7" x14ac:dyDescent="0.3">
      <c r="A76" s="14" t="str">
        <f>VLOOKUP(B76,'Relacion codigos'!$A:$B,2,FALSE)</f>
        <v>6557</v>
      </c>
      <c r="B76" s="6" t="s">
        <v>2542</v>
      </c>
      <c r="C76" s="6" t="s">
        <v>9714</v>
      </c>
      <c r="D76" s="24">
        <v>153.84460000000001</v>
      </c>
      <c r="E76" s="6" t="s">
        <v>5889</v>
      </c>
      <c r="F76" s="6">
        <v>21</v>
      </c>
      <c r="G76" s="8">
        <f t="shared" si="1"/>
        <v>153.84460000000001</v>
      </c>
    </row>
    <row r="77" spans="1:7" x14ac:dyDescent="0.3">
      <c r="A77" s="14" t="e">
        <f>VLOOKUP(B77,'Relacion codigos'!$A:$B,2,FALSE)</f>
        <v>#N/A</v>
      </c>
      <c r="B77" s="6" t="s">
        <v>12435</v>
      </c>
      <c r="C77" s="6" t="s">
        <v>12436</v>
      </c>
      <c r="D77" s="24">
        <v>485.15274798119998</v>
      </c>
      <c r="E77" s="6" t="s">
        <v>5889</v>
      </c>
      <c r="F77" s="6">
        <v>21</v>
      </c>
      <c r="G77" s="8">
        <f t="shared" si="1"/>
        <v>485.15274798119998</v>
      </c>
    </row>
    <row r="78" spans="1:7" x14ac:dyDescent="0.3">
      <c r="A78" s="14" t="str">
        <f>VLOOKUP(B78,'Relacion codigos'!$A:$B,2,FALSE)</f>
        <v>1792</v>
      </c>
      <c r="B78" s="6" t="s">
        <v>2554</v>
      </c>
      <c r="C78" s="6" t="s">
        <v>12365</v>
      </c>
      <c r="D78" s="24">
        <v>870.60805233947997</v>
      </c>
      <c r="E78" s="6" t="s">
        <v>5889</v>
      </c>
      <c r="F78" s="6">
        <v>21</v>
      </c>
      <c r="G78" s="8">
        <f t="shared" si="1"/>
        <v>870.60805233947997</v>
      </c>
    </row>
    <row r="79" spans="1:7" x14ac:dyDescent="0.3">
      <c r="A79" s="14" t="e">
        <f>VLOOKUP(B79,'Relacion codigos'!$A:$B,2,FALSE)</f>
        <v>#N/A</v>
      </c>
      <c r="B79" s="6" t="s">
        <v>12437</v>
      </c>
      <c r="C79" s="6" t="s">
        <v>12438</v>
      </c>
      <c r="D79" s="24">
        <v>623.70317500919998</v>
      </c>
      <c r="E79" s="6" t="s">
        <v>5889</v>
      </c>
      <c r="F79" s="6">
        <v>21</v>
      </c>
      <c r="G79" s="8">
        <f t="shared" si="1"/>
        <v>623.70317500919998</v>
      </c>
    </row>
    <row r="80" spans="1:7" x14ac:dyDescent="0.3">
      <c r="A80" s="14" t="str">
        <f>VLOOKUP(B80,'Relacion codigos'!$A:$B,2,FALSE)</f>
        <v>1796</v>
      </c>
      <c r="B80" s="6" t="s">
        <v>2556</v>
      </c>
      <c r="C80" s="6" t="s">
        <v>12366</v>
      </c>
      <c r="D80" s="24">
        <v>870.60805233947997</v>
      </c>
      <c r="E80" s="6" t="s">
        <v>5889</v>
      </c>
      <c r="F80" s="6">
        <v>21</v>
      </c>
      <c r="G80" s="8">
        <f t="shared" si="1"/>
        <v>870.60805233947997</v>
      </c>
    </row>
    <row r="81" spans="1:7" x14ac:dyDescent="0.3">
      <c r="A81" s="14" t="e">
        <f>VLOOKUP(B81,'Relacion codigos'!$A:$B,2,FALSE)</f>
        <v>#N/A</v>
      </c>
      <c r="B81" s="6" t="s">
        <v>12439</v>
      </c>
      <c r="C81" s="6" t="s">
        <v>12440</v>
      </c>
      <c r="D81" s="24">
        <v>485.15274798119998</v>
      </c>
      <c r="E81" s="6" t="s">
        <v>5889</v>
      </c>
      <c r="F81" s="6">
        <v>21</v>
      </c>
      <c r="G81" s="8">
        <f t="shared" si="1"/>
        <v>485.15274798119998</v>
      </c>
    </row>
    <row r="82" spans="1:7" x14ac:dyDescent="0.3">
      <c r="A82" s="14" t="str">
        <f>VLOOKUP(B82,'Relacion codigos'!$A:$B,2,FALSE)</f>
        <v>1793</v>
      </c>
      <c r="B82" s="6" t="s">
        <v>2557</v>
      </c>
      <c r="C82" s="6" t="s">
        <v>12367</v>
      </c>
      <c r="D82" s="24">
        <v>870.60805233947997</v>
      </c>
      <c r="E82" s="6" t="s">
        <v>5889</v>
      </c>
      <c r="F82" s="6">
        <v>21</v>
      </c>
      <c r="G82" s="8">
        <f t="shared" si="1"/>
        <v>870.60805233947997</v>
      </c>
    </row>
    <row r="83" spans="1:7" x14ac:dyDescent="0.3">
      <c r="A83" s="14" t="e">
        <f>VLOOKUP(B83,'Relacion codigos'!$A:$B,2,FALSE)</f>
        <v>#N/A</v>
      </c>
      <c r="B83" s="6" t="s">
        <v>12441</v>
      </c>
      <c r="C83" s="6" t="s">
        <v>12442</v>
      </c>
      <c r="D83" s="24">
        <v>623.70317500919998</v>
      </c>
      <c r="E83" s="6" t="s">
        <v>5889</v>
      </c>
      <c r="F83" s="6">
        <v>21</v>
      </c>
      <c r="G83" s="8">
        <f t="shared" si="1"/>
        <v>623.70317500919998</v>
      </c>
    </row>
    <row r="84" spans="1:7" x14ac:dyDescent="0.3">
      <c r="A84" s="14" t="str">
        <f>VLOOKUP(B84,'Relacion codigos'!$A:$B,2,FALSE)</f>
        <v>1798</v>
      </c>
      <c r="B84" s="6" t="s">
        <v>2555</v>
      </c>
      <c r="C84" s="6" t="s">
        <v>12520</v>
      </c>
      <c r="D84" s="24">
        <v>870.60805233947997</v>
      </c>
      <c r="E84" s="6" t="s">
        <v>5889</v>
      </c>
      <c r="F84" s="6">
        <v>21</v>
      </c>
      <c r="G84" s="8">
        <f t="shared" si="1"/>
        <v>870.60805233947997</v>
      </c>
    </row>
    <row r="85" spans="1:7" x14ac:dyDescent="0.3">
      <c r="A85" s="14" t="e">
        <f>VLOOKUP(B85,'Relacion codigos'!$A:$B,2,FALSE)</f>
        <v>#N/A</v>
      </c>
      <c r="B85" s="6" t="s">
        <v>12443</v>
      </c>
      <c r="C85" s="6" t="s">
        <v>12444</v>
      </c>
      <c r="D85" s="24">
        <v>623.70317500919998</v>
      </c>
      <c r="E85" s="6" t="s">
        <v>5889</v>
      </c>
      <c r="F85" s="6">
        <v>21</v>
      </c>
      <c r="G85" s="8">
        <f t="shared" si="1"/>
        <v>623.70317500919998</v>
      </c>
    </row>
    <row r="86" spans="1:7" x14ac:dyDescent="0.3">
      <c r="A86" s="14" t="str">
        <f>VLOOKUP(B86,'Relacion codigos'!$A:$B,2,FALSE)</f>
        <v>1799</v>
      </c>
      <c r="B86" s="6" t="s">
        <v>2558</v>
      </c>
      <c r="C86" s="6" t="s">
        <v>12521</v>
      </c>
      <c r="D86" s="24">
        <v>870.60805233947997</v>
      </c>
      <c r="E86" s="6" t="s">
        <v>5889</v>
      </c>
      <c r="F86" s="6">
        <v>21</v>
      </c>
      <c r="G86" s="8">
        <f t="shared" si="1"/>
        <v>870.60805233947997</v>
      </c>
    </row>
    <row r="87" spans="1:7" x14ac:dyDescent="0.3">
      <c r="A87" s="14" t="e">
        <f>VLOOKUP(B87,'Relacion codigos'!$A:$B,2,FALSE)</f>
        <v>#N/A</v>
      </c>
      <c r="B87" s="6" t="s">
        <v>12445</v>
      </c>
      <c r="C87" s="6" t="s">
        <v>12446</v>
      </c>
      <c r="D87" s="24">
        <v>485.15274798119998</v>
      </c>
      <c r="E87" s="6" t="s">
        <v>5889</v>
      </c>
      <c r="F87" s="6">
        <v>21</v>
      </c>
      <c r="G87" s="8">
        <f t="shared" si="1"/>
        <v>485.15274798119998</v>
      </c>
    </row>
    <row r="88" spans="1:7" x14ac:dyDescent="0.3">
      <c r="A88" s="14" t="str">
        <f>VLOOKUP(B88,'Relacion codigos'!$A:$B,2,FALSE)</f>
        <v>1791</v>
      </c>
      <c r="B88" s="6" t="s">
        <v>2553</v>
      </c>
      <c r="C88" s="6" t="s">
        <v>12368</v>
      </c>
      <c r="D88" s="24">
        <v>870.60805233947997</v>
      </c>
      <c r="E88" s="6" t="s">
        <v>5889</v>
      </c>
      <c r="F88" s="6">
        <v>21</v>
      </c>
      <c r="G88" s="8">
        <f t="shared" si="1"/>
        <v>870.60805233947997</v>
      </c>
    </row>
    <row r="89" spans="1:7" x14ac:dyDescent="0.3">
      <c r="A89" s="14" t="e">
        <f>VLOOKUP(B89,'Relacion codigos'!$A:$B,2,FALSE)</f>
        <v>#N/A</v>
      </c>
      <c r="B89" s="6" t="s">
        <v>12447</v>
      </c>
      <c r="C89" s="6" t="s">
        <v>12448</v>
      </c>
      <c r="D89" s="24">
        <v>311.86051855919999</v>
      </c>
      <c r="E89" s="6" t="s">
        <v>5889</v>
      </c>
      <c r="F89" s="6">
        <v>21</v>
      </c>
      <c r="G89" s="8">
        <f t="shared" si="1"/>
        <v>311.86051855919999</v>
      </c>
    </row>
    <row r="90" spans="1:7" x14ac:dyDescent="0.3">
      <c r="A90" s="14" t="e">
        <f>VLOOKUP(B90,'Relacion codigos'!$A:$B,2,FALSE)</f>
        <v>#N/A</v>
      </c>
      <c r="B90" s="6" t="s">
        <v>12449</v>
      </c>
      <c r="C90" s="6" t="s">
        <v>12450</v>
      </c>
      <c r="D90" s="24">
        <v>419.11057623239998</v>
      </c>
      <c r="E90" s="6" t="s">
        <v>5889</v>
      </c>
      <c r="F90" s="6">
        <v>21</v>
      </c>
      <c r="G90" s="8">
        <f t="shared" si="1"/>
        <v>419.11057623239998</v>
      </c>
    </row>
    <row r="91" spans="1:7" x14ac:dyDescent="0.3">
      <c r="A91" s="14" t="e">
        <f>VLOOKUP(B91,'Relacion codigos'!$A:$B,2,FALSE)</f>
        <v>#N/A</v>
      </c>
      <c r="B91" s="6" t="s">
        <v>12451</v>
      </c>
      <c r="C91" s="6" t="s">
        <v>12452</v>
      </c>
      <c r="D91" s="24">
        <v>523.31812130519995</v>
      </c>
      <c r="E91" s="6" t="s">
        <v>5889</v>
      </c>
      <c r="F91" s="6">
        <v>21</v>
      </c>
      <c r="G91" s="8">
        <f t="shared" si="1"/>
        <v>523.31812130519995</v>
      </c>
    </row>
    <row r="92" spans="1:7" x14ac:dyDescent="0.3">
      <c r="A92" s="14" t="e">
        <f>VLOOKUP(B92,'Relacion codigos'!$A:$B,2,FALSE)</f>
        <v>#N/A</v>
      </c>
      <c r="B92" s="6" t="s">
        <v>12453</v>
      </c>
      <c r="C92" s="6" t="s">
        <v>12454</v>
      </c>
      <c r="D92" s="24">
        <v>440.10450857879999</v>
      </c>
      <c r="E92" s="6" t="s">
        <v>5889</v>
      </c>
      <c r="F92" s="6">
        <v>21</v>
      </c>
      <c r="G92" s="8">
        <f t="shared" si="1"/>
        <v>440.10450857879999</v>
      </c>
    </row>
    <row r="93" spans="1:7" x14ac:dyDescent="0.3">
      <c r="A93" s="14" t="e">
        <f>VLOOKUP(B93,'Relacion codigos'!$A:$B,2,FALSE)</f>
        <v>#N/A</v>
      </c>
      <c r="B93" s="6" t="s">
        <v>12455</v>
      </c>
      <c r="C93" s="6" t="s">
        <v>12454</v>
      </c>
      <c r="D93" s="24">
        <v>440.10450857879999</v>
      </c>
      <c r="E93" s="6" t="s">
        <v>5889</v>
      </c>
      <c r="F93" s="6">
        <v>21</v>
      </c>
      <c r="G93" s="8">
        <f t="shared" si="1"/>
        <v>440.10450857879999</v>
      </c>
    </row>
    <row r="94" spans="1:7" x14ac:dyDescent="0.3">
      <c r="A94" s="14" t="e">
        <f>VLOOKUP(B94,'Relacion codigos'!$A:$B,2,FALSE)</f>
        <v>#N/A</v>
      </c>
      <c r="B94" s="6" t="s">
        <v>12456</v>
      </c>
      <c r="C94" s="6" t="s">
        <v>12457</v>
      </c>
      <c r="D94" s="24">
        <v>523.31812130519995</v>
      </c>
      <c r="E94" s="6" t="s">
        <v>5889</v>
      </c>
      <c r="F94" s="6">
        <v>21</v>
      </c>
      <c r="G94" s="8">
        <f t="shared" si="1"/>
        <v>523.31812130519995</v>
      </c>
    </row>
    <row r="95" spans="1:7" x14ac:dyDescent="0.3">
      <c r="A95" s="14" t="e">
        <f>VLOOKUP(B95,'Relacion codigos'!$A:$B,2,FALSE)</f>
        <v>#N/A</v>
      </c>
      <c r="B95" s="6" t="s">
        <v>12458</v>
      </c>
      <c r="C95" s="6" t="s">
        <v>12459</v>
      </c>
      <c r="D95" s="24">
        <v>311.86051855919999</v>
      </c>
      <c r="E95" s="6" t="s">
        <v>5889</v>
      </c>
      <c r="F95" s="6">
        <v>21</v>
      </c>
      <c r="G95" s="8">
        <f t="shared" si="1"/>
        <v>311.86051855919999</v>
      </c>
    </row>
    <row r="96" spans="1:7" x14ac:dyDescent="0.3">
      <c r="A96" s="14" t="e">
        <f>VLOOKUP(B96,'Relacion codigos'!$A:$B,2,FALSE)</f>
        <v>#N/A</v>
      </c>
      <c r="B96" s="6" t="s">
        <v>12460</v>
      </c>
      <c r="C96" s="6" t="s">
        <v>12461</v>
      </c>
      <c r="D96" s="24">
        <v>344.79824792400001</v>
      </c>
      <c r="E96" s="6" t="s">
        <v>5889</v>
      </c>
      <c r="F96" s="6">
        <v>21</v>
      </c>
      <c r="G96" s="8">
        <f t="shared" si="1"/>
        <v>344.79824792400001</v>
      </c>
    </row>
    <row r="97" spans="1:7" x14ac:dyDescent="0.3">
      <c r="A97" s="14" t="str">
        <f>VLOOKUP(B97,'Relacion codigos'!$A:$B,2,FALSE)</f>
        <v>2202</v>
      </c>
      <c r="B97" s="6" t="s">
        <v>2560</v>
      </c>
      <c r="C97" s="6" t="s">
        <v>12369</v>
      </c>
      <c r="D97" s="24">
        <v>842.69426477651996</v>
      </c>
      <c r="E97" s="6" t="s">
        <v>5889</v>
      </c>
      <c r="F97" s="6">
        <v>21</v>
      </c>
      <c r="G97" s="8">
        <f t="shared" si="1"/>
        <v>842.69426477651996</v>
      </c>
    </row>
    <row r="98" spans="1:7" x14ac:dyDescent="0.3">
      <c r="A98" s="14" t="str">
        <f>VLOOKUP(B98,'Relacion codigos'!$A:$B,2,FALSE)</f>
        <v>2204</v>
      </c>
      <c r="B98" s="6" t="s">
        <v>2562</v>
      </c>
      <c r="C98" s="6" t="s">
        <v>12370</v>
      </c>
      <c r="D98" s="24">
        <v>842.69426477651996</v>
      </c>
      <c r="E98" s="6" t="s">
        <v>5889</v>
      </c>
      <c r="F98" s="6">
        <v>21</v>
      </c>
      <c r="G98" s="8">
        <f t="shared" si="1"/>
        <v>842.69426477651996</v>
      </c>
    </row>
    <row r="99" spans="1:7" x14ac:dyDescent="0.3">
      <c r="A99" s="14" t="e">
        <f>VLOOKUP(B99,'Relacion codigos'!$A:$B,2,FALSE)</f>
        <v>#N/A</v>
      </c>
      <c r="B99" s="6" t="s">
        <v>12462</v>
      </c>
      <c r="C99" s="6" t="s">
        <v>12463</v>
      </c>
      <c r="D99" s="24">
        <v>554.2433863668</v>
      </c>
      <c r="E99" s="6" t="s">
        <v>5889</v>
      </c>
      <c r="F99" s="6">
        <v>21</v>
      </c>
      <c r="G99" s="8">
        <f t="shared" si="1"/>
        <v>554.2433863668</v>
      </c>
    </row>
    <row r="100" spans="1:7" x14ac:dyDescent="0.3">
      <c r="A100" s="14" t="e">
        <f>VLOOKUP(B100,'Relacion codigos'!$A:$B,2,FALSE)</f>
        <v>#N/A</v>
      </c>
      <c r="B100" s="6" t="s">
        <v>12464</v>
      </c>
      <c r="C100" s="6" t="s">
        <v>12465</v>
      </c>
      <c r="D100" s="24">
        <v>380.93924887200001</v>
      </c>
      <c r="E100" s="6" t="s">
        <v>5889</v>
      </c>
      <c r="F100" s="6">
        <v>21</v>
      </c>
      <c r="G100" s="8">
        <f t="shared" si="1"/>
        <v>380.93924887200001</v>
      </c>
    </row>
    <row r="101" spans="1:7" x14ac:dyDescent="0.3">
      <c r="A101" s="14" t="str">
        <f>VLOOKUP(B101,'Relacion codigos'!$A:$B,2,FALSE)</f>
        <v>2205</v>
      </c>
      <c r="B101" s="6" t="s">
        <v>2564</v>
      </c>
      <c r="C101" s="6" t="s">
        <v>12371</v>
      </c>
      <c r="D101" s="24">
        <v>842.69426477651996</v>
      </c>
      <c r="E101" s="6" t="s">
        <v>5889</v>
      </c>
      <c r="F101" s="6">
        <v>21</v>
      </c>
      <c r="G101" s="8">
        <f t="shared" si="1"/>
        <v>842.69426477651996</v>
      </c>
    </row>
    <row r="102" spans="1:7" x14ac:dyDescent="0.3">
      <c r="A102" s="14" t="e">
        <f>VLOOKUP(B102,'Relacion codigos'!$A:$B,2,FALSE)</f>
        <v>#N/A</v>
      </c>
      <c r="B102" s="6" t="s">
        <v>12466</v>
      </c>
      <c r="C102" s="6" t="s">
        <v>12467</v>
      </c>
      <c r="D102" s="24">
        <v>506.1466803276</v>
      </c>
      <c r="E102" s="6" t="s">
        <v>5889</v>
      </c>
      <c r="F102" s="6">
        <v>21</v>
      </c>
      <c r="G102" s="8">
        <f t="shared" si="1"/>
        <v>506.1466803276</v>
      </c>
    </row>
    <row r="103" spans="1:7" x14ac:dyDescent="0.3">
      <c r="A103" s="14" t="str">
        <f>VLOOKUP(B103,'Relacion codigos'!$A:$B,2,FALSE)</f>
        <v>2203</v>
      </c>
      <c r="B103" s="6" t="s">
        <v>2561</v>
      </c>
      <c r="C103" s="6" t="s">
        <v>12372</v>
      </c>
      <c r="D103" s="24">
        <v>842.69426477651996</v>
      </c>
      <c r="E103" s="6" t="s">
        <v>5889</v>
      </c>
      <c r="F103" s="6">
        <v>21</v>
      </c>
      <c r="G103" s="8">
        <f t="shared" si="1"/>
        <v>842.69426477651996</v>
      </c>
    </row>
    <row r="104" spans="1:7" x14ac:dyDescent="0.3">
      <c r="A104" s="14" t="e">
        <f>VLOOKUP(B104,'Relacion codigos'!$A:$B,2,FALSE)</f>
        <v>#N/A</v>
      </c>
      <c r="B104" s="6" t="s">
        <v>12468</v>
      </c>
      <c r="C104" s="6" t="s">
        <v>12469</v>
      </c>
      <c r="D104" s="24">
        <v>658.44497740320003</v>
      </c>
      <c r="E104" s="6" t="s">
        <v>5889</v>
      </c>
      <c r="F104" s="6">
        <v>21</v>
      </c>
      <c r="G104" s="8">
        <f t="shared" si="1"/>
        <v>658.44497740320003</v>
      </c>
    </row>
    <row r="105" spans="1:7" x14ac:dyDescent="0.3">
      <c r="A105" s="14" t="str">
        <f>VLOOKUP(B105,'Relacion codigos'!$A:$B,2,FALSE)</f>
        <v>2206</v>
      </c>
      <c r="B105" s="6" t="s">
        <v>2567</v>
      </c>
      <c r="C105" s="6" t="s">
        <v>12373</v>
      </c>
      <c r="D105" s="24">
        <v>842.69426477651996</v>
      </c>
      <c r="E105" s="6" t="s">
        <v>5889</v>
      </c>
      <c r="F105" s="6">
        <v>21</v>
      </c>
      <c r="G105" s="8">
        <f t="shared" si="1"/>
        <v>842.69426477651996</v>
      </c>
    </row>
    <row r="106" spans="1:7" x14ac:dyDescent="0.3">
      <c r="A106" s="14" t="e">
        <f>VLOOKUP(B106,'Relacion codigos'!$A:$B,2,FALSE)</f>
        <v>#N/A</v>
      </c>
      <c r="B106" s="6" t="s">
        <v>12470</v>
      </c>
      <c r="C106" s="6" t="s">
        <v>12471</v>
      </c>
      <c r="D106" s="24">
        <v>380.93924887200001</v>
      </c>
      <c r="E106" s="6" t="s">
        <v>5889</v>
      </c>
      <c r="F106" s="6">
        <v>21</v>
      </c>
      <c r="G106" s="8">
        <f t="shared" si="1"/>
        <v>380.93924887200001</v>
      </c>
    </row>
    <row r="107" spans="1:7" x14ac:dyDescent="0.3">
      <c r="A107" s="14" t="str">
        <f>VLOOKUP(B107,'Relacion codigos'!$A:$B,2,FALSE)</f>
        <v>1079</v>
      </c>
      <c r="B107" s="6" t="s">
        <v>2559</v>
      </c>
      <c r="C107" s="6" t="s">
        <v>12374</v>
      </c>
      <c r="D107" s="24">
        <v>842.69426477651996</v>
      </c>
      <c r="E107" s="6" t="s">
        <v>5889</v>
      </c>
      <c r="F107" s="6">
        <v>21</v>
      </c>
      <c r="G107" s="8">
        <f t="shared" si="1"/>
        <v>842.69426477651996</v>
      </c>
    </row>
    <row r="108" spans="1:7" x14ac:dyDescent="0.3">
      <c r="A108" s="14" t="str">
        <f>VLOOKUP(B108,'Relacion codigos'!$A:$B,2,FALSE)</f>
        <v>1815</v>
      </c>
      <c r="B108" s="6" t="s">
        <v>2571</v>
      </c>
      <c r="C108" s="6" t="s">
        <v>12472</v>
      </c>
      <c r="D108" s="24">
        <v>759.48599999999999</v>
      </c>
      <c r="E108" s="6" t="s">
        <v>5889</v>
      </c>
      <c r="F108" s="6">
        <v>21</v>
      </c>
      <c r="G108" s="8">
        <f t="shared" si="1"/>
        <v>759.48599999999999</v>
      </c>
    </row>
    <row r="109" spans="1:7" x14ac:dyDescent="0.3">
      <c r="A109" s="14" t="e">
        <f>VLOOKUP(B109,'Relacion codigos'!$A:$B,2,FALSE)</f>
        <v>#N/A</v>
      </c>
      <c r="B109" s="6" t="s">
        <v>12473</v>
      </c>
      <c r="C109" s="6" t="s">
        <v>12474</v>
      </c>
      <c r="D109" s="24">
        <v>554.46963975000006</v>
      </c>
      <c r="E109" s="6" t="s">
        <v>5889</v>
      </c>
      <c r="F109" s="6">
        <v>21</v>
      </c>
      <c r="G109" s="8">
        <f t="shared" si="1"/>
        <v>554.46963975000006</v>
      </c>
    </row>
    <row r="110" spans="1:7" x14ac:dyDescent="0.3">
      <c r="A110" s="14" t="str">
        <f>VLOOKUP(B110,'Relacion codigos'!$A:$B,2,FALSE)</f>
        <v>1832</v>
      </c>
      <c r="B110" s="6" t="s">
        <v>2573</v>
      </c>
      <c r="C110" s="6" t="s">
        <v>12475</v>
      </c>
      <c r="D110" s="24">
        <v>759.48599999999999</v>
      </c>
      <c r="E110" s="6" t="s">
        <v>5889</v>
      </c>
      <c r="F110" s="6">
        <v>21</v>
      </c>
      <c r="G110" s="8">
        <f t="shared" si="1"/>
        <v>759.48599999999999</v>
      </c>
    </row>
    <row r="111" spans="1:7" x14ac:dyDescent="0.3">
      <c r="A111" s="14" t="str">
        <f>VLOOKUP(B111,'Relacion codigos'!$A:$B,2,FALSE)</f>
        <v>1829</v>
      </c>
      <c r="B111" s="6" t="s">
        <v>2574</v>
      </c>
      <c r="C111" s="6" t="s">
        <v>12476</v>
      </c>
      <c r="D111" s="24">
        <v>759.48599999999999</v>
      </c>
      <c r="E111" s="6" t="s">
        <v>5889</v>
      </c>
      <c r="F111" s="6">
        <v>21</v>
      </c>
      <c r="G111" s="8">
        <f t="shared" si="1"/>
        <v>759.48599999999999</v>
      </c>
    </row>
    <row r="112" spans="1:7" x14ac:dyDescent="0.3">
      <c r="A112" s="14" t="str">
        <f>VLOOKUP(B112,'Relacion codigos'!$A:$B,2,FALSE)</f>
        <v>1818</v>
      </c>
      <c r="B112" s="6" t="s">
        <v>2575</v>
      </c>
      <c r="C112" s="6" t="s">
        <v>12477</v>
      </c>
      <c r="D112" s="24">
        <v>759.48599999999999</v>
      </c>
      <c r="E112" s="6" t="s">
        <v>5889</v>
      </c>
      <c r="F112" s="6">
        <v>21</v>
      </c>
      <c r="G112" s="8">
        <f t="shared" si="1"/>
        <v>759.48599999999999</v>
      </c>
    </row>
    <row r="113" spans="1:7" x14ac:dyDescent="0.3">
      <c r="A113" s="14" t="e">
        <f>VLOOKUP(B113,'Relacion codigos'!$A:$B,2,FALSE)</f>
        <v>#N/A</v>
      </c>
      <c r="B113" s="6" t="s">
        <v>12478</v>
      </c>
      <c r="C113" s="6" t="s">
        <v>12479</v>
      </c>
      <c r="D113" s="24">
        <v>727.53561578879999</v>
      </c>
      <c r="E113" s="6" t="s">
        <v>5889</v>
      </c>
      <c r="F113" s="6">
        <v>21</v>
      </c>
      <c r="G113" s="8">
        <f t="shared" si="1"/>
        <v>727.53561578879999</v>
      </c>
    </row>
    <row r="114" spans="1:7" x14ac:dyDescent="0.3">
      <c r="A114" s="14" t="str">
        <f>VLOOKUP(B114,'Relacion codigos'!$A:$B,2,FALSE)</f>
        <v>1856</v>
      </c>
      <c r="B114" s="6" t="s">
        <v>2576</v>
      </c>
      <c r="C114" s="6" t="s">
        <v>12480</v>
      </c>
      <c r="D114" s="24">
        <v>759.48599999999999</v>
      </c>
      <c r="E114" s="6" t="s">
        <v>5889</v>
      </c>
      <c r="F114" s="6">
        <v>21</v>
      </c>
      <c r="G114" s="8">
        <f t="shared" si="1"/>
        <v>759.48599999999999</v>
      </c>
    </row>
    <row r="115" spans="1:7" x14ac:dyDescent="0.3">
      <c r="A115" s="14" t="e">
        <f>VLOOKUP(B115,'Relacion codigos'!$A:$B,2,FALSE)</f>
        <v>#N/A</v>
      </c>
      <c r="B115" s="6" t="s">
        <v>12481</v>
      </c>
      <c r="C115" s="6" t="s">
        <v>12482</v>
      </c>
      <c r="D115" s="24">
        <v>727.53561578879999</v>
      </c>
      <c r="E115" s="6" t="s">
        <v>5889</v>
      </c>
      <c r="F115" s="6">
        <v>21</v>
      </c>
      <c r="G115" s="8">
        <f t="shared" si="1"/>
        <v>727.53561578879999</v>
      </c>
    </row>
    <row r="116" spans="1:7" x14ac:dyDescent="0.3">
      <c r="A116" s="14" t="e">
        <f>VLOOKUP(B116,'Relacion codigos'!$A:$B,2,FALSE)</f>
        <v>#N/A</v>
      </c>
      <c r="B116" s="6" t="s">
        <v>12483</v>
      </c>
      <c r="C116" s="6" t="s">
        <v>12484</v>
      </c>
      <c r="D116" s="24">
        <v>623.70317500919998</v>
      </c>
      <c r="E116" s="6" t="s">
        <v>5889</v>
      </c>
      <c r="F116" s="6">
        <v>21</v>
      </c>
      <c r="G116" s="8">
        <f t="shared" si="1"/>
        <v>623.70317500919998</v>
      </c>
    </row>
    <row r="117" spans="1:7" x14ac:dyDescent="0.3">
      <c r="A117" s="14" t="e">
        <f>VLOOKUP(B117,'Relacion codigos'!$A:$B,2,FALSE)</f>
        <v>#N/A</v>
      </c>
      <c r="B117" s="6" t="s">
        <v>12485</v>
      </c>
      <c r="C117" s="6" t="s">
        <v>12486</v>
      </c>
      <c r="D117" s="24">
        <v>859.60805121359999</v>
      </c>
      <c r="E117" s="6" t="s">
        <v>5889</v>
      </c>
      <c r="F117" s="6">
        <v>21</v>
      </c>
      <c r="G117" s="8">
        <f t="shared" si="1"/>
        <v>859.60805121359999</v>
      </c>
    </row>
    <row r="118" spans="1:7" x14ac:dyDescent="0.3">
      <c r="A118" s="14" t="e">
        <f>VLOOKUP(B118,'Relacion codigos'!$A:$B,2,FALSE)</f>
        <v>#N/A</v>
      </c>
      <c r="B118" s="6" t="s">
        <v>12487</v>
      </c>
      <c r="C118" s="6" t="s">
        <v>12488</v>
      </c>
      <c r="D118" s="24">
        <v>1022.2008772248</v>
      </c>
      <c r="E118" s="6" t="s">
        <v>5889</v>
      </c>
      <c r="F118" s="6">
        <v>21</v>
      </c>
      <c r="G118" s="8">
        <f t="shared" si="1"/>
        <v>1022.2008772248</v>
      </c>
    </row>
    <row r="119" spans="1:7" x14ac:dyDescent="0.3">
      <c r="A119" s="14" t="e">
        <f>VLOOKUP(B119,'Relacion codigos'!$A:$B,2,FALSE)</f>
        <v>#N/A</v>
      </c>
      <c r="B119" s="6" t="s">
        <v>12489</v>
      </c>
      <c r="C119" s="6" t="s">
        <v>12490</v>
      </c>
      <c r="D119" s="24">
        <v>519.12052564320004</v>
      </c>
      <c r="E119" s="6" t="s">
        <v>5889</v>
      </c>
      <c r="F119" s="6">
        <v>21</v>
      </c>
      <c r="G119" s="8">
        <f t="shared" si="1"/>
        <v>519.12052564320004</v>
      </c>
    </row>
    <row r="120" spans="1:7" x14ac:dyDescent="0.3">
      <c r="A120" s="14" t="e">
        <f>VLOOKUP(B120,'Relacion codigos'!$A:$B,2,FALSE)</f>
        <v>#N/A</v>
      </c>
      <c r="B120" s="6" t="s">
        <v>12491</v>
      </c>
      <c r="C120" s="6" t="s">
        <v>12492</v>
      </c>
      <c r="D120" s="24">
        <v>727.53561578879999</v>
      </c>
      <c r="E120" s="6" t="s">
        <v>5889</v>
      </c>
      <c r="F120" s="6">
        <v>21</v>
      </c>
      <c r="G120" s="8">
        <f t="shared" si="1"/>
        <v>727.53561578879999</v>
      </c>
    </row>
    <row r="121" spans="1:7" x14ac:dyDescent="0.3">
      <c r="A121" s="14" t="e">
        <f>VLOOKUP(B121,'Relacion codigos'!$A:$B,2,FALSE)</f>
        <v>#N/A</v>
      </c>
      <c r="B121" s="6" t="s">
        <v>12493</v>
      </c>
      <c r="C121" s="6" t="s">
        <v>12494</v>
      </c>
      <c r="D121" s="24">
        <v>1794.784732416</v>
      </c>
      <c r="E121" s="6" t="s">
        <v>5889</v>
      </c>
      <c r="F121" s="6">
        <v>21</v>
      </c>
      <c r="G121" s="8">
        <f t="shared" si="1"/>
        <v>1794.784732416</v>
      </c>
    </row>
    <row r="122" spans="1:7" x14ac:dyDescent="0.3">
      <c r="A122" s="14" t="e">
        <f>VLOOKUP(B122,'Relacion codigos'!$A:$B,2,FALSE)</f>
        <v>#N/A</v>
      </c>
      <c r="B122" s="6" t="s">
        <v>12495</v>
      </c>
      <c r="C122" s="6" t="s">
        <v>12496</v>
      </c>
      <c r="D122" s="24">
        <v>1697.8232496420001</v>
      </c>
      <c r="E122" s="6" t="s">
        <v>5889</v>
      </c>
      <c r="F122" s="6">
        <v>21</v>
      </c>
      <c r="G122" s="8">
        <f t="shared" si="1"/>
        <v>1697.8232496420001</v>
      </c>
    </row>
    <row r="123" spans="1:7" x14ac:dyDescent="0.3">
      <c r="A123" s="14" t="e">
        <f>VLOOKUP(B123,'Relacion codigos'!$A:$B,2,FALSE)</f>
        <v>#N/A</v>
      </c>
      <c r="B123" s="6" t="s">
        <v>12497</v>
      </c>
      <c r="C123" s="6" t="s">
        <v>12498</v>
      </c>
      <c r="D123" s="24">
        <v>580.19107699799997</v>
      </c>
      <c r="E123" s="6" t="s">
        <v>5889</v>
      </c>
      <c r="F123" s="6">
        <v>21</v>
      </c>
      <c r="G123" s="8">
        <f t="shared" si="1"/>
        <v>580.19107699799997</v>
      </c>
    </row>
    <row r="124" spans="1:7" x14ac:dyDescent="0.3">
      <c r="A124" s="14" t="e">
        <f>VLOOKUP(B124,'Relacion codigos'!$A:$B,2,FALSE)</f>
        <v>#N/A</v>
      </c>
      <c r="B124" s="6" t="s">
        <v>12228</v>
      </c>
      <c r="C124" s="6" t="s">
        <v>12229</v>
      </c>
      <c r="D124" s="24">
        <v>7.0857539999999997</v>
      </c>
      <c r="E124" s="6" t="s">
        <v>5887</v>
      </c>
      <c r="F124" s="6">
        <v>21</v>
      </c>
      <c r="G124" s="8">
        <f t="shared" si="1"/>
        <v>11018.347469999999</v>
      </c>
    </row>
    <row r="125" spans="1:7" x14ac:dyDescent="0.3">
      <c r="A125" s="14" t="e">
        <f>VLOOKUP(B125,'Relacion codigos'!$A:$B,2,FALSE)</f>
        <v>#N/A</v>
      </c>
      <c r="B125" s="6" t="s">
        <v>12230</v>
      </c>
      <c r="C125" s="6" t="s">
        <v>12231</v>
      </c>
      <c r="D125" s="24">
        <v>12.381290999999999</v>
      </c>
      <c r="E125" s="6" t="s">
        <v>5887</v>
      </c>
      <c r="F125" s="6">
        <v>21</v>
      </c>
      <c r="G125" s="8">
        <f t="shared" si="1"/>
        <v>19252.907504999999</v>
      </c>
    </row>
    <row r="126" spans="1:7" x14ac:dyDescent="0.3">
      <c r="A126" s="14" t="str">
        <f>VLOOKUP(B126,'Relacion codigos'!$A:$B,2,FALSE)</f>
        <v>8901</v>
      </c>
      <c r="B126" s="6" t="s">
        <v>2534</v>
      </c>
      <c r="C126" s="6" t="s">
        <v>9464</v>
      </c>
      <c r="D126" s="24">
        <v>1982.1344593050001</v>
      </c>
      <c r="E126" s="6" t="s">
        <v>5889</v>
      </c>
      <c r="F126" s="6">
        <v>21</v>
      </c>
      <c r="G126" s="8">
        <f t="shared" si="1"/>
        <v>1982.1344593050001</v>
      </c>
    </row>
    <row r="127" spans="1:7" x14ac:dyDescent="0.3">
      <c r="A127" s="14" t="e">
        <f>VLOOKUP(B127,'Relacion codigos'!$A:$B,2,FALSE)</f>
        <v>#N/A</v>
      </c>
      <c r="B127" s="6" t="s">
        <v>9673</v>
      </c>
      <c r="C127" s="6" t="s">
        <v>11678</v>
      </c>
      <c r="D127" s="24">
        <v>11120.2104</v>
      </c>
      <c r="E127" s="6" t="s">
        <v>5889</v>
      </c>
      <c r="F127" s="6">
        <v>21</v>
      </c>
      <c r="G127" s="8">
        <f t="shared" si="1"/>
        <v>11120.2104</v>
      </c>
    </row>
    <row r="128" spans="1:7" x14ac:dyDescent="0.3">
      <c r="A128" s="14" t="e">
        <f>VLOOKUP(B128,'Relacion codigos'!$A:$B,2,FALSE)</f>
        <v>#N/A</v>
      </c>
      <c r="B128" s="6" t="s">
        <v>9774</v>
      </c>
      <c r="C128" s="6" t="s">
        <v>11679</v>
      </c>
      <c r="D128" s="24">
        <v>11120.2104</v>
      </c>
      <c r="E128" s="6" t="s">
        <v>5889</v>
      </c>
      <c r="F128" s="6">
        <v>21</v>
      </c>
      <c r="G128" s="8">
        <f t="shared" si="1"/>
        <v>11120.2104</v>
      </c>
    </row>
    <row r="129" spans="1:7" x14ac:dyDescent="0.3">
      <c r="A129" s="14" t="e">
        <f>VLOOKUP(B129,'Relacion codigos'!$A:$B,2,FALSE)</f>
        <v>#N/A</v>
      </c>
      <c r="B129" s="6" t="s">
        <v>9674</v>
      </c>
      <c r="C129" s="6" t="s">
        <v>9794</v>
      </c>
      <c r="D129" s="24">
        <v>12101.7</v>
      </c>
      <c r="E129" s="6" t="s">
        <v>5889</v>
      </c>
      <c r="F129" s="6">
        <v>21</v>
      </c>
      <c r="G129" s="8">
        <f t="shared" si="1"/>
        <v>12101.7</v>
      </c>
    </row>
    <row r="130" spans="1:7" x14ac:dyDescent="0.3">
      <c r="A130" s="14" t="e">
        <f>VLOOKUP(B130,'Relacion codigos'!$A:$B,2,FALSE)</f>
        <v>#N/A</v>
      </c>
      <c r="B130" s="6" t="s">
        <v>9675</v>
      </c>
      <c r="C130" s="6" t="s">
        <v>9795</v>
      </c>
      <c r="D130" s="24">
        <v>12101.7</v>
      </c>
      <c r="E130" s="6" t="s">
        <v>5889</v>
      </c>
      <c r="F130" s="6">
        <v>21</v>
      </c>
      <c r="G130" s="8">
        <f t="shared" ref="G130:G193" si="2">IF(E130="Dolares",D130*$G$1,D130)</f>
        <v>12101.7</v>
      </c>
    </row>
    <row r="131" spans="1:7" x14ac:dyDescent="0.3">
      <c r="A131" s="14" t="str">
        <f>VLOOKUP(B131,'Relacion codigos'!$A:$B,2,FALSE)</f>
        <v>5239</v>
      </c>
      <c r="B131" s="6" t="s">
        <v>3865</v>
      </c>
      <c r="C131" s="6" t="s">
        <v>1059</v>
      </c>
      <c r="D131" s="24">
        <v>18003.434799999999</v>
      </c>
      <c r="E131" s="6" t="s">
        <v>5889</v>
      </c>
      <c r="F131" s="6">
        <v>21</v>
      </c>
      <c r="G131" s="8">
        <f t="shared" si="2"/>
        <v>18003.434799999999</v>
      </c>
    </row>
    <row r="132" spans="1:7" x14ac:dyDescent="0.3">
      <c r="A132" s="14" t="e">
        <f>VLOOKUP(B132,'Relacion codigos'!$A:$B,2,FALSE)</f>
        <v>#N/A</v>
      </c>
      <c r="B132" s="6" t="s">
        <v>13687</v>
      </c>
      <c r="C132" s="6" t="s">
        <v>13805</v>
      </c>
      <c r="D132" s="24">
        <v>0.99576125999999998</v>
      </c>
      <c r="E132" s="6" t="s">
        <v>5887</v>
      </c>
      <c r="F132" s="6">
        <v>21</v>
      </c>
      <c r="G132" s="8">
        <f t="shared" si="2"/>
        <v>1548.4087592999999</v>
      </c>
    </row>
    <row r="133" spans="1:7" x14ac:dyDescent="0.3">
      <c r="A133" s="14" t="str">
        <f>VLOOKUP(B133,'Relacion codigos'!$A:$B,2,FALSE)</f>
        <v>770</v>
      </c>
      <c r="B133" s="6" t="s">
        <v>5656</v>
      </c>
      <c r="C133" s="6" t="s">
        <v>16</v>
      </c>
      <c r="D133" s="24">
        <v>24.420396058368699</v>
      </c>
      <c r="E133" s="6" t="s">
        <v>5889</v>
      </c>
      <c r="F133" s="6">
        <v>21</v>
      </c>
      <c r="G133" s="8">
        <f t="shared" si="2"/>
        <v>24.420396058368699</v>
      </c>
    </row>
    <row r="134" spans="1:7" x14ac:dyDescent="0.3">
      <c r="A134" s="14" t="str">
        <f>VLOOKUP(B134,'Relacion codigos'!$A:$B,2,FALSE)</f>
        <v>769</v>
      </c>
      <c r="B134" s="6" t="s">
        <v>5657</v>
      </c>
      <c r="C134" s="6" t="s">
        <v>17</v>
      </c>
      <c r="D134" s="24">
        <v>24.420396058368699</v>
      </c>
      <c r="E134" s="6" t="s">
        <v>5889</v>
      </c>
      <c r="F134" s="6">
        <v>21</v>
      </c>
      <c r="G134" s="8">
        <f t="shared" si="2"/>
        <v>24.420396058368699</v>
      </c>
    </row>
    <row r="135" spans="1:7" x14ac:dyDescent="0.3">
      <c r="A135" s="14" t="str">
        <f>VLOOKUP(B135,'Relacion codigos'!$A:$B,2,FALSE)</f>
        <v>6668</v>
      </c>
      <c r="B135" s="6" t="s">
        <v>3445</v>
      </c>
      <c r="C135" s="6" t="s">
        <v>18</v>
      </c>
      <c r="D135" s="24">
        <v>2457.5402085000001</v>
      </c>
      <c r="E135" s="6" t="s">
        <v>5889</v>
      </c>
      <c r="F135" s="6">
        <v>21</v>
      </c>
      <c r="G135" s="8">
        <f t="shared" si="2"/>
        <v>2457.5402085000001</v>
      </c>
    </row>
    <row r="136" spans="1:7" x14ac:dyDescent="0.3">
      <c r="A136" s="14" t="e">
        <f>VLOOKUP(B136,'Relacion codigos'!$A:$B,2,FALSE)</f>
        <v>#N/A</v>
      </c>
      <c r="B136" s="6" t="s">
        <v>13842</v>
      </c>
      <c r="C136" s="6" t="s">
        <v>13879</v>
      </c>
      <c r="D136" s="24">
        <v>1.5849054</v>
      </c>
      <c r="E136" s="6" t="s">
        <v>5887</v>
      </c>
      <c r="F136" s="6">
        <v>21</v>
      </c>
      <c r="G136" s="8">
        <f t="shared" si="2"/>
        <v>2464.5278969999999</v>
      </c>
    </row>
    <row r="137" spans="1:7" x14ac:dyDescent="0.3">
      <c r="A137" s="14" t="str">
        <f>VLOOKUP(B137,'Relacion codigos'!$A:$B,2,FALSE)</f>
        <v>5166</v>
      </c>
      <c r="B137" s="6" t="s">
        <v>4965</v>
      </c>
      <c r="C137" s="6" t="s">
        <v>11068</v>
      </c>
      <c r="D137" s="24">
        <v>948.41506801080004</v>
      </c>
      <c r="E137" s="6" t="s">
        <v>5889</v>
      </c>
      <c r="F137" s="6">
        <v>21</v>
      </c>
      <c r="G137" s="8">
        <f t="shared" si="2"/>
        <v>948.41506801080004</v>
      </c>
    </row>
    <row r="138" spans="1:7" x14ac:dyDescent="0.3">
      <c r="A138" s="14" t="str">
        <f>VLOOKUP(B138,'Relacion codigos'!$A:$B,2,FALSE)</f>
        <v>5167</v>
      </c>
      <c r="B138" s="6" t="s">
        <v>4966</v>
      </c>
      <c r="C138" s="6" t="s">
        <v>11270</v>
      </c>
      <c r="D138" s="24">
        <v>1237.9157962704001</v>
      </c>
      <c r="E138" s="6" t="s">
        <v>5889</v>
      </c>
      <c r="F138" s="6">
        <v>21</v>
      </c>
      <c r="G138" s="8">
        <f t="shared" si="2"/>
        <v>1237.9157962704001</v>
      </c>
    </row>
    <row r="139" spans="1:7" x14ac:dyDescent="0.3">
      <c r="A139" s="14" t="str">
        <f>VLOOKUP(B139,'Relacion codigos'!$A:$B,2,FALSE)</f>
        <v>7212</v>
      </c>
      <c r="B139" s="6" t="s">
        <v>3496</v>
      </c>
      <c r="C139" s="6" t="s">
        <v>9465</v>
      </c>
      <c r="D139" s="24">
        <v>2934.4535999999998</v>
      </c>
      <c r="E139" s="6" t="s">
        <v>5889</v>
      </c>
      <c r="F139" s="6">
        <v>21</v>
      </c>
      <c r="G139" s="8">
        <f t="shared" si="2"/>
        <v>2934.4535999999998</v>
      </c>
    </row>
    <row r="140" spans="1:7" x14ac:dyDescent="0.3">
      <c r="A140" s="14" t="str">
        <f>VLOOKUP(B140,'Relacion codigos'!$A:$B,2,FALSE)</f>
        <v>1257</v>
      </c>
      <c r="B140" s="6" t="s">
        <v>5650</v>
      </c>
      <c r="C140" s="6" t="s">
        <v>20</v>
      </c>
      <c r="D140" s="24">
        <v>1530.1</v>
      </c>
      <c r="E140" s="6" t="s">
        <v>5889</v>
      </c>
      <c r="F140" s="6">
        <v>21</v>
      </c>
      <c r="G140" s="8">
        <f t="shared" si="2"/>
        <v>1530.1</v>
      </c>
    </row>
    <row r="141" spans="1:7" x14ac:dyDescent="0.3">
      <c r="A141" s="14" t="e">
        <f>VLOOKUP(B141,'Relacion codigos'!$A:$B,2,FALSE)</f>
        <v>#N/A</v>
      </c>
      <c r="B141" s="6" t="s">
        <v>10039</v>
      </c>
      <c r="C141" s="6" t="s">
        <v>10040</v>
      </c>
      <c r="D141" s="24">
        <v>5007.6000000000004</v>
      </c>
      <c r="E141" s="6" t="s">
        <v>5889</v>
      </c>
      <c r="F141" s="6">
        <v>21</v>
      </c>
      <c r="G141" s="8">
        <f t="shared" si="2"/>
        <v>5007.6000000000004</v>
      </c>
    </row>
    <row r="142" spans="1:7" x14ac:dyDescent="0.3">
      <c r="A142" s="14" t="e">
        <f>VLOOKUP(B142,'Relacion codigos'!$A:$B,2,FALSE)</f>
        <v>#N/A</v>
      </c>
      <c r="B142" s="6" t="s">
        <v>9960</v>
      </c>
      <c r="C142" s="6" t="s">
        <v>12010</v>
      </c>
      <c r="D142" s="24">
        <v>18614.918399999999</v>
      </c>
      <c r="E142" s="6" t="s">
        <v>5889</v>
      </c>
      <c r="F142" s="6">
        <v>21</v>
      </c>
      <c r="G142" s="8">
        <f t="shared" si="2"/>
        <v>18614.918399999999</v>
      </c>
    </row>
    <row r="143" spans="1:7" x14ac:dyDescent="0.3">
      <c r="A143" s="14" t="e">
        <f>VLOOKUP(B143,'Relacion codigos'!$A:$B,2,FALSE)</f>
        <v>#N/A</v>
      </c>
      <c r="B143" s="6" t="s">
        <v>11439</v>
      </c>
      <c r="C143" s="6" t="s">
        <v>12569</v>
      </c>
      <c r="D143" s="24">
        <v>3049.51712</v>
      </c>
      <c r="E143" s="6" t="s">
        <v>5889</v>
      </c>
      <c r="F143" s="6">
        <v>21</v>
      </c>
      <c r="G143" s="8">
        <f t="shared" si="2"/>
        <v>3049.51712</v>
      </c>
    </row>
    <row r="144" spans="1:7" x14ac:dyDescent="0.3">
      <c r="A144" s="14" t="e">
        <f>VLOOKUP(B144,'Relacion codigos'!$A:$B,2,FALSE)</f>
        <v>#N/A</v>
      </c>
      <c r="B144" s="6" t="s">
        <v>9961</v>
      </c>
      <c r="C144" s="6" t="s">
        <v>12570</v>
      </c>
      <c r="D144" s="24">
        <v>5190.9894400000003</v>
      </c>
      <c r="E144" s="6" t="s">
        <v>5889</v>
      </c>
      <c r="F144" s="6">
        <v>21</v>
      </c>
      <c r="G144" s="8">
        <f t="shared" si="2"/>
        <v>5190.9894400000003</v>
      </c>
    </row>
    <row r="145" spans="1:7" x14ac:dyDescent="0.3">
      <c r="A145" s="14" t="e">
        <f>VLOOKUP(B145,'Relacion codigos'!$A:$B,2,FALSE)</f>
        <v>#N/A</v>
      </c>
      <c r="B145" s="6" t="s">
        <v>9962</v>
      </c>
      <c r="C145" s="6" t="s">
        <v>12011</v>
      </c>
      <c r="D145" s="24">
        <v>9700.9452799999999</v>
      </c>
      <c r="E145" s="6" t="s">
        <v>5889</v>
      </c>
      <c r="F145" s="6">
        <v>21</v>
      </c>
      <c r="G145" s="8">
        <f t="shared" si="2"/>
        <v>9700.9452799999999</v>
      </c>
    </row>
    <row r="146" spans="1:7" x14ac:dyDescent="0.3">
      <c r="A146" s="14" t="e">
        <f>VLOOKUP(B146,'Relacion codigos'!$A:$B,2,FALSE)</f>
        <v>#N/A</v>
      </c>
      <c r="B146" s="6" t="s">
        <v>12670</v>
      </c>
      <c r="C146" s="6" t="s">
        <v>12671</v>
      </c>
      <c r="D146" s="24">
        <v>1604.2124799999999</v>
      </c>
      <c r="E146" s="6" t="s">
        <v>5889</v>
      </c>
      <c r="F146" s="6">
        <v>21</v>
      </c>
      <c r="G146" s="8">
        <f t="shared" si="2"/>
        <v>1604.2124799999999</v>
      </c>
    </row>
    <row r="147" spans="1:7" x14ac:dyDescent="0.3">
      <c r="A147" s="14" t="str">
        <f>VLOOKUP(B147,'Relacion codigos'!$A:$B,2,FALSE)</f>
        <v>2168</v>
      </c>
      <c r="B147" s="6" t="s">
        <v>2382</v>
      </c>
      <c r="C147" s="6" t="s">
        <v>1082</v>
      </c>
      <c r="D147" s="24">
        <v>6838.9491059135999</v>
      </c>
      <c r="E147" s="6" t="s">
        <v>5889</v>
      </c>
      <c r="F147" s="6">
        <v>21</v>
      </c>
      <c r="G147" s="8">
        <f t="shared" si="2"/>
        <v>6838.9491059135999</v>
      </c>
    </row>
    <row r="148" spans="1:7" x14ac:dyDescent="0.3">
      <c r="A148" s="14" t="str">
        <f>VLOOKUP(B148,'Relacion codigos'!$A:$B,2,FALSE)</f>
        <v>8600</v>
      </c>
      <c r="B148" s="6" t="s">
        <v>1422</v>
      </c>
      <c r="C148" s="6" t="s">
        <v>1083</v>
      </c>
      <c r="D148" s="24">
        <v>25.733499999999999</v>
      </c>
      <c r="E148" s="6" t="s">
        <v>5887</v>
      </c>
      <c r="F148" s="6">
        <v>21</v>
      </c>
      <c r="G148" s="8">
        <f t="shared" si="2"/>
        <v>40015.592499999999</v>
      </c>
    </row>
    <row r="149" spans="1:7" x14ac:dyDescent="0.3">
      <c r="A149" s="14" t="e">
        <f>VLOOKUP(B149,'Relacion codigos'!$A:$B,2,FALSE)</f>
        <v>#N/A</v>
      </c>
      <c r="B149" s="6" t="s">
        <v>9622</v>
      </c>
      <c r="C149" s="6" t="s">
        <v>10177</v>
      </c>
      <c r="D149" s="24">
        <v>13749.287554369301</v>
      </c>
      <c r="E149" s="6" t="s">
        <v>5889</v>
      </c>
      <c r="F149" s="6">
        <v>21</v>
      </c>
      <c r="G149" s="8">
        <f t="shared" si="2"/>
        <v>13749.287554369301</v>
      </c>
    </row>
    <row r="150" spans="1:7" x14ac:dyDescent="0.3">
      <c r="A150" s="14" t="e">
        <f>VLOOKUP(B150,'Relacion codigos'!$A:$B,2,FALSE)</f>
        <v>#N/A</v>
      </c>
      <c r="B150" s="6" t="s">
        <v>11639</v>
      </c>
      <c r="C150" s="6" t="s">
        <v>11825</v>
      </c>
      <c r="D150" s="24">
        <v>29.059372654000001</v>
      </c>
      <c r="E150" s="6" t="s">
        <v>5887</v>
      </c>
      <c r="F150" s="6">
        <v>21</v>
      </c>
      <c r="G150" s="8">
        <f t="shared" si="2"/>
        <v>45187.324476970003</v>
      </c>
    </row>
    <row r="151" spans="1:7" x14ac:dyDescent="0.3">
      <c r="A151" s="14" t="e">
        <f>VLOOKUP(B151,'Relacion codigos'!$A:$B,2,FALSE)</f>
        <v>#N/A</v>
      </c>
      <c r="B151" s="6" t="s">
        <v>11826</v>
      </c>
      <c r="C151" s="6" t="s">
        <v>11827</v>
      </c>
      <c r="D151" s="24">
        <v>10.01170824225</v>
      </c>
      <c r="E151" s="6" t="s">
        <v>5887</v>
      </c>
      <c r="F151" s="6">
        <v>10.5</v>
      </c>
      <c r="G151" s="8">
        <f t="shared" si="2"/>
        <v>15568.20631669875</v>
      </c>
    </row>
    <row r="152" spans="1:7" x14ac:dyDescent="0.3">
      <c r="A152" s="14" t="e">
        <f>VLOOKUP(B152,'Relacion codigos'!$A:$B,2,FALSE)</f>
        <v>#N/A</v>
      </c>
      <c r="B152" s="6" t="s">
        <v>11828</v>
      </c>
      <c r="C152" s="6" t="s">
        <v>11829</v>
      </c>
      <c r="D152" s="24">
        <v>10.01170824225</v>
      </c>
      <c r="E152" s="6" t="s">
        <v>5887</v>
      </c>
      <c r="F152" s="6">
        <v>10.5</v>
      </c>
      <c r="G152" s="8">
        <f t="shared" si="2"/>
        <v>15568.20631669875</v>
      </c>
    </row>
    <row r="153" spans="1:7" x14ac:dyDescent="0.3">
      <c r="A153" s="14" t="str">
        <f>VLOOKUP(B153,'Relacion codigos'!$A:$B,2,FALSE)</f>
        <v>1506</v>
      </c>
      <c r="B153" s="6" t="s">
        <v>5658</v>
      </c>
      <c r="C153" s="6" t="s">
        <v>21</v>
      </c>
      <c r="D153" s="24">
        <v>0.65794299999999994</v>
      </c>
      <c r="E153" s="6" t="s">
        <v>5889</v>
      </c>
      <c r="F153" s="6">
        <v>21</v>
      </c>
      <c r="G153" s="8">
        <f t="shared" si="2"/>
        <v>0.65794299999999994</v>
      </c>
    </row>
    <row r="154" spans="1:7" x14ac:dyDescent="0.3">
      <c r="A154" s="14" t="str">
        <f>VLOOKUP(B154,'Relacion codigos'!$A:$B,2,FALSE)</f>
        <v>1497</v>
      </c>
      <c r="B154" s="6" t="s">
        <v>5659</v>
      </c>
      <c r="C154" s="6" t="s">
        <v>22</v>
      </c>
      <c r="D154" s="24">
        <v>1185.64389547119</v>
      </c>
      <c r="E154" s="6" t="s">
        <v>5889</v>
      </c>
      <c r="F154" s="6">
        <v>21</v>
      </c>
      <c r="G154" s="8">
        <f t="shared" si="2"/>
        <v>1185.64389547119</v>
      </c>
    </row>
    <row r="155" spans="1:7" x14ac:dyDescent="0.3">
      <c r="A155" s="14" t="str">
        <f>VLOOKUP(B155,'Relacion codigos'!$A:$B,2,FALSE)</f>
        <v>1498</v>
      </c>
      <c r="B155" s="6" t="s">
        <v>5660</v>
      </c>
      <c r="C155" s="6" t="s">
        <v>23</v>
      </c>
      <c r="D155" s="24">
        <v>1449.64731585083</v>
      </c>
      <c r="E155" s="6" t="s">
        <v>5889</v>
      </c>
      <c r="F155" s="6">
        <v>21</v>
      </c>
      <c r="G155" s="8">
        <f t="shared" si="2"/>
        <v>1449.64731585083</v>
      </c>
    </row>
    <row r="156" spans="1:7" x14ac:dyDescent="0.3">
      <c r="A156" s="14" t="str">
        <f>VLOOKUP(B156,'Relacion codigos'!$A:$B,2,FALSE)</f>
        <v>982</v>
      </c>
      <c r="B156" s="6" t="s">
        <v>5661</v>
      </c>
      <c r="C156" s="6" t="s">
        <v>1199</v>
      </c>
      <c r="D156" s="24">
        <v>2062.011801096</v>
      </c>
      <c r="E156" s="6" t="s">
        <v>5889</v>
      </c>
      <c r="F156" s="6">
        <v>21</v>
      </c>
      <c r="G156" s="8">
        <f t="shared" si="2"/>
        <v>2062.011801096</v>
      </c>
    </row>
    <row r="157" spans="1:7" x14ac:dyDescent="0.3">
      <c r="A157" s="14" t="str">
        <f>VLOOKUP(B157,'Relacion codigos'!$A:$B,2,FALSE)</f>
        <v>8078</v>
      </c>
      <c r="B157" s="6" t="s">
        <v>3947</v>
      </c>
      <c r="C157" s="6" t="s">
        <v>12074</v>
      </c>
      <c r="D157" s="24">
        <v>101212.4984</v>
      </c>
      <c r="E157" s="6" t="s">
        <v>5889</v>
      </c>
      <c r="F157" s="6">
        <v>21</v>
      </c>
      <c r="G157" s="8">
        <f t="shared" si="2"/>
        <v>101212.4984</v>
      </c>
    </row>
    <row r="158" spans="1:7" x14ac:dyDescent="0.3">
      <c r="A158" s="14" t="str">
        <f>VLOOKUP(B158,'Relacion codigos'!$A:$B,2,FALSE)</f>
        <v>8082</v>
      </c>
      <c r="B158" s="6" t="s">
        <v>3950</v>
      </c>
      <c r="C158" s="6" t="s">
        <v>12075</v>
      </c>
      <c r="D158" s="24">
        <v>128853.3376</v>
      </c>
      <c r="E158" s="6" t="s">
        <v>5889</v>
      </c>
      <c r="F158" s="6">
        <v>21</v>
      </c>
      <c r="G158" s="8">
        <f t="shared" si="2"/>
        <v>128853.3376</v>
      </c>
    </row>
    <row r="159" spans="1:7" x14ac:dyDescent="0.3">
      <c r="A159" s="14" t="str">
        <f>VLOOKUP(B159,'Relacion codigos'!$A:$B,2,FALSE)</f>
        <v>8081</v>
      </c>
      <c r="B159" s="6" t="s">
        <v>3951</v>
      </c>
      <c r="C159" s="6" t="s">
        <v>12076</v>
      </c>
      <c r="D159" s="24">
        <v>87152.270399999994</v>
      </c>
      <c r="E159" s="6" t="s">
        <v>5889</v>
      </c>
      <c r="F159" s="6">
        <v>21</v>
      </c>
      <c r="G159" s="8">
        <f t="shared" si="2"/>
        <v>87152.270399999994</v>
      </c>
    </row>
    <row r="160" spans="1:7" x14ac:dyDescent="0.3">
      <c r="A160" s="14" t="str">
        <f>VLOOKUP(B160,'Relacion codigos'!$A:$B,2,FALSE)</f>
        <v>9125</v>
      </c>
      <c r="B160" s="6" t="s">
        <v>3975</v>
      </c>
      <c r="C160" s="6" t="s">
        <v>11680</v>
      </c>
      <c r="D160" s="24">
        <v>34461.190399999999</v>
      </c>
      <c r="E160" s="6" t="s">
        <v>5889</v>
      </c>
      <c r="F160" s="6">
        <v>21</v>
      </c>
      <c r="G160" s="8">
        <f t="shared" si="2"/>
        <v>34461.190399999999</v>
      </c>
    </row>
    <row r="161" spans="1:7" x14ac:dyDescent="0.3">
      <c r="A161" s="14" t="str">
        <f>VLOOKUP(B161,'Relacion codigos'!$A:$B,2,FALSE)</f>
        <v>5035</v>
      </c>
      <c r="B161" s="6" t="s">
        <v>4056</v>
      </c>
      <c r="C161" s="6" t="s">
        <v>11640</v>
      </c>
      <c r="D161" s="24">
        <v>33384</v>
      </c>
      <c r="E161" s="6" t="s">
        <v>5889</v>
      </c>
      <c r="F161" s="6">
        <v>21</v>
      </c>
      <c r="G161" s="8">
        <f t="shared" si="2"/>
        <v>33384</v>
      </c>
    </row>
    <row r="162" spans="1:7" x14ac:dyDescent="0.3">
      <c r="A162" s="14" t="str">
        <f>VLOOKUP(B162,'Relacion codigos'!$A:$B,2,FALSE)</f>
        <v>5130</v>
      </c>
      <c r="B162" s="6" t="s">
        <v>4057</v>
      </c>
      <c r="C162" s="6" t="s">
        <v>11641</v>
      </c>
      <c r="D162" s="24">
        <v>50215.1</v>
      </c>
      <c r="E162" s="6" t="s">
        <v>5889</v>
      </c>
      <c r="F162" s="6">
        <v>21</v>
      </c>
      <c r="G162" s="8">
        <f t="shared" si="2"/>
        <v>50215.1</v>
      </c>
    </row>
    <row r="163" spans="1:7" x14ac:dyDescent="0.3">
      <c r="A163" s="14" t="e">
        <f>VLOOKUP(B163,'Relacion codigos'!$A:$B,2,FALSE)</f>
        <v>#N/A</v>
      </c>
      <c r="B163" s="6" t="s">
        <v>8828</v>
      </c>
      <c r="C163" s="6" t="s">
        <v>8829</v>
      </c>
      <c r="D163" s="24">
        <v>18169.7984</v>
      </c>
      <c r="E163" s="6" t="s">
        <v>5889</v>
      </c>
      <c r="F163" s="6">
        <v>21</v>
      </c>
      <c r="G163" s="8">
        <f t="shared" si="2"/>
        <v>18169.7984</v>
      </c>
    </row>
    <row r="164" spans="1:7" x14ac:dyDescent="0.3">
      <c r="A164" s="14" t="e">
        <f>VLOOKUP(B164,'Relacion codigos'!$A:$B,2,FALSE)</f>
        <v>#N/A</v>
      </c>
      <c r="B164" s="6" t="s">
        <v>8830</v>
      </c>
      <c r="C164" s="6" t="s">
        <v>8831</v>
      </c>
      <c r="D164" s="24">
        <v>8481.7615999999998</v>
      </c>
      <c r="E164" s="6" t="s">
        <v>5889</v>
      </c>
      <c r="F164" s="6">
        <v>21</v>
      </c>
      <c r="G164" s="8">
        <f t="shared" si="2"/>
        <v>8481.7615999999998</v>
      </c>
    </row>
    <row r="165" spans="1:7" x14ac:dyDescent="0.3">
      <c r="A165" s="14" t="str">
        <f>VLOOKUP(B165,'Relacion codigos'!$A:$B,2,FALSE)</f>
        <v>6751</v>
      </c>
      <c r="B165" s="6" t="s">
        <v>4067</v>
      </c>
      <c r="C165" s="6" t="s">
        <v>9303</v>
      </c>
      <c r="D165" s="24">
        <v>54844.258280499998</v>
      </c>
      <c r="E165" s="6" t="s">
        <v>5889</v>
      </c>
      <c r="F165" s="6">
        <v>21</v>
      </c>
      <c r="G165" s="8">
        <f t="shared" si="2"/>
        <v>54844.258280499998</v>
      </c>
    </row>
    <row r="166" spans="1:7" x14ac:dyDescent="0.3">
      <c r="A166" s="14" t="str">
        <f>VLOOKUP(B166,'Relacion codigos'!$A:$B,2,FALSE)</f>
        <v>6752</v>
      </c>
      <c r="B166" s="6" t="s">
        <v>4060</v>
      </c>
      <c r="C166" s="6" t="s">
        <v>24</v>
      </c>
      <c r="D166" s="24">
        <v>76533.798568500002</v>
      </c>
      <c r="E166" s="6" t="s">
        <v>5889</v>
      </c>
      <c r="F166" s="6">
        <v>21</v>
      </c>
      <c r="G166" s="8">
        <f t="shared" si="2"/>
        <v>76533.798568500002</v>
      </c>
    </row>
    <row r="167" spans="1:7" x14ac:dyDescent="0.3">
      <c r="A167" s="14" t="str">
        <f>VLOOKUP(B167,'Relacion codigos'!$A:$B,2,FALSE)</f>
        <v>8070</v>
      </c>
      <c r="B167" s="6" t="s">
        <v>3823</v>
      </c>
      <c r="C167" s="6" t="s">
        <v>11681</v>
      </c>
      <c r="D167" s="24">
        <v>22466.319200000002</v>
      </c>
      <c r="E167" s="6" t="s">
        <v>5889</v>
      </c>
      <c r="F167" s="6">
        <v>21</v>
      </c>
      <c r="G167" s="8">
        <f t="shared" si="2"/>
        <v>22466.319200000002</v>
      </c>
    </row>
    <row r="168" spans="1:7" x14ac:dyDescent="0.3">
      <c r="A168" s="14" t="e">
        <f>VLOOKUP(B168,'Relacion codigos'!$A:$B,2,FALSE)</f>
        <v>#N/A</v>
      </c>
      <c r="B168" s="6" t="s">
        <v>11682</v>
      </c>
      <c r="C168" s="6" t="s">
        <v>11683</v>
      </c>
      <c r="D168" s="24">
        <v>23120.712368</v>
      </c>
      <c r="E168" s="6" t="s">
        <v>5889</v>
      </c>
      <c r="F168" s="6">
        <v>21</v>
      </c>
      <c r="G168" s="8">
        <f t="shared" si="2"/>
        <v>23120.712368</v>
      </c>
    </row>
    <row r="169" spans="1:7" x14ac:dyDescent="0.3">
      <c r="A169" s="14" t="e">
        <f>VLOOKUP(B169,'Relacion codigos'!$A:$B,2,FALSE)</f>
        <v>#N/A</v>
      </c>
      <c r="B169" s="6" t="s">
        <v>11684</v>
      </c>
      <c r="C169" s="6" t="s">
        <v>11685</v>
      </c>
      <c r="D169" s="24">
        <v>23120.712368</v>
      </c>
      <c r="E169" s="6" t="s">
        <v>5889</v>
      </c>
      <c r="F169" s="6">
        <v>21</v>
      </c>
      <c r="G169" s="8">
        <f t="shared" si="2"/>
        <v>23120.712368</v>
      </c>
    </row>
    <row r="170" spans="1:7" x14ac:dyDescent="0.3">
      <c r="A170" s="14" t="str">
        <f>VLOOKUP(B170,'Relacion codigos'!$A:$B,2,FALSE)</f>
        <v>6642</v>
      </c>
      <c r="B170" s="6" t="s">
        <v>3953</v>
      </c>
      <c r="C170" s="6" t="s">
        <v>9160</v>
      </c>
      <c r="D170" s="24">
        <v>3121.404</v>
      </c>
      <c r="E170" s="6" t="s">
        <v>5889</v>
      </c>
      <c r="F170" s="6">
        <v>21</v>
      </c>
      <c r="G170" s="8">
        <f t="shared" si="2"/>
        <v>3121.404</v>
      </c>
    </row>
    <row r="171" spans="1:7" x14ac:dyDescent="0.3">
      <c r="A171" s="14" t="str">
        <f>VLOOKUP(B171,'Relacion codigos'!$A:$B,2,FALSE)</f>
        <v>6641</v>
      </c>
      <c r="B171" s="6" t="s">
        <v>3954</v>
      </c>
      <c r="C171" s="6" t="s">
        <v>9161</v>
      </c>
      <c r="D171" s="24">
        <v>3442.7249999999999</v>
      </c>
      <c r="E171" s="6" t="s">
        <v>5889</v>
      </c>
      <c r="F171" s="6">
        <v>21</v>
      </c>
      <c r="G171" s="8">
        <f t="shared" si="2"/>
        <v>3442.7249999999999</v>
      </c>
    </row>
    <row r="172" spans="1:7" x14ac:dyDescent="0.3">
      <c r="A172" s="14" t="e">
        <f>VLOOKUP(B172,'Relacion codigos'!$A:$B,2,FALSE)</f>
        <v>#N/A</v>
      </c>
      <c r="B172" s="6" t="s">
        <v>13025</v>
      </c>
      <c r="C172" s="6" t="s">
        <v>13780</v>
      </c>
      <c r="D172" s="24">
        <v>11294.92</v>
      </c>
      <c r="E172" s="6" t="s">
        <v>5889</v>
      </c>
      <c r="F172" s="6">
        <v>21</v>
      </c>
      <c r="G172" s="8">
        <f t="shared" si="2"/>
        <v>11294.92</v>
      </c>
    </row>
    <row r="173" spans="1:7" x14ac:dyDescent="0.3">
      <c r="A173" s="14" t="e">
        <f>VLOOKUP(B173,'Relacion codigos'!$A:$B,2,FALSE)</f>
        <v>#N/A</v>
      </c>
      <c r="B173" s="6" t="s">
        <v>11686</v>
      </c>
      <c r="C173" s="6" t="s">
        <v>11687</v>
      </c>
      <c r="D173" s="24">
        <v>11517.48</v>
      </c>
      <c r="E173" s="6" t="s">
        <v>5889</v>
      </c>
      <c r="F173" s="6">
        <v>21</v>
      </c>
      <c r="G173" s="8">
        <f t="shared" si="2"/>
        <v>11517.48</v>
      </c>
    </row>
    <row r="174" spans="1:7" x14ac:dyDescent="0.3">
      <c r="A174" s="14" t="e">
        <f>VLOOKUP(B174,'Relacion codigos'!$A:$B,2,FALSE)</f>
        <v>#N/A</v>
      </c>
      <c r="B174" s="6" t="s">
        <v>10793</v>
      </c>
      <c r="C174" s="6" t="s">
        <v>10794</v>
      </c>
      <c r="D174" s="24">
        <v>11564.67663</v>
      </c>
      <c r="E174" s="6" t="s">
        <v>5889</v>
      </c>
      <c r="F174" s="6">
        <v>21</v>
      </c>
      <c r="G174" s="8">
        <f t="shared" si="2"/>
        <v>11564.67663</v>
      </c>
    </row>
    <row r="175" spans="1:7" x14ac:dyDescent="0.3">
      <c r="A175" s="14" t="str">
        <f>VLOOKUP(B175,'Relacion codigos'!$A:$B,2,FALSE)</f>
        <v>7401</v>
      </c>
      <c r="B175" s="6" t="s">
        <v>4063</v>
      </c>
      <c r="C175" s="6" t="s">
        <v>10045</v>
      </c>
      <c r="D175" s="24">
        <v>5768.7551999999996</v>
      </c>
      <c r="E175" s="6" t="s">
        <v>5889</v>
      </c>
      <c r="F175" s="6">
        <v>21</v>
      </c>
      <c r="G175" s="8">
        <f t="shared" si="2"/>
        <v>5768.7551999999996</v>
      </c>
    </row>
    <row r="176" spans="1:7" x14ac:dyDescent="0.3">
      <c r="A176" s="14" t="str">
        <f>VLOOKUP(B176,'Relacion codigos'!$A:$B,2,FALSE)</f>
        <v>7004</v>
      </c>
      <c r="B176" s="6" t="s">
        <v>3959</v>
      </c>
      <c r="C176" s="6" t="s">
        <v>12634</v>
      </c>
      <c r="D176" s="24">
        <v>18701.994999999999</v>
      </c>
      <c r="E176" s="6" t="s">
        <v>5889</v>
      </c>
      <c r="F176" s="6">
        <v>21</v>
      </c>
      <c r="G176" s="8">
        <f t="shared" si="2"/>
        <v>18701.994999999999</v>
      </c>
    </row>
    <row r="177" spans="1:7" x14ac:dyDescent="0.3">
      <c r="A177" s="14" t="str">
        <f>VLOOKUP(B177,'Relacion codigos'!$A:$B,2,FALSE)</f>
        <v>7087</v>
      </c>
      <c r="B177" s="6" t="s">
        <v>3957</v>
      </c>
      <c r="C177" s="6" t="s">
        <v>11883</v>
      </c>
      <c r="D177" s="24">
        <v>20394.842000000001</v>
      </c>
      <c r="E177" s="6" t="s">
        <v>5889</v>
      </c>
      <c r="F177" s="6">
        <v>21</v>
      </c>
      <c r="G177" s="8">
        <f t="shared" si="2"/>
        <v>20394.842000000001</v>
      </c>
    </row>
    <row r="178" spans="1:7" x14ac:dyDescent="0.3">
      <c r="A178" s="14" t="str">
        <f>VLOOKUP(B178,'Relacion codigos'!$A:$B,2,FALSE)</f>
        <v>7007</v>
      </c>
      <c r="B178" s="6" t="s">
        <v>3958</v>
      </c>
      <c r="C178" s="6" t="s">
        <v>11884</v>
      </c>
      <c r="D178" s="24">
        <v>9389.25</v>
      </c>
      <c r="E178" s="6" t="s">
        <v>5889</v>
      </c>
      <c r="F178" s="6">
        <v>21</v>
      </c>
      <c r="G178" s="8">
        <f t="shared" si="2"/>
        <v>9389.25</v>
      </c>
    </row>
    <row r="179" spans="1:7" x14ac:dyDescent="0.3">
      <c r="A179" s="14" t="str">
        <f>VLOOKUP(B179,'Relacion codigos'!$A:$B,2,FALSE)</f>
        <v>7097</v>
      </c>
      <c r="B179" s="6" t="s">
        <v>3956</v>
      </c>
      <c r="C179" s="6" t="s">
        <v>11885</v>
      </c>
      <c r="D179" s="24">
        <v>13979.55</v>
      </c>
      <c r="E179" s="6" t="s">
        <v>5889</v>
      </c>
      <c r="F179" s="6">
        <v>21</v>
      </c>
      <c r="G179" s="8">
        <f t="shared" si="2"/>
        <v>13979.55</v>
      </c>
    </row>
    <row r="180" spans="1:7" x14ac:dyDescent="0.3">
      <c r="A180" s="14" t="str">
        <f>VLOOKUP(B180,'Relacion codigos'!$A:$B,2,FALSE)</f>
        <v>7099</v>
      </c>
      <c r="B180" s="6" t="s">
        <v>3960</v>
      </c>
      <c r="C180" s="6" t="s">
        <v>11886</v>
      </c>
      <c r="D180" s="24">
        <v>11446.539000000001</v>
      </c>
      <c r="E180" s="6" t="s">
        <v>5889</v>
      </c>
      <c r="F180" s="6">
        <v>21</v>
      </c>
      <c r="G180" s="8">
        <f t="shared" si="2"/>
        <v>11446.539000000001</v>
      </c>
    </row>
    <row r="181" spans="1:7" x14ac:dyDescent="0.3">
      <c r="A181" s="14" t="str">
        <f>VLOOKUP(B181,'Relacion codigos'!$A:$B,2,FALSE)</f>
        <v>7049</v>
      </c>
      <c r="B181" s="6" t="s">
        <v>3955</v>
      </c>
      <c r="C181" s="6" t="s">
        <v>9210</v>
      </c>
      <c r="D181" s="24">
        <v>11044.999001337799</v>
      </c>
      <c r="E181" s="6" t="s">
        <v>5889</v>
      </c>
      <c r="F181" s="6">
        <v>21</v>
      </c>
      <c r="G181" s="8">
        <f t="shared" si="2"/>
        <v>11044.999001337799</v>
      </c>
    </row>
    <row r="182" spans="1:7" x14ac:dyDescent="0.3">
      <c r="A182" s="14" t="e">
        <f>VLOOKUP(B182,'Relacion codigos'!$A:$B,2,FALSE)</f>
        <v>#N/A</v>
      </c>
      <c r="B182" s="6" t="s">
        <v>8845</v>
      </c>
      <c r="C182" s="6" t="s">
        <v>10846</v>
      </c>
      <c r="D182" s="24">
        <v>14964.41973</v>
      </c>
      <c r="E182" s="6" t="s">
        <v>5889</v>
      </c>
      <c r="F182" s="6">
        <v>21</v>
      </c>
      <c r="G182" s="8">
        <f t="shared" si="2"/>
        <v>14964.41973</v>
      </c>
    </row>
    <row r="183" spans="1:7" x14ac:dyDescent="0.3">
      <c r="A183" s="14" t="e">
        <f>VLOOKUP(B183,'Relacion codigos'!$A:$B,2,FALSE)</f>
        <v>#N/A</v>
      </c>
      <c r="B183" s="6" t="s">
        <v>11688</v>
      </c>
      <c r="C183" s="6" t="s">
        <v>11689</v>
      </c>
      <c r="D183" s="24">
        <v>11043.4272</v>
      </c>
      <c r="E183" s="6" t="s">
        <v>5889</v>
      </c>
      <c r="F183" s="6">
        <v>21</v>
      </c>
      <c r="G183" s="8">
        <f t="shared" si="2"/>
        <v>11043.4272</v>
      </c>
    </row>
    <row r="184" spans="1:7" x14ac:dyDescent="0.3">
      <c r="A184" s="14" t="e">
        <f>VLOOKUP(B184,'Relacion codigos'!$A:$B,2,FALSE)</f>
        <v>#N/A</v>
      </c>
      <c r="B184" s="6" t="s">
        <v>11690</v>
      </c>
      <c r="C184" s="6" t="s">
        <v>11691</v>
      </c>
      <c r="D184" s="24">
        <v>9881.6640000000007</v>
      </c>
      <c r="E184" s="6" t="s">
        <v>5889</v>
      </c>
      <c r="F184" s="6">
        <v>21</v>
      </c>
      <c r="G184" s="8">
        <f t="shared" si="2"/>
        <v>9881.6640000000007</v>
      </c>
    </row>
    <row r="185" spans="1:7" x14ac:dyDescent="0.3">
      <c r="A185" s="14" t="e">
        <f>VLOOKUP(B185,'Relacion codigos'!$A:$B,2,FALSE)</f>
        <v>#N/A</v>
      </c>
      <c r="B185" s="6" t="s">
        <v>11692</v>
      </c>
      <c r="C185" s="6" t="s">
        <v>11693</v>
      </c>
      <c r="D185" s="24">
        <v>12751.575199999999</v>
      </c>
      <c r="E185" s="6" t="s">
        <v>5889</v>
      </c>
      <c r="F185" s="6">
        <v>21</v>
      </c>
      <c r="G185" s="8">
        <f t="shared" si="2"/>
        <v>12751.575199999999</v>
      </c>
    </row>
    <row r="186" spans="1:7" x14ac:dyDescent="0.3">
      <c r="A186" s="14" t="str">
        <f>VLOOKUP(B186,'Relacion codigos'!$A:$B,2,FALSE)</f>
        <v>8299</v>
      </c>
      <c r="B186" s="6" t="s">
        <v>4009</v>
      </c>
      <c r="C186" s="6" t="s">
        <v>12991</v>
      </c>
      <c r="D186" s="24">
        <v>18.6971265</v>
      </c>
      <c r="E186" s="6" t="s">
        <v>5887</v>
      </c>
      <c r="F186" s="6">
        <v>21</v>
      </c>
      <c r="G186" s="8">
        <f t="shared" si="2"/>
        <v>29074.031707499998</v>
      </c>
    </row>
    <row r="187" spans="1:7" x14ac:dyDescent="0.3">
      <c r="A187" s="14" t="str">
        <f>VLOOKUP(B187,'Relacion codigos'!$A:$B,2,FALSE)</f>
        <v>7170</v>
      </c>
      <c r="B187" s="6" t="s">
        <v>4021</v>
      </c>
      <c r="C187" s="6" t="s">
        <v>12992</v>
      </c>
      <c r="D187" s="24">
        <v>20.180627999999999</v>
      </c>
      <c r="E187" s="6" t="s">
        <v>5887</v>
      </c>
      <c r="F187" s="6">
        <v>21</v>
      </c>
      <c r="G187" s="8">
        <f t="shared" si="2"/>
        <v>31380.876539999997</v>
      </c>
    </row>
    <row r="188" spans="1:7" x14ac:dyDescent="0.3">
      <c r="A188" s="14" t="str">
        <f>VLOOKUP(B188,'Relacion codigos'!$A:$B,2,FALSE)</f>
        <v>5049</v>
      </c>
      <c r="B188" s="6" t="s">
        <v>4064</v>
      </c>
      <c r="C188" s="6" t="s">
        <v>25</v>
      </c>
      <c r="D188" s="24">
        <v>51606.1</v>
      </c>
      <c r="E188" s="6" t="s">
        <v>5889</v>
      </c>
      <c r="F188" s="6">
        <v>21</v>
      </c>
      <c r="G188" s="8">
        <f t="shared" si="2"/>
        <v>51606.1</v>
      </c>
    </row>
    <row r="189" spans="1:7" x14ac:dyDescent="0.3">
      <c r="A189" s="14" t="str">
        <f>VLOOKUP(B189,'Relacion codigos'!$A:$B,2,FALSE)</f>
        <v>6877</v>
      </c>
      <c r="B189" s="6" t="s">
        <v>3963</v>
      </c>
      <c r="C189" s="6" t="s">
        <v>10204</v>
      </c>
      <c r="D189" s="24">
        <v>52496.466650549999</v>
      </c>
      <c r="E189" s="6" t="s">
        <v>5889</v>
      </c>
      <c r="F189" s="6">
        <v>21</v>
      </c>
      <c r="G189" s="8">
        <f t="shared" si="2"/>
        <v>52496.466650549999</v>
      </c>
    </row>
    <row r="190" spans="1:7" x14ac:dyDescent="0.3">
      <c r="A190" s="14" t="str">
        <f>VLOOKUP(B190,'Relacion codigos'!$A:$B,2,FALSE)</f>
        <v>6863</v>
      </c>
      <c r="B190" s="6" t="s">
        <v>3964</v>
      </c>
      <c r="C190" s="6" t="s">
        <v>10205</v>
      </c>
      <c r="D190" s="24">
        <v>72596.809677600002</v>
      </c>
      <c r="E190" s="6" t="s">
        <v>5889</v>
      </c>
      <c r="F190" s="6">
        <v>21</v>
      </c>
      <c r="G190" s="8">
        <f t="shared" si="2"/>
        <v>72596.809677600002</v>
      </c>
    </row>
    <row r="191" spans="1:7" x14ac:dyDescent="0.3">
      <c r="A191" s="14" t="str">
        <f>VLOOKUP(B191,'Relacion codigos'!$A:$B,2,FALSE)</f>
        <v>6861</v>
      </c>
      <c r="B191" s="6" t="s">
        <v>3965</v>
      </c>
      <c r="C191" s="6" t="s">
        <v>10206</v>
      </c>
      <c r="D191" s="24">
        <v>91248.637428000002</v>
      </c>
      <c r="E191" s="6" t="s">
        <v>5889</v>
      </c>
      <c r="F191" s="6">
        <v>21</v>
      </c>
      <c r="G191" s="8">
        <f t="shared" si="2"/>
        <v>91248.637428000002</v>
      </c>
    </row>
    <row r="192" spans="1:7" x14ac:dyDescent="0.3">
      <c r="A192" s="14" t="str">
        <f>VLOOKUP(B192,'Relacion codigos'!$A:$B,2,FALSE)</f>
        <v>6329</v>
      </c>
      <c r="B192" s="6" t="s">
        <v>3966</v>
      </c>
      <c r="C192" s="6" t="s">
        <v>10627</v>
      </c>
      <c r="D192" s="24">
        <v>27831.314394000001</v>
      </c>
      <c r="E192" s="6" t="s">
        <v>5889</v>
      </c>
      <c r="F192" s="6">
        <v>21</v>
      </c>
      <c r="G192" s="8">
        <f t="shared" si="2"/>
        <v>27831.314394000001</v>
      </c>
    </row>
    <row r="193" spans="1:7" x14ac:dyDescent="0.3">
      <c r="A193" s="14" t="str">
        <f>VLOOKUP(B193,'Relacion codigos'!$A:$B,2,FALSE)</f>
        <v>6637</v>
      </c>
      <c r="B193" s="6" t="s">
        <v>3968</v>
      </c>
      <c r="C193" s="6" t="s">
        <v>10975</v>
      </c>
      <c r="D193" s="24">
        <v>2861.2869999999998</v>
      </c>
      <c r="E193" s="6" t="s">
        <v>5889</v>
      </c>
      <c r="F193" s="6">
        <v>21</v>
      </c>
      <c r="G193" s="8">
        <f t="shared" si="2"/>
        <v>2861.2869999999998</v>
      </c>
    </row>
    <row r="194" spans="1:7" x14ac:dyDescent="0.3">
      <c r="A194" s="14" t="str">
        <f>VLOOKUP(B194,'Relacion codigos'!$A:$B,2,FALSE)</f>
        <v>NUEVO</v>
      </c>
      <c r="B194" s="6" t="s">
        <v>5871</v>
      </c>
      <c r="C194" s="6" t="s">
        <v>10046</v>
      </c>
      <c r="D194" s="24">
        <v>33231.973437000001</v>
      </c>
      <c r="E194" s="6" t="s">
        <v>5889</v>
      </c>
      <c r="F194" s="6">
        <v>21</v>
      </c>
      <c r="G194" s="8">
        <f t="shared" ref="G194:G257" si="3">IF(E194="Dolares",D194*$G$1,D194)</f>
        <v>33231.973437000001</v>
      </c>
    </row>
    <row r="195" spans="1:7" x14ac:dyDescent="0.3">
      <c r="A195" s="14" t="str">
        <f>VLOOKUP(B195,'Relacion codigos'!$A:$B,2,FALSE)</f>
        <v>6636</v>
      </c>
      <c r="B195" s="6" t="s">
        <v>3969</v>
      </c>
      <c r="C195" s="6" t="s">
        <v>9162</v>
      </c>
      <c r="D195" s="24">
        <v>4712.7079999999996</v>
      </c>
      <c r="E195" s="6" t="s">
        <v>5889</v>
      </c>
      <c r="F195" s="6">
        <v>21</v>
      </c>
      <c r="G195" s="8">
        <f t="shared" si="3"/>
        <v>4712.7079999999996</v>
      </c>
    </row>
    <row r="196" spans="1:7" x14ac:dyDescent="0.3">
      <c r="A196" s="14" t="str">
        <f>VLOOKUP(B196,'Relacion codigos'!$A:$B,2,FALSE)</f>
        <v>6258</v>
      </c>
      <c r="B196" s="6" t="s">
        <v>3971</v>
      </c>
      <c r="C196" s="6" t="s">
        <v>11887</v>
      </c>
      <c r="D196" s="24">
        <v>22305.139856999998</v>
      </c>
      <c r="E196" s="6" t="s">
        <v>5889</v>
      </c>
      <c r="F196" s="6">
        <v>21</v>
      </c>
      <c r="G196" s="8">
        <f t="shared" si="3"/>
        <v>22305.139856999998</v>
      </c>
    </row>
    <row r="197" spans="1:7" x14ac:dyDescent="0.3">
      <c r="A197" s="14" t="str">
        <f>VLOOKUP(B197,'Relacion codigos'!$A:$B,2,FALSE)</f>
        <v>6259</v>
      </c>
      <c r="B197" s="6" t="s">
        <v>3972</v>
      </c>
      <c r="C197" s="6" t="s">
        <v>11888</v>
      </c>
      <c r="D197" s="24">
        <v>44610.279713999997</v>
      </c>
      <c r="E197" s="6" t="s">
        <v>5889</v>
      </c>
      <c r="F197" s="6">
        <v>21</v>
      </c>
      <c r="G197" s="8">
        <f t="shared" si="3"/>
        <v>44610.279713999997</v>
      </c>
    </row>
    <row r="198" spans="1:7" x14ac:dyDescent="0.3">
      <c r="A198" s="14" t="str">
        <f>VLOOKUP(B198,'Relacion codigos'!$A:$B,2,FALSE)</f>
        <v>6260</v>
      </c>
      <c r="B198" s="6" t="s">
        <v>3970</v>
      </c>
      <c r="C198" s="6" t="s">
        <v>10207</v>
      </c>
      <c r="D198" s="24">
        <v>50694.401042999998</v>
      </c>
      <c r="E198" s="6" t="s">
        <v>5889</v>
      </c>
      <c r="F198" s="6">
        <v>21</v>
      </c>
      <c r="G198" s="8">
        <f t="shared" si="3"/>
        <v>50694.401042999998</v>
      </c>
    </row>
    <row r="199" spans="1:7" x14ac:dyDescent="0.3">
      <c r="A199" s="14" t="str">
        <f>VLOOKUP(B199,'Relacion codigos'!$A:$B,2,FALSE)</f>
        <v>8451</v>
      </c>
      <c r="B199" s="6" t="s">
        <v>3575</v>
      </c>
      <c r="C199" s="6" t="s">
        <v>10208</v>
      </c>
      <c r="D199" s="24">
        <v>70971.462899999999</v>
      </c>
      <c r="E199" s="6" t="s">
        <v>5889</v>
      </c>
      <c r="F199" s="6">
        <v>21</v>
      </c>
      <c r="G199" s="8">
        <f t="shared" si="3"/>
        <v>70971.462899999999</v>
      </c>
    </row>
    <row r="200" spans="1:7" x14ac:dyDescent="0.3">
      <c r="A200" s="14" t="str">
        <f>VLOOKUP(B200,'Relacion codigos'!$A:$B,2,FALSE)</f>
        <v>6945</v>
      </c>
      <c r="B200" s="6" t="s">
        <v>3973</v>
      </c>
      <c r="C200" s="6" t="s">
        <v>9163</v>
      </c>
      <c r="D200" s="24">
        <v>670.62403995361501</v>
      </c>
      <c r="E200" s="6" t="s">
        <v>5889</v>
      </c>
      <c r="F200" s="6">
        <v>21</v>
      </c>
      <c r="G200" s="8">
        <f t="shared" si="3"/>
        <v>670.62403995361501</v>
      </c>
    </row>
    <row r="201" spans="1:7" x14ac:dyDescent="0.3">
      <c r="A201" s="14" t="str">
        <f>VLOOKUP(B201,'Relacion codigos'!$A:$B,2,FALSE)</f>
        <v>NUEVO</v>
      </c>
      <c r="B201" s="6" t="s">
        <v>5862</v>
      </c>
      <c r="C201" s="6" t="s">
        <v>1215</v>
      </c>
      <c r="D201" s="24">
        <v>1054.31538632203</v>
      </c>
      <c r="E201" s="6" t="s">
        <v>5889</v>
      </c>
      <c r="F201" s="6">
        <v>21</v>
      </c>
      <c r="G201" s="8">
        <f t="shared" si="3"/>
        <v>1054.31538632203</v>
      </c>
    </row>
    <row r="202" spans="1:7" x14ac:dyDescent="0.3">
      <c r="A202" s="14" t="str">
        <f>VLOOKUP(B202,'Relacion codigos'!$A:$B,2,FALSE)</f>
        <v>9003</v>
      </c>
      <c r="B202" s="6" t="s">
        <v>3974</v>
      </c>
      <c r="C202" s="6" t="s">
        <v>9164</v>
      </c>
      <c r="D202" s="24">
        <v>7537.3922259999999</v>
      </c>
      <c r="E202" s="6" t="s">
        <v>5889</v>
      </c>
      <c r="F202" s="6">
        <v>21</v>
      </c>
      <c r="G202" s="8">
        <f t="shared" si="3"/>
        <v>7537.3922259999999</v>
      </c>
    </row>
    <row r="203" spans="1:7" x14ac:dyDescent="0.3">
      <c r="A203" s="14" t="e">
        <f>VLOOKUP(B203,'Relacion codigos'!$A:$B,2,FALSE)</f>
        <v>#N/A</v>
      </c>
      <c r="B203" s="6" t="s">
        <v>10209</v>
      </c>
      <c r="C203" s="6" t="s">
        <v>10210</v>
      </c>
      <c r="D203" s="24">
        <v>13385.3148</v>
      </c>
      <c r="E203" s="6" t="s">
        <v>5889</v>
      </c>
      <c r="F203" s="6">
        <v>21</v>
      </c>
      <c r="G203" s="8">
        <f t="shared" si="3"/>
        <v>13385.3148</v>
      </c>
    </row>
    <row r="204" spans="1:7" x14ac:dyDescent="0.3">
      <c r="A204" s="14" t="e">
        <f>VLOOKUP(B204,'Relacion codigos'!$A:$B,2,FALSE)</f>
        <v>#N/A</v>
      </c>
      <c r="B204" s="6" t="s">
        <v>10211</v>
      </c>
      <c r="C204" s="6" t="s">
        <v>10212</v>
      </c>
      <c r="D204" s="24">
        <v>13385.3148</v>
      </c>
      <c r="E204" s="6" t="s">
        <v>5889</v>
      </c>
      <c r="F204" s="6">
        <v>21</v>
      </c>
      <c r="G204" s="8">
        <f t="shared" si="3"/>
        <v>13385.3148</v>
      </c>
    </row>
    <row r="205" spans="1:7" x14ac:dyDescent="0.3">
      <c r="A205" s="14" t="e">
        <f>VLOOKUP(B205,'Relacion codigos'!$A:$B,2,FALSE)</f>
        <v>#N/A</v>
      </c>
      <c r="B205" s="6" t="s">
        <v>10213</v>
      </c>
      <c r="C205" s="6" t="s">
        <v>10214</v>
      </c>
      <c r="D205" s="24">
        <v>28443.793949999999</v>
      </c>
      <c r="E205" s="6" t="s">
        <v>5889</v>
      </c>
      <c r="F205" s="6">
        <v>21</v>
      </c>
      <c r="G205" s="8">
        <f t="shared" si="3"/>
        <v>28443.793949999999</v>
      </c>
    </row>
    <row r="206" spans="1:7" x14ac:dyDescent="0.3">
      <c r="A206" s="14" t="e">
        <f>VLOOKUP(B206,'Relacion codigos'!$A:$B,2,FALSE)</f>
        <v>#N/A</v>
      </c>
      <c r="B206" s="6" t="s">
        <v>10215</v>
      </c>
      <c r="C206" s="6" t="s">
        <v>10216</v>
      </c>
      <c r="D206" s="24">
        <v>28443.793949999999</v>
      </c>
      <c r="E206" s="6" t="s">
        <v>5889</v>
      </c>
      <c r="F206" s="6">
        <v>21</v>
      </c>
      <c r="G206" s="8">
        <f t="shared" si="3"/>
        <v>28443.793949999999</v>
      </c>
    </row>
    <row r="207" spans="1:7" x14ac:dyDescent="0.3">
      <c r="A207" s="14" t="e">
        <f>VLOOKUP(B207,'Relacion codigos'!$A:$B,2,FALSE)</f>
        <v>#N/A</v>
      </c>
      <c r="B207" s="6" t="s">
        <v>10217</v>
      </c>
      <c r="C207" s="6" t="s">
        <v>10218</v>
      </c>
      <c r="D207" s="24">
        <v>37903.247719999999</v>
      </c>
      <c r="E207" s="6" t="s">
        <v>5889</v>
      </c>
      <c r="F207" s="6">
        <v>21</v>
      </c>
      <c r="G207" s="8">
        <f t="shared" si="3"/>
        <v>37903.247719999999</v>
      </c>
    </row>
    <row r="208" spans="1:7" x14ac:dyDescent="0.3">
      <c r="A208" s="14" t="e">
        <f>VLOOKUP(B208,'Relacion codigos'!$A:$B,2,FALSE)</f>
        <v>#N/A</v>
      </c>
      <c r="B208" s="6" t="s">
        <v>10219</v>
      </c>
      <c r="C208" s="6" t="s">
        <v>10220</v>
      </c>
      <c r="D208" s="24">
        <v>37903.247719999999</v>
      </c>
      <c r="E208" s="6" t="s">
        <v>5889</v>
      </c>
      <c r="F208" s="6">
        <v>21</v>
      </c>
      <c r="G208" s="8">
        <f t="shared" si="3"/>
        <v>37903.247719999999</v>
      </c>
    </row>
    <row r="209" spans="1:7" x14ac:dyDescent="0.3">
      <c r="A209" s="14" t="str">
        <f>VLOOKUP(B209,'Relacion codigos'!$A:$B,2,FALSE)</f>
        <v>6576</v>
      </c>
      <c r="B209" s="6" t="s">
        <v>3977</v>
      </c>
      <c r="C209" s="6" t="s">
        <v>9970</v>
      </c>
      <c r="D209" s="24">
        <v>60369.4</v>
      </c>
      <c r="E209" s="6" t="s">
        <v>5889</v>
      </c>
      <c r="F209" s="6">
        <v>21</v>
      </c>
      <c r="G209" s="8">
        <f t="shared" si="3"/>
        <v>60369.4</v>
      </c>
    </row>
    <row r="210" spans="1:7" x14ac:dyDescent="0.3">
      <c r="A210" s="14" t="str">
        <f>VLOOKUP(B210,'Relacion codigos'!$A:$B,2,FALSE)</f>
        <v>3578</v>
      </c>
      <c r="B210" s="6" t="s">
        <v>4078</v>
      </c>
      <c r="C210" s="6" t="s">
        <v>10628</v>
      </c>
      <c r="D210" s="24">
        <v>4770.8646584039998</v>
      </c>
      <c r="E210" s="6" t="s">
        <v>5889</v>
      </c>
      <c r="F210" s="6">
        <v>21</v>
      </c>
      <c r="G210" s="8">
        <f t="shared" si="3"/>
        <v>4770.8646584039998</v>
      </c>
    </row>
    <row r="211" spans="1:7" x14ac:dyDescent="0.3">
      <c r="A211" s="14" t="str">
        <f>VLOOKUP(B211,'Relacion codigos'!$A:$B,2,FALSE)</f>
        <v>3581</v>
      </c>
      <c r="B211" s="6" t="s">
        <v>4079</v>
      </c>
      <c r="C211" s="6" t="s">
        <v>1167</v>
      </c>
      <c r="D211" s="24">
        <v>4544.3969999999999</v>
      </c>
      <c r="E211" s="6" t="s">
        <v>5889</v>
      </c>
      <c r="F211" s="6">
        <v>21</v>
      </c>
      <c r="G211" s="8">
        <f t="shared" si="3"/>
        <v>4544.3969999999999</v>
      </c>
    </row>
    <row r="212" spans="1:7" x14ac:dyDescent="0.3">
      <c r="A212" s="14" t="str">
        <f>VLOOKUP(B212,'Relacion codigos'!$A:$B,2,FALSE)</f>
        <v>3579</v>
      </c>
      <c r="B212" s="6" t="s">
        <v>4081</v>
      </c>
      <c r="C212" s="6" t="s">
        <v>10629</v>
      </c>
      <c r="D212" s="24">
        <v>11406.2</v>
      </c>
      <c r="E212" s="6" t="s">
        <v>5889</v>
      </c>
      <c r="F212" s="6">
        <v>21</v>
      </c>
      <c r="G212" s="8">
        <f t="shared" si="3"/>
        <v>11406.2</v>
      </c>
    </row>
    <row r="213" spans="1:7" x14ac:dyDescent="0.3">
      <c r="A213" s="14" t="str">
        <f>VLOOKUP(B213,'Relacion codigos'!$A:$B,2,FALSE)</f>
        <v>3580</v>
      </c>
      <c r="B213" s="6" t="s">
        <v>4082</v>
      </c>
      <c r="C213" s="6" t="s">
        <v>10630</v>
      </c>
      <c r="D213" s="24">
        <v>11406.2</v>
      </c>
      <c r="E213" s="6" t="s">
        <v>5889</v>
      </c>
      <c r="F213" s="6">
        <v>21</v>
      </c>
      <c r="G213" s="8">
        <f t="shared" si="3"/>
        <v>11406.2</v>
      </c>
    </row>
    <row r="214" spans="1:7" x14ac:dyDescent="0.3">
      <c r="A214" s="14" t="e">
        <f>VLOOKUP(B214,'Relacion codigos'!$A:$B,2,FALSE)</f>
        <v>#N/A</v>
      </c>
      <c r="B214" s="6" t="s">
        <v>13027</v>
      </c>
      <c r="C214" s="6" t="s">
        <v>13028</v>
      </c>
      <c r="D214" s="24">
        <v>9194.51</v>
      </c>
      <c r="E214" s="6" t="s">
        <v>5889</v>
      </c>
      <c r="F214" s="6">
        <v>21</v>
      </c>
      <c r="G214" s="8">
        <f t="shared" si="3"/>
        <v>9194.51</v>
      </c>
    </row>
    <row r="215" spans="1:7" x14ac:dyDescent="0.3">
      <c r="A215" s="14" t="str">
        <f>VLOOKUP(B215,'Relacion codigos'!$A:$B,2,FALSE)</f>
        <v>7050</v>
      </c>
      <c r="B215" s="6" t="s">
        <v>3978</v>
      </c>
      <c r="C215" s="6" t="s">
        <v>11642</v>
      </c>
      <c r="D215" s="24">
        <v>8587.3492162639996</v>
      </c>
      <c r="E215" s="6" t="s">
        <v>5889</v>
      </c>
      <c r="F215" s="6">
        <v>21</v>
      </c>
      <c r="G215" s="8">
        <f t="shared" si="3"/>
        <v>8587.3492162639996</v>
      </c>
    </row>
    <row r="216" spans="1:7" x14ac:dyDescent="0.3">
      <c r="A216" s="14" t="str">
        <f>VLOOKUP(B216,'Relacion codigos'!$A:$B,2,FALSE)</f>
        <v>NUEVO</v>
      </c>
      <c r="B216" s="6" t="s">
        <v>5853</v>
      </c>
      <c r="C216" s="6" t="s">
        <v>11323</v>
      </c>
      <c r="D216" s="24">
        <v>13630.409</v>
      </c>
      <c r="E216" s="6" t="s">
        <v>5889</v>
      </c>
      <c r="F216" s="6">
        <v>21</v>
      </c>
      <c r="G216" s="8">
        <f t="shared" si="3"/>
        <v>13630.409</v>
      </c>
    </row>
    <row r="217" spans="1:7" x14ac:dyDescent="0.3">
      <c r="A217" s="14" t="e">
        <f>VLOOKUP(B217,'Relacion codigos'!$A:$B,2,FALSE)</f>
        <v>#N/A</v>
      </c>
      <c r="B217" s="6" t="s">
        <v>9546</v>
      </c>
      <c r="C217" s="6" t="s">
        <v>10631</v>
      </c>
      <c r="D217" s="24">
        <v>17879.914000000001</v>
      </c>
      <c r="E217" s="6" t="s">
        <v>5889</v>
      </c>
      <c r="F217" s="6">
        <v>21</v>
      </c>
      <c r="G217" s="8">
        <f t="shared" si="3"/>
        <v>17879.914000000001</v>
      </c>
    </row>
    <row r="218" spans="1:7" x14ac:dyDescent="0.3">
      <c r="A218" s="14" t="str">
        <f>VLOOKUP(B218,'Relacion codigos'!$A:$B,2,FALSE)</f>
        <v>196</v>
      </c>
      <c r="B218" s="6" t="s">
        <v>4084</v>
      </c>
      <c r="C218" s="6" t="s">
        <v>26</v>
      </c>
      <c r="D218" s="24">
        <v>10843.832609999999</v>
      </c>
      <c r="E218" s="6" t="s">
        <v>5889</v>
      </c>
      <c r="F218" s="6">
        <v>21</v>
      </c>
      <c r="G218" s="8">
        <f t="shared" si="3"/>
        <v>10843.832609999999</v>
      </c>
    </row>
    <row r="219" spans="1:7" x14ac:dyDescent="0.3">
      <c r="A219" s="14" t="str">
        <f>VLOOKUP(B219,'Relacion codigos'!$A:$B,2,FALSE)</f>
        <v>2812</v>
      </c>
      <c r="B219" s="6" t="s">
        <v>4083</v>
      </c>
      <c r="C219" s="6" t="s">
        <v>8774</v>
      </c>
      <c r="D219" s="24">
        <v>18121.948</v>
      </c>
      <c r="E219" s="6" t="s">
        <v>5889</v>
      </c>
      <c r="F219" s="6">
        <v>21</v>
      </c>
      <c r="G219" s="8">
        <f t="shared" si="3"/>
        <v>18121.948</v>
      </c>
    </row>
    <row r="220" spans="1:7" x14ac:dyDescent="0.3">
      <c r="A220" s="14" t="str">
        <f>VLOOKUP(B220,'Relacion codigos'!$A:$B,2,FALSE)</f>
        <v>5542</v>
      </c>
      <c r="B220" s="6" t="s">
        <v>4086</v>
      </c>
      <c r="C220" s="6" t="s">
        <v>10221</v>
      </c>
      <c r="D220" s="24">
        <v>10362.006533385</v>
      </c>
      <c r="E220" s="6" t="s">
        <v>5889</v>
      </c>
      <c r="F220" s="6">
        <v>21</v>
      </c>
      <c r="G220" s="8">
        <f t="shared" si="3"/>
        <v>10362.006533385</v>
      </c>
    </row>
    <row r="221" spans="1:7" x14ac:dyDescent="0.3">
      <c r="A221" s="14" t="str">
        <f>VLOOKUP(B221,'Relacion codigos'!$A:$B,2,FALSE)</f>
        <v>8968</v>
      </c>
      <c r="B221" s="6" t="s">
        <v>4090</v>
      </c>
      <c r="C221" s="6" t="s">
        <v>11695</v>
      </c>
      <c r="D221" s="24">
        <v>85097.618736000004</v>
      </c>
      <c r="E221" s="6" t="s">
        <v>5889</v>
      </c>
      <c r="F221" s="6">
        <v>21</v>
      </c>
      <c r="G221" s="8">
        <f t="shared" si="3"/>
        <v>85097.618736000004</v>
      </c>
    </row>
    <row r="222" spans="1:7" x14ac:dyDescent="0.3">
      <c r="A222" s="14" t="str">
        <f>VLOOKUP(B222,'Relacion codigos'!$A:$B,2,FALSE)</f>
        <v>6255</v>
      </c>
      <c r="B222" s="6" t="s">
        <v>3980</v>
      </c>
      <c r="C222" s="6" t="s">
        <v>10222</v>
      </c>
      <c r="D222" s="24">
        <v>50694.401042999998</v>
      </c>
      <c r="E222" s="6" t="s">
        <v>5889</v>
      </c>
      <c r="F222" s="6">
        <v>21</v>
      </c>
      <c r="G222" s="8">
        <f t="shared" si="3"/>
        <v>50694.401042999998</v>
      </c>
    </row>
    <row r="223" spans="1:7" x14ac:dyDescent="0.3">
      <c r="A223" s="14" t="str">
        <f>VLOOKUP(B223,'Relacion codigos'!$A:$B,2,FALSE)</f>
        <v>8940</v>
      </c>
      <c r="B223" s="6" t="s">
        <v>3982</v>
      </c>
      <c r="C223" s="6" t="s">
        <v>9165</v>
      </c>
      <c r="D223" s="24">
        <v>17060.615000000002</v>
      </c>
      <c r="E223" s="6" t="s">
        <v>5889</v>
      </c>
      <c r="F223" s="6">
        <v>21</v>
      </c>
      <c r="G223" s="8">
        <f t="shared" si="3"/>
        <v>17060.615000000002</v>
      </c>
    </row>
    <row r="224" spans="1:7" x14ac:dyDescent="0.3">
      <c r="A224" s="14" t="str">
        <f>VLOOKUP(B224,'Relacion codigos'!$A:$B,2,FALSE)</f>
        <v>9042</v>
      </c>
      <c r="B224" s="6" t="s">
        <v>3983</v>
      </c>
      <c r="C224" s="6" t="s">
        <v>9166</v>
      </c>
      <c r="D224" s="24">
        <v>12852.84</v>
      </c>
      <c r="E224" s="6" t="s">
        <v>5889</v>
      </c>
      <c r="F224" s="6">
        <v>21</v>
      </c>
      <c r="G224" s="8">
        <f t="shared" si="3"/>
        <v>12852.84</v>
      </c>
    </row>
    <row r="225" spans="1:7" x14ac:dyDescent="0.3">
      <c r="A225" s="14" t="str">
        <f>VLOOKUP(B225,'Relacion codigos'!$A:$B,2,FALSE)</f>
        <v>NUEVO</v>
      </c>
      <c r="B225" s="6" t="s">
        <v>8751</v>
      </c>
      <c r="C225" s="6" t="s">
        <v>9167</v>
      </c>
      <c r="D225" s="24">
        <v>12852.84</v>
      </c>
      <c r="E225" s="6" t="s">
        <v>5889</v>
      </c>
      <c r="F225" s="6">
        <v>21</v>
      </c>
      <c r="G225" s="8">
        <f t="shared" si="3"/>
        <v>12852.84</v>
      </c>
    </row>
    <row r="226" spans="1:7" x14ac:dyDescent="0.3">
      <c r="A226" s="14" t="str">
        <f>VLOOKUP(B226,'Relacion codigos'!$A:$B,2,FALSE)</f>
        <v>7173</v>
      </c>
      <c r="B226" s="6" t="s">
        <v>3984</v>
      </c>
      <c r="C226" s="6" t="s">
        <v>9168</v>
      </c>
      <c r="D226" s="24">
        <v>31426.863000000001</v>
      </c>
      <c r="E226" s="6" t="s">
        <v>5889</v>
      </c>
      <c r="F226" s="6">
        <v>21</v>
      </c>
      <c r="G226" s="8">
        <f t="shared" si="3"/>
        <v>31426.863000000001</v>
      </c>
    </row>
    <row r="227" spans="1:7" x14ac:dyDescent="0.3">
      <c r="A227" s="14" t="str">
        <f>VLOOKUP(B227,'Relacion codigos'!$A:$B,2,FALSE)</f>
        <v>7174</v>
      </c>
      <c r="B227" s="6" t="s">
        <v>3985</v>
      </c>
      <c r="C227" s="6" t="s">
        <v>9169</v>
      </c>
      <c r="D227" s="24">
        <v>33101.627</v>
      </c>
      <c r="E227" s="6" t="s">
        <v>5889</v>
      </c>
      <c r="F227" s="6">
        <v>21</v>
      </c>
      <c r="G227" s="8">
        <f t="shared" si="3"/>
        <v>33101.627</v>
      </c>
    </row>
    <row r="228" spans="1:7" x14ac:dyDescent="0.3">
      <c r="A228" s="14" t="str">
        <f>VLOOKUP(B228,'Relacion codigos'!$A:$B,2,FALSE)</f>
        <v>7436</v>
      </c>
      <c r="B228" s="6" t="s">
        <v>4088</v>
      </c>
      <c r="C228" s="6" t="s">
        <v>10576</v>
      </c>
      <c r="D228" s="24">
        <v>21318.466</v>
      </c>
      <c r="E228" s="6" t="s">
        <v>5889</v>
      </c>
      <c r="F228" s="6">
        <v>21</v>
      </c>
      <c r="G228" s="8">
        <f t="shared" si="3"/>
        <v>21318.466</v>
      </c>
    </row>
    <row r="229" spans="1:7" x14ac:dyDescent="0.3">
      <c r="A229" s="14" t="str">
        <f>VLOOKUP(B229,'Relacion codigos'!$A:$B,2,FALSE)</f>
        <v>7437</v>
      </c>
      <c r="B229" s="6" t="s">
        <v>3933</v>
      </c>
      <c r="C229" s="6" t="s">
        <v>10577</v>
      </c>
      <c r="D229" s="24">
        <v>24313.289000000001</v>
      </c>
      <c r="E229" s="6" t="s">
        <v>5889</v>
      </c>
      <c r="F229" s="6">
        <v>21</v>
      </c>
      <c r="G229" s="8">
        <f t="shared" si="3"/>
        <v>24313.289000000001</v>
      </c>
    </row>
    <row r="230" spans="1:7" x14ac:dyDescent="0.3">
      <c r="A230" s="14" t="str">
        <f>VLOOKUP(B230,'Relacion codigos'!$A:$B,2,FALSE)</f>
        <v>8762</v>
      </c>
      <c r="B230" s="6" t="s">
        <v>3934</v>
      </c>
      <c r="C230" s="6" t="s">
        <v>9992</v>
      </c>
      <c r="D230" s="24">
        <v>24313.289000000001</v>
      </c>
      <c r="E230" s="6" t="s">
        <v>5889</v>
      </c>
      <c r="F230" s="6">
        <v>21</v>
      </c>
      <c r="G230" s="8">
        <f t="shared" si="3"/>
        <v>24313.289000000001</v>
      </c>
    </row>
    <row r="231" spans="1:7" x14ac:dyDescent="0.3">
      <c r="A231" s="14" t="str">
        <f>VLOOKUP(B231,'Relacion codigos'!$A:$B,2,FALSE)</f>
        <v>8941</v>
      </c>
      <c r="B231" s="6" t="s">
        <v>3986</v>
      </c>
      <c r="C231" s="6" t="s">
        <v>9170</v>
      </c>
      <c r="D231" s="24">
        <v>21318.466</v>
      </c>
      <c r="E231" s="6" t="s">
        <v>5889</v>
      </c>
      <c r="F231" s="6">
        <v>21</v>
      </c>
      <c r="G231" s="8">
        <f t="shared" si="3"/>
        <v>21318.466</v>
      </c>
    </row>
    <row r="232" spans="1:7" x14ac:dyDescent="0.3">
      <c r="A232" s="14" t="str">
        <f>VLOOKUP(B232,'Relacion codigos'!$A:$B,2,FALSE)</f>
        <v>7175</v>
      </c>
      <c r="B232" s="6" t="s">
        <v>3987</v>
      </c>
      <c r="C232" s="6" t="s">
        <v>9171</v>
      </c>
      <c r="D232" s="24">
        <v>48477.741000000002</v>
      </c>
      <c r="E232" s="6" t="s">
        <v>5889</v>
      </c>
      <c r="F232" s="6">
        <v>21</v>
      </c>
      <c r="G232" s="8">
        <f t="shared" si="3"/>
        <v>48477.741000000002</v>
      </c>
    </row>
    <row r="233" spans="1:7" x14ac:dyDescent="0.3">
      <c r="A233" s="14" t="str">
        <f>VLOOKUP(B233,'Relacion codigos'!$A:$B,2,FALSE)</f>
        <v>7176</v>
      </c>
      <c r="B233" s="6" t="s">
        <v>3988</v>
      </c>
      <c r="C233" s="6" t="s">
        <v>9172</v>
      </c>
      <c r="D233" s="24">
        <v>32397.780999999999</v>
      </c>
      <c r="E233" s="6" t="s">
        <v>5889</v>
      </c>
      <c r="F233" s="6">
        <v>21</v>
      </c>
      <c r="G233" s="8">
        <f t="shared" si="3"/>
        <v>32397.780999999999</v>
      </c>
    </row>
    <row r="234" spans="1:7" x14ac:dyDescent="0.3">
      <c r="A234" s="14" t="str">
        <f>VLOOKUP(B234,'Relacion codigos'!$A:$B,2,FALSE)</f>
        <v>7177</v>
      </c>
      <c r="B234" s="6" t="s">
        <v>3989</v>
      </c>
      <c r="C234" s="6" t="s">
        <v>9173</v>
      </c>
      <c r="D234" s="24">
        <v>32397.780999999999</v>
      </c>
      <c r="E234" s="6" t="s">
        <v>5889</v>
      </c>
      <c r="F234" s="6">
        <v>21</v>
      </c>
      <c r="G234" s="8">
        <f t="shared" si="3"/>
        <v>32397.780999999999</v>
      </c>
    </row>
    <row r="235" spans="1:7" x14ac:dyDescent="0.3">
      <c r="A235" s="14" t="str">
        <f>VLOOKUP(B235,'Relacion codigos'!$A:$B,2,FALSE)</f>
        <v>7178</v>
      </c>
      <c r="B235" s="6" t="s">
        <v>3990</v>
      </c>
      <c r="C235" s="6" t="s">
        <v>9174</v>
      </c>
      <c r="D235" s="24">
        <v>63724.491999999998</v>
      </c>
      <c r="E235" s="6" t="s">
        <v>5889</v>
      </c>
      <c r="F235" s="6">
        <v>21</v>
      </c>
      <c r="G235" s="8">
        <f t="shared" si="3"/>
        <v>63724.491999999998</v>
      </c>
    </row>
    <row r="236" spans="1:7" x14ac:dyDescent="0.3">
      <c r="A236" s="14" t="str">
        <f>VLOOKUP(B236,'Relacion codigos'!$A:$B,2,FALSE)</f>
        <v>9043</v>
      </c>
      <c r="B236" s="6" t="s">
        <v>3991</v>
      </c>
      <c r="C236" s="6" t="s">
        <v>9175</v>
      </c>
      <c r="D236" s="24">
        <v>43595.330999999998</v>
      </c>
      <c r="E236" s="6" t="s">
        <v>5889</v>
      </c>
      <c r="F236" s="6">
        <v>21</v>
      </c>
      <c r="G236" s="8">
        <f t="shared" si="3"/>
        <v>43595.330999999998</v>
      </c>
    </row>
    <row r="237" spans="1:7" x14ac:dyDescent="0.3">
      <c r="A237" s="14" t="str">
        <f>VLOOKUP(B237,'Relacion codigos'!$A:$B,2,FALSE)</f>
        <v>7179</v>
      </c>
      <c r="B237" s="6" t="s">
        <v>3992</v>
      </c>
      <c r="C237" s="6" t="s">
        <v>9176</v>
      </c>
      <c r="D237" s="24">
        <v>43595.330999999998</v>
      </c>
      <c r="E237" s="6" t="s">
        <v>5889</v>
      </c>
      <c r="F237" s="6">
        <v>21</v>
      </c>
      <c r="G237" s="8">
        <f t="shared" si="3"/>
        <v>43595.330999999998</v>
      </c>
    </row>
    <row r="238" spans="1:7" x14ac:dyDescent="0.3">
      <c r="A238" s="14" t="e">
        <f>VLOOKUP(B238,'Relacion codigos'!$A:$B,2,FALSE)</f>
        <v>#N/A</v>
      </c>
      <c r="B238" s="6" t="s">
        <v>9568</v>
      </c>
      <c r="C238" s="6" t="s">
        <v>9993</v>
      </c>
      <c r="D238" s="24">
        <v>52869.127999999997</v>
      </c>
      <c r="E238" s="6" t="s">
        <v>5889</v>
      </c>
      <c r="F238" s="6">
        <v>21</v>
      </c>
      <c r="G238" s="8">
        <f t="shared" si="3"/>
        <v>52869.127999999997</v>
      </c>
    </row>
    <row r="239" spans="1:7" x14ac:dyDescent="0.3">
      <c r="A239" s="14" t="e">
        <f>VLOOKUP(B239,'Relacion codigos'!$A:$B,2,FALSE)</f>
        <v>#N/A</v>
      </c>
      <c r="B239" s="6" t="s">
        <v>9569</v>
      </c>
      <c r="C239" s="6" t="s">
        <v>9994</v>
      </c>
      <c r="D239" s="24">
        <v>34943.311000000002</v>
      </c>
      <c r="E239" s="6" t="s">
        <v>5889</v>
      </c>
      <c r="F239" s="6">
        <v>21</v>
      </c>
      <c r="G239" s="8">
        <f t="shared" si="3"/>
        <v>34943.311000000002</v>
      </c>
    </row>
    <row r="240" spans="1:7" x14ac:dyDescent="0.3">
      <c r="A240" s="14" t="e">
        <f>VLOOKUP(B240,'Relacion codigos'!$A:$B,2,FALSE)</f>
        <v>#N/A</v>
      </c>
      <c r="B240" s="6" t="s">
        <v>9570</v>
      </c>
      <c r="C240" s="6" t="s">
        <v>9995</v>
      </c>
      <c r="D240" s="24">
        <v>34943.311000000002</v>
      </c>
      <c r="E240" s="6" t="s">
        <v>5889</v>
      </c>
      <c r="F240" s="6">
        <v>21</v>
      </c>
      <c r="G240" s="8">
        <f t="shared" si="3"/>
        <v>34943.311000000002</v>
      </c>
    </row>
    <row r="241" spans="1:7" x14ac:dyDescent="0.3">
      <c r="A241" s="14" t="e">
        <f>VLOOKUP(B241,'Relacion codigos'!$A:$B,2,FALSE)</f>
        <v>#N/A</v>
      </c>
      <c r="B241" s="6" t="s">
        <v>13029</v>
      </c>
      <c r="C241" s="6" t="s">
        <v>13030</v>
      </c>
      <c r="D241" s="24">
        <v>67199.933319999996</v>
      </c>
      <c r="E241" s="6" t="s">
        <v>5889</v>
      </c>
      <c r="F241" s="6">
        <v>21</v>
      </c>
      <c r="G241" s="8">
        <f t="shared" si="3"/>
        <v>67199.933319999996</v>
      </c>
    </row>
    <row r="242" spans="1:7" x14ac:dyDescent="0.3">
      <c r="A242" s="14" t="e">
        <f>VLOOKUP(B242,'Relacion codigos'!$A:$B,2,FALSE)</f>
        <v>#N/A</v>
      </c>
      <c r="B242" s="6" t="s">
        <v>13031</v>
      </c>
      <c r="C242" s="6" t="s">
        <v>13032</v>
      </c>
      <c r="D242" s="24">
        <v>49426.472549999999</v>
      </c>
      <c r="E242" s="6" t="s">
        <v>5889</v>
      </c>
      <c r="F242" s="6">
        <v>21</v>
      </c>
      <c r="G242" s="8">
        <f t="shared" si="3"/>
        <v>49426.472549999999</v>
      </c>
    </row>
    <row r="243" spans="1:7" x14ac:dyDescent="0.3">
      <c r="A243" s="14" t="e">
        <f>VLOOKUP(B243,'Relacion codigos'!$A:$B,2,FALSE)</f>
        <v>#N/A</v>
      </c>
      <c r="B243" s="6" t="s">
        <v>13033</v>
      </c>
      <c r="C243" s="6" t="s">
        <v>13034</v>
      </c>
      <c r="D243" s="24">
        <v>49426.472549999999</v>
      </c>
      <c r="E243" s="6" t="s">
        <v>5889</v>
      </c>
      <c r="F243" s="6">
        <v>21</v>
      </c>
      <c r="G243" s="8">
        <f t="shared" si="3"/>
        <v>49426.472549999999</v>
      </c>
    </row>
    <row r="244" spans="1:7" x14ac:dyDescent="0.3">
      <c r="A244" s="14" t="str">
        <f>VLOOKUP(B244,'Relacion codigos'!$A:$B,2,FALSE)</f>
        <v>6083</v>
      </c>
      <c r="B244" s="6" t="s">
        <v>3994</v>
      </c>
      <c r="C244" s="6" t="s">
        <v>10632</v>
      </c>
      <c r="D244" s="24">
        <v>43207.976448000001</v>
      </c>
      <c r="E244" s="6" t="s">
        <v>5889</v>
      </c>
      <c r="F244" s="6">
        <v>21</v>
      </c>
      <c r="G244" s="8">
        <f t="shared" si="3"/>
        <v>43207.976448000001</v>
      </c>
    </row>
    <row r="245" spans="1:7" x14ac:dyDescent="0.3">
      <c r="A245" s="14" t="e">
        <f>VLOOKUP(B245,'Relacion codigos'!$A:$B,2,FALSE)</f>
        <v>#N/A</v>
      </c>
      <c r="B245" s="6" t="s">
        <v>9677</v>
      </c>
      <c r="C245" s="6" t="s">
        <v>11696</v>
      </c>
      <c r="D245" s="24">
        <v>21661.764800000001</v>
      </c>
      <c r="E245" s="6" t="s">
        <v>5889</v>
      </c>
      <c r="F245" s="6">
        <v>21</v>
      </c>
      <c r="G245" s="8">
        <f t="shared" si="3"/>
        <v>21661.764800000001</v>
      </c>
    </row>
    <row r="246" spans="1:7" x14ac:dyDescent="0.3">
      <c r="A246" s="14" t="e">
        <f>VLOOKUP(B246,'Relacion codigos'!$A:$B,2,FALSE)</f>
        <v>#N/A</v>
      </c>
      <c r="B246" s="6" t="s">
        <v>12951</v>
      </c>
      <c r="C246" s="6" t="s">
        <v>12952</v>
      </c>
      <c r="D246" s="24">
        <v>21093.012719999999</v>
      </c>
      <c r="E246" s="6" t="s">
        <v>5889</v>
      </c>
      <c r="F246" s="6">
        <v>21</v>
      </c>
      <c r="G246" s="8">
        <f t="shared" si="3"/>
        <v>21093.012719999999</v>
      </c>
    </row>
    <row r="247" spans="1:7" x14ac:dyDescent="0.3">
      <c r="A247" s="14" t="e">
        <f>VLOOKUP(B247,'Relacion codigos'!$A:$B,2,FALSE)</f>
        <v>#N/A</v>
      </c>
      <c r="B247" s="6" t="s">
        <v>12953</v>
      </c>
      <c r="C247" s="6" t="s">
        <v>12954</v>
      </c>
      <c r="D247" s="24">
        <v>17693.85384</v>
      </c>
      <c r="E247" s="6" t="s">
        <v>5889</v>
      </c>
      <c r="F247" s="6">
        <v>21</v>
      </c>
      <c r="G247" s="8">
        <f t="shared" si="3"/>
        <v>17693.85384</v>
      </c>
    </row>
    <row r="248" spans="1:7" x14ac:dyDescent="0.3">
      <c r="A248" s="14" t="e">
        <f>VLOOKUP(B248,'Relacion codigos'!$A:$B,2,FALSE)</f>
        <v>#N/A</v>
      </c>
      <c r="B248" s="6" t="s">
        <v>12955</v>
      </c>
      <c r="C248" s="6" t="s">
        <v>12956</v>
      </c>
      <c r="D248" s="24">
        <v>17693.85384</v>
      </c>
      <c r="E248" s="6" t="s">
        <v>5889</v>
      </c>
      <c r="F248" s="6">
        <v>21</v>
      </c>
      <c r="G248" s="8">
        <f t="shared" si="3"/>
        <v>17693.85384</v>
      </c>
    </row>
    <row r="249" spans="1:7" x14ac:dyDescent="0.3">
      <c r="A249" s="14" t="str">
        <f>VLOOKUP(B249,'Relacion codigos'!$A:$B,2,FALSE)</f>
        <v>5608</v>
      </c>
      <c r="B249" s="6" t="s">
        <v>3997</v>
      </c>
      <c r="C249" s="6" t="s">
        <v>10787</v>
      </c>
      <c r="D249" s="24">
        <v>2251.1119665579999</v>
      </c>
      <c r="E249" s="6" t="s">
        <v>5889</v>
      </c>
      <c r="F249" s="6">
        <v>21</v>
      </c>
      <c r="G249" s="8">
        <f t="shared" si="3"/>
        <v>2251.1119665579999</v>
      </c>
    </row>
    <row r="250" spans="1:7" x14ac:dyDescent="0.3">
      <c r="A250" s="14" t="str">
        <f>VLOOKUP(B250,'Relacion codigos'!$A:$B,2,FALSE)</f>
        <v>6910</v>
      </c>
      <c r="B250" s="6" t="s">
        <v>4001</v>
      </c>
      <c r="C250" s="6" t="s">
        <v>10795</v>
      </c>
      <c r="D250" s="24">
        <v>56057.3</v>
      </c>
      <c r="E250" s="6" t="s">
        <v>5889</v>
      </c>
      <c r="F250" s="6">
        <v>21</v>
      </c>
      <c r="G250" s="8">
        <f t="shared" si="3"/>
        <v>56057.3</v>
      </c>
    </row>
    <row r="251" spans="1:7" x14ac:dyDescent="0.3">
      <c r="A251" s="14" t="str">
        <f>VLOOKUP(B251,'Relacion codigos'!$A:$B,2,FALSE)</f>
        <v>8300</v>
      </c>
      <c r="B251" s="6" t="s">
        <v>3998</v>
      </c>
      <c r="C251" s="6" t="s">
        <v>10633</v>
      </c>
      <c r="D251" s="24">
        <v>23307.573744000001</v>
      </c>
      <c r="E251" s="6" t="s">
        <v>5889</v>
      </c>
      <c r="F251" s="6">
        <v>21</v>
      </c>
      <c r="G251" s="8">
        <f t="shared" si="3"/>
        <v>23307.573744000001</v>
      </c>
    </row>
    <row r="252" spans="1:7" x14ac:dyDescent="0.3">
      <c r="A252" s="14" t="str">
        <f>VLOOKUP(B252,'Relacion codigos'!$A:$B,2,FALSE)</f>
        <v>8301</v>
      </c>
      <c r="B252" s="6" t="s">
        <v>4002</v>
      </c>
      <c r="C252" s="6" t="s">
        <v>10634</v>
      </c>
      <c r="D252" s="24">
        <v>34961.698628999999</v>
      </c>
      <c r="E252" s="6" t="s">
        <v>5889</v>
      </c>
      <c r="F252" s="6">
        <v>21</v>
      </c>
      <c r="G252" s="8">
        <f t="shared" si="3"/>
        <v>34961.698628999999</v>
      </c>
    </row>
    <row r="253" spans="1:7" x14ac:dyDescent="0.3">
      <c r="A253" s="14" t="str">
        <f>VLOOKUP(B253,'Relacion codigos'!$A:$B,2,FALSE)</f>
        <v>NUEVO</v>
      </c>
      <c r="B253" s="6" t="s">
        <v>5856</v>
      </c>
      <c r="C253" s="6" t="s">
        <v>10788</v>
      </c>
      <c r="D253" s="24">
        <v>5131.9049066999996</v>
      </c>
      <c r="E253" s="6" t="s">
        <v>5889</v>
      </c>
      <c r="F253" s="6">
        <v>21</v>
      </c>
      <c r="G253" s="8">
        <f t="shared" si="3"/>
        <v>5131.9049066999996</v>
      </c>
    </row>
    <row r="254" spans="1:7" x14ac:dyDescent="0.3">
      <c r="A254" s="14" t="str">
        <f>VLOOKUP(B254,'Relacion codigos'!$A:$B,2,FALSE)</f>
        <v>NUEVO</v>
      </c>
      <c r="B254" s="6" t="s">
        <v>3345</v>
      </c>
      <c r="C254" s="6" t="s">
        <v>10635</v>
      </c>
      <c r="D254" s="24">
        <v>61163.972890019999</v>
      </c>
      <c r="E254" s="6" t="s">
        <v>5889</v>
      </c>
      <c r="F254" s="6">
        <v>21</v>
      </c>
      <c r="G254" s="8">
        <f t="shared" si="3"/>
        <v>61163.972890019999</v>
      </c>
    </row>
    <row r="255" spans="1:7" x14ac:dyDescent="0.3">
      <c r="A255" s="14" t="str">
        <f>VLOOKUP(B255,'Relacion codigos'!$A:$B,2,FALSE)</f>
        <v>6331</v>
      </c>
      <c r="B255" s="6" t="s">
        <v>4003</v>
      </c>
      <c r="C255" s="6" t="s">
        <v>10137</v>
      </c>
      <c r="D255" s="24">
        <v>47794.136831999997</v>
      </c>
      <c r="E255" s="6" t="s">
        <v>5889</v>
      </c>
      <c r="F255" s="6">
        <v>21</v>
      </c>
      <c r="G255" s="8">
        <f t="shared" si="3"/>
        <v>47794.136831999997</v>
      </c>
    </row>
    <row r="256" spans="1:7" x14ac:dyDescent="0.3">
      <c r="A256" s="14" t="str">
        <f>VLOOKUP(B256,'Relacion codigos'!$A:$B,2,FALSE)</f>
        <v>6325</v>
      </c>
      <c r="B256" s="6" t="s">
        <v>4004</v>
      </c>
      <c r="C256" s="6" t="s">
        <v>10138</v>
      </c>
      <c r="D256" s="24">
        <v>8443.7219723804992</v>
      </c>
      <c r="E256" s="6" t="s">
        <v>5889</v>
      </c>
      <c r="F256" s="6">
        <v>21</v>
      </c>
      <c r="G256" s="8">
        <f t="shared" si="3"/>
        <v>8443.7219723804992</v>
      </c>
    </row>
    <row r="257" spans="1:7" x14ac:dyDescent="0.3">
      <c r="A257" s="14" t="e">
        <f>VLOOKUP(B257,'Relacion codigos'!$A:$B,2,FALSE)</f>
        <v>#N/A</v>
      </c>
      <c r="B257" s="6" t="s">
        <v>11545</v>
      </c>
      <c r="C257" s="6" t="s">
        <v>11546</v>
      </c>
      <c r="D257" s="24">
        <v>15479.048000000001</v>
      </c>
      <c r="E257" s="6" t="s">
        <v>5889</v>
      </c>
      <c r="F257" s="6">
        <v>21</v>
      </c>
      <c r="G257" s="8">
        <f t="shared" si="3"/>
        <v>15479.048000000001</v>
      </c>
    </row>
    <row r="258" spans="1:7" x14ac:dyDescent="0.3">
      <c r="A258" s="14" t="str">
        <f>VLOOKUP(B258,'Relacion codigos'!$A:$B,2,FALSE)</f>
        <v>8452</v>
      </c>
      <c r="B258" s="6" t="s">
        <v>3576</v>
      </c>
      <c r="C258" s="6" t="s">
        <v>10139</v>
      </c>
      <c r="D258" s="24">
        <v>79082.084835000001</v>
      </c>
      <c r="E258" s="6" t="s">
        <v>5889</v>
      </c>
      <c r="F258" s="6">
        <v>21</v>
      </c>
      <c r="G258" s="8">
        <f t="shared" ref="G258:G321" si="4">IF(E258="Dolares",D258*$G$1,D258)</f>
        <v>79082.084835000001</v>
      </c>
    </row>
    <row r="259" spans="1:7" x14ac:dyDescent="0.3">
      <c r="A259" s="14" t="str">
        <f>VLOOKUP(B259,'Relacion codigos'!$A:$B,2,FALSE)</f>
        <v>NUEVO</v>
      </c>
      <c r="B259" s="6" t="s">
        <v>5873</v>
      </c>
      <c r="C259" s="6" t="s">
        <v>10047</v>
      </c>
      <c r="D259" s="24">
        <v>37031.126885999998</v>
      </c>
      <c r="E259" s="6" t="s">
        <v>5889</v>
      </c>
      <c r="F259" s="6">
        <v>21</v>
      </c>
      <c r="G259" s="8">
        <f t="shared" si="4"/>
        <v>37031.126885999998</v>
      </c>
    </row>
    <row r="260" spans="1:7" x14ac:dyDescent="0.3">
      <c r="A260" s="14" t="e">
        <f>VLOOKUP(B260,'Relacion codigos'!$A:$B,2,FALSE)</f>
        <v>#N/A</v>
      </c>
      <c r="B260" s="6" t="s">
        <v>11547</v>
      </c>
      <c r="C260" s="6" t="s">
        <v>11548</v>
      </c>
      <c r="D260" s="24">
        <v>28162.186000000002</v>
      </c>
      <c r="E260" s="6" t="s">
        <v>5889</v>
      </c>
      <c r="F260" s="6">
        <v>21</v>
      </c>
      <c r="G260" s="8">
        <f t="shared" si="4"/>
        <v>28162.186000000002</v>
      </c>
    </row>
    <row r="261" spans="1:7" x14ac:dyDescent="0.3">
      <c r="A261" s="14" t="str">
        <f>VLOOKUP(B261,'Relacion codigos'!$A:$B,2,FALSE)</f>
        <v>6740</v>
      </c>
      <c r="B261" s="6" t="s">
        <v>4010</v>
      </c>
      <c r="C261" s="6" t="s">
        <v>10796</v>
      </c>
      <c r="D261" s="24">
        <v>9517.5864419999998</v>
      </c>
      <c r="E261" s="6" t="s">
        <v>5889</v>
      </c>
      <c r="F261" s="6">
        <v>21</v>
      </c>
      <c r="G261" s="8">
        <f t="shared" si="4"/>
        <v>9517.5864419999998</v>
      </c>
    </row>
    <row r="262" spans="1:7" x14ac:dyDescent="0.3">
      <c r="A262" s="14" t="str">
        <f>VLOOKUP(B262,'Relacion codigos'!$A:$B,2,FALSE)</f>
        <v>6741</v>
      </c>
      <c r="B262" s="6" t="s">
        <v>4011</v>
      </c>
      <c r="C262" s="6" t="s">
        <v>10797</v>
      </c>
      <c r="D262" s="24">
        <v>9517.5864419999998</v>
      </c>
      <c r="E262" s="6" t="s">
        <v>5889</v>
      </c>
      <c r="F262" s="6">
        <v>21</v>
      </c>
      <c r="G262" s="8">
        <f t="shared" si="4"/>
        <v>9517.5864419999998</v>
      </c>
    </row>
    <row r="263" spans="1:7" x14ac:dyDescent="0.3">
      <c r="A263" s="14" t="str">
        <f>VLOOKUP(B263,'Relacion codigos'!$A:$B,2,FALSE)</f>
        <v>6257</v>
      </c>
      <c r="B263" s="6" t="s">
        <v>4012</v>
      </c>
      <c r="C263" s="6" t="s">
        <v>10140</v>
      </c>
      <c r="D263" s="24">
        <v>84706.987335750004</v>
      </c>
      <c r="E263" s="6" t="s">
        <v>5889</v>
      </c>
      <c r="F263" s="6">
        <v>21</v>
      </c>
      <c r="G263" s="8">
        <f t="shared" si="4"/>
        <v>84706.987335750004</v>
      </c>
    </row>
    <row r="264" spans="1:7" x14ac:dyDescent="0.3">
      <c r="A264" s="14" t="str">
        <f>VLOOKUP(B264,'Relacion codigos'!$A:$B,2,FALSE)</f>
        <v>6250</v>
      </c>
      <c r="B264" s="6" t="s">
        <v>4018</v>
      </c>
      <c r="C264" s="6" t="s">
        <v>10141</v>
      </c>
      <c r="D264" s="24">
        <v>74888.808227999994</v>
      </c>
      <c r="E264" s="6" t="s">
        <v>5889</v>
      </c>
      <c r="F264" s="6">
        <v>21</v>
      </c>
      <c r="G264" s="8">
        <f t="shared" si="4"/>
        <v>74888.808227999994</v>
      </c>
    </row>
    <row r="265" spans="1:7" x14ac:dyDescent="0.3">
      <c r="A265" s="14" t="str">
        <f>VLOOKUP(B265,'Relacion codigos'!$A:$B,2,FALSE)</f>
        <v>6333</v>
      </c>
      <c r="B265" s="6" t="s">
        <v>4019</v>
      </c>
      <c r="C265" s="6" t="s">
        <v>10142</v>
      </c>
      <c r="D265" s="24">
        <v>26221.020462</v>
      </c>
      <c r="E265" s="6" t="s">
        <v>5889</v>
      </c>
      <c r="F265" s="6">
        <v>21</v>
      </c>
      <c r="G265" s="8">
        <f t="shared" si="4"/>
        <v>26221.020462</v>
      </c>
    </row>
    <row r="266" spans="1:7" x14ac:dyDescent="0.3">
      <c r="A266" s="14" t="str">
        <f>VLOOKUP(B266,'Relacion codigos'!$A:$B,2,FALSE)</f>
        <v>8453</v>
      </c>
      <c r="B266" s="6" t="s">
        <v>3577</v>
      </c>
      <c r="C266" s="6" t="s">
        <v>10143</v>
      </c>
      <c r="D266" s="24">
        <v>34492.423913999999</v>
      </c>
      <c r="E266" s="6" t="s">
        <v>5889</v>
      </c>
      <c r="F266" s="6">
        <v>21</v>
      </c>
      <c r="G266" s="8">
        <f t="shared" si="4"/>
        <v>34492.423913999999</v>
      </c>
    </row>
    <row r="267" spans="1:7" x14ac:dyDescent="0.3">
      <c r="A267" s="14" t="str">
        <f>VLOOKUP(B267,'Relacion codigos'!$A:$B,2,FALSE)</f>
        <v>9002</v>
      </c>
      <c r="B267" s="6" t="s">
        <v>4022</v>
      </c>
      <c r="C267" s="6" t="s">
        <v>9177</v>
      </c>
      <c r="D267" s="24">
        <v>8695.5110060000006</v>
      </c>
      <c r="E267" s="6" t="s">
        <v>5889</v>
      </c>
      <c r="F267" s="6">
        <v>21</v>
      </c>
      <c r="G267" s="8">
        <f t="shared" si="4"/>
        <v>8695.5110060000006</v>
      </c>
    </row>
    <row r="268" spans="1:7" x14ac:dyDescent="0.3">
      <c r="A268" s="14" t="str">
        <f>VLOOKUP(B268,'Relacion codigos'!$A:$B,2,FALSE)</f>
        <v>8185</v>
      </c>
      <c r="B268" s="6" t="s">
        <v>4023</v>
      </c>
      <c r="C268" s="6" t="s">
        <v>10144</v>
      </c>
      <c r="D268" s="24">
        <v>11311.06084407</v>
      </c>
      <c r="E268" s="6" t="s">
        <v>5889</v>
      </c>
      <c r="F268" s="6">
        <v>21</v>
      </c>
      <c r="G268" s="8">
        <f t="shared" si="4"/>
        <v>11311.06084407</v>
      </c>
    </row>
    <row r="269" spans="1:7" x14ac:dyDescent="0.3">
      <c r="A269" s="14" t="e">
        <f>VLOOKUP(B269,'Relacion codigos'!$A:$B,2,FALSE)</f>
        <v>#N/A</v>
      </c>
      <c r="B269" s="6" t="s">
        <v>13257</v>
      </c>
      <c r="C269" s="6" t="s">
        <v>13258</v>
      </c>
      <c r="D269" s="24">
        <v>13144.95</v>
      </c>
      <c r="E269" s="6" t="s">
        <v>5889</v>
      </c>
      <c r="F269" s="6">
        <v>21</v>
      </c>
      <c r="G269" s="8">
        <f t="shared" si="4"/>
        <v>13144.95</v>
      </c>
    </row>
    <row r="270" spans="1:7" x14ac:dyDescent="0.3">
      <c r="A270" s="14" t="str">
        <f>VLOOKUP(B270,'Relacion codigos'!$A:$B,2,FALSE)</f>
        <v>5041</v>
      </c>
      <c r="B270" s="6" t="s">
        <v>4095</v>
      </c>
      <c r="C270" s="6" t="s">
        <v>12179</v>
      </c>
      <c r="D270" s="24">
        <v>26.428999999999998</v>
      </c>
      <c r="E270" s="6" t="s">
        <v>5887</v>
      </c>
      <c r="F270" s="6">
        <v>21</v>
      </c>
      <c r="G270" s="8">
        <f t="shared" si="4"/>
        <v>41097.095000000001</v>
      </c>
    </row>
    <row r="271" spans="1:7" x14ac:dyDescent="0.3">
      <c r="A271" s="14" t="e">
        <f>VLOOKUP(B271,'Relacion codigos'!$A:$B,2,FALSE)</f>
        <v>#N/A</v>
      </c>
      <c r="B271" s="6" t="s">
        <v>11064</v>
      </c>
      <c r="C271" s="6" t="s">
        <v>11065</v>
      </c>
      <c r="D271" s="24">
        <v>30209.1816</v>
      </c>
      <c r="E271" s="6" t="s">
        <v>5889</v>
      </c>
      <c r="F271" s="6">
        <v>21</v>
      </c>
      <c r="G271" s="8">
        <f t="shared" si="4"/>
        <v>30209.1816</v>
      </c>
    </row>
    <row r="272" spans="1:7" x14ac:dyDescent="0.3">
      <c r="A272" s="14" t="e">
        <f>VLOOKUP(B272,'Relacion codigos'!$A:$B,2,FALSE)</f>
        <v>#N/A</v>
      </c>
      <c r="B272" s="6" t="s">
        <v>9676</v>
      </c>
      <c r="C272" s="6" t="s">
        <v>11697</v>
      </c>
      <c r="D272" s="24">
        <v>30558.6008</v>
      </c>
      <c r="E272" s="6" t="s">
        <v>5889</v>
      </c>
      <c r="F272" s="6">
        <v>21</v>
      </c>
      <c r="G272" s="8">
        <f t="shared" si="4"/>
        <v>30558.6008</v>
      </c>
    </row>
    <row r="273" spans="1:7" x14ac:dyDescent="0.3">
      <c r="A273" s="14" t="e">
        <f>VLOOKUP(B273,'Relacion codigos'!$A:$B,2,FALSE)</f>
        <v>#N/A</v>
      </c>
      <c r="B273" s="6" t="s">
        <v>9750</v>
      </c>
      <c r="C273" s="6" t="s">
        <v>11698</v>
      </c>
      <c r="D273" s="24">
        <v>30558.6008</v>
      </c>
      <c r="E273" s="6" t="s">
        <v>5889</v>
      </c>
      <c r="F273" s="6">
        <v>21</v>
      </c>
      <c r="G273" s="8">
        <f t="shared" si="4"/>
        <v>30558.6008</v>
      </c>
    </row>
    <row r="274" spans="1:7" x14ac:dyDescent="0.3">
      <c r="A274" s="14" t="str">
        <f>VLOOKUP(B274,'Relacion codigos'!$A:$B,2,FALSE)</f>
        <v>6253</v>
      </c>
      <c r="B274" s="6" t="s">
        <v>4014</v>
      </c>
      <c r="C274" s="6" t="s">
        <v>10145</v>
      </c>
      <c r="D274" s="24">
        <v>24333.217857</v>
      </c>
      <c r="E274" s="6" t="s">
        <v>5889</v>
      </c>
      <c r="F274" s="6">
        <v>21</v>
      </c>
      <c r="G274" s="8">
        <f t="shared" si="4"/>
        <v>24333.217857</v>
      </c>
    </row>
    <row r="275" spans="1:7" x14ac:dyDescent="0.3">
      <c r="A275" s="14" t="str">
        <f>VLOOKUP(B275,'Relacion codigos'!$A:$B,2,FALSE)</f>
        <v>6251</v>
      </c>
      <c r="B275" s="6" t="s">
        <v>4015</v>
      </c>
      <c r="C275" s="6" t="s">
        <v>10146</v>
      </c>
      <c r="D275" s="24">
        <v>48666.323042999997</v>
      </c>
      <c r="E275" s="6" t="s">
        <v>5889</v>
      </c>
      <c r="F275" s="6">
        <v>21</v>
      </c>
      <c r="G275" s="8">
        <f t="shared" si="4"/>
        <v>48666.323042999997</v>
      </c>
    </row>
    <row r="276" spans="1:7" x14ac:dyDescent="0.3">
      <c r="A276" s="14" t="str">
        <f>VLOOKUP(B276,'Relacion codigos'!$A:$B,2,FALSE)</f>
        <v>8255</v>
      </c>
      <c r="B276" s="6" t="s">
        <v>4097</v>
      </c>
      <c r="C276" s="6" t="s">
        <v>11699</v>
      </c>
      <c r="D276" s="24">
        <v>30209.1816</v>
      </c>
      <c r="E276" s="6" t="s">
        <v>5889</v>
      </c>
      <c r="F276" s="6">
        <v>21</v>
      </c>
      <c r="G276" s="8">
        <f t="shared" si="4"/>
        <v>30209.1816</v>
      </c>
    </row>
    <row r="277" spans="1:7" x14ac:dyDescent="0.3">
      <c r="A277" s="14" t="str">
        <f>VLOOKUP(B277,'Relacion codigos'!$A:$B,2,FALSE)</f>
        <v>8279</v>
      </c>
      <c r="B277" s="6" t="s">
        <v>4098</v>
      </c>
      <c r="C277" s="6" t="s">
        <v>11700</v>
      </c>
      <c r="D277" s="24">
        <v>30209.1816</v>
      </c>
      <c r="E277" s="6" t="s">
        <v>5889</v>
      </c>
      <c r="F277" s="6">
        <v>21</v>
      </c>
      <c r="G277" s="8">
        <f t="shared" si="4"/>
        <v>30209.1816</v>
      </c>
    </row>
    <row r="278" spans="1:7" x14ac:dyDescent="0.3">
      <c r="A278" s="14" t="e">
        <f>VLOOKUP(B278,'Relacion codigos'!$A:$B,2,FALSE)</f>
        <v>#N/A</v>
      </c>
      <c r="B278" s="6" t="s">
        <v>10798</v>
      </c>
      <c r="C278" s="6" t="s">
        <v>10799</v>
      </c>
      <c r="D278" s="24">
        <v>15586.47493</v>
      </c>
      <c r="E278" s="6" t="s">
        <v>5889</v>
      </c>
      <c r="F278" s="6">
        <v>21</v>
      </c>
      <c r="G278" s="8">
        <f t="shared" si="4"/>
        <v>15586.47493</v>
      </c>
    </row>
    <row r="279" spans="1:7" x14ac:dyDescent="0.3">
      <c r="A279" s="14" t="str">
        <f>VLOOKUP(B279,'Relacion codigos'!$A:$B,2,FALSE)</f>
        <v>5115</v>
      </c>
      <c r="B279" s="6" t="s">
        <v>4099</v>
      </c>
      <c r="C279" s="6" t="s">
        <v>27</v>
      </c>
      <c r="D279" s="24">
        <v>19183.62875</v>
      </c>
      <c r="E279" s="6" t="s">
        <v>5889</v>
      </c>
      <c r="F279" s="6">
        <v>21</v>
      </c>
      <c r="G279" s="8">
        <f t="shared" si="4"/>
        <v>19183.62875</v>
      </c>
    </row>
    <row r="280" spans="1:7" x14ac:dyDescent="0.3">
      <c r="A280" s="14" t="str">
        <f>VLOOKUP(B280,'Relacion codigos'!$A:$B,2,FALSE)</f>
        <v>8105</v>
      </c>
      <c r="B280" s="6" t="s">
        <v>3946</v>
      </c>
      <c r="C280" s="6" t="s">
        <v>11701</v>
      </c>
      <c r="D280" s="24">
        <v>42285.153663999998</v>
      </c>
      <c r="E280" s="6" t="s">
        <v>5889</v>
      </c>
      <c r="F280" s="6">
        <v>21</v>
      </c>
      <c r="G280" s="8">
        <f t="shared" si="4"/>
        <v>42285.153663999998</v>
      </c>
    </row>
    <row r="281" spans="1:7" x14ac:dyDescent="0.3">
      <c r="A281" s="14" t="str">
        <f>VLOOKUP(B281,'Relacion codigos'!$A:$B,2,FALSE)</f>
        <v>8107</v>
      </c>
      <c r="B281" s="6" t="s">
        <v>3949</v>
      </c>
      <c r="C281" s="6" t="s">
        <v>11702</v>
      </c>
      <c r="D281" s="24">
        <v>62312.3488</v>
      </c>
      <c r="E281" s="6" t="s">
        <v>5889</v>
      </c>
      <c r="F281" s="6">
        <v>21</v>
      </c>
      <c r="G281" s="8">
        <f t="shared" si="4"/>
        <v>62312.3488</v>
      </c>
    </row>
    <row r="282" spans="1:7" x14ac:dyDescent="0.3">
      <c r="A282" s="14" t="str">
        <f>VLOOKUP(B282,'Relacion codigos'!$A:$B,2,FALSE)</f>
        <v>5543</v>
      </c>
      <c r="B282" s="6" t="s">
        <v>4027</v>
      </c>
      <c r="C282" s="6" t="s">
        <v>10147</v>
      </c>
      <c r="D282" s="24">
        <v>12813.594541605</v>
      </c>
      <c r="E282" s="6" t="s">
        <v>5889</v>
      </c>
      <c r="F282" s="6">
        <v>21</v>
      </c>
      <c r="G282" s="8">
        <f t="shared" si="4"/>
        <v>12813.594541605</v>
      </c>
    </row>
    <row r="283" spans="1:7" x14ac:dyDescent="0.3">
      <c r="A283" s="14" t="str">
        <f>VLOOKUP(B283,'Relacion codigos'!$A:$B,2,FALSE)</f>
        <v>3862</v>
      </c>
      <c r="B283" s="6" t="s">
        <v>4101</v>
      </c>
      <c r="C283" s="6" t="s">
        <v>28</v>
      </c>
      <c r="D283" s="24">
        <v>2877.7566138749899</v>
      </c>
      <c r="E283" s="6" t="s">
        <v>5889</v>
      </c>
      <c r="F283" s="6">
        <v>21</v>
      </c>
      <c r="G283" s="8">
        <f t="shared" si="4"/>
        <v>2877.7566138749899</v>
      </c>
    </row>
    <row r="284" spans="1:7" x14ac:dyDescent="0.3">
      <c r="A284" s="14" t="str">
        <f>VLOOKUP(B284,'Relacion codigos'!$A:$B,2,FALSE)</f>
        <v>9004</v>
      </c>
      <c r="B284" s="6" t="s">
        <v>4028</v>
      </c>
      <c r="C284" s="6" t="s">
        <v>9178</v>
      </c>
      <c r="D284" s="24">
        <v>6284.1040080000002</v>
      </c>
      <c r="E284" s="6" t="s">
        <v>5889</v>
      </c>
      <c r="F284" s="6">
        <v>21</v>
      </c>
      <c r="G284" s="8">
        <f t="shared" si="4"/>
        <v>6284.1040080000002</v>
      </c>
    </row>
    <row r="285" spans="1:7" x14ac:dyDescent="0.3">
      <c r="A285" s="14" t="str">
        <f>VLOOKUP(B285,'Relacion codigos'!$A:$B,2,FALSE)</f>
        <v>6335</v>
      </c>
      <c r="B285" s="6" t="s">
        <v>4030</v>
      </c>
      <c r="C285" s="6" t="s">
        <v>10148</v>
      </c>
      <c r="D285" s="24">
        <v>26269.807004999999</v>
      </c>
      <c r="E285" s="6" t="s">
        <v>5889</v>
      </c>
      <c r="F285" s="6">
        <v>21</v>
      </c>
      <c r="G285" s="8">
        <f t="shared" si="4"/>
        <v>26269.807004999999</v>
      </c>
    </row>
    <row r="286" spans="1:7" x14ac:dyDescent="0.3">
      <c r="A286" s="14" t="str">
        <f>VLOOKUP(B286,'Relacion codigos'!$A:$B,2,FALSE)</f>
        <v>5537</v>
      </c>
      <c r="B286" s="6" t="s">
        <v>4116</v>
      </c>
      <c r="C286" s="6" t="s">
        <v>10149</v>
      </c>
      <c r="D286" s="24">
        <v>8308.0625955795003</v>
      </c>
      <c r="E286" s="6" t="s">
        <v>5889</v>
      </c>
      <c r="F286" s="6">
        <v>21</v>
      </c>
      <c r="G286" s="8">
        <f t="shared" si="4"/>
        <v>8308.0625955795003</v>
      </c>
    </row>
    <row r="287" spans="1:7" x14ac:dyDescent="0.3">
      <c r="A287" s="14" t="str">
        <f>VLOOKUP(B287,'Relacion codigos'!$A:$B,2,FALSE)</f>
        <v>5346</v>
      </c>
      <c r="B287" s="6" t="s">
        <v>4118</v>
      </c>
      <c r="C287" s="6" t="s">
        <v>10150</v>
      </c>
      <c r="D287" s="24">
        <v>22814.300105999999</v>
      </c>
      <c r="E287" s="6" t="s">
        <v>5889</v>
      </c>
      <c r="F287" s="6">
        <v>21</v>
      </c>
      <c r="G287" s="8">
        <f t="shared" si="4"/>
        <v>22814.300105999999</v>
      </c>
    </row>
    <row r="288" spans="1:7" x14ac:dyDescent="0.3">
      <c r="A288" s="14" t="str">
        <f>VLOOKUP(B288,'Relacion codigos'!$A:$B,2,FALSE)</f>
        <v>5538</v>
      </c>
      <c r="B288" s="6" t="s">
        <v>4119</v>
      </c>
      <c r="C288" s="6" t="s">
        <v>10151</v>
      </c>
      <c r="D288" s="24">
        <v>29522.731446000002</v>
      </c>
      <c r="E288" s="6" t="s">
        <v>5889</v>
      </c>
      <c r="F288" s="6">
        <v>21</v>
      </c>
      <c r="G288" s="8">
        <f t="shared" si="4"/>
        <v>29522.731446000002</v>
      </c>
    </row>
    <row r="289" spans="1:7" x14ac:dyDescent="0.3">
      <c r="A289" s="14" t="str">
        <f>VLOOKUP(B289,'Relacion codigos'!$A:$B,2,FALSE)</f>
        <v>5536</v>
      </c>
      <c r="B289" s="6" t="s">
        <v>4120</v>
      </c>
      <c r="C289" s="6" t="s">
        <v>10152</v>
      </c>
      <c r="D289" s="24">
        <v>13986.346419044999</v>
      </c>
      <c r="E289" s="6" t="s">
        <v>5889</v>
      </c>
      <c r="F289" s="6">
        <v>21</v>
      </c>
      <c r="G289" s="8">
        <f t="shared" si="4"/>
        <v>13986.346419044999</v>
      </c>
    </row>
    <row r="290" spans="1:7" x14ac:dyDescent="0.3">
      <c r="A290" s="14" t="str">
        <f>VLOOKUP(B290,'Relacion codigos'!$A:$B,2,FALSE)</f>
        <v>6136</v>
      </c>
      <c r="B290" s="6" t="s">
        <v>4036</v>
      </c>
      <c r="C290" s="6" t="s">
        <v>10153</v>
      </c>
      <c r="D290" s="24">
        <v>30415.664470965199</v>
      </c>
      <c r="E290" s="6" t="s">
        <v>5889</v>
      </c>
      <c r="F290" s="6">
        <v>21</v>
      </c>
      <c r="G290" s="8">
        <f t="shared" si="4"/>
        <v>30415.664470965199</v>
      </c>
    </row>
    <row r="291" spans="1:7" x14ac:dyDescent="0.3">
      <c r="A291" s="14" t="str">
        <f>VLOOKUP(B291,'Relacion codigos'!$A:$B,2,FALSE)</f>
        <v>6860</v>
      </c>
      <c r="B291" s="6" t="s">
        <v>4038</v>
      </c>
      <c r="C291" s="6" t="s">
        <v>10154</v>
      </c>
      <c r="D291" s="24">
        <v>85080.576203999997</v>
      </c>
      <c r="E291" s="6" t="s">
        <v>5889</v>
      </c>
      <c r="F291" s="6">
        <v>21</v>
      </c>
      <c r="G291" s="8">
        <f t="shared" si="4"/>
        <v>85080.576203999997</v>
      </c>
    </row>
    <row r="292" spans="1:7" x14ac:dyDescent="0.3">
      <c r="A292" s="14" t="e">
        <f>VLOOKUP(B292,'Relacion codigos'!$A:$B,2,FALSE)</f>
        <v>#N/A</v>
      </c>
      <c r="B292" s="6" t="s">
        <v>11549</v>
      </c>
      <c r="C292" s="6" t="s">
        <v>11550</v>
      </c>
      <c r="D292" s="24">
        <v>17045.313999999998</v>
      </c>
      <c r="E292" s="6" t="s">
        <v>5889</v>
      </c>
      <c r="F292" s="6">
        <v>21</v>
      </c>
      <c r="G292" s="8">
        <f t="shared" si="4"/>
        <v>17045.313999999998</v>
      </c>
    </row>
    <row r="293" spans="1:7" x14ac:dyDescent="0.3">
      <c r="A293" s="14" t="e">
        <f>VLOOKUP(B293,'Relacion codigos'!$A:$B,2,FALSE)</f>
        <v>#N/A</v>
      </c>
      <c r="B293" s="6" t="s">
        <v>11551</v>
      </c>
      <c r="C293" s="6" t="s">
        <v>11552</v>
      </c>
      <c r="D293" s="24">
        <v>33030.686000000002</v>
      </c>
      <c r="E293" s="6" t="s">
        <v>5889</v>
      </c>
      <c r="F293" s="6">
        <v>21</v>
      </c>
      <c r="G293" s="8">
        <f t="shared" si="4"/>
        <v>33030.686000000002</v>
      </c>
    </row>
    <row r="294" spans="1:7" x14ac:dyDescent="0.3">
      <c r="A294" s="14" t="str">
        <f>VLOOKUP(B294,'Relacion codigos'!$A:$B,2,FALSE)</f>
        <v>6856</v>
      </c>
      <c r="B294" s="6" t="s">
        <v>4044</v>
      </c>
      <c r="C294" s="6" t="s">
        <v>10155</v>
      </c>
      <c r="D294" s="24">
        <v>50694.401042999998</v>
      </c>
      <c r="E294" s="6" t="s">
        <v>5889</v>
      </c>
      <c r="F294" s="6">
        <v>21</v>
      </c>
      <c r="G294" s="8">
        <f t="shared" si="4"/>
        <v>50694.401042999998</v>
      </c>
    </row>
    <row r="295" spans="1:7" x14ac:dyDescent="0.3">
      <c r="A295" s="14" t="str">
        <f>VLOOKUP(B295,'Relacion codigos'!$A:$B,2,FALSE)</f>
        <v>6858</v>
      </c>
      <c r="B295" s="6" t="s">
        <v>4046</v>
      </c>
      <c r="C295" s="6" t="s">
        <v>10156</v>
      </c>
      <c r="D295" s="24">
        <v>46507.112336295002</v>
      </c>
      <c r="E295" s="6" t="s">
        <v>5889</v>
      </c>
      <c r="F295" s="6">
        <v>21</v>
      </c>
      <c r="G295" s="8">
        <f t="shared" si="4"/>
        <v>46507.112336295002</v>
      </c>
    </row>
    <row r="296" spans="1:7" x14ac:dyDescent="0.3">
      <c r="A296" s="14" t="str">
        <f>VLOOKUP(B296,'Relacion codigos'!$A:$B,2,FALSE)</f>
        <v>7006</v>
      </c>
      <c r="B296" s="6" t="s">
        <v>4048</v>
      </c>
      <c r="C296" s="6" t="s">
        <v>9547</v>
      </c>
      <c r="D296" s="24">
        <v>13754.208000000001</v>
      </c>
      <c r="E296" s="6" t="s">
        <v>5889</v>
      </c>
      <c r="F296" s="6">
        <v>21</v>
      </c>
      <c r="G296" s="8">
        <f t="shared" si="4"/>
        <v>13754.208000000001</v>
      </c>
    </row>
    <row r="297" spans="1:7" x14ac:dyDescent="0.3">
      <c r="A297" s="14" t="e">
        <f>VLOOKUP(B297,'Relacion codigos'!$A:$B,2,FALSE)</f>
        <v>#N/A</v>
      </c>
      <c r="B297" s="6" t="s">
        <v>8846</v>
      </c>
      <c r="C297" s="6" t="s">
        <v>8847</v>
      </c>
      <c r="D297" s="24">
        <v>10022.25237</v>
      </c>
      <c r="E297" s="6" t="s">
        <v>5889</v>
      </c>
      <c r="F297" s="6">
        <v>21</v>
      </c>
      <c r="G297" s="8">
        <f t="shared" si="4"/>
        <v>10022.25237</v>
      </c>
    </row>
    <row r="298" spans="1:7" x14ac:dyDescent="0.3">
      <c r="A298" s="14" t="str">
        <f>VLOOKUP(B298,'Relacion codigos'!$A:$B,2,FALSE)</f>
        <v>5974</v>
      </c>
      <c r="B298" s="6" t="s">
        <v>3573</v>
      </c>
      <c r="C298" s="6" t="s">
        <v>9755</v>
      </c>
      <c r="D298" s="24">
        <v>49.728250000000003</v>
      </c>
      <c r="E298" s="6" t="s">
        <v>5887</v>
      </c>
      <c r="F298" s="6">
        <v>21</v>
      </c>
      <c r="G298" s="8">
        <f t="shared" si="4"/>
        <v>77327.428750000006</v>
      </c>
    </row>
    <row r="299" spans="1:7" x14ac:dyDescent="0.3">
      <c r="A299" s="14" t="str">
        <f>VLOOKUP(B299,'Relacion codigos'!$A:$B,2,FALSE)</f>
        <v>7052</v>
      </c>
      <c r="B299" s="6" t="s">
        <v>4047</v>
      </c>
      <c r="C299" s="6" t="s">
        <v>11643</v>
      </c>
      <c r="D299" s="24">
        <v>9983.0543210579999</v>
      </c>
      <c r="E299" s="6" t="s">
        <v>5889</v>
      </c>
      <c r="F299" s="6">
        <v>21</v>
      </c>
      <c r="G299" s="8">
        <f t="shared" si="4"/>
        <v>9983.0543210579999</v>
      </c>
    </row>
    <row r="300" spans="1:7" x14ac:dyDescent="0.3">
      <c r="A300" s="14" t="str">
        <f>VLOOKUP(B300,'Relacion codigos'!$A:$B,2,FALSE)</f>
        <v>7098</v>
      </c>
      <c r="B300" s="6" t="s">
        <v>4049</v>
      </c>
      <c r="C300" s="6" t="s">
        <v>11889</v>
      </c>
      <c r="D300" s="24">
        <v>16125.862999999999</v>
      </c>
      <c r="E300" s="6" t="s">
        <v>5889</v>
      </c>
      <c r="F300" s="6">
        <v>21</v>
      </c>
      <c r="G300" s="8">
        <f t="shared" si="4"/>
        <v>16125.862999999999</v>
      </c>
    </row>
    <row r="301" spans="1:7" x14ac:dyDescent="0.3">
      <c r="A301" s="14" t="str">
        <f>VLOOKUP(B301,'Relacion codigos'!$A:$B,2,FALSE)</f>
        <v>7005</v>
      </c>
      <c r="B301" s="6" t="s">
        <v>4050</v>
      </c>
      <c r="C301" s="6" t="s">
        <v>11890</v>
      </c>
      <c r="D301" s="24">
        <v>8186.0349999999999</v>
      </c>
      <c r="E301" s="6" t="s">
        <v>5889</v>
      </c>
      <c r="F301" s="6">
        <v>21</v>
      </c>
      <c r="G301" s="8">
        <f t="shared" si="4"/>
        <v>8186.0349999999999</v>
      </c>
    </row>
    <row r="302" spans="1:7" x14ac:dyDescent="0.3">
      <c r="A302" s="14" t="e">
        <f>VLOOKUP(B302,'Relacion codigos'!$A:$B,2,FALSE)</f>
        <v>#N/A</v>
      </c>
      <c r="B302" s="6" t="s">
        <v>8848</v>
      </c>
      <c r="C302" s="6" t="s">
        <v>10848</v>
      </c>
      <c r="D302" s="24">
        <v>11462.869339999999</v>
      </c>
      <c r="E302" s="6" t="s">
        <v>5889</v>
      </c>
      <c r="F302" s="6">
        <v>21</v>
      </c>
      <c r="G302" s="8">
        <f t="shared" si="4"/>
        <v>11462.869339999999</v>
      </c>
    </row>
    <row r="303" spans="1:7" x14ac:dyDescent="0.3">
      <c r="A303" s="14" t="str">
        <f>VLOOKUP(B303,'Relacion codigos'!$A:$B,2,FALSE)</f>
        <v>7043</v>
      </c>
      <c r="B303" s="6" t="s">
        <v>4051</v>
      </c>
      <c r="C303" s="6" t="s">
        <v>11644</v>
      </c>
      <c r="D303" s="24">
        <v>40.937130000000003</v>
      </c>
      <c r="E303" s="6" t="s">
        <v>5887</v>
      </c>
      <c r="F303" s="6">
        <v>21</v>
      </c>
      <c r="G303" s="8">
        <f t="shared" si="4"/>
        <v>63657.237150000008</v>
      </c>
    </row>
    <row r="304" spans="1:7" x14ac:dyDescent="0.3">
      <c r="A304" s="14" t="e">
        <f>VLOOKUP(B304,'Relacion codigos'!$A:$B,2,FALSE)</f>
        <v>#N/A</v>
      </c>
      <c r="B304" s="6" t="s">
        <v>8849</v>
      </c>
      <c r="C304" s="6" t="s">
        <v>8850</v>
      </c>
      <c r="D304" s="24">
        <v>5387.60205984</v>
      </c>
      <c r="E304" s="6" t="s">
        <v>5889</v>
      </c>
      <c r="F304" s="6">
        <v>21</v>
      </c>
      <c r="G304" s="8">
        <f t="shared" si="4"/>
        <v>5387.60205984</v>
      </c>
    </row>
    <row r="305" spans="1:7" x14ac:dyDescent="0.3">
      <c r="A305" s="14" t="str">
        <f>VLOOKUP(B305,'Relacion codigos'!$A:$B,2,FALSE)</f>
        <v>8298</v>
      </c>
      <c r="B305" s="6" t="s">
        <v>4008</v>
      </c>
      <c r="C305" s="6" t="s">
        <v>12993</v>
      </c>
      <c r="D305" s="24">
        <v>14.0525775</v>
      </c>
      <c r="E305" s="6" t="s">
        <v>5887</v>
      </c>
      <c r="F305" s="6">
        <v>21</v>
      </c>
      <c r="G305" s="8">
        <f t="shared" si="4"/>
        <v>21851.758012499999</v>
      </c>
    </row>
    <row r="306" spans="1:7" x14ac:dyDescent="0.3">
      <c r="A306" s="14" t="str">
        <f>VLOOKUP(B306,'Relacion codigos'!$A:$B,2,FALSE)</f>
        <v>7171</v>
      </c>
      <c r="B306" s="6" t="s">
        <v>4020</v>
      </c>
      <c r="C306" s="6" t="s">
        <v>12994</v>
      </c>
      <c r="D306" s="24">
        <v>14.89761</v>
      </c>
      <c r="E306" s="6" t="s">
        <v>5887</v>
      </c>
      <c r="F306" s="6">
        <v>21</v>
      </c>
      <c r="G306" s="8">
        <f t="shared" si="4"/>
        <v>23165.78355</v>
      </c>
    </row>
    <row r="307" spans="1:7" x14ac:dyDescent="0.3">
      <c r="A307" s="14" t="str">
        <f>VLOOKUP(B307,'Relacion codigos'!$A:$B,2,FALSE)</f>
        <v>6395</v>
      </c>
      <c r="B307" s="6" t="s">
        <v>4121</v>
      </c>
      <c r="C307" s="6" t="s">
        <v>29</v>
      </c>
      <c r="D307" s="24">
        <v>36722.400000000001</v>
      </c>
      <c r="E307" s="6" t="s">
        <v>5889</v>
      </c>
      <c r="F307" s="6">
        <v>21</v>
      </c>
      <c r="G307" s="8">
        <f t="shared" si="4"/>
        <v>36722.400000000001</v>
      </c>
    </row>
    <row r="308" spans="1:7" x14ac:dyDescent="0.3">
      <c r="A308" s="14" t="e">
        <f>VLOOKUP(B308,'Relacion codigos'!$A:$B,2,FALSE)</f>
        <v>#N/A</v>
      </c>
      <c r="B308" s="6" t="s">
        <v>13844</v>
      </c>
      <c r="C308" s="6" t="s">
        <v>13845</v>
      </c>
      <c r="D308" s="24">
        <v>31164.347915999999</v>
      </c>
      <c r="E308" s="6" t="s">
        <v>5889</v>
      </c>
      <c r="F308" s="6">
        <v>21</v>
      </c>
      <c r="G308" s="8">
        <f t="shared" si="4"/>
        <v>31164.347915999999</v>
      </c>
    </row>
    <row r="309" spans="1:7" x14ac:dyDescent="0.3">
      <c r="A309" s="14" t="e">
        <f>VLOOKUP(B309,'Relacion codigos'!$A:$B,2,FALSE)</f>
        <v>#N/A</v>
      </c>
      <c r="B309" s="6" t="s">
        <v>13846</v>
      </c>
      <c r="C309" s="6" t="s">
        <v>13847</v>
      </c>
      <c r="D309" s="24">
        <v>43931.887623000002</v>
      </c>
      <c r="E309" s="6" t="s">
        <v>5889</v>
      </c>
      <c r="F309" s="6">
        <v>21</v>
      </c>
      <c r="G309" s="8">
        <f t="shared" si="4"/>
        <v>43931.887623000002</v>
      </c>
    </row>
    <row r="310" spans="1:7" x14ac:dyDescent="0.3">
      <c r="A310" s="14" t="str">
        <f>VLOOKUP(B310,'Relacion codigos'!$A:$B,2,FALSE)</f>
        <v>8256</v>
      </c>
      <c r="B310" s="6" t="s">
        <v>4093</v>
      </c>
      <c r="C310" s="6" t="s">
        <v>11704</v>
      </c>
      <c r="D310" s="24">
        <v>18025.134399999999</v>
      </c>
      <c r="E310" s="6" t="s">
        <v>5889</v>
      </c>
      <c r="F310" s="6">
        <v>21</v>
      </c>
      <c r="G310" s="8">
        <f t="shared" si="4"/>
        <v>18025.134399999999</v>
      </c>
    </row>
    <row r="311" spans="1:7" x14ac:dyDescent="0.3">
      <c r="A311" s="14" t="str">
        <f>VLOOKUP(B311,'Relacion codigos'!$A:$B,2,FALSE)</f>
        <v>8257</v>
      </c>
      <c r="B311" s="6" t="s">
        <v>4092</v>
      </c>
      <c r="C311" s="6" t="s">
        <v>11705</v>
      </c>
      <c r="D311" s="24">
        <v>18025.134399999999</v>
      </c>
      <c r="E311" s="6" t="s">
        <v>5889</v>
      </c>
      <c r="F311" s="6">
        <v>21</v>
      </c>
      <c r="G311" s="8">
        <f t="shared" si="4"/>
        <v>18025.134399999999</v>
      </c>
    </row>
    <row r="312" spans="1:7" x14ac:dyDescent="0.3">
      <c r="A312" s="14" t="str">
        <f>VLOOKUP(B312,'Relacion codigos'!$A:$B,2,FALSE)</f>
        <v>8258</v>
      </c>
      <c r="B312" s="6" t="s">
        <v>4094</v>
      </c>
      <c r="C312" s="6" t="s">
        <v>11706</v>
      </c>
      <c r="D312" s="24">
        <v>23616.954399999999</v>
      </c>
      <c r="E312" s="6" t="s">
        <v>5889</v>
      </c>
      <c r="F312" s="6">
        <v>21</v>
      </c>
      <c r="G312" s="8">
        <f t="shared" si="4"/>
        <v>23616.954399999999</v>
      </c>
    </row>
    <row r="313" spans="1:7" x14ac:dyDescent="0.3">
      <c r="A313" s="14" t="e">
        <f>VLOOKUP(B313,'Relacion codigos'!$A:$B,2,FALSE)</f>
        <v>#N/A</v>
      </c>
      <c r="B313" s="6" t="s">
        <v>12232</v>
      </c>
      <c r="C313" s="6" t="s">
        <v>12233</v>
      </c>
      <c r="D313" s="24">
        <v>62.094239999999999</v>
      </c>
      <c r="E313" s="6" t="s">
        <v>5887</v>
      </c>
      <c r="F313" s="6">
        <v>21</v>
      </c>
      <c r="G313" s="8">
        <f t="shared" si="4"/>
        <v>96556.5432</v>
      </c>
    </row>
    <row r="314" spans="1:7" x14ac:dyDescent="0.3">
      <c r="A314" s="14" t="e">
        <f>VLOOKUP(B314,'Relacion codigos'!$A:$B,2,FALSE)</f>
        <v>#N/A</v>
      </c>
      <c r="B314" s="6" t="s">
        <v>12234</v>
      </c>
      <c r="C314" s="6" t="s">
        <v>12235</v>
      </c>
      <c r="D314" s="24">
        <v>134.992377</v>
      </c>
      <c r="E314" s="6" t="s">
        <v>5887</v>
      </c>
      <c r="F314" s="6">
        <v>21</v>
      </c>
      <c r="G314" s="8">
        <f t="shared" si="4"/>
        <v>209913.14623499999</v>
      </c>
    </row>
    <row r="315" spans="1:7" x14ac:dyDescent="0.3">
      <c r="A315" s="14" t="str">
        <f>VLOOKUP(B315,'Relacion codigos'!$A:$B,2,FALSE)</f>
        <v>8069</v>
      </c>
      <c r="B315" s="6" t="s">
        <v>3446</v>
      </c>
      <c r="C315" s="6" t="s">
        <v>846</v>
      </c>
      <c r="D315" s="24">
        <v>270.21009600000002</v>
      </c>
      <c r="E315" s="6" t="s">
        <v>5889</v>
      </c>
      <c r="F315" s="6">
        <v>21</v>
      </c>
      <c r="G315" s="8">
        <f t="shared" si="4"/>
        <v>270.21009600000002</v>
      </c>
    </row>
    <row r="316" spans="1:7" x14ac:dyDescent="0.3">
      <c r="A316" s="14" t="str">
        <f>VLOOKUP(B316,'Relacion codigos'!$A:$B,2,FALSE)</f>
        <v>6789</v>
      </c>
      <c r="B316" s="6" t="s">
        <v>3447</v>
      </c>
      <c r="C316" s="6" t="s">
        <v>11553</v>
      </c>
      <c r="D316" s="24">
        <v>254.553</v>
      </c>
      <c r="E316" s="6" t="s">
        <v>5889</v>
      </c>
      <c r="F316" s="6">
        <v>21</v>
      </c>
      <c r="G316" s="8">
        <f t="shared" si="4"/>
        <v>254.553</v>
      </c>
    </row>
    <row r="317" spans="1:7" x14ac:dyDescent="0.3">
      <c r="A317" s="14" t="str">
        <f>VLOOKUP(B317,'Relacion codigos'!$A:$B,2,FALSE)</f>
        <v>5385</v>
      </c>
      <c r="B317" s="6" t="s">
        <v>3498</v>
      </c>
      <c r="C317" s="6" t="s">
        <v>30</v>
      </c>
      <c r="D317" s="24">
        <v>24.053172</v>
      </c>
      <c r="E317" s="6" t="s">
        <v>5887</v>
      </c>
      <c r="F317" s="6">
        <v>21</v>
      </c>
      <c r="G317" s="8">
        <f t="shared" si="4"/>
        <v>37402.682460000004</v>
      </c>
    </row>
    <row r="318" spans="1:7" x14ac:dyDescent="0.3">
      <c r="A318" s="14" t="str">
        <f>VLOOKUP(B318,'Relacion codigos'!$A:$B,2,FALSE)</f>
        <v>5386</v>
      </c>
      <c r="B318" s="6" t="s">
        <v>3499</v>
      </c>
      <c r="C318" s="6" t="s">
        <v>31</v>
      </c>
      <c r="D318" s="24">
        <v>24.053172</v>
      </c>
      <c r="E318" s="6" t="s">
        <v>5887</v>
      </c>
      <c r="F318" s="6">
        <v>21</v>
      </c>
      <c r="G318" s="8">
        <f t="shared" si="4"/>
        <v>37402.682460000004</v>
      </c>
    </row>
    <row r="319" spans="1:7" x14ac:dyDescent="0.3">
      <c r="A319" s="14" t="str">
        <f>VLOOKUP(B319,'Relacion codigos'!$A:$B,2,FALSE)</f>
        <v>5388</v>
      </c>
      <c r="B319" s="6" t="s">
        <v>3500</v>
      </c>
      <c r="C319" s="6" t="s">
        <v>32</v>
      </c>
      <c r="D319" s="24">
        <v>28.322151350212</v>
      </c>
      <c r="E319" s="6" t="s">
        <v>5887</v>
      </c>
      <c r="F319" s="6">
        <v>21</v>
      </c>
      <c r="G319" s="8">
        <f t="shared" si="4"/>
        <v>44040.945349579662</v>
      </c>
    </row>
    <row r="320" spans="1:7" x14ac:dyDescent="0.3">
      <c r="A320" s="14" t="e">
        <f>VLOOKUP(B320,'Relacion codigos'!$A:$B,2,FALSE)</f>
        <v>#N/A</v>
      </c>
      <c r="B320" s="6" t="s">
        <v>11437</v>
      </c>
      <c r="C320" s="6" t="s">
        <v>13920</v>
      </c>
      <c r="D320" s="24">
        <v>6872.8113739999999</v>
      </c>
      <c r="E320" s="6" t="s">
        <v>5889</v>
      </c>
      <c r="F320" s="6">
        <v>10.5</v>
      </c>
      <c r="G320" s="8">
        <f t="shared" si="4"/>
        <v>6872.8113739999999</v>
      </c>
    </row>
    <row r="321" spans="1:7" x14ac:dyDescent="0.3">
      <c r="A321" s="14" t="str">
        <f>VLOOKUP(B321,'Relacion codigos'!$A:$B,2,FALSE)</f>
        <v>8926</v>
      </c>
      <c r="B321" s="6" t="s">
        <v>3629</v>
      </c>
      <c r="C321" s="6" t="s">
        <v>11554</v>
      </c>
      <c r="D321" s="24">
        <v>4.3427020000000001</v>
      </c>
      <c r="E321" s="6" t="s">
        <v>5887</v>
      </c>
      <c r="F321" s="6">
        <v>21</v>
      </c>
      <c r="G321" s="8">
        <f t="shared" si="4"/>
        <v>6752.9016099999999</v>
      </c>
    </row>
    <row r="322" spans="1:7" x14ac:dyDescent="0.3">
      <c r="A322" s="14" t="str">
        <f>VLOOKUP(B322,'Relacion codigos'!$A:$B,2,FALSE)</f>
        <v>9224</v>
      </c>
      <c r="B322" s="6" t="s">
        <v>3633</v>
      </c>
      <c r="C322" s="6" t="s">
        <v>10017</v>
      </c>
      <c r="D322" s="24">
        <v>3.3384</v>
      </c>
      <c r="E322" s="6" t="s">
        <v>5887</v>
      </c>
      <c r="F322" s="6">
        <v>21</v>
      </c>
      <c r="G322" s="8">
        <f t="shared" ref="G322:G385" si="5">IF(E322="Dolares",D322*$G$1,D322)</f>
        <v>5191.2120000000004</v>
      </c>
    </row>
    <row r="323" spans="1:7" x14ac:dyDescent="0.3">
      <c r="A323" s="14" t="e">
        <f>VLOOKUP(B323,'Relacion codigos'!$A:$B,2,FALSE)</f>
        <v>#N/A</v>
      </c>
      <c r="B323" s="6" t="s">
        <v>12180</v>
      </c>
      <c r="C323" s="6" t="s">
        <v>12587</v>
      </c>
      <c r="D323" s="24">
        <v>14.209065000000001</v>
      </c>
      <c r="E323" s="6" t="s">
        <v>5887</v>
      </c>
      <c r="F323" s="6">
        <v>21</v>
      </c>
      <c r="G323" s="8">
        <f t="shared" si="5"/>
        <v>22095.096075000001</v>
      </c>
    </row>
    <row r="324" spans="1:7" x14ac:dyDescent="0.3">
      <c r="A324" s="14" t="e">
        <f>VLOOKUP(B324,'Relacion codigos'!$A:$B,2,FALSE)</f>
        <v>#N/A</v>
      </c>
      <c r="B324" s="6" t="s">
        <v>12588</v>
      </c>
      <c r="C324" s="6" t="s">
        <v>12589</v>
      </c>
      <c r="D324" s="24">
        <v>17.0571375</v>
      </c>
      <c r="E324" s="6" t="s">
        <v>5887</v>
      </c>
      <c r="F324" s="6">
        <v>21</v>
      </c>
      <c r="G324" s="8">
        <f t="shared" si="5"/>
        <v>26523.8488125</v>
      </c>
    </row>
    <row r="325" spans="1:7" x14ac:dyDescent="0.3">
      <c r="A325" s="14" t="str">
        <f>VLOOKUP(B325,'Relacion codigos'!$A:$B,2,FALSE)</f>
        <v>2838</v>
      </c>
      <c r="B325" s="6" t="s">
        <v>5576</v>
      </c>
      <c r="C325" s="6" t="s">
        <v>9796</v>
      </c>
      <c r="D325" s="24">
        <v>4.4868096</v>
      </c>
      <c r="E325" s="6" t="s">
        <v>5887</v>
      </c>
      <c r="F325" s="6">
        <v>21</v>
      </c>
      <c r="G325" s="8">
        <f t="shared" si="5"/>
        <v>6976.9889279999998</v>
      </c>
    </row>
    <row r="326" spans="1:7" x14ac:dyDescent="0.3">
      <c r="A326" s="14" t="str">
        <f>VLOOKUP(B326,'Relacion codigos'!$A:$B,2,FALSE)</f>
        <v>1547</v>
      </c>
      <c r="B326" s="6" t="s">
        <v>5577</v>
      </c>
      <c r="C326" s="6" t="s">
        <v>10048</v>
      </c>
      <c r="D326" s="24">
        <v>0.45068399999999997</v>
      </c>
      <c r="E326" s="6" t="s">
        <v>5887</v>
      </c>
      <c r="F326" s="6">
        <v>21</v>
      </c>
      <c r="G326" s="8">
        <f t="shared" si="5"/>
        <v>700.81362000000001</v>
      </c>
    </row>
    <row r="327" spans="1:7" x14ac:dyDescent="0.3">
      <c r="A327" s="14" t="str">
        <f>VLOOKUP(B327,'Relacion codigos'!$A:$B,2,FALSE)</f>
        <v>1428</v>
      </c>
      <c r="B327" s="6" t="s">
        <v>5580</v>
      </c>
      <c r="C327" s="6" t="s">
        <v>9797</v>
      </c>
      <c r="D327" s="24">
        <v>4.4868096</v>
      </c>
      <c r="E327" s="6" t="s">
        <v>5887</v>
      </c>
      <c r="F327" s="6">
        <v>21</v>
      </c>
      <c r="G327" s="8">
        <f t="shared" si="5"/>
        <v>6976.9889279999998</v>
      </c>
    </row>
    <row r="328" spans="1:7" x14ac:dyDescent="0.3">
      <c r="A328" s="14" t="str">
        <f>VLOOKUP(B328,'Relacion codigos'!$A:$B,2,FALSE)</f>
        <v>1426</v>
      </c>
      <c r="B328" s="6" t="s">
        <v>5581</v>
      </c>
      <c r="C328" s="6" t="s">
        <v>10049</v>
      </c>
      <c r="D328" s="24">
        <v>4.1262623999999999</v>
      </c>
      <c r="E328" s="6" t="s">
        <v>5887</v>
      </c>
      <c r="F328" s="6">
        <v>21</v>
      </c>
      <c r="G328" s="8">
        <f t="shared" si="5"/>
        <v>6416.3380319999997</v>
      </c>
    </row>
    <row r="329" spans="1:7" x14ac:dyDescent="0.3">
      <c r="A329" s="14" t="str">
        <f>VLOOKUP(B329,'Relacion codigos'!$A:$B,2,FALSE)</f>
        <v>5421</v>
      </c>
      <c r="B329" s="6" t="s">
        <v>4274</v>
      </c>
      <c r="C329" s="6" t="s">
        <v>36</v>
      </c>
      <c r="D329" s="24">
        <v>168.35690113220301</v>
      </c>
      <c r="E329" s="6" t="s">
        <v>5887</v>
      </c>
      <c r="F329" s="6">
        <v>21</v>
      </c>
      <c r="G329" s="8">
        <f t="shared" si="5"/>
        <v>261794.98126057567</v>
      </c>
    </row>
    <row r="330" spans="1:7" x14ac:dyDescent="0.3">
      <c r="A330" s="14" t="str">
        <f>VLOOKUP(B330,'Relacion codigos'!$A:$B,2,FALSE)</f>
        <v>5420</v>
      </c>
      <c r="B330" s="6" t="s">
        <v>4275</v>
      </c>
      <c r="C330" s="6" t="s">
        <v>37</v>
      </c>
      <c r="D330" s="24">
        <v>43.286530400848399</v>
      </c>
      <c r="E330" s="6" t="s">
        <v>5887</v>
      </c>
      <c r="F330" s="6">
        <v>21</v>
      </c>
      <c r="G330" s="8">
        <f t="shared" si="5"/>
        <v>67310.554773319265</v>
      </c>
    </row>
    <row r="331" spans="1:7" x14ac:dyDescent="0.3">
      <c r="A331" s="14" t="str">
        <f>VLOOKUP(B331,'Relacion codigos'!$A:$B,2,FALSE)</f>
        <v>8001</v>
      </c>
      <c r="B331" s="6" t="s">
        <v>2399</v>
      </c>
      <c r="C331" s="6" t="s">
        <v>11458</v>
      </c>
      <c r="D331" s="24">
        <v>54151.667835200002</v>
      </c>
      <c r="E331" s="6" t="s">
        <v>5889</v>
      </c>
      <c r="F331" s="6">
        <v>21</v>
      </c>
      <c r="G331" s="8">
        <f t="shared" si="5"/>
        <v>54151.667835200002</v>
      </c>
    </row>
    <row r="332" spans="1:7" x14ac:dyDescent="0.3">
      <c r="A332" s="14" t="str">
        <f>VLOOKUP(B332,'Relacion codigos'!$A:$B,2,FALSE)</f>
        <v>8002</v>
      </c>
      <c r="B332" s="6" t="s">
        <v>2400</v>
      </c>
      <c r="C332" s="6" t="s">
        <v>11459</v>
      </c>
      <c r="D332" s="24">
        <v>56876.180587199997</v>
      </c>
      <c r="E332" s="6" t="s">
        <v>5889</v>
      </c>
      <c r="F332" s="6">
        <v>21</v>
      </c>
      <c r="G332" s="8">
        <f t="shared" si="5"/>
        <v>56876.180587199997</v>
      </c>
    </row>
    <row r="333" spans="1:7" x14ac:dyDescent="0.3">
      <c r="A333" s="14" t="str">
        <f>VLOOKUP(B333,'Relacion codigos'!$A:$B,2,FALSE)</f>
        <v>8003</v>
      </c>
      <c r="B333" s="6" t="s">
        <v>2401</v>
      </c>
      <c r="C333" s="6" t="s">
        <v>11555</v>
      </c>
      <c r="D333" s="24">
        <v>63702.558711999998</v>
      </c>
      <c r="E333" s="6" t="s">
        <v>5889</v>
      </c>
      <c r="F333" s="6">
        <v>21</v>
      </c>
      <c r="G333" s="8">
        <f t="shared" si="5"/>
        <v>63702.558711999998</v>
      </c>
    </row>
    <row r="334" spans="1:7" x14ac:dyDescent="0.3">
      <c r="A334" s="14" t="str">
        <f>VLOOKUP(B334,'Relacion codigos'!$A:$B,2,FALSE)</f>
        <v>8004</v>
      </c>
      <c r="B334" s="6" t="s">
        <v>2402</v>
      </c>
      <c r="C334" s="6" t="s">
        <v>11556</v>
      </c>
      <c r="D334" s="24">
        <v>72231.937023999999</v>
      </c>
      <c r="E334" s="6" t="s">
        <v>5889</v>
      </c>
      <c r="F334" s="6">
        <v>21</v>
      </c>
      <c r="G334" s="8">
        <f t="shared" si="5"/>
        <v>72231.937023999999</v>
      </c>
    </row>
    <row r="335" spans="1:7" x14ac:dyDescent="0.3">
      <c r="A335" s="14" t="str">
        <f>VLOOKUP(B335,'Relacion codigos'!$A:$B,2,FALSE)</f>
        <v>2042</v>
      </c>
      <c r="B335" s="6" t="s">
        <v>2405</v>
      </c>
      <c r="C335" s="6" t="s">
        <v>11460</v>
      </c>
      <c r="D335" s="24">
        <v>13887.8712765</v>
      </c>
      <c r="E335" s="6" t="s">
        <v>5889</v>
      </c>
      <c r="F335" s="6">
        <v>21</v>
      </c>
      <c r="G335" s="8">
        <f t="shared" si="5"/>
        <v>13887.8712765</v>
      </c>
    </row>
    <row r="336" spans="1:7" x14ac:dyDescent="0.3">
      <c r="A336" s="14" t="str">
        <f>VLOOKUP(B336,'Relacion codigos'!$A:$B,2,FALSE)</f>
        <v>2043</v>
      </c>
      <c r="B336" s="6" t="s">
        <v>2406</v>
      </c>
      <c r="C336" s="6" t="s">
        <v>11461</v>
      </c>
      <c r="D336" s="24">
        <v>16950.926304000001</v>
      </c>
      <c r="E336" s="6" t="s">
        <v>5889</v>
      </c>
      <c r="F336" s="6">
        <v>21</v>
      </c>
      <c r="G336" s="8">
        <f t="shared" si="5"/>
        <v>16950.926304000001</v>
      </c>
    </row>
    <row r="337" spans="1:7" x14ac:dyDescent="0.3">
      <c r="A337" s="14" t="str">
        <f>VLOOKUP(B337,'Relacion codigos'!$A:$B,2,FALSE)</f>
        <v>2044</v>
      </c>
      <c r="B337" s="6" t="s">
        <v>2407</v>
      </c>
      <c r="C337" s="6" t="s">
        <v>11462</v>
      </c>
      <c r="D337" s="24">
        <v>19596.1388415</v>
      </c>
      <c r="E337" s="6" t="s">
        <v>5889</v>
      </c>
      <c r="F337" s="6">
        <v>21</v>
      </c>
      <c r="G337" s="8">
        <f t="shared" si="5"/>
        <v>19596.1388415</v>
      </c>
    </row>
    <row r="338" spans="1:7" x14ac:dyDescent="0.3">
      <c r="A338" s="14" t="str">
        <f>VLOOKUP(B338,'Relacion codigos'!$A:$B,2,FALSE)</f>
        <v>2045</v>
      </c>
      <c r="B338" s="6" t="s">
        <v>2408</v>
      </c>
      <c r="C338" s="6" t="s">
        <v>11463</v>
      </c>
      <c r="D338" s="24">
        <v>25597.570089000001</v>
      </c>
      <c r="E338" s="6" t="s">
        <v>5889</v>
      </c>
      <c r="F338" s="6">
        <v>21</v>
      </c>
      <c r="G338" s="8">
        <f t="shared" si="5"/>
        <v>25597.570089000001</v>
      </c>
    </row>
    <row r="339" spans="1:7" x14ac:dyDescent="0.3">
      <c r="A339" s="14" t="e">
        <f>VLOOKUP(B339,'Relacion codigos'!$A:$B,2,FALSE)</f>
        <v>#N/A</v>
      </c>
      <c r="B339" s="6" t="s">
        <v>13898</v>
      </c>
      <c r="C339" s="6" t="s">
        <v>13899</v>
      </c>
      <c r="D339" s="24">
        <v>41569.936239000002</v>
      </c>
      <c r="E339" s="6" t="s">
        <v>5889</v>
      </c>
      <c r="F339" s="6">
        <v>21</v>
      </c>
      <c r="G339" s="8">
        <f t="shared" si="5"/>
        <v>41569.936239000002</v>
      </c>
    </row>
    <row r="340" spans="1:7" x14ac:dyDescent="0.3">
      <c r="A340" s="14" t="str">
        <f>VLOOKUP(B340,'Relacion codigos'!$A:$B,2,FALSE)</f>
        <v>935</v>
      </c>
      <c r="B340" s="6" t="s">
        <v>2409</v>
      </c>
      <c r="C340" s="6" t="s">
        <v>11464</v>
      </c>
      <c r="D340" s="24">
        <v>10892.8841385</v>
      </c>
      <c r="E340" s="6" t="s">
        <v>5889</v>
      </c>
      <c r="F340" s="6">
        <v>21</v>
      </c>
      <c r="G340" s="8">
        <f t="shared" si="5"/>
        <v>10892.8841385</v>
      </c>
    </row>
    <row r="341" spans="1:7" x14ac:dyDescent="0.3">
      <c r="A341" s="14" t="e">
        <f>VLOOKUP(B341,'Relacion codigos'!$A:$B,2,FALSE)</f>
        <v>#N/A</v>
      </c>
      <c r="B341" s="6" t="s">
        <v>13737</v>
      </c>
      <c r="C341" s="6" t="s">
        <v>13738</v>
      </c>
      <c r="D341" s="24">
        <v>51902.102713499997</v>
      </c>
      <c r="E341" s="6" t="s">
        <v>5889</v>
      </c>
      <c r="F341" s="6">
        <v>21</v>
      </c>
      <c r="G341" s="8">
        <f t="shared" si="5"/>
        <v>51902.102713499997</v>
      </c>
    </row>
    <row r="342" spans="1:7" x14ac:dyDescent="0.3">
      <c r="A342" s="14" t="str">
        <f>VLOOKUP(B342,'Relacion codigos'!$A:$B,2,FALSE)</f>
        <v>5512</v>
      </c>
      <c r="B342" s="6" t="s">
        <v>3578</v>
      </c>
      <c r="C342" s="6" t="s">
        <v>38</v>
      </c>
      <c r="D342" s="24">
        <v>24250.245054749899</v>
      </c>
      <c r="E342" s="6" t="s">
        <v>5889</v>
      </c>
      <c r="F342" s="6">
        <v>21</v>
      </c>
      <c r="G342" s="8">
        <f t="shared" si="5"/>
        <v>24250.245054749899</v>
      </c>
    </row>
    <row r="343" spans="1:7" x14ac:dyDescent="0.3">
      <c r="A343" s="14" t="str">
        <f>VLOOKUP(B343,'Relacion codigos'!$A:$B,2,FALSE)</f>
        <v>7215</v>
      </c>
      <c r="B343" s="6" t="s">
        <v>3579</v>
      </c>
      <c r="C343" s="6" t="s">
        <v>39</v>
      </c>
      <c r="D343" s="24">
        <v>68.366398099999998</v>
      </c>
      <c r="E343" s="6" t="s">
        <v>5887</v>
      </c>
      <c r="F343" s="6">
        <v>21</v>
      </c>
      <c r="G343" s="8">
        <f t="shared" si="5"/>
        <v>106309.74904549999</v>
      </c>
    </row>
    <row r="344" spans="1:7" x14ac:dyDescent="0.3">
      <c r="A344" s="14" t="str">
        <f>VLOOKUP(B344,'Relacion codigos'!$A:$B,2,FALSE)</f>
        <v>9157</v>
      </c>
      <c r="B344" s="6" t="s">
        <v>3321</v>
      </c>
      <c r="C344" s="6" t="s">
        <v>1200</v>
      </c>
      <c r="D344" s="24">
        <v>1.3353600000000001</v>
      </c>
      <c r="E344" s="6" t="s">
        <v>5887</v>
      </c>
      <c r="F344" s="6">
        <v>21</v>
      </c>
      <c r="G344" s="8">
        <f t="shared" si="5"/>
        <v>2076.4848000000002</v>
      </c>
    </row>
    <row r="345" spans="1:7" x14ac:dyDescent="0.3">
      <c r="A345" s="14" t="str">
        <f>VLOOKUP(B345,'Relacion codigos'!$A:$B,2,FALSE)</f>
        <v>1975</v>
      </c>
      <c r="B345" s="6" t="s">
        <v>1520</v>
      </c>
      <c r="C345" s="6" t="s">
        <v>9038</v>
      </c>
      <c r="D345" s="24">
        <v>2528.8380000000002</v>
      </c>
      <c r="E345" s="6" t="s">
        <v>5889</v>
      </c>
      <c r="F345" s="6">
        <v>21</v>
      </c>
      <c r="G345" s="8">
        <f t="shared" si="5"/>
        <v>2528.8380000000002</v>
      </c>
    </row>
    <row r="346" spans="1:7" x14ac:dyDescent="0.3">
      <c r="A346" s="14" t="str">
        <f>VLOOKUP(B346,'Relacion codigos'!$A:$B,2,FALSE)</f>
        <v>1974</v>
      </c>
      <c r="B346" s="6" t="s">
        <v>1521</v>
      </c>
      <c r="C346" s="6" t="s">
        <v>9039</v>
      </c>
      <c r="D346" s="24">
        <v>1547.3484000000001</v>
      </c>
      <c r="E346" s="6" t="s">
        <v>5889</v>
      </c>
      <c r="F346" s="6">
        <v>21</v>
      </c>
      <c r="G346" s="8">
        <f t="shared" si="5"/>
        <v>1547.3484000000001</v>
      </c>
    </row>
    <row r="347" spans="1:7" x14ac:dyDescent="0.3">
      <c r="A347" s="14" t="str">
        <f>VLOOKUP(B347,'Relacion codigos'!$A:$B,2,FALSE)</f>
        <v>8295</v>
      </c>
      <c r="B347" s="6" t="s">
        <v>2807</v>
      </c>
      <c r="C347" s="6" t="s">
        <v>847</v>
      </c>
      <c r="D347" s="24">
        <v>2.4551150000000002</v>
      </c>
      <c r="E347" s="6" t="s">
        <v>5887</v>
      </c>
      <c r="F347" s="6">
        <v>21</v>
      </c>
      <c r="G347" s="8">
        <f t="shared" si="5"/>
        <v>3817.7038250000001</v>
      </c>
    </row>
    <row r="348" spans="1:7" x14ac:dyDescent="0.3">
      <c r="A348" s="14" t="str">
        <f>VLOOKUP(B348,'Relacion codigos'!$A:$B,2,FALSE)</f>
        <v>6622</v>
      </c>
      <c r="B348" s="6" t="s">
        <v>5703</v>
      </c>
      <c r="C348" s="6" t="s">
        <v>1216</v>
      </c>
      <c r="D348" s="24">
        <v>1.5301</v>
      </c>
      <c r="E348" s="6" t="s">
        <v>5889</v>
      </c>
      <c r="F348" s="6">
        <v>21</v>
      </c>
      <c r="G348" s="8">
        <f t="shared" si="5"/>
        <v>1.5301</v>
      </c>
    </row>
    <row r="349" spans="1:7" x14ac:dyDescent="0.3">
      <c r="A349" s="14" t="str">
        <f>VLOOKUP(B349,'Relacion codigos'!$A:$B,2,FALSE)</f>
        <v>6621</v>
      </c>
      <c r="B349" s="6" t="s">
        <v>5704</v>
      </c>
      <c r="C349" s="6" t="s">
        <v>1217</v>
      </c>
      <c r="D349" s="24">
        <v>1.5301</v>
      </c>
      <c r="E349" s="6" t="s">
        <v>5889</v>
      </c>
      <c r="F349" s="6">
        <v>21</v>
      </c>
      <c r="G349" s="8">
        <f t="shared" si="5"/>
        <v>1.5301</v>
      </c>
    </row>
    <row r="350" spans="1:7" x14ac:dyDescent="0.3">
      <c r="A350" s="14" t="str">
        <f>VLOOKUP(B350,'Relacion codigos'!$A:$B,2,FALSE)</f>
        <v>240</v>
      </c>
      <c r="B350" s="6" t="s">
        <v>5705</v>
      </c>
      <c r="C350" s="6" t="s">
        <v>40</v>
      </c>
      <c r="D350" s="24">
        <v>6775.0359854112003</v>
      </c>
      <c r="E350" s="6" t="s">
        <v>5889</v>
      </c>
      <c r="F350" s="6">
        <v>21</v>
      </c>
      <c r="G350" s="8">
        <f t="shared" si="5"/>
        <v>6775.0359854112003</v>
      </c>
    </row>
    <row r="351" spans="1:7" x14ac:dyDescent="0.3">
      <c r="A351" s="14" t="str">
        <f>VLOOKUP(B351,'Relacion codigos'!$A:$B,2,FALSE)</f>
        <v>2118</v>
      </c>
      <c r="B351" s="6" t="s">
        <v>5706</v>
      </c>
      <c r="C351" s="6" t="s">
        <v>41</v>
      </c>
      <c r="D351" s="24">
        <v>5878.67202</v>
      </c>
      <c r="E351" s="6" t="s">
        <v>5889</v>
      </c>
      <c r="F351" s="6">
        <v>21</v>
      </c>
      <c r="G351" s="8">
        <f t="shared" si="5"/>
        <v>5878.67202</v>
      </c>
    </row>
    <row r="352" spans="1:7" x14ac:dyDescent="0.3">
      <c r="A352" s="14" t="str">
        <f>VLOOKUP(B352,'Relacion codigos'!$A:$B,2,FALSE)</f>
        <v>389</v>
      </c>
      <c r="B352" s="6" t="s">
        <v>5707</v>
      </c>
      <c r="C352" s="6" t="s">
        <v>42</v>
      </c>
      <c r="D352" s="24">
        <v>4370.3828999999996</v>
      </c>
      <c r="E352" s="6" t="s">
        <v>5889</v>
      </c>
      <c r="F352" s="6">
        <v>21</v>
      </c>
      <c r="G352" s="8">
        <f t="shared" si="5"/>
        <v>4370.3828999999996</v>
      </c>
    </row>
    <row r="353" spans="1:7" x14ac:dyDescent="0.3">
      <c r="A353" s="14" t="str">
        <f>VLOOKUP(B353,'Relacion codigos'!$A:$B,2,FALSE)</f>
        <v>308</v>
      </c>
      <c r="B353" s="6" t="s">
        <v>5708</v>
      </c>
      <c r="C353" s="6" t="s">
        <v>43</v>
      </c>
      <c r="D353" s="24">
        <v>83.543459999999996</v>
      </c>
      <c r="E353" s="6" t="s">
        <v>5889</v>
      </c>
      <c r="F353" s="6">
        <v>21</v>
      </c>
      <c r="G353" s="8">
        <f t="shared" si="5"/>
        <v>83.543459999999996</v>
      </c>
    </row>
    <row r="354" spans="1:7" x14ac:dyDescent="0.3">
      <c r="A354" s="14" t="str">
        <f>VLOOKUP(B354,'Relacion codigos'!$A:$B,2,FALSE)</f>
        <v>239</v>
      </c>
      <c r="B354" s="6" t="s">
        <v>5709</v>
      </c>
      <c r="C354" s="6" t="s">
        <v>44</v>
      </c>
      <c r="D354" s="24">
        <v>5168.5152199200002</v>
      </c>
      <c r="E354" s="6" t="s">
        <v>5889</v>
      </c>
      <c r="F354" s="6">
        <v>21</v>
      </c>
      <c r="G354" s="8">
        <f t="shared" si="5"/>
        <v>5168.5152199200002</v>
      </c>
    </row>
    <row r="355" spans="1:7" x14ac:dyDescent="0.3">
      <c r="A355" s="14" t="str">
        <f>VLOOKUP(B355,'Relacion codigos'!$A:$B,2,FALSE)</f>
        <v>307</v>
      </c>
      <c r="B355" s="6" t="s">
        <v>5710</v>
      </c>
      <c r="C355" s="6" t="s">
        <v>45</v>
      </c>
      <c r="D355" s="24">
        <v>61.999651999999998</v>
      </c>
      <c r="E355" s="6" t="s">
        <v>5889</v>
      </c>
      <c r="F355" s="6">
        <v>21</v>
      </c>
      <c r="G355" s="8">
        <f t="shared" si="5"/>
        <v>61.999651999999998</v>
      </c>
    </row>
    <row r="356" spans="1:7" x14ac:dyDescent="0.3">
      <c r="A356" s="14" t="str">
        <f>VLOOKUP(B356,'Relacion codigos'!$A:$B,2,FALSE)</f>
        <v>6626</v>
      </c>
      <c r="B356" s="6" t="s">
        <v>5711</v>
      </c>
      <c r="C356" s="6" t="s">
        <v>1218</v>
      </c>
      <c r="D356" s="24">
        <v>1.5301</v>
      </c>
      <c r="E356" s="6" t="s">
        <v>5889</v>
      </c>
      <c r="F356" s="6">
        <v>21</v>
      </c>
      <c r="G356" s="8">
        <f t="shared" si="5"/>
        <v>1.5301</v>
      </c>
    </row>
    <row r="357" spans="1:7" x14ac:dyDescent="0.3">
      <c r="A357" s="14" t="str">
        <f>VLOOKUP(B357,'Relacion codigos'!$A:$B,2,FALSE)</f>
        <v>6625</v>
      </c>
      <c r="B357" s="6" t="s">
        <v>5712</v>
      </c>
      <c r="C357" s="6" t="s">
        <v>1219</v>
      </c>
      <c r="D357" s="24">
        <v>1.5301</v>
      </c>
      <c r="E357" s="6" t="s">
        <v>5889</v>
      </c>
      <c r="F357" s="6">
        <v>21</v>
      </c>
      <c r="G357" s="8">
        <f t="shared" si="5"/>
        <v>1.5301</v>
      </c>
    </row>
    <row r="358" spans="1:7" x14ac:dyDescent="0.3">
      <c r="A358" s="14" t="str">
        <f>VLOOKUP(B358,'Relacion codigos'!$A:$B,2,FALSE)</f>
        <v>244</v>
      </c>
      <c r="B358" s="6" t="s">
        <v>5713</v>
      </c>
      <c r="C358" s="6" t="s">
        <v>46</v>
      </c>
      <c r="D358" s="24">
        <v>9522.5509950012001</v>
      </c>
      <c r="E358" s="6" t="s">
        <v>5889</v>
      </c>
      <c r="F358" s="6">
        <v>21</v>
      </c>
      <c r="G358" s="8">
        <f t="shared" si="5"/>
        <v>9522.5509950012001</v>
      </c>
    </row>
    <row r="359" spans="1:7" x14ac:dyDescent="0.3">
      <c r="A359" s="14" t="str">
        <f>VLOOKUP(B359,'Relacion codigos'!$A:$B,2,FALSE)</f>
        <v>4066</v>
      </c>
      <c r="B359" s="6" t="s">
        <v>5714</v>
      </c>
      <c r="C359" s="6" t="s">
        <v>47</v>
      </c>
      <c r="D359" s="24">
        <v>5192.6057819999996</v>
      </c>
      <c r="E359" s="6" t="s">
        <v>5889</v>
      </c>
      <c r="F359" s="6">
        <v>21</v>
      </c>
      <c r="G359" s="8">
        <f t="shared" si="5"/>
        <v>5192.6057819999996</v>
      </c>
    </row>
    <row r="360" spans="1:7" x14ac:dyDescent="0.3">
      <c r="A360" s="14" t="str">
        <f>VLOOKUP(B360,'Relacion codigos'!$A:$B,2,FALSE)</f>
        <v>4065</v>
      </c>
      <c r="B360" s="6" t="s">
        <v>5715</v>
      </c>
      <c r="C360" s="6" t="s">
        <v>48</v>
      </c>
      <c r="D360" s="24">
        <v>4054.6912769999999</v>
      </c>
      <c r="E360" s="6" t="s">
        <v>5889</v>
      </c>
      <c r="F360" s="6">
        <v>21</v>
      </c>
      <c r="G360" s="8">
        <f t="shared" si="5"/>
        <v>4054.6912769999999</v>
      </c>
    </row>
    <row r="361" spans="1:7" x14ac:dyDescent="0.3">
      <c r="A361" s="14" t="str">
        <f>VLOOKUP(B361,'Relacion codigos'!$A:$B,2,FALSE)</f>
        <v>243</v>
      </c>
      <c r="B361" s="6" t="s">
        <v>5716</v>
      </c>
      <c r="C361" s="6" t="s">
        <v>49</v>
      </c>
      <c r="D361" s="24">
        <v>7085.6361611568</v>
      </c>
      <c r="E361" s="6" t="s">
        <v>5889</v>
      </c>
      <c r="F361" s="6">
        <v>21</v>
      </c>
      <c r="G361" s="8">
        <f t="shared" si="5"/>
        <v>7085.6361611568</v>
      </c>
    </row>
    <row r="362" spans="1:7" x14ac:dyDescent="0.3">
      <c r="A362" s="14" t="str">
        <f>VLOOKUP(B362,'Relacion codigos'!$A:$B,2,FALSE)</f>
        <v>6624</v>
      </c>
      <c r="B362" s="6" t="s">
        <v>5717</v>
      </c>
      <c r="C362" s="6" t="s">
        <v>1220</v>
      </c>
      <c r="D362" s="24">
        <v>1.5301</v>
      </c>
      <c r="E362" s="6" t="s">
        <v>5889</v>
      </c>
      <c r="F362" s="6">
        <v>21</v>
      </c>
      <c r="G362" s="8">
        <f t="shared" si="5"/>
        <v>1.5301</v>
      </c>
    </row>
    <row r="363" spans="1:7" x14ac:dyDescent="0.3">
      <c r="A363" s="14" t="str">
        <f>VLOOKUP(B363,'Relacion codigos'!$A:$B,2,FALSE)</f>
        <v>242</v>
      </c>
      <c r="B363" s="6" t="s">
        <v>5719</v>
      </c>
      <c r="C363" s="6" t="s">
        <v>50</v>
      </c>
      <c r="D363" s="24">
        <v>7419.3336064692003</v>
      </c>
      <c r="E363" s="6" t="s">
        <v>5889</v>
      </c>
      <c r="F363" s="6">
        <v>21</v>
      </c>
      <c r="G363" s="8">
        <f t="shared" si="5"/>
        <v>7419.3336064692003</v>
      </c>
    </row>
    <row r="364" spans="1:7" x14ac:dyDescent="0.3">
      <c r="A364" s="14" t="str">
        <f>VLOOKUP(B364,'Relacion codigos'!$A:$B,2,FALSE)</f>
        <v>2127</v>
      </c>
      <c r="B364" s="6" t="s">
        <v>5720</v>
      </c>
      <c r="C364" s="6" t="s">
        <v>51</v>
      </c>
      <c r="D364" s="24">
        <v>6354.6444000000001</v>
      </c>
      <c r="E364" s="6" t="s">
        <v>5889</v>
      </c>
      <c r="F364" s="6">
        <v>21</v>
      </c>
      <c r="G364" s="8">
        <f t="shared" si="5"/>
        <v>6354.6444000000001</v>
      </c>
    </row>
    <row r="365" spans="1:7" x14ac:dyDescent="0.3">
      <c r="A365" s="14" t="str">
        <f>VLOOKUP(B365,'Relacion codigos'!$A:$B,2,FALSE)</f>
        <v>2125</v>
      </c>
      <c r="B365" s="6" t="s">
        <v>5721</v>
      </c>
      <c r="C365" s="6" t="s">
        <v>52</v>
      </c>
      <c r="D365" s="24">
        <v>5468.6246940000001</v>
      </c>
      <c r="E365" s="6" t="s">
        <v>5889</v>
      </c>
      <c r="F365" s="6">
        <v>21</v>
      </c>
      <c r="G365" s="8">
        <f t="shared" si="5"/>
        <v>5468.6246940000001</v>
      </c>
    </row>
    <row r="366" spans="1:7" x14ac:dyDescent="0.3">
      <c r="A366" s="14" t="str">
        <f>VLOOKUP(B366,'Relacion codigos'!$A:$B,2,FALSE)</f>
        <v>310</v>
      </c>
      <c r="B366" s="6" t="s">
        <v>5722</v>
      </c>
      <c r="C366" s="6" t="s">
        <v>53</v>
      </c>
      <c r="D366" s="24">
        <v>96.212688</v>
      </c>
      <c r="E366" s="6" t="s">
        <v>5889</v>
      </c>
      <c r="F366" s="6">
        <v>21</v>
      </c>
      <c r="G366" s="8">
        <f t="shared" si="5"/>
        <v>96.212688</v>
      </c>
    </row>
    <row r="367" spans="1:7" x14ac:dyDescent="0.3">
      <c r="A367" s="14" t="str">
        <f>VLOOKUP(B367,'Relacion codigos'!$A:$B,2,FALSE)</f>
        <v>241</v>
      </c>
      <c r="B367" s="6" t="s">
        <v>5723</v>
      </c>
      <c r="C367" s="6" t="s">
        <v>54</v>
      </c>
      <c r="D367" s="24">
        <v>5650.7038492787997</v>
      </c>
      <c r="E367" s="6" t="s">
        <v>5889</v>
      </c>
      <c r="F367" s="6">
        <v>21</v>
      </c>
      <c r="G367" s="8">
        <f t="shared" si="5"/>
        <v>5650.7038492787997</v>
      </c>
    </row>
    <row r="368" spans="1:7" x14ac:dyDescent="0.3">
      <c r="A368" s="14" t="str">
        <f>VLOOKUP(B368,'Relacion codigos'!$A:$B,2,FALSE)</f>
        <v>309</v>
      </c>
      <c r="B368" s="6" t="s">
        <v>5724</v>
      </c>
      <c r="C368" s="6" t="s">
        <v>55</v>
      </c>
      <c r="D368" s="24">
        <v>77.683177000000001</v>
      </c>
      <c r="E368" s="6" t="s">
        <v>5889</v>
      </c>
      <c r="F368" s="6">
        <v>21</v>
      </c>
      <c r="G368" s="8">
        <f t="shared" si="5"/>
        <v>77.683177000000001</v>
      </c>
    </row>
    <row r="369" spans="1:7" x14ac:dyDescent="0.3">
      <c r="A369" s="14" t="str">
        <f>VLOOKUP(B369,'Relacion codigos'!$A:$B,2,FALSE)</f>
        <v>6627</v>
      </c>
      <c r="B369" s="6" t="s">
        <v>5725</v>
      </c>
      <c r="C369" s="6" t="s">
        <v>1221</v>
      </c>
      <c r="D369" s="24">
        <v>1.5301</v>
      </c>
      <c r="E369" s="6" t="s">
        <v>5889</v>
      </c>
      <c r="F369" s="6">
        <v>21</v>
      </c>
      <c r="G369" s="8">
        <f t="shared" si="5"/>
        <v>1.5301</v>
      </c>
    </row>
    <row r="370" spans="1:7" x14ac:dyDescent="0.3">
      <c r="A370" s="14" t="str">
        <f>VLOOKUP(B370,'Relacion codigos'!$A:$B,2,FALSE)</f>
        <v>246</v>
      </c>
      <c r="B370" s="6" t="s">
        <v>5726</v>
      </c>
      <c r="C370" s="6" t="s">
        <v>56</v>
      </c>
      <c r="D370" s="24">
        <v>10057.8721782708</v>
      </c>
      <c r="E370" s="6" t="s">
        <v>5889</v>
      </c>
      <c r="F370" s="6">
        <v>21</v>
      </c>
      <c r="G370" s="8">
        <f t="shared" si="5"/>
        <v>10057.8721782708</v>
      </c>
    </row>
    <row r="371" spans="1:7" x14ac:dyDescent="0.3">
      <c r="A371" s="14" t="str">
        <f>VLOOKUP(B371,'Relacion codigos'!$A:$B,2,FALSE)</f>
        <v>4068</v>
      </c>
      <c r="B371" s="6" t="s">
        <v>5727</v>
      </c>
      <c r="C371" s="6" t="s">
        <v>57</v>
      </c>
      <c r="D371" s="24">
        <v>6976.2127499999997</v>
      </c>
      <c r="E371" s="6" t="s">
        <v>5889</v>
      </c>
      <c r="F371" s="6">
        <v>21</v>
      </c>
      <c r="G371" s="8">
        <f t="shared" si="5"/>
        <v>6976.2127499999997</v>
      </c>
    </row>
    <row r="372" spans="1:7" x14ac:dyDescent="0.3">
      <c r="A372" s="14" t="str">
        <f>VLOOKUP(B372,'Relacion codigos'!$A:$B,2,FALSE)</f>
        <v>4067</v>
      </c>
      <c r="B372" s="6" t="s">
        <v>5728</v>
      </c>
      <c r="C372" s="6" t="s">
        <v>58</v>
      </c>
      <c r="D372" s="24">
        <v>5192.6057819999996</v>
      </c>
      <c r="E372" s="6" t="s">
        <v>5889</v>
      </c>
      <c r="F372" s="6">
        <v>21</v>
      </c>
      <c r="G372" s="8">
        <f t="shared" si="5"/>
        <v>5192.6057819999996</v>
      </c>
    </row>
    <row r="373" spans="1:7" x14ac:dyDescent="0.3">
      <c r="A373" s="14" t="str">
        <f>VLOOKUP(B373,'Relacion codigos'!$A:$B,2,FALSE)</f>
        <v>319</v>
      </c>
      <c r="B373" s="6" t="s">
        <v>5729</v>
      </c>
      <c r="C373" s="6" t="s">
        <v>59</v>
      </c>
      <c r="D373" s="24">
        <v>133.89905099999999</v>
      </c>
      <c r="E373" s="6" t="s">
        <v>5889</v>
      </c>
      <c r="F373" s="6">
        <v>21</v>
      </c>
      <c r="G373" s="8">
        <f t="shared" si="5"/>
        <v>133.89905099999999</v>
      </c>
    </row>
    <row r="374" spans="1:7" x14ac:dyDescent="0.3">
      <c r="A374" s="14" t="str">
        <f>VLOOKUP(B374,'Relacion codigos'!$A:$B,2,FALSE)</f>
        <v>245</v>
      </c>
      <c r="B374" s="6" t="s">
        <v>5730</v>
      </c>
      <c r="C374" s="6" t="s">
        <v>60</v>
      </c>
      <c r="D374" s="24">
        <v>8257.4539459307998</v>
      </c>
      <c r="E374" s="6" t="s">
        <v>5889</v>
      </c>
      <c r="F374" s="6">
        <v>21</v>
      </c>
      <c r="G374" s="8">
        <f t="shared" si="5"/>
        <v>8257.4539459307998</v>
      </c>
    </row>
    <row r="375" spans="1:7" x14ac:dyDescent="0.3">
      <c r="A375" s="14" t="str">
        <f>VLOOKUP(B375,'Relacion codigos'!$A:$B,2,FALSE)</f>
        <v>316</v>
      </c>
      <c r="B375" s="6" t="s">
        <v>5731</v>
      </c>
      <c r="C375" s="6" t="s">
        <v>61</v>
      </c>
      <c r="D375" s="24">
        <v>111.559591</v>
      </c>
      <c r="E375" s="6" t="s">
        <v>5889</v>
      </c>
      <c r="F375" s="6">
        <v>21</v>
      </c>
      <c r="G375" s="8">
        <f t="shared" si="5"/>
        <v>111.559591</v>
      </c>
    </row>
    <row r="376" spans="1:7" x14ac:dyDescent="0.3">
      <c r="A376" s="14" t="str">
        <f>VLOOKUP(B376,'Relacion codigos'!$A:$B,2,FALSE)</f>
        <v>1524</v>
      </c>
      <c r="B376" s="6" t="s">
        <v>5732</v>
      </c>
      <c r="C376" s="6" t="s">
        <v>62</v>
      </c>
      <c r="D376" s="24">
        <v>354.937297</v>
      </c>
      <c r="E376" s="6" t="s">
        <v>5889</v>
      </c>
      <c r="F376" s="6">
        <v>21</v>
      </c>
      <c r="G376" s="8">
        <f t="shared" si="5"/>
        <v>354.937297</v>
      </c>
    </row>
    <row r="377" spans="1:7" x14ac:dyDescent="0.3">
      <c r="A377" s="14" t="str">
        <f>VLOOKUP(B377,'Relacion codigos'!$A:$B,2,FALSE)</f>
        <v>2006</v>
      </c>
      <c r="B377" s="6" t="s">
        <v>4612</v>
      </c>
      <c r="C377" s="6" t="s">
        <v>63</v>
      </c>
      <c r="D377" s="24">
        <v>220.088871807998</v>
      </c>
      <c r="E377" s="6" t="s">
        <v>5889</v>
      </c>
      <c r="F377" s="6">
        <v>21</v>
      </c>
      <c r="G377" s="8">
        <f t="shared" si="5"/>
        <v>220.088871807998</v>
      </c>
    </row>
    <row r="378" spans="1:7" x14ac:dyDescent="0.3">
      <c r="A378" s="14" t="str">
        <f>VLOOKUP(B378,'Relacion codigos'!$A:$B,2,FALSE)</f>
        <v>2007</v>
      </c>
      <c r="B378" s="6" t="s">
        <v>4613</v>
      </c>
      <c r="C378" s="6" t="s">
        <v>64</v>
      </c>
      <c r="D378" s="24">
        <v>368.46339212800001</v>
      </c>
      <c r="E378" s="6" t="s">
        <v>5889</v>
      </c>
      <c r="F378" s="6">
        <v>21</v>
      </c>
      <c r="G378" s="8">
        <f t="shared" si="5"/>
        <v>368.46339212800001</v>
      </c>
    </row>
    <row r="379" spans="1:7" x14ac:dyDescent="0.3">
      <c r="A379" s="14" t="str">
        <f>VLOOKUP(B379,'Relacion codigos'!$A:$B,2,FALSE)</f>
        <v>2008</v>
      </c>
      <c r="B379" s="6" t="s">
        <v>4614</v>
      </c>
      <c r="C379" s="6" t="s">
        <v>65</v>
      </c>
      <c r="D379" s="24">
        <v>734.45387558399898</v>
      </c>
      <c r="E379" s="6" t="s">
        <v>5889</v>
      </c>
      <c r="F379" s="6">
        <v>21</v>
      </c>
      <c r="G379" s="8">
        <f t="shared" si="5"/>
        <v>734.45387558399898</v>
      </c>
    </row>
    <row r="380" spans="1:7" x14ac:dyDescent="0.3">
      <c r="A380" s="14" t="str">
        <f>VLOOKUP(B380,'Relacion codigos'!$A:$B,2,FALSE)</f>
        <v>2009</v>
      </c>
      <c r="B380" s="6" t="s">
        <v>4615</v>
      </c>
      <c r="C380" s="6" t="s">
        <v>66</v>
      </c>
      <c r="D380" s="24">
        <v>981.74474278400498</v>
      </c>
      <c r="E380" s="6" t="s">
        <v>5889</v>
      </c>
      <c r="F380" s="6">
        <v>21</v>
      </c>
      <c r="G380" s="8">
        <f t="shared" si="5"/>
        <v>981.74474278400498</v>
      </c>
    </row>
    <row r="381" spans="1:7" x14ac:dyDescent="0.3">
      <c r="A381" s="14" t="str">
        <f>VLOOKUP(B381,'Relacion codigos'!$A:$B,2,FALSE)</f>
        <v>2010</v>
      </c>
      <c r="B381" s="6" t="s">
        <v>4616</v>
      </c>
      <c r="C381" s="6" t="s">
        <v>67</v>
      </c>
      <c r="D381" s="24">
        <v>1179.577436544</v>
      </c>
      <c r="E381" s="6" t="s">
        <v>5889</v>
      </c>
      <c r="F381" s="6">
        <v>21</v>
      </c>
      <c r="G381" s="8">
        <f t="shared" si="5"/>
        <v>1179.577436544</v>
      </c>
    </row>
    <row r="382" spans="1:7" x14ac:dyDescent="0.3">
      <c r="A382" s="14" t="e">
        <f>VLOOKUP(B382,'Relacion codigos'!$A:$B,2,FALSE)</f>
        <v>#N/A</v>
      </c>
      <c r="B382" s="6" t="s">
        <v>9878</v>
      </c>
      <c r="C382" s="6" t="s">
        <v>9950</v>
      </c>
      <c r="D382" s="24">
        <v>7014.4212788207997</v>
      </c>
      <c r="E382" s="6" t="s">
        <v>5889</v>
      </c>
      <c r="F382" s="6">
        <v>10.5</v>
      </c>
      <c r="G382" s="8">
        <f t="shared" si="5"/>
        <v>7014.4212788207997</v>
      </c>
    </row>
    <row r="383" spans="1:7" x14ac:dyDescent="0.3">
      <c r="A383" s="14" t="e">
        <f>VLOOKUP(B383,'Relacion codigos'!$A:$B,2,FALSE)</f>
        <v>#N/A</v>
      </c>
      <c r="B383" s="6" t="s">
        <v>10934</v>
      </c>
      <c r="C383" s="6" t="s">
        <v>13124</v>
      </c>
      <c r="D383" s="24">
        <v>3.6036000000000001</v>
      </c>
      <c r="E383" s="6" t="s">
        <v>5887</v>
      </c>
      <c r="F383" s="6">
        <v>21</v>
      </c>
      <c r="G383" s="8">
        <f t="shared" si="5"/>
        <v>5603.598</v>
      </c>
    </row>
    <row r="384" spans="1:7" x14ac:dyDescent="0.3">
      <c r="A384" s="14" t="str">
        <f>VLOOKUP(B384,'Relacion codigos'!$A:$B,2,FALSE)</f>
        <v>2560</v>
      </c>
      <c r="B384" s="6" t="s">
        <v>3097</v>
      </c>
      <c r="C384" s="6" t="s">
        <v>13125</v>
      </c>
      <c r="D384" s="24">
        <v>14.7123288</v>
      </c>
      <c r="E384" s="6" t="s">
        <v>5887</v>
      </c>
      <c r="F384" s="6">
        <v>21</v>
      </c>
      <c r="G384" s="8">
        <f t="shared" si="5"/>
        <v>22877.671284</v>
      </c>
    </row>
    <row r="385" spans="1:7" x14ac:dyDescent="0.3">
      <c r="A385" s="14" t="str">
        <f>VLOOKUP(B385,'Relacion codigos'!$A:$B,2,FALSE)</f>
        <v>2584</v>
      </c>
      <c r="B385" s="6" t="s">
        <v>3098</v>
      </c>
      <c r="C385" s="6" t="s">
        <v>13126</v>
      </c>
      <c r="D385" s="24">
        <v>26.03952</v>
      </c>
      <c r="E385" s="6" t="s">
        <v>5887</v>
      </c>
      <c r="F385" s="6">
        <v>21</v>
      </c>
      <c r="G385" s="8">
        <f t="shared" si="5"/>
        <v>40491.453600000001</v>
      </c>
    </row>
    <row r="386" spans="1:7" x14ac:dyDescent="0.3">
      <c r="A386" s="14" t="str">
        <f>VLOOKUP(B386,'Relacion codigos'!$A:$B,2,FALSE)</f>
        <v>985</v>
      </c>
      <c r="B386" s="6" t="s">
        <v>5651</v>
      </c>
      <c r="C386" s="6" t="s">
        <v>68</v>
      </c>
      <c r="D386" s="24">
        <v>116.66538546295099</v>
      </c>
      <c r="E386" s="6" t="s">
        <v>5889</v>
      </c>
      <c r="F386" s="6">
        <v>21</v>
      </c>
      <c r="G386" s="8">
        <f t="shared" ref="G386:G449" si="6">IF(E386="Dolares",D386*$G$1,D386)</f>
        <v>116.66538546295099</v>
      </c>
    </row>
    <row r="387" spans="1:7" x14ac:dyDescent="0.3">
      <c r="A387" s="14" t="str">
        <f>VLOOKUP(B387,'Relacion codigos'!$A:$B,2,FALSE)</f>
        <v>653</v>
      </c>
      <c r="B387" s="6" t="s">
        <v>5652</v>
      </c>
      <c r="C387" s="6" t="s">
        <v>69</v>
      </c>
      <c r="D387" s="24">
        <v>76.532386585998495</v>
      </c>
      <c r="E387" s="6" t="s">
        <v>5889</v>
      </c>
      <c r="F387" s="6">
        <v>21</v>
      </c>
      <c r="G387" s="8">
        <f t="shared" si="6"/>
        <v>76.532386585998495</v>
      </c>
    </row>
    <row r="388" spans="1:7" x14ac:dyDescent="0.3">
      <c r="A388" s="14" t="e">
        <f>VLOOKUP(B388,'Relacion codigos'!$A:$B,2,FALSE)</f>
        <v>#N/A</v>
      </c>
      <c r="B388" s="6" t="s">
        <v>13848</v>
      </c>
      <c r="C388" s="6" t="s">
        <v>13849</v>
      </c>
      <c r="D388" s="24">
        <v>7428.1736879999999</v>
      </c>
      <c r="E388" s="6" t="s">
        <v>5889</v>
      </c>
      <c r="F388" s="6">
        <v>21</v>
      </c>
      <c r="G388" s="8">
        <f t="shared" si="6"/>
        <v>7428.1736879999999</v>
      </c>
    </row>
    <row r="389" spans="1:7" x14ac:dyDescent="0.3">
      <c r="A389" s="14" t="e">
        <f>VLOOKUP(B389,'Relacion codigos'!$A:$B,2,FALSE)</f>
        <v>#N/A</v>
      </c>
      <c r="B389" s="6" t="s">
        <v>13850</v>
      </c>
      <c r="C389" s="6" t="s">
        <v>13851</v>
      </c>
      <c r="D389" s="24">
        <v>11392.277480999999</v>
      </c>
      <c r="E389" s="6" t="s">
        <v>5889</v>
      </c>
      <c r="F389" s="6">
        <v>21</v>
      </c>
      <c r="G389" s="8">
        <f t="shared" si="6"/>
        <v>11392.277480999999</v>
      </c>
    </row>
    <row r="390" spans="1:7" x14ac:dyDescent="0.3">
      <c r="A390" s="14" t="e">
        <f>VLOOKUP(B390,'Relacion codigos'!$A:$B,2,FALSE)</f>
        <v>#N/A</v>
      </c>
      <c r="B390" s="6" t="s">
        <v>13852</v>
      </c>
      <c r="C390" s="6" t="s">
        <v>13853</v>
      </c>
      <c r="D390" s="24">
        <v>14792.800932</v>
      </c>
      <c r="E390" s="6" t="s">
        <v>5889</v>
      </c>
      <c r="F390" s="6">
        <v>21</v>
      </c>
      <c r="G390" s="8">
        <f t="shared" si="6"/>
        <v>14792.800932</v>
      </c>
    </row>
    <row r="391" spans="1:7" x14ac:dyDescent="0.3">
      <c r="A391" s="14" t="str">
        <f>VLOOKUP(B391,'Relacion codigos'!$A:$B,2,FALSE)</f>
        <v>7423</v>
      </c>
      <c r="B391" s="6" t="s">
        <v>4703</v>
      </c>
      <c r="C391" s="6" t="s">
        <v>70</v>
      </c>
      <c r="D391" s="24">
        <v>478.35327124000099</v>
      </c>
      <c r="E391" s="6" t="s">
        <v>5889</v>
      </c>
      <c r="F391" s="6">
        <v>21</v>
      </c>
      <c r="G391" s="8">
        <f t="shared" si="6"/>
        <v>478.35327124000099</v>
      </c>
    </row>
    <row r="392" spans="1:7" x14ac:dyDescent="0.3">
      <c r="A392" s="14" t="str">
        <f>VLOOKUP(B392,'Relacion codigos'!$A:$B,2,FALSE)</f>
        <v>7422</v>
      </c>
      <c r="B392" s="6" t="s">
        <v>4704</v>
      </c>
      <c r="C392" s="6" t="s">
        <v>71</v>
      </c>
      <c r="D392" s="24">
        <v>1285.4584988634999</v>
      </c>
      <c r="E392" s="6" t="s">
        <v>5889</v>
      </c>
      <c r="F392" s="6">
        <v>21</v>
      </c>
      <c r="G392" s="8">
        <f t="shared" si="6"/>
        <v>1285.4584988634999</v>
      </c>
    </row>
    <row r="393" spans="1:7" x14ac:dyDescent="0.3">
      <c r="A393" s="14" t="str">
        <f>VLOOKUP(B393,'Relacion codigos'!$A:$B,2,FALSE)</f>
        <v>7421</v>
      </c>
      <c r="B393" s="6" t="s">
        <v>4702</v>
      </c>
      <c r="C393" s="6" t="s">
        <v>9921</v>
      </c>
      <c r="D393" s="24">
        <v>478.35327124000099</v>
      </c>
      <c r="E393" s="6" t="s">
        <v>5889</v>
      </c>
      <c r="F393" s="6">
        <v>21</v>
      </c>
      <c r="G393" s="8">
        <f t="shared" si="6"/>
        <v>478.35327124000099</v>
      </c>
    </row>
    <row r="394" spans="1:7" x14ac:dyDescent="0.3">
      <c r="A394" s="14" t="str">
        <f>VLOOKUP(B394,'Relacion codigos'!$A:$B,2,FALSE)</f>
        <v>5137</v>
      </c>
      <c r="B394" s="6" t="s">
        <v>4956</v>
      </c>
      <c r="C394" s="6" t="s">
        <v>9922</v>
      </c>
      <c r="D394" s="24">
        <v>538.12617983355005</v>
      </c>
      <c r="E394" s="6" t="s">
        <v>5889</v>
      </c>
      <c r="F394" s="6">
        <v>21</v>
      </c>
      <c r="G394" s="8">
        <f t="shared" si="6"/>
        <v>538.12617983355005</v>
      </c>
    </row>
    <row r="395" spans="1:7" x14ac:dyDescent="0.3">
      <c r="A395" s="14" t="str">
        <f>VLOOKUP(B395,'Relacion codigos'!$A:$B,2,FALSE)</f>
        <v>9200</v>
      </c>
      <c r="B395" s="6" t="s">
        <v>5214</v>
      </c>
      <c r="C395" s="6" t="s">
        <v>1201</v>
      </c>
      <c r="D395" s="24">
        <v>488.52267749999999</v>
      </c>
      <c r="E395" s="6" t="s">
        <v>5889</v>
      </c>
      <c r="F395" s="6">
        <v>21</v>
      </c>
      <c r="G395" s="8">
        <f t="shared" si="6"/>
        <v>488.52267749999999</v>
      </c>
    </row>
    <row r="396" spans="1:7" x14ac:dyDescent="0.3">
      <c r="A396" s="14" t="str">
        <f>VLOOKUP(B396,'Relacion codigos'!$A:$B,2,FALSE)</f>
        <v>9205</v>
      </c>
      <c r="B396" s="6" t="s">
        <v>5215</v>
      </c>
      <c r="C396" s="6" t="s">
        <v>1222</v>
      </c>
      <c r="D396" s="24">
        <v>530.74467419999996</v>
      </c>
      <c r="E396" s="6" t="s">
        <v>5889</v>
      </c>
      <c r="F396" s="6">
        <v>21</v>
      </c>
      <c r="G396" s="8">
        <f t="shared" si="6"/>
        <v>530.74467419999996</v>
      </c>
    </row>
    <row r="397" spans="1:7" x14ac:dyDescent="0.3">
      <c r="A397" s="14" t="str">
        <f>VLOOKUP(B397,'Relacion codigos'!$A:$B,2,FALSE)</f>
        <v>2011</v>
      </c>
      <c r="B397" s="6" t="s">
        <v>4705</v>
      </c>
      <c r="C397" s="6" t="s">
        <v>72</v>
      </c>
      <c r="D397" s="24">
        <v>378.35502681600201</v>
      </c>
      <c r="E397" s="6" t="s">
        <v>5889</v>
      </c>
      <c r="F397" s="6">
        <v>21</v>
      </c>
      <c r="G397" s="8">
        <f t="shared" si="6"/>
        <v>378.35502681600201</v>
      </c>
    </row>
    <row r="398" spans="1:7" x14ac:dyDescent="0.3">
      <c r="A398" s="14" t="e">
        <f>VLOOKUP(B398,'Relacion codigos'!$A:$B,2,FALSE)</f>
        <v>#N/A</v>
      </c>
      <c r="B398" s="6" t="s">
        <v>9040</v>
      </c>
      <c r="C398" s="6" t="s">
        <v>9041</v>
      </c>
      <c r="D398" s="24">
        <v>977.0513363</v>
      </c>
      <c r="E398" s="6" t="s">
        <v>5889</v>
      </c>
      <c r="F398" s="6">
        <v>21</v>
      </c>
      <c r="G398" s="8">
        <f t="shared" si="6"/>
        <v>977.0513363</v>
      </c>
    </row>
    <row r="399" spans="1:7" x14ac:dyDescent="0.3">
      <c r="A399" s="14" t="str">
        <f>VLOOKUP(B399,'Relacion codigos'!$A:$B,2,FALSE)</f>
        <v>2012</v>
      </c>
      <c r="B399" s="6" t="s">
        <v>4706</v>
      </c>
      <c r="C399" s="6" t="s">
        <v>73</v>
      </c>
      <c r="D399" s="24">
        <v>477.27137369599899</v>
      </c>
      <c r="E399" s="6" t="s">
        <v>5889</v>
      </c>
      <c r="F399" s="6">
        <v>21</v>
      </c>
      <c r="G399" s="8">
        <f t="shared" si="6"/>
        <v>477.27137369599899</v>
      </c>
    </row>
    <row r="400" spans="1:7" x14ac:dyDescent="0.3">
      <c r="A400" s="14" t="str">
        <f>VLOOKUP(B400,'Relacion codigos'!$A:$B,2,FALSE)</f>
        <v>8149</v>
      </c>
      <c r="B400" s="6" t="s">
        <v>4957</v>
      </c>
      <c r="C400" s="6" t="s">
        <v>848</v>
      </c>
      <c r="D400" s="24">
        <v>3965.5274931874601</v>
      </c>
      <c r="E400" s="6" t="s">
        <v>5889</v>
      </c>
      <c r="F400" s="6">
        <v>21</v>
      </c>
      <c r="G400" s="8">
        <f t="shared" si="6"/>
        <v>3965.5274931874601</v>
      </c>
    </row>
    <row r="401" spans="1:7" x14ac:dyDescent="0.3">
      <c r="A401" s="14" t="str">
        <f>VLOOKUP(B401,'Relacion codigos'!$A:$B,2,FALSE)</f>
        <v>5389</v>
      </c>
      <c r="B401" s="6" t="s">
        <v>4958</v>
      </c>
      <c r="C401" s="6" t="s">
        <v>1223</v>
      </c>
      <c r="D401" s="24">
        <v>2937.9622920677798</v>
      </c>
      <c r="E401" s="6" t="s">
        <v>5889</v>
      </c>
      <c r="F401" s="6">
        <v>21</v>
      </c>
      <c r="G401" s="8">
        <f t="shared" si="6"/>
        <v>2937.9622920677798</v>
      </c>
    </row>
    <row r="402" spans="1:7" x14ac:dyDescent="0.3">
      <c r="A402" s="14" t="str">
        <f>VLOOKUP(B402,'Relacion codigos'!$A:$B,2,FALSE)</f>
        <v>7264</v>
      </c>
      <c r="B402" s="6" t="s">
        <v>4959</v>
      </c>
      <c r="C402" s="6" t="s">
        <v>74</v>
      </c>
      <c r="D402" s="24">
        <v>2937.9622920677798</v>
      </c>
      <c r="E402" s="6" t="s">
        <v>5889</v>
      </c>
      <c r="F402" s="6">
        <v>21</v>
      </c>
      <c r="G402" s="8">
        <f t="shared" si="6"/>
        <v>2937.9622920677798</v>
      </c>
    </row>
    <row r="403" spans="1:7" x14ac:dyDescent="0.3">
      <c r="A403" s="14" t="str">
        <f>VLOOKUP(B403,'Relacion codigos'!$A:$B,2,FALSE)</f>
        <v>6031</v>
      </c>
      <c r="B403" s="6" t="s">
        <v>4960</v>
      </c>
      <c r="C403" s="6" t="s">
        <v>1224</v>
      </c>
      <c r="D403" s="24">
        <v>2937.9622920677798</v>
      </c>
      <c r="E403" s="6" t="s">
        <v>5889</v>
      </c>
      <c r="F403" s="6">
        <v>21</v>
      </c>
      <c r="G403" s="8">
        <f t="shared" si="6"/>
        <v>2937.9622920677798</v>
      </c>
    </row>
    <row r="404" spans="1:7" x14ac:dyDescent="0.3">
      <c r="A404" s="14" t="str">
        <f>VLOOKUP(B404,'Relacion codigos'!$A:$B,2,FALSE)</f>
        <v>8892</v>
      </c>
      <c r="B404" s="6" t="s">
        <v>4961</v>
      </c>
      <c r="C404" s="6" t="s">
        <v>9923</v>
      </c>
      <c r="D404" s="24">
        <v>1886.8300172102099</v>
      </c>
      <c r="E404" s="6" t="s">
        <v>5889</v>
      </c>
      <c r="F404" s="6">
        <v>21</v>
      </c>
      <c r="G404" s="8">
        <f t="shared" si="6"/>
        <v>1886.8300172102099</v>
      </c>
    </row>
    <row r="405" spans="1:7" x14ac:dyDescent="0.3">
      <c r="A405" s="14" t="str">
        <f>VLOOKUP(B405,'Relacion codigos'!$A:$B,2,FALSE)</f>
        <v>1185</v>
      </c>
      <c r="B405" s="6" t="s">
        <v>4707</v>
      </c>
      <c r="C405" s="6" t="s">
        <v>75</v>
      </c>
      <c r="D405" s="24">
        <v>299.22194931199903</v>
      </c>
      <c r="E405" s="6" t="s">
        <v>5889</v>
      </c>
      <c r="F405" s="6">
        <v>21</v>
      </c>
      <c r="G405" s="8">
        <f t="shared" si="6"/>
        <v>299.22194931199903</v>
      </c>
    </row>
    <row r="406" spans="1:7" x14ac:dyDescent="0.3">
      <c r="A406" s="14" t="str">
        <f>VLOOKUP(B406,'Relacion codigos'!$A:$B,2,FALSE)</f>
        <v>506</v>
      </c>
      <c r="B406" s="6" t="s">
        <v>4849</v>
      </c>
      <c r="C406" s="6" t="s">
        <v>76</v>
      </c>
      <c r="D406" s="24">
        <v>296.95902599999999</v>
      </c>
      <c r="E406" s="6" t="s">
        <v>5889</v>
      </c>
      <c r="F406" s="6">
        <v>21</v>
      </c>
      <c r="G406" s="8">
        <f t="shared" si="6"/>
        <v>296.95902599999999</v>
      </c>
    </row>
    <row r="407" spans="1:7" x14ac:dyDescent="0.3">
      <c r="A407" s="14" t="str">
        <f>VLOOKUP(B407,'Relacion codigos'!$A:$B,2,FALSE)</f>
        <v>509</v>
      </c>
      <c r="B407" s="6" t="s">
        <v>4850</v>
      </c>
      <c r="C407" s="6" t="s">
        <v>77</v>
      </c>
      <c r="D407" s="24">
        <v>296.95902599999999</v>
      </c>
      <c r="E407" s="6" t="s">
        <v>5889</v>
      </c>
      <c r="F407" s="6">
        <v>21</v>
      </c>
      <c r="G407" s="8">
        <f t="shared" si="6"/>
        <v>296.95902599999999</v>
      </c>
    </row>
    <row r="408" spans="1:7" x14ac:dyDescent="0.3">
      <c r="A408" s="14" t="e">
        <f>VLOOKUP(B408,'Relacion codigos'!$A:$B,2,FALSE)</f>
        <v>#N/A</v>
      </c>
      <c r="B408" s="6" t="s">
        <v>11061</v>
      </c>
      <c r="C408" s="6" t="s">
        <v>11058</v>
      </c>
      <c r="D408" s="24">
        <v>418.5508968108</v>
      </c>
      <c r="E408" s="6" t="s">
        <v>5889</v>
      </c>
      <c r="F408" s="6">
        <v>21</v>
      </c>
      <c r="G408" s="8">
        <f t="shared" si="6"/>
        <v>418.5508968108</v>
      </c>
    </row>
    <row r="409" spans="1:7" x14ac:dyDescent="0.3">
      <c r="A409" s="14" t="str">
        <f>VLOOKUP(B409,'Relacion codigos'!$A:$B,2,FALSE)</f>
        <v>7300</v>
      </c>
      <c r="B409" s="6" t="s">
        <v>5138</v>
      </c>
      <c r="C409" s="6" t="s">
        <v>10976</v>
      </c>
      <c r="D409" s="24">
        <v>418.5508968108</v>
      </c>
      <c r="E409" s="6" t="s">
        <v>5889</v>
      </c>
      <c r="F409" s="6">
        <v>21</v>
      </c>
      <c r="G409" s="8">
        <f t="shared" si="6"/>
        <v>418.5508968108</v>
      </c>
    </row>
    <row r="410" spans="1:7" x14ac:dyDescent="0.3">
      <c r="A410" s="14" t="str">
        <f>VLOOKUP(B410,'Relacion codigos'!$A:$B,2,FALSE)</f>
        <v>1184</v>
      </c>
      <c r="B410" s="6" t="s">
        <v>4708</v>
      </c>
      <c r="C410" s="6" t="s">
        <v>78</v>
      </c>
      <c r="D410" s="24">
        <v>309.113584</v>
      </c>
      <c r="E410" s="6" t="s">
        <v>5889</v>
      </c>
      <c r="F410" s="6">
        <v>21</v>
      </c>
      <c r="G410" s="8">
        <f t="shared" si="6"/>
        <v>309.113584</v>
      </c>
    </row>
    <row r="411" spans="1:7" x14ac:dyDescent="0.3">
      <c r="A411" s="14" t="e">
        <f>VLOOKUP(B411,'Relacion codigos'!$A:$B,2,FALSE)</f>
        <v>#N/A</v>
      </c>
      <c r="B411" s="6" t="s">
        <v>11062</v>
      </c>
      <c r="C411" s="6" t="s">
        <v>11934</v>
      </c>
      <c r="D411" s="24">
        <v>478.615216014</v>
      </c>
      <c r="E411" s="6" t="s">
        <v>5889</v>
      </c>
      <c r="F411" s="6">
        <v>21</v>
      </c>
      <c r="G411" s="8">
        <f t="shared" si="6"/>
        <v>478.615216014</v>
      </c>
    </row>
    <row r="412" spans="1:7" x14ac:dyDescent="0.3">
      <c r="A412" s="14" t="str">
        <f>VLOOKUP(B412,'Relacion codigos'!$A:$B,2,FALSE)</f>
        <v>5135</v>
      </c>
      <c r="B412" s="6" t="s">
        <v>4962</v>
      </c>
      <c r="C412" s="6" t="s">
        <v>9924</v>
      </c>
      <c r="D412" s="24">
        <v>708.80052791508604</v>
      </c>
      <c r="E412" s="6" t="s">
        <v>5889</v>
      </c>
      <c r="F412" s="6">
        <v>21</v>
      </c>
      <c r="G412" s="8">
        <f t="shared" si="6"/>
        <v>708.80052791508604</v>
      </c>
    </row>
    <row r="413" spans="1:7" x14ac:dyDescent="0.3">
      <c r="A413" s="14" t="str">
        <f>VLOOKUP(B413,'Relacion codigos'!$A:$B,2,FALSE)</f>
        <v>6047</v>
      </c>
      <c r="B413" s="6" t="s">
        <v>4963</v>
      </c>
      <c r="C413" s="6" t="s">
        <v>9925</v>
      </c>
      <c r="D413" s="24">
        <v>2544.51190459695</v>
      </c>
      <c r="E413" s="6" t="s">
        <v>5889</v>
      </c>
      <c r="F413" s="6">
        <v>21</v>
      </c>
      <c r="G413" s="8">
        <f t="shared" si="6"/>
        <v>2544.51190459695</v>
      </c>
    </row>
    <row r="414" spans="1:7" x14ac:dyDescent="0.3">
      <c r="A414" s="14" t="str">
        <f>VLOOKUP(B414,'Relacion codigos'!$A:$B,2,FALSE)</f>
        <v>6506</v>
      </c>
      <c r="B414" s="6" t="s">
        <v>5279</v>
      </c>
      <c r="C414" s="6" t="s">
        <v>1225</v>
      </c>
      <c r="D414" s="24">
        <v>13.492699999999999</v>
      </c>
      <c r="E414" s="6" t="s">
        <v>5887</v>
      </c>
      <c r="F414" s="6">
        <v>21</v>
      </c>
      <c r="G414" s="8">
        <f t="shared" si="6"/>
        <v>20981.148499999999</v>
      </c>
    </row>
    <row r="415" spans="1:7" x14ac:dyDescent="0.3">
      <c r="A415" s="14" t="str">
        <f>VLOOKUP(B415,'Relacion codigos'!$A:$B,2,FALSE)</f>
        <v>2231</v>
      </c>
      <c r="B415" s="6" t="s">
        <v>5281</v>
      </c>
      <c r="C415" s="6" t="s">
        <v>1226</v>
      </c>
      <c r="D415" s="24">
        <v>13.513359132</v>
      </c>
      <c r="E415" s="6" t="s">
        <v>5887</v>
      </c>
      <c r="F415" s="6">
        <v>21</v>
      </c>
      <c r="G415" s="8">
        <f t="shared" si="6"/>
        <v>21013.27345026</v>
      </c>
    </row>
    <row r="416" spans="1:7" x14ac:dyDescent="0.3">
      <c r="A416" s="14" t="e">
        <f>VLOOKUP(B416,'Relacion codigos'!$A:$B,2,FALSE)</f>
        <v>#N/A</v>
      </c>
      <c r="B416" s="6" t="s">
        <v>13755</v>
      </c>
      <c r="C416" s="6" t="s">
        <v>13756</v>
      </c>
      <c r="D416" s="24">
        <v>1.2615749999999999</v>
      </c>
      <c r="E416" s="6" t="s">
        <v>5887</v>
      </c>
      <c r="F416" s="6">
        <v>21</v>
      </c>
      <c r="G416" s="8">
        <f t="shared" si="6"/>
        <v>1961.7491249999998</v>
      </c>
    </row>
    <row r="417" spans="1:7" x14ac:dyDescent="0.3">
      <c r="A417" s="14" t="str">
        <f>VLOOKUP(B417,'Relacion codigos'!$A:$B,2,FALSE)</f>
        <v>8470</v>
      </c>
      <c r="B417" s="6" t="s">
        <v>1536</v>
      </c>
      <c r="C417" s="6" t="s">
        <v>1067</v>
      </c>
      <c r="D417" s="24">
        <v>7018.9859999999999</v>
      </c>
      <c r="E417" s="6" t="s">
        <v>5889</v>
      </c>
      <c r="F417" s="6">
        <v>21</v>
      </c>
      <c r="G417" s="8">
        <f t="shared" si="6"/>
        <v>7018.9859999999999</v>
      </c>
    </row>
    <row r="418" spans="1:7" x14ac:dyDescent="0.3">
      <c r="A418" s="14" t="str">
        <f>VLOOKUP(B418,'Relacion codigos'!$A:$B,2,FALSE)</f>
        <v>7463</v>
      </c>
      <c r="B418" s="6" t="s">
        <v>2850</v>
      </c>
      <c r="C418" s="6" t="s">
        <v>849</v>
      </c>
      <c r="D418" s="24">
        <v>7.6566204000000004</v>
      </c>
      <c r="E418" s="6" t="s">
        <v>5887</v>
      </c>
      <c r="F418" s="6">
        <v>21</v>
      </c>
      <c r="G418" s="8">
        <f t="shared" si="6"/>
        <v>11906.044722000001</v>
      </c>
    </row>
    <row r="419" spans="1:7" x14ac:dyDescent="0.3">
      <c r="A419" s="14" t="str">
        <f>VLOOKUP(B419,'Relacion codigos'!$A:$B,2,FALSE)</f>
        <v>7462</v>
      </c>
      <c r="B419" s="6" t="s">
        <v>2851</v>
      </c>
      <c r="C419" s="6" t="s">
        <v>850</v>
      </c>
      <c r="D419" s="24">
        <v>7.6566204000000004</v>
      </c>
      <c r="E419" s="6" t="s">
        <v>5887</v>
      </c>
      <c r="F419" s="6">
        <v>21</v>
      </c>
      <c r="G419" s="8">
        <f t="shared" si="6"/>
        <v>11906.044722000001</v>
      </c>
    </row>
    <row r="420" spans="1:7" x14ac:dyDescent="0.3">
      <c r="A420" s="14" t="e">
        <f>VLOOKUP(B420,'Relacion codigos'!$A:$B,2,FALSE)</f>
        <v>#N/A</v>
      </c>
      <c r="B420" s="6" t="s">
        <v>10223</v>
      </c>
      <c r="C420" s="6" t="s">
        <v>10224</v>
      </c>
      <c r="D420" s="24">
        <v>1.5765750000000001</v>
      </c>
      <c r="E420" s="6" t="s">
        <v>5887</v>
      </c>
      <c r="F420" s="6">
        <v>21</v>
      </c>
      <c r="G420" s="8">
        <f t="shared" si="6"/>
        <v>2451.5741250000001</v>
      </c>
    </row>
    <row r="421" spans="1:7" x14ac:dyDescent="0.3">
      <c r="A421" s="14" t="e">
        <f>VLOOKUP(B421,'Relacion codigos'!$A:$B,2,FALSE)</f>
        <v>#N/A</v>
      </c>
      <c r="B421" s="6" t="s">
        <v>10225</v>
      </c>
      <c r="C421" s="6" t="s">
        <v>10226</v>
      </c>
      <c r="D421" s="24">
        <v>1.5765750000000001</v>
      </c>
      <c r="E421" s="6" t="s">
        <v>5887</v>
      </c>
      <c r="F421" s="6">
        <v>21</v>
      </c>
      <c r="G421" s="8">
        <f t="shared" si="6"/>
        <v>2451.5741250000001</v>
      </c>
    </row>
    <row r="422" spans="1:7" x14ac:dyDescent="0.3">
      <c r="A422" s="14" t="str">
        <f>VLOOKUP(B422,'Relacion codigos'!$A:$B,2,FALSE)</f>
        <v>1453</v>
      </c>
      <c r="B422" s="6" t="s">
        <v>2969</v>
      </c>
      <c r="C422" s="6" t="s">
        <v>79</v>
      </c>
      <c r="D422" s="24">
        <v>7.1258147999999997</v>
      </c>
      <c r="E422" s="6" t="s">
        <v>5887</v>
      </c>
      <c r="F422" s="6">
        <v>21</v>
      </c>
      <c r="G422" s="8">
        <f t="shared" si="6"/>
        <v>11080.642013999999</v>
      </c>
    </row>
    <row r="423" spans="1:7" x14ac:dyDescent="0.3">
      <c r="A423" s="14" t="str">
        <f>VLOOKUP(B423,'Relacion codigos'!$A:$B,2,FALSE)</f>
        <v>1488</v>
      </c>
      <c r="B423" s="6" t="s">
        <v>2970</v>
      </c>
      <c r="C423" s="6" t="s">
        <v>80</v>
      </c>
      <c r="D423" s="24">
        <v>7.1258147999999997</v>
      </c>
      <c r="E423" s="6" t="s">
        <v>5887</v>
      </c>
      <c r="F423" s="6">
        <v>21</v>
      </c>
      <c r="G423" s="8">
        <f t="shared" si="6"/>
        <v>11080.642013999999</v>
      </c>
    </row>
    <row r="424" spans="1:7" x14ac:dyDescent="0.3">
      <c r="A424" s="14" t="str">
        <f>VLOOKUP(B424,'Relacion codigos'!$A:$B,2,FALSE)</f>
        <v>2301</v>
      </c>
      <c r="B424" s="6" t="s">
        <v>2971</v>
      </c>
      <c r="C424" s="6" t="s">
        <v>1227</v>
      </c>
      <c r="D424" s="24">
        <v>18.192610800000001</v>
      </c>
      <c r="E424" s="6" t="s">
        <v>5887</v>
      </c>
      <c r="F424" s="6">
        <v>21</v>
      </c>
      <c r="G424" s="8">
        <f t="shared" si="6"/>
        <v>28289.509794000001</v>
      </c>
    </row>
    <row r="425" spans="1:7" x14ac:dyDescent="0.3">
      <c r="A425" s="14" t="str">
        <f>VLOOKUP(B425,'Relacion codigos'!$A:$B,2,FALSE)</f>
        <v>1842</v>
      </c>
      <c r="B425" s="6" t="s">
        <v>2972</v>
      </c>
      <c r="C425" s="6" t="s">
        <v>1228</v>
      </c>
      <c r="D425" s="24">
        <v>18.192610800000001</v>
      </c>
      <c r="E425" s="6" t="s">
        <v>5887</v>
      </c>
      <c r="F425" s="6">
        <v>21</v>
      </c>
      <c r="G425" s="8">
        <f t="shared" si="6"/>
        <v>28289.509794000001</v>
      </c>
    </row>
    <row r="426" spans="1:7" x14ac:dyDescent="0.3">
      <c r="A426" s="14" t="str">
        <f>VLOOKUP(B426,'Relacion codigos'!$A:$B,2,FALSE)</f>
        <v>1456</v>
      </c>
      <c r="B426" s="6" t="s">
        <v>2973</v>
      </c>
      <c r="C426" s="6" t="s">
        <v>81</v>
      </c>
      <c r="D426" s="24">
        <v>18.192610800000001</v>
      </c>
      <c r="E426" s="6" t="s">
        <v>5887</v>
      </c>
      <c r="F426" s="6">
        <v>21</v>
      </c>
      <c r="G426" s="8">
        <f t="shared" si="6"/>
        <v>28289.509794000001</v>
      </c>
    </row>
    <row r="427" spans="1:7" x14ac:dyDescent="0.3">
      <c r="A427" s="14" t="str">
        <f>VLOOKUP(B427,'Relacion codigos'!$A:$B,2,FALSE)</f>
        <v>7457</v>
      </c>
      <c r="B427" s="6" t="s">
        <v>2852</v>
      </c>
      <c r="C427" s="6" t="s">
        <v>851</v>
      </c>
      <c r="D427" s="24">
        <v>5.9490287999999998</v>
      </c>
      <c r="E427" s="6" t="s">
        <v>5887</v>
      </c>
      <c r="F427" s="6">
        <v>21</v>
      </c>
      <c r="G427" s="8">
        <f t="shared" si="6"/>
        <v>9250.7397839999994</v>
      </c>
    </row>
    <row r="428" spans="1:7" x14ac:dyDescent="0.3">
      <c r="A428" s="14" t="str">
        <f>VLOOKUP(B428,'Relacion codigos'!$A:$B,2,FALSE)</f>
        <v>7972</v>
      </c>
      <c r="B428" s="6" t="s">
        <v>2986</v>
      </c>
      <c r="C428" s="6" t="s">
        <v>11386</v>
      </c>
      <c r="D428" s="24">
        <v>3.4028328587500001</v>
      </c>
      <c r="E428" s="6" t="s">
        <v>5887</v>
      </c>
      <c r="F428" s="6">
        <v>21</v>
      </c>
      <c r="G428" s="8">
        <f t="shared" si="6"/>
        <v>5291.4050953562501</v>
      </c>
    </row>
    <row r="429" spans="1:7" x14ac:dyDescent="0.3">
      <c r="A429" s="14" t="str">
        <f>VLOOKUP(B429,'Relacion codigos'!$A:$B,2,FALSE)</f>
        <v>7955</v>
      </c>
      <c r="B429" s="6" t="s">
        <v>2987</v>
      </c>
      <c r="C429" s="6" t="s">
        <v>11387</v>
      </c>
      <c r="D429" s="24">
        <v>3.4028328587500001</v>
      </c>
      <c r="E429" s="6" t="s">
        <v>5887</v>
      </c>
      <c r="F429" s="6">
        <v>21</v>
      </c>
      <c r="G429" s="8">
        <f t="shared" si="6"/>
        <v>5291.4050953562501</v>
      </c>
    </row>
    <row r="430" spans="1:7" x14ac:dyDescent="0.3">
      <c r="A430" s="14" t="str">
        <f>VLOOKUP(B430,'Relacion codigos'!$A:$B,2,FALSE)</f>
        <v>7973</v>
      </c>
      <c r="B430" s="6" t="s">
        <v>2988</v>
      </c>
      <c r="C430" s="6" t="s">
        <v>11388</v>
      </c>
      <c r="D430" s="24">
        <v>3.4028328587500001</v>
      </c>
      <c r="E430" s="6" t="s">
        <v>5887</v>
      </c>
      <c r="F430" s="6">
        <v>21</v>
      </c>
      <c r="G430" s="8">
        <f t="shared" si="6"/>
        <v>5291.4050953562501</v>
      </c>
    </row>
    <row r="431" spans="1:7" x14ac:dyDescent="0.3">
      <c r="A431" s="14" t="str">
        <f>VLOOKUP(B431,'Relacion codigos'!$A:$B,2,FALSE)</f>
        <v>7976</v>
      </c>
      <c r="B431" s="6" t="s">
        <v>2989</v>
      </c>
      <c r="C431" s="6" t="s">
        <v>11389</v>
      </c>
      <c r="D431" s="24">
        <v>4.0833994305000001</v>
      </c>
      <c r="E431" s="6" t="s">
        <v>5887</v>
      </c>
      <c r="F431" s="6">
        <v>21</v>
      </c>
      <c r="G431" s="8">
        <f t="shared" si="6"/>
        <v>6349.6861144274999</v>
      </c>
    </row>
    <row r="432" spans="1:7" x14ac:dyDescent="0.3">
      <c r="A432" s="14" t="str">
        <f>VLOOKUP(B432,'Relacion codigos'!$A:$B,2,FALSE)</f>
        <v>7974</v>
      </c>
      <c r="B432" s="6" t="s">
        <v>2990</v>
      </c>
      <c r="C432" s="6" t="s">
        <v>11390</v>
      </c>
      <c r="D432" s="24">
        <v>4.0833994305000001</v>
      </c>
      <c r="E432" s="6" t="s">
        <v>5887</v>
      </c>
      <c r="F432" s="6">
        <v>21</v>
      </c>
      <c r="G432" s="8">
        <f t="shared" si="6"/>
        <v>6349.6861144274999</v>
      </c>
    </row>
    <row r="433" spans="1:7" x14ac:dyDescent="0.3">
      <c r="A433" s="14" t="str">
        <f>VLOOKUP(B433,'Relacion codigos'!$A:$B,2,FALSE)</f>
        <v>7961</v>
      </c>
      <c r="B433" s="6" t="s">
        <v>2991</v>
      </c>
      <c r="C433" s="6" t="s">
        <v>11391</v>
      </c>
      <c r="D433" s="24">
        <v>4.0833994305000001</v>
      </c>
      <c r="E433" s="6" t="s">
        <v>5887</v>
      </c>
      <c r="F433" s="6">
        <v>21</v>
      </c>
      <c r="G433" s="8">
        <f t="shared" si="6"/>
        <v>6349.6861144274999</v>
      </c>
    </row>
    <row r="434" spans="1:7" x14ac:dyDescent="0.3">
      <c r="A434" s="14" t="str">
        <f>VLOOKUP(B434,'Relacion codigos'!$A:$B,2,FALSE)</f>
        <v>7975</v>
      </c>
      <c r="B434" s="6" t="s">
        <v>2992</v>
      </c>
      <c r="C434" s="6" t="s">
        <v>11392</v>
      </c>
      <c r="D434" s="24">
        <v>8.1825420877199999</v>
      </c>
      <c r="E434" s="6" t="s">
        <v>5887</v>
      </c>
      <c r="F434" s="6">
        <v>21</v>
      </c>
      <c r="G434" s="8">
        <f t="shared" si="6"/>
        <v>12723.852946404601</v>
      </c>
    </row>
    <row r="435" spans="1:7" x14ac:dyDescent="0.3">
      <c r="A435" s="14" t="e">
        <f>VLOOKUP(B435,'Relacion codigos'!$A:$B,2,FALSE)</f>
        <v>#N/A</v>
      </c>
      <c r="B435" s="6" t="s">
        <v>9678</v>
      </c>
      <c r="C435" s="6" t="s">
        <v>11393</v>
      </c>
      <c r="D435" s="24">
        <v>5.4527321712500001</v>
      </c>
      <c r="E435" s="6" t="s">
        <v>5887</v>
      </c>
      <c r="F435" s="6">
        <v>21</v>
      </c>
      <c r="G435" s="8">
        <f t="shared" si="6"/>
        <v>8478.9985262937498</v>
      </c>
    </row>
    <row r="436" spans="1:7" x14ac:dyDescent="0.3">
      <c r="A436" s="14" t="str">
        <f>VLOOKUP(B436,'Relacion codigos'!$A:$B,2,FALSE)</f>
        <v>8474</v>
      </c>
      <c r="B436" s="6" t="s">
        <v>2993</v>
      </c>
      <c r="C436" s="6" t="s">
        <v>11394</v>
      </c>
      <c r="D436" s="24">
        <v>5.5157050781299999</v>
      </c>
      <c r="E436" s="6" t="s">
        <v>5887</v>
      </c>
      <c r="F436" s="6">
        <v>21</v>
      </c>
      <c r="G436" s="8">
        <f t="shared" si="6"/>
        <v>8576.9213964921491</v>
      </c>
    </row>
    <row r="437" spans="1:7" x14ac:dyDescent="0.3">
      <c r="A437" s="14" t="str">
        <f>VLOOKUP(B437,'Relacion codigos'!$A:$B,2,FALSE)</f>
        <v>8475</v>
      </c>
      <c r="B437" s="6" t="s">
        <v>2994</v>
      </c>
      <c r="C437" s="6" t="s">
        <v>11395</v>
      </c>
      <c r="D437" s="24">
        <v>10.757871592000001</v>
      </c>
      <c r="E437" s="6" t="s">
        <v>5887</v>
      </c>
      <c r="F437" s="6">
        <v>21</v>
      </c>
      <c r="G437" s="8">
        <f t="shared" si="6"/>
        <v>16728.49032556</v>
      </c>
    </row>
    <row r="438" spans="1:7" x14ac:dyDescent="0.3">
      <c r="A438" s="14" t="str">
        <f>VLOOKUP(B438,'Relacion codigos'!$A:$B,2,FALSE)</f>
        <v>8180</v>
      </c>
      <c r="B438" s="6" t="s">
        <v>2974</v>
      </c>
      <c r="C438" s="6" t="s">
        <v>9191</v>
      </c>
      <c r="D438" s="24">
        <v>17.631759599999999</v>
      </c>
      <c r="E438" s="6" t="s">
        <v>5887</v>
      </c>
      <c r="F438" s="6">
        <v>21</v>
      </c>
      <c r="G438" s="8">
        <f t="shared" si="6"/>
        <v>27417.386177999997</v>
      </c>
    </row>
    <row r="439" spans="1:7" x14ac:dyDescent="0.3">
      <c r="A439" s="14" t="str">
        <f>VLOOKUP(B439,'Relacion codigos'!$A:$B,2,FALSE)</f>
        <v>8430</v>
      </c>
      <c r="B439" s="6" t="s">
        <v>2975</v>
      </c>
      <c r="C439" s="6" t="s">
        <v>9192</v>
      </c>
      <c r="D439" s="24">
        <v>17.631759599999999</v>
      </c>
      <c r="E439" s="6" t="s">
        <v>5887</v>
      </c>
      <c r="F439" s="6">
        <v>21</v>
      </c>
      <c r="G439" s="8">
        <f t="shared" si="6"/>
        <v>27417.386177999997</v>
      </c>
    </row>
    <row r="440" spans="1:7" x14ac:dyDescent="0.3">
      <c r="A440" s="14" t="str">
        <f>VLOOKUP(B440,'Relacion codigos'!$A:$B,2,FALSE)</f>
        <v>8179</v>
      </c>
      <c r="B440" s="6" t="s">
        <v>2976</v>
      </c>
      <c r="C440" s="6" t="s">
        <v>9211</v>
      </c>
      <c r="D440" s="24">
        <v>17.631759599999999</v>
      </c>
      <c r="E440" s="6" t="s">
        <v>5887</v>
      </c>
      <c r="F440" s="6">
        <v>21</v>
      </c>
      <c r="G440" s="8">
        <f t="shared" si="6"/>
        <v>27417.386177999997</v>
      </c>
    </row>
    <row r="441" spans="1:7" x14ac:dyDescent="0.3">
      <c r="A441" s="14" t="str">
        <f>VLOOKUP(B441,'Relacion codigos'!$A:$B,2,FALSE)</f>
        <v>1824</v>
      </c>
      <c r="B441" s="6" t="s">
        <v>2977</v>
      </c>
      <c r="C441" s="6" t="s">
        <v>9212</v>
      </c>
      <c r="D441" s="24">
        <v>17.631759599999999</v>
      </c>
      <c r="E441" s="6" t="s">
        <v>5887</v>
      </c>
      <c r="F441" s="6">
        <v>21</v>
      </c>
      <c r="G441" s="8">
        <f t="shared" si="6"/>
        <v>27417.386177999997</v>
      </c>
    </row>
    <row r="442" spans="1:7" x14ac:dyDescent="0.3">
      <c r="A442" s="14" t="str">
        <f>VLOOKUP(B442,'Relacion codigos'!$A:$B,2,FALSE)</f>
        <v>8166</v>
      </c>
      <c r="B442" s="6" t="s">
        <v>2978</v>
      </c>
      <c r="C442" s="6" t="s">
        <v>9213</v>
      </c>
      <c r="D442" s="24">
        <v>24.962886000000001</v>
      </c>
      <c r="E442" s="6" t="s">
        <v>5887</v>
      </c>
      <c r="F442" s="6">
        <v>21</v>
      </c>
      <c r="G442" s="8">
        <f t="shared" si="6"/>
        <v>38817.287730000004</v>
      </c>
    </row>
    <row r="443" spans="1:7" x14ac:dyDescent="0.3">
      <c r="A443" s="14" t="str">
        <f>VLOOKUP(B443,'Relacion codigos'!$A:$B,2,FALSE)</f>
        <v>8251</v>
      </c>
      <c r="B443" s="6" t="s">
        <v>2979</v>
      </c>
      <c r="C443" s="6" t="s">
        <v>9214</v>
      </c>
      <c r="D443" s="24">
        <v>24.962886000000001</v>
      </c>
      <c r="E443" s="6" t="s">
        <v>5887</v>
      </c>
      <c r="F443" s="6">
        <v>21</v>
      </c>
      <c r="G443" s="8">
        <f t="shared" si="6"/>
        <v>38817.287730000004</v>
      </c>
    </row>
    <row r="444" spans="1:7" x14ac:dyDescent="0.3">
      <c r="A444" s="14" t="str">
        <f>VLOOKUP(B444,'Relacion codigos'!$A:$B,2,FALSE)</f>
        <v>1705</v>
      </c>
      <c r="B444" s="6" t="s">
        <v>2980</v>
      </c>
      <c r="C444" s="6" t="s">
        <v>9215</v>
      </c>
      <c r="D444" s="24">
        <v>24.962886000000001</v>
      </c>
      <c r="E444" s="6" t="s">
        <v>5887</v>
      </c>
      <c r="F444" s="6">
        <v>21</v>
      </c>
      <c r="G444" s="8">
        <f t="shared" si="6"/>
        <v>38817.287730000004</v>
      </c>
    </row>
    <row r="445" spans="1:7" x14ac:dyDescent="0.3">
      <c r="A445" s="14" t="str">
        <f>VLOOKUP(B445,'Relacion codigos'!$A:$B,2,FALSE)</f>
        <v>2102</v>
      </c>
      <c r="B445" s="6" t="s">
        <v>2981</v>
      </c>
      <c r="C445" s="6" t="s">
        <v>9216</v>
      </c>
      <c r="D445" s="24">
        <v>24.962886000000001</v>
      </c>
      <c r="E445" s="6" t="s">
        <v>5887</v>
      </c>
      <c r="F445" s="6">
        <v>21</v>
      </c>
      <c r="G445" s="8">
        <f t="shared" si="6"/>
        <v>38817.287730000004</v>
      </c>
    </row>
    <row r="446" spans="1:7" x14ac:dyDescent="0.3">
      <c r="A446" s="14" t="str">
        <f>VLOOKUP(B446,'Relacion codigos'!$A:$B,2,FALSE)</f>
        <v>8181</v>
      </c>
      <c r="B446" s="6" t="s">
        <v>2982</v>
      </c>
      <c r="C446" s="6" t="s">
        <v>9217</v>
      </c>
      <c r="D446" s="24">
        <v>29.379589200000002</v>
      </c>
      <c r="E446" s="6" t="s">
        <v>5887</v>
      </c>
      <c r="F446" s="6">
        <v>21</v>
      </c>
      <c r="G446" s="8">
        <f t="shared" si="6"/>
        <v>45685.261206000003</v>
      </c>
    </row>
    <row r="447" spans="1:7" x14ac:dyDescent="0.3">
      <c r="A447" s="14" t="str">
        <f>VLOOKUP(B447,'Relacion codigos'!$A:$B,2,FALSE)</f>
        <v>8252</v>
      </c>
      <c r="B447" s="6" t="s">
        <v>2983</v>
      </c>
      <c r="C447" s="6" t="s">
        <v>9218</v>
      </c>
      <c r="D447" s="24">
        <v>29.379589200000002</v>
      </c>
      <c r="E447" s="6" t="s">
        <v>5887</v>
      </c>
      <c r="F447" s="6">
        <v>21</v>
      </c>
      <c r="G447" s="8">
        <f t="shared" si="6"/>
        <v>45685.261206000003</v>
      </c>
    </row>
    <row r="448" spans="1:7" x14ac:dyDescent="0.3">
      <c r="A448" s="14" t="str">
        <f>VLOOKUP(B448,'Relacion codigos'!$A:$B,2,FALSE)</f>
        <v>9066</v>
      </c>
      <c r="B448" s="6" t="s">
        <v>2984</v>
      </c>
      <c r="C448" s="6" t="s">
        <v>9219</v>
      </c>
      <c r="D448" s="24">
        <v>29.379589200000002</v>
      </c>
      <c r="E448" s="6" t="s">
        <v>5887</v>
      </c>
      <c r="F448" s="6">
        <v>21</v>
      </c>
      <c r="G448" s="8">
        <f t="shared" si="6"/>
        <v>45685.261206000003</v>
      </c>
    </row>
    <row r="449" spans="1:7" x14ac:dyDescent="0.3">
      <c r="A449" s="14" t="str">
        <f>VLOOKUP(B449,'Relacion codigos'!$A:$B,2,FALSE)</f>
        <v>8253</v>
      </c>
      <c r="B449" s="6" t="s">
        <v>2985</v>
      </c>
      <c r="C449" s="6" t="s">
        <v>9220</v>
      </c>
      <c r="D449" s="24">
        <v>29.379589200000002</v>
      </c>
      <c r="E449" s="6" t="s">
        <v>5887</v>
      </c>
      <c r="F449" s="6">
        <v>21</v>
      </c>
      <c r="G449" s="8">
        <f t="shared" si="6"/>
        <v>45685.261206000003</v>
      </c>
    </row>
    <row r="450" spans="1:7" x14ac:dyDescent="0.3">
      <c r="A450" s="14" t="e">
        <f>VLOOKUP(B450,'Relacion codigos'!$A:$B,2,FALSE)</f>
        <v>#N/A</v>
      </c>
      <c r="B450" s="6" t="s">
        <v>11396</v>
      </c>
      <c r="C450" s="6" t="s">
        <v>11397</v>
      </c>
      <c r="D450" s="24">
        <v>5.9036249999999999</v>
      </c>
      <c r="E450" s="6" t="s">
        <v>5887</v>
      </c>
      <c r="F450" s="6">
        <v>21</v>
      </c>
      <c r="G450" s="8">
        <f t="shared" ref="G450:G513" si="7">IF(E450="Dolares",D450*$G$1,D450)</f>
        <v>9180.1368750000001</v>
      </c>
    </row>
    <row r="451" spans="1:7" x14ac:dyDescent="0.3">
      <c r="A451" s="14" t="e">
        <f>VLOOKUP(B451,'Relacion codigos'!$A:$B,2,FALSE)</f>
        <v>#N/A</v>
      </c>
      <c r="B451" s="6" t="s">
        <v>10935</v>
      </c>
      <c r="C451" s="6" t="s">
        <v>11398</v>
      </c>
      <c r="D451" s="24">
        <v>5.9036249999999999</v>
      </c>
      <c r="E451" s="6" t="s">
        <v>5887</v>
      </c>
      <c r="F451" s="6">
        <v>21</v>
      </c>
      <c r="G451" s="8">
        <f t="shared" si="7"/>
        <v>9180.1368750000001</v>
      </c>
    </row>
    <row r="452" spans="1:7" x14ac:dyDescent="0.3">
      <c r="A452" s="14" t="e">
        <f>VLOOKUP(B452,'Relacion codigos'!$A:$B,2,FALSE)</f>
        <v>#N/A</v>
      </c>
      <c r="B452" s="6" t="s">
        <v>14016</v>
      </c>
      <c r="C452" s="6" t="s">
        <v>14017</v>
      </c>
      <c r="D452" s="24">
        <v>5.9036249999999999</v>
      </c>
      <c r="E452" s="6" t="s">
        <v>5887</v>
      </c>
      <c r="F452" s="6">
        <v>21</v>
      </c>
      <c r="G452" s="8">
        <f t="shared" si="7"/>
        <v>9180.1368750000001</v>
      </c>
    </row>
    <row r="453" spans="1:7" x14ac:dyDescent="0.3">
      <c r="A453" s="14" t="e">
        <f>VLOOKUP(B453,'Relacion codigos'!$A:$B,2,FALSE)</f>
        <v>#N/A</v>
      </c>
      <c r="B453" s="6" t="s">
        <v>10936</v>
      </c>
      <c r="C453" s="6" t="s">
        <v>11399</v>
      </c>
      <c r="D453" s="24">
        <v>9.4594500000000004</v>
      </c>
      <c r="E453" s="6" t="s">
        <v>5887</v>
      </c>
      <c r="F453" s="6">
        <v>21</v>
      </c>
      <c r="G453" s="8">
        <f t="shared" si="7"/>
        <v>14709.444750000001</v>
      </c>
    </row>
    <row r="454" spans="1:7" x14ac:dyDescent="0.3">
      <c r="A454" s="14" t="e">
        <f>VLOOKUP(B454,'Relacion codigos'!$A:$B,2,FALSE)</f>
        <v>#N/A</v>
      </c>
      <c r="B454" s="6" t="s">
        <v>10937</v>
      </c>
      <c r="C454" s="6" t="s">
        <v>11400</v>
      </c>
      <c r="D454" s="24">
        <v>13.8957</v>
      </c>
      <c r="E454" s="6" t="s">
        <v>5887</v>
      </c>
      <c r="F454" s="6">
        <v>21</v>
      </c>
      <c r="G454" s="8">
        <f t="shared" si="7"/>
        <v>21607.8135</v>
      </c>
    </row>
    <row r="455" spans="1:7" x14ac:dyDescent="0.3">
      <c r="A455" s="14" t="str">
        <f>VLOOKUP(B455,'Relacion codigos'!$A:$B,2,FALSE)</f>
        <v>9283</v>
      </c>
      <c r="B455" s="6" t="s">
        <v>2995</v>
      </c>
      <c r="C455" s="6" t="s">
        <v>11401</v>
      </c>
      <c r="D455" s="24">
        <v>5.4182231999999999</v>
      </c>
      <c r="E455" s="6" t="s">
        <v>5887</v>
      </c>
      <c r="F455" s="6">
        <v>21</v>
      </c>
      <c r="G455" s="8">
        <f t="shared" si="7"/>
        <v>8425.3370759999998</v>
      </c>
    </row>
    <row r="456" spans="1:7" x14ac:dyDescent="0.3">
      <c r="A456" s="14" t="str">
        <f>VLOOKUP(B456,'Relacion codigos'!$A:$B,2,FALSE)</f>
        <v>7983</v>
      </c>
      <c r="B456" s="6" t="s">
        <v>2996</v>
      </c>
      <c r="C456" s="6" t="s">
        <v>11402</v>
      </c>
      <c r="D456" s="24">
        <v>5.4182231999999999</v>
      </c>
      <c r="E456" s="6" t="s">
        <v>5887</v>
      </c>
      <c r="F456" s="6">
        <v>21</v>
      </c>
      <c r="G456" s="8">
        <f t="shared" si="7"/>
        <v>8425.3370759999998</v>
      </c>
    </row>
    <row r="457" spans="1:7" x14ac:dyDescent="0.3">
      <c r="A457" s="14" t="str">
        <f>VLOOKUP(B457,'Relacion codigos'!$A:$B,2,FALSE)</f>
        <v>8177</v>
      </c>
      <c r="B457" s="6" t="s">
        <v>2997</v>
      </c>
      <c r="C457" s="6" t="s">
        <v>11403</v>
      </c>
      <c r="D457" s="24">
        <v>5.4182231999999999</v>
      </c>
      <c r="E457" s="6" t="s">
        <v>5887</v>
      </c>
      <c r="F457" s="6">
        <v>21</v>
      </c>
      <c r="G457" s="8">
        <f t="shared" si="7"/>
        <v>8425.3370759999998</v>
      </c>
    </row>
    <row r="458" spans="1:7" x14ac:dyDescent="0.3">
      <c r="A458" s="14" t="str">
        <f>VLOOKUP(B458,'Relacion codigos'!$A:$B,2,FALSE)</f>
        <v>8176</v>
      </c>
      <c r="B458" s="6" t="s">
        <v>2998</v>
      </c>
      <c r="C458" s="6" t="s">
        <v>11404</v>
      </c>
      <c r="D458" s="24">
        <v>5.4182231999999999</v>
      </c>
      <c r="E458" s="6" t="s">
        <v>5887</v>
      </c>
      <c r="F458" s="6">
        <v>21</v>
      </c>
      <c r="G458" s="8">
        <f t="shared" si="7"/>
        <v>8425.3370759999998</v>
      </c>
    </row>
    <row r="459" spans="1:7" x14ac:dyDescent="0.3">
      <c r="A459" s="14" t="str">
        <f>VLOOKUP(B459,'Relacion codigos'!$A:$B,2,FALSE)</f>
        <v>761</v>
      </c>
      <c r="B459" s="6" t="s">
        <v>2286</v>
      </c>
      <c r="C459" s="6" t="s">
        <v>82</v>
      </c>
      <c r="D459" s="24">
        <v>0.71761691787541004</v>
      </c>
      <c r="E459" s="6" t="s">
        <v>5887</v>
      </c>
      <c r="F459" s="6">
        <v>21</v>
      </c>
      <c r="G459" s="8">
        <f t="shared" si="7"/>
        <v>1115.8943072962627</v>
      </c>
    </row>
    <row r="460" spans="1:7" x14ac:dyDescent="0.3">
      <c r="A460" s="14" t="str">
        <f>VLOOKUP(B460,'Relacion codigos'!$A:$B,2,FALSE)</f>
        <v>759</v>
      </c>
      <c r="B460" s="6" t="s">
        <v>2287</v>
      </c>
      <c r="C460" s="6" t="s">
        <v>83</v>
      </c>
      <c r="D460" s="24">
        <v>0.47127079744637002</v>
      </c>
      <c r="E460" s="6" t="s">
        <v>5887</v>
      </c>
      <c r="F460" s="6">
        <v>21</v>
      </c>
      <c r="G460" s="8">
        <f t="shared" si="7"/>
        <v>732.82609002910533</v>
      </c>
    </row>
    <row r="461" spans="1:7" x14ac:dyDescent="0.3">
      <c r="A461" s="14" t="str">
        <f>VLOOKUP(B461,'Relacion codigos'!$A:$B,2,FALSE)</f>
        <v>760</v>
      </c>
      <c r="B461" s="6" t="s">
        <v>2288</v>
      </c>
      <c r="C461" s="6" t="s">
        <v>84</v>
      </c>
      <c r="D461" s="24">
        <v>0.57837782298266904</v>
      </c>
      <c r="E461" s="6" t="s">
        <v>5887</v>
      </c>
      <c r="F461" s="6">
        <v>21</v>
      </c>
      <c r="G461" s="8">
        <f t="shared" si="7"/>
        <v>899.37751473805031</v>
      </c>
    </row>
    <row r="462" spans="1:7" x14ac:dyDescent="0.3">
      <c r="A462" s="14" t="str">
        <f>VLOOKUP(B462,'Relacion codigos'!$A:$B,2,FALSE)</f>
        <v>1395</v>
      </c>
      <c r="B462" s="6" t="s">
        <v>3402</v>
      </c>
      <c r="C462" s="6" t="s">
        <v>1084</v>
      </c>
      <c r="D462" s="24">
        <v>56989.116990000002</v>
      </c>
      <c r="E462" s="6" t="s">
        <v>5889</v>
      </c>
      <c r="F462" s="6">
        <v>21</v>
      </c>
      <c r="G462" s="8">
        <f t="shared" si="7"/>
        <v>56989.116990000002</v>
      </c>
    </row>
    <row r="463" spans="1:7" x14ac:dyDescent="0.3">
      <c r="A463" s="14" t="str">
        <f>VLOOKUP(B463,'Relacion codigos'!$A:$B,2,FALSE)</f>
        <v>6076</v>
      </c>
      <c r="B463" s="6" t="s">
        <v>2829</v>
      </c>
      <c r="C463" s="6" t="s">
        <v>852</v>
      </c>
      <c r="D463" s="24">
        <v>1.5022800000000001</v>
      </c>
      <c r="E463" s="6" t="s">
        <v>5887</v>
      </c>
      <c r="F463" s="6">
        <v>21</v>
      </c>
      <c r="G463" s="8">
        <f t="shared" si="7"/>
        <v>2336.0454</v>
      </c>
    </row>
    <row r="464" spans="1:7" x14ac:dyDescent="0.3">
      <c r="A464" s="14" t="str">
        <f>VLOOKUP(B464,'Relacion codigos'!$A:$B,2,FALSE)</f>
        <v>6077</v>
      </c>
      <c r="B464" s="6" t="s">
        <v>2830</v>
      </c>
      <c r="C464" s="6" t="s">
        <v>853</v>
      </c>
      <c r="D464" s="24">
        <v>2.7959100000000001</v>
      </c>
      <c r="E464" s="6" t="s">
        <v>5887</v>
      </c>
      <c r="F464" s="6">
        <v>21</v>
      </c>
      <c r="G464" s="8">
        <f t="shared" si="7"/>
        <v>4347.64005</v>
      </c>
    </row>
    <row r="465" spans="1:7" x14ac:dyDescent="0.3">
      <c r="A465" s="14" t="e">
        <f>VLOOKUP(B465,'Relacion codigos'!$A:$B,2,FALSE)</f>
        <v>#N/A</v>
      </c>
      <c r="B465" s="6" t="s">
        <v>13093</v>
      </c>
      <c r="C465" s="6" t="s">
        <v>13094</v>
      </c>
      <c r="D465" s="24">
        <v>0.91805999999999999</v>
      </c>
      <c r="E465" s="6" t="s">
        <v>5887</v>
      </c>
      <c r="F465" s="6">
        <v>21</v>
      </c>
      <c r="G465" s="8">
        <f t="shared" si="7"/>
        <v>1427.5833</v>
      </c>
    </row>
    <row r="466" spans="1:7" x14ac:dyDescent="0.3">
      <c r="A466" s="14" t="str">
        <f>VLOOKUP(B466,'Relacion codigos'!$A:$B,2,FALSE)</f>
        <v>6073</v>
      </c>
      <c r="B466" s="6" t="s">
        <v>2831</v>
      </c>
      <c r="C466" s="6" t="s">
        <v>854</v>
      </c>
      <c r="D466" s="24">
        <v>0.80678000000000005</v>
      </c>
      <c r="E466" s="6" t="s">
        <v>5887</v>
      </c>
      <c r="F466" s="6">
        <v>21</v>
      </c>
      <c r="G466" s="8">
        <f t="shared" si="7"/>
        <v>1254.5429000000001</v>
      </c>
    </row>
    <row r="467" spans="1:7" x14ac:dyDescent="0.3">
      <c r="A467" s="14" t="str">
        <f>VLOOKUP(B467,'Relacion codigos'!$A:$B,2,FALSE)</f>
        <v>6078</v>
      </c>
      <c r="B467" s="6" t="s">
        <v>2832</v>
      </c>
      <c r="C467" s="6" t="s">
        <v>855</v>
      </c>
      <c r="D467" s="24">
        <v>5.96739</v>
      </c>
      <c r="E467" s="6" t="s">
        <v>5887</v>
      </c>
      <c r="F467" s="6">
        <v>21</v>
      </c>
      <c r="G467" s="8">
        <f t="shared" si="7"/>
        <v>9279.2914500000006</v>
      </c>
    </row>
    <row r="468" spans="1:7" x14ac:dyDescent="0.3">
      <c r="A468" s="14" t="e">
        <f>VLOOKUP(B468,'Relacion codigos'!$A:$B,2,FALSE)</f>
        <v>#N/A</v>
      </c>
      <c r="B468" s="6" t="s">
        <v>13095</v>
      </c>
      <c r="C468" s="6" t="s">
        <v>13096</v>
      </c>
      <c r="D468" s="24">
        <v>0.95979000000000003</v>
      </c>
      <c r="E468" s="6" t="s">
        <v>5887</v>
      </c>
      <c r="F468" s="6">
        <v>21</v>
      </c>
      <c r="G468" s="8">
        <f t="shared" si="7"/>
        <v>1492.47345</v>
      </c>
    </row>
    <row r="469" spans="1:7" x14ac:dyDescent="0.3">
      <c r="A469" s="14" t="str">
        <f>VLOOKUP(B469,'Relacion codigos'!$A:$B,2,FALSE)</f>
        <v>6074</v>
      </c>
      <c r="B469" s="6" t="s">
        <v>2833</v>
      </c>
      <c r="C469" s="6" t="s">
        <v>856</v>
      </c>
      <c r="D469" s="24">
        <v>0.95979000000000003</v>
      </c>
      <c r="E469" s="6" t="s">
        <v>5887</v>
      </c>
      <c r="F469" s="6">
        <v>21</v>
      </c>
      <c r="G469" s="8">
        <f t="shared" si="7"/>
        <v>1492.47345</v>
      </c>
    </row>
    <row r="470" spans="1:7" x14ac:dyDescent="0.3">
      <c r="A470" s="14" t="e">
        <f>VLOOKUP(B470,'Relacion codigos'!$A:$B,2,FALSE)</f>
        <v>#N/A</v>
      </c>
      <c r="B470" s="6" t="s">
        <v>13097</v>
      </c>
      <c r="C470" s="6" t="s">
        <v>13098</v>
      </c>
      <c r="D470" s="24">
        <v>1.3075399999999999</v>
      </c>
      <c r="E470" s="6" t="s">
        <v>5887</v>
      </c>
      <c r="F470" s="6">
        <v>21</v>
      </c>
      <c r="G470" s="8">
        <f t="shared" si="7"/>
        <v>2033.2247</v>
      </c>
    </row>
    <row r="471" spans="1:7" x14ac:dyDescent="0.3">
      <c r="A471" s="14" t="str">
        <f>VLOOKUP(B471,'Relacion codigos'!$A:$B,2,FALSE)</f>
        <v>6075</v>
      </c>
      <c r="B471" s="6" t="s">
        <v>2834</v>
      </c>
      <c r="C471" s="6" t="s">
        <v>857</v>
      </c>
      <c r="D471" s="24">
        <v>1.3075399999999999</v>
      </c>
      <c r="E471" s="6" t="s">
        <v>5887</v>
      </c>
      <c r="F471" s="6">
        <v>21</v>
      </c>
      <c r="G471" s="8">
        <f t="shared" si="7"/>
        <v>2033.2247</v>
      </c>
    </row>
    <row r="472" spans="1:7" x14ac:dyDescent="0.3">
      <c r="A472" s="14" t="str">
        <f>VLOOKUP(B472,'Relacion codigos'!$A:$B,2,FALSE)</f>
        <v>7011</v>
      </c>
      <c r="B472" s="6" t="s">
        <v>2835</v>
      </c>
      <c r="C472" s="6" t="s">
        <v>858</v>
      </c>
      <c r="D472" s="24">
        <v>6.2734100000000002</v>
      </c>
      <c r="E472" s="6" t="s">
        <v>5887</v>
      </c>
      <c r="F472" s="6">
        <v>21</v>
      </c>
      <c r="G472" s="8">
        <f t="shared" si="7"/>
        <v>9755.1525500000007</v>
      </c>
    </row>
    <row r="473" spans="1:7" x14ac:dyDescent="0.3">
      <c r="A473" s="14" t="str">
        <f>VLOOKUP(B473,'Relacion codigos'!$A:$B,2,FALSE)</f>
        <v>7012</v>
      </c>
      <c r="B473" s="6" t="s">
        <v>2836</v>
      </c>
      <c r="C473" s="6" t="s">
        <v>859</v>
      </c>
      <c r="D473" s="24">
        <v>12.01824</v>
      </c>
      <c r="E473" s="6" t="s">
        <v>5887</v>
      </c>
      <c r="F473" s="6">
        <v>21</v>
      </c>
      <c r="G473" s="8">
        <f t="shared" si="7"/>
        <v>18688.3632</v>
      </c>
    </row>
    <row r="474" spans="1:7" x14ac:dyDescent="0.3">
      <c r="A474" s="14" t="str">
        <f>VLOOKUP(B474,'Relacion codigos'!$A:$B,2,FALSE)</f>
        <v>7335</v>
      </c>
      <c r="B474" s="6" t="s">
        <v>2837</v>
      </c>
      <c r="C474" s="6" t="s">
        <v>860</v>
      </c>
      <c r="D474" s="24">
        <v>18.255205799999999</v>
      </c>
      <c r="E474" s="6" t="s">
        <v>5887</v>
      </c>
      <c r="F474" s="6">
        <v>21</v>
      </c>
      <c r="G474" s="8">
        <f t="shared" si="7"/>
        <v>28386.845018999997</v>
      </c>
    </row>
    <row r="475" spans="1:7" x14ac:dyDescent="0.3">
      <c r="A475" s="14" t="str">
        <f>VLOOKUP(B475,'Relacion codigos'!$A:$B,2,FALSE)</f>
        <v>7009</v>
      </c>
      <c r="B475" s="6" t="s">
        <v>2838</v>
      </c>
      <c r="C475" s="6" t="s">
        <v>861</v>
      </c>
      <c r="D475" s="24">
        <v>4.9519599999999997</v>
      </c>
      <c r="E475" s="6" t="s">
        <v>5887</v>
      </c>
      <c r="F475" s="6">
        <v>21</v>
      </c>
      <c r="G475" s="8">
        <f t="shared" si="7"/>
        <v>7700.2977999999994</v>
      </c>
    </row>
    <row r="476" spans="1:7" x14ac:dyDescent="0.3">
      <c r="A476" s="14" t="str">
        <f>VLOOKUP(B476,'Relacion codigos'!$A:$B,2,FALSE)</f>
        <v>7010</v>
      </c>
      <c r="B476" s="6" t="s">
        <v>2839</v>
      </c>
      <c r="C476" s="6" t="s">
        <v>862</v>
      </c>
      <c r="D476" s="24">
        <v>5.82829</v>
      </c>
      <c r="E476" s="6" t="s">
        <v>5887</v>
      </c>
      <c r="F476" s="6">
        <v>21</v>
      </c>
      <c r="G476" s="8">
        <f t="shared" si="7"/>
        <v>9062.9909499999994</v>
      </c>
    </row>
    <row r="477" spans="1:7" x14ac:dyDescent="0.3">
      <c r="A477" s="14" t="e">
        <f>VLOOKUP(B477,'Relacion codigos'!$A:$B,2,FALSE)</f>
        <v>#N/A</v>
      </c>
      <c r="B477" s="6" t="s">
        <v>8813</v>
      </c>
      <c r="C477" s="6" t="s">
        <v>12012</v>
      </c>
      <c r="D477" s="24">
        <v>1.34927</v>
      </c>
      <c r="E477" s="6" t="s">
        <v>5887</v>
      </c>
      <c r="F477" s="6">
        <v>21</v>
      </c>
      <c r="G477" s="8">
        <f t="shared" si="7"/>
        <v>2098.1148499999999</v>
      </c>
    </row>
    <row r="478" spans="1:7" x14ac:dyDescent="0.3">
      <c r="A478" s="14" t="e">
        <f>VLOOKUP(B478,'Relacion codigos'!$A:$B,2,FALSE)</f>
        <v>#N/A</v>
      </c>
      <c r="B478" s="6" t="s">
        <v>8814</v>
      </c>
      <c r="C478" s="6" t="s">
        <v>9244</v>
      </c>
      <c r="D478" s="24">
        <v>1.6135600000000001</v>
      </c>
      <c r="E478" s="6" t="s">
        <v>5887</v>
      </c>
      <c r="F478" s="6">
        <v>21</v>
      </c>
      <c r="G478" s="8">
        <f t="shared" si="7"/>
        <v>2509.0858000000003</v>
      </c>
    </row>
    <row r="479" spans="1:7" x14ac:dyDescent="0.3">
      <c r="A479" s="14" t="e">
        <f>VLOOKUP(B479,'Relacion codigos'!$A:$B,2,FALSE)</f>
        <v>#N/A</v>
      </c>
      <c r="B479" s="6" t="s">
        <v>8815</v>
      </c>
      <c r="C479" s="6" t="s">
        <v>9245</v>
      </c>
      <c r="D479" s="24">
        <v>2.0865</v>
      </c>
      <c r="E479" s="6" t="s">
        <v>5887</v>
      </c>
      <c r="F479" s="6">
        <v>21</v>
      </c>
      <c r="G479" s="8">
        <f t="shared" si="7"/>
        <v>3244.5075000000002</v>
      </c>
    </row>
    <row r="480" spans="1:7" x14ac:dyDescent="0.3">
      <c r="A480" s="14" t="str">
        <f>VLOOKUP(B480,'Relacion codigos'!$A:$B,2,FALSE)</f>
        <v>1720</v>
      </c>
      <c r="B480" s="6" t="s">
        <v>2810</v>
      </c>
      <c r="C480" s="6" t="s">
        <v>85</v>
      </c>
      <c r="D480" s="24">
        <v>2378.4597720000002</v>
      </c>
      <c r="E480" s="6" t="s">
        <v>5889</v>
      </c>
      <c r="F480" s="6">
        <v>21</v>
      </c>
      <c r="G480" s="8">
        <f t="shared" si="7"/>
        <v>2378.4597720000002</v>
      </c>
    </row>
    <row r="481" spans="1:7" x14ac:dyDescent="0.3">
      <c r="A481" s="14" t="str">
        <f>VLOOKUP(B481,'Relacion codigos'!$A:$B,2,FALSE)</f>
        <v>3008</v>
      </c>
      <c r="B481" s="6" t="s">
        <v>2811</v>
      </c>
      <c r="C481" s="6" t="s">
        <v>86</v>
      </c>
      <c r="D481" s="24">
        <v>11.13770918</v>
      </c>
      <c r="E481" s="6" t="s">
        <v>5887</v>
      </c>
      <c r="F481" s="6">
        <v>21</v>
      </c>
      <c r="G481" s="8">
        <f t="shared" si="7"/>
        <v>17319.137774899998</v>
      </c>
    </row>
    <row r="482" spans="1:7" x14ac:dyDescent="0.3">
      <c r="A482" s="14" t="str">
        <f>VLOOKUP(B482,'Relacion codigos'!$A:$B,2,FALSE)</f>
        <v>1695</v>
      </c>
      <c r="B482" s="6" t="s">
        <v>2812</v>
      </c>
      <c r="C482" s="6" t="s">
        <v>87</v>
      </c>
      <c r="D482" s="24">
        <v>913.62031816005003</v>
      </c>
      <c r="E482" s="6" t="s">
        <v>5889</v>
      </c>
      <c r="F482" s="6">
        <v>21</v>
      </c>
      <c r="G482" s="8">
        <f t="shared" si="7"/>
        <v>913.62031816005003</v>
      </c>
    </row>
    <row r="483" spans="1:7" x14ac:dyDescent="0.3">
      <c r="A483" s="14" t="str">
        <f>VLOOKUP(B483,'Relacion codigos'!$A:$B,2,FALSE)</f>
        <v>1719</v>
      </c>
      <c r="B483" s="6" t="s">
        <v>2813</v>
      </c>
      <c r="C483" s="6" t="s">
        <v>88</v>
      </c>
      <c r="D483" s="24">
        <v>1557.2699391235001</v>
      </c>
      <c r="E483" s="6" t="s">
        <v>5889</v>
      </c>
      <c r="F483" s="6">
        <v>21</v>
      </c>
      <c r="G483" s="8">
        <f t="shared" si="7"/>
        <v>1557.2699391235001</v>
      </c>
    </row>
    <row r="484" spans="1:7" x14ac:dyDescent="0.3">
      <c r="A484" s="14" t="str">
        <f>VLOOKUP(B484,'Relacion codigos'!$A:$B,2,FALSE)</f>
        <v>1852</v>
      </c>
      <c r="B484" s="6" t="s">
        <v>2814</v>
      </c>
      <c r="C484" s="6" t="s">
        <v>89</v>
      </c>
      <c r="D484" s="24">
        <v>3446.5307760000001</v>
      </c>
      <c r="E484" s="6" t="s">
        <v>5889</v>
      </c>
      <c r="F484" s="6">
        <v>21</v>
      </c>
      <c r="G484" s="8">
        <f t="shared" si="7"/>
        <v>3446.5307760000001</v>
      </c>
    </row>
    <row r="485" spans="1:7" x14ac:dyDescent="0.3">
      <c r="A485" s="14" t="e">
        <f>VLOOKUP(B485,'Relacion codigos'!$A:$B,2,FALSE)</f>
        <v>#N/A</v>
      </c>
      <c r="B485" s="6" t="s">
        <v>10938</v>
      </c>
      <c r="C485" s="6" t="s">
        <v>10969</v>
      </c>
      <c r="D485" s="24">
        <v>1078.6370400000001</v>
      </c>
      <c r="E485" s="6" t="s">
        <v>5889</v>
      </c>
      <c r="F485" s="6">
        <v>21</v>
      </c>
      <c r="G485" s="8">
        <f t="shared" si="7"/>
        <v>1078.6370400000001</v>
      </c>
    </row>
    <row r="486" spans="1:7" x14ac:dyDescent="0.3">
      <c r="A486" s="14" t="str">
        <f>VLOOKUP(B486,'Relacion codigos'!$A:$B,2,FALSE)</f>
        <v>3010</v>
      </c>
      <c r="B486" s="6" t="s">
        <v>2815</v>
      </c>
      <c r="C486" s="6" t="s">
        <v>90</v>
      </c>
      <c r="D486" s="24">
        <v>71959.127496750007</v>
      </c>
      <c r="E486" s="6" t="s">
        <v>5889</v>
      </c>
      <c r="F486" s="6">
        <v>21</v>
      </c>
      <c r="G486" s="8">
        <f t="shared" si="7"/>
        <v>71959.127496750007</v>
      </c>
    </row>
    <row r="487" spans="1:7" x14ac:dyDescent="0.3">
      <c r="A487" s="14" t="str">
        <f>VLOOKUP(B487,'Relacion codigos'!$A:$B,2,FALSE)</f>
        <v>1847</v>
      </c>
      <c r="B487" s="6" t="s">
        <v>2816</v>
      </c>
      <c r="C487" s="6" t="s">
        <v>10970</v>
      </c>
      <c r="D487" s="24">
        <v>1523.374515</v>
      </c>
      <c r="E487" s="6" t="s">
        <v>5889</v>
      </c>
      <c r="F487" s="6">
        <v>21</v>
      </c>
      <c r="G487" s="8">
        <f t="shared" si="7"/>
        <v>1523.374515</v>
      </c>
    </row>
    <row r="488" spans="1:7" x14ac:dyDescent="0.3">
      <c r="A488" s="14" t="str">
        <f>VLOOKUP(B488,'Relacion codigos'!$A:$B,2,FALSE)</f>
        <v>1853</v>
      </c>
      <c r="B488" s="6" t="s">
        <v>2817</v>
      </c>
      <c r="C488" s="6" t="s">
        <v>91</v>
      </c>
      <c r="D488" s="24">
        <v>31.52503978</v>
      </c>
      <c r="E488" s="6" t="s">
        <v>5887</v>
      </c>
      <c r="F488" s="6">
        <v>21</v>
      </c>
      <c r="G488" s="8">
        <f t="shared" si="7"/>
        <v>49021.4368579</v>
      </c>
    </row>
    <row r="489" spans="1:7" x14ac:dyDescent="0.3">
      <c r="A489" s="14" t="str">
        <f>VLOOKUP(B489,'Relacion codigos'!$A:$B,2,FALSE)</f>
        <v>1851</v>
      </c>
      <c r="B489" s="6" t="s">
        <v>2818</v>
      </c>
      <c r="C489" s="6" t="s">
        <v>92</v>
      </c>
      <c r="D489" s="24">
        <v>2153.5934940000002</v>
      </c>
      <c r="E489" s="6" t="s">
        <v>5889</v>
      </c>
      <c r="F489" s="6">
        <v>21</v>
      </c>
      <c r="G489" s="8">
        <f t="shared" si="7"/>
        <v>2153.5934940000002</v>
      </c>
    </row>
    <row r="490" spans="1:7" x14ac:dyDescent="0.3">
      <c r="A490" s="14" t="str">
        <f>VLOOKUP(B490,'Relacion codigos'!$A:$B,2,FALSE)</f>
        <v>1844</v>
      </c>
      <c r="B490" s="6" t="s">
        <v>2819</v>
      </c>
      <c r="C490" s="6" t="s">
        <v>93</v>
      </c>
      <c r="D490" s="24">
        <v>2698.7208300000002</v>
      </c>
      <c r="E490" s="6" t="s">
        <v>5889</v>
      </c>
      <c r="F490" s="6">
        <v>21</v>
      </c>
      <c r="G490" s="8">
        <f t="shared" si="7"/>
        <v>2698.7208300000002</v>
      </c>
    </row>
    <row r="491" spans="1:7" x14ac:dyDescent="0.3">
      <c r="A491" s="14" t="str">
        <f>VLOOKUP(B491,'Relacion codigos'!$A:$B,2,FALSE)</f>
        <v>3009</v>
      </c>
      <c r="B491" s="6" t="s">
        <v>2820</v>
      </c>
      <c r="C491" s="6" t="s">
        <v>94</v>
      </c>
      <c r="D491" s="24">
        <v>53420.653936000002</v>
      </c>
      <c r="E491" s="6" t="s">
        <v>5889</v>
      </c>
      <c r="F491" s="6">
        <v>21</v>
      </c>
      <c r="G491" s="8">
        <f t="shared" si="7"/>
        <v>53420.653936000002</v>
      </c>
    </row>
    <row r="492" spans="1:7" x14ac:dyDescent="0.3">
      <c r="A492" s="14" t="str">
        <f>VLOOKUP(B492,'Relacion codigos'!$A:$B,2,FALSE)</f>
        <v>1721</v>
      </c>
      <c r="B492" s="6" t="s">
        <v>2821</v>
      </c>
      <c r="C492" s="6" t="s">
        <v>95</v>
      </c>
      <c r="D492" s="24">
        <v>1188.8292779999999</v>
      </c>
      <c r="E492" s="6" t="s">
        <v>5889</v>
      </c>
      <c r="F492" s="6">
        <v>21</v>
      </c>
      <c r="G492" s="8">
        <f t="shared" si="7"/>
        <v>1188.8292779999999</v>
      </c>
    </row>
    <row r="493" spans="1:7" x14ac:dyDescent="0.3">
      <c r="A493" s="14" t="str">
        <f>VLOOKUP(B493,'Relacion codigos'!$A:$B,2,FALSE)</f>
        <v>1840</v>
      </c>
      <c r="B493" s="6" t="s">
        <v>2822</v>
      </c>
      <c r="C493" s="6" t="s">
        <v>96</v>
      </c>
      <c r="D493" s="24">
        <v>1749.092085</v>
      </c>
      <c r="E493" s="6" t="s">
        <v>5889</v>
      </c>
      <c r="F493" s="6">
        <v>21</v>
      </c>
      <c r="G493" s="8">
        <f t="shared" si="7"/>
        <v>1749.092085</v>
      </c>
    </row>
    <row r="494" spans="1:7" x14ac:dyDescent="0.3">
      <c r="A494" s="14" t="str">
        <f>VLOOKUP(B494,'Relacion codigos'!$A:$B,2,FALSE)</f>
        <v>784</v>
      </c>
      <c r="B494" s="6" t="s">
        <v>2823</v>
      </c>
      <c r="C494" s="6" t="s">
        <v>97</v>
      </c>
      <c r="D494" s="24">
        <v>7.0301140000000002</v>
      </c>
      <c r="E494" s="6" t="s">
        <v>5887</v>
      </c>
      <c r="F494" s="6">
        <v>21</v>
      </c>
      <c r="G494" s="8">
        <f t="shared" si="7"/>
        <v>10931.82727</v>
      </c>
    </row>
    <row r="495" spans="1:7" x14ac:dyDescent="0.3">
      <c r="A495" s="14" t="str">
        <f>VLOOKUP(B495,'Relacion codigos'!$A:$B,2,FALSE)</f>
        <v>1694</v>
      </c>
      <c r="B495" s="6" t="s">
        <v>2824</v>
      </c>
      <c r="C495" s="6" t="s">
        <v>98</v>
      </c>
      <c r="D495" s="24">
        <v>1196.04863066027</v>
      </c>
      <c r="E495" s="6" t="s">
        <v>5889</v>
      </c>
      <c r="F495" s="6">
        <v>21</v>
      </c>
      <c r="G495" s="8">
        <f t="shared" si="7"/>
        <v>1196.04863066027</v>
      </c>
    </row>
    <row r="496" spans="1:7" x14ac:dyDescent="0.3">
      <c r="A496" s="14" t="str">
        <f>VLOOKUP(B496,'Relacion codigos'!$A:$B,2,FALSE)</f>
        <v>1474</v>
      </c>
      <c r="B496" s="6" t="s">
        <v>2825</v>
      </c>
      <c r="C496" s="6" t="s">
        <v>99</v>
      </c>
      <c r="D496" s="24">
        <v>544.32611999999995</v>
      </c>
      <c r="E496" s="6" t="s">
        <v>5889</v>
      </c>
      <c r="F496" s="6">
        <v>21</v>
      </c>
      <c r="G496" s="8">
        <f t="shared" si="7"/>
        <v>544.32611999999995</v>
      </c>
    </row>
    <row r="497" spans="1:7" x14ac:dyDescent="0.3">
      <c r="A497" s="14" t="str">
        <f>VLOOKUP(B497,'Relacion codigos'!$A:$B,2,FALSE)</f>
        <v>3007</v>
      </c>
      <c r="B497" s="6" t="s">
        <v>2826</v>
      </c>
      <c r="C497" s="6" t="s">
        <v>100</v>
      </c>
      <c r="D497" s="24">
        <v>5.8450376400000001</v>
      </c>
      <c r="E497" s="6" t="s">
        <v>5887</v>
      </c>
      <c r="F497" s="6">
        <v>21</v>
      </c>
      <c r="G497" s="8">
        <f t="shared" si="7"/>
        <v>9089.0335302000003</v>
      </c>
    </row>
    <row r="498" spans="1:7" x14ac:dyDescent="0.3">
      <c r="A498" s="14" t="str">
        <f>VLOOKUP(B498,'Relacion codigos'!$A:$B,2,FALSE)</f>
        <v>1475</v>
      </c>
      <c r="B498" s="6" t="s">
        <v>2827</v>
      </c>
      <c r="C498" s="6" t="s">
        <v>101</v>
      </c>
      <c r="D498" s="24">
        <v>569.83984199999998</v>
      </c>
      <c r="E498" s="6" t="s">
        <v>5889</v>
      </c>
      <c r="F498" s="6">
        <v>21</v>
      </c>
      <c r="G498" s="8">
        <f t="shared" si="7"/>
        <v>569.83984199999998</v>
      </c>
    </row>
    <row r="499" spans="1:7" x14ac:dyDescent="0.3">
      <c r="A499" s="14" t="str">
        <f>VLOOKUP(B499,'Relacion codigos'!$A:$B,2,FALSE)</f>
        <v>1476</v>
      </c>
      <c r="B499" s="6" t="s">
        <v>2828</v>
      </c>
      <c r="C499" s="6" t="s">
        <v>102</v>
      </c>
      <c r="D499" s="24">
        <v>1070.7125129999999</v>
      </c>
      <c r="E499" s="6" t="s">
        <v>5889</v>
      </c>
      <c r="F499" s="6">
        <v>21</v>
      </c>
      <c r="G499" s="8">
        <f t="shared" si="7"/>
        <v>1070.7125129999999</v>
      </c>
    </row>
    <row r="500" spans="1:7" x14ac:dyDescent="0.3">
      <c r="A500" s="14" t="str">
        <f>VLOOKUP(B500,'Relacion codigos'!$A:$B,2,FALSE)</f>
        <v>9151</v>
      </c>
      <c r="B500" s="6" t="s">
        <v>3398</v>
      </c>
      <c r="C500" s="6" t="s">
        <v>10636</v>
      </c>
      <c r="D500" s="24">
        <v>25217.209999670002</v>
      </c>
      <c r="E500" s="6" t="s">
        <v>5889</v>
      </c>
      <c r="F500" s="6">
        <v>21</v>
      </c>
      <c r="G500" s="8">
        <f t="shared" si="7"/>
        <v>25217.209999670002</v>
      </c>
    </row>
    <row r="501" spans="1:7" x14ac:dyDescent="0.3">
      <c r="A501" s="14" t="str">
        <f>VLOOKUP(B501,'Relacion codigos'!$A:$B,2,FALSE)</f>
        <v>9105</v>
      </c>
      <c r="B501" s="6" t="s">
        <v>2296</v>
      </c>
      <c r="C501" s="6" t="s">
        <v>11645</v>
      </c>
      <c r="D501" s="24">
        <v>1501.765156125</v>
      </c>
      <c r="E501" s="6" t="s">
        <v>5889</v>
      </c>
      <c r="F501" s="6">
        <v>21</v>
      </c>
      <c r="G501" s="8">
        <f t="shared" si="7"/>
        <v>1501.765156125</v>
      </c>
    </row>
    <row r="502" spans="1:7" x14ac:dyDescent="0.3">
      <c r="A502" s="14" t="e">
        <f>VLOOKUP(B502,'Relacion codigos'!$A:$B,2,FALSE)</f>
        <v>#N/A</v>
      </c>
      <c r="B502" s="6" t="s">
        <v>10789</v>
      </c>
      <c r="C502" s="6" t="s">
        <v>10790</v>
      </c>
      <c r="D502" s="24">
        <v>995.26049999999998</v>
      </c>
      <c r="E502" s="6" t="s">
        <v>5889</v>
      </c>
      <c r="F502" s="6">
        <v>21</v>
      </c>
      <c r="G502" s="8">
        <f t="shared" si="7"/>
        <v>995.26049999999998</v>
      </c>
    </row>
    <row r="503" spans="1:7" x14ac:dyDescent="0.3">
      <c r="A503" s="14" t="str">
        <f>VLOOKUP(B503,'Relacion codigos'!$A:$B,2,FALSE)</f>
        <v>249</v>
      </c>
      <c r="B503" s="6" t="s">
        <v>3310</v>
      </c>
      <c r="C503" s="6" t="s">
        <v>103</v>
      </c>
      <c r="D503" s="24">
        <v>0.93141359999999995</v>
      </c>
      <c r="E503" s="6" t="s">
        <v>5887</v>
      </c>
      <c r="F503" s="6">
        <v>21</v>
      </c>
      <c r="G503" s="8">
        <f t="shared" si="7"/>
        <v>1448.348148</v>
      </c>
    </row>
    <row r="504" spans="1:7" x14ac:dyDescent="0.3">
      <c r="A504" s="14" t="str">
        <f>VLOOKUP(B504,'Relacion codigos'!$A:$B,2,FALSE)</f>
        <v>8825</v>
      </c>
      <c r="B504" s="6" t="s">
        <v>3312</v>
      </c>
      <c r="C504" s="6" t="s">
        <v>13880</v>
      </c>
      <c r="D504" s="24">
        <v>3.8683709999999998</v>
      </c>
      <c r="E504" s="6" t="s">
        <v>5887</v>
      </c>
      <c r="F504" s="6">
        <v>21</v>
      </c>
      <c r="G504" s="8">
        <f t="shared" si="7"/>
        <v>6015.3169049999997</v>
      </c>
    </row>
    <row r="505" spans="1:7" x14ac:dyDescent="0.3">
      <c r="A505" s="14" t="str">
        <f>VLOOKUP(B505,'Relacion codigos'!$A:$B,2,FALSE)</f>
        <v>248</v>
      </c>
      <c r="B505" s="6" t="s">
        <v>3311</v>
      </c>
      <c r="C505" s="6" t="s">
        <v>104</v>
      </c>
      <c r="D505" s="24">
        <v>0.600912</v>
      </c>
      <c r="E505" s="6" t="s">
        <v>5887</v>
      </c>
      <c r="F505" s="6">
        <v>21</v>
      </c>
      <c r="G505" s="8">
        <f t="shared" si="7"/>
        <v>934.41816000000006</v>
      </c>
    </row>
    <row r="506" spans="1:7" x14ac:dyDescent="0.3">
      <c r="A506" s="14" t="e">
        <f>VLOOKUP(B506,'Relacion codigos'!$A:$B,2,FALSE)</f>
        <v>#N/A</v>
      </c>
      <c r="B506" s="6" t="s">
        <v>12236</v>
      </c>
      <c r="C506" s="6" t="s">
        <v>12237</v>
      </c>
      <c r="D506" s="24">
        <v>11.993202</v>
      </c>
      <c r="E506" s="6" t="s">
        <v>5887</v>
      </c>
      <c r="F506" s="6">
        <v>21</v>
      </c>
      <c r="G506" s="8">
        <f t="shared" si="7"/>
        <v>18649.429110000001</v>
      </c>
    </row>
    <row r="507" spans="1:7" x14ac:dyDescent="0.3">
      <c r="A507" s="14" t="e">
        <f>VLOOKUP(B507,'Relacion codigos'!$A:$B,2,FALSE)</f>
        <v>#N/A</v>
      </c>
      <c r="B507" s="6" t="s">
        <v>12238</v>
      </c>
      <c r="C507" s="6" t="s">
        <v>12239</v>
      </c>
      <c r="D507" s="24">
        <v>11.993202</v>
      </c>
      <c r="E507" s="6" t="s">
        <v>5887</v>
      </c>
      <c r="F507" s="6">
        <v>21</v>
      </c>
      <c r="G507" s="8">
        <f t="shared" si="7"/>
        <v>18649.429110000001</v>
      </c>
    </row>
    <row r="508" spans="1:7" x14ac:dyDescent="0.3">
      <c r="A508" s="14" t="e">
        <f>VLOOKUP(B508,'Relacion codigos'!$A:$B,2,FALSE)</f>
        <v>#N/A</v>
      </c>
      <c r="B508" s="6" t="s">
        <v>13854</v>
      </c>
      <c r="C508" s="6" t="s">
        <v>13855</v>
      </c>
      <c r="D508" s="24">
        <v>8908.3326149999994</v>
      </c>
      <c r="E508" s="6" t="s">
        <v>5889</v>
      </c>
      <c r="F508" s="6">
        <v>21</v>
      </c>
      <c r="G508" s="8">
        <f t="shared" si="7"/>
        <v>8908.3326149999994</v>
      </c>
    </row>
    <row r="509" spans="1:7" x14ac:dyDescent="0.3">
      <c r="A509" s="14" t="str">
        <f>VLOOKUP(B509,'Relacion codigos'!$A:$B,2,FALSE)</f>
        <v>6777</v>
      </c>
      <c r="B509" s="6" t="s">
        <v>3870</v>
      </c>
      <c r="C509" s="6" t="s">
        <v>105</v>
      </c>
      <c r="D509" s="24">
        <v>2339.04446555</v>
      </c>
      <c r="E509" s="6" t="s">
        <v>5889</v>
      </c>
      <c r="F509" s="6">
        <v>21</v>
      </c>
      <c r="G509" s="8">
        <f t="shared" si="7"/>
        <v>2339.04446555</v>
      </c>
    </row>
    <row r="510" spans="1:7" x14ac:dyDescent="0.3">
      <c r="A510" s="14" t="str">
        <f>VLOOKUP(B510,'Relacion codigos'!$A:$B,2,FALSE)</f>
        <v>6778</v>
      </c>
      <c r="B510" s="6" t="s">
        <v>3871</v>
      </c>
      <c r="C510" s="6" t="s">
        <v>106</v>
      </c>
      <c r="D510" s="24">
        <v>2339.04446555</v>
      </c>
      <c r="E510" s="6" t="s">
        <v>5889</v>
      </c>
      <c r="F510" s="6">
        <v>21</v>
      </c>
      <c r="G510" s="8">
        <f t="shared" si="7"/>
        <v>2339.04446555</v>
      </c>
    </row>
    <row r="511" spans="1:7" x14ac:dyDescent="0.3">
      <c r="A511" s="14" t="str">
        <f>VLOOKUP(B511,'Relacion codigos'!$A:$B,2,FALSE)</f>
        <v>6670</v>
      </c>
      <c r="B511" s="6" t="s">
        <v>3872</v>
      </c>
      <c r="C511" s="6" t="s">
        <v>107</v>
      </c>
      <c r="D511" s="24">
        <v>8000.2697319999997</v>
      </c>
      <c r="E511" s="6" t="s">
        <v>5889</v>
      </c>
      <c r="F511" s="6">
        <v>21</v>
      </c>
      <c r="G511" s="8">
        <f t="shared" si="7"/>
        <v>8000.2697319999997</v>
      </c>
    </row>
    <row r="512" spans="1:7" x14ac:dyDescent="0.3">
      <c r="A512" s="14" t="str">
        <f>VLOOKUP(B512,'Relacion codigos'!$A:$B,2,FALSE)</f>
        <v>6672</v>
      </c>
      <c r="B512" s="6" t="s">
        <v>3874</v>
      </c>
      <c r="C512" s="6" t="s">
        <v>108</v>
      </c>
      <c r="D512" s="24">
        <v>4299.8925840000002</v>
      </c>
      <c r="E512" s="6" t="s">
        <v>5889</v>
      </c>
      <c r="F512" s="6">
        <v>21</v>
      </c>
      <c r="G512" s="8">
        <f t="shared" si="7"/>
        <v>4299.8925840000002</v>
      </c>
    </row>
    <row r="513" spans="1:7" x14ac:dyDescent="0.3">
      <c r="A513" s="14" t="str">
        <f>VLOOKUP(B513,'Relacion codigos'!$A:$B,2,FALSE)</f>
        <v>8067</v>
      </c>
      <c r="B513" s="6" t="s">
        <v>3878</v>
      </c>
      <c r="C513" s="6" t="s">
        <v>1168</v>
      </c>
      <c r="D513" s="24">
        <v>10215.6938715</v>
      </c>
      <c r="E513" s="6" t="s">
        <v>5889</v>
      </c>
      <c r="F513" s="6">
        <v>21</v>
      </c>
      <c r="G513" s="8">
        <f t="shared" si="7"/>
        <v>10215.6938715</v>
      </c>
    </row>
    <row r="514" spans="1:7" x14ac:dyDescent="0.3">
      <c r="A514" s="14" t="str">
        <f>VLOOKUP(B514,'Relacion codigos'!$A:$B,2,FALSE)</f>
        <v>6165</v>
      </c>
      <c r="B514" s="6" t="s">
        <v>3879</v>
      </c>
      <c r="C514" s="6" t="s">
        <v>109</v>
      </c>
      <c r="D514" s="24">
        <v>6344.0964469999999</v>
      </c>
      <c r="E514" s="6" t="s">
        <v>5889</v>
      </c>
      <c r="F514" s="6">
        <v>21</v>
      </c>
      <c r="G514" s="8">
        <f t="shared" ref="G514:G577" si="8">IF(E514="Dolares",D514*$G$1,D514)</f>
        <v>6344.0964469999999</v>
      </c>
    </row>
    <row r="515" spans="1:7" x14ac:dyDescent="0.3">
      <c r="A515" s="14" t="str">
        <f>VLOOKUP(B515,'Relacion codigos'!$A:$B,2,FALSE)</f>
        <v>8068</v>
      </c>
      <c r="B515" s="6" t="s">
        <v>3880</v>
      </c>
      <c r="C515" s="6" t="s">
        <v>1169</v>
      </c>
      <c r="D515" s="24">
        <v>6344.0964469999999</v>
      </c>
      <c r="E515" s="6" t="s">
        <v>5889</v>
      </c>
      <c r="F515" s="6">
        <v>21</v>
      </c>
      <c r="G515" s="8">
        <f t="shared" si="8"/>
        <v>6344.0964469999999</v>
      </c>
    </row>
    <row r="516" spans="1:7" x14ac:dyDescent="0.3">
      <c r="A516" s="14" t="str">
        <f>VLOOKUP(B516,'Relacion codigos'!$A:$B,2,FALSE)</f>
        <v>8799</v>
      </c>
      <c r="B516" s="6" t="s">
        <v>3888</v>
      </c>
      <c r="C516" s="6" t="s">
        <v>11707</v>
      </c>
      <c r="D516" s="24">
        <v>11537.510399999999</v>
      </c>
      <c r="E516" s="6" t="s">
        <v>5889</v>
      </c>
      <c r="F516" s="6">
        <v>21</v>
      </c>
      <c r="G516" s="8">
        <f t="shared" si="8"/>
        <v>11537.510399999999</v>
      </c>
    </row>
    <row r="517" spans="1:7" x14ac:dyDescent="0.3">
      <c r="A517" s="14" t="e">
        <f>VLOOKUP(B517,'Relacion codigos'!$A:$B,2,FALSE)</f>
        <v>#N/A</v>
      </c>
      <c r="B517" s="6" t="s">
        <v>9548</v>
      </c>
      <c r="C517" s="6" t="s">
        <v>9549</v>
      </c>
      <c r="D517" s="24">
        <v>25017.9696</v>
      </c>
      <c r="E517" s="6" t="s">
        <v>5889</v>
      </c>
      <c r="F517" s="6">
        <v>21</v>
      </c>
      <c r="G517" s="8">
        <f t="shared" si="8"/>
        <v>25017.9696</v>
      </c>
    </row>
    <row r="518" spans="1:7" x14ac:dyDescent="0.3">
      <c r="A518" s="14" t="e">
        <f>VLOOKUP(B518,'Relacion codigos'!$A:$B,2,FALSE)</f>
        <v>#N/A</v>
      </c>
      <c r="B518" s="6" t="s">
        <v>9506</v>
      </c>
      <c r="C518" s="6" t="s">
        <v>9550</v>
      </c>
      <c r="D518" s="24">
        <v>25017.9696</v>
      </c>
      <c r="E518" s="6" t="s">
        <v>5889</v>
      </c>
      <c r="F518" s="6">
        <v>21</v>
      </c>
      <c r="G518" s="8">
        <f t="shared" si="8"/>
        <v>25017.9696</v>
      </c>
    </row>
    <row r="519" spans="1:7" x14ac:dyDescent="0.3">
      <c r="A519" s="14" t="str">
        <f>VLOOKUP(B519,'Relacion codigos'!$A:$B,2,FALSE)</f>
        <v>6673</v>
      </c>
      <c r="B519" s="6" t="s">
        <v>3881</v>
      </c>
      <c r="C519" s="6" t="s">
        <v>110</v>
      </c>
      <c r="D519" s="24">
        <v>13372.1886285</v>
      </c>
      <c r="E519" s="6" t="s">
        <v>5889</v>
      </c>
      <c r="F519" s="6">
        <v>21</v>
      </c>
      <c r="G519" s="8">
        <f t="shared" si="8"/>
        <v>13372.1886285</v>
      </c>
    </row>
    <row r="520" spans="1:7" x14ac:dyDescent="0.3">
      <c r="A520" s="14" t="str">
        <f>VLOOKUP(B520,'Relacion codigos'!$A:$B,2,FALSE)</f>
        <v>6674</v>
      </c>
      <c r="B520" s="6" t="s">
        <v>3882</v>
      </c>
      <c r="C520" s="6" t="s">
        <v>111</v>
      </c>
      <c r="D520" s="24">
        <v>6744.2447215000002</v>
      </c>
      <c r="E520" s="6" t="s">
        <v>5889</v>
      </c>
      <c r="F520" s="6">
        <v>21</v>
      </c>
      <c r="G520" s="8">
        <f t="shared" si="8"/>
        <v>6744.2447215000002</v>
      </c>
    </row>
    <row r="521" spans="1:7" x14ac:dyDescent="0.3">
      <c r="A521" s="14" t="str">
        <f>VLOOKUP(B521,'Relacion codigos'!$A:$B,2,FALSE)</f>
        <v>6675</v>
      </c>
      <c r="B521" s="6" t="s">
        <v>3883</v>
      </c>
      <c r="C521" s="6" t="s">
        <v>112</v>
      </c>
      <c r="D521" s="24">
        <v>6744.2447215000002</v>
      </c>
      <c r="E521" s="6" t="s">
        <v>5889</v>
      </c>
      <c r="F521" s="6">
        <v>21</v>
      </c>
      <c r="G521" s="8">
        <f t="shared" si="8"/>
        <v>6744.2447215000002</v>
      </c>
    </row>
    <row r="522" spans="1:7" x14ac:dyDescent="0.3">
      <c r="A522" s="14" t="e">
        <f>VLOOKUP(B522,'Relacion codigos'!$A:$B,2,FALSE)</f>
        <v>#N/A</v>
      </c>
      <c r="B522" s="6" t="s">
        <v>9679</v>
      </c>
      <c r="C522" s="6" t="s">
        <v>9680</v>
      </c>
      <c r="D522" s="24">
        <v>8398.1680639999995</v>
      </c>
      <c r="E522" s="6" t="s">
        <v>5889</v>
      </c>
      <c r="F522" s="6">
        <v>21</v>
      </c>
      <c r="G522" s="8">
        <f t="shared" si="8"/>
        <v>8398.1680639999995</v>
      </c>
    </row>
    <row r="523" spans="1:7" x14ac:dyDescent="0.3">
      <c r="A523" s="14" t="str">
        <f>VLOOKUP(B523,'Relacion codigos'!$A:$B,2,FALSE)</f>
        <v>8938</v>
      </c>
      <c r="B523" s="6" t="s">
        <v>3890</v>
      </c>
      <c r="C523" s="6" t="s">
        <v>10227</v>
      </c>
      <c r="D523" s="24">
        <v>10751.873600000001</v>
      </c>
      <c r="E523" s="6" t="s">
        <v>5889</v>
      </c>
      <c r="F523" s="6">
        <v>21</v>
      </c>
      <c r="G523" s="8">
        <f t="shared" si="8"/>
        <v>10751.873600000001</v>
      </c>
    </row>
    <row r="524" spans="1:7" x14ac:dyDescent="0.3">
      <c r="A524" s="14" t="str">
        <f>VLOOKUP(B524,'Relacion codigos'!$A:$B,2,FALSE)</f>
        <v>8936</v>
      </c>
      <c r="B524" s="6" t="s">
        <v>3891</v>
      </c>
      <c r="C524" s="6" t="s">
        <v>10228</v>
      </c>
      <c r="D524" s="24">
        <v>7069.6184000000003</v>
      </c>
      <c r="E524" s="6" t="s">
        <v>5889</v>
      </c>
      <c r="F524" s="6">
        <v>21</v>
      </c>
      <c r="G524" s="8">
        <f t="shared" si="8"/>
        <v>7069.6184000000003</v>
      </c>
    </row>
    <row r="525" spans="1:7" x14ac:dyDescent="0.3">
      <c r="A525" s="14" t="str">
        <f>VLOOKUP(B525,'Relacion codigos'!$A:$B,2,FALSE)</f>
        <v>8937</v>
      </c>
      <c r="B525" s="6" t="s">
        <v>3892</v>
      </c>
      <c r="C525" s="6" t="s">
        <v>10229</v>
      </c>
      <c r="D525" s="24">
        <v>7069.6184000000003</v>
      </c>
      <c r="E525" s="6" t="s">
        <v>5889</v>
      </c>
      <c r="F525" s="6">
        <v>21</v>
      </c>
      <c r="G525" s="8">
        <f t="shared" si="8"/>
        <v>7069.6184000000003</v>
      </c>
    </row>
    <row r="526" spans="1:7" x14ac:dyDescent="0.3">
      <c r="A526" s="14" t="str">
        <f>VLOOKUP(B526,'Relacion codigos'!$A:$B,2,FALSE)</f>
        <v>6748</v>
      </c>
      <c r="B526" s="6" t="s">
        <v>3896</v>
      </c>
      <c r="C526" s="6" t="s">
        <v>113</v>
      </c>
      <c r="D526" s="24">
        <v>16821.648850500002</v>
      </c>
      <c r="E526" s="6" t="s">
        <v>5889</v>
      </c>
      <c r="F526" s="6">
        <v>21</v>
      </c>
      <c r="G526" s="8">
        <f t="shared" si="8"/>
        <v>16821.648850500002</v>
      </c>
    </row>
    <row r="527" spans="1:7" x14ac:dyDescent="0.3">
      <c r="A527" s="14" t="str">
        <f>VLOOKUP(B527,'Relacion codigos'!$A:$B,2,FALSE)</f>
        <v>6772</v>
      </c>
      <c r="B527" s="6" t="s">
        <v>3897</v>
      </c>
      <c r="C527" s="6" t="s">
        <v>114</v>
      </c>
      <c r="D527" s="24">
        <v>10716.0741285</v>
      </c>
      <c r="E527" s="6" t="s">
        <v>5889</v>
      </c>
      <c r="F527" s="6">
        <v>21</v>
      </c>
      <c r="G527" s="8">
        <f t="shared" si="8"/>
        <v>10716.0741285</v>
      </c>
    </row>
    <row r="528" spans="1:7" x14ac:dyDescent="0.3">
      <c r="A528" s="14" t="str">
        <f>VLOOKUP(B528,'Relacion codigos'!$A:$B,2,FALSE)</f>
        <v>6749</v>
      </c>
      <c r="B528" s="6" t="s">
        <v>3898</v>
      </c>
      <c r="C528" s="6" t="s">
        <v>115</v>
      </c>
      <c r="D528" s="24">
        <v>10716.0741285</v>
      </c>
      <c r="E528" s="6" t="s">
        <v>5889</v>
      </c>
      <c r="F528" s="6">
        <v>21</v>
      </c>
      <c r="G528" s="8">
        <f t="shared" si="8"/>
        <v>10716.0741285</v>
      </c>
    </row>
    <row r="529" spans="1:7" x14ac:dyDescent="0.3">
      <c r="A529" s="14" t="str">
        <f>VLOOKUP(B529,'Relacion codigos'!$A:$B,2,FALSE)</f>
        <v>7984</v>
      </c>
      <c r="B529" s="6" t="s">
        <v>2243</v>
      </c>
      <c r="C529" s="6" t="s">
        <v>9926</v>
      </c>
      <c r="D529" s="24">
        <v>854.71388751455402</v>
      </c>
      <c r="E529" s="6" t="s">
        <v>5889</v>
      </c>
      <c r="F529" s="6">
        <v>21</v>
      </c>
      <c r="G529" s="8">
        <f t="shared" si="8"/>
        <v>854.71388751455402</v>
      </c>
    </row>
    <row r="530" spans="1:7" x14ac:dyDescent="0.3">
      <c r="A530" s="14" t="str">
        <f>VLOOKUP(B530,'Relacion codigos'!$A:$B,2,FALSE)</f>
        <v>2493</v>
      </c>
      <c r="B530" s="6" t="s">
        <v>5662</v>
      </c>
      <c r="C530" s="6" t="s">
        <v>116</v>
      </c>
      <c r="D530" s="24">
        <v>113.163743114471</v>
      </c>
      <c r="E530" s="6" t="s">
        <v>5889</v>
      </c>
      <c r="F530" s="6">
        <v>21</v>
      </c>
      <c r="G530" s="8">
        <f t="shared" si="8"/>
        <v>113.163743114471</v>
      </c>
    </row>
    <row r="531" spans="1:7" x14ac:dyDescent="0.3">
      <c r="A531" s="14" t="str">
        <f>VLOOKUP(B531,'Relacion codigos'!$A:$B,2,FALSE)</f>
        <v>1245</v>
      </c>
      <c r="B531" s="6" t="s">
        <v>5663</v>
      </c>
      <c r="C531" s="6" t="s">
        <v>9221</v>
      </c>
      <c r="D531" s="24">
        <v>40.982199007034197</v>
      </c>
      <c r="E531" s="6" t="s">
        <v>5889</v>
      </c>
      <c r="F531" s="6">
        <v>21</v>
      </c>
      <c r="G531" s="8">
        <f t="shared" si="8"/>
        <v>40.982199007034197</v>
      </c>
    </row>
    <row r="532" spans="1:7" x14ac:dyDescent="0.3">
      <c r="A532" s="14" t="str">
        <f>VLOOKUP(B532,'Relacion codigos'!$A:$B,2,FALSE)</f>
        <v>1246</v>
      </c>
      <c r="B532" s="6" t="s">
        <v>5664</v>
      </c>
      <c r="C532" s="6" t="s">
        <v>9222</v>
      </c>
      <c r="D532" s="24">
        <v>13.2410013718606</v>
      </c>
      <c r="E532" s="6" t="s">
        <v>5889</v>
      </c>
      <c r="F532" s="6">
        <v>21</v>
      </c>
      <c r="G532" s="8">
        <f t="shared" si="8"/>
        <v>13.2410013718606</v>
      </c>
    </row>
    <row r="533" spans="1:7" x14ac:dyDescent="0.3">
      <c r="A533" s="14" t="str">
        <f>VLOOKUP(B533,'Relacion codigos'!$A:$B,2,FALSE)</f>
        <v>1247</v>
      </c>
      <c r="B533" s="6" t="s">
        <v>5665</v>
      </c>
      <c r="C533" s="6" t="s">
        <v>9223</v>
      </c>
      <c r="D533" s="24">
        <v>16.920996526908901</v>
      </c>
      <c r="E533" s="6" t="s">
        <v>5889</v>
      </c>
      <c r="F533" s="6">
        <v>21</v>
      </c>
      <c r="G533" s="8">
        <f t="shared" si="8"/>
        <v>16.920996526908901</v>
      </c>
    </row>
    <row r="534" spans="1:7" x14ac:dyDescent="0.3">
      <c r="A534" s="14" t="str">
        <f>VLOOKUP(B534,'Relacion codigos'!$A:$B,2,FALSE)</f>
        <v>1248</v>
      </c>
      <c r="B534" s="6" t="s">
        <v>5666</v>
      </c>
      <c r="C534" s="6" t="s">
        <v>9224</v>
      </c>
      <c r="D534" s="24">
        <v>75.134030540084794</v>
      </c>
      <c r="E534" s="6" t="s">
        <v>5889</v>
      </c>
      <c r="F534" s="6">
        <v>21</v>
      </c>
      <c r="G534" s="8">
        <f t="shared" si="8"/>
        <v>75.134030540084794</v>
      </c>
    </row>
    <row r="535" spans="1:7" x14ac:dyDescent="0.3">
      <c r="A535" s="14" t="e">
        <f>VLOOKUP(B535,'Relacion codigos'!$A:$B,2,FALSE)</f>
        <v>#N/A</v>
      </c>
      <c r="B535" s="6" t="s">
        <v>9986</v>
      </c>
      <c r="C535" s="6" t="s">
        <v>11069</v>
      </c>
      <c r="D535" s="24">
        <v>328.74693696000003</v>
      </c>
      <c r="E535" s="6" t="s">
        <v>5889</v>
      </c>
      <c r="F535" s="6">
        <v>21</v>
      </c>
      <c r="G535" s="8">
        <f t="shared" si="8"/>
        <v>328.74693696000003</v>
      </c>
    </row>
    <row r="536" spans="1:7" x14ac:dyDescent="0.3">
      <c r="A536" s="14" t="e">
        <f>VLOOKUP(B536,'Relacion codigos'!$A:$B,2,FALSE)</f>
        <v>#N/A</v>
      </c>
      <c r="B536" s="6" t="s">
        <v>13719</v>
      </c>
      <c r="C536" s="6" t="s">
        <v>11070</v>
      </c>
      <c r="D536" s="24">
        <v>447.09583426559999</v>
      </c>
      <c r="E536" s="6" t="s">
        <v>5889</v>
      </c>
      <c r="F536" s="6">
        <v>21</v>
      </c>
      <c r="G536" s="8">
        <f t="shared" si="8"/>
        <v>447.09583426559999</v>
      </c>
    </row>
    <row r="537" spans="1:7" x14ac:dyDescent="0.3">
      <c r="A537" s="14" t="e">
        <f>VLOOKUP(B537,'Relacion codigos'!$A:$B,2,FALSE)</f>
        <v>#N/A</v>
      </c>
      <c r="B537" s="6" t="s">
        <v>10580</v>
      </c>
      <c r="C537" s="6" t="s">
        <v>13757</v>
      </c>
      <c r="D537" s="24">
        <v>555.71840999999995</v>
      </c>
      <c r="E537" s="6" t="s">
        <v>5889</v>
      </c>
      <c r="F537" s="6">
        <v>21</v>
      </c>
      <c r="G537" s="8">
        <f t="shared" si="8"/>
        <v>555.71840999999995</v>
      </c>
    </row>
    <row r="538" spans="1:7" x14ac:dyDescent="0.3">
      <c r="A538" s="14" t="e">
        <f>VLOOKUP(B538,'Relacion codigos'!$A:$B,2,FALSE)</f>
        <v>#N/A</v>
      </c>
      <c r="B538" s="6" t="s">
        <v>8898</v>
      </c>
      <c r="C538" s="6" t="s">
        <v>12858</v>
      </c>
      <c r="D538" s="24">
        <v>536.95333036800002</v>
      </c>
      <c r="E538" s="6" t="s">
        <v>5889</v>
      </c>
      <c r="F538" s="6">
        <v>21</v>
      </c>
      <c r="G538" s="8">
        <f t="shared" si="8"/>
        <v>536.95333036800002</v>
      </c>
    </row>
    <row r="539" spans="1:7" x14ac:dyDescent="0.3">
      <c r="A539" s="14" t="e">
        <f>VLOOKUP(B539,'Relacion codigos'!$A:$B,2,FALSE)</f>
        <v>#N/A</v>
      </c>
      <c r="B539" s="6" t="s">
        <v>10230</v>
      </c>
      <c r="C539" s="6" t="s">
        <v>12859</v>
      </c>
      <c r="D539" s="24">
        <v>385.7297393664</v>
      </c>
      <c r="E539" s="6" t="s">
        <v>5889</v>
      </c>
      <c r="F539" s="6">
        <v>21</v>
      </c>
      <c r="G539" s="8">
        <f t="shared" si="8"/>
        <v>385.7297393664</v>
      </c>
    </row>
    <row r="540" spans="1:7" x14ac:dyDescent="0.3">
      <c r="A540" s="14" t="e">
        <f>VLOOKUP(B540,'Relacion codigos'!$A:$B,2,FALSE)</f>
        <v>#N/A</v>
      </c>
      <c r="B540" s="6" t="s">
        <v>9582</v>
      </c>
      <c r="C540" s="6" t="s">
        <v>13806</v>
      </c>
      <c r="D540" s="24">
        <v>629.01865727999996</v>
      </c>
      <c r="E540" s="6" t="s">
        <v>5889</v>
      </c>
      <c r="F540" s="6">
        <v>21</v>
      </c>
      <c r="G540" s="8">
        <f t="shared" si="8"/>
        <v>629.01865727999996</v>
      </c>
    </row>
    <row r="541" spans="1:7" x14ac:dyDescent="0.3">
      <c r="A541" s="14" t="str">
        <f>VLOOKUP(B541,'Relacion codigos'!$A:$B,2,FALSE)</f>
        <v>112</v>
      </c>
      <c r="B541" s="6" t="s">
        <v>2185</v>
      </c>
      <c r="C541" s="6" t="s">
        <v>11324</v>
      </c>
      <c r="D541" s="24">
        <v>440.13914999999997</v>
      </c>
      <c r="E541" s="6" t="s">
        <v>5889</v>
      </c>
      <c r="F541" s="6">
        <v>21</v>
      </c>
      <c r="G541" s="8">
        <f t="shared" si="8"/>
        <v>440.13914999999997</v>
      </c>
    </row>
    <row r="542" spans="1:7" x14ac:dyDescent="0.3">
      <c r="A542" s="14" t="str">
        <f>VLOOKUP(B542,'Relacion codigos'!$A:$B,2,FALSE)</f>
        <v>NUEVO</v>
      </c>
      <c r="B542" s="6" t="s">
        <v>8734</v>
      </c>
      <c r="C542" s="6" t="s">
        <v>13807</v>
      </c>
      <c r="D542" s="24">
        <v>792.81925632000002</v>
      </c>
      <c r="E542" s="6" t="s">
        <v>5889</v>
      </c>
      <c r="F542" s="6">
        <v>21</v>
      </c>
      <c r="G542" s="8">
        <f t="shared" si="8"/>
        <v>792.81925632000002</v>
      </c>
    </row>
    <row r="543" spans="1:7" x14ac:dyDescent="0.3">
      <c r="A543" s="14" t="str">
        <f>VLOOKUP(B543,'Relacion codigos'!$A:$B,2,FALSE)</f>
        <v>113</v>
      </c>
      <c r="B543" s="6" t="s">
        <v>2203</v>
      </c>
      <c r="C543" s="6" t="s">
        <v>11325</v>
      </c>
      <c r="D543" s="24">
        <v>561.56381999999996</v>
      </c>
      <c r="E543" s="6" t="s">
        <v>5889</v>
      </c>
      <c r="F543" s="6">
        <v>21</v>
      </c>
      <c r="G543" s="8">
        <f t="shared" si="8"/>
        <v>561.56381999999996</v>
      </c>
    </row>
    <row r="544" spans="1:7" x14ac:dyDescent="0.3">
      <c r="A544" s="14" t="str">
        <f>VLOOKUP(B544,'Relacion codigos'!$A:$B,2,FALSE)</f>
        <v>NUEVO</v>
      </c>
      <c r="B544" s="6" t="s">
        <v>8736</v>
      </c>
      <c r="C544" s="6" t="s">
        <v>13808</v>
      </c>
      <c r="D544" s="24">
        <v>1831.03494912</v>
      </c>
      <c r="E544" s="6" t="s">
        <v>5889</v>
      </c>
      <c r="F544" s="6">
        <v>21</v>
      </c>
      <c r="G544" s="8">
        <f t="shared" si="8"/>
        <v>1831.03494912</v>
      </c>
    </row>
    <row r="545" spans="1:7" x14ac:dyDescent="0.3">
      <c r="A545" s="14" t="str">
        <f>VLOOKUP(B545,'Relacion codigos'!$A:$B,2,FALSE)</f>
        <v>114</v>
      </c>
      <c r="B545" s="6" t="s">
        <v>2188</v>
      </c>
      <c r="C545" s="6" t="s">
        <v>11326</v>
      </c>
      <c r="D545" s="24">
        <v>951.98328000000004</v>
      </c>
      <c r="E545" s="6" t="s">
        <v>5889</v>
      </c>
      <c r="F545" s="6">
        <v>21</v>
      </c>
      <c r="G545" s="8">
        <f t="shared" si="8"/>
        <v>951.98328000000004</v>
      </c>
    </row>
    <row r="546" spans="1:7" x14ac:dyDescent="0.3">
      <c r="A546" s="14" t="str">
        <f>VLOOKUP(B546,'Relacion codigos'!$A:$B,2,FALSE)</f>
        <v>682</v>
      </c>
      <c r="B546" s="6" t="s">
        <v>2194</v>
      </c>
      <c r="C546" s="6" t="s">
        <v>13442</v>
      </c>
      <c r="D546" s="24">
        <v>437.20754688</v>
      </c>
      <c r="E546" s="6" t="s">
        <v>5889</v>
      </c>
      <c r="F546" s="6">
        <v>21</v>
      </c>
      <c r="G546" s="8">
        <f t="shared" si="8"/>
        <v>437.20754688</v>
      </c>
    </row>
    <row r="547" spans="1:7" x14ac:dyDescent="0.3">
      <c r="A547" s="14" t="str">
        <f>VLOOKUP(B547,'Relacion codigos'!$A:$B,2,FALSE)</f>
        <v>683</v>
      </c>
      <c r="B547" s="6" t="s">
        <v>2195</v>
      </c>
      <c r="C547" s="6" t="s">
        <v>13443</v>
      </c>
      <c r="D547" s="24">
        <v>629.01865727999996</v>
      </c>
      <c r="E547" s="6" t="s">
        <v>5889</v>
      </c>
      <c r="F547" s="6">
        <v>21</v>
      </c>
      <c r="G547" s="8">
        <f t="shared" si="8"/>
        <v>629.01865727999996</v>
      </c>
    </row>
    <row r="548" spans="1:7" x14ac:dyDescent="0.3">
      <c r="A548" s="14" t="str">
        <f>VLOOKUP(B548,'Relacion codigos'!$A:$B,2,FALSE)</f>
        <v>573</v>
      </c>
      <c r="B548" s="6" t="s">
        <v>2196</v>
      </c>
      <c r="C548" s="6" t="s">
        <v>13444</v>
      </c>
      <c r="D548" s="24">
        <v>792.81925632000002</v>
      </c>
      <c r="E548" s="6" t="s">
        <v>5889</v>
      </c>
      <c r="F548" s="6">
        <v>21</v>
      </c>
      <c r="G548" s="8">
        <f t="shared" si="8"/>
        <v>792.81925632000002</v>
      </c>
    </row>
    <row r="549" spans="1:7" x14ac:dyDescent="0.3">
      <c r="A549" s="14" t="str">
        <f>VLOOKUP(B549,'Relacion codigos'!$A:$B,2,FALSE)</f>
        <v>574</v>
      </c>
      <c r="B549" s="6" t="s">
        <v>2197</v>
      </c>
      <c r="C549" s="6" t="s">
        <v>13445</v>
      </c>
      <c r="D549" s="24">
        <v>1111.8955161599999</v>
      </c>
      <c r="E549" s="6" t="s">
        <v>5889</v>
      </c>
      <c r="F549" s="6">
        <v>21</v>
      </c>
      <c r="G549" s="8">
        <f t="shared" si="8"/>
        <v>1111.8955161599999</v>
      </c>
    </row>
    <row r="550" spans="1:7" x14ac:dyDescent="0.3">
      <c r="A550" s="14" t="str">
        <f>VLOOKUP(B550,'Relacion codigos'!$A:$B,2,FALSE)</f>
        <v>663</v>
      </c>
      <c r="B550" s="6" t="s">
        <v>2198</v>
      </c>
      <c r="C550" s="6" t="s">
        <v>13446</v>
      </c>
      <c r="D550" s="24">
        <v>1831.03494912</v>
      </c>
      <c r="E550" s="6" t="s">
        <v>5889</v>
      </c>
      <c r="F550" s="6">
        <v>21</v>
      </c>
      <c r="G550" s="8">
        <f t="shared" si="8"/>
        <v>1831.03494912</v>
      </c>
    </row>
    <row r="551" spans="1:7" x14ac:dyDescent="0.3">
      <c r="A551" s="14" t="e">
        <f>VLOOKUP(B551,'Relacion codigos'!$A:$B,2,FALSE)</f>
        <v>#N/A</v>
      </c>
      <c r="B551" s="6" t="s">
        <v>9987</v>
      </c>
      <c r="C551" s="6" t="s">
        <v>11405</v>
      </c>
      <c r="D551" s="24">
        <v>302.4471820032</v>
      </c>
      <c r="E551" s="6" t="s">
        <v>5889</v>
      </c>
      <c r="F551" s="6">
        <v>21</v>
      </c>
      <c r="G551" s="8">
        <f t="shared" si="8"/>
        <v>302.4471820032</v>
      </c>
    </row>
    <row r="552" spans="1:7" x14ac:dyDescent="0.3">
      <c r="A552" s="14" t="e">
        <f>VLOOKUP(B552,'Relacion codigos'!$A:$B,2,FALSE)</f>
        <v>#N/A</v>
      </c>
      <c r="B552" s="6" t="s">
        <v>9988</v>
      </c>
      <c r="C552" s="6" t="s">
        <v>11407</v>
      </c>
      <c r="D552" s="24">
        <v>407.6462018304</v>
      </c>
      <c r="E552" s="6" t="s">
        <v>5889</v>
      </c>
      <c r="F552" s="6">
        <v>21</v>
      </c>
      <c r="G552" s="8">
        <f t="shared" si="8"/>
        <v>407.6462018304</v>
      </c>
    </row>
    <row r="553" spans="1:7" x14ac:dyDescent="0.3">
      <c r="A553" s="14" t="str">
        <f>VLOOKUP(B553,'Relacion codigos'!$A:$B,2,FALSE)</f>
        <v>146</v>
      </c>
      <c r="B553" s="6" t="s">
        <v>2244</v>
      </c>
      <c r="C553" s="6" t="s">
        <v>13758</v>
      </c>
      <c r="D553" s="24">
        <v>442.9455888</v>
      </c>
      <c r="E553" s="6" t="s">
        <v>5889</v>
      </c>
      <c r="F553" s="6">
        <v>21</v>
      </c>
      <c r="G553" s="8">
        <f t="shared" si="8"/>
        <v>442.9455888</v>
      </c>
    </row>
    <row r="554" spans="1:7" x14ac:dyDescent="0.3">
      <c r="A554" s="14" t="str">
        <f>VLOOKUP(B554,'Relacion codigos'!$A:$B,2,FALSE)</f>
        <v>147</v>
      </c>
      <c r="B554" s="6" t="s">
        <v>2245</v>
      </c>
      <c r="C554" s="6" t="s">
        <v>13759</v>
      </c>
      <c r="D554" s="24">
        <v>463.00826000000001</v>
      </c>
      <c r="E554" s="6" t="s">
        <v>5889</v>
      </c>
      <c r="F554" s="6">
        <v>21</v>
      </c>
      <c r="G554" s="8">
        <f t="shared" si="8"/>
        <v>463.00826000000001</v>
      </c>
    </row>
    <row r="555" spans="1:7" x14ac:dyDescent="0.3">
      <c r="A555" s="14" t="e">
        <f>VLOOKUP(B555,'Relacion codigos'!$A:$B,2,FALSE)</f>
        <v>#N/A</v>
      </c>
      <c r="B555" s="6" t="s">
        <v>9789</v>
      </c>
      <c r="C555" s="6" t="s">
        <v>12868</v>
      </c>
      <c r="D555" s="24">
        <v>385.7297393664</v>
      </c>
      <c r="E555" s="6" t="s">
        <v>5889</v>
      </c>
      <c r="F555" s="6">
        <v>21</v>
      </c>
      <c r="G555" s="8">
        <f t="shared" si="8"/>
        <v>385.7297393664</v>
      </c>
    </row>
    <row r="556" spans="1:7" x14ac:dyDescent="0.3">
      <c r="A556" s="14" t="str">
        <f>VLOOKUP(B556,'Relacion codigos'!$A:$B,2,FALSE)</f>
        <v>9227</v>
      </c>
      <c r="B556" s="6" t="s">
        <v>2191</v>
      </c>
      <c r="C556" s="6" t="s">
        <v>13809</v>
      </c>
      <c r="D556" s="24">
        <v>629.01865727999996</v>
      </c>
      <c r="E556" s="6" t="s">
        <v>5889</v>
      </c>
      <c r="F556" s="6">
        <v>21</v>
      </c>
      <c r="G556" s="8">
        <f t="shared" si="8"/>
        <v>629.01865727999996</v>
      </c>
    </row>
    <row r="557" spans="1:7" x14ac:dyDescent="0.3">
      <c r="A557" s="14" t="str">
        <f>VLOOKUP(B557,'Relacion codigos'!$A:$B,2,FALSE)</f>
        <v>6561</v>
      </c>
      <c r="B557" s="6" t="s">
        <v>2193</v>
      </c>
      <c r="C557" s="6" t="s">
        <v>13447</v>
      </c>
      <c r="D557" s="24">
        <v>792.81925632000002</v>
      </c>
      <c r="E557" s="6" t="s">
        <v>5889</v>
      </c>
      <c r="F557" s="6">
        <v>21</v>
      </c>
      <c r="G557" s="8">
        <f t="shared" si="8"/>
        <v>792.81925632000002</v>
      </c>
    </row>
    <row r="558" spans="1:7" x14ac:dyDescent="0.3">
      <c r="A558" s="14" t="e">
        <f>VLOOKUP(B558,'Relacion codigos'!$A:$B,2,FALSE)</f>
        <v>#N/A</v>
      </c>
      <c r="B558" s="6" t="s">
        <v>9315</v>
      </c>
      <c r="C558" s="6" t="s">
        <v>12872</v>
      </c>
      <c r="D558" s="24">
        <v>536.95333036800002</v>
      </c>
      <c r="E558" s="6" t="s">
        <v>5889</v>
      </c>
      <c r="F558" s="6">
        <v>21</v>
      </c>
      <c r="G558" s="8">
        <f t="shared" si="8"/>
        <v>536.95333036800002</v>
      </c>
    </row>
    <row r="559" spans="1:7" x14ac:dyDescent="0.3">
      <c r="A559" s="14" t="str">
        <f>VLOOKUP(B559,'Relacion codigos'!$A:$B,2,FALSE)</f>
        <v>9230</v>
      </c>
      <c r="B559" s="6" t="s">
        <v>2190</v>
      </c>
      <c r="C559" s="6" t="s">
        <v>13810</v>
      </c>
      <c r="D559" s="24">
        <v>1111.8955161599999</v>
      </c>
      <c r="E559" s="6" t="s">
        <v>5889</v>
      </c>
      <c r="F559" s="6">
        <v>21</v>
      </c>
      <c r="G559" s="8">
        <f t="shared" si="8"/>
        <v>1111.8955161599999</v>
      </c>
    </row>
    <row r="560" spans="1:7" x14ac:dyDescent="0.3">
      <c r="A560" s="14" t="str">
        <f>VLOOKUP(B560,'Relacion codigos'!$A:$B,2,FALSE)</f>
        <v>9308</v>
      </c>
      <c r="B560" s="6" t="s">
        <v>2202</v>
      </c>
      <c r="C560" s="6" t="s">
        <v>10231</v>
      </c>
      <c r="D560" s="24">
        <v>1672.83051</v>
      </c>
      <c r="E560" s="6" t="s">
        <v>5889</v>
      </c>
      <c r="F560" s="6">
        <v>21</v>
      </c>
      <c r="G560" s="8">
        <f t="shared" si="8"/>
        <v>1672.83051</v>
      </c>
    </row>
    <row r="561" spans="1:7" x14ac:dyDescent="0.3">
      <c r="A561" s="14" t="e">
        <f>VLOOKUP(B561,'Relacion codigos'!$A:$B,2,FALSE)</f>
        <v>#N/A</v>
      </c>
      <c r="B561" s="6" t="s">
        <v>10232</v>
      </c>
      <c r="C561" s="6" t="s">
        <v>11072</v>
      </c>
      <c r="D561" s="24">
        <v>8176.7152999999998</v>
      </c>
      <c r="E561" s="6" t="s">
        <v>5889</v>
      </c>
      <c r="F561" s="6">
        <v>21</v>
      </c>
      <c r="G561" s="8">
        <f t="shared" si="8"/>
        <v>8176.7152999999998</v>
      </c>
    </row>
    <row r="562" spans="1:7" x14ac:dyDescent="0.3">
      <c r="A562" s="14" t="e">
        <f>VLOOKUP(B562,'Relacion codigos'!$A:$B,2,FALSE)</f>
        <v>#N/A</v>
      </c>
      <c r="B562" s="6" t="s">
        <v>10233</v>
      </c>
      <c r="C562" s="6" t="s">
        <v>11073</v>
      </c>
      <c r="D562" s="24">
        <v>13266.07828</v>
      </c>
      <c r="E562" s="6" t="s">
        <v>5889</v>
      </c>
      <c r="F562" s="6">
        <v>21</v>
      </c>
      <c r="G562" s="8">
        <f t="shared" si="8"/>
        <v>13266.07828</v>
      </c>
    </row>
    <row r="563" spans="1:7" x14ac:dyDescent="0.3">
      <c r="A563" s="14" t="e">
        <f>VLOOKUP(B563,'Relacion codigos'!$A:$B,2,FALSE)</f>
        <v>#N/A</v>
      </c>
      <c r="B563" s="6" t="s">
        <v>10570</v>
      </c>
      <c r="C563" s="6" t="s">
        <v>11074</v>
      </c>
      <c r="D563" s="24">
        <v>2404.5104200000001</v>
      </c>
      <c r="E563" s="6" t="s">
        <v>5889</v>
      </c>
      <c r="F563" s="6">
        <v>21</v>
      </c>
      <c r="G563" s="8">
        <f t="shared" si="8"/>
        <v>2404.5104200000001</v>
      </c>
    </row>
    <row r="564" spans="1:7" x14ac:dyDescent="0.3">
      <c r="A564" s="14" t="e">
        <f>VLOOKUP(B564,'Relacion codigos'!$A:$B,2,FALSE)</f>
        <v>#N/A</v>
      </c>
      <c r="B564" s="6" t="s">
        <v>10800</v>
      </c>
      <c r="C564" s="6" t="s">
        <v>11075</v>
      </c>
      <c r="D564" s="24">
        <v>23753.119390000102</v>
      </c>
      <c r="E564" s="6" t="s">
        <v>5889</v>
      </c>
      <c r="F564" s="6">
        <v>21</v>
      </c>
      <c r="G564" s="8">
        <f t="shared" si="8"/>
        <v>23753.119390000102</v>
      </c>
    </row>
    <row r="565" spans="1:7" x14ac:dyDescent="0.3">
      <c r="A565" s="14" t="str">
        <f>VLOOKUP(B565,'Relacion codigos'!$A:$B,2,FALSE)</f>
        <v>7252</v>
      </c>
      <c r="B565" s="6" t="s">
        <v>2515</v>
      </c>
      <c r="C565" s="6" t="s">
        <v>12507</v>
      </c>
      <c r="D565" s="24">
        <v>7501.3356554135999</v>
      </c>
      <c r="E565" s="6" t="s">
        <v>5889</v>
      </c>
      <c r="F565" s="6">
        <v>21</v>
      </c>
      <c r="G565" s="8">
        <f t="shared" si="8"/>
        <v>7501.3356554135999</v>
      </c>
    </row>
    <row r="566" spans="1:7" x14ac:dyDescent="0.3">
      <c r="A566" s="14" t="str">
        <f>VLOOKUP(B566,'Relacion codigos'!$A:$B,2,FALSE)</f>
        <v>6779</v>
      </c>
      <c r="B566" s="6" t="s">
        <v>2517</v>
      </c>
      <c r="C566" s="6" t="s">
        <v>9466</v>
      </c>
      <c r="D566" s="24">
        <v>10353.562077793</v>
      </c>
      <c r="E566" s="6" t="s">
        <v>5889</v>
      </c>
      <c r="F566" s="6">
        <v>21</v>
      </c>
      <c r="G566" s="8">
        <f t="shared" si="8"/>
        <v>10353.562077793</v>
      </c>
    </row>
    <row r="567" spans="1:7" x14ac:dyDescent="0.3">
      <c r="A567" s="14" t="str">
        <f>VLOOKUP(B567,'Relacion codigos'!$A:$B,2,FALSE)</f>
        <v>6547</v>
      </c>
      <c r="B567" s="6" t="s">
        <v>2503</v>
      </c>
      <c r="C567" s="6" t="s">
        <v>9963</v>
      </c>
      <c r="D567" s="24">
        <v>537.45959872799995</v>
      </c>
      <c r="E567" s="6" t="s">
        <v>5889</v>
      </c>
      <c r="F567" s="6">
        <v>21</v>
      </c>
      <c r="G567" s="8">
        <f t="shared" si="8"/>
        <v>537.45959872799995</v>
      </c>
    </row>
    <row r="568" spans="1:7" x14ac:dyDescent="0.3">
      <c r="A568" s="14" t="str">
        <f>VLOOKUP(B568,'Relacion codigos'!$A:$B,2,FALSE)</f>
        <v>8485</v>
      </c>
      <c r="B568" s="6" t="s">
        <v>2502</v>
      </c>
      <c r="C568" s="6" t="s">
        <v>12508</v>
      </c>
      <c r="D568" s="24">
        <v>465.81999179040002</v>
      </c>
      <c r="E568" s="6" t="s">
        <v>5889</v>
      </c>
      <c r="F568" s="6">
        <v>21</v>
      </c>
      <c r="G568" s="8">
        <f t="shared" si="8"/>
        <v>465.81999179040002</v>
      </c>
    </row>
    <row r="569" spans="1:7" x14ac:dyDescent="0.3">
      <c r="A569" s="14" t="str">
        <f>VLOOKUP(B569,'Relacion codigos'!$A:$B,2,FALSE)</f>
        <v>323</v>
      </c>
      <c r="B569" s="6" t="s">
        <v>2518</v>
      </c>
      <c r="C569" s="6" t="s">
        <v>9964</v>
      </c>
      <c r="D569" s="24">
        <v>450.33006283200001</v>
      </c>
      <c r="E569" s="6" t="s">
        <v>5889</v>
      </c>
      <c r="F569" s="6">
        <v>21</v>
      </c>
      <c r="G569" s="8">
        <f t="shared" si="8"/>
        <v>450.33006283200001</v>
      </c>
    </row>
    <row r="570" spans="1:7" x14ac:dyDescent="0.3">
      <c r="A570" s="14" t="str">
        <f>VLOOKUP(B570,'Relacion codigos'!$A:$B,2,FALSE)</f>
        <v>8488</v>
      </c>
      <c r="B570" s="6" t="s">
        <v>2505</v>
      </c>
      <c r="C570" s="6" t="s">
        <v>12509</v>
      </c>
      <c r="D570" s="24">
        <v>967.08436227000004</v>
      </c>
      <c r="E570" s="6" t="s">
        <v>5889</v>
      </c>
      <c r="F570" s="6">
        <v>21</v>
      </c>
      <c r="G570" s="8">
        <f t="shared" si="8"/>
        <v>967.08436227000004</v>
      </c>
    </row>
    <row r="571" spans="1:7" x14ac:dyDescent="0.3">
      <c r="A571" s="14" t="str">
        <f>VLOOKUP(B571,'Relacion codigos'!$A:$B,2,FALSE)</f>
        <v>5440</v>
      </c>
      <c r="B571" s="6" t="s">
        <v>2507</v>
      </c>
      <c r="C571" s="6" t="s">
        <v>9468</v>
      </c>
      <c r="D571" s="24">
        <v>1481.67727138079</v>
      </c>
      <c r="E571" s="6" t="s">
        <v>5889</v>
      </c>
      <c r="F571" s="6">
        <v>21</v>
      </c>
      <c r="G571" s="8">
        <f t="shared" si="8"/>
        <v>1481.67727138079</v>
      </c>
    </row>
    <row r="572" spans="1:7" x14ac:dyDescent="0.3">
      <c r="A572" s="14" t="str">
        <f>VLOOKUP(B572,'Relacion codigos'!$A:$B,2,FALSE)</f>
        <v>899</v>
      </c>
      <c r="B572" s="6" t="s">
        <v>2520</v>
      </c>
      <c r="C572" s="6" t="s">
        <v>9965</v>
      </c>
      <c r="D572" s="24">
        <v>884.03259016799996</v>
      </c>
      <c r="E572" s="6" t="s">
        <v>5889</v>
      </c>
      <c r="F572" s="6">
        <v>21</v>
      </c>
      <c r="G572" s="8">
        <f t="shared" si="8"/>
        <v>884.03259016799996</v>
      </c>
    </row>
    <row r="573" spans="1:7" x14ac:dyDescent="0.3">
      <c r="A573" s="14" t="e">
        <f>VLOOKUP(B573,'Relacion codigos'!$A:$B,2,FALSE)</f>
        <v>#N/A</v>
      </c>
      <c r="B573" s="6" t="s">
        <v>12522</v>
      </c>
      <c r="C573" s="6" t="s">
        <v>12523</v>
      </c>
      <c r="D573" s="24">
        <v>604.09653314399998</v>
      </c>
      <c r="E573" s="6" t="s">
        <v>5889</v>
      </c>
      <c r="F573" s="6">
        <v>21</v>
      </c>
      <c r="G573" s="8">
        <f t="shared" si="8"/>
        <v>604.09653314399998</v>
      </c>
    </row>
    <row r="574" spans="1:7" x14ac:dyDescent="0.3">
      <c r="A574" s="14" t="e">
        <f>VLOOKUP(B574,'Relacion codigos'!$A:$B,2,FALSE)</f>
        <v>#N/A</v>
      </c>
      <c r="B574" s="6" t="s">
        <v>13532</v>
      </c>
      <c r="C574" s="6" t="s">
        <v>13533</v>
      </c>
      <c r="D574" s="24">
        <v>664.50618645839995</v>
      </c>
      <c r="E574" s="6" t="s">
        <v>5889</v>
      </c>
      <c r="F574" s="6">
        <v>21</v>
      </c>
      <c r="G574" s="8">
        <f t="shared" si="8"/>
        <v>664.50618645839995</v>
      </c>
    </row>
    <row r="575" spans="1:7" x14ac:dyDescent="0.3">
      <c r="A575" s="14" t="str">
        <f>VLOOKUP(B575,'Relacion codigos'!$A:$B,2,FALSE)</f>
        <v>325</v>
      </c>
      <c r="B575" s="6" t="s">
        <v>2522</v>
      </c>
      <c r="C575" s="6" t="s">
        <v>9967</v>
      </c>
      <c r="D575" s="24">
        <v>531.68273121599998</v>
      </c>
      <c r="E575" s="6" t="s">
        <v>5889</v>
      </c>
      <c r="F575" s="6">
        <v>21</v>
      </c>
      <c r="G575" s="8">
        <f t="shared" si="8"/>
        <v>531.68273121599998</v>
      </c>
    </row>
    <row r="576" spans="1:7" x14ac:dyDescent="0.3">
      <c r="A576" s="14" t="str">
        <f>VLOOKUP(B576,'Relacion codigos'!$A:$B,2,FALSE)</f>
        <v>1787</v>
      </c>
      <c r="B576" s="6" t="s">
        <v>2511</v>
      </c>
      <c r="C576" s="6" t="s">
        <v>9968</v>
      </c>
      <c r="D576" s="24">
        <v>1979.735230512</v>
      </c>
      <c r="E576" s="6" t="s">
        <v>5889</v>
      </c>
      <c r="F576" s="6">
        <v>21</v>
      </c>
      <c r="G576" s="8">
        <f t="shared" si="8"/>
        <v>1979.735230512</v>
      </c>
    </row>
    <row r="577" spans="1:7" x14ac:dyDescent="0.3">
      <c r="A577" s="14" t="e">
        <f>VLOOKUP(B577,'Relacion codigos'!$A:$B,2,FALSE)</f>
        <v>#N/A</v>
      </c>
      <c r="B577" s="6" t="s">
        <v>12510</v>
      </c>
      <c r="C577" s="6" t="s">
        <v>12511</v>
      </c>
      <c r="D577" s="24">
        <v>2299.9609048103998</v>
      </c>
      <c r="E577" s="6" t="s">
        <v>5889</v>
      </c>
      <c r="F577" s="6">
        <v>21</v>
      </c>
      <c r="G577" s="8">
        <f t="shared" si="8"/>
        <v>2299.9609048103998</v>
      </c>
    </row>
    <row r="578" spans="1:7" x14ac:dyDescent="0.3">
      <c r="A578" s="14" t="str">
        <f>VLOOKUP(B578,'Relacion codigos'!$A:$B,2,FALSE)</f>
        <v>1786</v>
      </c>
      <c r="B578" s="6" t="s">
        <v>2524</v>
      </c>
      <c r="C578" s="6" t="s">
        <v>9969</v>
      </c>
      <c r="D578" s="24">
        <v>1744.5475878479999</v>
      </c>
      <c r="E578" s="6" t="s">
        <v>5889</v>
      </c>
      <c r="F578" s="6">
        <v>21</v>
      </c>
      <c r="G578" s="8">
        <f t="shared" ref="G578:G641" si="9">IF(E578="Dolares",D578*$G$1,D578)</f>
        <v>1744.5475878479999</v>
      </c>
    </row>
    <row r="579" spans="1:7" x14ac:dyDescent="0.3">
      <c r="A579" s="14" t="str">
        <f>VLOOKUP(B579,'Relacion codigos'!$A:$B,2,FALSE)</f>
        <v>5441</v>
      </c>
      <c r="B579" s="6" t="s">
        <v>2512</v>
      </c>
      <c r="C579" s="6" t="s">
        <v>9470</v>
      </c>
      <c r="D579" s="24">
        <v>2019.76006993488</v>
      </c>
      <c r="E579" s="6" t="s">
        <v>5889</v>
      </c>
      <c r="F579" s="6">
        <v>21</v>
      </c>
      <c r="G579" s="8">
        <f t="shared" si="9"/>
        <v>2019.76006993488</v>
      </c>
    </row>
    <row r="580" spans="1:7" x14ac:dyDescent="0.3">
      <c r="A580" s="14" t="e">
        <f>VLOOKUP(B580,'Relacion codigos'!$A:$B,2,FALSE)</f>
        <v>#N/A</v>
      </c>
      <c r="B580" s="6" t="s">
        <v>12512</v>
      </c>
      <c r="C580" s="6" t="s">
        <v>12513</v>
      </c>
      <c r="D580" s="24">
        <v>1890.3112924176</v>
      </c>
      <c r="E580" s="6" t="s">
        <v>5889</v>
      </c>
      <c r="F580" s="6">
        <v>21</v>
      </c>
      <c r="G580" s="8">
        <f t="shared" si="9"/>
        <v>1890.3112924176</v>
      </c>
    </row>
    <row r="581" spans="1:7" x14ac:dyDescent="0.3">
      <c r="A581" s="14" t="str">
        <f>VLOOKUP(B581,'Relacion codigos'!$A:$B,2,FALSE)</f>
        <v>8490</v>
      </c>
      <c r="B581" s="6" t="s">
        <v>2526</v>
      </c>
      <c r="C581" s="6" t="s">
        <v>12514</v>
      </c>
      <c r="D581" s="24">
        <v>2350.8560079576</v>
      </c>
      <c r="E581" s="6" t="s">
        <v>5889</v>
      </c>
      <c r="F581" s="6">
        <v>21</v>
      </c>
      <c r="G581" s="8">
        <f t="shared" si="9"/>
        <v>2350.8560079576</v>
      </c>
    </row>
    <row r="582" spans="1:7" x14ac:dyDescent="0.3">
      <c r="A582" s="14" t="str">
        <f>VLOOKUP(B582,'Relacion codigos'!$A:$B,2,FALSE)</f>
        <v>5439</v>
      </c>
      <c r="B582" s="6" t="s">
        <v>2528</v>
      </c>
      <c r="C582" s="6" t="s">
        <v>9471</v>
      </c>
      <c r="D582" s="24">
        <v>2134.8495714780001</v>
      </c>
      <c r="E582" s="6" t="s">
        <v>5889</v>
      </c>
      <c r="F582" s="6">
        <v>21</v>
      </c>
      <c r="G582" s="8">
        <f t="shared" si="9"/>
        <v>2134.8495714780001</v>
      </c>
    </row>
    <row r="583" spans="1:7" x14ac:dyDescent="0.3">
      <c r="A583" s="14" t="str">
        <f>VLOOKUP(B583,'Relacion codigos'!$A:$B,2,FALSE)</f>
        <v>1789</v>
      </c>
      <c r="B583" s="6" t="s">
        <v>2514</v>
      </c>
      <c r="C583" s="6" t="s">
        <v>9472</v>
      </c>
      <c r="D583" s="24">
        <v>3090.0369500000002</v>
      </c>
      <c r="E583" s="6" t="s">
        <v>5889</v>
      </c>
      <c r="F583" s="6">
        <v>21</v>
      </c>
      <c r="G583" s="8">
        <f t="shared" si="9"/>
        <v>3090.0369500000002</v>
      </c>
    </row>
    <row r="584" spans="1:7" x14ac:dyDescent="0.3">
      <c r="A584" s="14" t="e">
        <f>VLOOKUP(B584,'Relacion codigos'!$A:$B,2,FALSE)</f>
        <v>#N/A</v>
      </c>
      <c r="B584" s="6" t="s">
        <v>10977</v>
      </c>
      <c r="C584" s="6" t="s">
        <v>10978</v>
      </c>
      <c r="D584" s="24">
        <v>3206.3219855245802</v>
      </c>
      <c r="E584" s="6" t="s">
        <v>5889</v>
      </c>
      <c r="F584" s="6">
        <v>21</v>
      </c>
      <c r="G584" s="8">
        <f t="shared" si="9"/>
        <v>3206.3219855245802</v>
      </c>
    </row>
    <row r="585" spans="1:7" x14ac:dyDescent="0.3">
      <c r="A585" s="14" t="e">
        <f>VLOOKUP(B585,'Relacion codigos'!$A:$B,2,FALSE)</f>
        <v>#N/A</v>
      </c>
      <c r="B585" s="6" t="s">
        <v>12318</v>
      </c>
      <c r="C585" s="6" t="s">
        <v>12319</v>
      </c>
      <c r="D585" s="24">
        <v>5362.8299189992804</v>
      </c>
      <c r="E585" s="6" t="s">
        <v>5889</v>
      </c>
      <c r="F585" s="6">
        <v>21</v>
      </c>
      <c r="G585" s="8">
        <f t="shared" si="9"/>
        <v>5362.8299189992804</v>
      </c>
    </row>
    <row r="586" spans="1:7" x14ac:dyDescent="0.3">
      <c r="A586" s="14" t="str">
        <f>VLOOKUP(B586,'Relacion codigos'!$A:$B,2,FALSE)</f>
        <v>1790</v>
      </c>
      <c r="B586" s="6" t="s">
        <v>2529</v>
      </c>
      <c r="C586" s="6" t="s">
        <v>9473</v>
      </c>
      <c r="D586" s="24">
        <v>6389.0299199999999</v>
      </c>
      <c r="E586" s="6" t="s">
        <v>5889</v>
      </c>
      <c r="F586" s="6">
        <v>21</v>
      </c>
      <c r="G586" s="8">
        <f t="shared" si="9"/>
        <v>6389.0299199999999</v>
      </c>
    </row>
    <row r="587" spans="1:7" x14ac:dyDescent="0.3">
      <c r="A587" s="14" t="str">
        <f>VLOOKUP(B587,'Relacion codigos'!$A:$B,2,FALSE)</f>
        <v>8838</v>
      </c>
      <c r="B587" s="6" t="s">
        <v>2595</v>
      </c>
      <c r="C587" s="6" t="s">
        <v>12892</v>
      </c>
      <c r="D587" s="24">
        <v>3.7557</v>
      </c>
      <c r="E587" s="6" t="s">
        <v>5887</v>
      </c>
      <c r="F587" s="6">
        <v>21</v>
      </c>
      <c r="G587" s="8">
        <f t="shared" si="9"/>
        <v>5840.1135000000004</v>
      </c>
    </row>
    <row r="588" spans="1:7" x14ac:dyDescent="0.3">
      <c r="A588" s="14" t="str">
        <f>VLOOKUP(B588,'Relacion codigos'!$A:$B,2,FALSE)</f>
        <v>8839</v>
      </c>
      <c r="B588" s="6" t="s">
        <v>2596</v>
      </c>
      <c r="C588" s="6" t="s">
        <v>12893</v>
      </c>
      <c r="D588" s="24">
        <v>3.9782600000000001</v>
      </c>
      <c r="E588" s="6" t="s">
        <v>5887</v>
      </c>
      <c r="F588" s="6">
        <v>21</v>
      </c>
      <c r="G588" s="8">
        <f t="shared" si="9"/>
        <v>6186.1943000000001</v>
      </c>
    </row>
    <row r="589" spans="1:7" x14ac:dyDescent="0.3">
      <c r="A589" s="14" t="str">
        <f>VLOOKUP(B589,'Relacion codigos'!$A:$B,2,FALSE)</f>
        <v>8840</v>
      </c>
      <c r="B589" s="6" t="s">
        <v>2597</v>
      </c>
      <c r="C589" s="6" t="s">
        <v>12894</v>
      </c>
      <c r="D589" s="24">
        <v>4.7850400000000004</v>
      </c>
      <c r="E589" s="6" t="s">
        <v>5887</v>
      </c>
      <c r="F589" s="6">
        <v>21</v>
      </c>
      <c r="G589" s="8">
        <f t="shared" si="9"/>
        <v>7440.7372000000005</v>
      </c>
    </row>
    <row r="590" spans="1:7" x14ac:dyDescent="0.3">
      <c r="A590" s="14" t="str">
        <f>VLOOKUP(B590,'Relacion codigos'!$A:$B,2,FALSE)</f>
        <v>8841</v>
      </c>
      <c r="B590" s="6" t="s">
        <v>2598</v>
      </c>
      <c r="C590" s="6" t="s">
        <v>12895</v>
      </c>
      <c r="D590" s="24">
        <v>6.3568699999999998</v>
      </c>
      <c r="E590" s="6" t="s">
        <v>5887</v>
      </c>
      <c r="F590" s="6">
        <v>21</v>
      </c>
      <c r="G590" s="8">
        <f t="shared" si="9"/>
        <v>9884.9328499999992</v>
      </c>
    </row>
    <row r="591" spans="1:7" x14ac:dyDescent="0.3">
      <c r="A591" s="14" t="str">
        <f>VLOOKUP(B591,'Relacion codigos'!$A:$B,2,FALSE)</f>
        <v>156</v>
      </c>
      <c r="B591" s="6" t="s">
        <v>2204</v>
      </c>
      <c r="C591" s="6" t="s">
        <v>9942</v>
      </c>
      <c r="D591" s="24">
        <v>239.63869800000001</v>
      </c>
      <c r="E591" s="6" t="s">
        <v>5889</v>
      </c>
      <c r="F591" s="6">
        <v>21</v>
      </c>
      <c r="G591" s="8">
        <f t="shared" si="9"/>
        <v>239.63869800000001</v>
      </c>
    </row>
    <row r="592" spans="1:7" x14ac:dyDescent="0.3">
      <c r="A592" s="14" t="str">
        <f>VLOOKUP(B592,'Relacion codigos'!$A:$B,2,FALSE)</f>
        <v>157</v>
      </c>
      <c r="B592" s="6" t="s">
        <v>2205</v>
      </c>
      <c r="C592" s="6" t="s">
        <v>9927</v>
      </c>
      <c r="D592" s="24">
        <v>419.72868599999998</v>
      </c>
      <c r="E592" s="6" t="s">
        <v>5889</v>
      </c>
      <c r="F592" s="6">
        <v>21</v>
      </c>
      <c r="G592" s="8">
        <f t="shared" si="9"/>
        <v>419.72868599999998</v>
      </c>
    </row>
    <row r="593" spans="1:7" x14ac:dyDescent="0.3">
      <c r="A593" s="14" t="e">
        <f>VLOOKUP(B593,'Relacion codigos'!$A:$B,2,FALSE)</f>
        <v>#N/A</v>
      </c>
      <c r="B593" s="6" t="s">
        <v>10878</v>
      </c>
      <c r="C593" s="6" t="s">
        <v>13448</v>
      </c>
      <c r="D593" s="24">
        <v>3229.1248204799999</v>
      </c>
      <c r="E593" s="6" t="s">
        <v>5889</v>
      </c>
      <c r="F593" s="6">
        <v>21</v>
      </c>
      <c r="G593" s="8">
        <f t="shared" si="9"/>
        <v>3229.1248204799999</v>
      </c>
    </row>
    <row r="594" spans="1:7" x14ac:dyDescent="0.3">
      <c r="A594" s="14" t="e">
        <f>VLOOKUP(B594,'Relacion codigos'!$A:$B,2,FALSE)</f>
        <v>#N/A</v>
      </c>
      <c r="B594" s="6" t="s">
        <v>10581</v>
      </c>
      <c r="C594" s="6" t="s">
        <v>13449</v>
      </c>
      <c r="D594" s="24">
        <v>5120.4432614400002</v>
      </c>
      <c r="E594" s="6" t="s">
        <v>5889</v>
      </c>
      <c r="F594" s="6">
        <v>21</v>
      </c>
      <c r="G594" s="8">
        <f t="shared" si="9"/>
        <v>5120.4432614400002</v>
      </c>
    </row>
    <row r="595" spans="1:7" x14ac:dyDescent="0.3">
      <c r="A595" s="14" t="e">
        <f>VLOOKUP(B595,'Relacion codigos'!$A:$B,2,FALSE)</f>
        <v>#N/A</v>
      </c>
      <c r="B595" s="6" t="s">
        <v>9715</v>
      </c>
      <c r="C595" s="6" t="s">
        <v>13450</v>
      </c>
      <c r="D595" s="24">
        <v>8309.3790873599992</v>
      </c>
      <c r="E595" s="6" t="s">
        <v>5889</v>
      </c>
      <c r="F595" s="6">
        <v>21</v>
      </c>
      <c r="G595" s="8">
        <f t="shared" si="9"/>
        <v>8309.3790873599992</v>
      </c>
    </row>
    <row r="596" spans="1:7" x14ac:dyDescent="0.3">
      <c r="A596" s="14" t="str">
        <f>VLOOKUP(B596,'Relacion codigos'!$A:$B,2,FALSE)</f>
        <v>9415</v>
      </c>
      <c r="B596" s="6" t="s">
        <v>2246</v>
      </c>
      <c r="C596" s="6" t="s">
        <v>13451</v>
      </c>
      <c r="D596" s="24">
        <v>11248.65600768</v>
      </c>
      <c r="E596" s="6" t="s">
        <v>5889</v>
      </c>
      <c r="F596" s="6">
        <v>21</v>
      </c>
      <c r="G596" s="8">
        <f t="shared" si="9"/>
        <v>11248.65600768</v>
      </c>
    </row>
    <row r="597" spans="1:7" x14ac:dyDescent="0.3">
      <c r="A597" s="14" t="e">
        <f>VLOOKUP(B597,'Relacion codigos'!$A:$B,2,FALSE)</f>
        <v>#N/A</v>
      </c>
      <c r="B597" s="6" t="s">
        <v>9507</v>
      </c>
      <c r="C597" s="6" t="s">
        <v>13452</v>
      </c>
      <c r="D597" s="24">
        <v>16535.944488960002</v>
      </c>
      <c r="E597" s="6" t="s">
        <v>5889</v>
      </c>
      <c r="F597" s="6">
        <v>21</v>
      </c>
      <c r="G597" s="8">
        <f t="shared" si="9"/>
        <v>16535.944488960002</v>
      </c>
    </row>
    <row r="598" spans="1:7" x14ac:dyDescent="0.3">
      <c r="A598" s="14" t="e">
        <f>VLOOKUP(B598,'Relacion codigos'!$A:$B,2,FALSE)</f>
        <v>#N/A</v>
      </c>
      <c r="B598" s="6" t="s">
        <v>12054</v>
      </c>
      <c r="C598" s="6" t="s">
        <v>13453</v>
      </c>
      <c r="D598" s="24">
        <v>1953.42870528</v>
      </c>
      <c r="E598" s="6" t="s">
        <v>5889</v>
      </c>
      <c r="F598" s="6">
        <v>21</v>
      </c>
      <c r="G598" s="8">
        <f t="shared" si="9"/>
        <v>1953.42870528</v>
      </c>
    </row>
    <row r="599" spans="1:7" x14ac:dyDescent="0.3">
      <c r="A599" s="14" t="e">
        <f>VLOOKUP(B599,'Relacion codigos'!$A:$B,2,FALSE)</f>
        <v>#N/A</v>
      </c>
      <c r="B599" s="6" t="s">
        <v>9508</v>
      </c>
      <c r="C599" s="6" t="s">
        <v>13454</v>
      </c>
      <c r="D599" s="24">
        <v>22225.73184</v>
      </c>
      <c r="E599" s="6" t="s">
        <v>5889</v>
      </c>
      <c r="F599" s="6">
        <v>21</v>
      </c>
      <c r="G599" s="8">
        <f t="shared" si="9"/>
        <v>22225.73184</v>
      </c>
    </row>
    <row r="600" spans="1:7" x14ac:dyDescent="0.3">
      <c r="A600" s="14" t="e">
        <f>VLOOKUP(B600,'Relacion codigos'!$A:$B,2,FALSE)</f>
        <v>#N/A</v>
      </c>
      <c r="B600" s="6" t="s">
        <v>13248</v>
      </c>
      <c r="C600" s="6" t="s">
        <v>13455</v>
      </c>
      <c r="D600" s="24">
        <v>30531.4573824</v>
      </c>
      <c r="E600" s="6" t="s">
        <v>5889</v>
      </c>
      <c r="F600" s="6">
        <v>21</v>
      </c>
      <c r="G600" s="8">
        <f t="shared" si="9"/>
        <v>30531.4573824</v>
      </c>
    </row>
    <row r="601" spans="1:7" x14ac:dyDescent="0.3">
      <c r="A601" s="14" t="str">
        <f>VLOOKUP(B601,'Relacion codigos'!$A:$B,2,FALSE)</f>
        <v>803</v>
      </c>
      <c r="B601" s="6" t="s">
        <v>2206</v>
      </c>
      <c r="C601" s="6" t="s">
        <v>9928</v>
      </c>
      <c r="D601" s="24">
        <v>2739.6894411397502</v>
      </c>
      <c r="E601" s="6" t="s">
        <v>5889</v>
      </c>
      <c r="F601" s="6">
        <v>21</v>
      </c>
      <c r="G601" s="8">
        <f t="shared" si="9"/>
        <v>2739.6894411397502</v>
      </c>
    </row>
    <row r="602" spans="1:7" x14ac:dyDescent="0.3">
      <c r="A602" s="14" t="str">
        <f>VLOOKUP(B602,'Relacion codigos'!$A:$B,2,FALSE)</f>
        <v>804</v>
      </c>
      <c r="B602" s="6" t="s">
        <v>2207</v>
      </c>
      <c r="C602" s="6" t="s">
        <v>9929</v>
      </c>
      <c r="D602" s="24">
        <v>4705.9338299999999</v>
      </c>
      <c r="E602" s="6" t="s">
        <v>5889</v>
      </c>
      <c r="F602" s="6">
        <v>21</v>
      </c>
      <c r="G602" s="8">
        <f t="shared" si="9"/>
        <v>4705.9338299999999</v>
      </c>
    </row>
    <row r="603" spans="1:7" x14ac:dyDescent="0.3">
      <c r="A603" s="14" t="str">
        <f>VLOOKUP(B603,'Relacion codigos'!$A:$B,2,FALSE)</f>
        <v>805</v>
      </c>
      <c r="B603" s="6" t="s">
        <v>2208</v>
      </c>
      <c r="C603" s="6" t="s">
        <v>9930</v>
      </c>
      <c r="D603" s="24">
        <v>6493.7443999999996</v>
      </c>
      <c r="E603" s="6" t="s">
        <v>5889</v>
      </c>
      <c r="F603" s="6">
        <v>21</v>
      </c>
      <c r="G603" s="8">
        <f t="shared" si="9"/>
        <v>6493.7443999999996</v>
      </c>
    </row>
    <row r="604" spans="1:7" x14ac:dyDescent="0.3">
      <c r="A604" s="14" t="e">
        <f>VLOOKUP(B604,'Relacion codigos'!$A:$B,2,FALSE)</f>
        <v>#N/A</v>
      </c>
      <c r="B604" s="6" t="s">
        <v>10050</v>
      </c>
      <c r="C604" s="6" t="s">
        <v>10051</v>
      </c>
      <c r="D604" s="24">
        <v>11266.419801</v>
      </c>
      <c r="E604" s="6" t="s">
        <v>5889</v>
      </c>
      <c r="F604" s="6">
        <v>21</v>
      </c>
      <c r="G604" s="8">
        <f t="shared" si="9"/>
        <v>11266.419801</v>
      </c>
    </row>
    <row r="605" spans="1:7" x14ac:dyDescent="0.3">
      <c r="A605" s="14" t="str">
        <f>VLOOKUP(B605,'Relacion codigos'!$A:$B,2,FALSE)</f>
        <v>806</v>
      </c>
      <c r="B605" s="6" t="s">
        <v>2209</v>
      </c>
      <c r="C605" s="6" t="s">
        <v>9931</v>
      </c>
      <c r="D605" s="24">
        <v>11067.4915</v>
      </c>
      <c r="E605" s="6" t="s">
        <v>5889</v>
      </c>
      <c r="F605" s="6">
        <v>21</v>
      </c>
      <c r="G605" s="8">
        <f t="shared" si="9"/>
        <v>11067.4915</v>
      </c>
    </row>
    <row r="606" spans="1:7" x14ac:dyDescent="0.3">
      <c r="A606" s="14" t="e">
        <f>VLOOKUP(B606,'Relacion codigos'!$A:$B,2,FALSE)</f>
        <v>#N/A</v>
      </c>
      <c r="B606" s="6" t="s">
        <v>11980</v>
      </c>
      <c r="C606" s="6" t="s">
        <v>11981</v>
      </c>
      <c r="D606" s="24">
        <v>15851.5682325</v>
      </c>
      <c r="E606" s="6" t="s">
        <v>5889</v>
      </c>
      <c r="F606" s="6">
        <v>21</v>
      </c>
      <c r="G606" s="8">
        <f t="shared" si="9"/>
        <v>15851.5682325</v>
      </c>
    </row>
    <row r="607" spans="1:7" x14ac:dyDescent="0.3">
      <c r="A607" s="14" t="str">
        <f>VLOOKUP(B607,'Relacion codigos'!$A:$B,2,FALSE)</f>
        <v>807</v>
      </c>
      <c r="B607" s="6" t="s">
        <v>2210</v>
      </c>
      <c r="C607" s="6" t="s">
        <v>9932</v>
      </c>
      <c r="D607" s="24">
        <v>15520.17987</v>
      </c>
      <c r="E607" s="6" t="s">
        <v>5889</v>
      </c>
      <c r="F607" s="6">
        <v>21</v>
      </c>
      <c r="G607" s="8">
        <f t="shared" si="9"/>
        <v>15520.17987</v>
      </c>
    </row>
    <row r="608" spans="1:7" x14ac:dyDescent="0.3">
      <c r="A608" s="14" t="str">
        <f>VLOOKUP(B608,'Relacion codigos'!$A:$B,2,FALSE)</f>
        <v>5212</v>
      </c>
      <c r="B608" s="6" t="s">
        <v>2199</v>
      </c>
      <c r="C608" s="6" t="s">
        <v>13811</v>
      </c>
      <c r="D608" s="24">
        <v>792.81925632000002</v>
      </c>
      <c r="E608" s="6" t="s">
        <v>5889</v>
      </c>
      <c r="F608" s="6">
        <v>21</v>
      </c>
      <c r="G608" s="8">
        <f t="shared" si="9"/>
        <v>792.81925632000002</v>
      </c>
    </row>
    <row r="609" spans="1:7" x14ac:dyDescent="0.3">
      <c r="A609" s="14" t="str">
        <f>VLOOKUP(B609,'Relacion codigos'!$A:$B,2,FALSE)</f>
        <v>5321</v>
      </c>
      <c r="B609" s="6" t="s">
        <v>2201</v>
      </c>
      <c r="C609" s="6" t="s">
        <v>13812</v>
      </c>
      <c r="D609" s="24">
        <v>1111.8955161599999</v>
      </c>
      <c r="E609" s="6" t="s">
        <v>5889</v>
      </c>
      <c r="F609" s="6">
        <v>21</v>
      </c>
      <c r="G609" s="8">
        <f t="shared" si="9"/>
        <v>1111.8955161599999</v>
      </c>
    </row>
    <row r="610" spans="1:7" x14ac:dyDescent="0.3">
      <c r="A610" s="14" t="str">
        <f>VLOOKUP(B610,'Relacion codigos'!$A:$B,2,FALSE)</f>
        <v>5390</v>
      </c>
      <c r="B610" s="6" t="s">
        <v>2211</v>
      </c>
      <c r="C610" s="6" t="s">
        <v>8832</v>
      </c>
      <c r="D610" s="24">
        <v>138.117954</v>
      </c>
      <c r="E610" s="6" t="s">
        <v>5889</v>
      </c>
      <c r="F610" s="6">
        <v>21</v>
      </c>
      <c r="G610" s="8">
        <f t="shared" si="9"/>
        <v>138.117954</v>
      </c>
    </row>
    <row r="611" spans="1:7" x14ac:dyDescent="0.3">
      <c r="A611" s="14" t="str">
        <f>VLOOKUP(B611,'Relacion codigos'!$A:$B,2,FALSE)</f>
        <v>5392</v>
      </c>
      <c r="B611" s="6" t="s">
        <v>2212</v>
      </c>
      <c r="C611" s="6" t="s">
        <v>8833</v>
      </c>
      <c r="D611" s="24">
        <v>453.09599400000002</v>
      </c>
      <c r="E611" s="6" t="s">
        <v>5889</v>
      </c>
      <c r="F611" s="6">
        <v>21</v>
      </c>
      <c r="G611" s="8">
        <f t="shared" si="9"/>
        <v>453.09599400000002</v>
      </c>
    </row>
    <row r="612" spans="1:7" x14ac:dyDescent="0.3">
      <c r="A612" s="14" t="str">
        <f>VLOOKUP(B612,'Relacion codigos'!$A:$B,2,FALSE)</f>
        <v>5406</v>
      </c>
      <c r="B612" s="6" t="s">
        <v>2213</v>
      </c>
      <c r="C612" s="6" t="s">
        <v>8834</v>
      </c>
      <c r="D612" s="24">
        <v>724.30760999999995</v>
      </c>
      <c r="E612" s="6" t="s">
        <v>5889</v>
      </c>
      <c r="F612" s="6">
        <v>21</v>
      </c>
      <c r="G612" s="8">
        <f t="shared" si="9"/>
        <v>724.30760999999995</v>
      </c>
    </row>
    <row r="613" spans="1:7" x14ac:dyDescent="0.3">
      <c r="A613" s="14" t="str">
        <f>VLOOKUP(B613,'Relacion codigos'!$A:$B,2,FALSE)</f>
        <v>5405</v>
      </c>
      <c r="B613" s="6" t="s">
        <v>2214</v>
      </c>
      <c r="C613" s="6" t="s">
        <v>8835</v>
      </c>
      <c r="D613" s="24">
        <v>953.99787600000002</v>
      </c>
      <c r="E613" s="6" t="s">
        <v>5889</v>
      </c>
      <c r="F613" s="6">
        <v>21</v>
      </c>
      <c r="G613" s="8">
        <f t="shared" si="9"/>
        <v>953.99787600000002</v>
      </c>
    </row>
    <row r="614" spans="1:7" x14ac:dyDescent="0.3">
      <c r="A614" s="14" t="str">
        <f>VLOOKUP(B614,'Relacion codigos'!$A:$B,2,FALSE)</f>
        <v>8821</v>
      </c>
      <c r="B614" s="6" t="s">
        <v>1859</v>
      </c>
      <c r="C614" s="6" t="s">
        <v>13127</v>
      </c>
      <c r="D614" s="24">
        <v>5.0691249999999997</v>
      </c>
      <c r="E614" s="6" t="s">
        <v>5887</v>
      </c>
      <c r="F614" s="6">
        <v>21</v>
      </c>
      <c r="G614" s="8">
        <f t="shared" si="9"/>
        <v>7882.4893749999992</v>
      </c>
    </row>
    <row r="615" spans="1:7" x14ac:dyDescent="0.3">
      <c r="A615" s="14" t="e">
        <f>VLOOKUP(B615,'Relacion codigos'!$A:$B,2,FALSE)</f>
        <v>#N/A</v>
      </c>
      <c r="B615" s="6" t="s">
        <v>13128</v>
      </c>
      <c r="C615" s="6" t="s">
        <v>13129</v>
      </c>
      <c r="D615" s="24">
        <v>8.3460000000000001</v>
      </c>
      <c r="E615" s="6" t="s">
        <v>5887</v>
      </c>
      <c r="F615" s="6">
        <v>21</v>
      </c>
      <c r="G615" s="8">
        <f t="shared" si="9"/>
        <v>12978.03</v>
      </c>
    </row>
    <row r="616" spans="1:7" x14ac:dyDescent="0.3">
      <c r="A616" s="14" t="str">
        <f>VLOOKUP(B616,'Relacion codigos'!$A:$B,2,FALSE)</f>
        <v>8680</v>
      </c>
      <c r="B616" s="6" t="s">
        <v>1848</v>
      </c>
      <c r="C616" s="6" t="s">
        <v>13456</v>
      </c>
      <c r="D616" s="24">
        <v>12032.341401600001</v>
      </c>
      <c r="E616" s="6" t="s">
        <v>5889</v>
      </c>
      <c r="F616" s="6">
        <v>21</v>
      </c>
      <c r="G616" s="8">
        <f t="shared" si="9"/>
        <v>12032.341401600001</v>
      </c>
    </row>
    <row r="617" spans="1:7" x14ac:dyDescent="0.3">
      <c r="A617" s="14" t="str">
        <f>VLOOKUP(B617,'Relacion codigos'!$A:$B,2,FALSE)</f>
        <v>7922</v>
      </c>
      <c r="B617" s="6" t="s">
        <v>1850</v>
      </c>
      <c r="C617" s="6" t="s">
        <v>13457</v>
      </c>
      <c r="D617" s="24">
        <v>4512.7369497600002</v>
      </c>
      <c r="E617" s="6" t="s">
        <v>5889</v>
      </c>
      <c r="F617" s="6">
        <v>21</v>
      </c>
      <c r="G617" s="8">
        <f t="shared" si="9"/>
        <v>4512.7369497600002</v>
      </c>
    </row>
    <row r="618" spans="1:7" x14ac:dyDescent="0.3">
      <c r="A618" s="14" t="str">
        <f>VLOOKUP(B618,'Relacion codigos'!$A:$B,2,FALSE)</f>
        <v>1371</v>
      </c>
      <c r="B618" s="6" t="s">
        <v>1851</v>
      </c>
      <c r="C618" s="6" t="s">
        <v>13458</v>
      </c>
      <c r="D618" s="24">
        <v>3198.0696883199998</v>
      </c>
      <c r="E618" s="6" t="s">
        <v>5889</v>
      </c>
      <c r="F618" s="6">
        <v>21</v>
      </c>
      <c r="G618" s="8">
        <f t="shared" si="9"/>
        <v>3198.0696883199998</v>
      </c>
    </row>
    <row r="619" spans="1:7" x14ac:dyDescent="0.3">
      <c r="A619" s="14" t="str">
        <f>VLOOKUP(B619,'Relacion codigos'!$A:$B,2,FALSE)</f>
        <v>1372</v>
      </c>
      <c r="B619" s="6" t="s">
        <v>1854</v>
      </c>
      <c r="C619" s="6" t="s">
        <v>13459</v>
      </c>
      <c r="D619" s="24">
        <v>14953.350597119999</v>
      </c>
      <c r="E619" s="6" t="s">
        <v>5889</v>
      </c>
      <c r="F619" s="6">
        <v>21</v>
      </c>
      <c r="G619" s="8">
        <f t="shared" si="9"/>
        <v>14953.350597119999</v>
      </c>
    </row>
    <row r="620" spans="1:7" x14ac:dyDescent="0.3">
      <c r="A620" s="14" t="str">
        <f>VLOOKUP(B620,'Relacion codigos'!$A:$B,2,FALSE)</f>
        <v>2496</v>
      </c>
      <c r="B620" s="6" t="s">
        <v>1855</v>
      </c>
      <c r="C620" s="6" t="s">
        <v>13460</v>
      </c>
      <c r="D620" s="24">
        <v>24034.845519359998</v>
      </c>
      <c r="E620" s="6" t="s">
        <v>5889</v>
      </c>
      <c r="F620" s="6">
        <v>21</v>
      </c>
      <c r="G620" s="8">
        <f t="shared" si="9"/>
        <v>24034.845519359998</v>
      </c>
    </row>
    <row r="621" spans="1:7" x14ac:dyDescent="0.3">
      <c r="A621" s="14" t="str">
        <f>VLOOKUP(B621,'Relacion codigos'!$A:$B,2,FALSE)</f>
        <v>2376</v>
      </c>
      <c r="B621" s="6" t="s">
        <v>1856</v>
      </c>
      <c r="C621" s="6" t="s">
        <v>13461</v>
      </c>
      <c r="D621" s="24">
        <v>6376.6538035200001</v>
      </c>
      <c r="E621" s="6" t="s">
        <v>5889</v>
      </c>
      <c r="F621" s="6">
        <v>21</v>
      </c>
      <c r="G621" s="8">
        <f t="shared" si="9"/>
        <v>6376.6538035200001</v>
      </c>
    </row>
    <row r="622" spans="1:7" x14ac:dyDescent="0.3">
      <c r="A622" s="14" t="str">
        <f>VLOOKUP(B622,'Relacion codigos'!$A:$B,2,FALSE)</f>
        <v>8596</v>
      </c>
      <c r="B622" s="6" t="s">
        <v>1858</v>
      </c>
      <c r="C622" s="6" t="s">
        <v>13462</v>
      </c>
      <c r="D622" s="24">
        <v>9730.6080767999993</v>
      </c>
      <c r="E622" s="6" t="s">
        <v>5889</v>
      </c>
      <c r="F622" s="6">
        <v>21</v>
      </c>
      <c r="G622" s="8">
        <f t="shared" si="9"/>
        <v>9730.6080767999993</v>
      </c>
    </row>
    <row r="623" spans="1:7" x14ac:dyDescent="0.3">
      <c r="A623" s="14" t="str">
        <f>VLOOKUP(B623,'Relacion codigos'!$A:$B,2,FALSE)</f>
        <v>461</v>
      </c>
      <c r="B623" s="6" t="s">
        <v>1774</v>
      </c>
      <c r="C623" s="6" t="s">
        <v>13463</v>
      </c>
      <c r="D623" s="24">
        <v>3534.19582464</v>
      </c>
      <c r="E623" s="6" t="s">
        <v>5889</v>
      </c>
      <c r="F623" s="6">
        <v>21</v>
      </c>
      <c r="G623" s="8">
        <f t="shared" si="9"/>
        <v>3534.19582464</v>
      </c>
    </row>
    <row r="624" spans="1:7" x14ac:dyDescent="0.3">
      <c r="A624" s="14" t="e">
        <f>VLOOKUP(B624,'Relacion codigos'!$A:$B,2,FALSE)</f>
        <v>#N/A</v>
      </c>
      <c r="B624" s="6" t="s">
        <v>9304</v>
      </c>
      <c r="C624" s="6" t="s">
        <v>13464</v>
      </c>
      <c r="D624" s="24">
        <v>47560.0215168</v>
      </c>
      <c r="E624" s="6" t="s">
        <v>5889</v>
      </c>
      <c r="F624" s="6">
        <v>21</v>
      </c>
      <c r="G624" s="8">
        <f t="shared" si="9"/>
        <v>47560.0215168</v>
      </c>
    </row>
    <row r="625" spans="1:7" x14ac:dyDescent="0.3">
      <c r="A625" s="14" t="str">
        <f>VLOOKUP(B625,'Relacion codigos'!$A:$B,2,FALSE)</f>
        <v>460</v>
      </c>
      <c r="B625" s="6" t="s">
        <v>1775</v>
      </c>
      <c r="C625" s="6" t="s">
        <v>13465</v>
      </c>
      <c r="D625" s="24">
        <v>5387.7609676800002</v>
      </c>
      <c r="E625" s="6" t="s">
        <v>5889</v>
      </c>
      <c r="F625" s="6">
        <v>21</v>
      </c>
      <c r="G625" s="8">
        <f t="shared" si="9"/>
        <v>5387.7609676800002</v>
      </c>
    </row>
    <row r="626" spans="1:7" x14ac:dyDescent="0.3">
      <c r="A626" s="14" t="str">
        <f>VLOOKUP(B626,'Relacion codigos'!$A:$B,2,FALSE)</f>
        <v>457</v>
      </c>
      <c r="B626" s="6" t="s">
        <v>1776</v>
      </c>
      <c r="C626" s="6" t="s">
        <v>13466</v>
      </c>
      <c r="D626" s="24">
        <v>16015.92325632</v>
      </c>
      <c r="E626" s="6" t="s">
        <v>5889</v>
      </c>
      <c r="F626" s="6">
        <v>21</v>
      </c>
      <c r="G626" s="8">
        <f t="shared" si="9"/>
        <v>16015.92325632</v>
      </c>
    </row>
    <row r="627" spans="1:7" x14ac:dyDescent="0.3">
      <c r="A627" s="14" t="str">
        <f>VLOOKUP(B627,'Relacion codigos'!$A:$B,2,FALSE)</f>
        <v>1500</v>
      </c>
      <c r="B627" s="6" t="s">
        <v>1777</v>
      </c>
      <c r="C627" s="6" t="s">
        <v>13467</v>
      </c>
      <c r="D627" s="24">
        <v>23017.333247999999</v>
      </c>
      <c r="E627" s="6" t="s">
        <v>5889</v>
      </c>
      <c r="F627" s="6">
        <v>21</v>
      </c>
      <c r="G627" s="8">
        <f t="shared" si="9"/>
        <v>23017.333247999999</v>
      </c>
    </row>
    <row r="628" spans="1:7" x14ac:dyDescent="0.3">
      <c r="A628" s="14" t="e">
        <f>VLOOKUP(B628,'Relacion codigos'!$A:$B,2,FALSE)</f>
        <v>#N/A</v>
      </c>
      <c r="B628" s="6" t="s">
        <v>13570</v>
      </c>
      <c r="C628" s="6" t="s">
        <v>13571</v>
      </c>
      <c r="D628" s="24">
        <v>31055.132160000001</v>
      </c>
      <c r="E628" s="6" t="s">
        <v>5889</v>
      </c>
      <c r="F628" s="6">
        <v>21</v>
      </c>
      <c r="G628" s="8">
        <f t="shared" si="9"/>
        <v>31055.132160000001</v>
      </c>
    </row>
    <row r="629" spans="1:7" x14ac:dyDescent="0.3">
      <c r="A629" s="14" t="str">
        <f>VLOOKUP(B629,'Relacion codigos'!$A:$B,2,FALSE)</f>
        <v>6148</v>
      </c>
      <c r="B629" s="6" t="s">
        <v>1778</v>
      </c>
      <c r="C629" s="6" t="s">
        <v>11084</v>
      </c>
      <c r="D629" s="24">
        <v>1661.5235847208</v>
      </c>
      <c r="E629" s="6" t="s">
        <v>5889</v>
      </c>
      <c r="F629" s="6">
        <v>21</v>
      </c>
      <c r="G629" s="8">
        <f t="shared" si="9"/>
        <v>1661.5235847208</v>
      </c>
    </row>
    <row r="630" spans="1:7" x14ac:dyDescent="0.3">
      <c r="A630" s="14" t="str">
        <f>VLOOKUP(B630,'Relacion codigos'!$A:$B,2,FALSE)</f>
        <v>8219</v>
      </c>
      <c r="B630" s="6" t="s">
        <v>1779</v>
      </c>
      <c r="C630" s="6" t="s">
        <v>13468</v>
      </c>
      <c r="D630" s="24">
        <v>1576.50465024</v>
      </c>
      <c r="E630" s="6" t="s">
        <v>5889</v>
      </c>
      <c r="F630" s="6">
        <v>21</v>
      </c>
      <c r="G630" s="8">
        <f t="shared" si="9"/>
        <v>1576.50465024</v>
      </c>
    </row>
    <row r="631" spans="1:7" x14ac:dyDescent="0.3">
      <c r="A631" s="14" t="e">
        <f>VLOOKUP(B631,'Relacion codigos'!$A:$B,2,FALSE)</f>
        <v>#N/A</v>
      </c>
      <c r="B631" s="6" t="s">
        <v>9316</v>
      </c>
      <c r="C631" s="6" t="s">
        <v>11087</v>
      </c>
      <c r="D631" s="24">
        <v>1249.2383604480001</v>
      </c>
      <c r="E631" s="6" t="s">
        <v>5889</v>
      </c>
      <c r="F631" s="6">
        <v>21</v>
      </c>
      <c r="G631" s="8">
        <f t="shared" si="9"/>
        <v>1249.2383604480001</v>
      </c>
    </row>
    <row r="632" spans="1:7" x14ac:dyDescent="0.3">
      <c r="A632" s="14" t="e">
        <f>VLOOKUP(B632,'Relacion codigos'!$A:$B,2,FALSE)</f>
        <v>#N/A</v>
      </c>
      <c r="B632" s="6" t="s">
        <v>9989</v>
      </c>
      <c r="C632" s="6" t="s">
        <v>11327</v>
      </c>
      <c r="D632" s="24">
        <v>994.81270500000005</v>
      </c>
      <c r="E632" s="6" t="s">
        <v>5889</v>
      </c>
      <c r="F632" s="6">
        <v>21</v>
      </c>
      <c r="G632" s="8">
        <f t="shared" si="9"/>
        <v>994.81270500000005</v>
      </c>
    </row>
    <row r="633" spans="1:7" x14ac:dyDescent="0.3">
      <c r="A633" s="14" t="str">
        <f>VLOOKUP(B633,'Relacion codigos'!$A:$B,2,FALSE)</f>
        <v>8223</v>
      </c>
      <c r="B633" s="6" t="s">
        <v>1781</v>
      </c>
      <c r="C633" s="6" t="s">
        <v>13469</v>
      </c>
      <c r="D633" s="24">
        <v>7765.6098124800001</v>
      </c>
      <c r="E633" s="6" t="s">
        <v>5889</v>
      </c>
      <c r="F633" s="6">
        <v>21</v>
      </c>
      <c r="G633" s="8">
        <f t="shared" si="9"/>
        <v>7765.6098124800001</v>
      </c>
    </row>
    <row r="634" spans="1:7" x14ac:dyDescent="0.3">
      <c r="A634" s="14" t="e">
        <f>VLOOKUP(B634,'Relacion codigos'!$A:$B,2,FALSE)</f>
        <v>#N/A</v>
      </c>
      <c r="B634" s="6" t="s">
        <v>9198</v>
      </c>
      <c r="C634" s="6" t="s">
        <v>11088</v>
      </c>
      <c r="D634" s="24">
        <v>8038.1184289687199</v>
      </c>
      <c r="E634" s="6" t="s">
        <v>5889</v>
      </c>
      <c r="F634" s="6">
        <v>21</v>
      </c>
      <c r="G634" s="8">
        <f t="shared" si="9"/>
        <v>8038.1184289687199</v>
      </c>
    </row>
    <row r="635" spans="1:7" x14ac:dyDescent="0.3">
      <c r="A635" s="14" t="str">
        <f>VLOOKUP(B635,'Relacion codigos'!$A:$B,2,FALSE)</f>
        <v>5398</v>
      </c>
      <c r="B635" s="6" t="s">
        <v>1782</v>
      </c>
      <c r="C635" s="6" t="s">
        <v>13984</v>
      </c>
      <c r="D635" s="24">
        <v>12069.485775360001</v>
      </c>
      <c r="E635" s="6" t="s">
        <v>5889</v>
      </c>
      <c r="F635" s="6">
        <v>21</v>
      </c>
      <c r="G635" s="8">
        <f t="shared" si="9"/>
        <v>12069.485775360001</v>
      </c>
    </row>
    <row r="636" spans="1:7" x14ac:dyDescent="0.3">
      <c r="A636" s="14" t="str">
        <f>VLOOKUP(B636,'Relacion codigos'!$A:$B,2,FALSE)</f>
        <v>8220</v>
      </c>
      <c r="B636" s="6" t="s">
        <v>1784</v>
      </c>
      <c r="C636" s="6" t="s">
        <v>12375</v>
      </c>
      <c r="D636" s="24">
        <v>2310.2582630400002</v>
      </c>
      <c r="E636" s="6" t="s">
        <v>5889</v>
      </c>
      <c r="F636" s="6">
        <v>21</v>
      </c>
      <c r="G636" s="8">
        <f t="shared" si="9"/>
        <v>2310.2582630400002</v>
      </c>
    </row>
    <row r="637" spans="1:7" x14ac:dyDescent="0.3">
      <c r="A637" s="14" t="str">
        <f>VLOOKUP(B637,'Relacion codigos'!$A:$B,2,FALSE)</f>
        <v>6149</v>
      </c>
      <c r="B637" s="6" t="s">
        <v>1783</v>
      </c>
      <c r="C637" s="6" t="s">
        <v>11091</v>
      </c>
      <c r="D637" s="24">
        <v>2398.8935317913802</v>
      </c>
      <c r="E637" s="6" t="s">
        <v>5889</v>
      </c>
      <c r="F637" s="6">
        <v>21</v>
      </c>
      <c r="G637" s="8">
        <f t="shared" si="9"/>
        <v>2398.8935317913802</v>
      </c>
    </row>
    <row r="638" spans="1:7" x14ac:dyDescent="0.3">
      <c r="A638" s="14" t="e">
        <f>VLOOKUP(B638,'Relacion codigos'!$A:$B,2,FALSE)</f>
        <v>#N/A</v>
      </c>
      <c r="B638" s="6" t="s">
        <v>9317</v>
      </c>
      <c r="C638" s="6" t="s">
        <v>11094</v>
      </c>
      <c r="D638" s="24">
        <v>1753.31699712</v>
      </c>
      <c r="E638" s="6" t="s">
        <v>5889</v>
      </c>
      <c r="F638" s="6">
        <v>21</v>
      </c>
      <c r="G638" s="8">
        <f t="shared" si="9"/>
        <v>1753.31699712</v>
      </c>
    </row>
    <row r="639" spans="1:7" x14ac:dyDescent="0.3">
      <c r="A639" s="14" t="e">
        <f>VLOOKUP(B639,'Relacion codigos'!$A:$B,2,FALSE)</f>
        <v>#N/A</v>
      </c>
      <c r="B639" s="6" t="s">
        <v>9984</v>
      </c>
      <c r="C639" s="6" t="s">
        <v>11328</v>
      </c>
      <c r="D639" s="24">
        <v>1589.75892</v>
      </c>
      <c r="E639" s="6" t="s">
        <v>5889</v>
      </c>
      <c r="F639" s="6">
        <v>21</v>
      </c>
      <c r="G639" s="8">
        <f t="shared" si="9"/>
        <v>1589.75892</v>
      </c>
    </row>
    <row r="640" spans="1:7" x14ac:dyDescent="0.3">
      <c r="A640" s="14" t="e">
        <f>VLOOKUP(B640,'Relacion codigos'!$A:$B,2,FALSE)</f>
        <v>#N/A</v>
      </c>
      <c r="B640" s="6" t="s">
        <v>12976</v>
      </c>
      <c r="C640" s="6" t="s">
        <v>13470</v>
      </c>
      <c r="D640" s="24">
        <v>18514.94800896</v>
      </c>
      <c r="E640" s="6" t="s">
        <v>5889</v>
      </c>
      <c r="F640" s="6">
        <v>21</v>
      </c>
      <c r="G640" s="8">
        <f t="shared" si="9"/>
        <v>18514.94800896</v>
      </c>
    </row>
    <row r="641" spans="1:7" x14ac:dyDescent="0.3">
      <c r="A641" s="14" t="str">
        <f>VLOOKUP(B641,'Relacion codigos'!$A:$B,2,FALSE)</f>
        <v>8221</v>
      </c>
      <c r="B641" s="6" t="s">
        <v>1786</v>
      </c>
      <c r="C641" s="6" t="s">
        <v>13471</v>
      </c>
      <c r="D641" s="24">
        <v>3396.5789644800002</v>
      </c>
      <c r="E641" s="6" t="s">
        <v>5889</v>
      </c>
      <c r="F641" s="6">
        <v>21</v>
      </c>
      <c r="G641" s="8">
        <f t="shared" si="9"/>
        <v>3396.5789644800002</v>
      </c>
    </row>
    <row r="642" spans="1:7" x14ac:dyDescent="0.3">
      <c r="A642" s="14" t="str">
        <f>VLOOKUP(B642,'Relacion codigos'!$A:$B,2,FALSE)</f>
        <v>6150</v>
      </c>
      <c r="B642" s="6" t="s">
        <v>1789</v>
      </c>
      <c r="C642" s="6" t="s">
        <v>11095</v>
      </c>
      <c r="D642" s="24">
        <v>3549.8660146493498</v>
      </c>
      <c r="E642" s="6" t="s">
        <v>5889</v>
      </c>
      <c r="F642" s="6">
        <v>21</v>
      </c>
      <c r="G642" s="8">
        <f t="shared" ref="G642:G705" si="10">IF(E642="Dolares",D642*$G$1,D642)</f>
        <v>3549.8660146493498</v>
      </c>
    </row>
    <row r="643" spans="1:7" x14ac:dyDescent="0.3">
      <c r="A643" s="14" t="str">
        <f>VLOOKUP(B643,'Relacion codigos'!$A:$B,2,FALSE)</f>
        <v>8222</v>
      </c>
      <c r="B643" s="6" t="s">
        <v>1790</v>
      </c>
      <c r="C643" s="6" t="s">
        <v>13472</v>
      </c>
      <c r="D643" s="24">
        <v>4924.9786060799997</v>
      </c>
      <c r="E643" s="6" t="s">
        <v>5889</v>
      </c>
      <c r="F643" s="6">
        <v>21</v>
      </c>
      <c r="G643" s="8">
        <f t="shared" si="10"/>
        <v>4924.9786060799997</v>
      </c>
    </row>
    <row r="644" spans="1:7" x14ac:dyDescent="0.3">
      <c r="A644" s="14" t="str">
        <f>VLOOKUP(B644,'Relacion codigos'!$A:$B,2,FALSE)</f>
        <v>6151</v>
      </c>
      <c r="B644" s="6" t="s">
        <v>1793</v>
      </c>
      <c r="C644" s="6" t="s">
        <v>11099</v>
      </c>
      <c r="D644" s="24">
        <v>5076.1930573753298</v>
      </c>
      <c r="E644" s="6" t="s">
        <v>5889</v>
      </c>
      <c r="F644" s="6">
        <v>21</v>
      </c>
      <c r="G644" s="8">
        <f t="shared" si="10"/>
        <v>5076.1930573753298</v>
      </c>
    </row>
    <row r="645" spans="1:7" x14ac:dyDescent="0.3">
      <c r="A645" s="14" t="str">
        <f>VLOOKUP(B645,'Relacion codigos'!$A:$B,2,FALSE)</f>
        <v>6363</v>
      </c>
      <c r="B645" s="6" t="s">
        <v>1796</v>
      </c>
      <c r="C645" s="6" t="s">
        <v>11102</v>
      </c>
      <c r="D645" s="24">
        <v>2198.7647896690601</v>
      </c>
      <c r="E645" s="6" t="s">
        <v>5889</v>
      </c>
      <c r="F645" s="6">
        <v>21</v>
      </c>
      <c r="G645" s="8">
        <f t="shared" si="10"/>
        <v>2198.7647896690601</v>
      </c>
    </row>
    <row r="646" spans="1:7" x14ac:dyDescent="0.3">
      <c r="A646" s="14" t="str">
        <f>VLOOKUP(B646,'Relacion codigos'!$A:$B,2,FALSE)</f>
        <v>8224</v>
      </c>
      <c r="B646" s="6" t="s">
        <v>1794</v>
      </c>
      <c r="C646" s="6" t="s">
        <v>12376</v>
      </c>
      <c r="D646" s="24">
        <v>2204.3054591999999</v>
      </c>
      <c r="E646" s="6" t="s">
        <v>5889</v>
      </c>
      <c r="F646" s="6">
        <v>21</v>
      </c>
      <c r="G646" s="8">
        <f t="shared" si="10"/>
        <v>2204.3054591999999</v>
      </c>
    </row>
    <row r="647" spans="1:7" x14ac:dyDescent="0.3">
      <c r="A647" s="14" t="e">
        <f>VLOOKUP(B647,'Relacion codigos'!$A:$B,2,FALSE)</f>
        <v>#N/A</v>
      </c>
      <c r="B647" s="6" t="s">
        <v>9318</v>
      </c>
      <c r="C647" s="6" t="s">
        <v>11105</v>
      </c>
      <c r="D647" s="24">
        <v>1742.3587658880001</v>
      </c>
      <c r="E647" s="6" t="s">
        <v>5889</v>
      </c>
      <c r="F647" s="6">
        <v>21</v>
      </c>
      <c r="G647" s="8">
        <f t="shared" si="10"/>
        <v>1742.3587658880001</v>
      </c>
    </row>
    <row r="648" spans="1:7" x14ac:dyDescent="0.3">
      <c r="A648" s="14" t="str">
        <f>VLOOKUP(B648,'Relacion codigos'!$A:$B,2,FALSE)</f>
        <v>8228</v>
      </c>
      <c r="B648" s="6" t="s">
        <v>1798</v>
      </c>
      <c r="C648" s="6" t="s">
        <v>13473</v>
      </c>
      <c r="D648" s="24">
        <v>11077.548318720001</v>
      </c>
      <c r="E648" s="6" t="s">
        <v>5889</v>
      </c>
      <c r="F648" s="6">
        <v>21</v>
      </c>
      <c r="G648" s="8">
        <f t="shared" si="10"/>
        <v>11077.548318720001</v>
      </c>
    </row>
    <row r="649" spans="1:7" x14ac:dyDescent="0.3">
      <c r="A649" s="14" t="e">
        <f>VLOOKUP(B649,'Relacion codigos'!$A:$B,2,FALSE)</f>
        <v>#N/A</v>
      </c>
      <c r="B649" s="6" t="s">
        <v>11830</v>
      </c>
      <c r="C649" s="6" t="s">
        <v>11831</v>
      </c>
      <c r="D649" s="24">
        <v>11313.1410494884</v>
      </c>
      <c r="E649" s="6" t="s">
        <v>5889</v>
      </c>
      <c r="F649" s="6">
        <v>21</v>
      </c>
      <c r="G649" s="8">
        <f t="shared" si="10"/>
        <v>11313.1410494884</v>
      </c>
    </row>
    <row r="650" spans="1:7" x14ac:dyDescent="0.3">
      <c r="A650" s="14" t="e">
        <f>VLOOKUP(B650,'Relacion codigos'!$A:$B,2,FALSE)</f>
        <v>#N/A</v>
      </c>
      <c r="B650" s="6" t="s">
        <v>8966</v>
      </c>
      <c r="C650" s="6" t="s">
        <v>13474</v>
      </c>
      <c r="D650" s="24">
        <v>148631.68929024</v>
      </c>
      <c r="E650" s="6" t="s">
        <v>5889</v>
      </c>
      <c r="F650" s="6">
        <v>21</v>
      </c>
      <c r="G650" s="8">
        <f t="shared" si="10"/>
        <v>148631.68929024</v>
      </c>
    </row>
    <row r="651" spans="1:7" x14ac:dyDescent="0.3">
      <c r="A651" s="14" t="str">
        <f>VLOOKUP(B651,'Relacion codigos'!$A:$B,2,FALSE)</f>
        <v>8229</v>
      </c>
      <c r="B651" s="6" t="s">
        <v>1800</v>
      </c>
      <c r="C651" s="6" t="s">
        <v>12377</v>
      </c>
      <c r="D651" s="24">
        <v>17277.00519168</v>
      </c>
      <c r="E651" s="6" t="s">
        <v>5889</v>
      </c>
      <c r="F651" s="6">
        <v>21</v>
      </c>
      <c r="G651" s="8">
        <f t="shared" si="10"/>
        <v>17277.00519168</v>
      </c>
    </row>
    <row r="652" spans="1:7" x14ac:dyDescent="0.3">
      <c r="A652" s="14" t="e">
        <f>VLOOKUP(B652,'Relacion codigos'!$A:$B,2,FALSE)</f>
        <v>#N/A</v>
      </c>
      <c r="B652" s="6" t="s">
        <v>9246</v>
      </c>
      <c r="C652" s="6" t="s">
        <v>11108</v>
      </c>
      <c r="D652" s="24">
        <v>17518.954507253198</v>
      </c>
      <c r="E652" s="6" t="s">
        <v>5889</v>
      </c>
      <c r="F652" s="6">
        <v>21</v>
      </c>
      <c r="G652" s="8">
        <f t="shared" si="10"/>
        <v>17518.954507253198</v>
      </c>
    </row>
    <row r="653" spans="1:7" x14ac:dyDescent="0.3">
      <c r="A653" s="14" t="str">
        <f>VLOOKUP(B653,'Relacion codigos'!$A:$B,2,FALSE)</f>
        <v>8225</v>
      </c>
      <c r="B653" s="6" t="s">
        <v>1802</v>
      </c>
      <c r="C653" s="6" t="s">
        <v>13475</v>
      </c>
      <c r="D653" s="24">
        <v>3199.2875366399999</v>
      </c>
      <c r="E653" s="6" t="s">
        <v>5889</v>
      </c>
      <c r="F653" s="6">
        <v>21</v>
      </c>
      <c r="G653" s="8">
        <f t="shared" si="10"/>
        <v>3199.2875366399999</v>
      </c>
    </row>
    <row r="654" spans="1:7" x14ac:dyDescent="0.3">
      <c r="A654" s="14" t="str">
        <f>VLOOKUP(B654,'Relacion codigos'!$A:$B,2,FALSE)</f>
        <v>6152</v>
      </c>
      <c r="B654" s="6" t="s">
        <v>1804</v>
      </c>
      <c r="C654" s="6" t="s">
        <v>11111</v>
      </c>
      <c r="D654" s="24">
        <v>3284.8050723995202</v>
      </c>
      <c r="E654" s="6" t="s">
        <v>5889</v>
      </c>
      <c r="F654" s="6">
        <v>21</v>
      </c>
      <c r="G654" s="8">
        <f t="shared" si="10"/>
        <v>3284.8050723995202</v>
      </c>
    </row>
    <row r="655" spans="1:7" x14ac:dyDescent="0.3">
      <c r="A655" s="14" t="str">
        <f>VLOOKUP(B655,'Relacion codigos'!$A:$B,2,FALSE)</f>
        <v>NUEVO</v>
      </c>
      <c r="B655" s="6" t="s">
        <v>5848</v>
      </c>
      <c r="C655" s="6" t="s">
        <v>13476</v>
      </c>
      <c r="D655" s="24">
        <v>26928.453127680001</v>
      </c>
      <c r="E655" s="6" t="s">
        <v>5889</v>
      </c>
      <c r="F655" s="6">
        <v>21</v>
      </c>
      <c r="G655" s="8">
        <f t="shared" si="10"/>
        <v>26928.453127680001</v>
      </c>
    </row>
    <row r="656" spans="1:7" x14ac:dyDescent="0.3">
      <c r="A656" s="14" t="str">
        <f>VLOOKUP(B656,'Relacion codigos'!$A:$B,2,FALSE)</f>
        <v>8230</v>
      </c>
      <c r="B656" s="6" t="s">
        <v>1806</v>
      </c>
      <c r="C656" s="6" t="s">
        <v>13477</v>
      </c>
      <c r="D656" s="24">
        <v>32032.455436799999</v>
      </c>
      <c r="E656" s="6" t="s">
        <v>5889</v>
      </c>
      <c r="F656" s="6">
        <v>21</v>
      </c>
      <c r="G656" s="8">
        <f t="shared" si="10"/>
        <v>32032.455436799999</v>
      </c>
    </row>
    <row r="657" spans="1:7" x14ac:dyDescent="0.3">
      <c r="A657" s="14" t="str">
        <f>VLOOKUP(B657,'Relacion codigos'!$A:$B,2,FALSE)</f>
        <v>9414</v>
      </c>
      <c r="B657" s="6" t="s">
        <v>1971</v>
      </c>
      <c r="C657" s="6" t="s">
        <v>13478</v>
      </c>
      <c r="D657" s="24">
        <v>35608.05810432</v>
      </c>
      <c r="E657" s="6" t="s">
        <v>5889</v>
      </c>
      <c r="F657" s="6">
        <v>21</v>
      </c>
      <c r="G657" s="8">
        <f t="shared" si="10"/>
        <v>35608.05810432</v>
      </c>
    </row>
    <row r="658" spans="1:7" x14ac:dyDescent="0.3">
      <c r="A658" s="14" t="str">
        <f>VLOOKUP(B658,'Relacion codigos'!$A:$B,2,FALSE)</f>
        <v>8454</v>
      </c>
      <c r="B658" s="6" t="s">
        <v>1809</v>
      </c>
      <c r="C658" s="6" t="s">
        <v>13479</v>
      </c>
      <c r="D658" s="24">
        <v>42333.01652736</v>
      </c>
      <c r="E658" s="6" t="s">
        <v>5889</v>
      </c>
      <c r="F658" s="6">
        <v>21</v>
      </c>
      <c r="G658" s="8">
        <f t="shared" si="10"/>
        <v>42333.01652736</v>
      </c>
    </row>
    <row r="659" spans="1:7" x14ac:dyDescent="0.3">
      <c r="A659" s="14" t="str">
        <f>VLOOKUP(B659,'Relacion codigos'!$A:$B,2,FALSE)</f>
        <v>8226</v>
      </c>
      <c r="B659" s="6" t="s">
        <v>1811</v>
      </c>
      <c r="C659" s="6" t="s">
        <v>12379</v>
      </c>
      <c r="D659" s="24">
        <v>4829.9864371200001</v>
      </c>
      <c r="E659" s="6" t="s">
        <v>5889</v>
      </c>
      <c r="F659" s="6">
        <v>21</v>
      </c>
      <c r="G659" s="8">
        <f t="shared" si="10"/>
        <v>4829.9864371200001</v>
      </c>
    </row>
    <row r="660" spans="1:7" x14ac:dyDescent="0.3">
      <c r="A660" s="14" t="e">
        <f>VLOOKUP(B660,'Relacion codigos'!$A:$B,2,FALSE)</f>
        <v>#N/A</v>
      </c>
      <c r="B660" s="6" t="s">
        <v>9299</v>
      </c>
      <c r="C660" s="6" t="s">
        <v>11120</v>
      </c>
      <c r="D660" s="24">
        <v>4994.3590849194698</v>
      </c>
      <c r="E660" s="6" t="s">
        <v>5889</v>
      </c>
      <c r="F660" s="6">
        <v>21</v>
      </c>
      <c r="G660" s="8">
        <f t="shared" si="10"/>
        <v>4994.3590849194698</v>
      </c>
    </row>
    <row r="661" spans="1:7" x14ac:dyDescent="0.3">
      <c r="A661" s="14" t="str">
        <f>VLOOKUP(B661,'Relacion codigos'!$A:$B,2,FALSE)</f>
        <v>207</v>
      </c>
      <c r="B661" s="6" t="s">
        <v>1814</v>
      </c>
      <c r="C661" s="6" t="s">
        <v>13480</v>
      </c>
      <c r="D661" s="24">
        <v>50024.946516479999</v>
      </c>
      <c r="E661" s="6" t="s">
        <v>5889</v>
      </c>
      <c r="F661" s="6">
        <v>21</v>
      </c>
      <c r="G661" s="8">
        <f t="shared" si="10"/>
        <v>50024.946516479999</v>
      </c>
    </row>
    <row r="662" spans="1:7" x14ac:dyDescent="0.3">
      <c r="A662" s="14" t="str">
        <f>VLOOKUP(B662,'Relacion codigos'!$A:$B,2,FALSE)</f>
        <v>5081</v>
      </c>
      <c r="B662" s="6" t="s">
        <v>1815</v>
      </c>
      <c r="C662" s="6" t="s">
        <v>13481</v>
      </c>
      <c r="D662" s="24">
        <v>58440.278407680002</v>
      </c>
      <c r="E662" s="6" t="s">
        <v>5889</v>
      </c>
      <c r="F662" s="6">
        <v>21</v>
      </c>
      <c r="G662" s="8">
        <f t="shared" si="10"/>
        <v>58440.278407680002</v>
      </c>
    </row>
    <row r="663" spans="1:7" x14ac:dyDescent="0.3">
      <c r="A663" s="14" t="str">
        <f>VLOOKUP(B663,'Relacion codigos'!$A:$B,2,FALSE)</f>
        <v>8227</v>
      </c>
      <c r="B663" s="6" t="s">
        <v>1816</v>
      </c>
      <c r="C663" s="6" t="s">
        <v>12380</v>
      </c>
      <c r="D663" s="24">
        <v>6865.6199040000001</v>
      </c>
      <c r="E663" s="6" t="s">
        <v>5889</v>
      </c>
      <c r="F663" s="6">
        <v>21</v>
      </c>
      <c r="G663" s="8">
        <f t="shared" si="10"/>
        <v>6865.6199040000001</v>
      </c>
    </row>
    <row r="664" spans="1:7" x14ac:dyDescent="0.3">
      <c r="A664" s="14" t="str">
        <f>VLOOKUP(B664,'Relacion codigos'!$A:$B,2,FALSE)</f>
        <v>6354</v>
      </c>
      <c r="B664" s="6" t="s">
        <v>1818</v>
      </c>
      <c r="C664" s="6" t="s">
        <v>11126</v>
      </c>
      <c r="D664" s="24">
        <v>6923.61850107597</v>
      </c>
      <c r="E664" s="6" t="s">
        <v>5889</v>
      </c>
      <c r="F664" s="6">
        <v>21</v>
      </c>
      <c r="G664" s="8">
        <f t="shared" si="10"/>
        <v>6923.61850107597</v>
      </c>
    </row>
    <row r="665" spans="1:7" x14ac:dyDescent="0.3">
      <c r="A665" s="14" t="str">
        <f>VLOOKUP(B665,'Relacion codigos'!$A:$B,2,FALSE)</f>
        <v>8231</v>
      </c>
      <c r="B665" s="6" t="s">
        <v>1819</v>
      </c>
      <c r="C665" s="6" t="s">
        <v>13482</v>
      </c>
      <c r="D665" s="24">
        <v>2705.4500428800002</v>
      </c>
      <c r="E665" s="6" t="s">
        <v>5889</v>
      </c>
      <c r="F665" s="6">
        <v>21</v>
      </c>
      <c r="G665" s="8">
        <f t="shared" si="10"/>
        <v>2705.4500428800002</v>
      </c>
    </row>
    <row r="666" spans="1:7" x14ac:dyDescent="0.3">
      <c r="A666" s="14" t="str">
        <f>VLOOKUP(B666,'Relacion codigos'!$A:$B,2,FALSE)</f>
        <v>8235</v>
      </c>
      <c r="B666" s="6" t="s">
        <v>1821</v>
      </c>
      <c r="C666" s="6" t="s">
        <v>13483</v>
      </c>
      <c r="D666" s="24">
        <v>14309.108835839999</v>
      </c>
      <c r="E666" s="6" t="s">
        <v>5889</v>
      </c>
      <c r="F666" s="6">
        <v>21</v>
      </c>
      <c r="G666" s="8">
        <f t="shared" si="10"/>
        <v>14309.108835839999</v>
      </c>
    </row>
    <row r="667" spans="1:7" x14ac:dyDescent="0.3">
      <c r="A667" s="14" t="e">
        <f>VLOOKUP(B667,'Relacion codigos'!$A:$B,2,FALSE)</f>
        <v>#N/A</v>
      </c>
      <c r="B667" s="6" t="s">
        <v>9199</v>
      </c>
      <c r="C667" s="6" t="s">
        <v>11131</v>
      </c>
      <c r="D667" s="24">
        <v>14249.269907350699</v>
      </c>
      <c r="E667" s="6" t="s">
        <v>5889</v>
      </c>
      <c r="F667" s="6">
        <v>21</v>
      </c>
      <c r="G667" s="8">
        <f t="shared" si="10"/>
        <v>14249.269907350699</v>
      </c>
    </row>
    <row r="668" spans="1:7" x14ac:dyDescent="0.3">
      <c r="A668" s="14" t="str">
        <f>VLOOKUP(B668,'Relacion codigos'!$A:$B,2,FALSE)</f>
        <v>8236</v>
      </c>
      <c r="B668" s="6" t="s">
        <v>1823</v>
      </c>
      <c r="C668" s="6" t="s">
        <v>13484</v>
      </c>
      <c r="D668" s="24">
        <v>22460.167641600001</v>
      </c>
      <c r="E668" s="6" t="s">
        <v>5889</v>
      </c>
      <c r="F668" s="6">
        <v>21</v>
      </c>
      <c r="G668" s="8">
        <f t="shared" si="10"/>
        <v>22460.167641600001</v>
      </c>
    </row>
    <row r="669" spans="1:7" x14ac:dyDescent="0.3">
      <c r="A669" s="14" t="e">
        <f>VLOOKUP(B669,'Relacion codigos'!$A:$B,2,FALSE)</f>
        <v>#N/A</v>
      </c>
      <c r="B669" s="6" t="s">
        <v>8784</v>
      </c>
      <c r="C669" s="6" t="s">
        <v>11134</v>
      </c>
      <c r="D669" s="24">
        <v>22388.793091412299</v>
      </c>
      <c r="E669" s="6" t="s">
        <v>5889</v>
      </c>
      <c r="F669" s="6">
        <v>21</v>
      </c>
      <c r="G669" s="8">
        <f t="shared" si="10"/>
        <v>22388.793091412299</v>
      </c>
    </row>
    <row r="670" spans="1:7" x14ac:dyDescent="0.3">
      <c r="A670" s="14" t="str">
        <f>VLOOKUP(B670,'Relacion codigos'!$A:$B,2,FALSE)</f>
        <v>8232</v>
      </c>
      <c r="B670" s="6" t="s">
        <v>1825</v>
      </c>
      <c r="C670" s="6" t="s">
        <v>13485</v>
      </c>
      <c r="D670" s="24">
        <v>4140.0753638400001</v>
      </c>
      <c r="E670" s="6" t="s">
        <v>5889</v>
      </c>
      <c r="F670" s="6">
        <v>21</v>
      </c>
      <c r="G670" s="8">
        <f t="shared" si="10"/>
        <v>4140.0753638400001</v>
      </c>
    </row>
    <row r="671" spans="1:7" x14ac:dyDescent="0.3">
      <c r="A671" s="14" t="str">
        <f>VLOOKUP(B671,'Relacion codigos'!$A:$B,2,FALSE)</f>
        <v>6153</v>
      </c>
      <c r="B671" s="6" t="s">
        <v>1827</v>
      </c>
      <c r="C671" s="6" t="s">
        <v>11137</v>
      </c>
      <c r="D671" s="24">
        <v>4201.8452684784597</v>
      </c>
      <c r="E671" s="6" t="s">
        <v>5889</v>
      </c>
      <c r="F671" s="6">
        <v>21</v>
      </c>
      <c r="G671" s="8">
        <f t="shared" si="10"/>
        <v>4201.8452684784597</v>
      </c>
    </row>
    <row r="672" spans="1:7" x14ac:dyDescent="0.3">
      <c r="A672" s="14" t="str">
        <f>VLOOKUP(B672,'Relacion codigos'!$A:$B,2,FALSE)</f>
        <v>4010</v>
      </c>
      <c r="B672" s="6" t="s">
        <v>1828</v>
      </c>
      <c r="C672" s="6" t="s">
        <v>13486</v>
      </c>
      <c r="D672" s="24">
        <v>42333.01652736</v>
      </c>
      <c r="E672" s="6" t="s">
        <v>5889</v>
      </c>
      <c r="F672" s="6">
        <v>21</v>
      </c>
      <c r="G672" s="8">
        <f t="shared" si="10"/>
        <v>42333.01652736</v>
      </c>
    </row>
    <row r="673" spans="1:7" x14ac:dyDescent="0.3">
      <c r="A673" s="14" t="str">
        <f>VLOOKUP(B673,'Relacion codigos'!$A:$B,2,FALSE)</f>
        <v>8233</v>
      </c>
      <c r="B673" s="6" t="s">
        <v>1829</v>
      </c>
      <c r="C673" s="6" t="s">
        <v>13487</v>
      </c>
      <c r="D673" s="24">
        <v>6230.5120051200001</v>
      </c>
      <c r="E673" s="6" t="s">
        <v>5889</v>
      </c>
      <c r="F673" s="6">
        <v>21</v>
      </c>
      <c r="G673" s="8">
        <f t="shared" si="10"/>
        <v>6230.5120051200001</v>
      </c>
    </row>
    <row r="674" spans="1:7" x14ac:dyDescent="0.3">
      <c r="A674" s="14" t="str">
        <f>VLOOKUP(B674,'Relacion codigos'!$A:$B,2,FALSE)</f>
        <v>6364</v>
      </c>
      <c r="B674" s="6" t="s">
        <v>1832</v>
      </c>
      <c r="C674" s="6" t="s">
        <v>11141</v>
      </c>
      <c r="D674" s="24">
        <v>6446.8591861151999</v>
      </c>
      <c r="E674" s="6" t="s">
        <v>5889</v>
      </c>
      <c r="F674" s="6">
        <v>21</v>
      </c>
      <c r="G674" s="8">
        <f t="shared" si="10"/>
        <v>6446.8591861151999</v>
      </c>
    </row>
    <row r="675" spans="1:7" x14ac:dyDescent="0.3">
      <c r="A675" s="14" t="str">
        <f>VLOOKUP(B675,'Relacion codigos'!$A:$B,2,FALSE)</f>
        <v>8234</v>
      </c>
      <c r="B675" s="6" t="s">
        <v>1833</v>
      </c>
      <c r="C675" s="6" t="s">
        <v>12381</v>
      </c>
      <c r="D675" s="24">
        <v>8940.2245171199993</v>
      </c>
      <c r="E675" s="6" t="s">
        <v>5889</v>
      </c>
      <c r="F675" s="6">
        <v>21</v>
      </c>
      <c r="G675" s="8">
        <f t="shared" si="10"/>
        <v>8940.2245171199993</v>
      </c>
    </row>
    <row r="676" spans="1:7" x14ac:dyDescent="0.3">
      <c r="A676" s="14" t="str">
        <f>VLOOKUP(B676,'Relacion codigos'!$A:$B,2,FALSE)</f>
        <v>6154</v>
      </c>
      <c r="B676" s="6" t="s">
        <v>1836</v>
      </c>
      <c r="C676" s="6" t="s">
        <v>11143</v>
      </c>
      <c r="D676" s="24">
        <v>8739.0216999513905</v>
      </c>
      <c r="E676" s="6" t="s">
        <v>5889</v>
      </c>
      <c r="F676" s="6">
        <v>21</v>
      </c>
      <c r="G676" s="8">
        <f t="shared" si="10"/>
        <v>8739.0216999513905</v>
      </c>
    </row>
    <row r="677" spans="1:7" x14ac:dyDescent="0.3">
      <c r="A677" s="14" t="str">
        <f>VLOOKUP(B677,'Relacion codigos'!$A:$B,2,FALSE)</f>
        <v>8951</v>
      </c>
      <c r="B677" s="6" t="s">
        <v>1837</v>
      </c>
      <c r="C677" s="6" t="s">
        <v>13488</v>
      </c>
      <c r="D677" s="24">
        <v>3538.4582937599998</v>
      </c>
      <c r="E677" s="6" t="s">
        <v>5889</v>
      </c>
      <c r="F677" s="6">
        <v>21</v>
      </c>
      <c r="G677" s="8">
        <f t="shared" si="10"/>
        <v>3538.4582937599998</v>
      </c>
    </row>
    <row r="678" spans="1:7" x14ac:dyDescent="0.3">
      <c r="A678" s="14" t="str">
        <f>VLOOKUP(B678,'Relacion codigos'!$A:$B,2,FALSE)</f>
        <v>8425</v>
      </c>
      <c r="B678" s="6" t="s">
        <v>1838</v>
      </c>
      <c r="C678" s="6" t="s">
        <v>13489</v>
      </c>
      <c r="D678" s="24">
        <v>18103.924200959998</v>
      </c>
      <c r="E678" s="6" t="s">
        <v>5889</v>
      </c>
      <c r="F678" s="6">
        <v>21</v>
      </c>
      <c r="G678" s="8">
        <f t="shared" si="10"/>
        <v>18103.924200959998</v>
      </c>
    </row>
    <row r="679" spans="1:7" x14ac:dyDescent="0.3">
      <c r="A679" s="14" t="e">
        <f>VLOOKUP(B679,'Relacion codigos'!$A:$B,2,FALSE)</f>
        <v>#N/A</v>
      </c>
      <c r="B679" s="6" t="s">
        <v>11487</v>
      </c>
      <c r="C679" s="6" t="s">
        <v>13490</v>
      </c>
      <c r="D679" s="24">
        <v>28276.611217919999</v>
      </c>
      <c r="E679" s="6" t="s">
        <v>5889</v>
      </c>
      <c r="F679" s="6">
        <v>21</v>
      </c>
      <c r="G679" s="8">
        <f t="shared" si="10"/>
        <v>28276.611217919999</v>
      </c>
    </row>
    <row r="680" spans="1:7" x14ac:dyDescent="0.3">
      <c r="A680" s="14" t="str">
        <f>VLOOKUP(B680,'Relacion codigos'!$A:$B,2,FALSE)</f>
        <v>8952</v>
      </c>
      <c r="B680" s="6" t="s">
        <v>1839</v>
      </c>
      <c r="C680" s="6" t="s">
        <v>13491</v>
      </c>
      <c r="D680" s="24">
        <v>5328.0864000000001</v>
      </c>
      <c r="E680" s="6" t="s">
        <v>5889</v>
      </c>
      <c r="F680" s="6">
        <v>21</v>
      </c>
      <c r="G680" s="8">
        <f t="shared" si="10"/>
        <v>5328.0864000000001</v>
      </c>
    </row>
    <row r="681" spans="1:7" x14ac:dyDescent="0.3">
      <c r="A681" s="14" t="str">
        <f>VLOOKUP(B681,'Relacion codigos'!$A:$B,2,FALSE)</f>
        <v>8237</v>
      </c>
      <c r="B681" s="6" t="s">
        <v>1841</v>
      </c>
      <c r="C681" s="6" t="s">
        <v>13492</v>
      </c>
      <c r="D681" s="24">
        <v>7953.7673779200004</v>
      </c>
      <c r="E681" s="6" t="s">
        <v>5889</v>
      </c>
      <c r="F681" s="6">
        <v>21</v>
      </c>
      <c r="G681" s="8">
        <f t="shared" si="10"/>
        <v>7953.7673779200004</v>
      </c>
    </row>
    <row r="682" spans="1:7" x14ac:dyDescent="0.3">
      <c r="A682" s="14" t="str">
        <f>VLOOKUP(B682,'Relacion codigos'!$A:$B,2,FALSE)</f>
        <v>8238</v>
      </c>
      <c r="B682" s="6" t="s">
        <v>1844</v>
      </c>
      <c r="C682" s="6" t="s">
        <v>13493</v>
      </c>
      <c r="D682" s="24">
        <v>11178.629729280001</v>
      </c>
      <c r="E682" s="6" t="s">
        <v>5889</v>
      </c>
      <c r="F682" s="6">
        <v>21</v>
      </c>
      <c r="G682" s="8">
        <f t="shared" si="10"/>
        <v>11178.629729280001</v>
      </c>
    </row>
    <row r="683" spans="1:7" x14ac:dyDescent="0.3">
      <c r="A683" s="14" t="e">
        <f>VLOOKUP(B683,'Relacion codigos'!$A:$B,2,FALSE)</f>
        <v>#N/A</v>
      </c>
      <c r="B683" s="6" t="s">
        <v>12645</v>
      </c>
      <c r="C683" s="6" t="s">
        <v>12646</v>
      </c>
      <c r="D683" s="24">
        <v>11520.383233181999</v>
      </c>
      <c r="E683" s="6" t="s">
        <v>5889</v>
      </c>
      <c r="F683" s="6">
        <v>21</v>
      </c>
      <c r="G683" s="8">
        <f t="shared" si="10"/>
        <v>11520.383233181999</v>
      </c>
    </row>
    <row r="684" spans="1:7" x14ac:dyDescent="0.3">
      <c r="A684" s="14" t="e">
        <f>VLOOKUP(B684,'Relacion codigos'!$A:$B,2,FALSE)</f>
        <v>#N/A</v>
      </c>
      <c r="B684" s="6" t="s">
        <v>12582</v>
      </c>
      <c r="C684" s="6" t="s">
        <v>12583</v>
      </c>
      <c r="D684" s="24">
        <v>1.7244227000000001</v>
      </c>
      <c r="E684" s="6" t="s">
        <v>5887</v>
      </c>
      <c r="F684" s="6">
        <v>21</v>
      </c>
      <c r="G684" s="8">
        <f t="shared" si="10"/>
        <v>2681.4772985</v>
      </c>
    </row>
    <row r="685" spans="1:7" x14ac:dyDescent="0.3">
      <c r="A685" s="14" t="e">
        <f>VLOOKUP(B685,'Relacion codigos'!$A:$B,2,FALSE)</f>
        <v>#N/A</v>
      </c>
      <c r="B685" s="6" t="s">
        <v>12584</v>
      </c>
      <c r="C685" s="6" t="s">
        <v>12828</v>
      </c>
      <c r="D685" s="24">
        <v>2.2813791000000001</v>
      </c>
      <c r="E685" s="6" t="s">
        <v>5887</v>
      </c>
      <c r="F685" s="6">
        <v>21</v>
      </c>
      <c r="G685" s="8">
        <f t="shared" si="10"/>
        <v>3547.5445005000001</v>
      </c>
    </row>
    <row r="686" spans="1:7" x14ac:dyDescent="0.3">
      <c r="A686" s="14" t="e">
        <f>VLOOKUP(B686,'Relacion codigos'!$A:$B,2,FALSE)</f>
        <v>#N/A</v>
      </c>
      <c r="B686" s="6" t="s">
        <v>12675</v>
      </c>
      <c r="C686" s="6" t="s">
        <v>13494</v>
      </c>
      <c r="D686" s="24">
        <v>51192.254131200003</v>
      </c>
      <c r="E686" s="6" t="s">
        <v>5889</v>
      </c>
      <c r="F686" s="6">
        <v>21</v>
      </c>
      <c r="G686" s="8">
        <f t="shared" si="10"/>
        <v>51192.254131200003</v>
      </c>
    </row>
    <row r="687" spans="1:7" x14ac:dyDescent="0.3">
      <c r="A687" s="14" t="str">
        <f>VLOOKUP(B687,'Relacion codigos'!$A:$B,2,FALSE)</f>
        <v>151</v>
      </c>
      <c r="B687" s="6" t="s">
        <v>2217</v>
      </c>
      <c r="C687" s="6" t="s">
        <v>9936</v>
      </c>
      <c r="D687" s="24">
        <v>255.420984</v>
      </c>
      <c r="E687" s="6" t="s">
        <v>5889</v>
      </c>
      <c r="F687" s="6">
        <v>21</v>
      </c>
      <c r="G687" s="8">
        <f t="shared" si="10"/>
        <v>255.420984</v>
      </c>
    </row>
    <row r="688" spans="1:7" x14ac:dyDescent="0.3">
      <c r="A688" s="14" t="str">
        <f>VLOOKUP(B688,'Relacion codigos'!$A:$B,2,FALSE)</f>
        <v>152</v>
      </c>
      <c r="B688" s="6" t="s">
        <v>2218</v>
      </c>
      <c r="C688" s="6" t="s">
        <v>9937</v>
      </c>
      <c r="D688" s="24">
        <v>360.48043200000001</v>
      </c>
      <c r="E688" s="6" t="s">
        <v>5889</v>
      </c>
      <c r="F688" s="6">
        <v>21</v>
      </c>
      <c r="G688" s="8">
        <f t="shared" si="10"/>
        <v>360.48043200000001</v>
      </c>
    </row>
    <row r="689" spans="1:7" x14ac:dyDescent="0.3">
      <c r="A689" s="14" t="str">
        <f>VLOOKUP(B689,'Relacion codigos'!$A:$B,2,FALSE)</f>
        <v>153</v>
      </c>
      <c r="B689" s="6" t="s">
        <v>2219</v>
      </c>
      <c r="C689" s="6" t="s">
        <v>9938</v>
      </c>
      <c r="D689" s="24">
        <v>494.13327600000002</v>
      </c>
      <c r="E689" s="6" t="s">
        <v>5889</v>
      </c>
      <c r="F689" s="6">
        <v>21</v>
      </c>
      <c r="G689" s="8">
        <f t="shared" si="10"/>
        <v>494.13327600000002</v>
      </c>
    </row>
    <row r="690" spans="1:7" x14ac:dyDescent="0.3">
      <c r="A690" s="14" t="str">
        <f>VLOOKUP(B690,'Relacion codigos'!$A:$B,2,FALSE)</f>
        <v>793</v>
      </c>
      <c r="B690" s="6" t="s">
        <v>2221</v>
      </c>
      <c r="C690" s="6" t="s">
        <v>9939</v>
      </c>
      <c r="D690" s="24">
        <v>601.02049799999998</v>
      </c>
      <c r="E690" s="6" t="s">
        <v>5889</v>
      </c>
      <c r="F690" s="6">
        <v>21</v>
      </c>
      <c r="G690" s="8">
        <f t="shared" si="10"/>
        <v>601.02049799999998</v>
      </c>
    </row>
    <row r="691" spans="1:7" x14ac:dyDescent="0.3">
      <c r="A691" s="14" t="str">
        <f>VLOOKUP(B691,'Relacion codigos'!$A:$B,2,FALSE)</f>
        <v>1224</v>
      </c>
      <c r="B691" s="6" t="s">
        <v>2223</v>
      </c>
      <c r="C691" s="6" t="s">
        <v>9940</v>
      </c>
      <c r="D691" s="24">
        <v>743.00265000000002</v>
      </c>
      <c r="E691" s="6" t="s">
        <v>5889</v>
      </c>
      <c r="F691" s="6">
        <v>21</v>
      </c>
      <c r="G691" s="8">
        <f t="shared" si="10"/>
        <v>743.00265000000002</v>
      </c>
    </row>
    <row r="692" spans="1:7" x14ac:dyDescent="0.3">
      <c r="A692" s="14" t="str">
        <f>VLOOKUP(B692,'Relacion codigos'!$A:$B,2,FALSE)</f>
        <v>1234</v>
      </c>
      <c r="B692" s="6" t="s">
        <v>2224</v>
      </c>
      <c r="C692" s="6" t="s">
        <v>9941</v>
      </c>
      <c r="D692" s="24">
        <v>838.130358</v>
      </c>
      <c r="E692" s="6" t="s">
        <v>5889</v>
      </c>
      <c r="F692" s="6">
        <v>21</v>
      </c>
      <c r="G692" s="8">
        <f t="shared" si="10"/>
        <v>838.130358</v>
      </c>
    </row>
    <row r="693" spans="1:7" x14ac:dyDescent="0.3">
      <c r="A693" s="14" t="str">
        <f>VLOOKUP(B693,'Relacion codigos'!$A:$B,2,FALSE)</f>
        <v>984</v>
      </c>
      <c r="B693" s="6" t="s">
        <v>2226</v>
      </c>
      <c r="C693" s="6" t="s">
        <v>117</v>
      </c>
      <c r="D693" s="24">
        <v>55.999363776016203</v>
      </c>
      <c r="E693" s="6" t="s">
        <v>5889</v>
      </c>
      <c r="F693" s="6">
        <v>21</v>
      </c>
      <c r="G693" s="8">
        <f t="shared" si="10"/>
        <v>55.999363776016203</v>
      </c>
    </row>
    <row r="694" spans="1:7" x14ac:dyDescent="0.3">
      <c r="A694" s="14" t="str">
        <f>VLOOKUP(B694,'Relacion codigos'!$A:$B,2,FALSE)</f>
        <v>6324</v>
      </c>
      <c r="B694" s="6" t="s">
        <v>2220</v>
      </c>
      <c r="C694" s="6" t="s">
        <v>12035</v>
      </c>
      <c r="D694" s="24">
        <v>527.55900599999995</v>
      </c>
      <c r="E694" s="6" t="s">
        <v>5889</v>
      </c>
      <c r="F694" s="6">
        <v>21</v>
      </c>
      <c r="G694" s="8">
        <f t="shared" si="10"/>
        <v>527.55900599999995</v>
      </c>
    </row>
    <row r="695" spans="1:7" x14ac:dyDescent="0.3">
      <c r="A695" s="14" t="str">
        <f>VLOOKUP(B695,'Relacion codigos'!$A:$B,2,FALSE)</f>
        <v>521</v>
      </c>
      <c r="B695" s="6" t="s">
        <v>2222</v>
      </c>
      <c r="C695" s="6" t="s">
        <v>12036</v>
      </c>
      <c r="D695" s="24">
        <v>622.47430829999996</v>
      </c>
      <c r="E695" s="6" t="s">
        <v>5889</v>
      </c>
      <c r="F695" s="6">
        <v>21</v>
      </c>
      <c r="G695" s="8">
        <f t="shared" si="10"/>
        <v>622.47430829999996</v>
      </c>
    </row>
    <row r="696" spans="1:7" x14ac:dyDescent="0.3">
      <c r="A696" s="14" t="str">
        <f>VLOOKUP(B696,'Relacion codigos'!$A:$B,2,FALSE)</f>
        <v>945</v>
      </c>
      <c r="B696" s="6" t="s">
        <v>2225</v>
      </c>
      <c r="C696" s="6" t="s">
        <v>12037</v>
      </c>
      <c r="D696" s="24">
        <v>859.97184000000004</v>
      </c>
      <c r="E696" s="6" t="s">
        <v>5889</v>
      </c>
      <c r="F696" s="6">
        <v>21</v>
      </c>
      <c r="G696" s="8">
        <f t="shared" si="10"/>
        <v>859.97184000000004</v>
      </c>
    </row>
    <row r="697" spans="1:7" x14ac:dyDescent="0.3">
      <c r="A697" s="14" t="str">
        <f>VLOOKUP(B697,'Relacion codigos'!$A:$B,2,FALSE)</f>
        <v>5393</v>
      </c>
      <c r="B697" s="6" t="s">
        <v>2215</v>
      </c>
      <c r="C697" s="6" t="s">
        <v>12038</v>
      </c>
      <c r="D697" s="24">
        <v>859.97184000000004</v>
      </c>
      <c r="E697" s="6" t="s">
        <v>5889</v>
      </c>
      <c r="F697" s="6">
        <v>21</v>
      </c>
      <c r="G697" s="8">
        <f t="shared" si="10"/>
        <v>859.97184000000004</v>
      </c>
    </row>
    <row r="698" spans="1:7" x14ac:dyDescent="0.3">
      <c r="A698" s="14" t="str">
        <f>VLOOKUP(B698,'Relacion codigos'!$A:$B,2,FALSE)</f>
        <v>5394</v>
      </c>
      <c r="B698" s="6" t="s">
        <v>2216</v>
      </c>
      <c r="C698" s="6" t="s">
        <v>12039</v>
      </c>
      <c r="D698" s="24">
        <v>1140.4141320000001</v>
      </c>
      <c r="E698" s="6" t="s">
        <v>5889</v>
      </c>
      <c r="F698" s="6">
        <v>21</v>
      </c>
      <c r="G698" s="8">
        <f t="shared" si="10"/>
        <v>1140.4141320000001</v>
      </c>
    </row>
    <row r="699" spans="1:7" x14ac:dyDescent="0.3">
      <c r="A699" s="14" t="str">
        <f>VLOOKUP(B699,'Relacion codigos'!$A:$B,2,FALSE)</f>
        <v>684</v>
      </c>
      <c r="B699" s="6" t="s">
        <v>1873</v>
      </c>
      <c r="C699" s="6" t="s">
        <v>13495</v>
      </c>
      <c r="D699" s="24">
        <v>602.22599423999998</v>
      </c>
      <c r="E699" s="6" t="s">
        <v>5889</v>
      </c>
      <c r="F699" s="6">
        <v>21</v>
      </c>
      <c r="G699" s="8">
        <f t="shared" si="10"/>
        <v>602.22599423999998</v>
      </c>
    </row>
    <row r="700" spans="1:7" x14ac:dyDescent="0.3">
      <c r="A700" s="14" t="str">
        <f>VLOOKUP(B700,'Relacion codigos'!$A:$B,2,FALSE)</f>
        <v>687</v>
      </c>
      <c r="B700" s="6" t="s">
        <v>1874</v>
      </c>
      <c r="C700" s="6" t="s">
        <v>13346</v>
      </c>
      <c r="D700" s="24">
        <v>769.07121408</v>
      </c>
      <c r="E700" s="6" t="s">
        <v>5889</v>
      </c>
      <c r="F700" s="6">
        <v>21</v>
      </c>
      <c r="G700" s="8">
        <f t="shared" si="10"/>
        <v>769.07121408</v>
      </c>
    </row>
    <row r="701" spans="1:7" x14ac:dyDescent="0.3">
      <c r="A701" s="14" t="str">
        <f>VLOOKUP(B701,'Relacion codigos'!$A:$B,2,FALSE)</f>
        <v>671</v>
      </c>
      <c r="B701" s="6" t="s">
        <v>1875</v>
      </c>
      <c r="C701" s="6" t="s">
        <v>13347</v>
      </c>
      <c r="D701" s="24">
        <v>890.85604608000006</v>
      </c>
      <c r="E701" s="6" t="s">
        <v>5889</v>
      </c>
      <c r="F701" s="6">
        <v>21</v>
      </c>
      <c r="G701" s="8">
        <f t="shared" si="10"/>
        <v>890.85604608000006</v>
      </c>
    </row>
    <row r="702" spans="1:7" x14ac:dyDescent="0.3">
      <c r="A702" s="14" t="str">
        <f>VLOOKUP(B702,'Relacion codigos'!$A:$B,2,FALSE)</f>
        <v>117</v>
      </c>
      <c r="B702" s="6" t="s">
        <v>1860</v>
      </c>
      <c r="C702" s="6" t="s">
        <v>11329</v>
      </c>
      <c r="D702" s="24">
        <v>765.49833000000001</v>
      </c>
      <c r="E702" s="6" t="s">
        <v>5889</v>
      </c>
      <c r="F702" s="6">
        <v>21</v>
      </c>
      <c r="G702" s="8">
        <f t="shared" si="10"/>
        <v>765.49833000000001</v>
      </c>
    </row>
    <row r="703" spans="1:7" x14ac:dyDescent="0.3">
      <c r="A703" s="14" t="str">
        <f>VLOOKUP(B703,'Relacion codigos'!$A:$B,2,FALSE)</f>
        <v>6560</v>
      </c>
      <c r="B703" s="6" t="s">
        <v>1893</v>
      </c>
      <c r="C703" s="6" t="s">
        <v>13813</v>
      </c>
      <c r="D703" s="24">
        <v>890.85604608000006</v>
      </c>
      <c r="E703" s="6" t="s">
        <v>5889</v>
      </c>
      <c r="F703" s="6">
        <v>21</v>
      </c>
      <c r="G703" s="8">
        <f t="shared" si="10"/>
        <v>890.85604608000006</v>
      </c>
    </row>
    <row r="704" spans="1:7" x14ac:dyDescent="0.3">
      <c r="A704" s="14" t="str">
        <f>VLOOKUP(B704,'Relacion codigos'!$A:$B,2,FALSE)</f>
        <v>672</v>
      </c>
      <c r="B704" s="6" t="s">
        <v>1878</v>
      </c>
      <c r="C704" s="6" t="s">
        <v>12382</v>
      </c>
      <c r="D704" s="24">
        <v>1302.4887782400001</v>
      </c>
      <c r="E704" s="6" t="s">
        <v>5889</v>
      </c>
      <c r="F704" s="6">
        <v>21</v>
      </c>
      <c r="G704" s="8">
        <f t="shared" si="10"/>
        <v>1302.4887782400001</v>
      </c>
    </row>
    <row r="705" spans="1:7" x14ac:dyDescent="0.3">
      <c r="A705" s="14" t="str">
        <f>VLOOKUP(B705,'Relacion codigos'!$A:$B,2,FALSE)</f>
        <v>118</v>
      </c>
      <c r="B705" s="6" t="s">
        <v>1862</v>
      </c>
      <c r="C705" s="6" t="s">
        <v>11330</v>
      </c>
      <c r="D705" s="24">
        <v>876.94150500000001</v>
      </c>
      <c r="E705" s="6" t="s">
        <v>5889</v>
      </c>
      <c r="F705" s="6">
        <v>21</v>
      </c>
      <c r="G705" s="8">
        <f t="shared" si="10"/>
        <v>876.94150500000001</v>
      </c>
    </row>
    <row r="706" spans="1:7" x14ac:dyDescent="0.3">
      <c r="A706" s="14" t="str">
        <f>VLOOKUP(B706,'Relacion codigos'!$A:$B,2,FALSE)</f>
        <v>6097</v>
      </c>
      <c r="B706" s="6" t="s">
        <v>1879</v>
      </c>
      <c r="C706" s="6" t="s">
        <v>13814</v>
      </c>
      <c r="D706" s="24">
        <v>1302.4887782400001</v>
      </c>
      <c r="E706" s="6" t="s">
        <v>5889</v>
      </c>
      <c r="F706" s="6">
        <v>21</v>
      </c>
      <c r="G706" s="8">
        <f t="shared" ref="G706:G769" si="11">IF(E706="Dolares",D706*$G$1,D706)</f>
        <v>1302.4887782400001</v>
      </c>
    </row>
    <row r="707" spans="1:7" x14ac:dyDescent="0.3">
      <c r="A707" s="14" t="str">
        <f>VLOOKUP(B707,'Relacion codigos'!$A:$B,2,FALSE)</f>
        <v>675</v>
      </c>
      <c r="B707" s="6" t="s">
        <v>1882</v>
      </c>
      <c r="C707" s="6" t="s">
        <v>13348</v>
      </c>
      <c r="D707" s="24">
        <v>2077.0403097600001</v>
      </c>
      <c r="E707" s="6" t="s">
        <v>5889</v>
      </c>
      <c r="F707" s="6">
        <v>21</v>
      </c>
      <c r="G707" s="8">
        <f t="shared" si="11"/>
        <v>2077.0403097600001</v>
      </c>
    </row>
    <row r="708" spans="1:7" x14ac:dyDescent="0.3">
      <c r="A708" s="14" t="str">
        <f>VLOOKUP(B708,'Relacion codigos'!$A:$B,2,FALSE)</f>
        <v>119</v>
      </c>
      <c r="B708" s="6" t="s">
        <v>1885</v>
      </c>
      <c r="C708" s="6" t="s">
        <v>12525</v>
      </c>
      <c r="D708" s="24">
        <v>1313.45496</v>
      </c>
      <c r="E708" s="6" t="s">
        <v>5889</v>
      </c>
      <c r="F708" s="6">
        <v>21</v>
      </c>
      <c r="G708" s="8">
        <f t="shared" si="11"/>
        <v>1313.45496</v>
      </c>
    </row>
    <row r="709" spans="1:7" x14ac:dyDescent="0.3">
      <c r="A709" s="14" t="str">
        <f>VLOOKUP(B709,'Relacion codigos'!$A:$B,2,FALSE)</f>
        <v>6098</v>
      </c>
      <c r="B709" s="6" t="s">
        <v>1883</v>
      </c>
      <c r="C709" s="6" t="s">
        <v>13815</v>
      </c>
      <c r="D709" s="24">
        <v>2077.0403097600001</v>
      </c>
      <c r="E709" s="6" t="s">
        <v>5889</v>
      </c>
      <c r="F709" s="6">
        <v>21</v>
      </c>
      <c r="G709" s="8">
        <f t="shared" si="11"/>
        <v>2077.0403097600001</v>
      </c>
    </row>
    <row r="710" spans="1:7" x14ac:dyDescent="0.3">
      <c r="A710" s="14" t="str">
        <f>VLOOKUP(B710,'Relacion codigos'!$A:$B,2,FALSE)</f>
        <v>688</v>
      </c>
      <c r="B710" s="6" t="s">
        <v>1888</v>
      </c>
      <c r="C710" s="6" t="s">
        <v>12887</v>
      </c>
      <c r="D710" s="24">
        <v>3101.8596710400002</v>
      </c>
      <c r="E710" s="6" t="s">
        <v>5889</v>
      </c>
      <c r="F710" s="6">
        <v>21</v>
      </c>
      <c r="G710" s="8">
        <f t="shared" si="11"/>
        <v>3101.8596710400002</v>
      </c>
    </row>
    <row r="711" spans="1:7" x14ac:dyDescent="0.3">
      <c r="A711" s="14" t="str">
        <f>VLOOKUP(B711,'Relacion codigos'!$A:$B,2,FALSE)</f>
        <v>6158</v>
      </c>
      <c r="B711" s="6" t="s">
        <v>1890</v>
      </c>
      <c r="C711" s="6" t="s">
        <v>11160</v>
      </c>
      <c r="D711" s="24">
        <v>3022.4131404581899</v>
      </c>
      <c r="E711" s="6" t="s">
        <v>5889</v>
      </c>
      <c r="F711" s="6">
        <v>21</v>
      </c>
      <c r="G711" s="8">
        <f t="shared" si="11"/>
        <v>3022.4131404581899</v>
      </c>
    </row>
    <row r="712" spans="1:7" x14ac:dyDescent="0.3">
      <c r="A712" s="14" t="str">
        <f>VLOOKUP(B712,'Relacion codigos'!$A:$B,2,FALSE)</f>
        <v>8461</v>
      </c>
      <c r="B712" s="6" t="s">
        <v>1865</v>
      </c>
      <c r="C712" s="6" t="s">
        <v>11331</v>
      </c>
      <c r="D712" s="24">
        <v>2112.3790199999999</v>
      </c>
      <c r="E712" s="6" t="s">
        <v>5889</v>
      </c>
      <c r="F712" s="6">
        <v>21</v>
      </c>
      <c r="G712" s="8">
        <f t="shared" si="11"/>
        <v>2112.3790199999999</v>
      </c>
    </row>
    <row r="713" spans="1:7" x14ac:dyDescent="0.3">
      <c r="A713" s="14" t="str">
        <f>VLOOKUP(B713,'Relacion codigos'!$A:$B,2,FALSE)</f>
        <v>689</v>
      </c>
      <c r="B713" s="6" t="s">
        <v>1891</v>
      </c>
      <c r="C713" s="6" t="s">
        <v>13349</v>
      </c>
      <c r="D713" s="24">
        <v>4650.9627340799998</v>
      </c>
      <c r="E713" s="6" t="s">
        <v>5889</v>
      </c>
      <c r="F713" s="6">
        <v>21</v>
      </c>
      <c r="G713" s="8">
        <f t="shared" si="11"/>
        <v>4650.9627340799998</v>
      </c>
    </row>
    <row r="714" spans="1:7" x14ac:dyDescent="0.3">
      <c r="A714" s="14" t="str">
        <f>VLOOKUP(B714,'Relacion codigos'!$A:$B,2,FALSE)</f>
        <v>8541</v>
      </c>
      <c r="B714" s="6" t="s">
        <v>1864</v>
      </c>
      <c r="C714" s="6" t="s">
        <v>11332</v>
      </c>
      <c r="D714" s="24">
        <v>3031.57215</v>
      </c>
      <c r="E714" s="6" t="s">
        <v>5889</v>
      </c>
      <c r="F714" s="6">
        <v>21</v>
      </c>
      <c r="G714" s="8">
        <f t="shared" si="11"/>
        <v>3031.57215</v>
      </c>
    </row>
    <row r="715" spans="1:7" x14ac:dyDescent="0.3">
      <c r="A715" s="14" t="e">
        <f>VLOOKUP(B715,'Relacion codigos'!$A:$B,2,FALSE)</f>
        <v>#N/A</v>
      </c>
      <c r="B715" s="6" t="s">
        <v>11617</v>
      </c>
      <c r="C715" s="6" t="s">
        <v>13496</v>
      </c>
      <c r="D715" s="24">
        <v>973.66973184000005</v>
      </c>
      <c r="E715" s="6" t="s">
        <v>5889</v>
      </c>
      <c r="F715" s="6">
        <v>21</v>
      </c>
      <c r="G715" s="8">
        <f t="shared" si="11"/>
        <v>973.66973184000005</v>
      </c>
    </row>
    <row r="716" spans="1:7" x14ac:dyDescent="0.3">
      <c r="A716" s="14" t="str">
        <f>VLOOKUP(B716,'Relacion codigos'!$A:$B,2,FALSE)</f>
        <v>691</v>
      </c>
      <c r="B716" s="6" t="s">
        <v>1899</v>
      </c>
      <c r="C716" s="6" t="s">
        <v>13350</v>
      </c>
      <c r="D716" s="24">
        <v>1230.0268031999999</v>
      </c>
      <c r="E716" s="6" t="s">
        <v>5889</v>
      </c>
      <c r="F716" s="6">
        <v>21</v>
      </c>
      <c r="G716" s="8">
        <f t="shared" si="11"/>
        <v>1230.0268031999999</v>
      </c>
    </row>
    <row r="717" spans="1:7" x14ac:dyDescent="0.3">
      <c r="A717" s="14" t="str">
        <f>VLOOKUP(B717,'Relacion codigos'!$A:$B,2,FALSE)</f>
        <v>8539</v>
      </c>
      <c r="B717" s="6" t="s">
        <v>1870</v>
      </c>
      <c r="C717" s="6" t="s">
        <v>11333</v>
      </c>
      <c r="D717" s="24">
        <v>1032.6730500000001</v>
      </c>
      <c r="E717" s="6" t="s">
        <v>5889</v>
      </c>
      <c r="F717" s="6">
        <v>21</v>
      </c>
      <c r="G717" s="8">
        <f t="shared" si="11"/>
        <v>1032.6730500000001</v>
      </c>
    </row>
    <row r="718" spans="1:7" x14ac:dyDescent="0.3">
      <c r="A718" s="14" t="str">
        <f>VLOOKUP(B718,'Relacion codigos'!$A:$B,2,FALSE)</f>
        <v>694</v>
      </c>
      <c r="B718" s="6" t="s">
        <v>1901</v>
      </c>
      <c r="C718" s="6" t="s">
        <v>13351</v>
      </c>
      <c r="D718" s="24">
        <v>1834.6884940800001</v>
      </c>
      <c r="E718" s="6" t="s">
        <v>5889</v>
      </c>
      <c r="F718" s="6">
        <v>21</v>
      </c>
      <c r="G718" s="8">
        <f t="shared" si="11"/>
        <v>1834.6884940800001</v>
      </c>
    </row>
    <row r="719" spans="1:7" x14ac:dyDescent="0.3">
      <c r="A719" s="14" t="str">
        <f>VLOOKUP(B719,'Relacion codigos'!$A:$B,2,FALSE)</f>
        <v>8459</v>
      </c>
      <c r="B719" s="6" t="s">
        <v>1866</v>
      </c>
      <c r="C719" s="6" t="s">
        <v>11334</v>
      </c>
      <c r="D719" s="24">
        <v>1231.9707149999999</v>
      </c>
      <c r="E719" s="6" t="s">
        <v>5889</v>
      </c>
      <c r="F719" s="6">
        <v>21</v>
      </c>
      <c r="G719" s="8">
        <f t="shared" si="11"/>
        <v>1231.9707149999999</v>
      </c>
    </row>
    <row r="720" spans="1:7" x14ac:dyDescent="0.3">
      <c r="A720" s="14" t="str">
        <f>VLOOKUP(B720,'Relacion codigos'!$A:$B,2,FALSE)</f>
        <v>699</v>
      </c>
      <c r="B720" s="6" t="s">
        <v>1905</v>
      </c>
      <c r="C720" s="6" t="s">
        <v>13352</v>
      </c>
      <c r="D720" s="24">
        <v>2962.4160384000002</v>
      </c>
      <c r="E720" s="6" t="s">
        <v>5889</v>
      </c>
      <c r="F720" s="6">
        <v>21</v>
      </c>
      <c r="G720" s="8">
        <f t="shared" si="11"/>
        <v>2962.4160384000002</v>
      </c>
    </row>
    <row r="721" spans="1:7" x14ac:dyDescent="0.3">
      <c r="A721" s="14" t="str">
        <f>VLOOKUP(B721,'Relacion codigos'!$A:$B,2,FALSE)</f>
        <v>6160</v>
      </c>
      <c r="B721" s="6" t="s">
        <v>1907</v>
      </c>
      <c r="C721" s="6" t="s">
        <v>11165</v>
      </c>
      <c r="D721" s="24">
        <v>2892.5487402031799</v>
      </c>
      <c r="E721" s="6" t="s">
        <v>5889</v>
      </c>
      <c r="F721" s="6">
        <v>21</v>
      </c>
      <c r="G721" s="8">
        <f t="shared" si="11"/>
        <v>2892.5487402031799</v>
      </c>
    </row>
    <row r="722" spans="1:7" x14ac:dyDescent="0.3">
      <c r="A722" s="14" t="str">
        <f>VLOOKUP(B722,'Relacion codigos'!$A:$B,2,FALSE)</f>
        <v>8460</v>
      </c>
      <c r="B722" s="6" t="s">
        <v>1867</v>
      </c>
      <c r="C722" s="6" t="s">
        <v>11335</v>
      </c>
      <c r="D722" s="24">
        <v>1813.4253000000001</v>
      </c>
      <c r="E722" s="6" t="s">
        <v>5889</v>
      </c>
      <c r="F722" s="6">
        <v>21</v>
      </c>
      <c r="G722" s="8">
        <f t="shared" si="11"/>
        <v>1813.4253000000001</v>
      </c>
    </row>
    <row r="723" spans="1:7" x14ac:dyDescent="0.3">
      <c r="A723" s="14" t="str">
        <f>VLOOKUP(B723,'Relacion codigos'!$A:$B,2,FALSE)</f>
        <v>701</v>
      </c>
      <c r="B723" s="6" t="s">
        <v>1909</v>
      </c>
      <c r="C723" s="6" t="s">
        <v>13353</v>
      </c>
      <c r="D723" s="24">
        <v>4467.0676377600003</v>
      </c>
      <c r="E723" s="6" t="s">
        <v>5889</v>
      </c>
      <c r="F723" s="6">
        <v>21</v>
      </c>
      <c r="G723" s="8">
        <f t="shared" si="11"/>
        <v>4467.0676377600003</v>
      </c>
    </row>
    <row r="724" spans="1:7" x14ac:dyDescent="0.3">
      <c r="A724" s="14" t="str">
        <f>VLOOKUP(B724,'Relacion codigos'!$A:$B,2,FALSE)</f>
        <v>6161</v>
      </c>
      <c r="B724" s="6" t="s">
        <v>1911</v>
      </c>
      <c r="C724" s="6" t="s">
        <v>11167</v>
      </c>
      <c r="D724" s="24">
        <v>4337.0418104732598</v>
      </c>
      <c r="E724" s="6" t="s">
        <v>5889</v>
      </c>
      <c r="F724" s="6">
        <v>21</v>
      </c>
      <c r="G724" s="8">
        <f t="shared" si="11"/>
        <v>4337.0418104732598</v>
      </c>
    </row>
    <row r="725" spans="1:7" x14ac:dyDescent="0.3">
      <c r="A725" s="14" t="str">
        <f>VLOOKUP(B725,'Relacion codigos'!$A:$B,2,FALSE)</f>
        <v>8542</v>
      </c>
      <c r="B725" s="6" t="s">
        <v>1868</v>
      </c>
      <c r="C725" s="6" t="s">
        <v>11336</v>
      </c>
      <c r="D725" s="24">
        <v>2998.66644</v>
      </c>
      <c r="E725" s="6" t="s">
        <v>5889</v>
      </c>
      <c r="F725" s="6">
        <v>21</v>
      </c>
      <c r="G725" s="8">
        <f t="shared" si="11"/>
        <v>2998.66644</v>
      </c>
    </row>
    <row r="726" spans="1:7" x14ac:dyDescent="0.3">
      <c r="A726" s="14" t="str">
        <f>VLOOKUP(B726,'Relacion codigos'!$A:$B,2,FALSE)</f>
        <v>707</v>
      </c>
      <c r="B726" s="6" t="s">
        <v>1912</v>
      </c>
      <c r="C726" s="6" t="s">
        <v>13354</v>
      </c>
      <c r="D726" s="24">
        <v>6731.6565887999996</v>
      </c>
      <c r="E726" s="6" t="s">
        <v>5889</v>
      </c>
      <c r="F726" s="6">
        <v>21</v>
      </c>
      <c r="G726" s="8">
        <f t="shared" si="11"/>
        <v>6731.6565887999996</v>
      </c>
    </row>
    <row r="727" spans="1:7" x14ac:dyDescent="0.3">
      <c r="A727" s="14" t="e">
        <f>VLOOKUP(B727,'Relacion codigos'!$A:$B,2,FALSE)</f>
        <v>#N/A</v>
      </c>
      <c r="B727" s="6" t="s">
        <v>9200</v>
      </c>
      <c r="C727" s="6" t="s">
        <v>11170</v>
      </c>
      <c r="D727" s="24">
        <v>6258.2941957041103</v>
      </c>
      <c r="E727" s="6" t="s">
        <v>5889</v>
      </c>
      <c r="F727" s="6">
        <v>21</v>
      </c>
      <c r="G727" s="8">
        <f t="shared" si="11"/>
        <v>6258.2941957041103</v>
      </c>
    </row>
    <row r="728" spans="1:7" x14ac:dyDescent="0.3">
      <c r="A728" s="14" t="str">
        <f>VLOOKUP(B728,'Relacion codigos'!$A:$B,2,FALSE)</f>
        <v>8543</v>
      </c>
      <c r="B728" s="6" t="s">
        <v>1869</v>
      </c>
      <c r="C728" s="6" t="s">
        <v>11337</v>
      </c>
      <c r="D728" s="24">
        <v>4454.3179799999998</v>
      </c>
      <c r="E728" s="6" t="s">
        <v>5889</v>
      </c>
      <c r="F728" s="6">
        <v>21</v>
      </c>
      <c r="G728" s="8">
        <f t="shared" si="11"/>
        <v>4454.3179799999998</v>
      </c>
    </row>
    <row r="729" spans="1:7" x14ac:dyDescent="0.3">
      <c r="A729" s="14" t="str">
        <f>VLOOKUP(B729,'Relacion codigos'!$A:$B,2,FALSE)</f>
        <v>710</v>
      </c>
      <c r="B729" s="6" t="s">
        <v>1917</v>
      </c>
      <c r="C729" s="6" t="s">
        <v>13355</v>
      </c>
      <c r="D729" s="24">
        <v>1594.16345088</v>
      </c>
      <c r="E729" s="6" t="s">
        <v>5889</v>
      </c>
      <c r="F729" s="6">
        <v>21</v>
      </c>
      <c r="G729" s="8">
        <f t="shared" si="11"/>
        <v>1594.16345088</v>
      </c>
    </row>
    <row r="730" spans="1:7" x14ac:dyDescent="0.3">
      <c r="A730" s="14" t="str">
        <f>VLOOKUP(B730,'Relacion codigos'!$A:$B,2,FALSE)</f>
        <v>6362</v>
      </c>
      <c r="B730" s="6" t="s">
        <v>1919</v>
      </c>
      <c r="C730" s="6" t="s">
        <v>11172</v>
      </c>
      <c r="D730" s="24">
        <v>1697.9961396860299</v>
      </c>
      <c r="E730" s="6" t="s">
        <v>5889</v>
      </c>
      <c r="F730" s="6">
        <v>21</v>
      </c>
      <c r="G730" s="8">
        <f t="shared" si="11"/>
        <v>1697.9961396860299</v>
      </c>
    </row>
    <row r="731" spans="1:7" x14ac:dyDescent="0.3">
      <c r="A731" s="14" t="str">
        <f>VLOOKUP(B731,'Relacion codigos'!$A:$B,2,FALSE)</f>
        <v>711</v>
      </c>
      <c r="B731" s="6" t="s">
        <v>1920</v>
      </c>
      <c r="C731" s="6" t="s">
        <v>13356</v>
      </c>
      <c r="D731" s="24">
        <v>2399.7701145599999</v>
      </c>
      <c r="E731" s="6" t="s">
        <v>5889</v>
      </c>
      <c r="F731" s="6">
        <v>21</v>
      </c>
      <c r="G731" s="8">
        <f t="shared" si="11"/>
        <v>2399.7701145599999</v>
      </c>
    </row>
    <row r="732" spans="1:7" x14ac:dyDescent="0.3">
      <c r="A732" s="14" t="str">
        <f>VLOOKUP(B732,'Relacion codigos'!$A:$B,2,FALSE)</f>
        <v>7166</v>
      </c>
      <c r="B732" s="6" t="s">
        <v>1922</v>
      </c>
      <c r="C732" s="6" t="s">
        <v>11173</v>
      </c>
      <c r="D732" s="24">
        <v>2383.7730592944999</v>
      </c>
      <c r="E732" s="6" t="s">
        <v>5889</v>
      </c>
      <c r="F732" s="6">
        <v>21</v>
      </c>
      <c r="G732" s="8">
        <f t="shared" si="11"/>
        <v>2383.7730592944999</v>
      </c>
    </row>
    <row r="733" spans="1:7" x14ac:dyDescent="0.3">
      <c r="A733" s="14" t="str">
        <f>VLOOKUP(B733,'Relacion codigos'!$A:$B,2,FALSE)</f>
        <v>841</v>
      </c>
      <c r="B733" s="6" t="s">
        <v>1923</v>
      </c>
      <c r="C733" s="6" t="s">
        <v>13357</v>
      </c>
      <c r="D733" s="24">
        <v>3858.75240192</v>
      </c>
      <c r="E733" s="6" t="s">
        <v>5889</v>
      </c>
      <c r="F733" s="6">
        <v>21</v>
      </c>
      <c r="G733" s="8">
        <f t="shared" si="11"/>
        <v>3858.75240192</v>
      </c>
    </row>
    <row r="734" spans="1:7" x14ac:dyDescent="0.3">
      <c r="A734" s="14" t="str">
        <f>VLOOKUP(B734,'Relacion codigos'!$A:$B,2,FALSE)</f>
        <v>903</v>
      </c>
      <c r="B734" s="6" t="s">
        <v>1925</v>
      </c>
      <c r="C734" s="6" t="s">
        <v>13358</v>
      </c>
      <c r="D734" s="24">
        <v>5946.1444223999997</v>
      </c>
      <c r="E734" s="6" t="s">
        <v>5889</v>
      </c>
      <c r="F734" s="6">
        <v>21</v>
      </c>
      <c r="G734" s="8">
        <f t="shared" si="11"/>
        <v>5946.1444223999997</v>
      </c>
    </row>
    <row r="735" spans="1:7" x14ac:dyDescent="0.3">
      <c r="A735" s="14" t="e">
        <f>VLOOKUP(B735,'Relacion codigos'!$A:$B,2,FALSE)</f>
        <v>#N/A</v>
      </c>
      <c r="B735" s="6" t="s">
        <v>9201</v>
      </c>
      <c r="C735" s="6" t="s">
        <v>11175</v>
      </c>
      <c r="D735" s="24">
        <v>5682.8108937138104</v>
      </c>
      <c r="E735" s="6" t="s">
        <v>5889</v>
      </c>
      <c r="F735" s="6">
        <v>21</v>
      </c>
      <c r="G735" s="8">
        <f t="shared" si="11"/>
        <v>5682.8108937138104</v>
      </c>
    </row>
    <row r="736" spans="1:7" x14ac:dyDescent="0.3">
      <c r="A736" s="14" t="str">
        <f>VLOOKUP(B736,'Relacion codigos'!$A:$B,2,FALSE)</f>
        <v>9113</v>
      </c>
      <c r="B736" s="6" t="s">
        <v>1871</v>
      </c>
      <c r="C736" s="6" t="s">
        <v>11897</v>
      </c>
      <c r="D736" s="24">
        <v>4018.3967699999998</v>
      </c>
      <c r="E736" s="6" t="s">
        <v>5889</v>
      </c>
      <c r="F736" s="6">
        <v>21</v>
      </c>
      <c r="G736" s="8">
        <f t="shared" si="11"/>
        <v>4018.3967699999998</v>
      </c>
    </row>
    <row r="737" spans="1:7" x14ac:dyDescent="0.3">
      <c r="A737" s="14" t="str">
        <f>VLOOKUP(B737,'Relacion codigos'!$A:$B,2,FALSE)</f>
        <v>911</v>
      </c>
      <c r="B737" s="6" t="s">
        <v>1927</v>
      </c>
      <c r="C737" s="6" t="s">
        <v>13359</v>
      </c>
      <c r="D737" s="24">
        <v>8746.5866342400004</v>
      </c>
      <c r="E737" s="6" t="s">
        <v>5889</v>
      </c>
      <c r="F737" s="6">
        <v>21</v>
      </c>
      <c r="G737" s="8">
        <f t="shared" si="11"/>
        <v>8746.5866342400004</v>
      </c>
    </row>
    <row r="738" spans="1:7" x14ac:dyDescent="0.3">
      <c r="A738" s="14" t="e">
        <f>VLOOKUP(B738,'Relacion codigos'!$A:$B,2,FALSE)</f>
        <v>#N/A</v>
      </c>
      <c r="B738" s="6" t="s">
        <v>9202</v>
      </c>
      <c r="C738" s="6" t="s">
        <v>11176</v>
      </c>
      <c r="D738" s="24">
        <v>8332.5326057352104</v>
      </c>
      <c r="E738" s="6" t="s">
        <v>5889</v>
      </c>
      <c r="F738" s="6">
        <v>21</v>
      </c>
      <c r="G738" s="8">
        <f t="shared" si="11"/>
        <v>8332.5326057352104</v>
      </c>
    </row>
    <row r="739" spans="1:7" x14ac:dyDescent="0.3">
      <c r="A739" s="14" t="str">
        <f>VLOOKUP(B739,'Relacion codigos'!$A:$B,2,FALSE)</f>
        <v>917</v>
      </c>
      <c r="B739" s="6" t="s">
        <v>1929</v>
      </c>
      <c r="C739" s="6" t="s">
        <v>13360</v>
      </c>
      <c r="D739" s="24">
        <v>2059.9904332800002</v>
      </c>
      <c r="E739" s="6" t="s">
        <v>5889</v>
      </c>
      <c r="F739" s="6">
        <v>21</v>
      </c>
      <c r="G739" s="8">
        <f t="shared" si="11"/>
        <v>2059.9904332800002</v>
      </c>
    </row>
    <row r="740" spans="1:7" x14ac:dyDescent="0.3">
      <c r="A740" s="14" t="str">
        <f>VLOOKUP(B740,'Relacion codigos'!$A:$B,2,FALSE)</f>
        <v>918</v>
      </c>
      <c r="B740" s="6" t="s">
        <v>1931</v>
      </c>
      <c r="C740" s="6" t="s">
        <v>13361</v>
      </c>
      <c r="D740" s="24">
        <v>3116.4738508800001</v>
      </c>
      <c r="E740" s="6" t="s">
        <v>5889</v>
      </c>
      <c r="F740" s="6">
        <v>21</v>
      </c>
      <c r="G740" s="8">
        <f t="shared" si="11"/>
        <v>3116.4738508800001</v>
      </c>
    </row>
    <row r="741" spans="1:7" x14ac:dyDescent="0.3">
      <c r="A741" s="14" t="str">
        <f>VLOOKUP(B741,'Relacion codigos'!$A:$B,2,FALSE)</f>
        <v>919</v>
      </c>
      <c r="B741" s="6" t="s">
        <v>1934</v>
      </c>
      <c r="C741" s="6" t="s">
        <v>13362</v>
      </c>
      <c r="D741" s="24">
        <v>4959.0783590399997</v>
      </c>
      <c r="E741" s="6" t="s">
        <v>5889</v>
      </c>
      <c r="F741" s="6">
        <v>21</v>
      </c>
      <c r="G741" s="8">
        <f t="shared" si="11"/>
        <v>4959.0783590399997</v>
      </c>
    </row>
    <row r="742" spans="1:7" x14ac:dyDescent="0.3">
      <c r="A742" s="14" t="str">
        <f>VLOOKUP(B742,'Relacion codigos'!$A:$B,2,FALSE)</f>
        <v>9232</v>
      </c>
      <c r="B742" s="6" t="s">
        <v>1872</v>
      </c>
      <c r="C742" s="6" t="s">
        <v>11338</v>
      </c>
      <c r="D742" s="24">
        <v>3068.4213450000002</v>
      </c>
      <c r="E742" s="6" t="s">
        <v>5889</v>
      </c>
      <c r="F742" s="6">
        <v>21</v>
      </c>
      <c r="G742" s="8">
        <f t="shared" si="11"/>
        <v>3068.4213450000002</v>
      </c>
    </row>
    <row r="743" spans="1:7" x14ac:dyDescent="0.3">
      <c r="A743" s="14" t="str">
        <f>VLOOKUP(B743,'Relacion codigos'!$A:$B,2,FALSE)</f>
        <v>920</v>
      </c>
      <c r="B743" s="6" t="s">
        <v>1937</v>
      </c>
      <c r="C743" s="6" t="s">
        <v>13363</v>
      </c>
      <c r="D743" s="24">
        <v>7617.6412416000003</v>
      </c>
      <c r="E743" s="6" t="s">
        <v>5889</v>
      </c>
      <c r="F743" s="6">
        <v>21</v>
      </c>
      <c r="G743" s="8">
        <f t="shared" si="11"/>
        <v>7617.6412416000003</v>
      </c>
    </row>
    <row r="744" spans="1:7" x14ac:dyDescent="0.3">
      <c r="A744" s="14" t="str">
        <f>VLOOKUP(B744,'Relacion codigos'!$A:$B,2,FALSE)</f>
        <v>6164</v>
      </c>
      <c r="B744" s="6" t="s">
        <v>1938</v>
      </c>
      <c r="C744" s="6" t="s">
        <v>11177</v>
      </c>
      <c r="D744" s="24">
        <v>7272.28883673582</v>
      </c>
      <c r="E744" s="6" t="s">
        <v>5889</v>
      </c>
      <c r="F744" s="6">
        <v>21</v>
      </c>
      <c r="G744" s="8">
        <f t="shared" si="11"/>
        <v>7272.28883673582</v>
      </c>
    </row>
    <row r="745" spans="1:7" x14ac:dyDescent="0.3">
      <c r="A745" s="14" t="str">
        <f>VLOOKUP(B745,'Relacion codigos'!$A:$B,2,FALSE)</f>
        <v>6928</v>
      </c>
      <c r="B745" s="6" t="s">
        <v>1939</v>
      </c>
      <c r="C745" s="6" t="s">
        <v>13497</v>
      </c>
      <c r="D745" s="24">
        <v>11223.690117120001</v>
      </c>
      <c r="E745" s="6" t="s">
        <v>5889</v>
      </c>
      <c r="F745" s="6">
        <v>21</v>
      </c>
      <c r="G745" s="8">
        <f t="shared" si="11"/>
        <v>11223.690117120001</v>
      </c>
    </row>
    <row r="746" spans="1:7" x14ac:dyDescent="0.3">
      <c r="A746" s="14" t="e">
        <f>VLOOKUP(B746,'Relacion codigos'!$A:$B,2,FALSE)</f>
        <v>#N/A</v>
      </c>
      <c r="B746" s="6" t="s">
        <v>13226</v>
      </c>
      <c r="C746" s="6" t="s">
        <v>13364</v>
      </c>
      <c r="D746" s="24">
        <v>2131.4050587647998</v>
      </c>
      <c r="E746" s="6" t="s">
        <v>5889</v>
      </c>
      <c r="F746" s="6">
        <v>21</v>
      </c>
      <c r="G746" s="8">
        <f t="shared" si="11"/>
        <v>2131.4050587647998</v>
      </c>
    </row>
    <row r="747" spans="1:7" x14ac:dyDescent="0.3">
      <c r="A747" s="14" t="e">
        <f>VLOOKUP(B747,'Relacion codigos'!$A:$B,2,FALSE)</f>
        <v>#N/A</v>
      </c>
      <c r="B747" s="6" t="s">
        <v>12815</v>
      </c>
      <c r="C747" s="6" t="s">
        <v>13365</v>
      </c>
      <c r="D747" s="24">
        <v>4188.1803724800002</v>
      </c>
      <c r="E747" s="6" t="s">
        <v>5889</v>
      </c>
      <c r="F747" s="6">
        <v>21</v>
      </c>
      <c r="G747" s="8">
        <f t="shared" si="11"/>
        <v>4188.1803724800002</v>
      </c>
    </row>
    <row r="748" spans="1:7" x14ac:dyDescent="0.3">
      <c r="A748" s="14" t="str">
        <f>VLOOKUP(B748,'Relacion codigos'!$A:$B,2,FALSE)</f>
        <v>6954</v>
      </c>
      <c r="B748" s="6" t="s">
        <v>1976</v>
      </c>
      <c r="C748" s="6" t="s">
        <v>10408</v>
      </c>
      <c r="D748" s="24">
        <v>549.24959232000003</v>
      </c>
      <c r="E748" s="6" t="s">
        <v>5889</v>
      </c>
      <c r="F748" s="6">
        <v>21</v>
      </c>
      <c r="G748" s="8">
        <f t="shared" si="11"/>
        <v>549.24959232000003</v>
      </c>
    </row>
    <row r="749" spans="1:7" x14ac:dyDescent="0.3">
      <c r="A749" s="14" t="str">
        <f>VLOOKUP(B749,'Relacion codigos'!$A:$B,2,FALSE)</f>
        <v>6956</v>
      </c>
      <c r="B749" s="6" t="s">
        <v>1977</v>
      </c>
      <c r="C749" s="6" t="s">
        <v>10409</v>
      </c>
      <c r="D749" s="24">
        <v>549.24959232000003</v>
      </c>
      <c r="E749" s="6" t="s">
        <v>5889</v>
      </c>
      <c r="F749" s="6">
        <v>21</v>
      </c>
      <c r="G749" s="8">
        <f t="shared" si="11"/>
        <v>549.24959232000003</v>
      </c>
    </row>
    <row r="750" spans="1:7" x14ac:dyDescent="0.3">
      <c r="A750" s="14" t="str">
        <f>VLOOKUP(B750,'Relacion codigos'!$A:$B,2,FALSE)</f>
        <v>6508</v>
      </c>
      <c r="B750" s="6" t="s">
        <v>1975</v>
      </c>
      <c r="C750" s="6" t="s">
        <v>11935</v>
      </c>
      <c r="D750" s="24">
        <v>549.24959232000003</v>
      </c>
      <c r="E750" s="6" t="s">
        <v>5889</v>
      </c>
      <c r="F750" s="6">
        <v>21</v>
      </c>
      <c r="G750" s="8">
        <f t="shared" si="11"/>
        <v>549.24959232000003</v>
      </c>
    </row>
    <row r="751" spans="1:7" x14ac:dyDescent="0.3">
      <c r="A751" s="14" t="str">
        <f>VLOOKUP(B751,'Relacion codigos'!$A:$B,2,FALSE)</f>
        <v>6958</v>
      </c>
      <c r="B751" s="6" t="s">
        <v>1979</v>
      </c>
      <c r="C751" s="6" t="s">
        <v>13549</v>
      </c>
      <c r="D751" s="24">
        <v>876.24186624000004</v>
      </c>
      <c r="E751" s="6" t="s">
        <v>5889</v>
      </c>
      <c r="F751" s="6">
        <v>21</v>
      </c>
      <c r="G751" s="8">
        <f t="shared" si="11"/>
        <v>876.24186624000004</v>
      </c>
    </row>
    <row r="752" spans="1:7" x14ac:dyDescent="0.3">
      <c r="A752" s="14" t="str">
        <f>VLOOKUP(B752,'Relacion codigos'!$A:$B,2,FALSE)</f>
        <v>6960</v>
      </c>
      <c r="B752" s="6" t="s">
        <v>1980</v>
      </c>
      <c r="C752" s="6" t="s">
        <v>13550</v>
      </c>
      <c r="D752" s="24">
        <v>876.24186624000004</v>
      </c>
      <c r="E752" s="6" t="s">
        <v>5889</v>
      </c>
      <c r="F752" s="6">
        <v>21</v>
      </c>
      <c r="G752" s="8">
        <f t="shared" si="11"/>
        <v>876.24186624000004</v>
      </c>
    </row>
    <row r="753" spans="1:7" x14ac:dyDescent="0.3">
      <c r="A753" s="14" t="str">
        <f>VLOOKUP(B753,'Relacion codigos'!$A:$B,2,FALSE)</f>
        <v>6959</v>
      </c>
      <c r="B753" s="6" t="s">
        <v>1978</v>
      </c>
      <c r="C753" s="6" t="s">
        <v>11938</v>
      </c>
      <c r="D753" s="24">
        <v>876.24186624000004</v>
      </c>
      <c r="E753" s="6" t="s">
        <v>5889</v>
      </c>
      <c r="F753" s="6">
        <v>21</v>
      </c>
      <c r="G753" s="8">
        <f t="shared" si="11"/>
        <v>876.24186624000004</v>
      </c>
    </row>
    <row r="754" spans="1:7" x14ac:dyDescent="0.3">
      <c r="A754" s="14" t="str">
        <f>VLOOKUP(B754,'Relacion codigos'!$A:$B,2,FALSE)</f>
        <v>6965</v>
      </c>
      <c r="B754" s="6" t="s">
        <v>1974</v>
      </c>
      <c r="C754" s="6" t="s">
        <v>13551</v>
      </c>
      <c r="D754" s="24">
        <v>876.24186624000004</v>
      </c>
      <c r="E754" s="6" t="s">
        <v>5889</v>
      </c>
      <c r="F754" s="6">
        <v>21</v>
      </c>
      <c r="G754" s="8">
        <f t="shared" si="11"/>
        <v>876.24186624000004</v>
      </c>
    </row>
    <row r="755" spans="1:7" x14ac:dyDescent="0.3">
      <c r="A755" s="14" t="e">
        <f>VLOOKUP(B755,'Relacion codigos'!$A:$B,2,FALSE)</f>
        <v>#N/A</v>
      </c>
      <c r="B755" s="6" t="s">
        <v>11833</v>
      </c>
      <c r="C755" s="6" t="s">
        <v>13281</v>
      </c>
      <c r="D755" s="24">
        <v>307.50670079999998</v>
      </c>
      <c r="E755" s="6" t="s">
        <v>5889</v>
      </c>
      <c r="F755" s="6">
        <v>21</v>
      </c>
      <c r="G755" s="8">
        <f t="shared" si="11"/>
        <v>307.50670079999998</v>
      </c>
    </row>
    <row r="756" spans="1:7" x14ac:dyDescent="0.3">
      <c r="A756" s="14" t="e">
        <f>VLOOKUP(B756,'Relacion codigos'!$A:$B,2,FALSE)</f>
        <v>#N/A</v>
      </c>
      <c r="B756" s="6" t="s">
        <v>11972</v>
      </c>
      <c r="C756" s="6" t="s">
        <v>13282</v>
      </c>
      <c r="D756" s="24">
        <v>307.50670079999998</v>
      </c>
      <c r="E756" s="6" t="s">
        <v>5889</v>
      </c>
      <c r="F756" s="6">
        <v>21</v>
      </c>
      <c r="G756" s="8">
        <f t="shared" si="11"/>
        <v>307.50670079999998</v>
      </c>
    </row>
    <row r="757" spans="1:7" x14ac:dyDescent="0.3">
      <c r="A757" s="14" t="e">
        <f>VLOOKUP(B757,'Relacion codigos'!$A:$B,2,FALSE)</f>
        <v>#N/A</v>
      </c>
      <c r="B757" s="6" t="s">
        <v>11834</v>
      </c>
      <c r="C757" s="6" t="s">
        <v>13283</v>
      </c>
      <c r="D757" s="24">
        <v>307.50670079999998</v>
      </c>
      <c r="E757" s="6" t="s">
        <v>5889</v>
      </c>
      <c r="F757" s="6">
        <v>21</v>
      </c>
      <c r="G757" s="8">
        <f t="shared" si="11"/>
        <v>307.50670079999998</v>
      </c>
    </row>
    <row r="758" spans="1:7" x14ac:dyDescent="0.3">
      <c r="A758" s="14" t="str">
        <f>VLOOKUP(B758,'Relacion codigos'!$A:$B,2,FALSE)</f>
        <v>679</v>
      </c>
      <c r="B758" s="6" t="s">
        <v>1981</v>
      </c>
      <c r="C758" s="6" t="s">
        <v>13284</v>
      </c>
      <c r="D758" s="24">
        <v>307.50670079999998</v>
      </c>
      <c r="E758" s="6" t="s">
        <v>5889</v>
      </c>
      <c r="F758" s="6">
        <v>21</v>
      </c>
      <c r="G758" s="8">
        <f t="shared" si="11"/>
        <v>307.50670079999998</v>
      </c>
    </row>
    <row r="759" spans="1:7" x14ac:dyDescent="0.3">
      <c r="A759" s="14" t="e">
        <f>VLOOKUP(B759,'Relacion codigos'!$A:$B,2,FALSE)</f>
        <v>#N/A</v>
      </c>
      <c r="B759" s="6" t="s">
        <v>11835</v>
      </c>
      <c r="C759" s="6" t="s">
        <v>13285</v>
      </c>
      <c r="D759" s="24">
        <v>307.50670079999998</v>
      </c>
      <c r="E759" s="6" t="s">
        <v>5889</v>
      </c>
      <c r="F759" s="6">
        <v>21</v>
      </c>
      <c r="G759" s="8">
        <f t="shared" si="11"/>
        <v>307.50670079999998</v>
      </c>
    </row>
    <row r="760" spans="1:7" x14ac:dyDescent="0.3">
      <c r="A760" s="14" t="str">
        <f>VLOOKUP(B760,'Relacion codigos'!$A:$B,2,FALSE)</f>
        <v>8556</v>
      </c>
      <c r="B760" s="6" t="s">
        <v>1941</v>
      </c>
      <c r="C760" s="6" t="s">
        <v>11339</v>
      </c>
      <c r="D760" s="24">
        <v>277.04181060000002</v>
      </c>
      <c r="E760" s="6" t="s">
        <v>5889</v>
      </c>
      <c r="F760" s="6">
        <v>21</v>
      </c>
      <c r="G760" s="8">
        <f t="shared" si="11"/>
        <v>277.04181060000002</v>
      </c>
    </row>
    <row r="761" spans="1:7" x14ac:dyDescent="0.3">
      <c r="A761" s="14" t="str">
        <f>VLOOKUP(B761,'Relacion codigos'!$A:$B,2,FALSE)</f>
        <v>5082</v>
      </c>
      <c r="B761" s="6" t="s">
        <v>1984</v>
      </c>
      <c r="C761" s="6" t="s">
        <v>13286</v>
      </c>
      <c r="D761" s="24">
        <v>375.09728256</v>
      </c>
      <c r="E761" s="6" t="s">
        <v>5889</v>
      </c>
      <c r="F761" s="6">
        <v>21</v>
      </c>
      <c r="G761" s="8">
        <f t="shared" si="11"/>
        <v>375.09728256</v>
      </c>
    </row>
    <row r="762" spans="1:7" x14ac:dyDescent="0.3">
      <c r="A762" s="14" t="str">
        <f>VLOOKUP(B762,'Relacion codigos'!$A:$B,2,FALSE)</f>
        <v>8553</v>
      </c>
      <c r="B762" s="6" t="s">
        <v>1942</v>
      </c>
      <c r="C762" s="6" t="s">
        <v>11340</v>
      </c>
      <c r="D762" s="24">
        <v>277.04181060000002</v>
      </c>
      <c r="E762" s="6" t="s">
        <v>5889</v>
      </c>
      <c r="F762" s="6">
        <v>21</v>
      </c>
      <c r="G762" s="8">
        <f t="shared" si="11"/>
        <v>277.04181060000002</v>
      </c>
    </row>
    <row r="763" spans="1:7" x14ac:dyDescent="0.3">
      <c r="A763" s="14" t="str">
        <f>VLOOKUP(B763,'Relacion codigos'!$A:$B,2,FALSE)</f>
        <v>8551</v>
      </c>
      <c r="B763" s="6" t="s">
        <v>1945</v>
      </c>
      <c r="C763" s="6" t="s">
        <v>11341</v>
      </c>
      <c r="D763" s="24">
        <v>277.04181060000002</v>
      </c>
      <c r="E763" s="6" t="s">
        <v>5889</v>
      </c>
      <c r="F763" s="6">
        <v>21</v>
      </c>
      <c r="G763" s="8">
        <f t="shared" si="11"/>
        <v>277.04181060000002</v>
      </c>
    </row>
    <row r="764" spans="1:7" x14ac:dyDescent="0.3">
      <c r="A764" s="14" t="str">
        <f>VLOOKUP(B764,'Relacion codigos'!$A:$B,2,FALSE)</f>
        <v>5086</v>
      </c>
      <c r="B764" s="6" t="s">
        <v>1992</v>
      </c>
      <c r="C764" s="6" t="s">
        <v>13287</v>
      </c>
      <c r="D764" s="24">
        <v>375.09728256</v>
      </c>
      <c r="E764" s="6" t="s">
        <v>5889</v>
      </c>
      <c r="F764" s="6">
        <v>21</v>
      </c>
      <c r="G764" s="8">
        <f t="shared" si="11"/>
        <v>375.09728256</v>
      </c>
    </row>
    <row r="765" spans="1:7" x14ac:dyDescent="0.3">
      <c r="A765" s="14" t="str">
        <f>VLOOKUP(B765,'Relacion codigos'!$A:$B,2,FALSE)</f>
        <v>5084</v>
      </c>
      <c r="B765" s="6" t="s">
        <v>1982</v>
      </c>
      <c r="C765" s="6" t="s">
        <v>12383</v>
      </c>
      <c r="D765" s="24">
        <v>375.09728256</v>
      </c>
      <c r="E765" s="6" t="s">
        <v>5889</v>
      </c>
      <c r="F765" s="6">
        <v>21</v>
      </c>
      <c r="G765" s="8">
        <f t="shared" si="11"/>
        <v>375.09728256</v>
      </c>
    </row>
    <row r="766" spans="1:7" x14ac:dyDescent="0.3">
      <c r="A766" s="14" t="str">
        <f>VLOOKUP(B766,'Relacion codigos'!$A:$B,2,FALSE)</f>
        <v>6002</v>
      </c>
      <c r="B766" s="6" t="s">
        <v>2091</v>
      </c>
      <c r="C766" s="6" t="s">
        <v>11181</v>
      </c>
      <c r="D766" s="24">
        <v>368.91131031256498</v>
      </c>
      <c r="E766" s="6" t="s">
        <v>5889</v>
      </c>
      <c r="F766" s="6">
        <v>21</v>
      </c>
      <c r="G766" s="8">
        <f t="shared" si="11"/>
        <v>368.91131031256498</v>
      </c>
    </row>
    <row r="767" spans="1:7" x14ac:dyDescent="0.3">
      <c r="A767" s="14" t="e">
        <f>VLOOKUP(B767,'Relacion codigos'!$A:$B,2,FALSE)</f>
        <v>#N/A</v>
      </c>
      <c r="B767" s="6" t="s">
        <v>9319</v>
      </c>
      <c r="C767" s="6" t="s">
        <v>11183</v>
      </c>
      <c r="D767" s="24">
        <v>241.08108710400001</v>
      </c>
      <c r="E767" s="6" t="s">
        <v>5889</v>
      </c>
      <c r="F767" s="6">
        <v>21</v>
      </c>
      <c r="G767" s="8">
        <f t="shared" si="11"/>
        <v>241.08108710400001</v>
      </c>
    </row>
    <row r="768" spans="1:7" x14ac:dyDescent="0.3">
      <c r="A768" s="14" t="str">
        <f>VLOOKUP(B768,'Relacion codigos'!$A:$B,2,FALSE)</f>
        <v>6001</v>
      </c>
      <c r="B768" s="6" t="s">
        <v>2092</v>
      </c>
      <c r="C768" s="6" t="s">
        <v>11184</v>
      </c>
      <c r="D768" s="24">
        <v>368.91131031256498</v>
      </c>
      <c r="E768" s="6" t="s">
        <v>5889</v>
      </c>
      <c r="F768" s="6">
        <v>21</v>
      </c>
      <c r="G768" s="8">
        <f t="shared" si="11"/>
        <v>368.91131031256498</v>
      </c>
    </row>
    <row r="769" spans="1:7" x14ac:dyDescent="0.3">
      <c r="A769" s="14" t="e">
        <f>VLOOKUP(B769,'Relacion codigos'!$A:$B,2,FALSE)</f>
        <v>#N/A</v>
      </c>
      <c r="B769" s="6" t="s">
        <v>9320</v>
      </c>
      <c r="C769" s="6" t="s">
        <v>11186</v>
      </c>
      <c r="D769" s="24">
        <v>241.08108710400001</v>
      </c>
      <c r="E769" s="6" t="s">
        <v>5889</v>
      </c>
      <c r="F769" s="6">
        <v>21</v>
      </c>
      <c r="G769" s="8">
        <f t="shared" si="11"/>
        <v>241.08108710400001</v>
      </c>
    </row>
    <row r="770" spans="1:7" x14ac:dyDescent="0.3">
      <c r="A770" s="14" t="str">
        <f>VLOOKUP(B770,'Relacion codigos'!$A:$B,2,FALSE)</f>
        <v>5085</v>
      </c>
      <c r="B770" s="6" t="s">
        <v>1986</v>
      </c>
      <c r="C770" s="6" t="s">
        <v>13288</v>
      </c>
      <c r="D770" s="24">
        <v>375.09728256</v>
      </c>
      <c r="E770" s="6" t="s">
        <v>5889</v>
      </c>
      <c r="F770" s="6">
        <v>21</v>
      </c>
      <c r="G770" s="8">
        <f t="shared" ref="G770:G833" si="12">IF(E770="Dolares",D770*$G$1,D770)</f>
        <v>375.09728256</v>
      </c>
    </row>
    <row r="771" spans="1:7" x14ac:dyDescent="0.3">
      <c r="A771" s="14" t="str">
        <f>VLOOKUP(B771,'Relacion codigos'!$A:$B,2,FALSE)</f>
        <v>5999</v>
      </c>
      <c r="B771" s="6" t="s">
        <v>2093</v>
      </c>
      <c r="C771" s="6" t="s">
        <v>11187</v>
      </c>
      <c r="D771" s="24">
        <v>368.91131031256498</v>
      </c>
      <c r="E771" s="6" t="s">
        <v>5889</v>
      </c>
      <c r="F771" s="6">
        <v>21</v>
      </c>
      <c r="G771" s="8">
        <f t="shared" si="12"/>
        <v>368.91131031256498</v>
      </c>
    </row>
    <row r="772" spans="1:7" x14ac:dyDescent="0.3">
      <c r="A772" s="14" t="e">
        <f>VLOOKUP(B772,'Relacion codigos'!$A:$B,2,FALSE)</f>
        <v>#N/A</v>
      </c>
      <c r="B772" s="6" t="s">
        <v>9624</v>
      </c>
      <c r="C772" s="6" t="s">
        <v>11188</v>
      </c>
      <c r="D772" s="24">
        <v>241.08108710400001</v>
      </c>
      <c r="E772" s="6" t="s">
        <v>5889</v>
      </c>
      <c r="F772" s="6">
        <v>21</v>
      </c>
      <c r="G772" s="8">
        <f t="shared" si="12"/>
        <v>241.08108710400001</v>
      </c>
    </row>
    <row r="773" spans="1:7" x14ac:dyDescent="0.3">
      <c r="A773" s="14" t="str">
        <f>VLOOKUP(B773,'Relacion codigos'!$A:$B,2,FALSE)</f>
        <v>8552</v>
      </c>
      <c r="B773" s="6" t="s">
        <v>1943</v>
      </c>
      <c r="C773" s="6" t="s">
        <v>11342</v>
      </c>
      <c r="D773" s="24">
        <v>277.04181060000002</v>
      </c>
      <c r="E773" s="6" t="s">
        <v>5889</v>
      </c>
      <c r="F773" s="6">
        <v>21</v>
      </c>
      <c r="G773" s="8">
        <f t="shared" si="12"/>
        <v>277.04181060000002</v>
      </c>
    </row>
    <row r="774" spans="1:7" x14ac:dyDescent="0.3">
      <c r="A774" s="14" t="str">
        <f>VLOOKUP(B774,'Relacion codigos'!$A:$B,2,FALSE)</f>
        <v>5083</v>
      </c>
      <c r="B774" s="6" t="s">
        <v>1988</v>
      </c>
      <c r="C774" s="6" t="s">
        <v>12384</v>
      </c>
      <c r="D774" s="24">
        <v>375.09728256</v>
      </c>
      <c r="E774" s="6" t="s">
        <v>5889</v>
      </c>
      <c r="F774" s="6">
        <v>21</v>
      </c>
      <c r="G774" s="8">
        <f t="shared" si="12"/>
        <v>375.09728256</v>
      </c>
    </row>
    <row r="775" spans="1:7" x14ac:dyDescent="0.3">
      <c r="A775" s="14" t="str">
        <f>VLOOKUP(B775,'Relacion codigos'!$A:$B,2,FALSE)</f>
        <v>6015</v>
      </c>
      <c r="B775" s="6" t="s">
        <v>2094</v>
      </c>
      <c r="C775" s="6" t="s">
        <v>11189</v>
      </c>
      <c r="D775" s="24">
        <v>368.91131031256498</v>
      </c>
      <c r="E775" s="6" t="s">
        <v>5889</v>
      </c>
      <c r="F775" s="6">
        <v>21</v>
      </c>
      <c r="G775" s="8">
        <f t="shared" si="12"/>
        <v>368.91131031256498</v>
      </c>
    </row>
    <row r="776" spans="1:7" x14ac:dyDescent="0.3">
      <c r="A776" s="14" t="e">
        <f>VLOOKUP(B776,'Relacion codigos'!$A:$B,2,FALSE)</f>
        <v>#N/A</v>
      </c>
      <c r="B776" s="6" t="s">
        <v>9625</v>
      </c>
      <c r="C776" s="6" t="s">
        <v>11190</v>
      </c>
      <c r="D776" s="24">
        <v>241.08108710400001</v>
      </c>
      <c r="E776" s="6" t="s">
        <v>5889</v>
      </c>
      <c r="F776" s="6">
        <v>21</v>
      </c>
      <c r="G776" s="8">
        <f t="shared" si="12"/>
        <v>241.08108710400001</v>
      </c>
    </row>
    <row r="777" spans="1:7" x14ac:dyDescent="0.3">
      <c r="A777" s="14" t="str">
        <f>VLOOKUP(B777,'Relacion codigos'!$A:$B,2,FALSE)</f>
        <v>8555</v>
      </c>
      <c r="B777" s="6" t="s">
        <v>1944</v>
      </c>
      <c r="C777" s="6" t="s">
        <v>11343</v>
      </c>
      <c r="D777" s="24">
        <v>277.04181060000002</v>
      </c>
      <c r="E777" s="6" t="s">
        <v>5889</v>
      </c>
      <c r="F777" s="6">
        <v>21</v>
      </c>
      <c r="G777" s="8">
        <f t="shared" si="12"/>
        <v>277.04181060000002</v>
      </c>
    </row>
    <row r="778" spans="1:7" x14ac:dyDescent="0.3">
      <c r="A778" s="14" t="str">
        <f>VLOOKUP(B778,'Relacion codigos'!$A:$B,2,FALSE)</f>
        <v>856</v>
      </c>
      <c r="B778" s="6" t="s">
        <v>1990</v>
      </c>
      <c r="C778" s="6" t="s">
        <v>12385</v>
      </c>
      <c r="D778" s="24">
        <v>375.09728256</v>
      </c>
      <c r="E778" s="6" t="s">
        <v>5889</v>
      </c>
      <c r="F778" s="6">
        <v>21</v>
      </c>
      <c r="G778" s="8">
        <f t="shared" si="12"/>
        <v>375.09728256</v>
      </c>
    </row>
    <row r="779" spans="1:7" x14ac:dyDescent="0.3">
      <c r="A779" s="14" t="str">
        <f>VLOOKUP(B779,'Relacion codigos'!$A:$B,2,FALSE)</f>
        <v>6000</v>
      </c>
      <c r="B779" s="6" t="s">
        <v>2095</v>
      </c>
      <c r="C779" s="6" t="s">
        <v>11191</v>
      </c>
      <c r="D779" s="24">
        <v>368.91131031256498</v>
      </c>
      <c r="E779" s="6" t="s">
        <v>5889</v>
      </c>
      <c r="F779" s="6">
        <v>21</v>
      </c>
      <c r="G779" s="8">
        <f t="shared" si="12"/>
        <v>368.91131031256498</v>
      </c>
    </row>
    <row r="780" spans="1:7" x14ac:dyDescent="0.3">
      <c r="A780" s="14" t="e">
        <f>VLOOKUP(B780,'Relacion codigos'!$A:$B,2,FALSE)</f>
        <v>#N/A</v>
      </c>
      <c r="B780" s="6" t="s">
        <v>9321</v>
      </c>
      <c r="C780" s="6" t="s">
        <v>11192</v>
      </c>
      <c r="D780" s="24">
        <v>241.08108710400001</v>
      </c>
      <c r="E780" s="6" t="s">
        <v>5889</v>
      </c>
      <c r="F780" s="6">
        <v>21</v>
      </c>
      <c r="G780" s="8">
        <f t="shared" si="12"/>
        <v>241.08108710400001</v>
      </c>
    </row>
    <row r="781" spans="1:7" x14ac:dyDescent="0.3">
      <c r="A781" s="14" t="str">
        <f>VLOOKUP(B781,'Relacion codigos'!$A:$B,2,FALSE)</f>
        <v>6014</v>
      </c>
      <c r="B781" s="6" t="s">
        <v>2096</v>
      </c>
      <c r="C781" s="6" t="s">
        <v>11465</v>
      </c>
      <c r="D781" s="24">
        <v>368.91131031256498</v>
      </c>
      <c r="E781" s="6" t="s">
        <v>5889</v>
      </c>
      <c r="F781" s="6">
        <v>21</v>
      </c>
      <c r="G781" s="8">
        <f t="shared" si="12"/>
        <v>368.91131031256498</v>
      </c>
    </row>
    <row r="782" spans="1:7" x14ac:dyDescent="0.3">
      <c r="A782" s="14" t="e">
        <f>VLOOKUP(B782,'Relacion codigos'!$A:$B,2,FALSE)</f>
        <v>#N/A</v>
      </c>
      <c r="B782" s="6" t="s">
        <v>9626</v>
      </c>
      <c r="C782" s="6" t="s">
        <v>11194</v>
      </c>
      <c r="D782" s="24">
        <v>241.08108710400001</v>
      </c>
      <c r="E782" s="6" t="s">
        <v>5889</v>
      </c>
      <c r="F782" s="6">
        <v>21</v>
      </c>
      <c r="G782" s="8">
        <f t="shared" si="12"/>
        <v>241.08108710400001</v>
      </c>
    </row>
    <row r="783" spans="1:7" x14ac:dyDescent="0.3">
      <c r="A783" s="14" t="str">
        <f>VLOOKUP(B783,'Relacion codigos'!$A:$B,2,FALSE)</f>
        <v>8554</v>
      </c>
      <c r="B783" s="6" t="s">
        <v>1946</v>
      </c>
      <c r="C783" s="6" t="s">
        <v>11344</v>
      </c>
      <c r="D783" s="24">
        <v>277.04181060000002</v>
      </c>
      <c r="E783" s="6" t="s">
        <v>5889</v>
      </c>
      <c r="F783" s="6">
        <v>21</v>
      </c>
      <c r="G783" s="8">
        <f t="shared" si="12"/>
        <v>277.04181060000002</v>
      </c>
    </row>
    <row r="784" spans="1:7" x14ac:dyDescent="0.3">
      <c r="A784" s="14" t="e">
        <f>VLOOKUP(B784,'Relacion codigos'!$A:$B,2,FALSE)</f>
        <v>#N/A</v>
      </c>
      <c r="B784" s="6" t="s">
        <v>8899</v>
      </c>
      <c r="C784" s="6" t="s">
        <v>11196</v>
      </c>
      <c r="D784" s="24">
        <v>328.74693696000003</v>
      </c>
      <c r="E784" s="6" t="s">
        <v>5889</v>
      </c>
      <c r="F784" s="6">
        <v>21</v>
      </c>
      <c r="G784" s="8">
        <f t="shared" si="12"/>
        <v>328.74693696000003</v>
      </c>
    </row>
    <row r="785" spans="1:7" x14ac:dyDescent="0.3">
      <c r="A785" s="14" t="str">
        <f>VLOOKUP(B785,'Relacion codigos'!$A:$B,2,FALSE)</f>
        <v>5087</v>
      </c>
      <c r="B785" s="6" t="s">
        <v>1996</v>
      </c>
      <c r="C785" s="6" t="s">
        <v>12386</v>
      </c>
      <c r="D785" s="24">
        <v>511.49629440000001</v>
      </c>
      <c r="E785" s="6" t="s">
        <v>5889</v>
      </c>
      <c r="F785" s="6">
        <v>21</v>
      </c>
      <c r="G785" s="8">
        <f t="shared" si="12"/>
        <v>511.49629440000001</v>
      </c>
    </row>
    <row r="786" spans="1:7" x14ac:dyDescent="0.3">
      <c r="A786" s="14" t="e">
        <f>VLOOKUP(B786,'Relacion codigos'!$A:$B,2,FALSE)</f>
        <v>#N/A</v>
      </c>
      <c r="B786" s="6" t="s">
        <v>8900</v>
      </c>
      <c r="C786" s="6" t="s">
        <v>11198</v>
      </c>
      <c r="D786" s="24">
        <v>328.74693696000003</v>
      </c>
      <c r="E786" s="6" t="s">
        <v>5889</v>
      </c>
      <c r="F786" s="6">
        <v>21</v>
      </c>
      <c r="G786" s="8">
        <f t="shared" si="12"/>
        <v>328.74693696000003</v>
      </c>
    </row>
    <row r="787" spans="1:7" x14ac:dyDescent="0.3">
      <c r="A787" s="14" t="str">
        <f>VLOOKUP(B787,'Relacion codigos'!$A:$B,2,FALSE)</f>
        <v>8559</v>
      </c>
      <c r="B787" s="6" t="s">
        <v>1947</v>
      </c>
      <c r="C787" s="6" t="s">
        <v>11345</v>
      </c>
      <c r="D787" s="24">
        <v>280.78190999999998</v>
      </c>
      <c r="E787" s="6" t="s">
        <v>5889</v>
      </c>
      <c r="F787" s="6">
        <v>21</v>
      </c>
      <c r="G787" s="8">
        <f t="shared" si="12"/>
        <v>280.78190999999998</v>
      </c>
    </row>
    <row r="788" spans="1:7" x14ac:dyDescent="0.3">
      <c r="A788" s="14" t="str">
        <f>VLOOKUP(B788,'Relacion codigos'!$A:$B,2,FALSE)</f>
        <v>5090</v>
      </c>
      <c r="B788" s="6" t="s">
        <v>1998</v>
      </c>
      <c r="C788" s="6" t="s">
        <v>12387</v>
      </c>
      <c r="D788" s="24">
        <v>511.49629440000001</v>
      </c>
      <c r="E788" s="6" t="s">
        <v>5889</v>
      </c>
      <c r="F788" s="6">
        <v>21</v>
      </c>
      <c r="G788" s="8">
        <f t="shared" si="12"/>
        <v>511.49629440000001</v>
      </c>
    </row>
    <row r="789" spans="1:7" x14ac:dyDescent="0.3">
      <c r="A789" s="14" t="str">
        <f>VLOOKUP(B789,'Relacion codigos'!$A:$B,2,FALSE)</f>
        <v>5088</v>
      </c>
      <c r="B789" s="6" t="s">
        <v>2000</v>
      </c>
      <c r="C789" s="6" t="s">
        <v>12388</v>
      </c>
      <c r="D789" s="24">
        <v>511.49629440000001</v>
      </c>
      <c r="E789" s="6" t="s">
        <v>5889</v>
      </c>
      <c r="F789" s="6">
        <v>21</v>
      </c>
      <c r="G789" s="8">
        <f t="shared" si="12"/>
        <v>511.49629440000001</v>
      </c>
    </row>
    <row r="790" spans="1:7" x14ac:dyDescent="0.3">
      <c r="A790" s="14" t="e">
        <f>VLOOKUP(B790,'Relacion codigos'!$A:$B,2,FALSE)</f>
        <v>#N/A</v>
      </c>
      <c r="B790" s="6" t="s">
        <v>8902</v>
      </c>
      <c r="C790" s="6" t="s">
        <v>11200</v>
      </c>
      <c r="D790" s="24">
        <v>328.74693696000003</v>
      </c>
      <c r="E790" s="6" t="s">
        <v>5889</v>
      </c>
      <c r="F790" s="6">
        <v>21</v>
      </c>
      <c r="G790" s="8">
        <f t="shared" si="12"/>
        <v>328.74693696000003</v>
      </c>
    </row>
    <row r="791" spans="1:7" x14ac:dyDescent="0.3">
      <c r="A791" s="14" t="str">
        <f>VLOOKUP(B791,'Relacion codigos'!$A:$B,2,FALSE)</f>
        <v>8561</v>
      </c>
      <c r="B791" s="6" t="s">
        <v>1949</v>
      </c>
      <c r="C791" s="6" t="s">
        <v>11346</v>
      </c>
      <c r="D791" s="24">
        <v>280.78190999999998</v>
      </c>
      <c r="E791" s="6" t="s">
        <v>5889</v>
      </c>
      <c r="F791" s="6">
        <v>21</v>
      </c>
      <c r="G791" s="8">
        <f t="shared" si="12"/>
        <v>280.78190999999998</v>
      </c>
    </row>
    <row r="792" spans="1:7" x14ac:dyDescent="0.3">
      <c r="A792" s="14" t="str">
        <f>VLOOKUP(B792,'Relacion codigos'!$A:$B,2,FALSE)</f>
        <v>857</v>
      </c>
      <c r="B792" s="6" t="s">
        <v>2014</v>
      </c>
      <c r="C792" s="6" t="s">
        <v>12389</v>
      </c>
      <c r="D792" s="24">
        <v>511.49629440000001</v>
      </c>
      <c r="E792" s="6" t="s">
        <v>5889</v>
      </c>
      <c r="F792" s="6">
        <v>21</v>
      </c>
      <c r="G792" s="8">
        <f t="shared" si="12"/>
        <v>511.49629440000001</v>
      </c>
    </row>
    <row r="793" spans="1:7" x14ac:dyDescent="0.3">
      <c r="A793" s="14" t="e">
        <f>VLOOKUP(B793,'Relacion codigos'!$A:$B,2,FALSE)</f>
        <v>#N/A</v>
      </c>
      <c r="B793" s="6" t="s">
        <v>8903</v>
      </c>
      <c r="C793" s="6" t="s">
        <v>11202</v>
      </c>
      <c r="D793" s="24">
        <v>328.74693696000003</v>
      </c>
      <c r="E793" s="6" t="s">
        <v>5889</v>
      </c>
      <c r="F793" s="6">
        <v>21</v>
      </c>
      <c r="G793" s="8">
        <f t="shared" si="12"/>
        <v>328.74693696000003</v>
      </c>
    </row>
    <row r="794" spans="1:7" x14ac:dyDescent="0.3">
      <c r="A794" s="14" t="str">
        <f>VLOOKUP(B794,'Relacion codigos'!$A:$B,2,FALSE)</f>
        <v>8557</v>
      </c>
      <c r="B794" s="6" t="s">
        <v>1950</v>
      </c>
      <c r="C794" s="6" t="s">
        <v>11347</v>
      </c>
      <c r="D794" s="24">
        <v>280.78190999999998</v>
      </c>
      <c r="E794" s="6" t="s">
        <v>5889</v>
      </c>
      <c r="F794" s="6">
        <v>21</v>
      </c>
      <c r="G794" s="8">
        <f t="shared" si="12"/>
        <v>280.78190999999998</v>
      </c>
    </row>
    <row r="795" spans="1:7" x14ac:dyDescent="0.3">
      <c r="A795" s="14" t="str">
        <f>VLOOKUP(B795,'Relacion codigos'!$A:$B,2,FALSE)</f>
        <v>5091</v>
      </c>
      <c r="B795" s="6" t="s">
        <v>2002</v>
      </c>
      <c r="C795" s="6" t="s">
        <v>12390</v>
      </c>
      <c r="D795" s="24">
        <v>511.49629440000001</v>
      </c>
      <c r="E795" s="6" t="s">
        <v>5889</v>
      </c>
      <c r="F795" s="6">
        <v>21</v>
      </c>
      <c r="G795" s="8">
        <f t="shared" si="12"/>
        <v>511.49629440000001</v>
      </c>
    </row>
    <row r="796" spans="1:7" x14ac:dyDescent="0.3">
      <c r="A796" s="14" t="e">
        <f>VLOOKUP(B796,'Relacion codigos'!$A:$B,2,FALSE)</f>
        <v>#N/A</v>
      </c>
      <c r="B796" s="6" t="s">
        <v>8904</v>
      </c>
      <c r="C796" s="6" t="s">
        <v>11203</v>
      </c>
      <c r="D796" s="24">
        <v>328.74693696000003</v>
      </c>
      <c r="E796" s="6" t="s">
        <v>5889</v>
      </c>
      <c r="F796" s="6">
        <v>21</v>
      </c>
      <c r="G796" s="8">
        <f t="shared" si="12"/>
        <v>328.74693696000003</v>
      </c>
    </row>
    <row r="797" spans="1:7" x14ac:dyDescent="0.3">
      <c r="A797" s="14" t="str">
        <f>VLOOKUP(B797,'Relacion codigos'!$A:$B,2,FALSE)</f>
        <v>8560</v>
      </c>
      <c r="B797" s="6" t="s">
        <v>1951</v>
      </c>
      <c r="C797" s="6" t="s">
        <v>11348</v>
      </c>
      <c r="D797" s="24">
        <v>280.78190999999998</v>
      </c>
      <c r="E797" s="6" t="s">
        <v>5889</v>
      </c>
      <c r="F797" s="6">
        <v>21</v>
      </c>
      <c r="G797" s="8">
        <f t="shared" si="12"/>
        <v>280.78190999999998</v>
      </c>
    </row>
    <row r="798" spans="1:7" x14ac:dyDescent="0.3">
      <c r="A798" s="14" t="str">
        <f>VLOOKUP(B798,'Relacion codigos'!$A:$B,2,FALSE)</f>
        <v>5089</v>
      </c>
      <c r="B798" s="6" t="s">
        <v>1994</v>
      </c>
      <c r="C798" s="6" t="s">
        <v>13289</v>
      </c>
      <c r="D798" s="24">
        <v>511.49629440000001</v>
      </c>
      <c r="E798" s="6" t="s">
        <v>5889</v>
      </c>
      <c r="F798" s="6">
        <v>21</v>
      </c>
      <c r="G798" s="8">
        <f t="shared" si="12"/>
        <v>511.49629440000001</v>
      </c>
    </row>
    <row r="799" spans="1:7" x14ac:dyDescent="0.3">
      <c r="A799" s="14" t="str">
        <f>VLOOKUP(B799,'Relacion codigos'!$A:$B,2,FALSE)</f>
        <v>6008</v>
      </c>
      <c r="B799" s="6" t="s">
        <v>2106</v>
      </c>
      <c r="C799" s="6" t="s">
        <v>11204</v>
      </c>
      <c r="D799" s="24">
        <v>507.83506053560302</v>
      </c>
      <c r="E799" s="6" t="s">
        <v>5889</v>
      </c>
      <c r="F799" s="6">
        <v>21</v>
      </c>
      <c r="G799" s="8">
        <f t="shared" si="12"/>
        <v>507.83506053560302</v>
      </c>
    </row>
    <row r="800" spans="1:7" x14ac:dyDescent="0.3">
      <c r="A800" s="14" t="str">
        <f>VLOOKUP(B800,'Relacion codigos'!$A:$B,2,FALSE)</f>
        <v>8580</v>
      </c>
      <c r="B800" s="6" t="s">
        <v>1952</v>
      </c>
      <c r="C800" s="6" t="s">
        <v>11349</v>
      </c>
      <c r="D800" s="24">
        <v>280.78190999999998</v>
      </c>
      <c r="E800" s="6" t="s">
        <v>5889</v>
      </c>
      <c r="F800" s="6">
        <v>21</v>
      </c>
      <c r="G800" s="8">
        <f t="shared" si="12"/>
        <v>280.78190999999998</v>
      </c>
    </row>
    <row r="801" spans="1:7" x14ac:dyDescent="0.3">
      <c r="A801" s="14" t="str">
        <f>VLOOKUP(B801,'Relacion codigos'!$A:$B,2,FALSE)</f>
        <v>635</v>
      </c>
      <c r="B801" s="6" t="s">
        <v>2183</v>
      </c>
      <c r="C801" s="6" t="s">
        <v>11350</v>
      </c>
      <c r="D801" s="24">
        <v>280.78190999999998</v>
      </c>
      <c r="E801" s="6" t="s">
        <v>5889</v>
      </c>
      <c r="F801" s="6">
        <v>21</v>
      </c>
      <c r="G801" s="8">
        <f t="shared" si="12"/>
        <v>280.78190999999998</v>
      </c>
    </row>
    <row r="802" spans="1:7" x14ac:dyDescent="0.3">
      <c r="A802" s="14" t="str">
        <f>VLOOKUP(B802,'Relacion codigos'!$A:$B,2,FALSE)</f>
        <v>6005</v>
      </c>
      <c r="B802" s="6" t="s">
        <v>2107</v>
      </c>
      <c r="C802" s="6" t="s">
        <v>11205</v>
      </c>
      <c r="D802" s="24">
        <v>507.83506053560302</v>
      </c>
      <c r="E802" s="6" t="s">
        <v>5889</v>
      </c>
      <c r="F802" s="6">
        <v>21</v>
      </c>
      <c r="G802" s="8">
        <f t="shared" si="12"/>
        <v>507.83506053560302</v>
      </c>
    </row>
    <row r="803" spans="1:7" x14ac:dyDescent="0.3">
      <c r="A803" s="14" t="str">
        <f>VLOOKUP(B803,'Relacion codigos'!$A:$B,2,FALSE)</f>
        <v>6003</v>
      </c>
      <c r="B803" s="6" t="s">
        <v>2108</v>
      </c>
      <c r="C803" s="6" t="s">
        <v>11206</v>
      </c>
      <c r="D803" s="24">
        <v>507.83506053560302</v>
      </c>
      <c r="E803" s="6" t="s">
        <v>5889</v>
      </c>
      <c r="F803" s="6">
        <v>21</v>
      </c>
      <c r="G803" s="8">
        <f t="shared" si="12"/>
        <v>507.83506053560302</v>
      </c>
    </row>
    <row r="804" spans="1:7" x14ac:dyDescent="0.3">
      <c r="A804" s="14" t="e">
        <f>VLOOKUP(B804,'Relacion codigos'!$A:$B,2,FALSE)</f>
        <v>#N/A</v>
      </c>
      <c r="B804" s="6" t="s">
        <v>8901</v>
      </c>
      <c r="C804" s="6" t="s">
        <v>11207</v>
      </c>
      <c r="D804" s="24">
        <v>328.74693696000003</v>
      </c>
      <c r="E804" s="6" t="s">
        <v>5889</v>
      </c>
      <c r="F804" s="6">
        <v>21</v>
      </c>
      <c r="G804" s="8">
        <f t="shared" si="12"/>
        <v>328.74693696000003</v>
      </c>
    </row>
    <row r="805" spans="1:7" x14ac:dyDescent="0.3">
      <c r="A805" s="14" t="str">
        <f>VLOOKUP(B805,'Relacion codigos'!$A:$B,2,FALSE)</f>
        <v>8558</v>
      </c>
      <c r="B805" s="6" t="s">
        <v>1948</v>
      </c>
      <c r="C805" s="6" t="s">
        <v>11351</v>
      </c>
      <c r="D805" s="24">
        <v>280.78190999999998</v>
      </c>
      <c r="E805" s="6" t="s">
        <v>5889</v>
      </c>
      <c r="F805" s="6">
        <v>21</v>
      </c>
      <c r="G805" s="8">
        <f t="shared" si="12"/>
        <v>280.78190999999998</v>
      </c>
    </row>
    <row r="806" spans="1:7" x14ac:dyDescent="0.3">
      <c r="A806" s="14" t="str">
        <f>VLOOKUP(B806,'Relacion codigos'!$A:$B,2,FALSE)</f>
        <v>6006</v>
      </c>
      <c r="B806" s="6" t="s">
        <v>2109</v>
      </c>
      <c r="C806" s="6" t="s">
        <v>11208</v>
      </c>
      <c r="D806" s="24">
        <v>507.83506053560302</v>
      </c>
      <c r="E806" s="6" t="s">
        <v>5889</v>
      </c>
      <c r="F806" s="6">
        <v>21</v>
      </c>
      <c r="G806" s="8">
        <f t="shared" si="12"/>
        <v>507.83506053560302</v>
      </c>
    </row>
    <row r="807" spans="1:7" x14ac:dyDescent="0.3">
      <c r="A807" s="14" t="str">
        <f>VLOOKUP(B807,'Relacion codigos'!$A:$B,2,FALSE)</f>
        <v>6004</v>
      </c>
      <c r="B807" s="6" t="s">
        <v>2110</v>
      </c>
      <c r="C807" s="6" t="s">
        <v>11210</v>
      </c>
      <c r="D807" s="24">
        <v>507.83506053560302</v>
      </c>
      <c r="E807" s="6" t="s">
        <v>5889</v>
      </c>
      <c r="F807" s="6">
        <v>21</v>
      </c>
      <c r="G807" s="8">
        <f t="shared" si="12"/>
        <v>507.83506053560302</v>
      </c>
    </row>
    <row r="808" spans="1:7" x14ac:dyDescent="0.3">
      <c r="A808" s="14" t="str">
        <f>VLOOKUP(B808,'Relacion codigos'!$A:$B,2,FALSE)</f>
        <v>6007</v>
      </c>
      <c r="B808" s="6" t="s">
        <v>2111</v>
      </c>
      <c r="C808" s="6" t="s">
        <v>11211</v>
      </c>
      <c r="D808" s="24">
        <v>507.83506053560302</v>
      </c>
      <c r="E808" s="6" t="s">
        <v>5889</v>
      </c>
      <c r="F808" s="6">
        <v>21</v>
      </c>
      <c r="G808" s="8">
        <f t="shared" si="12"/>
        <v>507.83506053560302</v>
      </c>
    </row>
    <row r="809" spans="1:7" x14ac:dyDescent="0.3">
      <c r="A809" s="14" t="str">
        <f>VLOOKUP(B809,'Relacion codigos'!$A:$B,2,FALSE)</f>
        <v>5109</v>
      </c>
      <c r="B809" s="6" t="s">
        <v>2015</v>
      </c>
      <c r="C809" s="6" t="s">
        <v>13290</v>
      </c>
      <c r="D809" s="24">
        <v>3137.1772723200002</v>
      </c>
      <c r="E809" s="6" t="s">
        <v>5889</v>
      </c>
      <c r="F809" s="6">
        <v>21</v>
      </c>
      <c r="G809" s="8">
        <f t="shared" si="12"/>
        <v>3137.1772723200002</v>
      </c>
    </row>
    <row r="810" spans="1:7" x14ac:dyDescent="0.3">
      <c r="A810" s="14" t="str">
        <f>VLOOKUP(B810,'Relacion codigos'!$A:$B,2,FALSE)</f>
        <v>5107</v>
      </c>
      <c r="B810" s="6" t="s">
        <v>2016</v>
      </c>
      <c r="C810" s="6" t="s">
        <v>12888</v>
      </c>
      <c r="D810" s="24">
        <v>3137.1772723200002</v>
      </c>
      <c r="E810" s="6" t="s">
        <v>5889</v>
      </c>
      <c r="F810" s="6">
        <v>21</v>
      </c>
      <c r="G810" s="8">
        <f t="shared" si="12"/>
        <v>3137.1772723200002</v>
      </c>
    </row>
    <row r="811" spans="1:7" x14ac:dyDescent="0.3">
      <c r="A811" s="14" t="str">
        <f>VLOOKUP(B811,'Relacion codigos'!$A:$B,2,FALSE)</f>
        <v>5110</v>
      </c>
      <c r="B811" s="6" t="s">
        <v>2017</v>
      </c>
      <c r="C811" s="6" t="s">
        <v>12889</v>
      </c>
      <c r="D811" s="24">
        <v>3137.1772723200002</v>
      </c>
      <c r="E811" s="6" t="s">
        <v>5889</v>
      </c>
      <c r="F811" s="6">
        <v>21</v>
      </c>
      <c r="G811" s="8">
        <f t="shared" si="12"/>
        <v>3137.1772723200002</v>
      </c>
    </row>
    <row r="812" spans="1:7" x14ac:dyDescent="0.3">
      <c r="A812" s="14" t="str">
        <f>VLOOKUP(B812,'Relacion codigos'!$A:$B,2,FALSE)</f>
        <v>5108</v>
      </c>
      <c r="B812" s="6" t="s">
        <v>2018</v>
      </c>
      <c r="C812" s="6" t="s">
        <v>12903</v>
      </c>
      <c r="D812" s="24">
        <v>3137.1772723200002</v>
      </c>
      <c r="E812" s="6" t="s">
        <v>5889</v>
      </c>
      <c r="F812" s="6">
        <v>21</v>
      </c>
      <c r="G812" s="8">
        <f t="shared" si="12"/>
        <v>3137.1772723200002</v>
      </c>
    </row>
    <row r="813" spans="1:7" x14ac:dyDescent="0.3">
      <c r="A813" s="14" t="str">
        <f>VLOOKUP(B813,'Relacion codigos'!$A:$B,2,FALSE)</f>
        <v>5111</v>
      </c>
      <c r="B813" s="6" t="s">
        <v>2020</v>
      </c>
      <c r="C813" s="6" t="s">
        <v>12904</v>
      </c>
      <c r="D813" s="24">
        <v>3137.1772723200002</v>
      </c>
      <c r="E813" s="6" t="s">
        <v>5889</v>
      </c>
      <c r="F813" s="6">
        <v>21</v>
      </c>
      <c r="G813" s="8">
        <f t="shared" si="12"/>
        <v>3137.1772723200002</v>
      </c>
    </row>
    <row r="814" spans="1:7" x14ac:dyDescent="0.3">
      <c r="A814" s="14" t="str">
        <f>VLOOKUP(B814,'Relacion codigos'!$A:$B,2,FALSE)</f>
        <v>2490</v>
      </c>
      <c r="B814" s="6" t="s">
        <v>2021</v>
      </c>
      <c r="C814" s="6" t="s">
        <v>13291</v>
      </c>
      <c r="D814" s="24">
        <v>3582.30083328</v>
      </c>
      <c r="E814" s="6" t="s">
        <v>5889</v>
      </c>
      <c r="F814" s="6">
        <v>21</v>
      </c>
      <c r="G814" s="8">
        <f t="shared" si="12"/>
        <v>3582.30083328</v>
      </c>
    </row>
    <row r="815" spans="1:7" x14ac:dyDescent="0.3">
      <c r="A815" s="14" t="str">
        <f>VLOOKUP(B815,'Relacion codigos'!$A:$B,2,FALSE)</f>
        <v>6063</v>
      </c>
      <c r="B815" s="6" t="s">
        <v>2112</v>
      </c>
      <c r="C815" s="6" t="s">
        <v>11213</v>
      </c>
      <c r="D815" s="24">
        <v>3261.0426502251998</v>
      </c>
      <c r="E815" s="6" t="s">
        <v>5889</v>
      </c>
      <c r="F815" s="6">
        <v>21</v>
      </c>
      <c r="G815" s="8">
        <f t="shared" si="12"/>
        <v>3261.0426502251998</v>
      </c>
    </row>
    <row r="816" spans="1:7" x14ac:dyDescent="0.3">
      <c r="A816" s="14" t="str">
        <f>VLOOKUP(B816,'Relacion codigos'!$A:$B,2,FALSE)</f>
        <v>6064</v>
      </c>
      <c r="B816" s="6" t="s">
        <v>2113</v>
      </c>
      <c r="C816" s="6" t="s">
        <v>11214</v>
      </c>
      <c r="D816" s="24">
        <v>3261.0426502251998</v>
      </c>
      <c r="E816" s="6" t="s">
        <v>5889</v>
      </c>
      <c r="F816" s="6">
        <v>21</v>
      </c>
      <c r="G816" s="8">
        <f t="shared" si="12"/>
        <v>3261.0426502251998</v>
      </c>
    </row>
    <row r="817" spans="1:7" x14ac:dyDescent="0.3">
      <c r="A817" s="14" t="str">
        <f>VLOOKUP(B817,'Relacion codigos'!$A:$B,2,FALSE)</f>
        <v>1296</v>
      </c>
      <c r="B817" s="6" t="s">
        <v>2019</v>
      </c>
      <c r="C817" s="6" t="s">
        <v>13292</v>
      </c>
      <c r="D817" s="24">
        <v>3137.1772723200002</v>
      </c>
      <c r="E817" s="6" t="s">
        <v>5889</v>
      </c>
      <c r="F817" s="6">
        <v>21</v>
      </c>
      <c r="G817" s="8">
        <f t="shared" si="12"/>
        <v>3137.1772723200002</v>
      </c>
    </row>
    <row r="818" spans="1:7" x14ac:dyDescent="0.3">
      <c r="A818" s="14" t="str">
        <f>VLOOKUP(B818,'Relacion codigos'!$A:$B,2,FALSE)</f>
        <v>6062</v>
      </c>
      <c r="B818" s="6" t="s">
        <v>2114</v>
      </c>
      <c r="C818" s="6" t="s">
        <v>11215</v>
      </c>
      <c r="D818" s="24">
        <v>3261.0426502251998</v>
      </c>
      <c r="E818" s="6" t="s">
        <v>5889</v>
      </c>
      <c r="F818" s="6">
        <v>21</v>
      </c>
      <c r="G818" s="8">
        <f t="shared" si="12"/>
        <v>3261.0426502251998</v>
      </c>
    </row>
    <row r="819" spans="1:7" x14ac:dyDescent="0.3">
      <c r="A819" s="14" t="str">
        <f>VLOOKUP(B819,'Relacion codigos'!$A:$B,2,FALSE)</f>
        <v>7348</v>
      </c>
      <c r="B819" s="6" t="s">
        <v>2104</v>
      </c>
      <c r="C819" s="6" t="s">
        <v>11216</v>
      </c>
      <c r="D819" s="24">
        <v>3261.0426502251998</v>
      </c>
      <c r="E819" s="6" t="s">
        <v>5889</v>
      </c>
      <c r="F819" s="6">
        <v>21</v>
      </c>
      <c r="G819" s="8">
        <f t="shared" si="12"/>
        <v>3261.0426502251998</v>
      </c>
    </row>
    <row r="820" spans="1:7" x14ac:dyDescent="0.3">
      <c r="A820" s="14" t="str">
        <f>VLOOKUP(B820,'Relacion codigos'!$A:$B,2,FALSE)</f>
        <v>4012</v>
      </c>
      <c r="B820" s="6" t="s">
        <v>2022</v>
      </c>
      <c r="C820" s="6" t="s">
        <v>13293</v>
      </c>
      <c r="D820" s="24">
        <v>4812.9365606399997</v>
      </c>
      <c r="E820" s="6" t="s">
        <v>5889</v>
      </c>
      <c r="F820" s="6">
        <v>21</v>
      </c>
      <c r="G820" s="8">
        <f t="shared" si="12"/>
        <v>4812.9365606399997</v>
      </c>
    </row>
    <row r="821" spans="1:7" x14ac:dyDescent="0.3">
      <c r="A821" s="14" t="str">
        <f>VLOOKUP(B821,'Relacion codigos'!$A:$B,2,FALSE)</f>
        <v>5300</v>
      </c>
      <c r="B821" s="6" t="s">
        <v>2024</v>
      </c>
      <c r="C821" s="6" t="s">
        <v>13294</v>
      </c>
      <c r="D821" s="24">
        <v>4812.9365606399997</v>
      </c>
      <c r="E821" s="6" t="s">
        <v>5889</v>
      </c>
      <c r="F821" s="6">
        <v>21</v>
      </c>
      <c r="G821" s="8">
        <f t="shared" si="12"/>
        <v>4812.9365606399997</v>
      </c>
    </row>
    <row r="822" spans="1:7" x14ac:dyDescent="0.3">
      <c r="A822" s="14" t="str">
        <f>VLOOKUP(B822,'Relacion codigos'!$A:$B,2,FALSE)</f>
        <v>5112</v>
      </c>
      <c r="B822" s="6" t="s">
        <v>2025</v>
      </c>
      <c r="C822" s="6" t="s">
        <v>13295</v>
      </c>
      <c r="D822" s="24">
        <v>4812.9365606399997</v>
      </c>
      <c r="E822" s="6" t="s">
        <v>5889</v>
      </c>
      <c r="F822" s="6">
        <v>21</v>
      </c>
      <c r="G822" s="8">
        <f t="shared" si="12"/>
        <v>4812.9365606399997</v>
      </c>
    </row>
    <row r="823" spans="1:7" x14ac:dyDescent="0.3">
      <c r="A823" s="14" t="str">
        <f>VLOOKUP(B823,'Relacion codigos'!$A:$B,2,FALSE)</f>
        <v>5330</v>
      </c>
      <c r="B823" s="6" t="s">
        <v>2023</v>
      </c>
      <c r="C823" s="6" t="s">
        <v>13296</v>
      </c>
      <c r="D823" s="24">
        <v>4812.9365606399997</v>
      </c>
      <c r="E823" s="6" t="s">
        <v>5889</v>
      </c>
      <c r="F823" s="6">
        <v>21</v>
      </c>
      <c r="G823" s="8">
        <f t="shared" si="12"/>
        <v>4812.9365606399997</v>
      </c>
    </row>
    <row r="824" spans="1:7" x14ac:dyDescent="0.3">
      <c r="A824" s="14" t="str">
        <f>VLOOKUP(B824,'Relacion codigos'!$A:$B,2,FALSE)</f>
        <v>6066</v>
      </c>
      <c r="B824" s="6" t="s">
        <v>2115</v>
      </c>
      <c r="C824" s="6" t="s">
        <v>13297</v>
      </c>
      <c r="D824" s="24">
        <v>4812.9365606399997</v>
      </c>
      <c r="E824" s="6" t="s">
        <v>5889</v>
      </c>
      <c r="F824" s="6">
        <v>21</v>
      </c>
      <c r="G824" s="8">
        <f t="shared" si="12"/>
        <v>4812.9365606399997</v>
      </c>
    </row>
    <row r="825" spans="1:7" x14ac:dyDescent="0.3">
      <c r="A825" s="14" t="str">
        <f>VLOOKUP(B825,'Relacion codigos'!$A:$B,2,FALSE)</f>
        <v>6065</v>
      </c>
      <c r="B825" s="6" t="s">
        <v>2116</v>
      </c>
      <c r="C825" s="6" t="s">
        <v>11217</v>
      </c>
      <c r="D825" s="24">
        <v>5273.6116370477903</v>
      </c>
      <c r="E825" s="6" t="s">
        <v>5889</v>
      </c>
      <c r="F825" s="6">
        <v>21</v>
      </c>
      <c r="G825" s="8">
        <f t="shared" si="12"/>
        <v>5273.6116370477903</v>
      </c>
    </row>
    <row r="826" spans="1:7" x14ac:dyDescent="0.3">
      <c r="A826" s="14" t="str">
        <f>VLOOKUP(B826,'Relacion codigos'!$A:$B,2,FALSE)</f>
        <v>5094</v>
      </c>
      <c r="B826" s="6" t="s">
        <v>2026</v>
      </c>
      <c r="C826" s="6" t="s">
        <v>13298</v>
      </c>
      <c r="D826" s="24">
        <v>842.14211327999999</v>
      </c>
      <c r="E826" s="6" t="s">
        <v>5889</v>
      </c>
      <c r="F826" s="6">
        <v>21</v>
      </c>
      <c r="G826" s="8">
        <f t="shared" si="12"/>
        <v>842.14211327999999</v>
      </c>
    </row>
    <row r="827" spans="1:7" x14ac:dyDescent="0.3">
      <c r="A827" s="14" t="e">
        <f>VLOOKUP(B827,'Relacion codigos'!$A:$B,2,FALSE)</f>
        <v>#N/A</v>
      </c>
      <c r="B827" s="6" t="s">
        <v>8905</v>
      </c>
      <c r="C827" s="6" t="s">
        <v>11219</v>
      </c>
      <c r="D827" s="24">
        <v>488.73711294719999</v>
      </c>
      <c r="E827" s="6" t="s">
        <v>5889</v>
      </c>
      <c r="F827" s="6">
        <v>21</v>
      </c>
      <c r="G827" s="8">
        <f t="shared" si="12"/>
        <v>488.73711294719999</v>
      </c>
    </row>
    <row r="828" spans="1:7" x14ac:dyDescent="0.3">
      <c r="A828" s="14" t="str">
        <f>VLOOKUP(B828,'Relacion codigos'!$A:$B,2,FALSE)</f>
        <v>8567</v>
      </c>
      <c r="B828" s="6" t="s">
        <v>1953</v>
      </c>
      <c r="C828" s="6" t="s">
        <v>11352</v>
      </c>
      <c r="D828" s="24">
        <v>475.99164000000002</v>
      </c>
      <c r="E828" s="6" t="s">
        <v>5889</v>
      </c>
      <c r="F828" s="6">
        <v>21</v>
      </c>
      <c r="G828" s="8">
        <f t="shared" si="12"/>
        <v>475.99164000000002</v>
      </c>
    </row>
    <row r="829" spans="1:7" x14ac:dyDescent="0.3">
      <c r="A829" s="14" t="str">
        <f>VLOOKUP(B829,'Relacion codigos'!$A:$B,2,FALSE)</f>
        <v>8564</v>
      </c>
      <c r="B829" s="6" t="s">
        <v>1954</v>
      </c>
      <c r="C829" s="6" t="s">
        <v>11353</v>
      </c>
      <c r="D829" s="24">
        <v>475.99164000000002</v>
      </c>
      <c r="E829" s="6" t="s">
        <v>5889</v>
      </c>
      <c r="F829" s="6">
        <v>21</v>
      </c>
      <c r="G829" s="8">
        <f t="shared" si="12"/>
        <v>475.99164000000002</v>
      </c>
    </row>
    <row r="830" spans="1:7" x14ac:dyDescent="0.3">
      <c r="A830" s="14" t="e">
        <f>VLOOKUP(B830,'Relacion codigos'!$A:$B,2,FALSE)</f>
        <v>#N/A</v>
      </c>
      <c r="B830" s="6" t="s">
        <v>8906</v>
      </c>
      <c r="C830" s="6" t="s">
        <v>11221</v>
      </c>
      <c r="D830" s="24">
        <v>488.73711294719999</v>
      </c>
      <c r="E830" s="6" t="s">
        <v>5889</v>
      </c>
      <c r="F830" s="6">
        <v>21</v>
      </c>
      <c r="G830" s="8">
        <f t="shared" si="12"/>
        <v>488.73711294719999</v>
      </c>
    </row>
    <row r="831" spans="1:7" x14ac:dyDescent="0.3">
      <c r="A831" s="14" t="str">
        <f>VLOOKUP(B831,'Relacion codigos'!$A:$B,2,FALSE)</f>
        <v>8563</v>
      </c>
      <c r="B831" s="6" t="s">
        <v>1955</v>
      </c>
      <c r="C831" s="6" t="s">
        <v>11354</v>
      </c>
      <c r="D831" s="24">
        <v>475.99164000000002</v>
      </c>
      <c r="E831" s="6" t="s">
        <v>5889</v>
      </c>
      <c r="F831" s="6">
        <v>21</v>
      </c>
      <c r="G831" s="8">
        <f t="shared" si="12"/>
        <v>475.99164000000002</v>
      </c>
    </row>
    <row r="832" spans="1:7" x14ac:dyDescent="0.3">
      <c r="A832" s="14" t="str">
        <f>VLOOKUP(B832,'Relacion codigos'!$A:$B,2,FALSE)</f>
        <v>5095</v>
      </c>
      <c r="B832" s="6" t="s">
        <v>2030</v>
      </c>
      <c r="C832" s="6" t="s">
        <v>13299</v>
      </c>
      <c r="D832" s="24">
        <v>842.14211327999999</v>
      </c>
      <c r="E832" s="6" t="s">
        <v>5889</v>
      </c>
      <c r="F832" s="6">
        <v>21</v>
      </c>
      <c r="G832" s="8">
        <f t="shared" si="12"/>
        <v>842.14211327999999</v>
      </c>
    </row>
    <row r="833" spans="1:7" x14ac:dyDescent="0.3">
      <c r="A833" s="14" t="str">
        <f>VLOOKUP(B833,'Relacion codigos'!$A:$B,2,FALSE)</f>
        <v>8566</v>
      </c>
      <c r="B833" s="6" t="s">
        <v>1956</v>
      </c>
      <c r="C833" s="6" t="s">
        <v>11355</v>
      </c>
      <c r="D833" s="24">
        <v>475.99164000000002</v>
      </c>
      <c r="E833" s="6" t="s">
        <v>5889</v>
      </c>
      <c r="F833" s="6">
        <v>21</v>
      </c>
      <c r="G833" s="8">
        <f t="shared" si="12"/>
        <v>475.99164000000002</v>
      </c>
    </row>
    <row r="834" spans="1:7" x14ac:dyDescent="0.3">
      <c r="A834" s="14" t="str">
        <f>VLOOKUP(B834,'Relacion codigos'!$A:$B,2,FALSE)</f>
        <v>8562</v>
      </c>
      <c r="B834" s="6" t="s">
        <v>1957</v>
      </c>
      <c r="C834" s="6" t="s">
        <v>11356</v>
      </c>
      <c r="D834" s="24">
        <v>475.99164000000002</v>
      </c>
      <c r="E834" s="6" t="s">
        <v>5889</v>
      </c>
      <c r="F834" s="6">
        <v>21</v>
      </c>
      <c r="G834" s="8">
        <f t="shared" ref="G834:G897" si="13">IF(E834="Dolares",D834*$G$1,D834)</f>
        <v>475.99164000000002</v>
      </c>
    </row>
    <row r="835" spans="1:7" x14ac:dyDescent="0.3">
      <c r="A835" s="14" t="str">
        <f>VLOOKUP(B835,'Relacion codigos'!$A:$B,2,FALSE)</f>
        <v>8565</v>
      </c>
      <c r="B835" s="6" t="s">
        <v>1958</v>
      </c>
      <c r="C835" s="6" t="s">
        <v>11357</v>
      </c>
      <c r="D835" s="24">
        <v>475.99164000000002</v>
      </c>
      <c r="E835" s="6" t="s">
        <v>5889</v>
      </c>
      <c r="F835" s="6">
        <v>21</v>
      </c>
      <c r="G835" s="8">
        <f t="shared" si="13"/>
        <v>475.99164000000002</v>
      </c>
    </row>
    <row r="836" spans="1:7" x14ac:dyDescent="0.3">
      <c r="A836" s="14" t="str">
        <f>VLOOKUP(B836,'Relacion codigos'!$A:$B,2,FALSE)</f>
        <v>5096</v>
      </c>
      <c r="B836" s="6" t="s">
        <v>2036</v>
      </c>
      <c r="C836" s="6" t="s">
        <v>12391</v>
      </c>
      <c r="D836" s="24">
        <v>842.14211327999999</v>
      </c>
      <c r="E836" s="6" t="s">
        <v>5889</v>
      </c>
      <c r="F836" s="6">
        <v>21</v>
      </c>
      <c r="G836" s="8">
        <f t="shared" si="13"/>
        <v>842.14211327999999</v>
      </c>
    </row>
    <row r="837" spans="1:7" x14ac:dyDescent="0.3">
      <c r="A837" s="14" t="str">
        <f>VLOOKUP(B837,'Relacion codigos'!$A:$B,2,FALSE)</f>
        <v>6016</v>
      </c>
      <c r="B837" s="6" t="s">
        <v>2122</v>
      </c>
      <c r="C837" s="6" t="s">
        <v>11223</v>
      </c>
      <c r="D837" s="24">
        <v>818.54548526532699</v>
      </c>
      <c r="E837" s="6" t="s">
        <v>5889</v>
      </c>
      <c r="F837" s="6">
        <v>21</v>
      </c>
      <c r="G837" s="8">
        <f t="shared" si="13"/>
        <v>818.54548526532699</v>
      </c>
    </row>
    <row r="838" spans="1:7" x14ac:dyDescent="0.3">
      <c r="A838" s="14" t="str">
        <f>VLOOKUP(B838,'Relacion codigos'!$A:$B,2,FALSE)</f>
        <v>5092</v>
      </c>
      <c r="B838" s="6" t="s">
        <v>2028</v>
      </c>
      <c r="C838" s="6" t="s">
        <v>13300</v>
      </c>
      <c r="D838" s="24">
        <v>842.14211327999999</v>
      </c>
      <c r="E838" s="6" t="s">
        <v>5889</v>
      </c>
      <c r="F838" s="6">
        <v>21</v>
      </c>
      <c r="G838" s="8">
        <f t="shared" si="13"/>
        <v>842.14211327999999</v>
      </c>
    </row>
    <row r="839" spans="1:7" x14ac:dyDescent="0.3">
      <c r="A839" s="14" t="str">
        <f>VLOOKUP(B839,'Relacion codigos'!$A:$B,2,FALSE)</f>
        <v>6011</v>
      </c>
      <c r="B839" s="6" t="s">
        <v>1973</v>
      </c>
      <c r="C839" s="6" t="s">
        <v>11224</v>
      </c>
      <c r="D839" s="24">
        <v>818.54548526532699</v>
      </c>
      <c r="E839" s="6" t="s">
        <v>5889</v>
      </c>
      <c r="F839" s="6">
        <v>21</v>
      </c>
      <c r="G839" s="8">
        <f t="shared" si="13"/>
        <v>818.54548526532699</v>
      </c>
    </row>
    <row r="840" spans="1:7" x14ac:dyDescent="0.3">
      <c r="A840" s="14" t="str">
        <f>VLOOKUP(B840,'Relacion codigos'!$A:$B,2,FALSE)</f>
        <v>6009</v>
      </c>
      <c r="B840" s="6" t="s">
        <v>2123</v>
      </c>
      <c r="C840" s="6" t="s">
        <v>11225</v>
      </c>
      <c r="D840" s="24">
        <v>818.54548526532699</v>
      </c>
      <c r="E840" s="6" t="s">
        <v>5889</v>
      </c>
      <c r="F840" s="6">
        <v>21</v>
      </c>
      <c r="G840" s="8">
        <f t="shared" si="13"/>
        <v>818.54548526532699</v>
      </c>
    </row>
    <row r="841" spans="1:7" x14ac:dyDescent="0.3">
      <c r="A841" s="14" t="str">
        <f>VLOOKUP(B841,'Relacion codigos'!$A:$B,2,FALSE)</f>
        <v>5093</v>
      </c>
      <c r="B841" s="6" t="s">
        <v>2032</v>
      </c>
      <c r="C841" s="6" t="s">
        <v>12392</v>
      </c>
      <c r="D841" s="24">
        <v>842.14211327999999</v>
      </c>
      <c r="E841" s="6" t="s">
        <v>5889</v>
      </c>
      <c r="F841" s="6">
        <v>21</v>
      </c>
      <c r="G841" s="8">
        <f t="shared" si="13"/>
        <v>842.14211327999999</v>
      </c>
    </row>
    <row r="842" spans="1:7" x14ac:dyDescent="0.3">
      <c r="A842" s="14" t="str">
        <f>VLOOKUP(B842,'Relacion codigos'!$A:$B,2,FALSE)</f>
        <v>6012</v>
      </c>
      <c r="B842" s="6" t="s">
        <v>2124</v>
      </c>
      <c r="C842" s="6" t="s">
        <v>11226</v>
      </c>
      <c r="D842" s="24">
        <v>818.54548526532699</v>
      </c>
      <c r="E842" s="6" t="s">
        <v>5889</v>
      </c>
      <c r="F842" s="6">
        <v>21</v>
      </c>
      <c r="G842" s="8">
        <f t="shared" si="13"/>
        <v>818.54548526532699</v>
      </c>
    </row>
    <row r="843" spans="1:7" x14ac:dyDescent="0.3">
      <c r="A843" s="14" t="str">
        <f>VLOOKUP(B843,'Relacion codigos'!$A:$B,2,FALSE)</f>
        <v>858</v>
      </c>
      <c r="B843" s="6" t="s">
        <v>2048</v>
      </c>
      <c r="C843" s="6" t="s">
        <v>13301</v>
      </c>
      <c r="D843" s="24">
        <v>842.14211327999999</v>
      </c>
      <c r="E843" s="6" t="s">
        <v>5889</v>
      </c>
      <c r="F843" s="6">
        <v>21</v>
      </c>
      <c r="G843" s="8">
        <f t="shared" si="13"/>
        <v>842.14211327999999</v>
      </c>
    </row>
    <row r="844" spans="1:7" x14ac:dyDescent="0.3">
      <c r="A844" s="14" t="str">
        <f>VLOOKUP(B844,'Relacion codigos'!$A:$B,2,FALSE)</f>
        <v>6010</v>
      </c>
      <c r="B844" s="6" t="s">
        <v>2125</v>
      </c>
      <c r="C844" s="6" t="s">
        <v>11227</v>
      </c>
      <c r="D844" s="24">
        <v>818.54548526532699</v>
      </c>
      <c r="E844" s="6" t="s">
        <v>5889</v>
      </c>
      <c r="F844" s="6">
        <v>21</v>
      </c>
      <c r="G844" s="8">
        <f t="shared" si="13"/>
        <v>818.54548526532699</v>
      </c>
    </row>
    <row r="845" spans="1:7" x14ac:dyDescent="0.3">
      <c r="A845" s="14" t="str">
        <f>VLOOKUP(B845,'Relacion codigos'!$A:$B,2,FALSE)</f>
        <v>6013</v>
      </c>
      <c r="B845" s="6" t="s">
        <v>2126</v>
      </c>
      <c r="C845" s="6" t="s">
        <v>11228</v>
      </c>
      <c r="D845" s="24">
        <v>818.54548526532699</v>
      </c>
      <c r="E845" s="6" t="s">
        <v>5889</v>
      </c>
      <c r="F845" s="6">
        <v>21</v>
      </c>
      <c r="G845" s="8">
        <f t="shared" si="13"/>
        <v>818.54548526532699</v>
      </c>
    </row>
    <row r="846" spans="1:7" x14ac:dyDescent="0.3">
      <c r="A846" s="14" t="str">
        <f>VLOOKUP(B846,'Relacion codigos'!$A:$B,2,FALSE)</f>
        <v>5399</v>
      </c>
      <c r="B846" s="6" t="s">
        <v>2050</v>
      </c>
      <c r="C846" s="6" t="s">
        <v>13302</v>
      </c>
      <c r="D846" s="24">
        <v>7572.5808537599996</v>
      </c>
      <c r="E846" s="6" t="s">
        <v>5889</v>
      </c>
      <c r="F846" s="6">
        <v>21</v>
      </c>
      <c r="G846" s="8">
        <f t="shared" si="13"/>
        <v>7572.5808537599996</v>
      </c>
    </row>
    <row r="847" spans="1:7" x14ac:dyDescent="0.3">
      <c r="A847" s="14" t="str">
        <f>VLOOKUP(B847,'Relacion codigos'!$A:$B,2,FALSE)</f>
        <v>6608</v>
      </c>
      <c r="B847" s="6" t="s">
        <v>2051</v>
      </c>
      <c r="C847" s="6" t="s">
        <v>13303</v>
      </c>
      <c r="D847" s="24">
        <v>7572.5808537599996</v>
      </c>
      <c r="E847" s="6" t="s">
        <v>5889</v>
      </c>
      <c r="F847" s="6">
        <v>21</v>
      </c>
      <c r="G847" s="8">
        <f t="shared" si="13"/>
        <v>7572.5808537599996</v>
      </c>
    </row>
    <row r="848" spans="1:7" x14ac:dyDescent="0.3">
      <c r="A848" s="14" t="str">
        <f>VLOOKUP(B848,'Relacion codigos'!$A:$B,2,FALSE)</f>
        <v>6606</v>
      </c>
      <c r="B848" s="6" t="s">
        <v>2052</v>
      </c>
      <c r="C848" s="6" t="s">
        <v>13304</v>
      </c>
      <c r="D848" s="24">
        <v>7572.5808537599996</v>
      </c>
      <c r="E848" s="6" t="s">
        <v>5889</v>
      </c>
      <c r="F848" s="6">
        <v>21</v>
      </c>
      <c r="G848" s="8">
        <f t="shared" si="13"/>
        <v>7572.5808537599996</v>
      </c>
    </row>
    <row r="849" spans="1:7" x14ac:dyDescent="0.3">
      <c r="A849" s="14" t="str">
        <f>VLOOKUP(B849,'Relacion codigos'!$A:$B,2,FALSE)</f>
        <v>6607</v>
      </c>
      <c r="B849" s="6" t="s">
        <v>2053</v>
      </c>
      <c r="C849" s="6" t="s">
        <v>13305</v>
      </c>
      <c r="D849" s="24">
        <v>7572.5808537599996</v>
      </c>
      <c r="E849" s="6" t="s">
        <v>5889</v>
      </c>
      <c r="F849" s="6">
        <v>21</v>
      </c>
      <c r="G849" s="8">
        <f t="shared" si="13"/>
        <v>7572.5808537599996</v>
      </c>
    </row>
    <row r="850" spans="1:7" x14ac:dyDescent="0.3">
      <c r="A850" s="14" t="str">
        <f>VLOOKUP(B850,'Relacion codigos'!$A:$B,2,FALSE)</f>
        <v>5561</v>
      </c>
      <c r="B850" s="6" t="s">
        <v>2054</v>
      </c>
      <c r="C850" s="6" t="s">
        <v>13306</v>
      </c>
      <c r="D850" s="24">
        <v>7572.5808537599996</v>
      </c>
      <c r="E850" s="6" t="s">
        <v>5889</v>
      </c>
      <c r="F850" s="6">
        <v>21</v>
      </c>
      <c r="G850" s="8">
        <f t="shared" si="13"/>
        <v>7572.5808537599996</v>
      </c>
    </row>
    <row r="851" spans="1:7" x14ac:dyDescent="0.3">
      <c r="A851" s="14" t="str">
        <f>VLOOKUP(B851,'Relacion codigos'!$A:$B,2,FALSE)</f>
        <v>5560</v>
      </c>
      <c r="B851" s="6" t="s">
        <v>2055</v>
      </c>
      <c r="C851" s="6" t="s">
        <v>13307</v>
      </c>
      <c r="D851" s="24">
        <v>7572.5808537599996</v>
      </c>
      <c r="E851" s="6" t="s">
        <v>5889</v>
      </c>
      <c r="F851" s="6">
        <v>21</v>
      </c>
      <c r="G851" s="8">
        <f t="shared" si="13"/>
        <v>7572.5808537599996</v>
      </c>
    </row>
    <row r="852" spans="1:7" x14ac:dyDescent="0.3">
      <c r="A852" s="14" t="str">
        <f>VLOOKUP(B852,'Relacion codigos'!$A:$B,2,FALSE)</f>
        <v>6069</v>
      </c>
      <c r="B852" s="6" t="s">
        <v>2056</v>
      </c>
      <c r="C852" s="6" t="s">
        <v>11229</v>
      </c>
      <c r="D852" s="24">
        <v>8310.3045705444601</v>
      </c>
      <c r="E852" s="6" t="s">
        <v>5889</v>
      </c>
      <c r="F852" s="6">
        <v>21</v>
      </c>
      <c r="G852" s="8">
        <f t="shared" si="13"/>
        <v>8310.3045705444601</v>
      </c>
    </row>
    <row r="853" spans="1:7" x14ac:dyDescent="0.3">
      <c r="A853" s="14" t="e">
        <f>VLOOKUP(B853,'Relacion codigos'!$A:$B,2,FALSE)</f>
        <v>#N/A</v>
      </c>
      <c r="B853" s="6" t="s">
        <v>12677</v>
      </c>
      <c r="C853" s="6" t="s">
        <v>13308</v>
      </c>
      <c r="D853" s="24">
        <v>10396.16218368</v>
      </c>
      <c r="E853" s="6" t="s">
        <v>5889</v>
      </c>
      <c r="F853" s="6">
        <v>21</v>
      </c>
      <c r="G853" s="8">
        <f t="shared" si="13"/>
        <v>10396.16218368</v>
      </c>
    </row>
    <row r="854" spans="1:7" x14ac:dyDescent="0.3">
      <c r="A854" s="14" t="e">
        <f>VLOOKUP(B854,'Relacion codigos'!$A:$B,2,FALSE)</f>
        <v>#N/A</v>
      </c>
      <c r="B854" s="6" t="s">
        <v>12883</v>
      </c>
      <c r="C854" s="6" t="s">
        <v>13309</v>
      </c>
      <c r="D854" s="24">
        <v>10396.16218368</v>
      </c>
      <c r="E854" s="6" t="s">
        <v>5889</v>
      </c>
      <c r="F854" s="6">
        <v>21</v>
      </c>
      <c r="G854" s="8">
        <f t="shared" si="13"/>
        <v>10396.16218368</v>
      </c>
    </row>
    <row r="855" spans="1:7" x14ac:dyDescent="0.3">
      <c r="A855" s="14" t="str">
        <f>VLOOKUP(B855,'Relacion codigos'!$A:$B,2,FALSE)</f>
        <v>5562</v>
      </c>
      <c r="B855" s="6" t="s">
        <v>2057</v>
      </c>
      <c r="C855" s="6" t="s">
        <v>13310</v>
      </c>
      <c r="D855" s="24">
        <v>10396.16218368</v>
      </c>
      <c r="E855" s="6" t="s">
        <v>5889</v>
      </c>
      <c r="F855" s="6">
        <v>21</v>
      </c>
      <c r="G855" s="8">
        <f t="shared" si="13"/>
        <v>10396.16218368</v>
      </c>
    </row>
    <row r="856" spans="1:7" x14ac:dyDescent="0.3">
      <c r="A856" s="14" t="str">
        <f>VLOOKUP(B856,'Relacion codigos'!$A:$B,2,FALSE)</f>
        <v>4011</v>
      </c>
      <c r="B856" s="6" t="s">
        <v>2058</v>
      </c>
      <c r="C856" s="6" t="s">
        <v>13311</v>
      </c>
      <c r="D856" s="24">
        <v>10396.16218368</v>
      </c>
      <c r="E856" s="6" t="s">
        <v>5889</v>
      </c>
      <c r="F856" s="6">
        <v>21</v>
      </c>
      <c r="G856" s="8">
        <f t="shared" si="13"/>
        <v>10396.16218368</v>
      </c>
    </row>
    <row r="857" spans="1:7" x14ac:dyDescent="0.3">
      <c r="A857" s="14" t="str">
        <f>VLOOKUP(B857,'Relacion codigos'!$A:$B,2,FALSE)</f>
        <v>9302</v>
      </c>
      <c r="B857" s="6" t="s">
        <v>2059</v>
      </c>
      <c r="C857" s="6" t="s">
        <v>13312</v>
      </c>
      <c r="D857" s="24">
        <v>10396.16218368</v>
      </c>
      <c r="E857" s="6" t="s">
        <v>5889</v>
      </c>
      <c r="F857" s="6">
        <v>21</v>
      </c>
      <c r="G857" s="8">
        <f t="shared" si="13"/>
        <v>10396.16218368</v>
      </c>
    </row>
    <row r="858" spans="1:7" x14ac:dyDescent="0.3">
      <c r="A858" s="14" t="str">
        <f>VLOOKUP(B858,'Relacion codigos'!$A:$B,2,FALSE)</f>
        <v>8572</v>
      </c>
      <c r="B858" s="6" t="s">
        <v>1962</v>
      </c>
      <c r="C858" s="6" t="s">
        <v>11360</v>
      </c>
      <c r="D858" s="24">
        <v>829.95191999999997</v>
      </c>
      <c r="E858" s="6" t="s">
        <v>5889</v>
      </c>
      <c r="F858" s="6">
        <v>21</v>
      </c>
      <c r="G858" s="8">
        <f t="shared" si="13"/>
        <v>829.95191999999997</v>
      </c>
    </row>
    <row r="859" spans="1:7" x14ac:dyDescent="0.3">
      <c r="A859" s="14" t="str">
        <f>VLOOKUP(B859,'Relacion codigos'!$A:$B,2,FALSE)</f>
        <v>8568</v>
      </c>
      <c r="B859" s="6" t="s">
        <v>1963</v>
      </c>
      <c r="C859" s="6" t="s">
        <v>11361</v>
      </c>
      <c r="D859" s="24">
        <v>829.95191999999997</v>
      </c>
      <c r="E859" s="6" t="s">
        <v>5889</v>
      </c>
      <c r="F859" s="6">
        <v>21</v>
      </c>
      <c r="G859" s="8">
        <f t="shared" si="13"/>
        <v>829.95191999999997</v>
      </c>
    </row>
    <row r="860" spans="1:7" x14ac:dyDescent="0.3">
      <c r="A860" s="14" t="str">
        <f>VLOOKUP(B860,'Relacion codigos'!$A:$B,2,FALSE)</f>
        <v>5101</v>
      </c>
      <c r="B860" s="6" t="s">
        <v>2071</v>
      </c>
      <c r="C860" s="6" t="s">
        <v>13313</v>
      </c>
      <c r="D860" s="24">
        <v>1359.7276492799999</v>
      </c>
      <c r="E860" s="6" t="s">
        <v>5889</v>
      </c>
      <c r="F860" s="6">
        <v>21</v>
      </c>
      <c r="G860" s="8">
        <f t="shared" si="13"/>
        <v>1359.7276492799999</v>
      </c>
    </row>
    <row r="861" spans="1:7" x14ac:dyDescent="0.3">
      <c r="A861" s="14" t="e">
        <f>VLOOKUP(B861,'Relacion codigos'!$A:$B,2,FALSE)</f>
        <v>#N/A</v>
      </c>
      <c r="B861" s="6" t="s">
        <v>8909</v>
      </c>
      <c r="C861" s="6" t="s">
        <v>11233</v>
      </c>
      <c r="D861" s="24">
        <v>848.16709735680001</v>
      </c>
      <c r="E861" s="6" t="s">
        <v>5889</v>
      </c>
      <c r="F861" s="6">
        <v>21</v>
      </c>
      <c r="G861" s="8">
        <f t="shared" si="13"/>
        <v>848.16709735680001</v>
      </c>
    </row>
    <row r="862" spans="1:7" x14ac:dyDescent="0.3">
      <c r="A862" s="14" t="str">
        <f>VLOOKUP(B862,'Relacion codigos'!$A:$B,2,FALSE)</f>
        <v>8571</v>
      </c>
      <c r="B862" s="6" t="s">
        <v>1964</v>
      </c>
      <c r="C862" s="6" t="s">
        <v>11362</v>
      </c>
      <c r="D862" s="24">
        <v>829.95191999999997</v>
      </c>
      <c r="E862" s="6" t="s">
        <v>5889</v>
      </c>
      <c r="F862" s="6">
        <v>21</v>
      </c>
      <c r="G862" s="8">
        <f t="shared" si="13"/>
        <v>829.95191999999997</v>
      </c>
    </row>
    <row r="863" spans="1:7" x14ac:dyDescent="0.3">
      <c r="A863" s="14" t="str">
        <f>VLOOKUP(B863,'Relacion codigos'!$A:$B,2,FALSE)</f>
        <v>5099</v>
      </c>
      <c r="B863" s="6" t="s">
        <v>2067</v>
      </c>
      <c r="C863" s="6" t="s">
        <v>13314</v>
      </c>
      <c r="D863" s="24">
        <v>1359.7276492799999</v>
      </c>
      <c r="E863" s="6" t="s">
        <v>5889</v>
      </c>
      <c r="F863" s="6">
        <v>21</v>
      </c>
      <c r="G863" s="8">
        <f t="shared" si="13"/>
        <v>1359.7276492799999</v>
      </c>
    </row>
    <row r="864" spans="1:7" x14ac:dyDescent="0.3">
      <c r="A864" s="14" t="str">
        <f>VLOOKUP(B864,'Relacion codigos'!$A:$B,2,FALSE)</f>
        <v>6018</v>
      </c>
      <c r="B864" s="6" t="s">
        <v>2130</v>
      </c>
      <c r="C864" s="6" t="s">
        <v>11234</v>
      </c>
      <c r="D864" s="24">
        <v>1318.8732194484701</v>
      </c>
      <c r="E864" s="6" t="s">
        <v>5889</v>
      </c>
      <c r="F864" s="6">
        <v>21</v>
      </c>
      <c r="G864" s="8">
        <f t="shared" si="13"/>
        <v>1318.8732194484701</v>
      </c>
    </row>
    <row r="865" spans="1:7" x14ac:dyDescent="0.3">
      <c r="A865" s="14" t="e">
        <f>VLOOKUP(B865,'Relacion codigos'!$A:$B,2,FALSE)</f>
        <v>#N/A</v>
      </c>
      <c r="B865" s="6" t="s">
        <v>8907</v>
      </c>
      <c r="C865" s="6" t="s">
        <v>11235</v>
      </c>
      <c r="D865" s="24">
        <v>848.16709735680001</v>
      </c>
      <c r="E865" s="6" t="s">
        <v>5889</v>
      </c>
      <c r="F865" s="6">
        <v>21</v>
      </c>
      <c r="G865" s="8">
        <f t="shared" si="13"/>
        <v>848.16709735680001</v>
      </c>
    </row>
    <row r="866" spans="1:7" x14ac:dyDescent="0.3">
      <c r="A866" s="14" t="str">
        <f>VLOOKUP(B866,'Relacion codigos'!$A:$B,2,FALSE)</f>
        <v>8573</v>
      </c>
      <c r="B866" s="6" t="s">
        <v>1959</v>
      </c>
      <c r="C866" s="6" t="s">
        <v>11363</v>
      </c>
      <c r="D866" s="24">
        <v>829.95191999999997</v>
      </c>
      <c r="E866" s="6" t="s">
        <v>5889</v>
      </c>
      <c r="F866" s="6">
        <v>21</v>
      </c>
      <c r="G866" s="8">
        <f t="shared" si="13"/>
        <v>829.95191999999997</v>
      </c>
    </row>
    <row r="867" spans="1:7" x14ac:dyDescent="0.3">
      <c r="A867" s="14" t="str">
        <f>VLOOKUP(B867,'Relacion codigos'!$A:$B,2,FALSE)</f>
        <v>5097</v>
      </c>
      <c r="B867" s="6" t="s">
        <v>2068</v>
      </c>
      <c r="C867" s="6" t="s">
        <v>13315</v>
      </c>
      <c r="D867" s="24">
        <v>1359.7276492799999</v>
      </c>
      <c r="E867" s="6" t="s">
        <v>5889</v>
      </c>
      <c r="F867" s="6">
        <v>21</v>
      </c>
      <c r="G867" s="8">
        <f t="shared" si="13"/>
        <v>1359.7276492799999</v>
      </c>
    </row>
    <row r="868" spans="1:7" x14ac:dyDescent="0.3">
      <c r="A868" s="14" t="str">
        <f>VLOOKUP(B868,'Relacion codigos'!$A:$B,2,FALSE)</f>
        <v>6022</v>
      </c>
      <c r="B868" s="6" t="s">
        <v>2132</v>
      </c>
      <c r="C868" s="6" t="s">
        <v>11236</v>
      </c>
      <c r="D868" s="24">
        <v>1318.8732194484701</v>
      </c>
      <c r="E868" s="6" t="s">
        <v>5889</v>
      </c>
      <c r="F868" s="6">
        <v>21</v>
      </c>
      <c r="G868" s="8">
        <f t="shared" si="13"/>
        <v>1318.8732194484701</v>
      </c>
    </row>
    <row r="869" spans="1:7" x14ac:dyDescent="0.3">
      <c r="A869" s="14" t="str">
        <f>VLOOKUP(B869,'Relacion codigos'!$A:$B,2,FALSE)</f>
        <v>8570</v>
      </c>
      <c r="B869" s="6" t="s">
        <v>1960</v>
      </c>
      <c r="C869" s="6" t="s">
        <v>11364</v>
      </c>
      <c r="D869" s="24">
        <v>829.96279154572505</v>
      </c>
      <c r="E869" s="6" t="s">
        <v>5889</v>
      </c>
      <c r="F869" s="6">
        <v>21</v>
      </c>
      <c r="G869" s="8">
        <f t="shared" si="13"/>
        <v>829.96279154572505</v>
      </c>
    </row>
    <row r="870" spans="1:7" x14ac:dyDescent="0.3">
      <c r="A870" s="14" t="str">
        <f>VLOOKUP(B870,'Relacion codigos'!$A:$B,2,FALSE)</f>
        <v>5100</v>
      </c>
      <c r="B870" s="6" t="s">
        <v>2069</v>
      </c>
      <c r="C870" s="6" t="s">
        <v>13316</v>
      </c>
      <c r="D870" s="24">
        <v>1359.7276492799999</v>
      </c>
      <c r="E870" s="6" t="s">
        <v>5889</v>
      </c>
      <c r="F870" s="6">
        <v>21</v>
      </c>
      <c r="G870" s="8">
        <f t="shared" si="13"/>
        <v>1359.7276492799999</v>
      </c>
    </row>
    <row r="871" spans="1:7" x14ac:dyDescent="0.3">
      <c r="A871" s="14" t="str">
        <f>VLOOKUP(B871,'Relacion codigos'!$A:$B,2,FALSE)</f>
        <v>6021</v>
      </c>
      <c r="B871" s="6" t="s">
        <v>2134</v>
      </c>
      <c r="C871" s="6" t="s">
        <v>11237</v>
      </c>
      <c r="D871" s="24">
        <v>1318.8732194484701</v>
      </c>
      <c r="E871" s="6" t="s">
        <v>5889</v>
      </c>
      <c r="F871" s="6">
        <v>21</v>
      </c>
      <c r="G871" s="8">
        <f t="shared" si="13"/>
        <v>1318.8732194484701</v>
      </c>
    </row>
    <row r="872" spans="1:7" x14ac:dyDescent="0.3">
      <c r="A872" s="14" t="e">
        <f>VLOOKUP(B872,'Relacion codigos'!$A:$B,2,FALSE)</f>
        <v>#N/A</v>
      </c>
      <c r="B872" s="6" t="s">
        <v>8908</v>
      </c>
      <c r="C872" s="6" t="s">
        <v>11239</v>
      </c>
      <c r="D872" s="24">
        <v>848.16709735680001</v>
      </c>
      <c r="E872" s="6" t="s">
        <v>5889</v>
      </c>
      <c r="F872" s="6">
        <v>21</v>
      </c>
      <c r="G872" s="8">
        <f t="shared" si="13"/>
        <v>848.16709735680001</v>
      </c>
    </row>
    <row r="873" spans="1:7" x14ac:dyDescent="0.3">
      <c r="A873" s="14" t="str">
        <f>VLOOKUP(B873,'Relacion codigos'!$A:$B,2,FALSE)</f>
        <v>8569</v>
      </c>
      <c r="B873" s="6" t="s">
        <v>1961</v>
      </c>
      <c r="C873" s="6" t="s">
        <v>11365</v>
      </c>
      <c r="D873" s="24">
        <v>829.95191999999997</v>
      </c>
      <c r="E873" s="6" t="s">
        <v>5889</v>
      </c>
      <c r="F873" s="6">
        <v>21</v>
      </c>
      <c r="G873" s="8">
        <f t="shared" si="13"/>
        <v>829.95191999999997</v>
      </c>
    </row>
    <row r="874" spans="1:7" x14ac:dyDescent="0.3">
      <c r="A874" s="14" t="str">
        <f>VLOOKUP(B874,'Relacion codigos'!$A:$B,2,FALSE)</f>
        <v>5098</v>
      </c>
      <c r="B874" s="6" t="s">
        <v>2066</v>
      </c>
      <c r="C874" s="6" t="s">
        <v>13317</v>
      </c>
      <c r="D874" s="24">
        <v>1359.7276492799999</v>
      </c>
      <c r="E874" s="6" t="s">
        <v>5889</v>
      </c>
      <c r="F874" s="6">
        <v>21</v>
      </c>
      <c r="G874" s="8">
        <f t="shared" si="13"/>
        <v>1359.7276492799999</v>
      </c>
    </row>
    <row r="875" spans="1:7" x14ac:dyDescent="0.3">
      <c r="A875" s="14" t="str">
        <f>VLOOKUP(B875,'Relacion codigos'!$A:$B,2,FALSE)</f>
        <v>6019</v>
      </c>
      <c r="B875" s="6" t="s">
        <v>2135</v>
      </c>
      <c r="C875" s="6" t="s">
        <v>11240</v>
      </c>
      <c r="D875" s="24">
        <v>1318.8732194484701</v>
      </c>
      <c r="E875" s="6" t="s">
        <v>5889</v>
      </c>
      <c r="F875" s="6">
        <v>21</v>
      </c>
      <c r="G875" s="8">
        <f t="shared" si="13"/>
        <v>1318.8732194484701</v>
      </c>
    </row>
    <row r="876" spans="1:7" x14ac:dyDescent="0.3">
      <c r="A876" s="14" t="str">
        <f>VLOOKUP(B876,'Relacion codigos'!$A:$B,2,FALSE)</f>
        <v>859</v>
      </c>
      <c r="B876" s="6" t="s">
        <v>2070</v>
      </c>
      <c r="C876" s="6" t="s">
        <v>13318</v>
      </c>
      <c r="D876" s="24">
        <v>1359.7276492799999</v>
      </c>
      <c r="E876" s="6" t="s">
        <v>5889</v>
      </c>
      <c r="F876" s="6">
        <v>21</v>
      </c>
      <c r="G876" s="8">
        <f t="shared" si="13"/>
        <v>1359.7276492799999</v>
      </c>
    </row>
    <row r="877" spans="1:7" x14ac:dyDescent="0.3">
      <c r="A877" s="14" t="str">
        <f>VLOOKUP(B877,'Relacion codigos'!$A:$B,2,FALSE)</f>
        <v>6020</v>
      </c>
      <c r="B877" s="6" t="s">
        <v>2137</v>
      </c>
      <c r="C877" s="6" t="s">
        <v>11242</v>
      </c>
      <c r="D877" s="24">
        <v>1318.8732194484701</v>
      </c>
      <c r="E877" s="6" t="s">
        <v>5889</v>
      </c>
      <c r="F877" s="6">
        <v>21</v>
      </c>
      <c r="G877" s="8">
        <f t="shared" si="13"/>
        <v>1318.8732194484701</v>
      </c>
    </row>
    <row r="878" spans="1:7" x14ac:dyDescent="0.3">
      <c r="A878" s="14" t="str">
        <f>VLOOKUP(B878,'Relacion codigos'!$A:$B,2,FALSE)</f>
        <v>6017</v>
      </c>
      <c r="B878" s="6" t="s">
        <v>2139</v>
      </c>
      <c r="C878" s="6" t="s">
        <v>11243</v>
      </c>
      <c r="D878" s="24">
        <v>1318.8732194484701</v>
      </c>
      <c r="E878" s="6" t="s">
        <v>5889</v>
      </c>
      <c r="F878" s="6">
        <v>21</v>
      </c>
      <c r="G878" s="8">
        <f t="shared" si="13"/>
        <v>1318.8732194484701</v>
      </c>
    </row>
    <row r="879" spans="1:7" x14ac:dyDescent="0.3">
      <c r="A879" s="14" t="e">
        <f>VLOOKUP(B879,'Relacion codigos'!$A:$B,2,FALSE)</f>
        <v>#N/A</v>
      </c>
      <c r="B879" s="6" t="s">
        <v>12040</v>
      </c>
      <c r="C879" s="6" t="s">
        <v>13319</v>
      </c>
      <c r="D879" s="24">
        <v>15374.117191679999</v>
      </c>
      <c r="E879" s="6" t="s">
        <v>5889</v>
      </c>
      <c r="F879" s="6">
        <v>21</v>
      </c>
      <c r="G879" s="8">
        <f t="shared" si="13"/>
        <v>15374.117191679999</v>
      </c>
    </row>
    <row r="880" spans="1:7" x14ac:dyDescent="0.3">
      <c r="A880" s="14" t="e">
        <f>VLOOKUP(B880,'Relacion codigos'!$A:$B,2,FALSE)</f>
        <v>#N/A</v>
      </c>
      <c r="B880" s="6" t="s">
        <v>12041</v>
      </c>
      <c r="C880" s="6" t="s">
        <v>13320</v>
      </c>
      <c r="D880" s="24">
        <v>15374.117191679999</v>
      </c>
      <c r="E880" s="6" t="s">
        <v>5889</v>
      </c>
      <c r="F880" s="6">
        <v>21</v>
      </c>
      <c r="G880" s="8">
        <f t="shared" si="13"/>
        <v>15374.117191679999</v>
      </c>
    </row>
    <row r="881" spans="1:7" x14ac:dyDescent="0.3">
      <c r="A881" s="14" t="str">
        <f>VLOOKUP(B881,'Relacion codigos'!$A:$B,2,FALSE)</f>
        <v>8432</v>
      </c>
      <c r="B881" s="6" t="s">
        <v>2074</v>
      </c>
      <c r="C881" s="6" t="s">
        <v>13321</v>
      </c>
      <c r="D881" s="24">
        <v>15374.117191679999</v>
      </c>
      <c r="E881" s="6" t="s">
        <v>5889</v>
      </c>
      <c r="F881" s="6">
        <v>21</v>
      </c>
      <c r="G881" s="8">
        <f t="shared" si="13"/>
        <v>15374.117191679999</v>
      </c>
    </row>
    <row r="882" spans="1:7" x14ac:dyDescent="0.3">
      <c r="A882" s="14" t="str">
        <f>VLOOKUP(B882,'Relacion codigos'!$A:$B,2,FALSE)</f>
        <v>6776</v>
      </c>
      <c r="B882" s="6" t="s">
        <v>2075</v>
      </c>
      <c r="C882" s="6" t="s">
        <v>13322</v>
      </c>
      <c r="D882" s="24">
        <v>15374.117191679999</v>
      </c>
      <c r="E882" s="6" t="s">
        <v>5889</v>
      </c>
      <c r="F882" s="6">
        <v>21</v>
      </c>
      <c r="G882" s="8">
        <f t="shared" si="13"/>
        <v>15374.117191679999</v>
      </c>
    </row>
    <row r="883" spans="1:7" x14ac:dyDescent="0.3">
      <c r="A883" s="14" t="e">
        <f>VLOOKUP(B883,'Relacion codigos'!$A:$B,2,FALSE)</f>
        <v>#N/A</v>
      </c>
      <c r="B883" s="6" t="s">
        <v>12042</v>
      </c>
      <c r="C883" s="6" t="s">
        <v>13323</v>
      </c>
      <c r="D883" s="24">
        <v>15374.117191679999</v>
      </c>
      <c r="E883" s="6" t="s">
        <v>5889</v>
      </c>
      <c r="F883" s="6">
        <v>21</v>
      </c>
      <c r="G883" s="8">
        <f t="shared" si="13"/>
        <v>15374.117191679999</v>
      </c>
    </row>
    <row r="884" spans="1:7" x14ac:dyDescent="0.3">
      <c r="A884" s="14" t="e">
        <f>VLOOKUP(B884,'Relacion codigos'!$A:$B,2,FALSE)</f>
        <v>#N/A</v>
      </c>
      <c r="B884" s="6" t="s">
        <v>8910</v>
      </c>
      <c r="C884" s="6" t="s">
        <v>11245</v>
      </c>
      <c r="D884" s="24">
        <v>1271.1548229120001</v>
      </c>
      <c r="E884" s="6" t="s">
        <v>5889</v>
      </c>
      <c r="F884" s="6">
        <v>21</v>
      </c>
      <c r="G884" s="8">
        <f t="shared" si="13"/>
        <v>1271.1548229120001</v>
      </c>
    </row>
    <row r="885" spans="1:7" x14ac:dyDescent="0.3">
      <c r="A885" s="14" t="str">
        <f>VLOOKUP(B885,'Relacion codigos'!$A:$B,2,FALSE)</f>
        <v>5102</v>
      </c>
      <c r="B885" s="6" t="s">
        <v>2083</v>
      </c>
      <c r="C885" s="6" t="s">
        <v>12776</v>
      </c>
      <c r="D885" s="24">
        <v>2002.1426380800001</v>
      </c>
      <c r="E885" s="6" t="s">
        <v>5889</v>
      </c>
      <c r="F885" s="6">
        <v>21</v>
      </c>
      <c r="G885" s="8">
        <f t="shared" si="13"/>
        <v>2002.1426380800001</v>
      </c>
    </row>
    <row r="886" spans="1:7" x14ac:dyDescent="0.3">
      <c r="A886" s="14" t="str">
        <f>VLOOKUP(B886,'Relacion codigos'!$A:$B,2,FALSE)</f>
        <v>5105</v>
      </c>
      <c r="B886" s="6" t="s">
        <v>2084</v>
      </c>
      <c r="C886" s="6" t="s">
        <v>12777</v>
      </c>
      <c r="D886" s="24">
        <v>2002.1426380800001</v>
      </c>
      <c r="E886" s="6" t="s">
        <v>5889</v>
      </c>
      <c r="F886" s="6">
        <v>21</v>
      </c>
      <c r="G886" s="8">
        <f t="shared" si="13"/>
        <v>2002.1426380800001</v>
      </c>
    </row>
    <row r="887" spans="1:7" x14ac:dyDescent="0.3">
      <c r="A887" s="14" t="str">
        <f>VLOOKUP(B887,'Relacion codigos'!$A:$B,2,FALSE)</f>
        <v>8578</v>
      </c>
      <c r="B887" s="6" t="s">
        <v>1968</v>
      </c>
      <c r="C887" s="6" t="s">
        <v>11366</v>
      </c>
      <c r="D887" s="24">
        <v>1271.3333399999999</v>
      </c>
      <c r="E887" s="6" t="s">
        <v>5889</v>
      </c>
      <c r="F887" s="6">
        <v>21</v>
      </c>
      <c r="G887" s="8">
        <f t="shared" si="13"/>
        <v>1271.3333399999999</v>
      </c>
    </row>
    <row r="888" spans="1:7" x14ac:dyDescent="0.3">
      <c r="A888" s="14" t="str">
        <f>VLOOKUP(B888,'Relacion codigos'!$A:$B,2,FALSE)</f>
        <v>860</v>
      </c>
      <c r="B888" s="6" t="s">
        <v>2086</v>
      </c>
      <c r="C888" s="6" t="s">
        <v>12625</v>
      </c>
      <c r="D888" s="24">
        <v>2002.1426380800001</v>
      </c>
      <c r="E888" s="6" t="s">
        <v>5889</v>
      </c>
      <c r="F888" s="6">
        <v>21</v>
      </c>
      <c r="G888" s="8">
        <f t="shared" si="13"/>
        <v>2002.1426380800001</v>
      </c>
    </row>
    <row r="889" spans="1:7" x14ac:dyDescent="0.3">
      <c r="A889" s="14" t="e">
        <f>VLOOKUP(B889,'Relacion codigos'!$A:$B,2,FALSE)</f>
        <v>#N/A</v>
      </c>
      <c r="B889" s="6" t="s">
        <v>8913</v>
      </c>
      <c r="C889" s="6" t="s">
        <v>11247</v>
      </c>
      <c r="D889" s="24">
        <v>1271.1548229120001</v>
      </c>
      <c r="E889" s="6" t="s">
        <v>5889</v>
      </c>
      <c r="F889" s="6">
        <v>21</v>
      </c>
      <c r="G889" s="8">
        <f t="shared" si="13"/>
        <v>1271.1548229120001</v>
      </c>
    </row>
    <row r="890" spans="1:7" x14ac:dyDescent="0.3">
      <c r="A890" s="14" t="str">
        <f>VLOOKUP(B890,'Relacion codigos'!$A:$B,2,FALSE)</f>
        <v>8577</v>
      </c>
      <c r="B890" s="6" t="s">
        <v>1970</v>
      </c>
      <c r="C890" s="6" t="s">
        <v>11367</v>
      </c>
      <c r="D890" s="24">
        <v>1271.3333399999999</v>
      </c>
      <c r="E890" s="6" t="s">
        <v>5889</v>
      </c>
      <c r="F890" s="6">
        <v>21</v>
      </c>
      <c r="G890" s="8">
        <f t="shared" si="13"/>
        <v>1271.3333399999999</v>
      </c>
    </row>
    <row r="891" spans="1:7" x14ac:dyDescent="0.3">
      <c r="A891" s="14" t="str">
        <f>VLOOKUP(B891,'Relacion codigos'!$A:$B,2,FALSE)</f>
        <v>5104</v>
      </c>
      <c r="B891" s="6" t="s">
        <v>2082</v>
      </c>
      <c r="C891" s="6" t="s">
        <v>12778</v>
      </c>
      <c r="D891" s="24">
        <v>2002.1426380800001</v>
      </c>
      <c r="E891" s="6" t="s">
        <v>5889</v>
      </c>
      <c r="F891" s="6">
        <v>21</v>
      </c>
      <c r="G891" s="8">
        <f t="shared" si="13"/>
        <v>2002.1426380800001</v>
      </c>
    </row>
    <row r="892" spans="1:7" x14ac:dyDescent="0.3">
      <c r="A892" s="14" t="str">
        <f>VLOOKUP(B892,'Relacion codigos'!$A:$B,2,FALSE)</f>
        <v>6024</v>
      </c>
      <c r="B892" s="6" t="s">
        <v>2142</v>
      </c>
      <c r="C892" s="6" t="s">
        <v>11249</v>
      </c>
      <c r="D892" s="24">
        <v>1949.67675712914</v>
      </c>
      <c r="E892" s="6" t="s">
        <v>5889</v>
      </c>
      <c r="F892" s="6">
        <v>21</v>
      </c>
      <c r="G892" s="8">
        <f t="shared" si="13"/>
        <v>1949.67675712914</v>
      </c>
    </row>
    <row r="893" spans="1:7" x14ac:dyDescent="0.3">
      <c r="A893" s="14" t="str">
        <f>VLOOKUP(B893,'Relacion codigos'!$A:$B,2,FALSE)</f>
        <v>8579</v>
      </c>
      <c r="B893" s="6" t="s">
        <v>1965</v>
      </c>
      <c r="C893" s="6" t="s">
        <v>11368</v>
      </c>
      <c r="D893" s="24">
        <v>1271.3333399999999</v>
      </c>
      <c r="E893" s="6" t="s">
        <v>5889</v>
      </c>
      <c r="F893" s="6">
        <v>21</v>
      </c>
      <c r="G893" s="8">
        <f t="shared" si="13"/>
        <v>1271.3333399999999</v>
      </c>
    </row>
    <row r="894" spans="1:7" x14ac:dyDescent="0.3">
      <c r="A894" s="14" t="str">
        <f>VLOOKUP(B894,'Relacion codigos'!$A:$B,2,FALSE)</f>
        <v>6028</v>
      </c>
      <c r="B894" s="6" t="s">
        <v>2143</v>
      </c>
      <c r="C894" s="6" t="s">
        <v>11250</v>
      </c>
      <c r="D894" s="24">
        <v>1949.67675712914</v>
      </c>
      <c r="E894" s="6" t="s">
        <v>5889</v>
      </c>
      <c r="F894" s="6">
        <v>21</v>
      </c>
      <c r="G894" s="8">
        <f t="shared" si="13"/>
        <v>1949.67675712914</v>
      </c>
    </row>
    <row r="895" spans="1:7" x14ac:dyDescent="0.3">
      <c r="A895" s="14" t="e">
        <f>VLOOKUP(B895,'Relacion codigos'!$A:$B,2,FALSE)</f>
        <v>#N/A</v>
      </c>
      <c r="B895" s="6" t="s">
        <v>8911</v>
      </c>
      <c r="C895" s="6" t="s">
        <v>11252</v>
      </c>
      <c r="D895" s="24">
        <v>1271.1548229120001</v>
      </c>
      <c r="E895" s="6" t="s">
        <v>5889</v>
      </c>
      <c r="F895" s="6">
        <v>21</v>
      </c>
      <c r="G895" s="8">
        <f t="shared" si="13"/>
        <v>1271.1548229120001</v>
      </c>
    </row>
    <row r="896" spans="1:7" x14ac:dyDescent="0.3">
      <c r="A896" s="14" t="str">
        <f>VLOOKUP(B896,'Relacion codigos'!$A:$B,2,FALSE)</f>
        <v>8576</v>
      </c>
      <c r="B896" s="6" t="s">
        <v>1966</v>
      </c>
      <c r="C896" s="6" t="s">
        <v>11369</v>
      </c>
      <c r="D896" s="24">
        <v>1271.3333399999999</v>
      </c>
      <c r="E896" s="6" t="s">
        <v>5889</v>
      </c>
      <c r="F896" s="6">
        <v>21</v>
      </c>
      <c r="G896" s="8">
        <f t="shared" si="13"/>
        <v>1271.3333399999999</v>
      </c>
    </row>
    <row r="897" spans="1:7" x14ac:dyDescent="0.3">
      <c r="A897" s="14" t="str">
        <f>VLOOKUP(B897,'Relacion codigos'!$A:$B,2,FALSE)</f>
        <v>6027</v>
      </c>
      <c r="B897" s="6" t="s">
        <v>2144</v>
      </c>
      <c r="C897" s="6" t="s">
        <v>11253</v>
      </c>
      <c r="D897" s="24">
        <v>1949.67675712914</v>
      </c>
      <c r="E897" s="6" t="s">
        <v>5889</v>
      </c>
      <c r="F897" s="6">
        <v>21</v>
      </c>
      <c r="G897" s="8">
        <f t="shared" si="13"/>
        <v>1949.67675712914</v>
      </c>
    </row>
    <row r="898" spans="1:7" x14ac:dyDescent="0.3">
      <c r="A898" s="14" t="e">
        <f>VLOOKUP(B898,'Relacion codigos'!$A:$B,2,FALSE)</f>
        <v>#N/A</v>
      </c>
      <c r="B898" s="6" t="s">
        <v>8912</v>
      </c>
      <c r="C898" s="6" t="s">
        <v>11255</v>
      </c>
      <c r="D898" s="24">
        <v>1271.1548229120001</v>
      </c>
      <c r="E898" s="6" t="s">
        <v>5889</v>
      </c>
      <c r="F898" s="6">
        <v>21</v>
      </c>
      <c r="G898" s="8">
        <f t="shared" ref="G898:G961" si="14">IF(E898="Dolares",D898*$G$1,D898)</f>
        <v>1271.1548229120001</v>
      </c>
    </row>
    <row r="899" spans="1:7" x14ac:dyDescent="0.3">
      <c r="A899" s="14" t="str">
        <f>VLOOKUP(B899,'Relacion codigos'!$A:$B,2,FALSE)</f>
        <v>8575</v>
      </c>
      <c r="B899" s="6" t="s">
        <v>1967</v>
      </c>
      <c r="C899" s="6" t="s">
        <v>11370</v>
      </c>
      <c r="D899" s="24">
        <v>1271.3333399999999</v>
      </c>
      <c r="E899" s="6" t="s">
        <v>5889</v>
      </c>
      <c r="F899" s="6">
        <v>21</v>
      </c>
      <c r="G899" s="8">
        <f t="shared" si="14"/>
        <v>1271.3333399999999</v>
      </c>
    </row>
    <row r="900" spans="1:7" x14ac:dyDescent="0.3">
      <c r="A900" s="14" t="str">
        <f>VLOOKUP(B900,'Relacion codigos'!$A:$B,2,FALSE)</f>
        <v>5103</v>
      </c>
      <c r="B900" s="6" t="s">
        <v>2085</v>
      </c>
      <c r="C900" s="6" t="s">
        <v>13324</v>
      </c>
      <c r="D900" s="24">
        <v>2002.1426380800001</v>
      </c>
      <c r="E900" s="6" t="s">
        <v>5889</v>
      </c>
      <c r="F900" s="6">
        <v>21</v>
      </c>
      <c r="G900" s="8">
        <f t="shared" si="14"/>
        <v>2002.1426380800001</v>
      </c>
    </row>
    <row r="901" spans="1:7" x14ac:dyDescent="0.3">
      <c r="A901" s="14" t="str">
        <f>VLOOKUP(B901,'Relacion codigos'!$A:$B,2,FALSE)</f>
        <v>6026</v>
      </c>
      <c r="B901" s="6" t="s">
        <v>2146</v>
      </c>
      <c r="C901" s="6" t="s">
        <v>11256</v>
      </c>
      <c r="D901" s="24">
        <v>1949.67675712914</v>
      </c>
      <c r="E901" s="6" t="s">
        <v>5889</v>
      </c>
      <c r="F901" s="6">
        <v>21</v>
      </c>
      <c r="G901" s="8">
        <f t="shared" si="14"/>
        <v>1949.67675712914</v>
      </c>
    </row>
    <row r="902" spans="1:7" x14ac:dyDescent="0.3">
      <c r="A902" s="14" t="str">
        <f>VLOOKUP(B902,'Relacion codigos'!$A:$B,2,FALSE)</f>
        <v>6025</v>
      </c>
      <c r="B902" s="6" t="s">
        <v>2148</v>
      </c>
      <c r="C902" s="6" t="s">
        <v>11258</v>
      </c>
      <c r="D902" s="24">
        <v>1949.67675712914</v>
      </c>
      <c r="E902" s="6" t="s">
        <v>5889</v>
      </c>
      <c r="F902" s="6">
        <v>21</v>
      </c>
      <c r="G902" s="8">
        <f t="shared" si="14"/>
        <v>1949.67675712914</v>
      </c>
    </row>
    <row r="903" spans="1:7" x14ac:dyDescent="0.3">
      <c r="A903" s="14" t="str">
        <f>VLOOKUP(B903,'Relacion codigos'!$A:$B,2,FALSE)</f>
        <v>8574</v>
      </c>
      <c r="B903" s="6" t="s">
        <v>1969</v>
      </c>
      <c r="C903" s="6" t="s">
        <v>11371</v>
      </c>
      <c r="D903" s="24">
        <v>1271.3333399999999</v>
      </c>
      <c r="E903" s="6" t="s">
        <v>5889</v>
      </c>
      <c r="F903" s="6">
        <v>21</v>
      </c>
      <c r="G903" s="8">
        <f t="shared" si="14"/>
        <v>1271.3333399999999</v>
      </c>
    </row>
    <row r="904" spans="1:7" x14ac:dyDescent="0.3">
      <c r="A904" s="14" t="str">
        <f>VLOOKUP(B904,'Relacion codigos'!$A:$B,2,FALSE)</f>
        <v>5106</v>
      </c>
      <c r="B904" s="6" t="s">
        <v>2087</v>
      </c>
      <c r="C904" s="6" t="s">
        <v>12779</v>
      </c>
      <c r="D904" s="24">
        <v>2002.1426380800001</v>
      </c>
      <c r="E904" s="6" t="s">
        <v>5889</v>
      </c>
      <c r="F904" s="6">
        <v>21</v>
      </c>
      <c r="G904" s="8">
        <f t="shared" si="14"/>
        <v>2002.1426380800001</v>
      </c>
    </row>
    <row r="905" spans="1:7" x14ac:dyDescent="0.3">
      <c r="A905" s="14" t="str">
        <f>VLOOKUP(B905,'Relacion codigos'!$A:$B,2,FALSE)</f>
        <v>6023</v>
      </c>
      <c r="B905" s="6" t="s">
        <v>2149</v>
      </c>
      <c r="C905" s="6" t="s">
        <v>11260</v>
      </c>
      <c r="D905" s="24">
        <v>1949.67675712914</v>
      </c>
      <c r="E905" s="6" t="s">
        <v>5889</v>
      </c>
      <c r="F905" s="6">
        <v>21</v>
      </c>
      <c r="G905" s="8">
        <f t="shared" si="14"/>
        <v>1949.67675712914</v>
      </c>
    </row>
    <row r="906" spans="1:7" x14ac:dyDescent="0.3">
      <c r="A906" s="14" t="e">
        <f>VLOOKUP(B906,'Relacion codigos'!$A:$B,2,FALSE)</f>
        <v>#N/A</v>
      </c>
      <c r="B906" s="6" t="s">
        <v>8914</v>
      </c>
      <c r="C906" s="6" t="s">
        <v>11261</v>
      </c>
      <c r="D906" s="24">
        <v>1271.1548229120001</v>
      </c>
      <c r="E906" s="6" t="s">
        <v>5889</v>
      </c>
      <c r="F906" s="6">
        <v>21</v>
      </c>
      <c r="G906" s="8">
        <f t="shared" si="14"/>
        <v>1271.1548229120001</v>
      </c>
    </row>
    <row r="907" spans="1:7" x14ac:dyDescent="0.3">
      <c r="A907" s="14" t="str">
        <f>VLOOKUP(B907,'Relacion codigos'!$A:$B,2,FALSE)</f>
        <v>6955</v>
      </c>
      <c r="B907" s="6" t="s">
        <v>2174</v>
      </c>
      <c r="C907" s="6" t="s">
        <v>13552</v>
      </c>
      <c r="D907" s="24">
        <v>549.24959232000003</v>
      </c>
      <c r="E907" s="6" t="s">
        <v>5889</v>
      </c>
      <c r="F907" s="6">
        <v>21</v>
      </c>
      <c r="G907" s="8">
        <f t="shared" si="14"/>
        <v>549.24959232000003</v>
      </c>
    </row>
    <row r="908" spans="1:7" x14ac:dyDescent="0.3">
      <c r="A908" s="14" t="str">
        <f>VLOOKUP(B908,'Relacion codigos'!$A:$B,2,FALSE)</f>
        <v>6507</v>
      </c>
      <c r="B908" s="6" t="s">
        <v>2176</v>
      </c>
      <c r="C908" s="6" t="s">
        <v>13553</v>
      </c>
      <c r="D908" s="24">
        <v>549.24959232000003</v>
      </c>
      <c r="E908" s="6" t="s">
        <v>5889</v>
      </c>
      <c r="F908" s="6">
        <v>21</v>
      </c>
      <c r="G908" s="8">
        <f t="shared" si="14"/>
        <v>549.24959232000003</v>
      </c>
    </row>
    <row r="909" spans="1:7" x14ac:dyDescent="0.3">
      <c r="A909" s="14" t="str">
        <f>VLOOKUP(B909,'Relacion codigos'!$A:$B,2,FALSE)</f>
        <v>7985</v>
      </c>
      <c r="B909" s="6" t="s">
        <v>2175</v>
      </c>
      <c r="C909" s="6" t="s">
        <v>13554</v>
      </c>
      <c r="D909" s="24">
        <v>549.24959232000003</v>
      </c>
      <c r="E909" s="6" t="s">
        <v>5889</v>
      </c>
      <c r="F909" s="6">
        <v>21</v>
      </c>
      <c r="G909" s="8">
        <f t="shared" si="14"/>
        <v>549.24959232000003</v>
      </c>
    </row>
    <row r="910" spans="1:7" x14ac:dyDescent="0.3">
      <c r="A910" s="14" t="str">
        <f>VLOOKUP(B910,'Relacion codigos'!$A:$B,2,FALSE)</f>
        <v>6957</v>
      </c>
      <c r="B910" s="6" t="s">
        <v>2177</v>
      </c>
      <c r="C910" s="6" t="s">
        <v>13555</v>
      </c>
      <c r="D910" s="24">
        <v>876.24186624000004</v>
      </c>
      <c r="E910" s="6" t="s">
        <v>5889</v>
      </c>
      <c r="F910" s="6">
        <v>21</v>
      </c>
      <c r="G910" s="8">
        <f t="shared" si="14"/>
        <v>876.24186624000004</v>
      </c>
    </row>
    <row r="911" spans="1:7" x14ac:dyDescent="0.3">
      <c r="A911" s="14" t="str">
        <f>VLOOKUP(B911,'Relacion codigos'!$A:$B,2,FALSE)</f>
        <v>7986</v>
      </c>
      <c r="B911" s="6" t="s">
        <v>2178</v>
      </c>
      <c r="C911" s="6" t="s">
        <v>13556</v>
      </c>
      <c r="D911" s="24">
        <v>876.24186624000004</v>
      </c>
      <c r="E911" s="6" t="s">
        <v>5889</v>
      </c>
      <c r="F911" s="6">
        <v>21</v>
      </c>
      <c r="G911" s="8">
        <f t="shared" si="14"/>
        <v>876.24186624000004</v>
      </c>
    </row>
    <row r="912" spans="1:7" x14ac:dyDescent="0.3">
      <c r="A912" s="14" t="str">
        <f>VLOOKUP(B912,'Relacion codigos'!$A:$B,2,FALSE)</f>
        <v>8189</v>
      </c>
      <c r="B912" s="6" t="s">
        <v>2179</v>
      </c>
      <c r="C912" s="6" t="s">
        <v>13557</v>
      </c>
      <c r="D912" s="24">
        <v>1389.56493312</v>
      </c>
      <c r="E912" s="6" t="s">
        <v>5889</v>
      </c>
      <c r="F912" s="6">
        <v>21</v>
      </c>
      <c r="G912" s="8">
        <f t="shared" si="14"/>
        <v>1389.56493312</v>
      </c>
    </row>
    <row r="913" spans="1:7" x14ac:dyDescent="0.3">
      <c r="A913" s="14" t="str">
        <f>VLOOKUP(B913,'Relacion codigos'!$A:$B,2,FALSE)</f>
        <v>8190</v>
      </c>
      <c r="B913" s="6" t="s">
        <v>2180</v>
      </c>
      <c r="C913" s="6" t="s">
        <v>13558</v>
      </c>
      <c r="D913" s="24">
        <v>1389.56493312</v>
      </c>
      <c r="E913" s="6" t="s">
        <v>5889</v>
      </c>
      <c r="F913" s="6">
        <v>21</v>
      </c>
      <c r="G913" s="8">
        <f t="shared" si="14"/>
        <v>1389.56493312</v>
      </c>
    </row>
    <row r="914" spans="1:7" x14ac:dyDescent="0.3">
      <c r="A914" s="14" t="str">
        <f>VLOOKUP(B914,'Relacion codigos'!$A:$B,2,FALSE)</f>
        <v>8191</v>
      </c>
      <c r="B914" s="6" t="s">
        <v>2181</v>
      </c>
      <c r="C914" s="6" t="s">
        <v>13559</v>
      </c>
      <c r="D914" s="24">
        <v>1389.56493312</v>
      </c>
      <c r="E914" s="6" t="s">
        <v>5889</v>
      </c>
      <c r="F914" s="6">
        <v>21</v>
      </c>
      <c r="G914" s="8">
        <f t="shared" si="14"/>
        <v>1389.56493312</v>
      </c>
    </row>
    <row r="915" spans="1:7" x14ac:dyDescent="0.3">
      <c r="A915" s="14" t="str">
        <f>VLOOKUP(B915,'Relacion codigos'!$A:$B,2,FALSE)</f>
        <v>7336</v>
      </c>
      <c r="B915" s="6" t="s">
        <v>2227</v>
      </c>
      <c r="C915" s="6" t="s">
        <v>9551</v>
      </c>
      <c r="D915" s="24">
        <v>0.51049699999999998</v>
      </c>
      <c r="E915" s="6" t="s">
        <v>5887</v>
      </c>
      <c r="F915" s="6">
        <v>21</v>
      </c>
      <c r="G915" s="8">
        <f t="shared" si="14"/>
        <v>793.82283499999994</v>
      </c>
    </row>
    <row r="916" spans="1:7" x14ac:dyDescent="0.3">
      <c r="A916" s="14" t="e">
        <f>VLOOKUP(B916,'Relacion codigos'!$A:$B,2,FALSE)</f>
        <v>#N/A</v>
      </c>
      <c r="B916" s="6" t="s">
        <v>9552</v>
      </c>
      <c r="C916" s="6" t="s">
        <v>9553</v>
      </c>
      <c r="D916" s="24">
        <v>0.25037999999999999</v>
      </c>
      <c r="E916" s="6" t="s">
        <v>5887</v>
      </c>
      <c r="F916" s="6">
        <v>21</v>
      </c>
      <c r="G916" s="8">
        <f t="shared" si="14"/>
        <v>389.34089999999998</v>
      </c>
    </row>
    <row r="917" spans="1:7" x14ac:dyDescent="0.3">
      <c r="A917" s="14" t="str">
        <f>VLOOKUP(B917,'Relacion codigos'!$A:$B,2,FALSE)</f>
        <v>7337</v>
      </c>
      <c r="B917" s="6" t="s">
        <v>2228</v>
      </c>
      <c r="C917" s="6" t="s">
        <v>9554</v>
      </c>
      <c r="D917" s="24">
        <v>0.51466999999999996</v>
      </c>
      <c r="E917" s="6" t="s">
        <v>5887</v>
      </c>
      <c r="F917" s="6">
        <v>21</v>
      </c>
      <c r="G917" s="8">
        <f t="shared" si="14"/>
        <v>800.31184999999994</v>
      </c>
    </row>
    <row r="918" spans="1:7" x14ac:dyDescent="0.3">
      <c r="A918" s="14" t="e">
        <f>VLOOKUP(B918,'Relacion codigos'!$A:$B,2,FALSE)</f>
        <v>#N/A</v>
      </c>
      <c r="B918" s="6" t="s">
        <v>9555</v>
      </c>
      <c r="C918" s="6" t="s">
        <v>9556</v>
      </c>
      <c r="D918" s="24">
        <v>0.26429000000000002</v>
      </c>
      <c r="E918" s="6" t="s">
        <v>5887</v>
      </c>
      <c r="F918" s="6">
        <v>21</v>
      </c>
      <c r="G918" s="8">
        <f t="shared" si="14"/>
        <v>410.97095000000002</v>
      </c>
    </row>
    <row r="919" spans="1:7" x14ac:dyDescent="0.3">
      <c r="A919" s="14" t="str">
        <f>VLOOKUP(B919,'Relacion codigos'!$A:$B,2,FALSE)</f>
        <v>8592</v>
      </c>
      <c r="B919" s="6" t="s">
        <v>2232</v>
      </c>
      <c r="C919" s="6" t="s">
        <v>13498</v>
      </c>
      <c r="D919" s="24">
        <v>828.74578176</v>
      </c>
      <c r="E919" s="6" t="s">
        <v>5889</v>
      </c>
      <c r="F919" s="6">
        <v>21</v>
      </c>
      <c r="G919" s="8">
        <f t="shared" si="14"/>
        <v>828.74578176</v>
      </c>
    </row>
    <row r="920" spans="1:7" x14ac:dyDescent="0.3">
      <c r="A920" s="14" t="str">
        <f>VLOOKUP(B920,'Relacion codigos'!$A:$B,2,FALSE)</f>
        <v>8593</v>
      </c>
      <c r="B920" s="6" t="s">
        <v>2235</v>
      </c>
      <c r="C920" s="6" t="s">
        <v>13366</v>
      </c>
      <c r="D920" s="24">
        <v>1150.25773824</v>
      </c>
      <c r="E920" s="6" t="s">
        <v>5889</v>
      </c>
      <c r="F920" s="6">
        <v>21</v>
      </c>
      <c r="G920" s="8">
        <f t="shared" si="14"/>
        <v>1150.25773824</v>
      </c>
    </row>
    <row r="921" spans="1:7" x14ac:dyDescent="0.3">
      <c r="A921" s="14" t="str">
        <f>VLOOKUP(B921,'Relacion codigos'!$A:$B,2,FALSE)</f>
        <v>1661</v>
      </c>
      <c r="B921" s="6" t="s">
        <v>2236</v>
      </c>
      <c r="C921" s="6" t="s">
        <v>13499</v>
      </c>
      <c r="D921" s="24">
        <v>1890.1005926400001</v>
      </c>
      <c r="E921" s="6" t="s">
        <v>5889</v>
      </c>
      <c r="F921" s="6">
        <v>21</v>
      </c>
      <c r="G921" s="8">
        <f t="shared" si="14"/>
        <v>1890.1005926400001</v>
      </c>
    </row>
    <row r="922" spans="1:7" x14ac:dyDescent="0.3">
      <c r="A922" s="14" t="str">
        <f>VLOOKUP(B922,'Relacion codigos'!$A:$B,2,FALSE)</f>
        <v>1662</v>
      </c>
      <c r="B922" s="6" t="s">
        <v>2237</v>
      </c>
      <c r="C922" s="6" t="s">
        <v>13500</v>
      </c>
      <c r="D922" s="24">
        <v>2987.3819289600001</v>
      </c>
      <c r="E922" s="6" t="s">
        <v>5889</v>
      </c>
      <c r="F922" s="6">
        <v>21</v>
      </c>
      <c r="G922" s="8">
        <f t="shared" si="14"/>
        <v>2987.3819289600001</v>
      </c>
    </row>
    <row r="923" spans="1:7" x14ac:dyDescent="0.3">
      <c r="A923" s="14" t="str">
        <f>VLOOKUP(B923,'Relacion codigos'!$A:$B,2,FALSE)</f>
        <v>1663</v>
      </c>
      <c r="B923" s="6" t="s">
        <v>2238</v>
      </c>
      <c r="C923" s="6" t="s">
        <v>13501</v>
      </c>
      <c r="D923" s="24">
        <v>1025.5378917887999</v>
      </c>
      <c r="E923" s="6" t="s">
        <v>5889</v>
      </c>
      <c r="F923" s="6">
        <v>21</v>
      </c>
      <c r="G923" s="8">
        <f t="shared" si="14"/>
        <v>1025.5378917887999</v>
      </c>
    </row>
    <row r="924" spans="1:7" x14ac:dyDescent="0.3">
      <c r="A924" s="14" t="str">
        <f>VLOOKUP(B924,'Relacion codigos'!$A:$B,2,FALSE)</f>
        <v>1718</v>
      </c>
      <c r="B924" s="6" t="s">
        <v>2239</v>
      </c>
      <c r="C924" s="6" t="s">
        <v>13502</v>
      </c>
      <c r="D924" s="24">
        <v>1253.16592128</v>
      </c>
      <c r="E924" s="6" t="s">
        <v>5889</v>
      </c>
      <c r="F924" s="6">
        <v>21</v>
      </c>
      <c r="G924" s="8">
        <f t="shared" si="14"/>
        <v>1253.16592128</v>
      </c>
    </row>
    <row r="925" spans="1:7" x14ac:dyDescent="0.3">
      <c r="A925" s="14" t="e">
        <f>VLOOKUP(B925,'Relacion codigos'!$A:$B,2,FALSE)</f>
        <v>#N/A</v>
      </c>
      <c r="B925" s="6" t="s">
        <v>8972</v>
      </c>
      <c r="C925" s="6" t="s">
        <v>13367</v>
      </c>
      <c r="D925" s="24">
        <v>1754.9194291199999</v>
      </c>
      <c r="E925" s="6" t="s">
        <v>5889</v>
      </c>
      <c r="F925" s="6">
        <v>21</v>
      </c>
      <c r="G925" s="8">
        <f t="shared" si="14"/>
        <v>1754.9194291199999</v>
      </c>
    </row>
    <row r="926" spans="1:7" x14ac:dyDescent="0.3">
      <c r="A926" s="14" t="str">
        <f>VLOOKUP(B926,'Relacion codigos'!$A:$B,2,FALSE)</f>
        <v>1735</v>
      </c>
      <c r="B926" s="6" t="s">
        <v>2240</v>
      </c>
      <c r="C926" s="6" t="s">
        <v>11262</v>
      </c>
      <c r="D926" s="24">
        <v>733.43395093959305</v>
      </c>
      <c r="E926" s="6" t="s">
        <v>5889</v>
      </c>
      <c r="F926" s="6">
        <v>21</v>
      </c>
      <c r="G926" s="8">
        <f t="shared" si="14"/>
        <v>733.43395093959305</v>
      </c>
    </row>
    <row r="927" spans="1:7" x14ac:dyDescent="0.3">
      <c r="A927" s="14" t="str">
        <f>VLOOKUP(B927,'Relacion codigos'!$A:$B,2,FALSE)</f>
        <v>1861</v>
      </c>
      <c r="B927" s="6" t="s">
        <v>2242</v>
      </c>
      <c r="C927" s="6" t="s">
        <v>13503</v>
      </c>
      <c r="D927" s="24">
        <v>4470.7211827199999</v>
      </c>
      <c r="E927" s="6" t="s">
        <v>5889</v>
      </c>
      <c r="F927" s="6">
        <v>21</v>
      </c>
      <c r="G927" s="8">
        <f t="shared" si="14"/>
        <v>4470.7211827199999</v>
      </c>
    </row>
    <row r="928" spans="1:7" x14ac:dyDescent="0.3">
      <c r="A928" s="14" t="str">
        <f>VLOOKUP(B928,'Relacion codigos'!$A:$B,2,FALSE)</f>
        <v>1206</v>
      </c>
      <c r="B928" s="6" t="s">
        <v>3450</v>
      </c>
      <c r="C928" s="6" t="s">
        <v>118</v>
      </c>
      <c r="D928" s="24">
        <v>9491.0712000000003</v>
      </c>
      <c r="E928" s="6" t="s">
        <v>5889</v>
      </c>
      <c r="F928" s="6">
        <v>21</v>
      </c>
      <c r="G928" s="8">
        <f t="shared" si="14"/>
        <v>9491.0712000000003</v>
      </c>
    </row>
    <row r="929" spans="1:7" x14ac:dyDescent="0.3">
      <c r="A929" s="14" t="e">
        <f>VLOOKUP(B929,'Relacion codigos'!$A:$B,2,FALSE)</f>
        <v>#N/A</v>
      </c>
      <c r="B929" s="6" t="s">
        <v>12182</v>
      </c>
      <c r="C929" s="6" t="s">
        <v>12183</v>
      </c>
      <c r="D929" s="24">
        <v>25489.581116547601</v>
      </c>
      <c r="E929" s="6" t="s">
        <v>5889</v>
      </c>
      <c r="F929" s="6">
        <v>21</v>
      </c>
      <c r="G929" s="8">
        <f t="shared" si="14"/>
        <v>25489.581116547601</v>
      </c>
    </row>
    <row r="930" spans="1:7" x14ac:dyDescent="0.3">
      <c r="A930" s="14" t="e">
        <f>VLOOKUP(B930,'Relacion codigos'!$A:$B,2,FALSE)</f>
        <v>#N/A</v>
      </c>
      <c r="B930" s="6" t="s">
        <v>9801</v>
      </c>
      <c r="C930" s="6" t="s">
        <v>11489</v>
      </c>
      <c r="D930" s="24">
        <v>48901.078494730798</v>
      </c>
      <c r="E930" s="6" t="s">
        <v>5889</v>
      </c>
      <c r="F930" s="6">
        <v>21</v>
      </c>
      <c r="G930" s="8">
        <f t="shared" si="14"/>
        <v>48901.078494730798</v>
      </c>
    </row>
    <row r="931" spans="1:7" x14ac:dyDescent="0.3">
      <c r="A931" s="14" t="e">
        <f>VLOOKUP(B931,'Relacion codigos'!$A:$B,2,FALSE)</f>
        <v>#N/A</v>
      </c>
      <c r="B931" s="6" t="s">
        <v>9802</v>
      </c>
      <c r="C931" s="6" t="s">
        <v>11490</v>
      </c>
      <c r="D931" s="24">
        <v>48901.078494730798</v>
      </c>
      <c r="E931" s="6" t="s">
        <v>5889</v>
      </c>
      <c r="F931" s="6">
        <v>21</v>
      </c>
      <c r="G931" s="8">
        <f t="shared" si="14"/>
        <v>48901.078494730798</v>
      </c>
    </row>
    <row r="932" spans="1:7" x14ac:dyDescent="0.3">
      <c r="A932" s="14" t="e">
        <f>VLOOKUP(B932,'Relacion codigos'!$A:$B,2,FALSE)</f>
        <v>#N/A</v>
      </c>
      <c r="B932" s="6" t="s">
        <v>9790</v>
      </c>
      <c r="C932" s="6" t="s">
        <v>11491</v>
      </c>
      <c r="D932" s="24">
        <v>78099.673000330804</v>
      </c>
      <c r="E932" s="6" t="s">
        <v>5889</v>
      </c>
      <c r="F932" s="6">
        <v>21</v>
      </c>
      <c r="G932" s="8">
        <f t="shared" si="14"/>
        <v>78099.673000330804</v>
      </c>
    </row>
    <row r="933" spans="1:7" x14ac:dyDescent="0.3">
      <c r="A933" s="14" t="e">
        <f>VLOOKUP(B933,'Relacion codigos'!$A:$B,2,FALSE)</f>
        <v>#N/A</v>
      </c>
      <c r="B933" s="6" t="s">
        <v>9791</v>
      </c>
      <c r="C933" s="6" t="s">
        <v>11492</v>
      </c>
      <c r="D933" s="24">
        <v>78099.673000330804</v>
      </c>
      <c r="E933" s="6" t="s">
        <v>5889</v>
      </c>
      <c r="F933" s="6">
        <v>21</v>
      </c>
      <c r="G933" s="8">
        <f t="shared" si="14"/>
        <v>78099.673000330804</v>
      </c>
    </row>
    <row r="934" spans="1:7" x14ac:dyDescent="0.3">
      <c r="A934" s="14" t="e">
        <f>VLOOKUP(B934,'Relacion codigos'!$A:$B,2,FALSE)</f>
        <v>#N/A</v>
      </c>
      <c r="B934" s="6" t="s">
        <v>9042</v>
      </c>
      <c r="C934" s="6" t="s">
        <v>9043</v>
      </c>
      <c r="D934" s="24">
        <v>1206.2368084</v>
      </c>
      <c r="E934" s="6" t="s">
        <v>5889</v>
      </c>
      <c r="F934" s="6">
        <v>21</v>
      </c>
      <c r="G934" s="8">
        <f t="shared" si="14"/>
        <v>1206.2368084</v>
      </c>
    </row>
    <row r="935" spans="1:7" x14ac:dyDescent="0.3">
      <c r="A935" s="14" t="str">
        <f>VLOOKUP(B935,'Relacion codigos'!$A:$B,2,FALSE)</f>
        <v>9081</v>
      </c>
      <c r="B935" s="6" t="s">
        <v>2324</v>
      </c>
      <c r="C935" s="6" t="s">
        <v>1229</v>
      </c>
      <c r="D935" s="24">
        <v>11087.955926774999</v>
      </c>
      <c r="E935" s="6" t="s">
        <v>5889</v>
      </c>
      <c r="F935" s="6">
        <v>21</v>
      </c>
      <c r="G935" s="8">
        <f t="shared" si="14"/>
        <v>11087.955926774999</v>
      </c>
    </row>
    <row r="936" spans="1:7" x14ac:dyDescent="0.3">
      <c r="A936" s="14" t="str">
        <f>VLOOKUP(B936,'Relacion codigos'!$A:$B,2,FALSE)</f>
        <v>9082</v>
      </c>
      <c r="B936" s="6" t="s">
        <v>2325</v>
      </c>
      <c r="C936" s="6" t="s">
        <v>1230</v>
      </c>
      <c r="D936" s="24">
        <v>11087.955926774999</v>
      </c>
      <c r="E936" s="6" t="s">
        <v>5889</v>
      </c>
      <c r="F936" s="6">
        <v>21</v>
      </c>
      <c r="G936" s="8">
        <f t="shared" si="14"/>
        <v>11087.955926774999</v>
      </c>
    </row>
    <row r="937" spans="1:7" x14ac:dyDescent="0.3">
      <c r="A937" s="14" t="e">
        <f>VLOOKUP(B937,'Relacion codigos'!$A:$B,2,FALSE)</f>
        <v>#N/A</v>
      </c>
      <c r="B937" s="6" t="s">
        <v>9515</v>
      </c>
      <c r="C937" s="6" t="s">
        <v>9516</v>
      </c>
      <c r="D937" s="24">
        <v>4297.4944999999998</v>
      </c>
      <c r="E937" s="6" t="s">
        <v>5889</v>
      </c>
      <c r="F937" s="6">
        <v>21</v>
      </c>
      <c r="G937" s="8">
        <f t="shared" si="14"/>
        <v>4297.4944999999998</v>
      </c>
    </row>
    <row r="938" spans="1:7" x14ac:dyDescent="0.3">
      <c r="A938" s="14" t="str">
        <f>VLOOKUP(B938,'Relacion codigos'!$A:$B,2,FALSE)</f>
        <v>320</v>
      </c>
      <c r="B938" s="6" t="s">
        <v>4667</v>
      </c>
      <c r="C938" s="6" t="s">
        <v>119</v>
      </c>
      <c r="D938" s="24">
        <v>82.793711000000002</v>
      </c>
      <c r="E938" s="6" t="s">
        <v>5889</v>
      </c>
      <c r="F938" s="6">
        <v>21</v>
      </c>
      <c r="G938" s="8">
        <f t="shared" si="14"/>
        <v>82.793711000000002</v>
      </c>
    </row>
    <row r="939" spans="1:7" x14ac:dyDescent="0.3">
      <c r="A939" s="14" t="str">
        <f>VLOOKUP(B939,'Relacion codigos'!$A:$B,2,FALSE)</f>
        <v>1110</v>
      </c>
      <c r="B939" s="6" t="s">
        <v>4668</v>
      </c>
      <c r="C939" s="6" t="s">
        <v>120</v>
      </c>
      <c r="D939" s="24">
        <v>102.66970999999999</v>
      </c>
      <c r="E939" s="6" t="s">
        <v>5889</v>
      </c>
      <c r="F939" s="6">
        <v>21</v>
      </c>
      <c r="G939" s="8">
        <f t="shared" si="14"/>
        <v>102.66970999999999</v>
      </c>
    </row>
    <row r="940" spans="1:7" x14ac:dyDescent="0.3">
      <c r="A940" s="14" t="str">
        <f>VLOOKUP(B940,'Relacion codigos'!$A:$B,2,FALSE)</f>
        <v>1212</v>
      </c>
      <c r="B940" s="6" t="s">
        <v>4670</v>
      </c>
      <c r="C940" s="6" t="s">
        <v>122</v>
      </c>
      <c r="D940" s="24">
        <v>93.978741999999997</v>
      </c>
      <c r="E940" s="6" t="s">
        <v>5889</v>
      </c>
      <c r="F940" s="6">
        <v>21</v>
      </c>
      <c r="G940" s="8">
        <f t="shared" si="14"/>
        <v>93.978741999999997</v>
      </c>
    </row>
    <row r="941" spans="1:7" x14ac:dyDescent="0.3">
      <c r="A941" s="14" t="str">
        <f>VLOOKUP(B941,'Relacion codigos'!$A:$B,2,FALSE)</f>
        <v>1286</v>
      </c>
      <c r="B941" s="6" t="s">
        <v>4671</v>
      </c>
      <c r="C941" s="6" t="s">
        <v>9627</v>
      </c>
      <c r="D941" s="24">
        <v>68.609684000000001</v>
      </c>
      <c r="E941" s="6" t="s">
        <v>5889</v>
      </c>
      <c r="F941" s="6">
        <v>21</v>
      </c>
      <c r="G941" s="8">
        <f t="shared" si="14"/>
        <v>68.609684000000001</v>
      </c>
    </row>
    <row r="942" spans="1:7" x14ac:dyDescent="0.3">
      <c r="A942" s="14" t="str">
        <f>VLOOKUP(B942,'Relacion codigos'!$A:$B,2,FALSE)</f>
        <v>2411</v>
      </c>
      <c r="B942" s="6" t="s">
        <v>3213</v>
      </c>
      <c r="C942" s="6" t="s">
        <v>13130</v>
      </c>
      <c r="D942" s="24">
        <v>14060.5700852916</v>
      </c>
      <c r="E942" s="6" t="s">
        <v>5889</v>
      </c>
      <c r="F942" s="6">
        <v>21</v>
      </c>
      <c r="G942" s="8">
        <f t="shared" si="14"/>
        <v>14060.5700852916</v>
      </c>
    </row>
    <row r="943" spans="1:7" x14ac:dyDescent="0.3">
      <c r="A943" s="14" t="e">
        <f>VLOOKUP(B943,'Relacion codigos'!$A:$B,2,FALSE)</f>
        <v>#N/A</v>
      </c>
      <c r="B943" s="6" t="s">
        <v>9005</v>
      </c>
      <c r="C943" s="6" t="s">
        <v>13131</v>
      </c>
      <c r="D943" s="24">
        <v>20086.822992787202</v>
      </c>
      <c r="E943" s="6" t="s">
        <v>5889</v>
      </c>
      <c r="F943" s="6">
        <v>21</v>
      </c>
      <c r="G943" s="8">
        <f t="shared" si="14"/>
        <v>20086.822992787202</v>
      </c>
    </row>
    <row r="944" spans="1:7" x14ac:dyDescent="0.3">
      <c r="A944" s="14" t="e">
        <f>VLOOKUP(B944,'Relacion codigos'!$A:$B,2,FALSE)</f>
        <v>#N/A</v>
      </c>
      <c r="B944" s="6" t="s">
        <v>9055</v>
      </c>
      <c r="C944" s="6" t="s">
        <v>13132</v>
      </c>
      <c r="D944" s="24">
        <v>26782.619201535599</v>
      </c>
      <c r="E944" s="6" t="s">
        <v>5889</v>
      </c>
      <c r="F944" s="6">
        <v>21</v>
      </c>
      <c r="G944" s="8">
        <f t="shared" si="14"/>
        <v>26782.619201535599</v>
      </c>
    </row>
    <row r="945" spans="1:7" x14ac:dyDescent="0.3">
      <c r="A945" s="14" t="e">
        <f>VLOOKUP(B945,'Relacion codigos'!$A:$B,2,FALSE)</f>
        <v>#N/A</v>
      </c>
      <c r="B945" s="6" t="s">
        <v>9000</v>
      </c>
      <c r="C945" s="6" t="s">
        <v>13133</v>
      </c>
      <c r="D945" s="24">
        <v>33478.463042575197</v>
      </c>
      <c r="E945" s="6" t="s">
        <v>5889</v>
      </c>
      <c r="F945" s="6">
        <v>21</v>
      </c>
      <c r="G945" s="8">
        <f t="shared" si="14"/>
        <v>33478.463042575197</v>
      </c>
    </row>
    <row r="946" spans="1:7" x14ac:dyDescent="0.3">
      <c r="A946" s="14" t="e">
        <f>VLOOKUP(B946,'Relacion codigos'!$A:$B,2,FALSE)</f>
        <v>#N/A</v>
      </c>
      <c r="B946" s="6" t="s">
        <v>9056</v>
      </c>
      <c r="C946" s="6" t="s">
        <v>13134</v>
      </c>
      <c r="D946" s="24">
        <v>46870.132862545201</v>
      </c>
      <c r="E946" s="6" t="s">
        <v>5889</v>
      </c>
      <c r="F946" s="6">
        <v>21</v>
      </c>
      <c r="G946" s="8">
        <f t="shared" si="14"/>
        <v>46870.132862545201</v>
      </c>
    </row>
    <row r="947" spans="1:7" x14ac:dyDescent="0.3">
      <c r="A947" s="14" t="e">
        <f>VLOOKUP(B947,'Relacion codigos'!$A:$B,2,FALSE)</f>
        <v>#N/A</v>
      </c>
      <c r="B947" s="6" t="s">
        <v>12678</v>
      </c>
      <c r="C947" s="6" t="s">
        <v>13135</v>
      </c>
      <c r="D947" s="24">
        <v>77314.484450080796</v>
      </c>
      <c r="E947" s="6" t="s">
        <v>5889</v>
      </c>
      <c r="F947" s="6">
        <v>21</v>
      </c>
      <c r="G947" s="8">
        <f t="shared" si="14"/>
        <v>77314.484450080796</v>
      </c>
    </row>
    <row r="948" spans="1:7" x14ac:dyDescent="0.3">
      <c r="A948" s="14" t="str">
        <f>VLOOKUP(B948,'Relacion codigos'!$A:$B,2,FALSE)</f>
        <v>2410</v>
      </c>
      <c r="B948" s="6" t="s">
        <v>3225</v>
      </c>
      <c r="C948" s="6" t="s">
        <v>13900</v>
      </c>
      <c r="D948" s="24">
        <v>8703.9081113400007</v>
      </c>
      <c r="E948" s="6" t="s">
        <v>5889</v>
      </c>
      <c r="F948" s="6">
        <v>21</v>
      </c>
      <c r="G948" s="8">
        <f t="shared" si="14"/>
        <v>8703.9081113400007</v>
      </c>
    </row>
    <row r="949" spans="1:7" x14ac:dyDescent="0.3">
      <c r="A949" s="14" t="e">
        <f>VLOOKUP(B949,'Relacion codigos'!$A:$B,2,FALSE)</f>
        <v>#N/A</v>
      </c>
      <c r="B949" s="6" t="s">
        <v>10572</v>
      </c>
      <c r="C949" s="6" t="s">
        <v>13985</v>
      </c>
      <c r="D949" s="24">
        <v>95170.026347931605</v>
      </c>
      <c r="E949" s="6" t="s">
        <v>5889</v>
      </c>
      <c r="F949" s="6">
        <v>21</v>
      </c>
      <c r="G949" s="8">
        <f t="shared" si="14"/>
        <v>95170.026347931605</v>
      </c>
    </row>
    <row r="950" spans="1:7" x14ac:dyDescent="0.3">
      <c r="A950" s="14" t="e">
        <f>VLOOKUP(B950,'Relacion codigos'!$A:$B,2,FALSE)</f>
        <v>#N/A</v>
      </c>
      <c r="B950" s="6" t="s">
        <v>12185</v>
      </c>
      <c r="C950" s="6" t="s">
        <v>12186</v>
      </c>
      <c r="D950" s="24">
        <v>3590.0517417803999</v>
      </c>
      <c r="E950" s="6" t="s">
        <v>5889</v>
      </c>
      <c r="F950" s="6">
        <v>21</v>
      </c>
      <c r="G950" s="8">
        <f t="shared" si="14"/>
        <v>3590.0517417803999</v>
      </c>
    </row>
    <row r="951" spans="1:7" x14ac:dyDescent="0.3">
      <c r="A951" s="14" t="e">
        <f>VLOOKUP(B951,'Relacion codigos'!$A:$B,2,FALSE)</f>
        <v>#N/A</v>
      </c>
      <c r="B951" s="6" t="s">
        <v>8996</v>
      </c>
      <c r="C951" s="6" t="s">
        <v>9044</v>
      </c>
      <c r="D951" s="24">
        <v>17324.769322972799</v>
      </c>
      <c r="E951" s="6" t="s">
        <v>5889</v>
      </c>
      <c r="F951" s="6">
        <v>21</v>
      </c>
      <c r="G951" s="8">
        <f t="shared" si="14"/>
        <v>17324.769322972799</v>
      </c>
    </row>
    <row r="952" spans="1:7" x14ac:dyDescent="0.3">
      <c r="A952" s="14" t="e">
        <f>VLOOKUP(B952,'Relacion codigos'!$A:$B,2,FALSE)</f>
        <v>#N/A</v>
      </c>
      <c r="B952" s="6" t="s">
        <v>9045</v>
      </c>
      <c r="C952" s="6" t="s">
        <v>9046</v>
      </c>
      <c r="D952" s="24">
        <v>24749.970714939602</v>
      </c>
      <c r="E952" s="6" t="s">
        <v>5889</v>
      </c>
      <c r="F952" s="6">
        <v>21</v>
      </c>
      <c r="G952" s="8">
        <f t="shared" si="14"/>
        <v>24749.970714939602</v>
      </c>
    </row>
    <row r="953" spans="1:7" x14ac:dyDescent="0.3">
      <c r="A953" s="14" t="e">
        <f>VLOOKUP(B953,'Relacion codigos'!$A:$B,2,FALSE)</f>
        <v>#N/A</v>
      </c>
      <c r="B953" s="6" t="s">
        <v>9047</v>
      </c>
      <c r="C953" s="6" t="s">
        <v>9048</v>
      </c>
      <c r="D953" s="24">
        <v>33687.687881671198</v>
      </c>
      <c r="E953" s="6" t="s">
        <v>5889</v>
      </c>
      <c r="F953" s="6">
        <v>21</v>
      </c>
      <c r="G953" s="8">
        <f t="shared" si="14"/>
        <v>33687.687881671198</v>
      </c>
    </row>
    <row r="954" spans="1:7" x14ac:dyDescent="0.3">
      <c r="A954" s="14" t="e">
        <f>VLOOKUP(B954,'Relacion codigos'!$A:$B,2,FALSE)</f>
        <v>#N/A</v>
      </c>
      <c r="B954" s="6" t="s">
        <v>9049</v>
      </c>
      <c r="C954" s="6" t="s">
        <v>9050</v>
      </c>
      <c r="D954" s="24">
        <v>41250.385836223199</v>
      </c>
      <c r="E954" s="6" t="s">
        <v>5889</v>
      </c>
      <c r="F954" s="6">
        <v>21</v>
      </c>
      <c r="G954" s="8">
        <f t="shared" si="14"/>
        <v>41250.385836223199</v>
      </c>
    </row>
    <row r="955" spans="1:7" x14ac:dyDescent="0.3">
      <c r="A955" s="14" t="e">
        <f>VLOOKUP(B955,'Relacion codigos'!$A:$B,2,FALSE)</f>
        <v>#N/A</v>
      </c>
      <c r="B955" s="6" t="s">
        <v>9051</v>
      </c>
      <c r="C955" s="6" t="s">
        <v>9052</v>
      </c>
      <c r="D955" s="24">
        <v>7699.5276650604001</v>
      </c>
      <c r="E955" s="6" t="s">
        <v>5889</v>
      </c>
      <c r="F955" s="6">
        <v>21</v>
      </c>
      <c r="G955" s="8">
        <f t="shared" si="14"/>
        <v>7699.5276650604001</v>
      </c>
    </row>
    <row r="956" spans="1:7" x14ac:dyDescent="0.3">
      <c r="A956" s="14" t="e">
        <f>VLOOKUP(B956,'Relacion codigos'!$A:$B,2,FALSE)</f>
        <v>#N/A</v>
      </c>
      <c r="B956" s="6" t="s">
        <v>9067</v>
      </c>
      <c r="C956" s="6" t="s">
        <v>9068</v>
      </c>
      <c r="D956" s="24">
        <v>58438.349264833203</v>
      </c>
      <c r="E956" s="6" t="s">
        <v>5889</v>
      </c>
      <c r="F956" s="6">
        <v>21</v>
      </c>
      <c r="G956" s="8">
        <f t="shared" si="14"/>
        <v>58438.349264833203</v>
      </c>
    </row>
    <row r="957" spans="1:7" x14ac:dyDescent="0.3">
      <c r="A957" s="14" t="e">
        <f>VLOOKUP(B957,'Relacion codigos'!$A:$B,2,FALSE)</f>
        <v>#N/A</v>
      </c>
      <c r="B957" s="6" t="s">
        <v>9053</v>
      </c>
      <c r="C957" s="6" t="s">
        <v>9054</v>
      </c>
      <c r="D957" s="24">
        <v>10724.600892844799</v>
      </c>
      <c r="E957" s="6" t="s">
        <v>5889</v>
      </c>
      <c r="F957" s="6">
        <v>21</v>
      </c>
      <c r="G957" s="8">
        <f t="shared" si="14"/>
        <v>10724.600892844799</v>
      </c>
    </row>
    <row r="958" spans="1:7" x14ac:dyDescent="0.3">
      <c r="A958" s="14" t="e">
        <f>VLOOKUP(B958,'Relacion codigos'!$A:$B,2,FALSE)</f>
        <v>#N/A</v>
      </c>
      <c r="B958" s="6" t="s">
        <v>9073</v>
      </c>
      <c r="C958" s="6" t="s">
        <v>12978</v>
      </c>
      <c r="D958" s="24">
        <v>228507.44443820199</v>
      </c>
      <c r="E958" s="6" t="s">
        <v>5889</v>
      </c>
      <c r="F958" s="6">
        <v>21</v>
      </c>
      <c r="G958" s="8">
        <f t="shared" si="14"/>
        <v>228507.44443820199</v>
      </c>
    </row>
    <row r="959" spans="1:7" x14ac:dyDescent="0.3">
      <c r="A959" s="14" t="e">
        <f>VLOOKUP(B959,'Relacion codigos'!$A:$B,2,FALSE)</f>
        <v>#N/A</v>
      </c>
      <c r="B959" s="6" t="s">
        <v>9074</v>
      </c>
      <c r="C959" s="6" t="s">
        <v>12979</v>
      </c>
      <c r="D959" s="24">
        <v>301564.41180395399</v>
      </c>
      <c r="E959" s="6" t="s">
        <v>5889</v>
      </c>
      <c r="F959" s="6">
        <v>21</v>
      </c>
      <c r="G959" s="8">
        <f t="shared" si="14"/>
        <v>301564.41180395399</v>
      </c>
    </row>
    <row r="960" spans="1:7" x14ac:dyDescent="0.3">
      <c r="A960" s="14" t="e">
        <f>VLOOKUP(B960,'Relacion codigos'!$A:$B,2,FALSE)</f>
        <v>#N/A</v>
      </c>
      <c r="B960" s="6" t="s">
        <v>9075</v>
      </c>
      <c r="C960" s="6" t="s">
        <v>12980</v>
      </c>
      <c r="D960" s="24">
        <v>383959.25521480798</v>
      </c>
      <c r="E960" s="6" t="s">
        <v>5889</v>
      </c>
      <c r="F960" s="6">
        <v>21</v>
      </c>
      <c r="G960" s="8">
        <f t="shared" si="14"/>
        <v>383959.25521480798</v>
      </c>
    </row>
    <row r="961" spans="1:7" x14ac:dyDescent="0.3">
      <c r="A961" s="14" t="str">
        <f>VLOOKUP(B961,'Relacion codigos'!$A:$B,2,FALSE)</f>
        <v>4046</v>
      </c>
      <c r="B961" s="6" t="s">
        <v>3262</v>
      </c>
      <c r="C961" s="6" t="s">
        <v>12981</v>
      </c>
      <c r="D961" s="24">
        <v>61497.7594205364</v>
      </c>
      <c r="E961" s="6" t="s">
        <v>5889</v>
      </c>
      <c r="F961" s="6">
        <v>21</v>
      </c>
      <c r="G961" s="8">
        <f t="shared" si="14"/>
        <v>61497.7594205364</v>
      </c>
    </row>
    <row r="962" spans="1:7" x14ac:dyDescent="0.3">
      <c r="A962" s="14" t="str">
        <f>VLOOKUP(B962,'Relacion codigos'!$A:$B,2,FALSE)</f>
        <v>330</v>
      </c>
      <c r="B962" s="6" t="s">
        <v>2621</v>
      </c>
      <c r="C962" s="6" t="s">
        <v>12590</v>
      </c>
      <c r="D962" s="24">
        <v>1418.82</v>
      </c>
      <c r="E962" s="6" t="s">
        <v>5889</v>
      </c>
      <c r="F962" s="6">
        <v>21</v>
      </c>
      <c r="G962" s="8">
        <f t="shared" ref="G962:G1025" si="15">IF(E962="Dolares",D962*$G$1,D962)</f>
        <v>1418.82</v>
      </c>
    </row>
    <row r="963" spans="1:7" x14ac:dyDescent="0.3">
      <c r="A963" s="14" t="str">
        <f>VLOOKUP(B963,'Relacion codigos'!$A:$B,2,FALSE)</f>
        <v>189</v>
      </c>
      <c r="B963" s="6" t="s">
        <v>2620</v>
      </c>
      <c r="C963" s="6" t="s">
        <v>127</v>
      </c>
      <c r="D963" s="24">
        <v>855.46500000000003</v>
      </c>
      <c r="E963" s="6" t="s">
        <v>5889</v>
      </c>
      <c r="F963" s="6">
        <v>21</v>
      </c>
      <c r="G963" s="8">
        <f t="shared" si="15"/>
        <v>855.46500000000003</v>
      </c>
    </row>
    <row r="964" spans="1:7" x14ac:dyDescent="0.3">
      <c r="A964" s="14" t="e">
        <f>VLOOKUP(B964,'Relacion codigos'!$A:$B,2,FALSE)</f>
        <v>#N/A</v>
      </c>
      <c r="B964" s="6" t="s">
        <v>9816</v>
      </c>
      <c r="C964" s="6" t="s">
        <v>12187</v>
      </c>
      <c r="D964" s="24">
        <v>1034.1295238095199</v>
      </c>
      <c r="E964" s="6" t="s">
        <v>5889</v>
      </c>
      <c r="F964" s="6">
        <v>21</v>
      </c>
      <c r="G964" s="8">
        <f t="shared" si="15"/>
        <v>1034.1295238095199</v>
      </c>
    </row>
    <row r="965" spans="1:7" x14ac:dyDescent="0.3">
      <c r="A965" s="14" t="str">
        <f>VLOOKUP(B965,'Relacion codigos'!$A:$B,2,FALSE)</f>
        <v>812</v>
      </c>
      <c r="B965" s="6" t="s">
        <v>2612</v>
      </c>
      <c r="C965" s="6" t="s">
        <v>128</v>
      </c>
      <c r="D965" s="24">
        <v>1057.9370036975999</v>
      </c>
      <c r="E965" s="6" t="s">
        <v>5889</v>
      </c>
      <c r="F965" s="6">
        <v>21</v>
      </c>
      <c r="G965" s="8">
        <f t="shared" si="15"/>
        <v>1057.9370036975999</v>
      </c>
    </row>
    <row r="966" spans="1:7" x14ac:dyDescent="0.3">
      <c r="A966" s="14" t="str">
        <f>VLOOKUP(B966,'Relacion codigos'!$A:$B,2,FALSE)</f>
        <v>1890</v>
      </c>
      <c r="B966" s="6" t="s">
        <v>2622</v>
      </c>
      <c r="C966" s="6" t="s">
        <v>12591</v>
      </c>
      <c r="D966" s="24">
        <v>769.22299999999996</v>
      </c>
      <c r="E966" s="6" t="s">
        <v>5889</v>
      </c>
      <c r="F966" s="6">
        <v>21</v>
      </c>
      <c r="G966" s="8">
        <f t="shared" si="15"/>
        <v>769.22299999999996</v>
      </c>
    </row>
    <row r="967" spans="1:7" x14ac:dyDescent="0.3">
      <c r="A967" s="14" t="str">
        <f>VLOOKUP(B967,'Relacion codigos'!$A:$B,2,FALSE)</f>
        <v>190</v>
      </c>
      <c r="B967" s="6" t="s">
        <v>2623</v>
      </c>
      <c r="C967" s="6" t="s">
        <v>12592</v>
      </c>
      <c r="D967" s="24">
        <v>319.93</v>
      </c>
      <c r="E967" s="6" t="s">
        <v>5889</v>
      </c>
      <c r="F967" s="6">
        <v>21</v>
      </c>
      <c r="G967" s="8">
        <f t="shared" si="15"/>
        <v>319.93</v>
      </c>
    </row>
    <row r="968" spans="1:7" x14ac:dyDescent="0.3">
      <c r="A968" s="14" t="str">
        <f>VLOOKUP(B968,'Relacion codigos'!$A:$B,2,FALSE)</f>
        <v>995</v>
      </c>
      <c r="B968" s="6" t="s">
        <v>2613</v>
      </c>
      <c r="C968" s="6" t="s">
        <v>12593</v>
      </c>
      <c r="D968" s="24">
        <v>424.02265626240001</v>
      </c>
      <c r="E968" s="6" t="s">
        <v>5889</v>
      </c>
      <c r="F968" s="6">
        <v>21</v>
      </c>
      <c r="G968" s="8">
        <f t="shared" si="15"/>
        <v>424.02265626240001</v>
      </c>
    </row>
    <row r="969" spans="1:7" x14ac:dyDescent="0.3">
      <c r="A969" s="14" t="e">
        <f>VLOOKUP(B969,'Relacion codigos'!$A:$B,2,FALSE)</f>
        <v>#N/A</v>
      </c>
      <c r="B969" s="6" t="s">
        <v>9817</v>
      </c>
      <c r="C969" s="6" t="s">
        <v>9818</v>
      </c>
      <c r="D969" s="24">
        <v>495.87371061227998</v>
      </c>
      <c r="E969" s="6" t="s">
        <v>5889</v>
      </c>
      <c r="F969" s="6">
        <v>21</v>
      </c>
      <c r="G969" s="8">
        <f t="shared" si="15"/>
        <v>495.87371061227998</v>
      </c>
    </row>
    <row r="970" spans="1:7" x14ac:dyDescent="0.3">
      <c r="A970" s="14" t="str">
        <f>VLOOKUP(B970,'Relacion codigos'!$A:$B,2,FALSE)</f>
        <v>328</v>
      </c>
      <c r="B970" s="6" t="s">
        <v>2624</v>
      </c>
      <c r="C970" s="6" t="s">
        <v>129</v>
      </c>
      <c r="D970" s="24">
        <v>751.14</v>
      </c>
      <c r="E970" s="6" t="s">
        <v>5889</v>
      </c>
      <c r="F970" s="6">
        <v>21</v>
      </c>
      <c r="G970" s="8">
        <f t="shared" si="15"/>
        <v>751.14</v>
      </c>
    </row>
    <row r="971" spans="1:7" x14ac:dyDescent="0.3">
      <c r="A971" s="14" t="str">
        <f>VLOOKUP(B971,'Relacion codigos'!$A:$B,2,FALSE)</f>
        <v>187</v>
      </c>
      <c r="B971" s="6" t="s">
        <v>2625</v>
      </c>
      <c r="C971" s="6" t="s">
        <v>130</v>
      </c>
      <c r="D971" s="24">
        <v>319.93476985388997</v>
      </c>
      <c r="E971" s="6" t="s">
        <v>5889</v>
      </c>
      <c r="F971" s="6">
        <v>21</v>
      </c>
      <c r="G971" s="8">
        <f t="shared" si="15"/>
        <v>319.93476985388997</v>
      </c>
    </row>
    <row r="972" spans="1:7" x14ac:dyDescent="0.3">
      <c r="A972" s="14" t="str">
        <f>VLOOKUP(B972,'Relacion codigos'!$A:$B,2,FALSE)</f>
        <v>810</v>
      </c>
      <c r="B972" s="6" t="s">
        <v>2614</v>
      </c>
      <c r="C972" s="6" t="s">
        <v>131</v>
      </c>
      <c r="D972" s="24">
        <v>382.48134429959998</v>
      </c>
      <c r="E972" s="6" t="s">
        <v>5889</v>
      </c>
      <c r="F972" s="6">
        <v>21</v>
      </c>
      <c r="G972" s="8">
        <f t="shared" si="15"/>
        <v>382.48134429959998</v>
      </c>
    </row>
    <row r="973" spans="1:7" x14ac:dyDescent="0.3">
      <c r="A973" s="14" t="str">
        <f>VLOOKUP(B973,'Relacion codigos'!$A:$B,2,FALSE)</f>
        <v>329</v>
      </c>
      <c r="B973" s="6" t="s">
        <v>2626</v>
      </c>
      <c r="C973" s="6" t="s">
        <v>132</v>
      </c>
      <c r="D973" s="24">
        <v>1161.4849999999999</v>
      </c>
      <c r="E973" s="6" t="s">
        <v>5889</v>
      </c>
      <c r="F973" s="6">
        <v>21</v>
      </c>
      <c r="G973" s="8">
        <f t="shared" si="15"/>
        <v>1161.4849999999999</v>
      </c>
    </row>
    <row r="974" spans="1:7" x14ac:dyDescent="0.3">
      <c r="A974" s="14" t="str">
        <f>VLOOKUP(B974,'Relacion codigos'!$A:$B,2,FALSE)</f>
        <v>188</v>
      </c>
      <c r="B974" s="6" t="s">
        <v>2627</v>
      </c>
      <c r="C974" s="6" t="s">
        <v>133</v>
      </c>
      <c r="D974" s="24">
        <v>688.54499999999996</v>
      </c>
      <c r="E974" s="6" t="s">
        <v>5889</v>
      </c>
      <c r="F974" s="6">
        <v>21</v>
      </c>
      <c r="G974" s="8">
        <f t="shared" si="15"/>
        <v>688.54499999999996</v>
      </c>
    </row>
    <row r="975" spans="1:7" x14ac:dyDescent="0.3">
      <c r="A975" s="14" t="str">
        <f>VLOOKUP(B975,'Relacion codigos'!$A:$B,2,FALSE)</f>
        <v>811</v>
      </c>
      <c r="B975" s="6" t="s">
        <v>2616</v>
      </c>
      <c r="C975" s="6" t="s">
        <v>134</v>
      </c>
      <c r="D975" s="24">
        <v>824.53282278120003</v>
      </c>
      <c r="E975" s="6" t="s">
        <v>5889</v>
      </c>
      <c r="F975" s="6">
        <v>21</v>
      </c>
      <c r="G975" s="8">
        <f t="shared" si="15"/>
        <v>824.53282278120003</v>
      </c>
    </row>
    <row r="976" spans="1:7" x14ac:dyDescent="0.3">
      <c r="A976" s="14" t="e">
        <f>VLOOKUP(B976,'Relacion codigos'!$A:$B,2,FALSE)</f>
        <v>#N/A</v>
      </c>
      <c r="B976" s="6" t="s">
        <v>9819</v>
      </c>
      <c r="C976" s="6" t="s">
        <v>9820</v>
      </c>
      <c r="D976" s="24">
        <v>1019.86167052692</v>
      </c>
      <c r="E976" s="6" t="s">
        <v>5889</v>
      </c>
      <c r="F976" s="6">
        <v>21</v>
      </c>
      <c r="G976" s="8">
        <f t="shared" si="15"/>
        <v>1019.86167052692</v>
      </c>
    </row>
    <row r="977" spans="1:7" x14ac:dyDescent="0.3">
      <c r="A977" s="14" t="str">
        <f>VLOOKUP(B977,'Relacion codigos'!$A:$B,2,FALSE)</f>
        <v>327</v>
      </c>
      <c r="B977" s="6" t="s">
        <v>2628</v>
      </c>
      <c r="C977" s="6" t="s">
        <v>135</v>
      </c>
      <c r="D977" s="24">
        <v>751.14</v>
      </c>
      <c r="E977" s="6" t="s">
        <v>5889</v>
      </c>
      <c r="F977" s="6">
        <v>21</v>
      </c>
      <c r="G977" s="8">
        <f t="shared" si="15"/>
        <v>751.14</v>
      </c>
    </row>
    <row r="978" spans="1:7" x14ac:dyDescent="0.3">
      <c r="A978" s="14" t="str">
        <f>VLOOKUP(B978,'Relacion codigos'!$A:$B,2,FALSE)</f>
        <v>186</v>
      </c>
      <c r="B978" s="6" t="s">
        <v>2629</v>
      </c>
      <c r="C978" s="6" t="s">
        <v>136</v>
      </c>
      <c r="D978" s="24">
        <v>319.93</v>
      </c>
      <c r="E978" s="6" t="s">
        <v>5889</v>
      </c>
      <c r="F978" s="6">
        <v>21</v>
      </c>
      <c r="G978" s="8">
        <f t="shared" si="15"/>
        <v>319.93</v>
      </c>
    </row>
    <row r="979" spans="1:7" x14ac:dyDescent="0.3">
      <c r="A979" s="14" t="str">
        <f>VLOOKUP(B979,'Relacion codigos'!$A:$B,2,FALSE)</f>
        <v>809</v>
      </c>
      <c r="B979" s="6" t="s">
        <v>2617</v>
      </c>
      <c r="C979" s="6" t="s">
        <v>137</v>
      </c>
      <c r="D979" s="24">
        <v>382.48134429959998</v>
      </c>
      <c r="E979" s="6" t="s">
        <v>5889</v>
      </c>
      <c r="F979" s="6">
        <v>21</v>
      </c>
      <c r="G979" s="8">
        <f t="shared" si="15"/>
        <v>382.48134429959998</v>
      </c>
    </row>
    <row r="980" spans="1:7" x14ac:dyDescent="0.3">
      <c r="A980" s="14" t="str">
        <f>VLOOKUP(B980,'Relacion codigos'!$A:$B,2,FALSE)</f>
        <v>8701</v>
      </c>
      <c r="B980" s="6" t="s">
        <v>2630</v>
      </c>
      <c r="C980" s="6" t="s">
        <v>12594</v>
      </c>
      <c r="D980" s="24">
        <v>521.625</v>
      </c>
      <c r="E980" s="6" t="s">
        <v>5889</v>
      </c>
      <c r="F980" s="6">
        <v>21</v>
      </c>
      <c r="G980" s="8">
        <f t="shared" si="15"/>
        <v>521.625</v>
      </c>
    </row>
    <row r="981" spans="1:7" x14ac:dyDescent="0.3">
      <c r="A981" s="14" t="e">
        <f>VLOOKUP(B981,'Relacion codigos'!$A:$B,2,FALSE)</f>
        <v>#N/A</v>
      </c>
      <c r="B981" s="6" t="s">
        <v>9821</v>
      </c>
      <c r="C981" s="6" t="s">
        <v>9822</v>
      </c>
      <c r="D981" s="24">
        <v>495.87371061227998</v>
      </c>
      <c r="E981" s="6" t="s">
        <v>5889</v>
      </c>
      <c r="F981" s="6">
        <v>21</v>
      </c>
      <c r="G981" s="8">
        <f t="shared" si="15"/>
        <v>495.87371061227998</v>
      </c>
    </row>
    <row r="982" spans="1:7" x14ac:dyDescent="0.3">
      <c r="A982" s="14" t="str">
        <f>VLOOKUP(B982,'Relacion codigos'!$A:$B,2,FALSE)</f>
        <v>6059</v>
      </c>
      <c r="B982" s="6" t="s">
        <v>4646</v>
      </c>
      <c r="C982" s="6" t="s">
        <v>138</v>
      </c>
      <c r="D982" s="24">
        <v>5922.6149093202002</v>
      </c>
      <c r="E982" s="6" t="s">
        <v>5889</v>
      </c>
      <c r="F982" s="6">
        <v>21</v>
      </c>
      <c r="G982" s="8">
        <f t="shared" si="15"/>
        <v>5922.6149093202002</v>
      </c>
    </row>
    <row r="983" spans="1:7" x14ac:dyDescent="0.3">
      <c r="A983" s="14" t="e">
        <f>VLOOKUP(B983,'Relacion codigos'!$A:$B,2,FALSE)</f>
        <v>#N/A</v>
      </c>
      <c r="B983" s="6" t="s">
        <v>13182</v>
      </c>
      <c r="C983" s="6" t="s">
        <v>13183</v>
      </c>
      <c r="D983" s="24">
        <v>1061.3367584820001</v>
      </c>
      <c r="E983" s="6" t="s">
        <v>5889</v>
      </c>
      <c r="F983" s="6">
        <v>21</v>
      </c>
      <c r="G983" s="8">
        <f t="shared" si="15"/>
        <v>1061.3367584820001</v>
      </c>
    </row>
    <row r="984" spans="1:7" x14ac:dyDescent="0.3">
      <c r="A984" s="14" t="e">
        <f>VLOOKUP(B984,'Relacion codigos'!$A:$B,2,FALSE)</f>
        <v>#N/A</v>
      </c>
      <c r="B984" s="6" t="s">
        <v>13594</v>
      </c>
      <c r="C984" s="6" t="s">
        <v>13595</v>
      </c>
      <c r="D984" s="24">
        <v>1167.4734113484001</v>
      </c>
      <c r="E984" s="6" t="s">
        <v>5889</v>
      </c>
      <c r="F984" s="6">
        <v>21</v>
      </c>
      <c r="G984" s="8">
        <f t="shared" si="15"/>
        <v>1167.4734113484001</v>
      </c>
    </row>
    <row r="985" spans="1:7" x14ac:dyDescent="0.3">
      <c r="A985" s="14" t="str">
        <f>VLOOKUP(B985,'Relacion codigos'!$A:$B,2,FALSE)</f>
        <v>1345</v>
      </c>
      <c r="B985" s="6" t="s">
        <v>4647</v>
      </c>
      <c r="C985" s="6" t="s">
        <v>13325</v>
      </c>
      <c r="D985" s="24">
        <v>1871.9918647039999</v>
      </c>
      <c r="E985" s="6" t="s">
        <v>5889</v>
      </c>
      <c r="F985" s="6">
        <v>21</v>
      </c>
      <c r="G985" s="8">
        <f t="shared" si="15"/>
        <v>1871.9918647039999</v>
      </c>
    </row>
    <row r="986" spans="1:7" x14ac:dyDescent="0.3">
      <c r="A986" s="14" t="e">
        <f>VLOOKUP(B986,'Relacion codigos'!$A:$B,2,FALSE)</f>
        <v>#N/A</v>
      </c>
      <c r="B986" s="6" t="s">
        <v>9587</v>
      </c>
      <c r="C986" s="6" t="s">
        <v>9588</v>
      </c>
      <c r="D986" s="24">
        <v>2659.3763120963999</v>
      </c>
      <c r="E986" s="6" t="s">
        <v>5889</v>
      </c>
      <c r="F986" s="6">
        <v>21</v>
      </c>
      <c r="G986" s="8">
        <f t="shared" si="15"/>
        <v>2659.3763120963999</v>
      </c>
    </row>
    <row r="987" spans="1:7" x14ac:dyDescent="0.3">
      <c r="A987" s="14" t="e">
        <f>VLOOKUP(B987,'Relacion codigos'!$A:$B,2,FALSE)</f>
        <v>#N/A</v>
      </c>
      <c r="B987" s="6" t="s">
        <v>9589</v>
      </c>
      <c r="C987" s="6" t="s">
        <v>9590</v>
      </c>
      <c r="D987" s="24">
        <v>1262.8511204399999</v>
      </c>
      <c r="E987" s="6" t="s">
        <v>5889</v>
      </c>
      <c r="F987" s="6">
        <v>21</v>
      </c>
      <c r="G987" s="8">
        <f t="shared" si="15"/>
        <v>1262.8511204399999</v>
      </c>
    </row>
    <row r="988" spans="1:7" x14ac:dyDescent="0.3">
      <c r="A988" s="14" t="e">
        <f>VLOOKUP(B988,'Relacion codigos'!$A:$B,2,FALSE)</f>
        <v>#N/A</v>
      </c>
      <c r="B988" s="6" t="s">
        <v>13596</v>
      </c>
      <c r="C988" s="6" t="s">
        <v>13597</v>
      </c>
      <c r="D988" s="24">
        <v>1389.1362324839999</v>
      </c>
      <c r="E988" s="6" t="s">
        <v>5889</v>
      </c>
      <c r="F988" s="6">
        <v>21</v>
      </c>
      <c r="G988" s="8">
        <f t="shared" si="15"/>
        <v>1389.1362324839999</v>
      </c>
    </row>
    <row r="989" spans="1:7" x14ac:dyDescent="0.3">
      <c r="A989" s="14" t="str">
        <f>VLOOKUP(B989,'Relacion codigos'!$A:$B,2,FALSE)</f>
        <v>1980</v>
      </c>
      <c r="B989" s="6" t="s">
        <v>5766</v>
      </c>
      <c r="C989" s="6" t="s">
        <v>11646</v>
      </c>
      <c r="D989" s="24">
        <v>18058.787367237699</v>
      </c>
      <c r="E989" s="6" t="s">
        <v>5889</v>
      </c>
      <c r="F989" s="6">
        <v>21</v>
      </c>
      <c r="G989" s="8">
        <f t="shared" si="15"/>
        <v>18058.787367237699</v>
      </c>
    </row>
    <row r="990" spans="1:7" x14ac:dyDescent="0.3">
      <c r="A990" s="14" t="str">
        <f>VLOOKUP(B990,'Relacion codigos'!$A:$B,2,FALSE)</f>
        <v>1977</v>
      </c>
      <c r="B990" s="6" t="s">
        <v>5767</v>
      </c>
      <c r="C990" s="6" t="s">
        <v>139</v>
      </c>
      <c r="D990" s="24">
        <v>1.4628451499999999</v>
      </c>
      <c r="E990" s="6" t="s">
        <v>5887</v>
      </c>
      <c r="F990" s="6">
        <v>21</v>
      </c>
      <c r="G990" s="8">
        <f t="shared" si="15"/>
        <v>2274.7242082499997</v>
      </c>
    </row>
    <row r="991" spans="1:7" x14ac:dyDescent="0.3">
      <c r="A991" s="14" t="str">
        <f>VLOOKUP(B991,'Relacion codigos'!$A:$B,2,FALSE)</f>
        <v>6289</v>
      </c>
      <c r="B991" s="6" t="s">
        <v>5769</v>
      </c>
      <c r="C991" s="6" t="s">
        <v>140</v>
      </c>
      <c r="D991" s="24">
        <v>37350.857590474901</v>
      </c>
      <c r="E991" s="6" t="s">
        <v>5889</v>
      </c>
      <c r="F991" s="6">
        <v>21</v>
      </c>
      <c r="G991" s="8">
        <f t="shared" si="15"/>
        <v>37350.857590474901</v>
      </c>
    </row>
    <row r="992" spans="1:7" x14ac:dyDescent="0.3">
      <c r="A992" s="14" t="str">
        <f>VLOOKUP(B992,'Relacion codigos'!$A:$B,2,FALSE)</f>
        <v>6288</v>
      </c>
      <c r="B992" s="6" t="s">
        <v>5770</v>
      </c>
      <c r="C992" s="6" t="s">
        <v>12023</v>
      </c>
      <c r="D992" s="24">
        <v>9678.6309884062503</v>
      </c>
      <c r="E992" s="6" t="s">
        <v>5889</v>
      </c>
      <c r="F992" s="6">
        <v>21</v>
      </c>
      <c r="G992" s="8">
        <f t="shared" si="15"/>
        <v>9678.6309884062503</v>
      </c>
    </row>
    <row r="993" spans="1:7" x14ac:dyDescent="0.3">
      <c r="A993" s="14" t="str">
        <f>VLOOKUP(B993,'Relacion codigos'!$A:$B,2,FALSE)</f>
        <v>5139</v>
      </c>
      <c r="B993" s="6" t="s">
        <v>4650</v>
      </c>
      <c r="C993" s="6" t="s">
        <v>10637</v>
      </c>
      <c r="D993" s="24">
        <v>3094.8843872248299</v>
      </c>
      <c r="E993" s="6" t="s">
        <v>5889</v>
      </c>
      <c r="F993" s="6">
        <v>21</v>
      </c>
      <c r="G993" s="8">
        <f t="shared" si="15"/>
        <v>3094.8843872248299</v>
      </c>
    </row>
    <row r="994" spans="1:7" x14ac:dyDescent="0.3">
      <c r="A994" s="14" t="str">
        <f>VLOOKUP(B994,'Relacion codigos'!$A:$B,2,FALSE)</f>
        <v>5140</v>
      </c>
      <c r="B994" s="6" t="s">
        <v>4651</v>
      </c>
      <c r="C994" s="6" t="s">
        <v>10638</v>
      </c>
      <c r="D994" s="24">
        <v>3094.8843872248299</v>
      </c>
      <c r="E994" s="6" t="s">
        <v>5889</v>
      </c>
      <c r="F994" s="6">
        <v>21</v>
      </c>
      <c r="G994" s="8">
        <f t="shared" si="15"/>
        <v>3094.8843872248299</v>
      </c>
    </row>
    <row r="995" spans="1:7" x14ac:dyDescent="0.3">
      <c r="A995" s="14" t="str">
        <f>VLOOKUP(B995,'Relacion codigos'!$A:$B,2,FALSE)</f>
        <v>5141</v>
      </c>
      <c r="B995" s="6" t="s">
        <v>4652</v>
      </c>
      <c r="C995" s="6" t="s">
        <v>10639</v>
      </c>
      <c r="D995" s="24">
        <v>4115.8139955836496</v>
      </c>
      <c r="E995" s="6" t="s">
        <v>5889</v>
      </c>
      <c r="F995" s="6">
        <v>21</v>
      </c>
      <c r="G995" s="8">
        <f t="shared" si="15"/>
        <v>4115.8139955836496</v>
      </c>
    </row>
    <row r="996" spans="1:7" x14ac:dyDescent="0.3">
      <c r="A996" s="14" t="str">
        <f>VLOOKUP(B996,'Relacion codigos'!$A:$B,2,FALSE)</f>
        <v>5142</v>
      </c>
      <c r="B996" s="6" t="s">
        <v>4653</v>
      </c>
      <c r="C996" s="6" t="s">
        <v>141</v>
      </c>
      <c r="D996" s="24">
        <v>6266.5565441058598</v>
      </c>
      <c r="E996" s="6" t="s">
        <v>5889</v>
      </c>
      <c r="F996" s="6">
        <v>21</v>
      </c>
      <c r="G996" s="8">
        <f t="shared" si="15"/>
        <v>6266.5565441058598</v>
      </c>
    </row>
    <row r="997" spans="1:7" x14ac:dyDescent="0.3">
      <c r="A997" s="14" t="str">
        <f>VLOOKUP(B997,'Relacion codigos'!$A:$B,2,FALSE)</f>
        <v>2256</v>
      </c>
      <c r="B997" s="6" t="s">
        <v>3253</v>
      </c>
      <c r="C997" s="6" t="s">
        <v>8861</v>
      </c>
      <c r="D997" s="24">
        <v>11544.531245488801</v>
      </c>
      <c r="E997" s="6" t="s">
        <v>5889</v>
      </c>
      <c r="F997" s="6">
        <v>21</v>
      </c>
      <c r="G997" s="8">
        <f t="shared" si="15"/>
        <v>11544.531245488801</v>
      </c>
    </row>
    <row r="998" spans="1:7" x14ac:dyDescent="0.3">
      <c r="A998" s="14" t="str">
        <f>VLOOKUP(B998,'Relacion codigos'!$A:$B,2,FALSE)</f>
        <v>2258</v>
      </c>
      <c r="B998" s="6" t="s">
        <v>3254</v>
      </c>
      <c r="C998" s="6" t="s">
        <v>863</v>
      </c>
      <c r="D998" s="24">
        <v>23147.054805513599</v>
      </c>
      <c r="E998" s="6" t="s">
        <v>5889</v>
      </c>
      <c r="F998" s="6">
        <v>21</v>
      </c>
      <c r="G998" s="8">
        <f t="shared" si="15"/>
        <v>23147.054805513599</v>
      </c>
    </row>
    <row r="999" spans="1:7" x14ac:dyDescent="0.3">
      <c r="A999" s="14" t="str">
        <f>VLOOKUP(B999,'Relacion codigos'!$A:$B,2,FALSE)</f>
        <v>1031</v>
      </c>
      <c r="B999" s="6" t="s">
        <v>3153</v>
      </c>
      <c r="C999" s="6" t="s">
        <v>142</v>
      </c>
      <c r="D999" s="24">
        <v>22.262252266800001</v>
      </c>
      <c r="E999" s="6" t="s">
        <v>5887</v>
      </c>
      <c r="F999" s="6">
        <v>21</v>
      </c>
      <c r="G999" s="8">
        <f t="shared" si="15"/>
        <v>34617.802274874004</v>
      </c>
    </row>
    <row r="1000" spans="1:7" x14ac:dyDescent="0.3">
      <c r="A1000" s="14" t="e">
        <f>VLOOKUP(B1000,'Relacion codigos'!$A:$B,2,FALSE)</f>
        <v>#N/A</v>
      </c>
      <c r="B1000" s="6" t="s">
        <v>12905</v>
      </c>
      <c r="C1000" s="6" t="s">
        <v>12906</v>
      </c>
      <c r="D1000" s="24">
        <v>33607.839720000004</v>
      </c>
      <c r="E1000" s="6" t="s">
        <v>5889</v>
      </c>
      <c r="F1000" s="6">
        <v>21</v>
      </c>
      <c r="G1000" s="8">
        <f t="shared" si="15"/>
        <v>33607.839720000004</v>
      </c>
    </row>
    <row r="1001" spans="1:7" x14ac:dyDescent="0.3">
      <c r="A1001" s="14" t="str">
        <f>VLOOKUP(B1001,'Relacion codigos'!$A:$B,2,FALSE)</f>
        <v>1504</v>
      </c>
      <c r="B1001" s="6" t="s">
        <v>3154</v>
      </c>
      <c r="C1001" s="6" t="s">
        <v>143</v>
      </c>
      <c r="D1001" s="24">
        <v>28.555748863200002</v>
      </c>
      <c r="E1001" s="6" t="s">
        <v>5887</v>
      </c>
      <c r="F1001" s="6">
        <v>21</v>
      </c>
      <c r="G1001" s="8">
        <f t="shared" si="15"/>
        <v>44404.189482276</v>
      </c>
    </row>
    <row r="1002" spans="1:7" x14ac:dyDescent="0.3">
      <c r="A1002" s="14" t="e">
        <f>VLOOKUP(B1002,'Relacion codigos'!$A:$B,2,FALSE)</f>
        <v>#N/A</v>
      </c>
      <c r="B1002" s="6" t="s">
        <v>12907</v>
      </c>
      <c r="C1002" s="6" t="s">
        <v>12908</v>
      </c>
      <c r="D1002" s="24">
        <v>42902.000959999998</v>
      </c>
      <c r="E1002" s="6" t="s">
        <v>5889</v>
      </c>
      <c r="F1002" s="6">
        <v>21</v>
      </c>
      <c r="G1002" s="8">
        <f t="shared" si="15"/>
        <v>42902.000959999998</v>
      </c>
    </row>
    <row r="1003" spans="1:7" x14ac:dyDescent="0.3">
      <c r="A1003" s="14" t="str">
        <f>VLOOKUP(B1003,'Relacion codigos'!$A:$B,2,FALSE)</f>
        <v>1505</v>
      </c>
      <c r="B1003" s="6" t="s">
        <v>3155</v>
      </c>
      <c r="C1003" s="6" t="s">
        <v>144</v>
      </c>
      <c r="D1003" s="24">
        <v>37.248221368800003</v>
      </c>
      <c r="E1003" s="6" t="s">
        <v>5887</v>
      </c>
      <c r="F1003" s="6">
        <v>21</v>
      </c>
      <c r="G1003" s="8">
        <f t="shared" si="15"/>
        <v>57920.984228484005</v>
      </c>
    </row>
    <row r="1004" spans="1:7" x14ac:dyDescent="0.3">
      <c r="A1004" s="14" t="e">
        <f>VLOOKUP(B1004,'Relacion codigos'!$A:$B,2,FALSE)</f>
        <v>#N/A</v>
      </c>
      <c r="B1004" s="6" t="s">
        <v>12909</v>
      </c>
      <c r="C1004" s="6" t="s">
        <v>12910</v>
      </c>
      <c r="D1004" s="24">
        <v>54438.5933</v>
      </c>
      <c r="E1004" s="6" t="s">
        <v>5889</v>
      </c>
      <c r="F1004" s="6">
        <v>21</v>
      </c>
      <c r="G1004" s="8">
        <f t="shared" si="15"/>
        <v>54438.5933</v>
      </c>
    </row>
    <row r="1005" spans="1:7" x14ac:dyDescent="0.3">
      <c r="A1005" s="14" t="e">
        <f>VLOOKUP(B1005,'Relacion codigos'!$A:$B,2,FALSE)</f>
        <v>#N/A</v>
      </c>
      <c r="B1005" s="6" t="s">
        <v>12911</v>
      </c>
      <c r="C1005" s="6" t="s">
        <v>12912</v>
      </c>
      <c r="D1005" s="24">
        <v>67896.996803999995</v>
      </c>
      <c r="E1005" s="6" t="s">
        <v>5889</v>
      </c>
      <c r="F1005" s="6">
        <v>21</v>
      </c>
      <c r="G1005" s="8">
        <f t="shared" si="15"/>
        <v>67896.996803999995</v>
      </c>
    </row>
    <row r="1006" spans="1:7" x14ac:dyDescent="0.3">
      <c r="A1006" s="14" t="str">
        <f>VLOOKUP(B1006,'Relacion codigos'!$A:$B,2,FALSE)</f>
        <v>1028</v>
      </c>
      <c r="B1006" s="6" t="s">
        <v>3157</v>
      </c>
      <c r="C1006" s="6" t="s">
        <v>146</v>
      </c>
      <c r="D1006" s="24">
        <v>15.87108744</v>
      </c>
      <c r="E1006" s="6" t="s">
        <v>5887</v>
      </c>
      <c r="F1006" s="6">
        <v>21</v>
      </c>
      <c r="G1006" s="8">
        <f t="shared" si="15"/>
        <v>24679.540969199999</v>
      </c>
    </row>
    <row r="1007" spans="1:7" x14ac:dyDescent="0.3">
      <c r="A1007" s="14" t="e">
        <f>VLOOKUP(B1007,'Relacion codigos'!$A:$B,2,FALSE)</f>
        <v>#N/A</v>
      </c>
      <c r="B1007" s="6" t="s">
        <v>12913</v>
      </c>
      <c r="C1007" s="6" t="s">
        <v>12914</v>
      </c>
      <c r="D1007" s="24">
        <v>86797.351186</v>
      </c>
      <c r="E1007" s="6" t="s">
        <v>5889</v>
      </c>
      <c r="F1007" s="6">
        <v>21</v>
      </c>
      <c r="G1007" s="8">
        <f t="shared" si="15"/>
        <v>86797.351186</v>
      </c>
    </row>
    <row r="1008" spans="1:7" x14ac:dyDescent="0.3">
      <c r="A1008" s="14" t="str">
        <f>VLOOKUP(B1008,'Relacion codigos'!$A:$B,2,FALSE)</f>
        <v>391</v>
      </c>
      <c r="B1008" s="6" t="s">
        <v>3158</v>
      </c>
      <c r="C1008" s="6" t="s">
        <v>147</v>
      </c>
      <c r="D1008" s="24">
        <v>59.870625235200002</v>
      </c>
      <c r="E1008" s="6" t="s">
        <v>5887</v>
      </c>
      <c r="F1008" s="6">
        <v>21</v>
      </c>
      <c r="G1008" s="8">
        <f t="shared" si="15"/>
        <v>93098.822240736001</v>
      </c>
    </row>
    <row r="1009" spans="1:7" x14ac:dyDescent="0.3">
      <c r="A1009" s="14" t="str">
        <f>VLOOKUP(B1009,'Relacion codigos'!$A:$B,2,FALSE)</f>
        <v>1029</v>
      </c>
      <c r="B1009" s="6" t="s">
        <v>3159</v>
      </c>
      <c r="C1009" s="6" t="s">
        <v>148</v>
      </c>
      <c r="D1009" s="24">
        <v>17.940433071600001</v>
      </c>
      <c r="E1009" s="6" t="s">
        <v>5887</v>
      </c>
      <c r="F1009" s="6">
        <v>21</v>
      </c>
      <c r="G1009" s="8">
        <f t="shared" si="15"/>
        <v>27897.373426338003</v>
      </c>
    </row>
    <row r="1010" spans="1:7" x14ac:dyDescent="0.3">
      <c r="A1010" s="14" t="e">
        <f>VLOOKUP(B1010,'Relacion codigos'!$A:$B,2,FALSE)</f>
        <v>#N/A</v>
      </c>
      <c r="B1010" s="6" t="s">
        <v>12915</v>
      </c>
      <c r="C1010" s="6" t="s">
        <v>12916</v>
      </c>
      <c r="D1010" s="24">
        <v>127357.68154200001</v>
      </c>
      <c r="E1010" s="6" t="s">
        <v>5889</v>
      </c>
      <c r="F1010" s="6">
        <v>21</v>
      </c>
      <c r="G1010" s="8">
        <f t="shared" si="15"/>
        <v>127357.68154200001</v>
      </c>
    </row>
    <row r="1011" spans="1:7" x14ac:dyDescent="0.3">
      <c r="A1011" s="14" t="str">
        <f>VLOOKUP(B1011,'Relacion codigos'!$A:$B,2,FALSE)</f>
        <v>8147</v>
      </c>
      <c r="B1011" s="6" t="s">
        <v>3160</v>
      </c>
      <c r="C1011" s="6" t="s">
        <v>864</v>
      </c>
      <c r="D1011" s="24">
        <v>92.626108005600003</v>
      </c>
      <c r="E1011" s="6" t="s">
        <v>5887</v>
      </c>
      <c r="F1011" s="6">
        <v>21</v>
      </c>
      <c r="G1011" s="8">
        <f t="shared" si="15"/>
        <v>144033.59794870802</v>
      </c>
    </row>
    <row r="1012" spans="1:7" x14ac:dyDescent="0.3">
      <c r="A1012" s="14" t="str">
        <f>VLOOKUP(B1012,'Relacion codigos'!$A:$B,2,FALSE)</f>
        <v>8148</v>
      </c>
      <c r="B1012" s="6" t="s">
        <v>3161</v>
      </c>
      <c r="C1012" s="6" t="s">
        <v>13560</v>
      </c>
      <c r="D1012" s="24">
        <v>154768.01332773999</v>
      </c>
      <c r="E1012" s="6" t="s">
        <v>5889</v>
      </c>
      <c r="F1012" s="6">
        <v>21</v>
      </c>
      <c r="G1012" s="8">
        <f t="shared" si="15"/>
        <v>154768.01332773999</v>
      </c>
    </row>
    <row r="1013" spans="1:7" x14ac:dyDescent="0.3">
      <c r="A1013" s="14" t="e">
        <f>VLOOKUP(B1013,'Relacion codigos'!$A:$B,2,FALSE)</f>
        <v>#N/A</v>
      </c>
      <c r="B1013" s="6" t="s">
        <v>10178</v>
      </c>
      <c r="C1013" s="6" t="s">
        <v>10179</v>
      </c>
      <c r="D1013" s="24">
        <v>25305.478763175</v>
      </c>
      <c r="E1013" s="6" t="s">
        <v>5889</v>
      </c>
      <c r="F1013" s="6">
        <v>21</v>
      </c>
      <c r="G1013" s="8">
        <f t="shared" si="15"/>
        <v>25305.478763175</v>
      </c>
    </row>
    <row r="1014" spans="1:7" x14ac:dyDescent="0.3">
      <c r="A1014" s="14" t="str">
        <f>VLOOKUP(B1014,'Relacion codigos'!$A:$B,2,FALSE)</f>
        <v>9083</v>
      </c>
      <c r="B1014" s="6" t="s">
        <v>2314</v>
      </c>
      <c r="C1014" s="6" t="s">
        <v>13534</v>
      </c>
      <c r="D1014" s="24">
        <v>7138.0480538250004</v>
      </c>
      <c r="E1014" s="6" t="s">
        <v>5889</v>
      </c>
      <c r="F1014" s="6">
        <v>21</v>
      </c>
      <c r="G1014" s="8">
        <f t="shared" si="15"/>
        <v>7138.0480538250004</v>
      </c>
    </row>
    <row r="1015" spans="1:7" x14ac:dyDescent="0.3">
      <c r="A1015" s="14" t="str">
        <f>VLOOKUP(B1015,'Relacion codigos'!$A:$B,2,FALSE)</f>
        <v>9084</v>
      </c>
      <c r="B1015" s="6" t="s">
        <v>2315</v>
      </c>
      <c r="C1015" s="6" t="s">
        <v>11648</v>
      </c>
      <c r="D1015" s="24">
        <v>7138.0480538250004</v>
      </c>
      <c r="E1015" s="6" t="s">
        <v>5889</v>
      </c>
      <c r="F1015" s="6">
        <v>21</v>
      </c>
      <c r="G1015" s="8">
        <f t="shared" si="15"/>
        <v>7138.0480538250004</v>
      </c>
    </row>
    <row r="1016" spans="1:7" x14ac:dyDescent="0.3">
      <c r="A1016" s="14" t="str">
        <f>VLOOKUP(B1016,'Relacion codigos'!$A:$B,2,FALSE)</f>
        <v>8631</v>
      </c>
      <c r="B1016" s="6" t="s">
        <v>3162</v>
      </c>
      <c r="C1016" s="6" t="s">
        <v>10801</v>
      </c>
      <c r="D1016" s="24">
        <v>11301.3948707035</v>
      </c>
      <c r="E1016" s="6" t="s">
        <v>5889</v>
      </c>
      <c r="F1016" s="6">
        <v>21</v>
      </c>
      <c r="G1016" s="8">
        <f t="shared" si="15"/>
        <v>11301.3948707035</v>
      </c>
    </row>
    <row r="1017" spans="1:7" x14ac:dyDescent="0.3">
      <c r="A1017" s="14" t="str">
        <f>VLOOKUP(B1017,'Relacion codigos'!$A:$B,2,FALSE)</f>
        <v>3558</v>
      </c>
      <c r="B1017" s="6" t="s">
        <v>3212</v>
      </c>
      <c r="C1017" s="6" t="s">
        <v>12049</v>
      </c>
      <c r="D1017" s="24">
        <v>4161.0140623584002</v>
      </c>
      <c r="E1017" s="6" t="s">
        <v>5889</v>
      </c>
      <c r="F1017" s="6">
        <v>21</v>
      </c>
      <c r="G1017" s="8">
        <f t="shared" si="15"/>
        <v>4161.0140623584002</v>
      </c>
    </row>
    <row r="1018" spans="1:7" x14ac:dyDescent="0.3">
      <c r="A1018" s="14" t="str">
        <f>VLOOKUP(B1018,'Relacion codigos'!$A:$B,2,FALSE)</f>
        <v>8503</v>
      </c>
      <c r="B1018" s="6" t="s">
        <v>3214</v>
      </c>
      <c r="C1018" s="6" t="s">
        <v>11466</v>
      </c>
      <c r="D1018" s="24">
        <v>17882.859066929999</v>
      </c>
      <c r="E1018" s="6" t="s">
        <v>5889</v>
      </c>
      <c r="F1018" s="6">
        <v>21</v>
      </c>
      <c r="G1018" s="8">
        <f t="shared" si="15"/>
        <v>17882.859066929999</v>
      </c>
    </row>
    <row r="1019" spans="1:7" x14ac:dyDescent="0.3">
      <c r="A1019" s="14" t="e">
        <f>VLOOKUP(B1019,'Relacion codigos'!$A:$B,2,FALSE)</f>
        <v>#N/A</v>
      </c>
      <c r="B1019" s="6" t="s">
        <v>13598</v>
      </c>
      <c r="C1019" s="6" t="s">
        <v>13599</v>
      </c>
      <c r="D1019" s="24">
        <v>9036.0957101688</v>
      </c>
      <c r="E1019" s="6" t="s">
        <v>5889</v>
      </c>
      <c r="F1019" s="6">
        <v>21</v>
      </c>
      <c r="G1019" s="8">
        <f t="shared" si="15"/>
        <v>9036.0957101688</v>
      </c>
    </row>
    <row r="1020" spans="1:7" x14ac:dyDescent="0.3">
      <c r="A1020" s="14" t="str">
        <f>VLOOKUP(B1020,'Relacion codigos'!$A:$B,2,FALSE)</f>
        <v>8504</v>
      </c>
      <c r="B1020" s="6" t="s">
        <v>3215</v>
      </c>
      <c r="C1020" s="6" t="s">
        <v>11467</v>
      </c>
      <c r="D1020" s="24">
        <v>21916.208557815</v>
      </c>
      <c r="E1020" s="6" t="s">
        <v>5889</v>
      </c>
      <c r="F1020" s="6">
        <v>21</v>
      </c>
      <c r="G1020" s="8">
        <f t="shared" si="15"/>
        <v>21916.208557815</v>
      </c>
    </row>
    <row r="1021" spans="1:7" x14ac:dyDescent="0.3">
      <c r="A1021" s="14" t="str">
        <f>VLOOKUP(B1021,'Relacion codigos'!$A:$B,2,FALSE)</f>
        <v>2185</v>
      </c>
      <c r="B1021" s="6" t="s">
        <v>3172</v>
      </c>
      <c r="C1021" s="6" t="s">
        <v>9012</v>
      </c>
      <c r="D1021" s="24">
        <v>2620.7033527072799</v>
      </c>
      <c r="E1021" s="6" t="s">
        <v>5889</v>
      </c>
      <c r="F1021" s="6">
        <v>21</v>
      </c>
      <c r="G1021" s="8">
        <f t="shared" si="15"/>
        <v>2620.7033527072799</v>
      </c>
    </row>
    <row r="1022" spans="1:7" x14ac:dyDescent="0.3">
      <c r="A1022" s="14" t="str">
        <f>VLOOKUP(B1022,'Relacion codigos'!$A:$B,2,FALSE)</f>
        <v>8495</v>
      </c>
      <c r="B1022" s="6" t="s">
        <v>3173</v>
      </c>
      <c r="C1022" s="6" t="s">
        <v>10640</v>
      </c>
      <c r="D1022" s="24">
        <v>4781.2495945500004</v>
      </c>
      <c r="E1022" s="6" t="s">
        <v>5889</v>
      </c>
      <c r="F1022" s="6">
        <v>21</v>
      </c>
      <c r="G1022" s="8">
        <f t="shared" si="15"/>
        <v>4781.2495945500004</v>
      </c>
    </row>
    <row r="1023" spans="1:7" x14ac:dyDescent="0.3">
      <c r="A1023" s="14" t="str">
        <f>VLOOKUP(B1023,'Relacion codigos'!$A:$B,2,FALSE)</f>
        <v>2183</v>
      </c>
      <c r="B1023" s="6" t="s">
        <v>3206</v>
      </c>
      <c r="C1023" s="6" t="s">
        <v>9013</v>
      </c>
      <c r="D1023" s="24">
        <v>1935.7703603315999</v>
      </c>
      <c r="E1023" s="6" t="s">
        <v>5889</v>
      </c>
      <c r="F1023" s="6">
        <v>21</v>
      </c>
      <c r="G1023" s="8">
        <f t="shared" si="15"/>
        <v>1935.7703603315999</v>
      </c>
    </row>
    <row r="1024" spans="1:7" x14ac:dyDescent="0.3">
      <c r="A1024" s="14" t="str">
        <f>VLOOKUP(B1024,'Relacion codigos'!$A:$B,2,FALSE)</f>
        <v>8621</v>
      </c>
      <c r="B1024" s="6" t="s">
        <v>3175</v>
      </c>
      <c r="C1024" s="6" t="s">
        <v>10641</v>
      </c>
      <c r="D1024" s="24">
        <v>29261.78908224</v>
      </c>
      <c r="E1024" s="6" t="s">
        <v>5889</v>
      </c>
      <c r="F1024" s="6">
        <v>21</v>
      </c>
      <c r="G1024" s="8">
        <f t="shared" si="15"/>
        <v>29261.78908224</v>
      </c>
    </row>
    <row r="1025" spans="1:7" x14ac:dyDescent="0.3">
      <c r="A1025" s="14" t="str">
        <f>VLOOKUP(B1025,'Relacion codigos'!$A:$B,2,FALSE)</f>
        <v>8624</v>
      </c>
      <c r="B1025" s="6" t="s">
        <v>3176</v>
      </c>
      <c r="C1025" s="6" t="s">
        <v>10642</v>
      </c>
      <c r="D1025" s="24">
        <v>62967.072337455</v>
      </c>
      <c r="E1025" s="6" t="s">
        <v>5889</v>
      </c>
      <c r="F1025" s="6">
        <v>21</v>
      </c>
      <c r="G1025" s="8">
        <f t="shared" si="15"/>
        <v>62967.072337455</v>
      </c>
    </row>
    <row r="1026" spans="1:7" x14ac:dyDescent="0.3">
      <c r="A1026" s="14" t="str">
        <f>VLOOKUP(B1026,'Relacion codigos'!$A:$B,2,FALSE)</f>
        <v>2412</v>
      </c>
      <c r="B1026" s="6" t="s">
        <v>3220</v>
      </c>
      <c r="C1026" s="6" t="s">
        <v>12043</v>
      </c>
      <c r="D1026" s="24">
        <v>6226.4395193363998</v>
      </c>
      <c r="E1026" s="6" t="s">
        <v>5889</v>
      </c>
      <c r="F1026" s="6">
        <v>21</v>
      </c>
      <c r="G1026" s="8">
        <f t="shared" ref="G1026:G1089" si="16">IF(E1026="Dolares",D1026*$G$1,D1026)</f>
        <v>6226.4395193363998</v>
      </c>
    </row>
    <row r="1027" spans="1:7" x14ac:dyDescent="0.3">
      <c r="A1027" s="14" t="str">
        <f>VLOOKUP(B1027,'Relacion codigos'!$A:$B,2,FALSE)</f>
        <v>8500</v>
      </c>
      <c r="B1027" s="6" t="s">
        <v>3221</v>
      </c>
      <c r="C1027" s="6" t="s">
        <v>11469</v>
      </c>
      <c r="D1027" s="24">
        <v>5826.822390675</v>
      </c>
      <c r="E1027" s="6" t="s">
        <v>5889</v>
      </c>
      <c r="F1027" s="6">
        <v>21</v>
      </c>
      <c r="G1027" s="8">
        <f t="shared" si="16"/>
        <v>5826.822390675</v>
      </c>
    </row>
    <row r="1028" spans="1:7" x14ac:dyDescent="0.3">
      <c r="A1028" s="14" t="str">
        <f>VLOOKUP(B1028,'Relacion codigos'!$A:$B,2,FALSE)</f>
        <v>2186</v>
      </c>
      <c r="B1028" s="6" t="s">
        <v>3178</v>
      </c>
      <c r="C1028" s="6" t="s">
        <v>9014</v>
      </c>
      <c r="D1028" s="24">
        <v>3231.7253277519599</v>
      </c>
      <c r="E1028" s="6" t="s">
        <v>5889</v>
      </c>
      <c r="F1028" s="6">
        <v>21</v>
      </c>
      <c r="G1028" s="8">
        <f t="shared" si="16"/>
        <v>3231.7253277519599</v>
      </c>
    </row>
    <row r="1029" spans="1:7" x14ac:dyDescent="0.3">
      <c r="A1029" s="14" t="str">
        <f>VLOOKUP(B1029,'Relacion codigos'!$A:$B,2,FALSE)</f>
        <v>8496</v>
      </c>
      <c r="B1029" s="6" t="s">
        <v>3179</v>
      </c>
      <c r="C1029" s="6" t="s">
        <v>10643</v>
      </c>
      <c r="D1029" s="24">
        <v>6479.6679390299996</v>
      </c>
      <c r="E1029" s="6" t="s">
        <v>5889</v>
      </c>
      <c r="F1029" s="6">
        <v>21</v>
      </c>
      <c r="G1029" s="8">
        <f t="shared" si="16"/>
        <v>6479.6679390299996</v>
      </c>
    </row>
    <row r="1030" spans="1:7" x14ac:dyDescent="0.3">
      <c r="A1030" s="14" t="e">
        <f>VLOOKUP(B1030,'Relacion codigos'!$A:$B,2,FALSE)</f>
        <v>#N/A</v>
      </c>
      <c r="B1030" s="6" t="s">
        <v>13600</v>
      </c>
      <c r="C1030" s="6" t="s">
        <v>13601</v>
      </c>
      <c r="D1030" s="24">
        <v>3775.246089966</v>
      </c>
      <c r="E1030" s="6" t="s">
        <v>5889</v>
      </c>
      <c r="F1030" s="6">
        <v>21</v>
      </c>
      <c r="G1030" s="8">
        <f t="shared" si="16"/>
        <v>3775.246089966</v>
      </c>
    </row>
    <row r="1031" spans="1:7" x14ac:dyDescent="0.3">
      <c r="A1031" s="14" t="str">
        <f>VLOOKUP(B1031,'Relacion codigos'!$A:$B,2,FALSE)</f>
        <v>2409</v>
      </c>
      <c r="B1031" s="6" t="s">
        <v>3107</v>
      </c>
      <c r="C1031" s="6" t="s">
        <v>10571</v>
      </c>
      <c r="D1031" s="24">
        <v>12171.5120460864</v>
      </c>
      <c r="E1031" s="6" t="s">
        <v>5889</v>
      </c>
      <c r="F1031" s="6">
        <v>21</v>
      </c>
      <c r="G1031" s="8">
        <f t="shared" si="16"/>
        <v>12171.5120460864</v>
      </c>
    </row>
    <row r="1032" spans="1:7" x14ac:dyDescent="0.3">
      <c r="A1032" s="14" t="str">
        <f>VLOOKUP(B1032,'Relacion codigos'!$A:$B,2,FALSE)</f>
        <v>8625</v>
      </c>
      <c r="B1032" s="6" t="s">
        <v>3180</v>
      </c>
      <c r="C1032" s="6" t="s">
        <v>10644</v>
      </c>
      <c r="D1032" s="24">
        <v>84325.045102154996</v>
      </c>
      <c r="E1032" s="6" t="s">
        <v>5889</v>
      </c>
      <c r="F1032" s="6">
        <v>21</v>
      </c>
      <c r="G1032" s="8">
        <f t="shared" si="16"/>
        <v>84325.045102154996</v>
      </c>
    </row>
    <row r="1033" spans="1:7" x14ac:dyDescent="0.3">
      <c r="A1033" s="14" t="str">
        <f>VLOOKUP(B1033,'Relacion codigos'!$A:$B,2,FALSE)</f>
        <v>8501</v>
      </c>
      <c r="B1033" s="6" t="s">
        <v>3223</v>
      </c>
      <c r="C1033" s="6" t="s">
        <v>11470</v>
      </c>
      <c r="D1033" s="24">
        <v>8940.251203455</v>
      </c>
      <c r="E1033" s="6" t="s">
        <v>5889</v>
      </c>
      <c r="F1033" s="6">
        <v>21</v>
      </c>
      <c r="G1033" s="8">
        <f t="shared" si="16"/>
        <v>8940.251203455</v>
      </c>
    </row>
    <row r="1034" spans="1:7" x14ac:dyDescent="0.3">
      <c r="A1034" s="14" t="str">
        <f>VLOOKUP(B1034,'Relacion codigos'!$A:$B,2,FALSE)</f>
        <v>8494</v>
      </c>
      <c r="B1034" s="6" t="s">
        <v>3210</v>
      </c>
      <c r="C1034" s="6" t="s">
        <v>10646</v>
      </c>
      <c r="D1034" s="24">
        <v>4097.3772904349998</v>
      </c>
      <c r="E1034" s="6" t="s">
        <v>5889</v>
      </c>
      <c r="F1034" s="6">
        <v>21</v>
      </c>
      <c r="G1034" s="8">
        <f t="shared" si="16"/>
        <v>4097.3772904349998</v>
      </c>
    </row>
    <row r="1035" spans="1:7" x14ac:dyDescent="0.3">
      <c r="A1035" s="14" t="str">
        <f>VLOOKUP(B1035,'Relacion codigos'!$A:$B,2,FALSE)</f>
        <v>883</v>
      </c>
      <c r="B1035" s="6" t="s">
        <v>3184</v>
      </c>
      <c r="C1035" s="6" t="s">
        <v>13537</v>
      </c>
      <c r="D1035" s="24">
        <v>5320.6936400592003</v>
      </c>
      <c r="E1035" s="6" t="s">
        <v>5889</v>
      </c>
      <c r="F1035" s="6">
        <v>21</v>
      </c>
      <c r="G1035" s="8">
        <f t="shared" si="16"/>
        <v>5320.6936400592003</v>
      </c>
    </row>
    <row r="1036" spans="1:7" x14ac:dyDescent="0.3">
      <c r="A1036" s="14" t="e">
        <f>VLOOKUP(B1036,'Relacion codigos'!$A:$B,2,FALSE)</f>
        <v>#N/A</v>
      </c>
      <c r="B1036" s="6" t="s">
        <v>13602</v>
      </c>
      <c r="C1036" s="6" t="s">
        <v>13603</v>
      </c>
      <c r="D1036" s="24">
        <v>5852.7582408360004</v>
      </c>
      <c r="E1036" s="6" t="s">
        <v>5889</v>
      </c>
      <c r="F1036" s="6">
        <v>21</v>
      </c>
      <c r="G1036" s="8">
        <f t="shared" si="16"/>
        <v>5852.7582408360004</v>
      </c>
    </row>
    <row r="1037" spans="1:7" x14ac:dyDescent="0.3">
      <c r="A1037" s="14" t="str">
        <f>VLOOKUP(B1037,'Relacion codigos'!$A:$B,2,FALSE)</f>
        <v>2259</v>
      </c>
      <c r="B1037" s="6" t="s">
        <v>3108</v>
      </c>
      <c r="C1037" s="6" t="s">
        <v>13250</v>
      </c>
      <c r="D1037" s="24">
        <v>14908.0080861036</v>
      </c>
      <c r="E1037" s="6" t="s">
        <v>5889</v>
      </c>
      <c r="F1037" s="6">
        <v>21</v>
      </c>
      <c r="G1037" s="8">
        <f t="shared" si="16"/>
        <v>14908.0080861036</v>
      </c>
    </row>
    <row r="1038" spans="1:7" x14ac:dyDescent="0.3">
      <c r="A1038" s="14" t="str">
        <f>VLOOKUP(B1038,'Relacion codigos'!$A:$B,2,FALSE)</f>
        <v>8627</v>
      </c>
      <c r="B1038" s="6" t="s">
        <v>3185</v>
      </c>
      <c r="C1038" s="6" t="s">
        <v>10648</v>
      </c>
      <c r="D1038" s="24">
        <v>125783.080426575</v>
      </c>
      <c r="E1038" s="6" t="s">
        <v>5889</v>
      </c>
      <c r="F1038" s="6">
        <v>21</v>
      </c>
      <c r="G1038" s="8">
        <f t="shared" si="16"/>
        <v>125783.080426575</v>
      </c>
    </row>
    <row r="1039" spans="1:7" x14ac:dyDescent="0.3">
      <c r="A1039" s="14" t="e">
        <f>VLOOKUP(B1039,'Relacion codigos'!$A:$B,2,FALSE)</f>
        <v>#N/A</v>
      </c>
      <c r="B1039" s="6" t="s">
        <v>12079</v>
      </c>
      <c r="C1039" s="6" t="s">
        <v>12080</v>
      </c>
      <c r="D1039" s="24">
        <v>36264.005481132001</v>
      </c>
      <c r="E1039" s="6" t="s">
        <v>5889</v>
      </c>
      <c r="F1039" s="6">
        <v>21</v>
      </c>
      <c r="G1039" s="8">
        <f t="shared" si="16"/>
        <v>36264.005481132001</v>
      </c>
    </row>
    <row r="1040" spans="1:7" x14ac:dyDescent="0.3">
      <c r="A1040" s="14" t="str">
        <f>VLOOKUP(B1040,'Relacion codigos'!$A:$B,2,FALSE)</f>
        <v>8776</v>
      </c>
      <c r="B1040" s="6" t="s">
        <v>3163</v>
      </c>
      <c r="C1040" s="6" t="s">
        <v>12081</v>
      </c>
      <c r="D1040" s="24">
        <v>34921.1684366064</v>
      </c>
      <c r="E1040" s="6" t="s">
        <v>5889</v>
      </c>
      <c r="F1040" s="6">
        <v>21</v>
      </c>
      <c r="G1040" s="8">
        <f t="shared" si="16"/>
        <v>34921.1684366064</v>
      </c>
    </row>
    <row r="1041" spans="1:7" x14ac:dyDescent="0.3">
      <c r="A1041" s="14" t="e">
        <f>VLOOKUP(B1041,'Relacion codigos'!$A:$B,2,FALSE)</f>
        <v>#N/A</v>
      </c>
      <c r="B1041" s="6" t="s">
        <v>12982</v>
      </c>
      <c r="C1041" s="6" t="s">
        <v>12983</v>
      </c>
      <c r="D1041" s="24">
        <v>170906.86381906801</v>
      </c>
      <c r="E1041" s="6" t="s">
        <v>5889</v>
      </c>
      <c r="F1041" s="6">
        <v>21</v>
      </c>
      <c r="G1041" s="8">
        <f t="shared" si="16"/>
        <v>170906.86381906801</v>
      </c>
    </row>
    <row r="1042" spans="1:7" x14ac:dyDescent="0.3">
      <c r="A1042" s="14" t="str">
        <f>VLOOKUP(B1042,'Relacion codigos'!$A:$B,2,FALSE)</f>
        <v>9090</v>
      </c>
      <c r="B1042" s="6" t="s">
        <v>2316</v>
      </c>
      <c r="C1042" s="6" t="s">
        <v>11649</v>
      </c>
      <c r="D1042" s="24">
        <v>20798.500428225001</v>
      </c>
      <c r="E1042" s="6" t="s">
        <v>5889</v>
      </c>
      <c r="F1042" s="6">
        <v>21</v>
      </c>
      <c r="G1042" s="8">
        <f t="shared" si="16"/>
        <v>20798.500428225001</v>
      </c>
    </row>
    <row r="1043" spans="1:7" x14ac:dyDescent="0.3">
      <c r="A1043" s="14" t="str">
        <f>VLOOKUP(B1043,'Relacion codigos'!$A:$B,2,FALSE)</f>
        <v>9091</v>
      </c>
      <c r="B1043" s="6" t="s">
        <v>2317</v>
      </c>
      <c r="C1043" s="6" t="s">
        <v>11650</v>
      </c>
      <c r="D1043" s="24">
        <v>20798.500428225001</v>
      </c>
      <c r="E1043" s="6" t="s">
        <v>5889</v>
      </c>
      <c r="F1043" s="6">
        <v>21</v>
      </c>
      <c r="G1043" s="8">
        <f t="shared" si="16"/>
        <v>20798.500428225001</v>
      </c>
    </row>
    <row r="1044" spans="1:7" x14ac:dyDescent="0.3">
      <c r="A1044" s="14" t="str">
        <f>VLOOKUP(B1044,'Relacion codigos'!$A:$B,2,FALSE)</f>
        <v>9089</v>
      </c>
      <c r="B1044" s="6" t="s">
        <v>2318</v>
      </c>
      <c r="C1044" s="6" t="s">
        <v>11651</v>
      </c>
      <c r="D1044" s="24">
        <v>17668.85026725</v>
      </c>
      <c r="E1044" s="6" t="s">
        <v>5889</v>
      </c>
      <c r="F1044" s="6">
        <v>21</v>
      </c>
      <c r="G1044" s="8">
        <f t="shared" si="16"/>
        <v>17668.85026725</v>
      </c>
    </row>
    <row r="1045" spans="1:7" x14ac:dyDescent="0.3">
      <c r="A1045" s="14" t="str">
        <f>VLOOKUP(B1045,'Relacion codigos'!$A:$B,2,FALSE)</f>
        <v>9092</v>
      </c>
      <c r="B1045" s="6" t="s">
        <v>2319</v>
      </c>
      <c r="C1045" s="6" t="s">
        <v>11652</v>
      </c>
      <c r="D1045" s="24">
        <v>45302.997140212603</v>
      </c>
      <c r="E1045" s="6" t="s">
        <v>5889</v>
      </c>
      <c r="F1045" s="6">
        <v>21</v>
      </c>
      <c r="G1045" s="8">
        <f t="shared" si="16"/>
        <v>45302.997140212603</v>
      </c>
    </row>
    <row r="1046" spans="1:7" x14ac:dyDescent="0.3">
      <c r="A1046" s="14" t="str">
        <f>VLOOKUP(B1046,'Relacion codigos'!$A:$B,2,FALSE)</f>
        <v>9093</v>
      </c>
      <c r="B1046" s="6" t="s">
        <v>2320</v>
      </c>
      <c r="C1046" s="6" t="s">
        <v>11653</v>
      </c>
      <c r="D1046" s="24">
        <v>72020.612061449996</v>
      </c>
      <c r="E1046" s="6" t="s">
        <v>5889</v>
      </c>
      <c r="F1046" s="6">
        <v>21</v>
      </c>
      <c r="G1046" s="8">
        <f t="shared" si="16"/>
        <v>72020.612061449996</v>
      </c>
    </row>
    <row r="1047" spans="1:7" x14ac:dyDescent="0.3">
      <c r="A1047" s="14" t="e">
        <f>VLOOKUP(B1047,'Relacion codigos'!$A:$B,2,FALSE)</f>
        <v>#N/A</v>
      </c>
      <c r="B1047" s="6" t="s">
        <v>11440</v>
      </c>
      <c r="C1047" s="6" t="s">
        <v>11654</v>
      </c>
      <c r="D1047" s="24">
        <v>69448.585389300002</v>
      </c>
      <c r="E1047" s="6" t="s">
        <v>5889</v>
      </c>
      <c r="F1047" s="6">
        <v>21</v>
      </c>
      <c r="G1047" s="8">
        <f t="shared" si="16"/>
        <v>69448.585389300002</v>
      </c>
    </row>
    <row r="1048" spans="1:7" x14ac:dyDescent="0.3">
      <c r="A1048" s="14" t="str">
        <f>VLOOKUP(B1048,'Relacion codigos'!$A:$B,2,FALSE)</f>
        <v>476</v>
      </c>
      <c r="B1048" s="6" t="s">
        <v>2651</v>
      </c>
      <c r="C1048" s="6" t="s">
        <v>1085</v>
      </c>
      <c r="D1048" s="24">
        <v>3954.6129999999898</v>
      </c>
      <c r="E1048" s="6" t="s">
        <v>5889</v>
      </c>
      <c r="F1048" s="6">
        <v>21</v>
      </c>
      <c r="G1048" s="8">
        <f t="shared" si="16"/>
        <v>3954.6129999999898</v>
      </c>
    </row>
    <row r="1049" spans="1:7" x14ac:dyDescent="0.3">
      <c r="A1049" s="14" t="str">
        <f>VLOOKUP(B1049,'Relacion codigos'!$A:$B,2,FALSE)</f>
        <v>386</v>
      </c>
      <c r="B1049" s="6" t="s">
        <v>2652</v>
      </c>
      <c r="C1049" s="6" t="s">
        <v>1086</v>
      </c>
      <c r="D1049" s="24">
        <v>3380.13</v>
      </c>
      <c r="E1049" s="6" t="s">
        <v>5889</v>
      </c>
      <c r="F1049" s="6">
        <v>21</v>
      </c>
      <c r="G1049" s="8">
        <f t="shared" si="16"/>
        <v>3380.13</v>
      </c>
    </row>
    <row r="1050" spans="1:7" x14ac:dyDescent="0.3">
      <c r="A1050" s="14" t="e">
        <f>VLOOKUP(B1050,'Relacion codigos'!$A:$B,2,FALSE)</f>
        <v>#N/A</v>
      </c>
      <c r="B1050" s="6" t="s">
        <v>12780</v>
      </c>
      <c r="C1050" s="6" t="s">
        <v>12781</v>
      </c>
      <c r="D1050" s="24">
        <v>4652.8950000000004</v>
      </c>
      <c r="E1050" s="6" t="s">
        <v>5889</v>
      </c>
      <c r="F1050" s="6">
        <v>21</v>
      </c>
      <c r="G1050" s="8">
        <f t="shared" si="16"/>
        <v>4652.8950000000004</v>
      </c>
    </row>
    <row r="1051" spans="1:7" x14ac:dyDescent="0.3">
      <c r="A1051" s="14" t="str">
        <f>VLOOKUP(B1051,'Relacion codigos'!$A:$B,2,FALSE)</f>
        <v>396</v>
      </c>
      <c r="B1051" s="6" t="s">
        <v>2653</v>
      </c>
      <c r="C1051" s="6" t="s">
        <v>1087</v>
      </c>
      <c r="D1051" s="24">
        <v>4118.7510000000102</v>
      </c>
      <c r="E1051" s="6" t="s">
        <v>5889</v>
      </c>
      <c r="F1051" s="6">
        <v>21</v>
      </c>
      <c r="G1051" s="8">
        <f t="shared" si="16"/>
        <v>4118.7510000000102</v>
      </c>
    </row>
    <row r="1052" spans="1:7" x14ac:dyDescent="0.3">
      <c r="A1052" s="14" t="str">
        <f>VLOOKUP(B1052,'Relacion codigos'!$A:$B,2,FALSE)</f>
        <v>477</v>
      </c>
      <c r="B1052" s="6" t="s">
        <v>2654</v>
      </c>
      <c r="C1052" s="6" t="s">
        <v>1088</v>
      </c>
      <c r="D1052" s="24">
        <v>5498.6229999999996</v>
      </c>
      <c r="E1052" s="6" t="s">
        <v>5889</v>
      </c>
      <c r="F1052" s="6">
        <v>21</v>
      </c>
      <c r="G1052" s="8">
        <f t="shared" si="16"/>
        <v>5498.6229999999996</v>
      </c>
    </row>
    <row r="1053" spans="1:7" x14ac:dyDescent="0.3">
      <c r="A1053" s="14" t="str">
        <f>VLOOKUP(B1053,'Relacion codigos'!$A:$B,2,FALSE)</f>
        <v>405</v>
      </c>
      <c r="B1053" s="6" t="s">
        <v>2655</v>
      </c>
      <c r="C1053" s="6" t="s">
        <v>1089</v>
      </c>
      <c r="D1053" s="24">
        <v>4652.8950000000104</v>
      </c>
      <c r="E1053" s="6" t="s">
        <v>5889</v>
      </c>
      <c r="F1053" s="6">
        <v>21</v>
      </c>
      <c r="G1053" s="8">
        <f t="shared" si="16"/>
        <v>4652.8950000000104</v>
      </c>
    </row>
    <row r="1054" spans="1:7" x14ac:dyDescent="0.3">
      <c r="A1054" s="14" t="e">
        <f>VLOOKUP(B1054,'Relacion codigos'!$A:$B,2,FALSE)</f>
        <v>#N/A</v>
      </c>
      <c r="B1054" s="6" t="s">
        <v>9322</v>
      </c>
      <c r="C1054" s="6" t="s">
        <v>9323</v>
      </c>
      <c r="D1054" s="24">
        <v>7866.3061385999999</v>
      </c>
      <c r="E1054" s="6" t="s">
        <v>5889</v>
      </c>
      <c r="F1054" s="6">
        <v>21</v>
      </c>
      <c r="G1054" s="8">
        <f t="shared" si="16"/>
        <v>7866.3061385999999</v>
      </c>
    </row>
    <row r="1055" spans="1:7" x14ac:dyDescent="0.3">
      <c r="A1055" s="14" t="str">
        <f>VLOOKUP(B1055,'Relacion codigos'!$A:$B,2,FALSE)</f>
        <v>507</v>
      </c>
      <c r="B1055" s="6" t="s">
        <v>2656</v>
      </c>
      <c r="C1055" s="6" t="s">
        <v>1090</v>
      </c>
      <c r="D1055" s="24">
        <v>7605.9880000000003</v>
      </c>
      <c r="E1055" s="6" t="s">
        <v>5889</v>
      </c>
      <c r="F1055" s="6">
        <v>21</v>
      </c>
      <c r="G1055" s="8">
        <f t="shared" si="16"/>
        <v>7605.9880000000003</v>
      </c>
    </row>
    <row r="1056" spans="1:7" x14ac:dyDescent="0.3">
      <c r="A1056" s="14" t="str">
        <f>VLOOKUP(B1056,'Relacion codigos'!$A:$B,2,FALSE)</f>
        <v>475</v>
      </c>
      <c r="B1056" s="6" t="s">
        <v>2657</v>
      </c>
      <c r="C1056" s="6" t="s">
        <v>1091</v>
      </c>
      <c r="D1056" s="24">
        <v>6682.3639999999996</v>
      </c>
      <c r="E1056" s="6" t="s">
        <v>5889</v>
      </c>
      <c r="F1056" s="6">
        <v>21</v>
      </c>
      <c r="G1056" s="8">
        <f t="shared" si="16"/>
        <v>6682.3639999999996</v>
      </c>
    </row>
    <row r="1057" spans="1:7" x14ac:dyDescent="0.3">
      <c r="A1057" s="14" t="str">
        <f>VLOOKUP(B1057,'Relacion codigos'!$A:$B,2,FALSE)</f>
        <v>508</v>
      </c>
      <c r="B1057" s="6" t="s">
        <v>2658</v>
      </c>
      <c r="C1057" s="6" t="s">
        <v>1092</v>
      </c>
      <c r="D1057" s="24">
        <v>11609.286</v>
      </c>
      <c r="E1057" s="6" t="s">
        <v>5889</v>
      </c>
      <c r="F1057" s="6">
        <v>21</v>
      </c>
      <c r="G1057" s="8">
        <f t="shared" si="16"/>
        <v>11609.286</v>
      </c>
    </row>
    <row r="1058" spans="1:7" x14ac:dyDescent="0.3">
      <c r="A1058" s="14" t="str">
        <f>VLOOKUP(B1058,'Relacion codigos'!$A:$B,2,FALSE)</f>
        <v>2198</v>
      </c>
      <c r="B1058" s="6" t="s">
        <v>2659</v>
      </c>
      <c r="C1058" s="6" t="s">
        <v>1093</v>
      </c>
      <c r="D1058" s="24">
        <v>9400.3780000000097</v>
      </c>
      <c r="E1058" s="6" t="s">
        <v>5889</v>
      </c>
      <c r="F1058" s="6">
        <v>21</v>
      </c>
      <c r="G1058" s="8">
        <f t="shared" si="16"/>
        <v>9400.3780000000097</v>
      </c>
    </row>
    <row r="1059" spans="1:7" x14ac:dyDescent="0.3">
      <c r="A1059" s="14" t="str">
        <f>VLOOKUP(B1059,'Relacion codigos'!$A:$B,2,FALSE)</f>
        <v>2316</v>
      </c>
      <c r="B1059" s="6" t="s">
        <v>2661</v>
      </c>
      <c r="C1059" s="6" t="s">
        <v>9247</v>
      </c>
      <c r="D1059" s="24">
        <v>3705.2921163023998</v>
      </c>
      <c r="E1059" s="6" t="s">
        <v>5889</v>
      </c>
      <c r="F1059" s="6">
        <v>21</v>
      </c>
      <c r="G1059" s="8">
        <f t="shared" si="16"/>
        <v>3705.2921163023998</v>
      </c>
    </row>
    <row r="1060" spans="1:7" x14ac:dyDescent="0.3">
      <c r="A1060" s="14" t="str">
        <f>VLOOKUP(B1060,'Relacion codigos'!$A:$B,2,FALSE)</f>
        <v>8532</v>
      </c>
      <c r="B1060" s="6" t="s">
        <v>2662</v>
      </c>
      <c r="C1060" s="6" t="s">
        <v>10002</v>
      </c>
      <c r="D1060" s="24">
        <v>2923.5747692735999</v>
      </c>
      <c r="E1060" s="6" t="s">
        <v>5889</v>
      </c>
      <c r="F1060" s="6">
        <v>21</v>
      </c>
      <c r="G1060" s="8">
        <f t="shared" si="16"/>
        <v>2923.5747692735999</v>
      </c>
    </row>
    <row r="1061" spans="1:7" x14ac:dyDescent="0.3">
      <c r="A1061" s="14" t="str">
        <f>VLOOKUP(B1061,'Relacion codigos'!$A:$B,2,FALSE)</f>
        <v>2324</v>
      </c>
      <c r="B1061" s="6" t="s">
        <v>2663</v>
      </c>
      <c r="C1061" s="6" t="s">
        <v>9248</v>
      </c>
      <c r="D1061" s="24">
        <v>2923.5747692735999</v>
      </c>
      <c r="E1061" s="6" t="s">
        <v>5889</v>
      </c>
      <c r="F1061" s="6">
        <v>21</v>
      </c>
      <c r="G1061" s="8">
        <f t="shared" si="16"/>
        <v>2923.5747692735999</v>
      </c>
    </row>
    <row r="1062" spans="1:7" x14ac:dyDescent="0.3">
      <c r="A1062" s="14" t="e">
        <f>VLOOKUP(B1062,'Relacion codigos'!$A:$B,2,FALSE)</f>
        <v>#N/A</v>
      </c>
      <c r="B1062" s="6" t="s">
        <v>13604</v>
      </c>
      <c r="C1062" s="6" t="s">
        <v>13605</v>
      </c>
      <c r="D1062" s="24">
        <v>3215.9358186228001</v>
      </c>
      <c r="E1062" s="6" t="s">
        <v>5889</v>
      </c>
      <c r="F1062" s="6">
        <v>21</v>
      </c>
      <c r="G1062" s="8">
        <f t="shared" si="16"/>
        <v>3215.9358186228001</v>
      </c>
    </row>
    <row r="1063" spans="1:7" x14ac:dyDescent="0.3">
      <c r="A1063" s="14" t="str">
        <f>VLOOKUP(B1063,'Relacion codigos'!$A:$B,2,FALSE)</f>
        <v>8533</v>
      </c>
      <c r="B1063" s="6" t="s">
        <v>2664</v>
      </c>
      <c r="C1063" s="6" t="s">
        <v>10003</v>
      </c>
      <c r="D1063" s="24">
        <v>2923.5747692735999</v>
      </c>
      <c r="E1063" s="6" t="s">
        <v>5889</v>
      </c>
      <c r="F1063" s="6">
        <v>21</v>
      </c>
      <c r="G1063" s="8">
        <f t="shared" si="16"/>
        <v>2923.5747692735999</v>
      </c>
    </row>
    <row r="1064" spans="1:7" x14ac:dyDescent="0.3">
      <c r="A1064" s="14" t="str">
        <f>VLOOKUP(B1064,'Relacion codigos'!$A:$B,2,FALSE)</f>
        <v>2181</v>
      </c>
      <c r="B1064" s="6" t="s">
        <v>2665</v>
      </c>
      <c r="C1064" s="6" t="s">
        <v>9249</v>
      </c>
      <c r="D1064" s="24">
        <v>3079.3859478252002</v>
      </c>
      <c r="E1064" s="6" t="s">
        <v>5889</v>
      </c>
      <c r="F1064" s="6">
        <v>21</v>
      </c>
      <c r="G1064" s="8">
        <f t="shared" si="16"/>
        <v>3079.3859478252002</v>
      </c>
    </row>
    <row r="1065" spans="1:7" x14ac:dyDescent="0.3">
      <c r="A1065" s="14" t="e">
        <f>VLOOKUP(B1065,'Relacion codigos'!$A:$B,2,FALSE)</f>
        <v>#N/A</v>
      </c>
      <c r="B1065" s="6" t="s">
        <v>13606</v>
      </c>
      <c r="C1065" s="6" t="s">
        <v>13607</v>
      </c>
      <c r="D1065" s="24">
        <v>3387.3287104331998</v>
      </c>
      <c r="E1065" s="6" t="s">
        <v>5889</v>
      </c>
      <c r="F1065" s="6">
        <v>21</v>
      </c>
      <c r="G1065" s="8">
        <f t="shared" si="16"/>
        <v>3387.3287104331998</v>
      </c>
    </row>
    <row r="1066" spans="1:7" x14ac:dyDescent="0.3">
      <c r="A1066" s="14" t="str">
        <f>VLOOKUP(B1066,'Relacion codigos'!$A:$B,2,FALSE)</f>
        <v>2357</v>
      </c>
      <c r="B1066" s="6" t="s">
        <v>2667</v>
      </c>
      <c r="C1066" s="6" t="s">
        <v>9250</v>
      </c>
      <c r="D1066" s="24">
        <v>4990.6375862615996</v>
      </c>
      <c r="E1066" s="6" t="s">
        <v>5889</v>
      </c>
      <c r="F1066" s="6">
        <v>21</v>
      </c>
      <c r="G1066" s="8">
        <f t="shared" si="16"/>
        <v>4990.6375862615996</v>
      </c>
    </row>
    <row r="1067" spans="1:7" x14ac:dyDescent="0.3">
      <c r="A1067" s="14" t="str">
        <f>VLOOKUP(B1067,'Relacion codigos'!$A:$B,2,FALSE)</f>
        <v>2336</v>
      </c>
      <c r="B1067" s="6" t="s">
        <v>2668</v>
      </c>
      <c r="C1067" s="6" t="s">
        <v>149</v>
      </c>
      <c r="D1067" s="24">
        <v>13257.0907352208</v>
      </c>
      <c r="E1067" s="6" t="s">
        <v>5889</v>
      </c>
      <c r="F1067" s="6">
        <v>21</v>
      </c>
      <c r="G1067" s="8">
        <f t="shared" si="16"/>
        <v>13257.0907352208</v>
      </c>
    </row>
    <row r="1068" spans="1:7" x14ac:dyDescent="0.3">
      <c r="A1068" s="14" t="str">
        <f>VLOOKUP(B1068,'Relacion codigos'!$A:$B,2,FALSE)</f>
        <v>2358</v>
      </c>
      <c r="B1068" s="6" t="s">
        <v>2669</v>
      </c>
      <c r="C1068" s="6" t="s">
        <v>9251</v>
      </c>
      <c r="D1068" s="24">
        <v>4990.6375862615996</v>
      </c>
      <c r="E1068" s="6" t="s">
        <v>5889</v>
      </c>
      <c r="F1068" s="6">
        <v>21</v>
      </c>
      <c r="G1068" s="8">
        <f t="shared" si="16"/>
        <v>4990.6375862615996</v>
      </c>
    </row>
    <row r="1069" spans="1:7" x14ac:dyDescent="0.3">
      <c r="A1069" s="14" t="str">
        <f>VLOOKUP(B1069,'Relacion codigos'!$A:$B,2,FALSE)</f>
        <v>2318</v>
      </c>
      <c r="B1069" s="6" t="s">
        <v>2671</v>
      </c>
      <c r="C1069" s="6" t="s">
        <v>13087</v>
      </c>
      <c r="D1069" s="24">
        <v>3928.1278826088001</v>
      </c>
      <c r="E1069" s="6" t="s">
        <v>5889</v>
      </c>
      <c r="F1069" s="6">
        <v>21</v>
      </c>
      <c r="G1069" s="8">
        <f t="shared" si="16"/>
        <v>3928.1278826088001</v>
      </c>
    </row>
    <row r="1070" spans="1:7" x14ac:dyDescent="0.3">
      <c r="A1070" s="14" t="str">
        <f>VLOOKUP(B1070,'Relacion codigos'!$A:$B,2,FALSE)</f>
        <v>2356</v>
      </c>
      <c r="B1070" s="6" t="s">
        <v>2673</v>
      </c>
      <c r="C1070" s="6" t="s">
        <v>9252</v>
      </c>
      <c r="D1070" s="24">
        <v>4285.2450318443998</v>
      </c>
      <c r="E1070" s="6" t="s">
        <v>5889</v>
      </c>
      <c r="F1070" s="6">
        <v>21</v>
      </c>
      <c r="G1070" s="8">
        <f t="shared" si="16"/>
        <v>4285.2450318443998</v>
      </c>
    </row>
    <row r="1071" spans="1:7" x14ac:dyDescent="0.3">
      <c r="A1071" s="14" t="str">
        <f>VLOOKUP(B1071,'Relacion codigos'!$A:$B,2,FALSE)</f>
        <v>2335</v>
      </c>
      <c r="B1071" s="6" t="s">
        <v>2674</v>
      </c>
      <c r="C1071" s="6" t="s">
        <v>150</v>
      </c>
      <c r="D1071" s="24">
        <v>11254.670891427601</v>
      </c>
      <c r="E1071" s="6" t="s">
        <v>5889</v>
      </c>
      <c r="F1071" s="6">
        <v>21</v>
      </c>
      <c r="G1071" s="8">
        <f t="shared" si="16"/>
        <v>11254.670891427601</v>
      </c>
    </row>
    <row r="1072" spans="1:7" x14ac:dyDescent="0.3">
      <c r="A1072" s="14" t="str">
        <f>VLOOKUP(B1072,'Relacion codigos'!$A:$B,2,FALSE)</f>
        <v>7384</v>
      </c>
      <c r="B1072" s="6" t="s">
        <v>2675</v>
      </c>
      <c r="C1072" s="6" t="s">
        <v>151</v>
      </c>
      <c r="D1072" s="24">
        <v>4763.2704327000001</v>
      </c>
      <c r="E1072" s="6" t="s">
        <v>5889</v>
      </c>
      <c r="F1072" s="6">
        <v>21</v>
      </c>
      <c r="G1072" s="8">
        <f t="shared" si="16"/>
        <v>4763.2704327000001</v>
      </c>
    </row>
    <row r="1073" spans="1:7" x14ac:dyDescent="0.3">
      <c r="A1073" s="14" t="str">
        <f>VLOOKUP(B1073,'Relacion codigos'!$A:$B,2,FALSE)</f>
        <v>8510</v>
      </c>
      <c r="B1073" s="6" t="s">
        <v>2678</v>
      </c>
      <c r="C1073" s="6" t="s">
        <v>10099</v>
      </c>
      <c r="D1073" s="24">
        <v>4990.6375862615996</v>
      </c>
      <c r="E1073" s="6" t="s">
        <v>5889</v>
      </c>
      <c r="F1073" s="6">
        <v>21</v>
      </c>
      <c r="G1073" s="8">
        <f t="shared" si="16"/>
        <v>4990.6375862615996</v>
      </c>
    </row>
    <row r="1074" spans="1:7" x14ac:dyDescent="0.3">
      <c r="A1074" s="14" t="str">
        <f>VLOOKUP(B1074,'Relacion codigos'!$A:$B,2,FALSE)</f>
        <v>8507</v>
      </c>
      <c r="B1074" s="6" t="s">
        <v>2679</v>
      </c>
      <c r="C1074" s="6" t="s">
        <v>10100</v>
      </c>
      <c r="D1074" s="24">
        <v>3928.1278826088001</v>
      </c>
      <c r="E1074" s="6" t="s">
        <v>5889</v>
      </c>
      <c r="F1074" s="6">
        <v>21</v>
      </c>
      <c r="G1074" s="8">
        <f t="shared" si="16"/>
        <v>3928.1278826088001</v>
      </c>
    </row>
    <row r="1075" spans="1:7" x14ac:dyDescent="0.3">
      <c r="A1075" s="14" t="str">
        <f>VLOOKUP(B1075,'Relacion codigos'!$A:$B,2,FALSE)</f>
        <v>8508</v>
      </c>
      <c r="B1075" s="6" t="s">
        <v>2680</v>
      </c>
      <c r="C1075" s="6" t="s">
        <v>10052</v>
      </c>
      <c r="D1075" s="24">
        <v>3928.1278826088001</v>
      </c>
      <c r="E1075" s="6" t="s">
        <v>5889</v>
      </c>
      <c r="F1075" s="6">
        <v>21</v>
      </c>
      <c r="G1075" s="8">
        <f t="shared" si="16"/>
        <v>3928.1278826088001</v>
      </c>
    </row>
    <row r="1076" spans="1:7" x14ac:dyDescent="0.3">
      <c r="A1076" s="14" t="str">
        <f>VLOOKUP(B1076,'Relacion codigos'!$A:$B,2,FALSE)</f>
        <v>8509</v>
      </c>
      <c r="B1076" s="6" t="s">
        <v>2681</v>
      </c>
      <c r="C1076" s="6" t="s">
        <v>10101</v>
      </c>
      <c r="D1076" s="24">
        <v>4285.2450318443998</v>
      </c>
      <c r="E1076" s="6" t="s">
        <v>5889</v>
      </c>
      <c r="F1076" s="6">
        <v>21</v>
      </c>
      <c r="G1076" s="8">
        <f t="shared" si="16"/>
        <v>4285.2450318443998</v>
      </c>
    </row>
    <row r="1077" spans="1:7" x14ac:dyDescent="0.3">
      <c r="A1077" s="14" t="str">
        <f>VLOOKUP(B1077,'Relacion codigos'!$A:$B,2,FALSE)</f>
        <v>7387</v>
      </c>
      <c r="B1077" s="6" t="s">
        <v>2682</v>
      </c>
      <c r="C1077" s="6" t="s">
        <v>152</v>
      </c>
      <c r="D1077" s="24">
        <v>7436.0472000749996</v>
      </c>
      <c r="E1077" s="6" t="s">
        <v>5889</v>
      </c>
      <c r="F1077" s="6">
        <v>21</v>
      </c>
      <c r="G1077" s="8">
        <f t="shared" si="16"/>
        <v>7436.0472000749996</v>
      </c>
    </row>
    <row r="1078" spans="1:7" x14ac:dyDescent="0.3">
      <c r="A1078" s="14" t="str">
        <f>VLOOKUP(B1078,'Relacion codigos'!$A:$B,2,FALSE)</f>
        <v>7385</v>
      </c>
      <c r="B1078" s="6" t="s">
        <v>2683</v>
      </c>
      <c r="C1078" s="6" t="s">
        <v>153</v>
      </c>
      <c r="D1078" s="24">
        <v>6484.7898375000004</v>
      </c>
      <c r="E1078" s="6" t="s">
        <v>5889</v>
      </c>
      <c r="F1078" s="6">
        <v>21</v>
      </c>
      <c r="G1078" s="8">
        <f t="shared" si="16"/>
        <v>6484.7898375000004</v>
      </c>
    </row>
    <row r="1079" spans="1:7" x14ac:dyDescent="0.3">
      <c r="A1079" s="14" t="str">
        <f>VLOOKUP(B1079,'Relacion codigos'!$A:$B,2,FALSE)</f>
        <v>7386</v>
      </c>
      <c r="B1079" s="6" t="s">
        <v>2684</v>
      </c>
      <c r="C1079" s="6" t="s">
        <v>154</v>
      </c>
      <c r="D1079" s="24">
        <v>6943.8657405000004</v>
      </c>
      <c r="E1079" s="6" t="s">
        <v>5889</v>
      </c>
      <c r="F1079" s="6">
        <v>21</v>
      </c>
      <c r="G1079" s="8">
        <f t="shared" si="16"/>
        <v>6943.8657405000004</v>
      </c>
    </row>
    <row r="1080" spans="1:7" x14ac:dyDescent="0.3">
      <c r="A1080" s="14" t="str">
        <f>VLOOKUP(B1080,'Relacion codigos'!$A:$B,2,FALSE)</f>
        <v>8511</v>
      </c>
      <c r="B1080" s="6" t="s">
        <v>2685</v>
      </c>
      <c r="C1080" s="6" t="s">
        <v>10102</v>
      </c>
      <c r="D1080" s="24">
        <v>6240.5208154224001</v>
      </c>
      <c r="E1080" s="6" t="s">
        <v>5889</v>
      </c>
      <c r="F1080" s="6">
        <v>21</v>
      </c>
      <c r="G1080" s="8">
        <f t="shared" si="16"/>
        <v>6240.5208154224001</v>
      </c>
    </row>
    <row r="1081" spans="1:7" x14ac:dyDescent="0.3">
      <c r="A1081" s="14" t="str">
        <f>VLOOKUP(B1081,'Relacion codigos'!$A:$B,2,FALSE)</f>
        <v>2338</v>
      </c>
      <c r="B1081" s="6" t="s">
        <v>2687</v>
      </c>
      <c r="C1081" s="6" t="s">
        <v>155</v>
      </c>
      <c r="D1081" s="24">
        <v>16697.523496305599</v>
      </c>
      <c r="E1081" s="6" t="s">
        <v>5889</v>
      </c>
      <c r="F1081" s="6">
        <v>21</v>
      </c>
      <c r="G1081" s="8">
        <f t="shared" si="16"/>
        <v>16697.523496305599</v>
      </c>
    </row>
    <row r="1082" spans="1:7" x14ac:dyDescent="0.3">
      <c r="A1082" s="14" t="str">
        <f>VLOOKUP(B1082,'Relacion codigos'!$A:$B,2,FALSE)</f>
        <v>2344</v>
      </c>
      <c r="B1082" s="6" t="s">
        <v>2688</v>
      </c>
      <c r="C1082" s="6" t="s">
        <v>9253</v>
      </c>
      <c r="D1082" s="24">
        <v>6356.5709388947998</v>
      </c>
      <c r="E1082" s="6" t="s">
        <v>5889</v>
      </c>
      <c r="F1082" s="6">
        <v>21</v>
      </c>
      <c r="G1082" s="8">
        <f t="shared" si="16"/>
        <v>6356.5709388947998</v>
      </c>
    </row>
    <row r="1083" spans="1:7" x14ac:dyDescent="0.3">
      <c r="A1083" s="14" t="str">
        <f>VLOOKUP(B1083,'Relacion codigos'!$A:$B,2,FALSE)</f>
        <v>8523</v>
      </c>
      <c r="B1083" s="6" t="s">
        <v>2689</v>
      </c>
      <c r="C1083" s="6" t="s">
        <v>10103</v>
      </c>
      <c r="D1083" s="24">
        <v>5347.7309193516003</v>
      </c>
      <c r="E1083" s="6" t="s">
        <v>5889</v>
      </c>
      <c r="F1083" s="6">
        <v>21</v>
      </c>
      <c r="G1083" s="8">
        <f t="shared" si="16"/>
        <v>5347.7309193516003</v>
      </c>
    </row>
    <row r="1084" spans="1:7" x14ac:dyDescent="0.3">
      <c r="A1084" s="14" t="str">
        <f>VLOOKUP(B1084,'Relacion codigos'!$A:$B,2,FALSE)</f>
        <v>2359</v>
      </c>
      <c r="B1084" s="6" t="s">
        <v>2690</v>
      </c>
      <c r="C1084" s="6" t="s">
        <v>9254</v>
      </c>
      <c r="D1084" s="24">
        <v>5347.7309193516003</v>
      </c>
      <c r="E1084" s="6" t="s">
        <v>5889</v>
      </c>
      <c r="F1084" s="6">
        <v>21</v>
      </c>
      <c r="G1084" s="8">
        <f t="shared" si="16"/>
        <v>5347.7309193516003</v>
      </c>
    </row>
    <row r="1085" spans="1:7" x14ac:dyDescent="0.3">
      <c r="A1085" s="14" t="str">
        <f>VLOOKUP(B1085,'Relacion codigos'!$A:$B,2,FALSE)</f>
        <v>2360</v>
      </c>
      <c r="B1085" s="6" t="s">
        <v>2691</v>
      </c>
      <c r="C1085" s="6" t="s">
        <v>9255</v>
      </c>
      <c r="D1085" s="24">
        <v>5347.7309193516003</v>
      </c>
      <c r="E1085" s="6" t="s">
        <v>5889</v>
      </c>
      <c r="F1085" s="6">
        <v>21</v>
      </c>
      <c r="G1085" s="8">
        <f t="shared" si="16"/>
        <v>5347.7309193516003</v>
      </c>
    </row>
    <row r="1086" spans="1:7" x14ac:dyDescent="0.3">
      <c r="A1086" s="14" t="str">
        <f>VLOOKUP(B1086,'Relacion codigos'!$A:$B,2,FALSE)</f>
        <v>8524</v>
      </c>
      <c r="B1086" s="6" t="s">
        <v>2692</v>
      </c>
      <c r="C1086" s="6" t="s">
        <v>10104</v>
      </c>
      <c r="D1086" s="24">
        <v>5347.7309193516003</v>
      </c>
      <c r="E1086" s="6" t="s">
        <v>5889</v>
      </c>
      <c r="F1086" s="6">
        <v>21</v>
      </c>
      <c r="G1086" s="8">
        <f t="shared" si="16"/>
        <v>5347.7309193516003</v>
      </c>
    </row>
    <row r="1087" spans="1:7" x14ac:dyDescent="0.3">
      <c r="A1087" s="14" t="str">
        <f>VLOOKUP(B1087,'Relacion codigos'!$A:$B,2,FALSE)</f>
        <v>2362</v>
      </c>
      <c r="B1087" s="6" t="s">
        <v>2693</v>
      </c>
      <c r="C1087" s="6" t="s">
        <v>9256</v>
      </c>
      <c r="D1087" s="24">
        <v>5883.4036661868004</v>
      </c>
      <c r="E1087" s="6" t="s">
        <v>5889</v>
      </c>
      <c r="F1087" s="6">
        <v>21</v>
      </c>
      <c r="G1087" s="8">
        <f t="shared" si="16"/>
        <v>5883.4036661868004</v>
      </c>
    </row>
    <row r="1088" spans="1:7" x14ac:dyDescent="0.3">
      <c r="A1088" s="14" t="e">
        <f>VLOOKUP(B1088,'Relacion codigos'!$A:$B,2,FALSE)</f>
        <v>#N/A</v>
      </c>
      <c r="B1088" s="6" t="s">
        <v>13792</v>
      </c>
      <c r="C1088" s="6" t="s">
        <v>13793</v>
      </c>
      <c r="D1088" s="24">
        <v>6471.7458190163998</v>
      </c>
      <c r="E1088" s="6" t="s">
        <v>5889</v>
      </c>
      <c r="F1088" s="6">
        <v>21</v>
      </c>
      <c r="G1088" s="8">
        <f t="shared" si="16"/>
        <v>6471.7458190163998</v>
      </c>
    </row>
    <row r="1089" spans="1:7" x14ac:dyDescent="0.3">
      <c r="A1089" s="14" t="str">
        <f>VLOOKUP(B1089,'Relacion codigos'!$A:$B,2,FALSE)</f>
        <v>8525</v>
      </c>
      <c r="B1089" s="6" t="s">
        <v>2694</v>
      </c>
      <c r="C1089" s="6" t="s">
        <v>10105</v>
      </c>
      <c r="D1089" s="24">
        <v>5883.4036661868004</v>
      </c>
      <c r="E1089" s="6" t="s">
        <v>5889</v>
      </c>
      <c r="F1089" s="6">
        <v>21</v>
      </c>
      <c r="G1089" s="8">
        <f t="shared" si="16"/>
        <v>5883.4036661868004</v>
      </c>
    </row>
    <row r="1090" spans="1:7" x14ac:dyDescent="0.3">
      <c r="A1090" s="14" t="str">
        <f>VLOOKUP(B1090,'Relacion codigos'!$A:$B,2,FALSE)</f>
        <v>2340</v>
      </c>
      <c r="B1090" s="6" t="s">
        <v>2696</v>
      </c>
      <c r="C1090" s="6" t="s">
        <v>156</v>
      </c>
      <c r="D1090" s="24">
        <v>18110.856932719202</v>
      </c>
      <c r="E1090" s="6" t="s">
        <v>5889</v>
      </c>
      <c r="F1090" s="6">
        <v>21</v>
      </c>
      <c r="G1090" s="8">
        <f t="shared" ref="G1090:G1153" si="17">IF(E1090="Dolares",D1090*$G$1,D1090)</f>
        <v>18110.856932719202</v>
      </c>
    </row>
    <row r="1091" spans="1:7" x14ac:dyDescent="0.3">
      <c r="A1091" s="14" t="str">
        <f>VLOOKUP(B1091,'Relacion codigos'!$A:$B,2,FALSE)</f>
        <v>2350</v>
      </c>
      <c r="B1091" s="6" t="s">
        <v>2697</v>
      </c>
      <c r="C1091" s="6" t="s">
        <v>9257</v>
      </c>
      <c r="D1091" s="24">
        <v>7579.6907744376003</v>
      </c>
      <c r="E1091" s="6" t="s">
        <v>5889</v>
      </c>
      <c r="F1091" s="6">
        <v>21</v>
      </c>
      <c r="G1091" s="8">
        <f t="shared" si="17"/>
        <v>7579.6907744376003</v>
      </c>
    </row>
    <row r="1092" spans="1:7" x14ac:dyDescent="0.3">
      <c r="A1092" s="14" t="str">
        <f>VLOOKUP(B1092,'Relacion codigos'!$A:$B,2,FALSE)</f>
        <v>2346</v>
      </c>
      <c r="B1092" s="6" t="s">
        <v>2699</v>
      </c>
      <c r="C1092" s="6" t="s">
        <v>9258</v>
      </c>
      <c r="D1092" s="24">
        <v>6240.5208154224001</v>
      </c>
      <c r="E1092" s="6" t="s">
        <v>5889</v>
      </c>
      <c r="F1092" s="6">
        <v>21</v>
      </c>
      <c r="G1092" s="8">
        <f t="shared" si="17"/>
        <v>6240.5208154224001</v>
      </c>
    </row>
    <row r="1093" spans="1:7" x14ac:dyDescent="0.3">
      <c r="A1093" s="14" t="str">
        <f>VLOOKUP(B1093,'Relacion codigos'!$A:$B,2,FALSE)</f>
        <v>2348</v>
      </c>
      <c r="B1093" s="6" t="s">
        <v>2701</v>
      </c>
      <c r="C1093" s="6" t="s">
        <v>9259</v>
      </c>
      <c r="D1093" s="24">
        <v>6508.3393267308002</v>
      </c>
      <c r="E1093" s="6" t="s">
        <v>5889</v>
      </c>
      <c r="F1093" s="6">
        <v>21</v>
      </c>
      <c r="G1093" s="8">
        <f t="shared" si="17"/>
        <v>6508.3393267308002</v>
      </c>
    </row>
    <row r="1094" spans="1:7" x14ac:dyDescent="0.3">
      <c r="A1094" s="14" t="str">
        <f>VLOOKUP(B1094,'Relacion codigos'!$A:$B,2,FALSE)</f>
        <v>8628</v>
      </c>
      <c r="B1094" s="6" t="s">
        <v>2702</v>
      </c>
      <c r="C1094" s="6" t="s">
        <v>10004</v>
      </c>
      <c r="D1094" s="24">
        <v>6508.3393267308002</v>
      </c>
      <c r="E1094" s="6" t="s">
        <v>5889</v>
      </c>
      <c r="F1094" s="6">
        <v>21</v>
      </c>
      <c r="G1094" s="8">
        <f t="shared" si="17"/>
        <v>6508.3393267308002</v>
      </c>
    </row>
    <row r="1095" spans="1:7" x14ac:dyDescent="0.3">
      <c r="A1095" s="14" t="str">
        <f>VLOOKUP(B1095,'Relacion codigos'!$A:$B,2,FALSE)</f>
        <v>7389</v>
      </c>
      <c r="B1095" s="6" t="s">
        <v>2703</v>
      </c>
      <c r="C1095" s="6" t="s">
        <v>157</v>
      </c>
      <c r="D1095" s="24">
        <v>8183.6753076000005</v>
      </c>
      <c r="E1095" s="6" t="s">
        <v>5889</v>
      </c>
      <c r="F1095" s="6">
        <v>21</v>
      </c>
      <c r="G1095" s="8">
        <f t="shared" si="17"/>
        <v>8183.6753076000005</v>
      </c>
    </row>
    <row r="1096" spans="1:7" x14ac:dyDescent="0.3">
      <c r="A1096" s="14" t="str">
        <f>VLOOKUP(B1096,'Relacion codigos'!$A:$B,2,FALSE)</f>
        <v>7388</v>
      </c>
      <c r="B1096" s="6" t="s">
        <v>2704</v>
      </c>
      <c r="C1096" s="6" t="s">
        <v>158</v>
      </c>
      <c r="D1096" s="24">
        <v>7535.9045862749999</v>
      </c>
      <c r="E1096" s="6" t="s">
        <v>5889</v>
      </c>
      <c r="F1096" s="6">
        <v>21</v>
      </c>
      <c r="G1096" s="8">
        <f t="shared" si="17"/>
        <v>7535.9045862749999</v>
      </c>
    </row>
    <row r="1097" spans="1:7" x14ac:dyDescent="0.3">
      <c r="A1097" s="14" t="str">
        <f>VLOOKUP(B1097,'Relacion codigos'!$A:$B,2,FALSE)</f>
        <v>1958</v>
      </c>
      <c r="B1097" s="6" t="s">
        <v>2711</v>
      </c>
      <c r="C1097" s="6" t="s">
        <v>9288</v>
      </c>
      <c r="D1097" s="24">
        <v>8740.2753656711993</v>
      </c>
      <c r="E1097" s="6" t="s">
        <v>5889</v>
      </c>
      <c r="F1097" s="6">
        <v>21</v>
      </c>
      <c r="G1097" s="8">
        <f t="shared" si="17"/>
        <v>8740.2753656711993</v>
      </c>
    </row>
    <row r="1098" spans="1:7" x14ac:dyDescent="0.3">
      <c r="A1098" s="14" t="str">
        <f>VLOOKUP(B1098,'Relacion codigos'!$A:$B,2,FALSE)</f>
        <v>2341</v>
      </c>
      <c r="B1098" s="6" t="s">
        <v>2705</v>
      </c>
      <c r="C1098" s="6" t="s">
        <v>159</v>
      </c>
      <c r="D1098" s="24">
        <v>23755.086956718002</v>
      </c>
      <c r="E1098" s="6" t="s">
        <v>5889</v>
      </c>
      <c r="F1098" s="6">
        <v>21</v>
      </c>
      <c r="G1098" s="8">
        <f t="shared" si="17"/>
        <v>23755.086956718002</v>
      </c>
    </row>
    <row r="1099" spans="1:7" x14ac:dyDescent="0.3">
      <c r="A1099" s="14" t="str">
        <f>VLOOKUP(B1099,'Relacion codigos'!$A:$B,2,FALSE)</f>
        <v>2352</v>
      </c>
      <c r="B1099" s="6" t="s">
        <v>2706</v>
      </c>
      <c r="C1099" s="6" t="s">
        <v>9289</v>
      </c>
      <c r="D1099" s="24">
        <v>9633.0712157784001</v>
      </c>
      <c r="E1099" s="6" t="s">
        <v>5889</v>
      </c>
      <c r="F1099" s="6">
        <v>21</v>
      </c>
      <c r="G1099" s="8">
        <f t="shared" si="17"/>
        <v>9633.0712157784001</v>
      </c>
    </row>
    <row r="1100" spans="1:7" x14ac:dyDescent="0.3">
      <c r="A1100" s="14" t="str">
        <f>VLOOKUP(B1100,'Relacion codigos'!$A:$B,2,FALSE)</f>
        <v>8519</v>
      </c>
      <c r="B1100" s="6" t="s">
        <v>2707</v>
      </c>
      <c r="C1100" s="6" t="s">
        <v>10106</v>
      </c>
      <c r="D1100" s="24">
        <v>10704.3869392668</v>
      </c>
      <c r="E1100" s="6" t="s">
        <v>5889</v>
      </c>
      <c r="F1100" s="6">
        <v>21</v>
      </c>
      <c r="G1100" s="8">
        <f t="shared" si="17"/>
        <v>10704.3869392668</v>
      </c>
    </row>
    <row r="1101" spans="1:7" x14ac:dyDescent="0.3">
      <c r="A1101" s="14" t="str">
        <f>VLOOKUP(B1101,'Relacion codigos'!$A:$B,2,FALSE)</f>
        <v>2333</v>
      </c>
      <c r="B1101" s="6" t="s">
        <v>2708</v>
      </c>
      <c r="C1101" s="6" t="s">
        <v>9290</v>
      </c>
      <c r="D1101" s="24">
        <v>10704.3869392668</v>
      </c>
      <c r="E1101" s="6" t="s">
        <v>5889</v>
      </c>
      <c r="F1101" s="6">
        <v>21</v>
      </c>
      <c r="G1101" s="8">
        <f t="shared" si="17"/>
        <v>10704.3869392668</v>
      </c>
    </row>
    <row r="1102" spans="1:7" x14ac:dyDescent="0.3">
      <c r="A1102" s="14" t="str">
        <f>VLOOKUP(B1102,'Relacion codigos'!$A:$B,2,FALSE)</f>
        <v>2342</v>
      </c>
      <c r="B1102" s="6" t="s">
        <v>2709</v>
      </c>
      <c r="C1102" s="6" t="s">
        <v>8750</v>
      </c>
      <c r="D1102" s="24">
        <v>25443.121770518399</v>
      </c>
      <c r="E1102" s="6" t="s">
        <v>5889</v>
      </c>
      <c r="F1102" s="6">
        <v>21</v>
      </c>
      <c r="G1102" s="8">
        <f t="shared" si="17"/>
        <v>25443.121770518399</v>
      </c>
    </row>
    <row r="1103" spans="1:7" x14ac:dyDescent="0.3">
      <c r="A1103" s="14" t="str">
        <f>VLOOKUP(B1103,'Relacion codigos'!$A:$B,2,FALSE)</f>
        <v>2334</v>
      </c>
      <c r="B1103" s="6" t="s">
        <v>2710</v>
      </c>
      <c r="C1103" s="6" t="s">
        <v>9291</v>
      </c>
      <c r="D1103" s="24">
        <v>10704.3869392668</v>
      </c>
      <c r="E1103" s="6" t="s">
        <v>5889</v>
      </c>
      <c r="F1103" s="6">
        <v>21</v>
      </c>
      <c r="G1103" s="8">
        <f t="shared" si="17"/>
        <v>10704.3869392668</v>
      </c>
    </row>
    <row r="1104" spans="1:7" x14ac:dyDescent="0.3">
      <c r="A1104" s="14" t="e">
        <f>VLOOKUP(B1104,'Relacion codigos'!$A:$B,2,FALSE)</f>
        <v>#N/A</v>
      </c>
      <c r="B1104" s="6" t="s">
        <v>9792</v>
      </c>
      <c r="C1104" s="6" t="s">
        <v>9793</v>
      </c>
      <c r="D1104" s="24">
        <v>13896.077921668801</v>
      </c>
      <c r="E1104" s="6" t="s">
        <v>5889</v>
      </c>
      <c r="F1104" s="6">
        <v>21</v>
      </c>
      <c r="G1104" s="8">
        <f t="shared" si="17"/>
        <v>13896.077921668801</v>
      </c>
    </row>
    <row r="1105" spans="1:7" x14ac:dyDescent="0.3">
      <c r="A1105" s="14" t="e">
        <f>VLOOKUP(B1105,'Relacion codigos'!$A:$B,2,FALSE)</f>
        <v>#N/A</v>
      </c>
      <c r="B1105" s="6" t="s">
        <v>9741</v>
      </c>
      <c r="C1105" s="6" t="s">
        <v>9742</v>
      </c>
      <c r="D1105" s="24">
        <v>13922.2756818288</v>
      </c>
      <c r="E1105" s="6" t="s">
        <v>5889</v>
      </c>
      <c r="F1105" s="6">
        <v>21</v>
      </c>
      <c r="G1105" s="8">
        <f t="shared" si="17"/>
        <v>13922.2756818288</v>
      </c>
    </row>
    <row r="1106" spans="1:7" x14ac:dyDescent="0.3">
      <c r="A1106" s="14" t="str">
        <f>VLOOKUP(B1106,'Relacion codigos'!$A:$B,2,FALSE)</f>
        <v>8518</v>
      </c>
      <c r="B1106" s="6" t="s">
        <v>2712</v>
      </c>
      <c r="C1106" s="6" t="s">
        <v>10107</v>
      </c>
      <c r="D1106" s="24">
        <v>8740.2753656711993</v>
      </c>
      <c r="E1106" s="6" t="s">
        <v>5889</v>
      </c>
      <c r="F1106" s="6">
        <v>21</v>
      </c>
      <c r="G1106" s="8">
        <f t="shared" si="17"/>
        <v>8740.2753656711993</v>
      </c>
    </row>
    <row r="1107" spans="1:7" x14ac:dyDescent="0.3">
      <c r="A1107" s="14" t="str">
        <f>VLOOKUP(B1107,'Relacion codigos'!$A:$B,2,FALSE)</f>
        <v>8521</v>
      </c>
      <c r="B1107" s="6" t="s">
        <v>2713</v>
      </c>
      <c r="C1107" s="6" t="s">
        <v>10108</v>
      </c>
      <c r="D1107" s="24">
        <v>8740.2753656711993</v>
      </c>
      <c r="E1107" s="6" t="s">
        <v>5889</v>
      </c>
      <c r="F1107" s="6">
        <v>21</v>
      </c>
      <c r="G1107" s="8">
        <f t="shared" si="17"/>
        <v>8740.2753656711993</v>
      </c>
    </row>
    <row r="1108" spans="1:7" x14ac:dyDescent="0.3">
      <c r="A1108" s="14" t="str">
        <f>VLOOKUP(B1108,'Relacion codigos'!$A:$B,2,FALSE)</f>
        <v>8517</v>
      </c>
      <c r="B1108" s="6" t="s">
        <v>2714</v>
      </c>
      <c r="C1108" s="6" t="s">
        <v>10109</v>
      </c>
      <c r="D1108" s="24">
        <v>7905.5330897399999</v>
      </c>
      <c r="E1108" s="6" t="s">
        <v>5889</v>
      </c>
      <c r="F1108" s="6">
        <v>21</v>
      </c>
      <c r="G1108" s="8">
        <f t="shared" si="17"/>
        <v>7905.5330897399999</v>
      </c>
    </row>
    <row r="1109" spans="1:7" x14ac:dyDescent="0.3">
      <c r="A1109" s="14" t="str">
        <f>VLOOKUP(B1109,'Relacion codigos'!$A:$B,2,FALSE)</f>
        <v>8527</v>
      </c>
      <c r="B1109" s="6" t="s">
        <v>2715</v>
      </c>
      <c r="C1109" s="6" t="s">
        <v>10110</v>
      </c>
      <c r="D1109" s="24">
        <v>16534.049675714999</v>
      </c>
      <c r="E1109" s="6" t="s">
        <v>5889</v>
      </c>
      <c r="F1109" s="6">
        <v>21</v>
      </c>
      <c r="G1109" s="8">
        <f t="shared" si="17"/>
        <v>16534.049675714999</v>
      </c>
    </row>
    <row r="1110" spans="1:7" x14ac:dyDescent="0.3">
      <c r="A1110" s="14" t="str">
        <f>VLOOKUP(B1110,'Relacion codigos'!$A:$B,2,FALSE)</f>
        <v>8520</v>
      </c>
      <c r="B1110" s="6" t="s">
        <v>2716</v>
      </c>
      <c r="C1110" s="6" t="s">
        <v>10005</v>
      </c>
      <c r="D1110" s="24">
        <v>23151.937115361601</v>
      </c>
      <c r="E1110" s="6" t="s">
        <v>5889</v>
      </c>
      <c r="F1110" s="6">
        <v>21</v>
      </c>
      <c r="G1110" s="8">
        <f t="shared" si="17"/>
        <v>23151.937115361601</v>
      </c>
    </row>
    <row r="1111" spans="1:7" x14ac:dyDescent="0.3">
      <c r="A1111" s="14" t="e">
        <f>VLOOKUP(B1111,'Relacion codigos'!$A:$B,2,FALSE)</f>
        <v>#N/A</v>
      </c>
      <c r="B1111" s="6" t="s">
        <v>9294</v>
      </c>
      <c r="C1111" s="6" t="s">
        <v>9295</v>
      </c>
      <c r="D1111" s="24">
        <v>19526.5243514016</v>
      </c>
      <c r="E1111" s="6" t="s">
        <v>5889</v>
      </c>
      <c r="F1111" s="6">
        <v>21</v>
      </c>
      <c r="G1111" s="8">
        <f t="shared" si="17"/>
        <v>19526.5243514016</v>
      </c>
    </row>
    <row r="1112" spans="1:7" x14ac:dyDescent="0.3">
      <c r="A1112" s="14" t="str">
        <f>VLOOKUP(B1112,'Relacion codigos'!$A:$B,2,FALSE)</f>
        <v>8156</v>
      </c>
      <c r="B1112" s="6" t="s">
        <v>2718</v>
      </c>
      <c r="C1112" s="6" t="s">
        <v>9292</v>
      </c>
      <c r="D1112" s="24">
        <v>23151.937115361601</v>
      </c>
      <c r="E1112" s="6" t="s">
        <v>5889</v>
      </c>
      <c r="F1112" s="6">
        <v>21</v>
      </c>
      <c r="G1112" s="8">
        <f t="shared" si="17"/>
        <v>23151.937115361601</v>
      </c>
    </row>
    <row r="1113" spans="1:7" x14ac:dyDescent="0.3">
      <c r="A1113" s="14" t="str">
        <f>VLOOKUP(B1113,'Relacion codigos'!$A:$B,2,FALSE)</f>
        <v>8528</v>
      </c>
      <c r="B1113" s="6" t="s">
        <v>2719</v>
      </c>
      <c r="C1113" s="6" t="s">
        <v>10111</v>
      </c>
      <c r="D1113" s="24">
        <v>2030.5586198195999</v>
      </c>
      <c r="E1113" s="6" t="s">
        <v>5889</v>
      </c>
      <c r="F1113" s="6">
        <v>21</v>
      </c>
      <c r="G1113" s="8">
        <f t="shared" si="17"/>
        <v>2030.5586198195999</v>
      </c>
    </row>
    <row r="1114" spans="1:7" x14ac:dyDescent="0.3">
      <c r="A1114" s="14" t="str">
        <f>VLOOKUP(B1114,'Relacion codigos'!$A:$B,2,FALSE)</f>
        <v>8529</v>
      </c>
      <c r="B1114" s="6" t="s">
        <v>2720</v>
      </c>
      <c r="C1114" s="6" t="s">
        <v>11943</v>
      </c>
      <c r="D1114" s="24">
        <v>984.297761928</v>
      </c>
      <c r="E1114" s="6" t="s">
        <v>5889</v>
      </c>
      <c r="F1114" s="6">
        <v>21</v>
      </c>
      <c r="G1114" s="8">
        <f t="shared" si="17"/>
        <v>984.297761928</v>
      </c>
    </row>
    <row r="1115" spans="1:7" x14ac:dyDescent="0.3">
      <c r="A1115" s="14" t="str">
        <f>VLOOKUP(B1115,'Relacion codigos'!$A:$B,2,FALSE)</f>
        <v>2187</v>
      </c>
      <c r="B1115" s="6" t="s">
        <v>2721</v>
      </c>
      <c r="C1115" s="6" t="s">
        <v>9260</v>
      </c>
      <c r="D1115" s="24">
        <v>2030.5586198195999</v>
      </c>
      <c r="E1115" s="6" t="s">
        <v>5889</v>
      </c>
      <c r="F1115" s="6">
        <v>21</v>
      </c>
      <c r="G1115" s="8">
        <f t="shared" si="17"/>
        <v>2030.5586198195999</v>
      </c>
    </row>
    <row r="1116" spans="1:7" x14ac:dyDescent="0.3">
      <c r="A1116" s="14" t="str">
        <f>VLOOKUP(B1116,'Relacion codigos'!$A:$B,2,FALSE)</f>
        <v>8535</v>
      </c>
      <c r="B1116" s="6" t="s">
        <v>2660</v>
      </c>
      <c r="C1116" s="6" t="s">
        <v>13209</v>
      </c>
      <c r="D1116" s="24">
        <v>992.89470945599999</v>
      </c>
      <c r="E1116" s="6" t="s">
        <v>5889</v>
      </c>
      <c r="F1116" s="6">
        <v>21</v>
      </c>
      <c r="G1116" s="8">
        <f t="shared" si="17"/>
        <v>992.89470945599999</v>
      </c>
    </row>
    <row r="1117" spans="1:7" x14ac:dyDescent="0.3">
      <c r="A1117" s="14" t="e">
        <f>VLOOKUP(B1117,'Relacion codigos'!$A:$B,2,FALSE)</f>
        <v>#N/A</v>
      </c>
      <c r="B1117" s="6" t="s">
        <v>13608</v>
      </c>
      <c r="C1117" s="6" t="s">
        <v>13609</v>
      </c>
      <c r="D1117" s="24">
        <v>2233.6150772052001</v>
      </c>
      <c r="E1117" s="6" t="s">
        <v>5889</v>
      </c>
      <c r="F1117" s="6">
        <v>21</v>
      </c>
      <c r="G1117" s="8">
        <f t="shared" si="17"/>
        <v>2233.6150772052001</v>
      </c>
    </row>
    <row r="1118" spans="1:7" x14ac:dyDescent="0.3">
      <c r="A1118" s="14" t="str">
        <f>VLOOKUP(B1118,'Relacion codigos'!$A:$B,2,FALSE)</f>
        <v>2188</v>
      </c>
      <c r="B1118" s="6" t="s">
        <v>2723</v>
      </c>
      <c r="C1118" s="6" t="s">
        <v>9261</v>
      </c>
      <c r="D1118" s="24">
        <v>2223.3860426699998</v>
      </c>
      <c r="E1118" s="6" t="s">
        <v>5889</v>
      </c>
      <c r="F1118" s="6">
        <v>21</v>
      </c>
      <c r="G1118" s="8">
        <f t="shared" si="17"/>
        <v>2223.3860426699998</v>
      </c>
    </row>
    <row r="1119" spans="1:7" x14ac:dyDescent="0.3">
      <c r="A1119" s="14" t="str">
        <f>VLOOKUP(B1119,'Relacion codigos'!$A:$B,2,FALSE)</f>
        <v>8534</v>
      </c>
      <c r="B1119" s="6" t="s">
        <v>2666</v>
      </c>
      <c r="C1119" s="6" t="s">
        <v>13227</v>
      </c>
      <c r="D1119" s="24">
        <v>1267.9814066399999</v>
      </c>
      <c r="E1119" s="6" t="s">
        <v>5889</v>
      </c>
      <c r="F1119" s="6">
        <v>21</v>
      </c>
      <c r="G1119" s="8">
        <f t="shared" si="17"/>
        <v>1267.9814066399999</v>
      </c>
    </row>
    <row r="1120" spans="1:7" x14ac:dyDescent="0.3">
      <c r="A1120" s="14" t="e">
        <f>VLOOKUP(B1120,'Relacion codigos'!$A:$B,2,FALSE)</f>
        <v>#N/A</v>
      </c>
      <c r="B1120" s="6" t="s">
        <v>13610</v>
      </c>
      <c r="C1120" s="6" t="s">
        <v>13611</v>
      </c>
      <c r="D1120" s="24">
        <v>2445.7216699188002</v>
      </c>
      <c r="E1120" s="6" t="s">
        <v>5889</v>
      </c>
      <c r="F1120" s="6">
        <v>21</v>
      </c>
      <c r="G1120" s="8">
        <f t="shared" si="17"/>
        <v>2445.7216699188002</v>
      </c>
    </row>
    <row r="1121" spans="1:7" x14ac:dyDescent="0.3">
      <c r="A1121" s="14" t="str">
        <f>VLOOKUP(B1121,'Relacion codigos'!$A:$B,2,FALSE)</f>
        <v>8530</v>
      </c>
      <c r="B1121" s="6" t="s">
        <v>2724</v>
      </c>
      <c r="C1121" s="6" t="s">
        <v>10112</v>
      </c>
      <c r="D1121" s="24">
        <v>2030.5586198195999</v>
      </c>
      <c r="E1121" s="6" t="s">
        <v>5889</v>
      </c>
      <c r="F1121" s="6">
        <v>21</v>
      </c>
      <c r="G1121" s="8">
        <f t="shared" si="17"/>
        <v>2030.5586198195999</v>
      </c>
    </row>
    <row r="1122" spans="1:7" x14ac:dyDescent="0.3">
      <c r="A1122" s="14" t="str">
        <f>VLOOKUP(B1122,'Relacion codigos'!$A:$B,2,FALSE)</f>
        <v>8531</v>
      </c>
      <c r="B1122" s="6" t="s">
        <v>2725</v>
      </c>
      <c r="C1122" s="6" t="s">
        <v>10113</v>
      </c>
      <c r="D1122" s="24">
        <v>2223.3860426699998</v>
      </c>
      <c r="E1122" s="6" t="s">
        <v>5889</v>
      </c>
      <c r="F1122" s="6">
        <v>21</v>
      </c>
      <c r="G1122" s="8">
        <f t="shared" si="17"/>
        <v>2223.3860426699998</v>
      </c>
    </row>
    <row r="1123" spans="1:7" x14ac:dyDescent="0.3">
      <c r="A1123" s="14" t="str">
        <f>VLOOKUP(B1123,'Relacion codigos'!$A:$B,2,FALSE)</f>
        <v>6549</v>
      </c>
      <c r="B1123" s="6" t="s">
        <v>3228</v>
      </c>
      <c r="C1123" s="6" t="s">
        <v>11471</v>
      </c>
      <c r="D1123" s="24">
        <v>42075.524400000002</v>
      </c>
      <c r="E1123" s="6" t="s">
        <v>5889</v>
      </c>
      <c r="F1123" s="6">
        <v>21</v>
      </c>
      <c r="G1123" s="8">
        <f t="shared" si="17"/>
        <v>42075.524400000002</v>
      </c>
    </row>
    <row r="1124" spans="1:7" x14ac:dyDescent="0.3">
      <c r="A1124" s="14" t="str">
        <f>VLOOKUP(B1124,'Relacion codigos'!$A:$B,2,FALSE)</f>
        <v>6550</v>
      </c>
      <c r="B1124" s="6" t="s">
        <v>3230</v>
      </c>
      <c r="C1124" s="6" t="s">
        <v>11472</v>
      </c>
      <c r="D1124" s="24">
        <v>63436.555</v>
      </c>
      <c r="E1124" s="6" t="s">
        <v>5889</v>
      </c>
      <c r="F1124" s="6">
        <v>21</v>
      </c>
      <c r="G1124" s="8">
        <f t="shared" si="17"/>
        <v>63436.555</v>
      </c>
    </row>
    <row r="1125" spans="1:7" x14ac:dyDescent="0.3">
      <c r="A1125" s="14" t="str">
        <f>VLOOKUP(B1125,'Relacion codigos'!$A:$B,2,FALSE)</f>
        <v>6396</v>
      </c>
      <c r="B1125" s="6" t="s">
        <v>3234</v>
      </c>
      <c r="C1125" s="6" t="s">
        <v>11473</v>
      </c>
      <c r="D1125" s="24">
        <v>14410.76</v>
      </c>
      <c r="E1125" s="6" t="s">
        <v>5889</v>
      </c>
      <c r="F1125" s="6">
        <v>21</v>
      </c>
      <c r="G1125" s="8">
        <f t="shared" si="17"/>
        <v>14410.76</v>
      </c>
    </row>
    <row r="1126" spans="1:7" x14ac:dyDescent="0.3">
      <c r="A1126" s="14" t="str">
        <f>VLOOKUP(B1126,'Relacion codigos'!$A:$B,2,FALSE)</f>
        <v>8420</v>
      </c>
      <c r="B1126" s="6" t="s">
        <v>2600</v>
      </c>
      <c r="C1126" s="6" t="s">
        <v>10235</v>
      </c>
      <c r="D1126" s="24">
        <v>838.74335500799998</v>
      </c>
      <c r="E1126" s="6" t="s">
        <v>5889</v>
      </c>
      <c r="F1126" s="6">
        <v>21</v>
      </c>
      <c r="G1126" s="8">
        <f t="shared" si="17"/>
        <v>838.74335500799998</v>
      </c>
    </row>
    <row r="1127" spans="1:7" x14ac:dyDescent="0.3">
      <c r="A1127" s="14" t="str">
        <f>VLOOKUP(B1127,'Relacion codigos'!$A:$B,2,FALSE)</f>
        <v>6553</v>
      </c>
      <c r="B1127" s="6" t="s">
        <v>3187</v>
      </c>
      <c r="C1127" s="6" t="s">
        <v>13326</v>
      </c>
      <c r="D1127" s="24">
        <v>41820.415000000001</v>
      </c>
      <c r="E1127" s="6" t="s">
        <v>5889</v>
      </c>
      <c r="F1127" s="6">
        <v>21</v>
      </c>
      <c r="G1127" s="8">
        <f t="shared" si="17"/>
        <v>41820.415000000001</v>
      </c>
    </row>
    <row r="1128" spans="1:7" x14ac:dyDescent="0.3">
      <c r="A1128" s="14" t="str">
        <f>VLOOKUP(B1128,'Relacion codigos'!$A:$B,2,FALSE)</f>
        <v>6554</v>
      </c>
      <c r="B1128" s="6" t="s">
        <v>3188</v>
      </c>
      <c r="C1128" s="6" t="s">
        <v>13327</v>
      </c>
      <c r="D1128" s="24">
        <v>71245.629000000001</v>
      </c>
      <c r="E1128" s="6" t="s">
        <v>5889</v>
      </c>
      <c r="F1128" s="6">
        <v>21</v>
      </c>
      <c r="G1128" s="8">
        <f t="shared" si="17"/>
        <v>71245.629000000001</v>
      </c>
    </row>
    <row r="1129" spans="1:7" x14ac:dyDescent="0.3">
      <c r="A1129" s="14" t="str">
        <f>VLOOKUP(B1129,'Relacion codigos'!$A:$B,2,FALSE)</f>
        <v>2354</v>
      </c>
      <c r="B1129" s="6" t="s">
        <v>2601</v>
      </c>
      <c r="C1129" s="6" t="s">
        <v>10865</v>
      </c>
      <c r="D1129" s="24">
        <v>2326.8433791563998</v>
      </c>
      <c r="E1129" s="6" t="s">
        <v>5889</v>
      </c>
      <c r="F1129" s="6">
        <v>21</v>
      </c>
      <c r="G1129" s="8">
        <f t="shared" si="17"/>
        <v>2326.8433791563998</v>
      </c>
    </row>
    <row r="1130" spans="1:7" x14ac:dyDescent="0.3">
      <c r="A1130" s="14" t="str">
        <f>VLOOKUP(B1130,'Relacion codigos'!$A:$B,2,FALSE)</f>
        <v>2353</v>
      </c>
      <c r="B1130" s="6" t="s">
        <v>2602</v>
      </c>
      <c r="C1130" s="6" t="s">
        <v>13210</v>
      </c>
      <c r="D1130" s="24">
        <v>2326.8433791563998</v>
      </c>
      <c r="E1130" s="6" t="s">
        <v>5889</v>
      </c>
      <c r="F1130" s="6">
        <v>21</v>
      </c>
      <c r="G1130" s="8">
        <f t="shared" si="17"/>
        <v>2326.8433791563998</v>
      </c>
    </row>
    <row r="1131" spans="1:7" x14ac:dyDescent="0.3">
      <c r="A1131" s="14" t="e">
        <f>VLOOKUP(B1131,'Relacion codigos'!$A:$B,2,FALSE)</f>
        <v>#N/A</v>
      </c>
      <c r="B1131" s="6" t="s">
        <v>9681</v>
      </c>
      <c r="C1131" s="6" t="s">
        <v>12013</v>
      </c>
      <c r="D1131" s="24">
        <v>49611.311680741201</v>
      </c>
      <c r="E1131" s="6" t="s">
        <v>5889</v>
      </c>
      <c r="F1131" s="6">
        <v>21</v>
      </c>
      <c r="G1131" s="8">
        <f t="shared" si="17"/>
        <v>49611.311680741201</v>
      </c>
    </row>
    <row r="1132" spans="1:7" x14ac:dyDescent="0.3">
      <c r="A1132" s="14" t="e">
        <f>VLOOKUP(B1132,'Relacion codigos'!$A:$B,2,FALSE)</f>
        <v>#N/A</v>
      </c>
      <c r="B1132" s="6" t="s">
        <v>9740</v>
      </c>
      <c r="C1132" s="6" t="s">
        <v>12014</v>
      </c>
      <c r="D1132" s="24">
        <v>69945.090241291196</v>
      </c>
      <c r="E1132" s="6" t="s">
        <v>5889</v>
      </c>
      <c r="F1132" s="6">
        <v>21</v>
      </c>
      <c r="G1132" s="8">
        <f t="shared" si="17"/>
        <v>69945.090241291196</v>
      </c>
    </row>
    <row r="1133" spans="1:7" x14ac:dyDescent="0.3">
      <c r="A1133" s="14" t="e">
        <f>VLOOKUP(B1133,'Relacion codigos'!$A:$B,2,FALSE)</f>
        <v>#N/A</v>
      </c>
      <c r="B1133" s="6" t="s">
        <v>12188</v>
      </c>
      <c r="C1133" s="6" t="s">
        <v>12189</v>
      </c>
      <c r="D1133" s="24">
        <v>69945.090241291196</v>
      </c>
      <c r="E1133" s="6" t="s">
        <v>5889</v>
      </c>
      <c r="F1133" s="6">
        <v>21</v>
      </c>
      <c r="G1133" s="8">
        <f t="shared" si="17"/>
        <v>69945.090241291196</v>
      </c>
    </row>
    <row r="1134" spans="1:7" x14ac:dyDescent="0.3">
      <c r="A1134" s="14" t="e">
        <f>VLOOKUP(B1134,'Relacion codigos'!$A:$B,2,FALSE)</f>
        <v>#N/A</v>
      </c>
      <c r="B1134" s="6" t="s">
        <v>9293</v>
      </c>
      <c r="C1134" s="6" t="s">
        <v>12015</v>
      </c>
      <c r="D1134" s="24">
        <v>69945.090241291196</v>
      </c>
      <c r="E1134" s="6" t="s">
        <v>5889</v>
      </c>
      <c r="F1134" s="6">
        <v>21</v>
      </c>
      <c r="G1134" s="8">
        <f t="shared" si="17"/>
        <v>69945.090241291196</v>
      </c>
    </row>
    <row r="1135" spans="1:7" x14ac:dyDescent="0.3">
      <c r="A1135" s="14" t="e">
        <f>VLOOKUP(B1135,'Relacion codigos'!$A:$B,2,FALSE)</f>
        <v>#N/A</v>
      </c>
      <c r="B1135" s="6" t="s">
        <v>10586</v>
      </c>
      <c r="C1135" s="6" t="s">
        <v>10587</v>
      </c>
      <c r="D1135" s="24">
        <v>1016.7946121735999</v>
      </c>
      <c r="E1135" s="6" t="s">
        <v>5889</v>
      </c>
      <c r="F1135" s="6">
        <v>21</v>
      </c>
      <c r="G1135" s="8">
        <f t="shared" si="17"/>
        <v>1016.7946121735999</v>
      </c>
    </row>
    <row r="1136" spans="1:7" x14ac:dyDescent="0.3">
      <c r="A1136" s="14" t="e">
        <f>VLOOKUP(B1136,'Relacion codigos'!$A:$B,2,FALSE)</f>
        <v>#N/A</v>
      </c>
      <c r="B1136" s="6" t="s">
        <v>10588</v>
      </c>
      <c r="C1136" s="6" t="s">
        <v>10589</v>
      </c>
      <c r="D1136" s="24">
        <v>1016.79142380681</v>
      </c>
      <c r="E1136" s="6" t="s">
        <v>5889</v>
      </c>
      <c r="F1136" s="6">
        <v>21</v>
      </c>
      <c r="G1136" s="8">
        <f t="shared" si="17"/>
        <v>1016.79142380681</v>
      </c>
    </row>
    <row r="1137" spans="1:7" x14ac:dyDescent="0.3">
      <c r="A1137" s="14" t="e">
        <f>VLOOKUP(B1137,'Relacion codigos'!$A:$B,2,FALSE)</f>
        <v>#N/A</v>
      </c>
      <c r="B1137" s="6" t="s">
        <v>13612</v>
      </c>
      <c r="C1137" s="6" t="s">
        <v>13613</v>
      </c>
      <c r="D1137" s="24">
        <v>1118.4741385981299</v>
      </c>
      <c r="E1137" s="6" t="s">
        <v>5889</v>
      </c>
      <c r="F1137" s="6">
        <v>21</v>
      </c>
      <c r="G1137" s="8">
        <f t="shared" si="17"/>
        <v>1118.4741385981299</v>
      </c>
    </row>
    <row r="1138" spans="1:7" x14ac:dyDescent="0.3">
      <c r="A1138" s="14" t="str">
        <f>VLOOKUP(B1138,'Relacion codigos'!$A:$B,2,FALSE)</f>
        <v>9087</v>
      </c>
      <c r="B1138" s="6" t="s">
        <v>2321</v>
      </c>
      <c r="C1138" s="6" t="s">
        <v>11655</v>
      </c>
      <c r="D1138" s="24">
        <v>17018.4074697</v>
      </c>
      <c r="E1138" s="6" t="s">
        <v>5889</v>
      </c>
      <c r="F1138" s="6">
        <v>21</v>
      </c>
      <c r="G1138" s="8">
        <f t="shared" si="17"/>
        <v>17018.4074697</v>
      </c>
    </row>
    <row r="1139" spans="1:7" x14ac:dyDescent="0.3">
      <c r="A1139" s="14" t="str">
        <f>VLOOKUP(B1139,'Relacion codigos'!$A:$B,2,FALSE)</f>
        <v>9088</v>
      </c>
      <c r="B1139" s="6" t="s">
        <v>2322</v>
      </c>
      <c r="C1139" s="6" t="s">
        <v>11656</v>
      </c>
      <c r="D1139" s="24">
        <v>17018.4074697</v>
      </c>
      <c r="E1139" s="6" t="s">
        <v>5889</v>
      </c>
      <c r="F1139" s="6">
        <v>21</v>
      </c>
      <c r="G1139" s="8">
        <f t="shared" si="17"/>
        <v>17018.4074697</v>
      </c>
    </row>
    <row r="1140" spans="1:7" x14ac:dyDescent="0.3">
      <c r="A1140" s="14" t="e">
        <f>VLOOKUP(B1140,'Relacion codigos'!$A:$B,2,FALSE)</f>
        <v>#N/A</v>
      </c>
      <c r="B1140" s="6" t="s">
        <v>10114</v>
      </c>
      <c r="C1140" s="6" t="s">
        <v>10115</v>
      </c>
      <c r="D1140" s="24">
        <v>17018.4074697</v>
      </c>
      <c r="E1140" s="6" t="s">
        <v>5889</v>
      </c>
      <c r="F1140" s="6">
        <v>21</v>
      </c>
      <c r="G1140" s="8">
        <f t="shared" si="17"/>
        <v>17018.4074697</v>
      </c>
    </row>
    <row r="1141" spans="1:7" x14ac:dyDescent="0.3">
      <c r="A1141" s="14" t="e">
        <f>VLOOKUP(B1141,'Relacion codigos'!$A:$B,2,FALSE)</f>
        <v>#N/A</v>
      </c>
      <c r="B1141" s="6" t="s">
        <v>13251</v>
      </c>
      <c r="C1141" s="6" t="s">
        <v>13252</v>
      </c>
      <c r="D1141" s="24">
        <v>19943.092806975099</v>
      </c>
      <c r="E1141" s="6" t="s">
        <v>5889</v>
      </c>
      <c r="F1141" s="6">
        <v>21</v>
      </c>
      <c r="G1141" s="8">
        <f t="shared" si="17"/>
        <v>19943.092806975099</v>
      </c>
    </row>
    <row r="1142" spans="1:7" x14ac:dyDescent="0.3">
      <c r="A1142" s="14" t="str">
        <f>VLOOKUP(B1142,'Relacion codigos'!$A:$B,2,FALSE)</f>
        <v>8173</v>
      </c>
      <c r="B1142" s="6" t="s">
        <v>2650</v>
      </c>
      <c r="C1142" s="6" t="s">
        <v>13253</v>
      </c>
      <c r="D1142" s="24">
        <v>19943.092806975099</v>
      </c>
      <c r="E1142" s="6" t="s">
        <v>5889</v>
      </c>
      <c r="F1142" s="6">
        <v>21</v>
      </c>
      <c r="G1142" s="8">
        <f t="shared" si="17"/>
        <v>19943.092806975099</v>
      </c>
    </row>
    <row r="1143" spans="1:7" x14ac:dyDescent="0.3">
      <c r="A1143" s="14" t="str">
        <f>VLOOKUP(B1143,'Relacion codigos'!$A:$B,2,FALSE)</f>
        <v>8416</v>
      </c>
      <c r="B1143" s="6" t="s">
        <v>3192</v>
      </c>
      <c r="C1143" s="6" t="s">
        <v>10236</v>
      </c>
      <c r="D1143" s="24">
        <v>2222.4574082879999</v>
      </c>
      <c r="E1143" s="6" t="s">
        <v>5889</v>
      </c>
      <c r="F1143" s="6">
        <v>21</v>
      </c>
      <c r="G1143" s="8">
        <f t="shared" si="17"/>
        <v>2222.4574082879999</v>
      </c>
    </row>
    <row r="1144" spans="1:7" x14ac:dyDescent="0.3">
      <c r="A1144" s="14" t="e">
        <f>VLOOKUP(B1144,'Relacion codigos'!$A:$B,2,FALSE)</f>
        <v>#N/A</v>
      </c>
      <c r="B1144" s="6" t="s">
        <v>12190</v>
      </c>
      <c r="C1144" s="6" t="s">
        <v>12191</v>
      </c>
      <c r="D1144" s="24">
        <v>2462.6133913680001</v>
      </c>
      <c r="E1144" s="6" t="s">
        <v>5889</v>
      </c>
      <c r="F1144" s="6">
        <v>21</v>
      </c>
      <c r="G1144" s="8">
        <f t="shared" si="17"/>
        <v>2462.6133913680001</v>
      </c>
    </row>
    <row r="1145" spans="1:7" x14ac:dyDescent="0.3">
      <c r="A1145" s="14" t="str">
        <f>VLOOKUP(B1145,'Relacion codigos'!$A:$B,2,FALSE)</f>
        <v>8417</v>
      </c>
      <c r="B1145" s="6" t="s">
        <v>3193</v>
      </c>
      <c r="C1145" s="6" t="s">
        <v>10237</v>
      </c>
      <c r="D1145" s="24">
        <v>1991.6717464799999</v>
      </c>
      <c r="E1145" s="6" t="s">
        <v>5889</v>
      </c>
      <c r="F1145" s="6">
        <v>21</v>
      </c>
      <c r="G1145" s="8">
        <f t="shared" si="17"/>
        <v>1991.6717464799999</v>
      </c>
    </row>
    <row r="1146" spans="1:7" x14ac:dyDescent="0.3">
      <c r="A1146" s="14" t="str">
        <f>VLOOKUP(B1146,'Relacion codigos'!$A:$B,2,FALSE)</f>
        <v>8418</v>
      </c>
      <c r="B1146" s="6" t="s">
        <v>3194</v>
      </c>
      <c r="C1146" s="6" t="s">
        <v>10238</v>
      </c>
      <c r="D1146" s="24">
        <v>3822.45831864</v>
      </c>
      <c r="E1146" s="6" t="s">
        <v>5889</v>
      </c>
      <c r="F1146" s="6">
        <v>21</v>
      </c>
      <c r="G1146" s="8">
        <f t="shared" si="17"/>
        <v>3822.45831864</v>
      </c>
    </row>
    <row r="1147" spans="1:7" x14ac:dyDescent="0.3">
      <c r="A1147" s="14" t="str">
        <f>VLOOKUP(B1147,'Relacion codigos'!$A:$B,2,FALSE)</f>
        <v>8419</v>
      </c>
      <c r="B1147" s="6" t="s">
        <v>3195</v>
      </c>
      <c r="C1147" s="6" t="s">
        <v>10239</v>
      </c>
      <c r="D1147" s="24">
        <v>6365.678346144</v>
      </c>
      <c r="E1147" s="6" t="s">
        <v>5889</v>
      </c>
      <c r="F1147" s="6">
        <v>21</v>
      </c>
      <c r="G1147" s="8">
        <f t="shared" si="17"/>
        <v>6365.678346144</v>
      </c>
    </row>
    <row r="1148" spans="1:7" x14ac:dyDescent="0.3">
      <c r="A1148" s="14" t="str">
        <f>VLOOKUP(B1148,'Relacion codigos'!$A:$B,2,FALSE)</f>
        <v>7379</v>
      </c>
      <c r="B1148" s="6" t="s">
        <v>3227</v>
      </c>
      <c r="C1148" s="6" t="s">
        <v>11474</v>
      </c>
      <c r="D1148" s="24">
        <v>22729.116031050002</v>
      </c>
      <c r="E1148" s="6" t="s">
        <v>5889</v>
      </c>
      <c r="F1148" s="6">
        <v>21</v>
      </c>
      <c r="G1148" s="8">
        <f t="shared" si="17"/>
        <v>22729.116031050002</v>
      </c>
    </row>
    <row r="1149" spans="1:7" x14ac:dyDescent="0.3">
      <c r="A1149" s="14" t="str">
        <f>VLOOKUP(B1149,'Relacion codigos'!$A:$B,2,FALSE)</f>
        <v>6099</v>
      </c>
      <c r="B1149" s="6" t="s">
        <v>3197</v>
      </c>
      <c r="C1149" s="6" t="s">
        <v>866</v>
      </c>
      <c r="D1149" s="24">
        <v>3100.0531402807201</v>
      </c>
      <c r="E1149" s="6" t="s">
        <v>5889</v>
      </c>
      <c r="F1149" s="6">
        <v>21</v>
      </c>
      <c r="G1149" s="8">
        <f t="shared" si="17"/>
        <v>3100.0531402807201</v>
      </c>
    </row>
    <row r="1150" spans="1:7" x14ac:dyDescent="0.3">
      <c r="A1150" s="14" t="str">
        <f>VLOOKUP(B1150,'Relacion codigos'!$A:$B,2,FALSE)</f>
        <v>6780</v>
      </c>
      <c r="B1150" s="6" t="s">
        <v>3198</v>
      </c>
      <c r="C1150" s="6" t="s">
        <v>160</v>
      </c>
      <c r="D1150" s="24">
        <v>3973.8760552951198</v>
      </c>
      <c r="E1150" s="6" t="s">
        <v>5889</v>
      </c>
      <c r="F1150" s="6">
        <v>21</v>
      </c>
      <c r="G1150" s="8">
        <f t="shared" si="17"/>
        <v>3973.8760552951198</v>
      </c>
    </row>
    <row r="1151" spans="1:7" x14ac:dyDescent="0.3">
      <c r="A1151" s="14" t="str">
        <f>VLOOKUP(B1151,'Relacion codigos'!$A:$B,2,FALSE)</f>
        <v>7374</v>
      </c>
      <c r="B1151" s="6" t="s">
        <v>3199</v>
      </c>
      <c r="C1151" s="6" t="s">
        <v>161</v>
      </c>
      <c r="D1151" s="24">
        <v>11504.90821155</v>
      </c>
      <c r="E1151" s="6" t="s">
        <v>5889</v>
      </c>
      <c r="F1151" s="6">
        <v>21</v>
      </c>
      <c r="G1151" s="10">
        <f t="shared" si="17"/>
        <v>11504.90821155</v>
      </c>
    </row>
    <row r="1152" spans="1:7" x14ac:dyDescent="0.3">
      <c r="A1152" s="14" t="str">
        <f>VLOOKUP(B1152,'Relacion codigos'!$A:$B,2,FALSE)</f>
        <v>7377</v>
      </c>
      <c r="B1152" s="6" t="s">
        <v>3232</v>
      </c>
      <c r="C1152" s="6" t="s">
        <v>11475</v>
      </c>
      <c r="D1152" s="24">
        <v>10210.8289881</v>
      </c>
      <c r="E1152" s="6" t="s">
        <v>5889</v>
      </c>
      <c r="F1152" s="6">
        <v>21</v>
      </c>
      <c r="G1152" s="8">
        <f t="shared" si="17"/>
        <v>10210.8289881</v>
      </c>
    </row>
    <row r="1153" spans="1:7" x14ac:dyDescent="0.3">
      <c r="A1153" s="14" t="str">
        <f>VLOOKUP(B1153,'Relacion codigos'!$A:$B,2,FALSE)</f>
        <v>7378</v>
      </c>
      <c r="B1153" s="6" t="s">
        <v>3235</v>
      </c>
      <c r="C1153" s="6" t="s">
        <v>11476</v>
      </c>
      <c r="D1153" s="24">
        <v>13555.685871</v>
      </c>
      <c r="E1153" s="6" t="s">
        <v>5889</v>
      </c>
      <c r="F1153" s="6">
        <v>21</v>
      </c>
      <c r="G1153" s="8">
        <f t="shared" si="17"/>
        <v>13555.685871</v>
      </c>
    </row>
    <row r="1154" spans="1:7" x14ac:dyDescent="0.3">
      <c r="A1154" s="14" t="e">
        <f>VLOOKUP(B1154,'Relacion codigos'!$A:$B,2,FALSE)</f>
        <v>#N/A</v>
      </c>
      <c r="B1154" s="6" t="s">
        <v>11530</v>
      </c>
      <c r="C1154" s="6" t="s">
        <v>11623</v>
      </c>
      <c r="D1154" s="24">
        <v>8.2992000000000008</v>
      </c>
      <c r="E1154" s="6" t="s">
        <v>5887</v>
      </c>
      <c r="F1154" s="6">
        <v>21</v>
      </c>
      <c r="G1154" s="8">
        <f t="shared" ref="G1154:G1217" si="18">IF(E1154="Dolares",D1154*$G$1,D1154)</f>
        <v>12905.256000000001</v>
      </c>
    </row>
    <row r="1155" spans="1:7" x14ac:dyDescent="0.3">
      <c r="A1155" s="14" t="e">
        <f>VLOOKUP(B1155,'Relacion codigos'!$A:$B,2,FALSE)</f>
        <v>#N/A</v>
      </c>
      <c r="B1155" s="6" t="s">
        <v>13699</v>
      </c>
      <c r="C1155" s="6" t="s">
        <v>13700</v>
      </c>
      <c r="D1155" s="24">
        <v>8.2992000000000008</v>
      </c>
      <c r="E1155" s="6" t="s">
        <v>5887</v>
      </c>
      <c r="F1155" s="6">
        <v>21</v>
      </c>
      <c r="G1155" s="8">
        <f t="shared" si="18"/>
        <v>12905.256000000001</v>
      </c>
    </row>
    <row r="1156" spans="1:7" x14ac:dyDescent="0.3">
      <c r="A1156" s="14" t="e">
        <f>VLOOKUP(B1156,'Relacion codigos'!$A:$B,2,FALSE)</f>
        <v>#N/A</v>
      </c>
      <c r="B1156" s="6" t="s">
        <v>11624</v>
      </c>
      <c r="C1156" s="6" t="s">
        <v>11625</v>
      </c>
      <c r="D1156" s="24">
        <v>8.9612250000000007</v>
      </c>
      <c r="E1156" s="6" t="s">
        <v>5887</v>
      </c>
      <c r="F1156" s="6">
        <v>21</v>
      </c>
      <c r="G1156" s="8">
        <f t="shared" si="18"/>
        <v>13934.704875000001</v>
      </c>
    </row>
    <row r="1157" spans="1:7" x14ac:dyDescent="0.3">
      <c r="A1157" s="14" t="e">
        <f>VLOOKUP(B1157,'Relacion codigos'!$A:$B,2,FALSE)</f>
        <v>#N/A</v>
      </c>
      <c r="B1157" s="6" t="s">
        <v>11626</v>
      </c>
      <c r="C1157" s="6" t="s">
        <v>11627</v>
      </c>
      <c r="D1157" s="24">
        <v>11.636625</v>
      </c>
      <c r="E1157" s="6" t="s">
        <v>5887</v>
      </c>
      <c r="F1157" s="6">
        <v>21</v>
      </c>
      <c r="G1157" s="8">
        <f t="shared" si="18"/>
        <v>18094.951875000002</v>
      </c>
    </row>
    <row r="1158" spans="1:7" x14ac:dyDescent="0.3">
      <c r="A1158" s="14" t="str">
        <f>VLOOKUP(B1158,'Relacion codigos'!$A:$B,2,FALSE)</f>
        <v>3557</v>
      </c>
      <c r="B1158" s="6" t="s">
        <v>2383</v>
      </c>
      <c r="C1158" s="6" t="s">
        <v>163</v>
      </c>
      <c r="D1158" s="24">
        <v>63100.984939855203</v>
      </c>
      <c r="E1158" s="6" t="s">
        <v>5889</v>
      </c>
      <c r="F1158" s="6">
        <v>21</v>
      </c>
      <c r="G1158" s="8">
        <f t="shared" si="18"/>
        <v>63100.984939855203</v>
      </c>
    </row>
    <row r="1159" spans="1:7" x14ac:dyDescent="0.3">
      <c r="A1159" s="14" t="str">
        <f>VLOOKUP(B1159,'Relacion codigos'!$A:$B,2,FALSE)</f>
        <v>9255</v>
      </c>
      <c r="B1159" s="6" t="s">
        <v>3327</v>
      </c>
      <c r="C1159" s="6" t="s">
        <v>1231</v>
      </c>
      <c r="D1159" s="24">
        <v>12133.8</v>
      </c>
      <c r="E1159" s="6" t="s">
        <v>5889</v>
      </c>
      <c r="F1159" s="6">
        <v>21</v>
      </c>
      <c r="G1159" s="8">
        <f t="shared" si="18"/>
        <v>12133.8</v>
      </c>
    </row>
    <row r="1160" spans="1:7" x14ac:dyDescent="0.3">
      <c r="A1160" s="14" t="str">
        <f>VLOOKUP(B1160,'Relacion codigos'!$A:$B,2,FALSE)</f>
        <v>7399</v>
      </c>
      <c r="B1160" s="6" t="s">
        <v>1366</v>
      </c>
      <c r="C1160" s="6" t="s">
        <v>10157</v>
      </c>
      <c r="D1160" s="24">
        <v>38.6361378</v>
      </c>
      <c r="E1160" s="6" t="s">
        <v>5887</v>
      </c>
      <c r="F1160" s="6">
        <v>21</v>
      </c>
      <c r="G1160" s="8">
        <f t="shared" si="18"/>
        <v>60079.194279000003</v>
      </c>
    </row>
    <row r="1161" spans="1:7" x14ac:dyDescent="0.3">
      <c r="A1161" s="14" t="str">
        <f>VLOOKUP(B1161,'Relacion codigos'!$A:$B,2,FALSE)</f>
        <v>878</v>
      </c>
      <c r="B1161" s="6" t="s">
        <v>1406</v>
      </c>
      <c r="C1161" s="6" t="s">
        <v>8779</v>
      </c>
      <c r="D1161" s="24">
        <v>28.880081100000002</v>
      </c>
      <c r="E1161" s="6" t="s">
        <v>5887</v>
      </c>
      <c r="F1161" s="6">
        <v>21</v>
      </c>
      <c r="G1161" s="8">
        <f t="shared" si="18"/>
        <v>44908.526110500003</v>
      </c>
    </row>
    <row r="1162" spans="1:7" x14ac:dyDescent="0.3">
      <c r="A1162" s="14" t="str">
        <f>VLOOKUP(B1162,'Relacion codigos'!$A:$B,2,FALSE)</f>
        <v>420</v>
      </c>
      <c r="B1162" s="6" t="s">
        <v>1407</v>
      </c>
      <c r="C1162" s="6" t="s">
        <v>164</v>
      </c>
      <c r="D1162" s="24">
        <v>13.601754400000001</v>
      </c>
      <c r="E1162" s="6" t="s">
        <v>5887</v>
      </c>
      <c r="F1162" s="6">
        <v>21</v>
      </c>
      <c r="G1162" s="8">
        <f t="shared" si="18"/>
        <v>21150.728092000001</v>
      </c>
    </row>
    <row r="1163" spans="1:7" x14ac:dyDescent="0.3">
      <c r="A1163" s="14" t="str">
        <f>VLOOKUP(B1163,'Relacion codigos'!$A:$B,2,FALSE)</f>
        <v>419</v>
      </c>
      <c r="B1163" s="6" t="s">
        <v>1408</v>
      </c>
      <c r="C1163" s="6" t="s">
        <v>165</v>
      </c>
      <c r="D1163" s="24">
        <v>12.930179600000001</v>
      </c>
      <c r="E1163" s="6" t="s">
        <v>5887</v>
      </c>
      <c r="F1163" s="6">
        <v>21</v>
      </c>
      <c r="G1163" s="8">
        <f t="shared" si="18"/>
        <v>20106.429278</v>
      </c>
    </row>
    <row r="1164" spans="1:7" x14ac:dyDescent="0.3">
      <c r="A1164" s="14" t="e">
        <f>VLOOKUP(B1164,'Relacion codigos'!$A:$B,2,FALSE)</f>
        <v>#N/A</v>
      </c>
      <c r="B1164" s="6" t="s">
        <v>9427</v>
      </c>
      <c r="C1164" s="6" t="s">
        <v>9428</v>
      </c>
      <c r="D1164" s="24">
        <v>20865</v>
      </c>
      <c r="E1164" s="6" t="s">
        <v>5889</v>
      </c>
      <c r="F1164" s="6">
        <v>21</v>
      </c>
      <c r="G1164" s="8">
        <f t="shared" si="18"/>
        <v>20865</v>
      </c>
    </row>
    <row r="1165" spans="1:7" x14ac:dyDescent="0.3">
      <c r="A1165" s="14" t="e">
        <f>VLOOKUP(B1165,'Relacion codigos'!$A:$B,2,FALSE)</f>
        <v>#N/A</v>
      </c>
      <c r="B1165" s="6" t="s">
        <v>9429</v>
      </c>
      <c r="C1165" s="6" t="s">
        <v>9430</v>
      </c>
      <c r="D1165" s="24">
        <v>20865</v>
      </c>
      <c r="E1165" s="6" t="s">
        <v>5889</v>
      </c>
      <c r="F1165" s="6">
        <v>21</v>
      </c>
      <c r="G1165" s="8">
        <f t="shared" si="18"/>
        <v>20865</v>
      </c>
    </row>
    <row r="1166" spans="1:7" x14ac:dyDescent="0.3">
      <c r="A1166" s="14" t="e">
        <f>VLOOKUP(B1166,'Relacion codigos'!$A:$B,2,FALSE)</f>
        <v>#N/A</v>
      </c>
      <c r="B1166" s="6" t="s">
        <v>9431</v>
      </c>
      <c r="C1166" s="6" t="s">
        <v>9432</v>
      </c>
      <c r="D1166" s="24">
        <v>20865</v>
      </c>
      <c r="E1166" s="6" t="s">
        <v>5889</v>
      </c>
      <c r="F1166" s="6">
        <v>21</v>
      </c>
      <c r="G1166" s="8">
        <f t="shared" si="18"/>
        <v>20865</v>
      </c>
    </row>
    <row r="1167" spans="1:7" x14ac:dyDescent="0.3">
      <c r="A1167" s="14" t="e">
        <f>VLOOKUP(B1167,'Relacion codigos'!$A:$B,2,FALSE)</f>
        <v>#N/A</v>
      </c>
      <c r="B1167" s="6" t="s">
        <v>13572</v>
      </c>
      <c r="C1167" s="6" t="s">
        <v>13573</v>
      </c>
      <c r="D1167" s="24">
        <v>3229.35459191887</v>
      </c>
      <c r="E1167" s="6" t="s">
        <v>5889</v>
      </c>
      <c r="F1167" s="6">
        <v>21</v>
      </c>
      <c r="G1167" s="8">
        <f t="shared" si="18"/>
        <v>3229.35459191887</v>
      </c>
    </row>
    <row r="1168" spans="1:7" x14ac:dyDescent="0.3">
      <c r="A1168" s="14" t="e">
        <f>VLOOKUP(B1168,'Relacion codigos'!$A:$B,2,FALSE)</f>
        <v>#N/A</v>
      </c>
      <c r="B1168" s="6" t="s">
        <v>13368</v>
      </c>
      <c r="C1168" s="6" t="s">
        <v>13881</v>
      </c>
      <c r="D1168" s="24">
        <v>1094.69017796158</v>
      </c>
      <c r="E1168" s="6" t="s">
        <v>5889</v>
      </c>
      <c r="F1168" s="6">
        <v>21</v>
      </c>
      <c r="G1168" s="8">
        <f t="shared" si="18"/>
        <v>1094.69017796158</v>
      </c>
    </row>
    <row r="1169" spans="1:7" x14ac:dyDescent="0.3">
      <c r="A1169" s="14" t="str">
        <f>VLOOKUP(B1169,'Relacion codigos'!$A:$B,2,FALSE)</f>
        <v>2149</v>
      </c>
      <c r="B1169" s="6" t="s">
        <v>2766</v>
      </c>
      <c r="C1169" s="6" t="s">
        <v>9475</v>
      </c>
      <c r="D1169" s="24">
        <v>508.27925191679998</v>
      </c>
      <c r="E1169" s="6" t="s">
        <v>5889</v>
      </c>
      <c r="F1169" s="6">
        <v>21</v>
      </c>
      <c r="G1169" s="8">
        <f t="shared" si="18"/>
        <v>508.27925191679998</v>
      </c>
    </row>
    <row r="1170" spans="1:7" x14ac:dyDescent="0.3">
      <c r="A1170" s="14" t="e">
        <f>VLOOKUP(B1170,'Relacion codigos'!$A:$B,2,FALSE)</f>
        <v>#N/A</v>
      </c>
      <c r="B1170" s="6" t="s">
        <v>12816</v>
      </c>
      <c r="C1170" s="6" t="s">
        <v>12817</v>
      </c>
      <c r="D1170" s="24">
        <v>397.74224441249999</v>
      </c>
      <c r="E1170" s="6" t="s">
        <v>5889</v>
      </c>
      <c r="F1170" s="6">
        <v>21</v>
      </c>
      <c r="G1170" s="8">
        <f t="shared" si="18"/>
        <v>397.74224441249999</v>
      </c>
    </row>
    <row r="1171" spans="1:7" x14ac:dyDescent="0.3">
      <c r="A1171" s="14" t="str">
        <f>VLOOKUP(B1171,'Relacion codigos'!$A:$B,2,FALSE)</f>
        <v>8687</v>
      </c>
      <c r="B1171" s="6" t="s">
        <v>2760</v>
      </c>
      <c r="C1171" s="6" t="s">
        <v>10802</v>
      </c>
      <c r="D1171" s="24">
        <v>507.645111924405</v>
      </c>
      <c r="E1171" s="6" t="s">
        <v>5889</v>
      </c>
      <c r="F1171" s="6">
        <v>21</v>
      </c>
      <c r="G1171" s="8">
        <f t="shared" si="18"/>
        <v>507.645111924405</v>
      </c>
    </row>
    <row r="1172" spans="1:7" x14ac:dyDescent="0.3">
      <c r="A1172" s="14" t="str">
        <f>VLOOKUP(B1172,'Relacion codigos'!$A:$B,2,FALSE)</f>
        <v>2153</v>
      </c>
      <c r="B1172" s="6" t="s">
        <v>2754</v>
      </c>
      <c r="C1172" s="6" t="s">
        <v>9476</v>
      </c>
      <c r="D1172" s="24">
        <v>840.9464586432</v>
      </c>
      <c r="E1172" s="6" t="s">
        <v>5889</v>
      </c>
      <c r="F1172" s="6">
        <v>21</v>
      </c>
      <c r="G1172" s="8">
        <f t="shared" si="18"/>
        <v>840.9464586432</v>
      </c>
    </row>
    <row r="1173" spans="1:7" x14ac:dyDescent="0.3">
      <c r="A1173" s="14" t="e">
        <f>VLOOKUP(B1173,'Relacion codigos'!$A:$B,2,FALSE)</f>
        <v>#N/A</v>
      </c>
      <c r="B1173" s="6" t="s">
        <v>10791</v>
      </c>
      <c r="C1173" s="6" t="s">
        <v>10792</v>
      </c>
      <c r="D1173" s="24">
        <v>2222.3619484092001</v>
      </c>
      <c r="E1173" s="6" t="s">
        <v>5889</v>
      </c>
      <c r="F1173" s="6">
        <v>21</v>
      </c>
      <c r="G1173" s="8">
        <f t="shared" si="18"/>
        <v>2222.3619484092001</v>
      </c>
    </row>
    <row r="1174" spans="1:7" x14ac:dyDescent="0.3">
      <c r="A1174" s="14" t="e">
        <f>VLOOKUP(B1174,'Relacion codigos'!$A:$B,2,FALSE)</f>
        <v>#N/A</v>
      </c>
      <c r="B1174" s="6" t="s">
        <v>13728</v>
      </c>
      <c r="C1174" s="6" t="s">
        <v>13729</v>
      </c>
      <c r="D1174" s="24">
        <v>743.90798401919994</v>
      </c>
      <c r="E1174" s="6" t="s">
        <v>5889</v>
      </c>
      <c r="F1174" s="6">
        <v>21</v>
      </c>
      <c r="G1174" s="8">
        <f t="shared" si="18"/>
        <v>743.90798401919994</v>
      </c>
    </row>
    <row r="1175" spans="1:7" x14ac:dyDescent="0.3">
      <c r="A1175" s="14" t="str">
        <f>VLOOKUP(B1175,'Relacion codigos'!$A:$B,2,FALSE)</f>
        <v>2150</v>
      </c>
      <c r="B1175" s="6" t="s">
        <v>2767</v>
      </c>
      <c r="C1175" s="6" t="s">
        <v>9477</v>
      </c>
      <c r="D1175" s="24">
        <v>612.60136086240004</v>
      </c>
      <c r="E1175" s="6" t="s">
        <v>5889</v>
      </c>
      <c r="F1175" s="6">
        <v>21</v>
      </c>
      <c r="G1175" s="8">
        <f t="shared" si="18"/>
        <v>612.60136086240004</v>
      </c>
    </row>
    <row r="1176" spans="1:7" x14ac:dyDescent="0.3">
      <c r="A1176" s="14" t="e">
        <f>VLOOKUP(B1176,'Relacion codigos'!$A:$B,2,FALSE)</f>
        <v>#N/A</v>
      </c>
      <c r="B1176" s="6" t="s">
        <v>12818</v>
      </c>
      <c r="C1176" s="6" t="s">
        <v>12819</v>
      </c>
      <c r="D1176" s="24">
        <v>478.16007524999998</v>
      </c>
      <c r="E1176" s="6" t="s">
        <v>5889</v>
      </c>
      <c r="F1176" s="6">
        <v>21</v>
      </c>
      <c r="G1176" s="8">
        <f t="shared" si="18"/>
        <v>478.16007524999998</v>
      </c>
    </row>
    <row r="1177" spans="1:7" x14ac:dyDescent="0.3">
      <c r="A1177" s="14" t="str">
        <f>VLOOKUP(B1177,'Relacion codigos'!$A:$B,2,FALSE)</f>
        <v>8688</v>
      </c>
      <c r="B1177" s="6" t="s">
        <v>2761</v>
      </c>
      <c r="C1177" s="6" t="s">
        <v>10803</v>
      </c>
      <c r="D1177" s="24">
        <v>610.66073677810505</v>
      </c>
      <c r="E1177" s="6" t="s">
        <v>5889</v>
      </c>
      <c r="F1177" s="6">
        <v>21</v>
      </c>
      <c r="G1177" s="8">
        <f t="shared" si="18"/>
        <v>610.66073677810505</v>
      </c>
    </row>
    <row r="1178" spans="1:7" x14ac:dyDescent="0.3">
      <c r="A1178" s="14" t="e">
        <f>VLOOKUP(B1178,'Relacion codigos'!$A:$B,2,FALSE)</f>
        <v>#N/A</v>
      </c>
      <c r="B1178" s="6" t="s">
        <v>12240</v>
      </c>
      <c r="C1178" s="6" t="s">
        <v>12241</v>
      </c>
      <c r="D1178" s="24">
        <v>534.07952881920005</v>
      </c>
      <c r="E1178" s="6" t="s">
        <v>5889</v>
      </c>
      <c r="F1178" s="6">
        <v>21</v>
      </c>
      <c r="G1178" s="8">
        <f t="shared" si="18"/>
        <v>534.07952881920005</v>
      </c>
    </row>
    <row r="1179" spans="1:7" x14ac:dyDescent="0.3">
      <c r="A1179" s="14" t="e">
        <f>VLOOKUP(B1179,'Relacion codigos'!$A:$B,2,FALSE)</f>
        <v>#N/A</v>
      </c>
      <c r="B1179" s="6" t="s">
        <v>13535</v>
      </c>
      <c r="C1179" s="6" t="s">
        <v>13536</v>
      </c>
      <c r="D1179" s="24">
        <v>673.86552105600003</v>
      </c>
      <c r="E1179" s="6" t="s">
        <v>5889</v>
      </c>
      <c r="F1179" s="6">
        <v>21</v>
      </c>
      <c r="G1179" s="8">
        <f t="shared" si="18"/>
        <v>673.86552105600003</v>
      </c>
    </row>
    <row r="1180" spans="1:7" x14ac:dyDescent="0.3">
      <c r="A1180" s="14" t="str">
        <f>VLOOKUP(B1180,'Relacion codigos'!$A:$B,2,FALSE)</f>
        <v>8748</v>
      </c>
      <c r="B1180" s="6" t="s">
        <v>2748</v>
      </c>
      <c r="C1180" s="6" t="s">
        <v>10804</v>
      </c>
      <c r="D1180" s="24">
        <v>891.80386864627496</v>
      </c>
      <c r="E1180" s="6" t="s">
        <v>5889</v>
      </c>
      <c r="F1180" s="6">
        <v>21</v>
      </c>
      <c r="G1180" s="8">
        <f t="shared" si="18"/>
        <v>891.80386864627496</v>
      </c>
    </row>
    <row r="1181" spans="1:7" x14ac:dyDescent="0.3">
      <c r="A1181" s="14" t="str">
        <f>VLOOKUP(B1181,'Relacion codigos'!$A:$B,2,FALSE)</f>
        <v>2154</v>
      </c>
      <c r="B1181" s="6" t="s">
        <v>2755</v>
      </c>
      <c r="C1181" s="6" t="s">
        <v>9478</v>
      </c>
      <c r="D1181" s="24">
        <v>975.67357305600001</v>
      </c>
      <c r="E1181" s="6" t="s">
        <v>5889</v>
      </c>
      <c r="F1181" s="6">
        <v>21</v>
      </c>
      <c r="G1181" s="8">
        <f t="shared" si="18"/>
        <v>975.67357305600001</v>
      </c>
    </row>
    <row r="1182" spans="1:7" x14ac:dyDescent="0.3">
      <c r="A1182" s="14" t="e">
        <f>VLOOKUP(B1182,'Relacion codigos'!$A:$B,2,FALSE)</f>
        <v>#N/A</v>
      </c>
      <c r="B1182" s="6" t="s">
        <v>10020</v>
      </c>
      <c r="C1182" s="6" t="s">
        <v>10021</v>
      </c>
      <c r="D1182" s="24">
        <v>2631.8150776008001</v>
      </c>
      <c r="E1182" s="6" t="s">
        <v>5889</v>
      </c>
      <c r="F1182" s="6">
        <v>21</v>
      </c>
      <c r="G1182" s="8">
        <f t="shared" si="18"/>
        <v>2631.8150776008001</v>
      </c>
    </row>
    <row r="1183" spans="1:7" x14ac:dyDescent="0.3">
      <c r="A1183" s="14" t="str">
        <f>VLOOKUP(B1183,'Relacion codigos'!$A:$B,2,FALSE)</f>
        <v>2151</v>
      </c>
      <c r="B1183" s="6" t="s">
        <v>2768</v>
      </c>
      <c r="C1183" s="6" t="s">
        <v>9479</v>
      </c>
      <c r="D1183" s="24">
        <v>824.57409041280005</v>
      </c>
      <c r="E1183" s="6" t="s">
        <v>5889</v>
      </c>
      <c r="F1183" s="6">
        <v>21</v>
      </c>
      <c r="G1183" s="8">
        <f t="shared" si="18"/>
        <v>824.57409041280005</v>
      </c>
    </row>
    <row r="1184" spans="1:7" x14ac:dyDescent="0.3">
      <c r="A1184" s="14" t="str">
        <f>VLOOKUP(B1184,'Relacion codigos'!$A:$B,2,FALSE)</f>
        <v>8689</v>
      </c>
      <c r="B1184" s="6" t="s">
        <v>2762</v>
      </c>
      <c r="C1184" s="6" t="s">
        <v>10979</v>
      </c>
      <c r="D1184" s="24">
        <v>821.067313514175</v>
      </c>
      <c r="E1184" s="6" t="s">
        <v>5889</v>
      </c>
      <c r="F1184" s="6">
        <v>21</v>
      </c>
      <c r="G1184" s="8">
        <f t="shared" si="18"/>
        <v>821.067313514175</v>
      </c>
    </row>
    <row r="1185" spans="1:7" x14ac:dyDescent="0.3">
      <c r="A1185" s="14" t="str">
        <f>VLOOKUP(B1185,'Relacion codigos'!$A:$B,2,FALSE)</f>
        <v>9282</v>
      </c>
      <c r="B1185" s="6" t="s">
        <v>2749</v>
      </c>
      <c r="C1185" s="6" t="s">
        <v>10805</v>
      </c>
      <c r="D1185" s="24">
        <v>1034.4874440250401</v>
      </c>
      <c r="E1185" s="6" t="s">
        <v>5889</v>
      </c>
      <c r="F1185" s="6">
        <v>21</v>
      </c>
      <c r="G1185" s="8">
        <f t="shared" si="18"/>
        <v>1034.4874440250401</v>
      </c>
    </row>
    <row r="1186" spans="1:7" x14ac:dyDescent="0.3">
      <c r="A1186" s="14" t="str">
        <f>VLOOKUP(B1186,'Relacion codigos'!$A:$B,2,FALSE)</f>
        <v>2155</v>
      </c>
      <c r="B1186" s="6" t="s">
        <v>2756</v>
      </c>
      <c r="C1186" s="6" t="s">
        <v>9480</v>
      </c>
      <c r="D1186" s="24">
        <v>1018.3636034208</v>
      </c>
      <c r="E1186" s="6" t="s">
        <v>5889</v>
      </c>
      <c r="F1186" s="6">
        <v>21</v>
      </c>
      <c r="G1186" s="8">
        <f t="shared" si="18"/>
        <v>1018.3636034208</v>
      </c>
    </row>
    <row r="1187" spans="1:7" x14ac:dyDescent="0.3">
      <c r="A1187" s="14" t="e">
        <f>VLOOKUP(B1187,'Relacion codigos'!$A:$B,2,FALSE)</f>
        <v>#N/A</v>
      </c>
      <c r="B1187" s="6" t="s">
        <v>10022</v>
      </c>
      <c r="C1187" s="6" t="s">
        <v>10023</v>
      </c>
      <c r="D1187" s="24">
        <v>2862.8197818479998</v>
      </c>
      <c r="E1187" s="6" t="s">
        <v>5889</v>
      </c>
      <c r="F1187" s="6">
        <v>21</v>
      </c>
      <c r="G1187" s="8">
        <f t="shared" si="18"/>
        <v>2862.8197818479998</v>
      </c>
    </row>
    <row r="1188" spans="1:7" x14ac:dyDescent="0.3">
      <c r="A1188" s="14" t="str">
        <f>VLOOKUP(B1188,'Relacion codigos'!$A:$B,2,FALSE)</f>
        <v>2152</v>
      </c>
      <c r="B1188" s="6" t="s">
        <v>2769</v>
      </c>
      <c r="C1188" s="6" t="s">
        <v>9481</v>
      </c>
      <c r="D1188" s="24">
        <v>865.26356454719996</v>
      </c>
      <c r="E1188" s="6" t="s">
        <v>5889</v>
      </c>
      <c r="F1188" s="6">
        <v>21</v>
      </c>
      <c r="G1188" s="8">
        <f t="shared" si="18"/>
        <v>865.26356454719996</v>
      </c>
    </row>
    <row r="1189" spans="1:7" x14ac:dyDescent="0.3">
      <c r="A1189" s="14" t="str">
        <f>VLOOKUP(B1189,'Relacion codigos'!$A:$B,2,FALSE)</f>
        <v>8854</v>
      </c>
      <c r="B1189" s="6" t="s">
        <v>2750</v>
      </c>
      <c r="C1189" s="6" t="s">
        <v>10807</v>
      </c>
      <c r="D1189" s="24">
        <v>1079.6907506468999</v>
      </c>
      <c r="E1189" s="6" t="s">
        <v>5889</v>
      </c>
      <c r="F1189" s="6">
        <v>21</v>
      </c>
      <c r="G1189" s="8">
        <f t="shared" si="18"/>
        <v>1079.6907506468999</v>
      </c>
    </row>
    <row r="1190" spans="1:7" x14ac:dyDescent="0.3">
      <c r="A1190" s="14" t="str">
        <f>VLOOKUP(B1190,'Relacion codigos'!$A:$B,2,FALSE)</f>
        <v>9257</v>
      </c>
      <c r="B1190" s="6" t="s">
        <v>2764</v>
      </c>
      <c r="C1190" s="6" t="s">
        <v>9482</v>
      </c>
      <c r="D1190" s="24">
        <v>1273.4408230461399</v>
      </c>
      <c r="E1190" s="6" t="s">
        <v>5889</v>
      </c>
      <c r="F1190" s="6">
        <v>21</v>
      </c>
      <c r="G1190" s="8">
        <f t="shared" si="18"/>
        <v>1273.4408230461399</v>
      </c>
    </row>
    <row r="1191" spans="1:7" x14ac:dyDescent="0.3">
      <c r="A1191" s="14" t="str">
        <f>VLOOKUP(B1191,'Relacion codigos'!$A:$B,2,FALSE)</f>
        <v>2034</v>
      </c>
      <c r="B1191" s="6" t="s">
        <v>2757</v>
      </c>
      <c r="C1191" s="6" t="s">
        <v>9483</v>
      </c>
      <c r="D1191" s="24">
        <v>1508.5918594656</v>
      </c>
      <c r="E1191" s="6" t="s">
        <v>5889</v>
      </c>
      <c r="F1191" s="6">
        <v>21</v>
      </c>
      <c r="G1191" s="8">
        <f t="shared" si="18"/>
        <v>1508.5918594656</v>
      </c>
    </row>
    <row r="1192" spans="1:7" x14ac:dyDescent="0.3">
      <c r="A1192" s="14" t="e">
        <f>VLOOKUP(B1192,'Relacion codigos'!$A:$B,2,FALSE)</f>
        <v>#N/A</v>
      </c>
      <c r="B1192" s="6" t="s">
        <v>12820</v>
      </c>
      <c r="C1192" s="6" t="s">
        <v>12821</v>
      </c>
      <c r="D1192" s="24">
        <v>4495.0533665076</v>
      </c>
      <c r="E1192" s="6" t="s">
        <v>5889</v>
      </c>
      <c r="F1192" s="6">
        <v>21</v>
      </c>
      <c r="G1192" s="8">
        <f t="shared" si="18"/>
        <v>4495.0533665076</v>
      </c>
    </row>
    <row r="1193" spans="1:7" x14ac:dyDescent="0.3">
      <c r="A1193" s="14" t="str">
        <f>VLOOKUP(B1193,'Relacion codigos'!$A:$B,2,FALSE)</f>
        <v>2396</v>
      </c>
      <c r="B1193" s="6" t="s">
        <v>2770</v>
      </c>
      <c r="C1193" s="6" t="s">
        <v>9484</v>
      </c>
      <c r="D1193" s="24">
        <v>1279.2982220928</v>
      </c>
      <c r="E1193" s="6" t="s">
        <v>5889</v>
      </c>
      <c r="F1193" s="6">
        <v>21</v>
      </c>
      <c r="G1193" s="8">
        <f t="shared" si="18"/>
        <v>1279.2982220928</v>
      </c>
    </row>
    <row r="1194" spans="1:7" x14ac:dyDescent="0.3">
      <c r="A1194" s="14" t="str">
        <f>VLOOKUP(B1194,'Relacion codigos'!$A:$B,2,FALSE)</f>
        <v>8855</v>
      </c>
      <c r="B1194" s="6" t="s">
        <v>2751</v>
      </c>
      <c r="C1194" s="6" t="s">
        <v>10980</v>
      </c>
      <c r="D1194" s="24">
        <v>1599.04332985116</v>
      </c>
      <c r="E1194" s="6" t="s">
        <v>5889</v>
      </c>
      <c r="F1194" s="6">
        <v>21</v>
      </c>
      <c r="G1194" s="8">
        <f t="shared" si="18"/>
        <v>1599.04332985116</v>
      </c>
    </row>
    <row r="1195" spans="1:7" x14ac:dyDescent="0.3">
      <c r="A1195" s="14" t="str">
        <f>VLOOKUP(B1195,'Relacion codigos'!$A:$B,2,FALSE)</f>
        <v>3030</v>
      </c>
      <c r="B1195" s="6" t="s">
        <v>2758</v>
      </c>
      <c r="C1195" s="6" t="s">
        <v>9485</v>
      </c>
      <c r="D1195" s="24">
        <v>1841.2820610911999</v>
      </c>
      <c r="E1195" s="6" t="s">
        <v>5889</v>
      </c>
      <c r="F1195" s="6">
        <v>21</v>
      </c>
      <c r="G1195" s="8">
        <f t="shared" si="18"/>
        <v>1841.2820610911999</v>
      </c>
    </row>
    <row r="1196" spans="1:7" x14ac:dyDescent="0.3">
      <c r="A1196" s="14" t="e">
        <f>VLOOKUP(B1196,'Relacion codigos'!$A:$B,2,FALSE)</f>
        <v>#N/A</v>
      </c>
      <c r="B1196" s="6" t="s">
        <v>12822</v>
      </c>
      <c r="C1196" s="6" t="s">
        <v>12823</v>
      </c>
      <c r="D1196" s="24">
        <v>6383.2688381123999</v>
      </c>
      <c r="E1196" s="6" t="s">
        <v>5889</v>
      </c>
      <c r="F1196" s="6">
        <v>21</v>
      </c>
      <c r="G1196" s="8">
        <f t="shared" si="18"/>
        <v>6383.2688381123999</v>
      </c>
    </row>
    <row r="1197" spans="1:7" x14ac:dyDescent="0.3">
      <c r="A1197" s="14" t="str">
        <f>VLOOKUP(B1197,'Relacion codigos'!$A:$B,2,FALSE)</f>
        <v>2397</v>
      </c>
      <c r="B1197" s="6" t="s">
        <v>2771</v>
      </c>
      <c r="C1197" s="6" t="s">
        <v>9486</v>
      </c>
      <c r="D1197" s="24">
        <v>1856.7863718768001</v>
      </c>
      <c r="E1197" s="6" t="s">
        <v>5889</v>
      </c>
      <c r="F1197" s="6">
        <v>21</v>
      </c>
      <c r="G1197" s="8">
        <f t="shared" si="18"/>
        <v>1856.7863718768001</v>
      </c>
    </row>
    <row r="1198" spans="1:7" x14ac:dyDescent="0.3">
      <c r="A1198" s="14" t="str">
        <f>VLOOKUP(B1198,'Relacion codigos'!$A:$B,2,FALSE)</f>
        <v>9258</v>
      </c>
      <c r="B1198" s="6" t="s">
        <v>2765</v>
      </c>
      <c r="C1198" s="6" t="s">
        <v>11298</v>
      </c>
      <c r="D1198" s="24">
        <v>1856.45630186932</v>
      </c>
      <c r="E1198" s="6" t="s">
        <v>5889</v>
      </c>
      <c r="F1198" s="6">
        <v>21</v>
      </c>
      <c r="G1198" s="8">
        <f t="shared" si="18"/>
        <v>1856.45630186932</v>
      </c>
    </row>
    <row r="1199" spans="1:7" x14ac:dyDescent="0.3">
      <c r="A1199" s="14" t="str">
        <f>VLOOKUP(B1199,'Relacion codigos'!$A:$B,2,FALSE)</f>
        <v>9259</v>
      </c>
      <c r="B1199" s="6" t="s">
        <v>2752</v>
      </c>
      <c r="C1199" s="6" t="s">
        <v>11299</v>
      </c>
      <c r="D1199" s="24">
        <v>1959.2575735256601</v>
      </c>
      <c r="E1199" s="6" t="s">
        <v>5889</v>
      </c>
      <c r="F1199" s="6">
        <v>21</v>
      </c>
      <c r="G1199" s="8">
        <f t="shared" si="18"/>
        <v>1959.2575735256601</v>
      </c>
    </row>
    <row r="1200" spans="1:7" x14ac:dyDescent="0.3">
      <c r="A1200" s="14" t="str">
        <f>VLOOKUP(B1200,'Relacion codigos'!$A:$B,2,FALSE)</f>
        <v>3031</v>
      </c>
      <c r="B1200" s="6" t="s">
        <v>2759</v>
      </c>
      <c r="C1200" s="6" t="s">
        <v>9487</v>
      </c>
      <c r="D1200" s="24">
        <v>2863.0546583184</v>
      </c>
      <c r="E1200" s="6" t="s">
        <v>5889</v>
      </c>
      <c r="F1200" s="6">
        <v>21</v>
      </c>
      <c r="G1200" s="8">
        <f t="shared" si="18"/>
        <v>2863.0546583184</v>
      </c>
    </row>
    <row r="1201" spans="1:7" x14ac:dyDescent="0.3">
      <c r="A1201" s="14" t="e">
        <f>VLOOKUP(B1201,'Relacion codigos'!$A:$B,2,FALSE)</f>
        <v>#N/A</v>
      </c>
      <c r="B1201" s="6" t="s">
        <v>12824</v>
      </c>
      <c r="C1201" s="6" t="s">
        <v>12825</v>
      </c>
      <c r="D1201" s="24">
        <v>8932.7574544104009</v>
      </c>
      <c r="E1201" s="6" t="s">
        <v>5889</v>
      </c>
      <c r="F1201" s="6">
        <v>21</v>
      </c>
      <c r="G1201" s="8">
        <f t="shared" si="18"/>
        <v>8932.7574544104009</v>
      </c>
    </row>
    <row r="1202" spans="1:7" x14ac:dyDescent="0.3">
      <c r="A1202" s="14" t="str">
        <f>VLOOKUP(B1202,'Relacion codigos'!$A:$B,2,FALSE)</f>
        <v>2398</v>
      </c>
      <c r="B1202" s="6" t="s">
        <v>2772</v>
      </c>
      <c r="C1202" s="6" t="s">
        <v>9488</v>
      </c>
      <c r="D1202" s="24">
        <v>2618.7625979424001</v>
      </c>
      <c r="E1202" s="6" t="s">
        <v>5889</v>
      </c>
      <c r="F1202" s="6">
        <v>21</v>
      </c>
      <c r="G1202" s="8">
        <f t="shared" si="18"/>
        <v>2618.7625979424001</v>
      </c>
    </row>
    <row r="1203" spans="1:7" x14ac:dyDescent="0.3">
      <c r="A1203" s="14" t="e">
        <f>VLOOKUP(B1203,'Relacion codigos'!$A:$B,2,FALSE)</f>
        <v>#N/A</v>
      </c>
      <c r="B1203" s="6" t="s">
        <v>13703</v>
      </c>
      <c r="C1203" s="6" t="s">
        <v>13704</v>
      </c>
      <c r="D1203" s="24">
        <v>2618.3873509325899</v>
      </c>
      <c r="E1203" s="6" t="s">
        <v>5889</v>
      </c>
      <c r="F1203" s="6">
        <v>21</v>
      </c>
      <c r="G1203" s="8">
        <f t="shared" si="18"/>
        <v>2618.3873509325899</v>
      </c>
    </row>
    <row r="1204" spans="1:7" x14ac:dyDescent="0.3">
      <c r="A1204" s="14" t="e">
        <f>VLOOKUP(B1204,'Relacion codigos'!$A:$B,2,FALSE)</f>
        <v>#N/A</v>
      </c>
      <c r="B1204" s="6" t="s">
        <v>13705</v>
      </c>
      <c r="C1204" s="6" t="s">
        <v>13706</v>
      </c>
      <c r="D1204" s="24">
        <v>3048.6446541006399</v>
      </c>
      <c r="E1204" s="6" t="s">
        <v>5889</v>
      </c>
      <c r="F1204" s="6">
        <v>21</v>
      </c>
      <c r="G1204" s="8">
        <f t="shared" si="18"/>
        <v>3048.6446541006399</v>
      </c>
    </row>
    <row r="1205" spans="1:7" x14ac:dyDescent="0.3">
      <c r="A1205" s="14" t="str">
        <f>VLOOKUP(B1205,'Relacion codigos'!$A:$B,2,FALSE)</f>
        <v>2252</v>
      </c>
      <c r="B1205" s="6" t="s">
        <v>2773</v>
      </c>
      <c r="C1205" s="6" t="s">
        <v>9145</v>
      </c>
      <c r="D1205" s="24">
        <v>81589.899367828795</v>
      </c>
      <c r="E1205" s="6" t="s">
        <v>5889</v>
      </c>
      <c r="F1205" s="6">
        <v>21</v>
      </c>
      <c r="G1205" s="8">
        <f t="shared" si="18"/>
        <v>81589.899367828795</v>
      </c>
    </row>
    <row r="1206" spans="1:7" x14ac:dyDescent="0.3">
      <c r="A1206" s="14" t="str">
        <f>VLOOKUP(B1206,'Relacion codigos'!$A:$B,2,FALSE)</f>
        <v>8965</v>
      </c>
      <c r="B1206" s="6" t="s">
        <v>2777</v>
      </c>
      <c r="C1206" s="6" t="s">
        <v>2778</v>
      </c>
      <c r="D1206" s="24">
        <v>97648.2</v>
      </c>
      <c r="E1206" s="6" t="s">
        <v>5889</v>
      </c>
      <c r="F1206" s="6">
        <v>21</v>
      </c>
      <c r="G1206" s="8">
        <f t="shared" si="18"/>
        <v>97648.2</v>
      </c>
    </row>
    <row r="1207" spans="1:7" x14ac:dyDescent="0.3">
      <c r="A1207" s="14" t="str">
        <f>VLOOKUP(B1207,'Relacion codigos'!$A:$B,2,FALSE)</f>
        <v>8394</v>
      </c>
      <c r="B1207" s="6" t="s">
        <v>2774</v>
      </c>
      <c r="C1207" s="6" t="s">
        <v>9557</v>
      </c>
      <c r="D1207" s="24">
        <v>126650.55</v>
      </c>
      <c r="E1207" s="6" t="s">
        <v>5889</v>
      </c>
      <c r="F1207" s="6">
        <v>21</v>
      </c>
      <c r="G1207" s="8">
        <f t="shared" si="18"/>
        <v>126650.55</v>
      </c>
    </row>
    <row r="1208" spans="1:7" x14ac:dyDescent="0.3">
      <c r="A1208" s="14" t="str">
        <f>VLOOKUP(B1208,'Relacion codigos'!$A:$B,2,FALSE)</f>
        <v>8396</v>
      </c>
      <c r="B1208" s="6" t="s">
        <v>2781</v>
      </c>
      <c r="C1208" s="6" t="s">
        <v>2782</v>
      </c>
      <c r="D1208" s="24">
        <v>223951</v>
      </c>
      <c r="E1208" s="6" t="s">
        <v>5889</v>
      </c>
      <c r="F1208" s="6">
        <v>21</v>
      </c>
      <c r="G1208" s="8">
        <f t="shared" si="18"/>
        <v>223951</v>
      </c>
    </row>
    <row r="1209" spans="1:7" x14ac:dyDescent="0.3">
      <c r="A1209" s="14" t="str">
        <f>VLOOKUP(B1209,'Relacion codigos'!$A:$B,2,FALSE)</f>
        <v>8395</v>
      </c>
      <c r="B1209" s="6" t="s">
        <v>2779</v>
      </c>
      <c r="C1209" s="6" t="s">
        <v>2780</v>
      </c>
      <c r="D1209" s="24">
        <v>174570.5</v>
      </c>
      <c r="E1209" s="6" t="s">
        <v>5889</v>
      </c>
      <c r="F1209" s="6">
        <v>21</v>
      </c>
      <c r="G1209" s="8">
        <f t="shared" si="18"/>
        <v>174570.5</v>
      </c>
    </row>
    <row r="1210" spans="1:7" x14ac:dyDescent="0.3">
      <c r="A1210" s="14" t="str">
        <f>VLOOKUP(B1210,'Relacion codigos'!$A:$B,2,FALSE)</f>
        <v>712</v>
      </c>
      <c r="B1210" s="6" t="s">
        <v>2740</v>
      </c>
      <c r="C1210" s="6" t="s">
        <v>9489</v>
      </c>
      <c r="D1210" s="24">
        <v>436.07850000000002</v>
      </c>
      <c r="E1210" s="6" t="s">
        <v>5889</v>
      </c>
      <c r="F1210" s="6">
        <v>21</v>
      </c>
      <c r="G1210" s="8">
        <f t="shared" si="18"/>
        <v>436.07850000000002</v>
      </c>
    </row>
    <row r="1211" spans="1:7" x14ac:dyDescent="0.3">
      <c r="A1211" s="14" t="str">
        <f>VLOOKUP(B1211,'Relacion codigos'!$A:$B,2,FALSE)</f>
        <v>704</v>
      </c>
      <c r="B1211" s="6" t="s">
        <v>2742</v>
      </c>
      <c r="C1211" s="6" t="s">
        <v>9490</v>
      </c>
      <c r="D1211" s="24">
        <v>212.68389999999999</v>
      </c>
      <c r="E1211" s="6" t="s">
        <v>5889</v>
      </c>
      <c r="F1211" s="6">
        <v>21</v>
      </c>
      <c r="G1211" s="8">
        <f t="shared" si="18"/>
        <v>212.68389999999999</v>
      </c>
    </row>
    <row r="1212" spans="1:7" x14ac:dyDescent="0.3">
      <c r="A1212" s="14" t="str">
        <f>VLOOKUP(B1212,'Relacion codigos'!$A:$B,2,FALSE)</f>
        <v>581</v>
      </c>
      <c r="B1212" s="6" t="s">
        <v>2745</v>
      </c>
      <c r="C1212" s="6" t="s">
        <v>9491</v>
      </c>
      <c r="D1212" s="24">
        <v>322.51228967880002</v>
      </c>
      <c r="E1212" s="6" t="s">
        <v>5889</v>
      </c>
      <c r="F1212" s="6">
        <v>21</v>
      </c>
      <c r="G1212" s="8">
        <f t="shared" si="18"/>
        <v>322.51228967880002</v>
      </c>
    </row>
    <row r="1213" spans="1:7" x14ac:dyDescent="0.3">
      <c r="A1213" s="14" t="str">
        <f>VLOOKUP(B1213,'Relacion codigos'!$A:$B,2,FALSE)</f>
        <v>714</v>
      </c>
      <c r="B1213" s="6" t="s">
        <v>2744</v>
      </c>
      <c r="C1213" s="6" t="s">
        <v>9492</v>
      </c>
      <c r="D1213" s="24">
        <v>455.96980000000002</v>
      </c>
      <c r="E1213" s="6" t="s">
        <v>5889</v>
      </c>
      <c r="F1213" s="6">
        <v>21</v>
      </c>
      <c r="G1213" s="8">
        <f t="shared" si="18"/>
        <v>455.96980000000002</v>
      </c>
    </row>
    <row r="1214" spans="1:7" x14ac:dyDescent="0.3">
      <c r="A1214" s="14" t="str">
        <f>VLOOKUP(B1214,'Relacion codigos'!$A:$B,2,FALSE)</f>
        <v>122</v>
      </c>
      <c r="B1214" s="6" t="s">
        <v>2733</v>
      </c>
      <c r="C1214" s="6" t="s">
        <v>9493</v>
      </c>
      <c r="D1214" s="24">
        <v>6841.4841152937497</v>
      </c>
      <c r="E1214" s="6" t="s">
        <v>5889</v>
      </c>
      <c r="F1214" s="6">
        <v>21</v>
      </c>
      <c r="G1214" s="8">
        <f t="shared" si="18"/>
        <v>6841.4841152937497</v>
      </c>
    </row>
    <row r="1215" spans="1:7" x14ac:dyDescent="0.3">
      <c r="A1215" s="14" t="str">
        <f>VLOOKUP(B1215,'Relacion codigos'!$A:$B,2,FALSE)</f>
        <v>116</v>
      </c>
      <c r="B1215" s="6" t="s">
        <v>2734</v>
      </c>
      <c r="C1215" s="6" t="s">
        <v>9494</v>
      </c>
      <c r="D1215" s="24">
        <v>5666.2467764499997</v>
      </c>
      <c r="E1215" s="6" t="s">
        <v>5889</v>
      </c>
      <c r="F1215" s="6">
        <v>21</v>
      </c>
      <c r="G1215" s="8">
        <f t="shared" si="18"/>
        <v>5666.2467764499997</v>
      </c>
    </row>
    <row r="1216" spans="1:7" x14ac:dyDescent="0.3">
      <c r="A1216" s="14" t="str">
        <f>VLOOKUP(B1216,'Relacion codigos'!$A:$B,2,FALSE)</f>
        <v>851</v>
      </c>
      <c r="B1216" s="6" t="s">
        <v>2735</v>
      </c>
      <c r="C1216" s="6" t="s">
        <v>9495</v>
      </c>
      <c r="D1216" s="24">
        <v>3702.2683081312498</v>
      </c>
      <c r="E1216" s="6" t="s">
        <v>5889</v>
      </c>
      <c r="F1216" s="6">
        <v>21</v>
      </c>
      <c r="G1216" s="8">
        <f t="shared" si="18"/>
        <v>3702.2683081312498</v>
      </c>
    </row>
    <row r="1217" spans="1:7" x14ac:dyDescent="0.3">
      <c r="A1217" s="14" t="str">
        <f>VLOOKUP(B1217,'Relacion codigos'!$A:$B,2,FALSE)</f>
        <v>123</v>
      </c>
      <c r="B1217" s="6" t="s">
        <v>2736</v>
      </c>
      <c r="C1217" s="6" t="s">
        <v>9496</v>
      </c>
      <c r="D1217" s="24">
        <v>10166.5271768938</v>
      </c>
      <c r="E1217" s="6" t="s">
        <v>5889</v>
      </c>
      <c r="F1217" s="6">
        <v>21</v>
      </c>
      <c r="G1217" s="8">
        <f t="shared" si="18"/>
        <v>10166.5271768938</v>
      </c>
    </row>
    <row r="1218" spans="1:7" x14ac:dyDescent="0.3">
      <c r="A1218" s="14" t="str">
        <f>VLOOKUP(B1218,'Relacion codigos'!$A:$B,2,FALSE)</f>
        <v>849</v>
      </c>
      <c r="B1218" s="6" t="s">
        <v>2737</v>
      </c>
      <c r="C1218" s="6" t="s">
        <v>9497</v>
      </c>
      <c r="D1218" s="24">
        <v>2825.0826953374999</v>
      </c>
      <c r="E1218" s="6" t="s">
        <v>5889</v>
      </c>
      <c r="F1218" s="6">
        <v>21</v>
      </c>
      <c r="G1218" s="8">
        <f t="shared" ref="G1218:G1281" si="19">IF(E1218="Dolares",D1218*$G$1,D1218)</f>
        <v>2825.0826953374999</v>
      </c>
    </row>
    <row r="1219" spans="1:7" x14ac:dyDescent="0.3">
      <c r="A1219" s="14" t="str">
        <f>VLOOKUP(B1219,'Relacion codigos'!$A:$B,2,FALSE)</f>
        <v>848</v>
      </c>
      <c r="B1219" s="6" t="s">
        <v>2738</v>
      </c>
      <c r="C1219" s="6" t="s">
        <v>9498</v>
      </c>
      <c r="D1219" s="24">
        <v>2226.2739047250002</v>
      </c>
      <c r="E1219" s="6" t="s">
        <v>5889</v>
      </c>
      <c r="F1219" s="6">
        <v>21</v>
      </c>
      <c r="G1219" s="8">
        <f t="shared" si="19"/>
        <v>2226.2739047250002</v>
      </c>
    </row>
    <row r="1220" spans="1:7" x14ac:dyDescent="0.3">
      <c r="A1220" s="14" t="str">
        <f>VLOOKUP(B1220,'Relacion codigos'!$A:$B,2,FALSE)</f>
        <v>850</v>
      </c>
      <c r="B1220" s="6" t="s">
        <v>2739</v>
      </c>
      <c r="C1220" s="6" t="s">
        <v>9499</v>
      </c>
      <c r="D1220" s="24">
        <v>3150.3353133687501</v>
      </c>
      <c r="E1220" s="6" t="s">
        <v>5889</v>
      </c>
      <c r="F1220" s="6">
        <v>21</v>
      </c>
      <c r="G1220" s="8">
        <f t="shared" si="19"/>
        <v>3150.3353133687501</v>
      </c>
    </row>
    <row r="1221" spans="1:7" x14ac:dyDescent="0.3">
      <c r="A1221" s="14" t="e">
        <f>VLOOKUP(B1221,'Relacion codigos'!$A:$B,2,FALSE)</f>
        <v>#N/A</v>
      </c>
      <c r="B1221" s="6" t="s">
        <v>13504</v>
      </c>
      <c r="C1221" s="6" t="s">
        <v>13781</v>
      </c>
      <c r="D1221" s="24">
        <v>3693.7539293948998</v>
      </c>
      <c r="E1221" s="6" t="s">
        <v>5889</v>
      </c>
      <c r="F1221" s="6">
        <v>21</v>
      </c>
      <c r="G1221" s="8">
        <f t="shared" si="19"/>
        <v>3693.7539293948998</v>
      </c>
    </row>
    <row r="1222" spans="1:7" x14ac:dyDescent="0.3">
      <c r="A1222" s="14" t="e">
        <f>VLOOKUP(B1222,'Relacion codigos'!$A:$B,2,FALSE)</f>
        <v>#N/A</v>
      </c>
      <c r="B1222" s="6" t="s">
        <v>13505</v>
      </c>
      <c r="C1222" s="6" t="s">
        <v>13782</v>
      </c>
      <c r="D1222" s="24">
        <v>5923.3195846845501</v>
      </c>
      <c r="E1222" s="6" t="s">
        <v>5889</v>
      </c>
      <c r="F1222" s="6">
        <v>21</v>
      </c>
      <c r="G1222" s="8">
        <f t="shared" si="19"/>
        <v>5923.3195846845501</v>
      </c>
    </row>
    <row r="1223" spans="1:7" x14ac:dyDescent="0.3">
      <c r="A1223" s="14" t="e">
        <f>VLOOKUP(B1223,'Relacion codigos'!$A:$B,2,FALSE)</f>
        <v>#N/A</v>
      </c>
      <c r="B1223" s="6" t="s">
        <v>13506</v>
      </c>
      <c r="C1223" s="6" t="s">
        <v>13783</v>
      </c>
      <c r="D1223" s="24">
        <v>9467.3271695136791</v>
      </c>
      <c r="E1223" s="6" t="s">
        <v>5889</v>
      </c>
      <c r="F1223" s="6">
        <v>21</v>
      </c>
      <c r="G1223" s="8">
        <f t="shared" si="19"/>
        <v>9467.3271695136791</v>
      </c>
    </row>
    <row r="1224" spans="1:7" x14ac:dyDescent="0.3">
      <c r="A1224" s="14" t="str">
        <f>VLOOKUP(B1224,'Relacion codigos'!$A:$B,2,FALSE)</f>
        <v>3005</v>
      </c>
      <c r="B1224" s="6" t="s">
        <v>2783</v>
      </c>
      <c r="C1224" s="6" t="s">
        <v>166</v>
      </c>
      <c r="D1224" s="24">
        <v>71260.687792125304</v>
      </c>
      <c r="E1224" s="6" t="s">
        <v>5889</v>
      </c>
      <c r="F1224" s="6">
        <v>21</v>
      </c>
      <c r="G1224" s="8">
        <f t="shared" si="19"/>
        <v>71260.687792125304</v>
      </c>
    </row>
    <row r="1225" spans="1:7" x14ac:dyDescent="0.3">
      <c r="A1225" s="14" t="e">
        <f>VLOOKUP(B1225,'Relacion codigos'!$A:$B,2,FALSE)</f>
        <v>#N/A</v>
      </c>
      <c r="B1225" s="6" t="s">
        <v>12790</v>
      </c>
      <c r="C1225" s="6" t="s">
        <v>12791</v>
      </c>
      <c r="D1225" s="24">
        <v>86.732100000000003</v>
      </c>
      <c r="E1225" s="6" t="s">
        <v>5887</v>
      </c>
      <c r="F1225" s="6">
        <v>21</v>
      </c>
      <c r="G1225" s="8">
        <f t="shared" si="19"/>
        <v>134868.4155</v>
      </c>
    </row>
    <row r="1226" spans="1:7" x14ac:dyDescent="0.3">
      <c r="A1226" s="14" t="e">
        <f>VLOOKUP(B1226,'Relacion codigos'!$A:$B,2,FALSE)</f>
        <v>#N/A</v>
      </c>
      <c r="B1226" s="6" t="s">
        <v>12792</v>
      </c>
      <c r="C1226" s="6" t="s">
        <v>12793</v>
      </c>
      <c r="D1226" s="24">
        <v>121.539600000001</v>
      </c>
      <c r="E1226" s="6" t="s">
        <v>5887</v>
      </c>
      <c r="F1226" s="6">
        <v>21</v>
      </c>
      <c r="G1226" s="8">
        <f t="shared" si="19"/>
        <v>188994.07800000155</v>
      </c>
    </row>
    <row r="1227" spans="1:7" x14ac:dyDescent="0.3">
      <c r="A1227" s="14" t="e">
        <f>VLOOKUP(B1227,'Relacion codigos'!$A:$B,2,FALSE)</f>
        <v>#N/A</v>
      </c>
      <c r="B1227" s="6" t="s">
        <v>12794</v>
      </c>
      <c r="C1227" s="6" t="s">
        <v>12795</v>
      </c>
      <c r="D1227" s="24">
        <v>153.57615000000101</v>
      </c>
      <c r="E1227" s="6" t="s">
        <v>5887</v>
      </c>
      <c r="F1227" s="6">
        <v>21</v>
      </c>
      <c r="G1227" s="8">
        <f t="shared" si="19"/>
        <v>238810.91325000155</v>
      </c>
    </row>
    <row r="1228" spans="1:7" x14ac:dyDescent="0.3">
      <c r="A1228" s="14" t="e">
        <f>VLOOKUP(B1228,'Relacion codigos'!$A:$B,2,FALSE)</f>
        <v>#N/A</v>
      </c>
      <c r="B1228" s="6" t="s">
        <v>12829</v>
      </c>
      <c r="C1228" s="6" t="s">
        <v>12830</v>
      </c>
      <c r="D1228" s="24">
        <v>245.290500000002</v>
      </c>
      <c r="E1228" s="6" t="s">
        <v>5887</v>
      </c>
      <c r="F1228" s="6">
        <v>21</v>
      </c>
      <c r="G1228" s="8">
        <f t="shared" si="19"/>
        <v>381426.72750000312</v>
      </c>
    </row>
    <row r="1229" spans="1:7" x14ac:dyDescent="0.3">
      <c r="A1229" s="14" t="e">
        <f>VLOOKUP(B1229,'Relacion codigos'!$A:$B,2,FALSE)</f>
        <v>#N/A</v>
      </c>
      <c r="B1229" s="6" t="s">
        <v>12796</v>
      </c>
      <c r="C1229" s="6" t="s">
        <v>12797</v>
      </c>
      <c r="D1229" s="24">
        <v>43.946175000000203</v>
      </c>
      <c r="E1229" s="6" t="s">
        <v>5887</v>
      </c>
      <c r="F1229" s="6">
        <v>21</v>
      </c>
      <c r="G1229" s="8">
        <f t="shared" si="19"/>
        <v>68336.302125000322</v>
      </c>
    </row>
    <row r="1230" spans="1:7" x14ac:dyDescent="0.3">
      <c r="A1230" s="14" t="e">
        <f>VLOOKUP(B1230,'Relacion codigos'!$A:$B,2,FALSE)</f>
        <v>#N/A</v>
      </c>
      <c r="B1230" s="6" t="s">
        <v>12831</v>
      </c>
      <c r="C1230" s="6" t="s">
        <v>12832</v>
      </c>
      <c r="D1230" s="24">
        <v>315.53340000000202</v>
      </c>
      <c r="E1230" s="6" t="s">
        <v>5887</v>
      </c>
      <c r="F1230" s="6">
        <v>21</v>
      </c>
      <c r="G1230" s="8">
        <f t="shared" si="19"/>
        <v>490654.43700000312</v>
      </c>
    </row>
    <row r="1231" spans="1:7" x14ac:dyDescent="0.3">
      <c r="A1231" s="14" t="str">
        <f>VLOOKUP(B1231,'Relacion codigos'!$A:$B,2,FALSE)</f>
        <v>8174</v>
      </c>
      <c r="B1231" s="6" t="s">
        <v>5788</v>
      </c>
      <c r="C1231" s="6" t="s">
        <v>12798</v>
      </c>
      <c r="D1231" s="24">
        <v>66.304875000000195</v>
      </c>
      <c r="E1231" s="6" t="s">
        <v>5887</v>
      </c>
      <c r="F1231" s="6">
        <v>21</v>
      </c>
      <c r="G1231" s="8">
        <f t="shared" si="19"/>
        <v>103104.08062500031</v>
      </c>
    </row>
    <row r="1232" spans="1:7" x14ac:dyDescent="0.3">
      <c r="A1232" s="14" t="e">
        <f>VLOOKUP(B1232,'Relacion codigos'!$A:$B,2,FALSE)</f>
        <v>#N/A</v>
      </c>
      <c r="B1232" s="6" t="s">
        <v>12799</v>
      </c>
      <c r="C1232" s="6" t="s">
        <v>12800</v>
      </c>
      <c r="D1232" s="24">
        <v>73.471125000000299</v>
      </c>
      <c r="E1232" s="6" t="s">
        <v>5887</v>
      </c>
      <c r="F1232" s="6">
        <v>21</v>
      </c>
      <c r="G1232" s="8">
        <f t="shared" si="19"/>
        <v>114247.59937500047</v>
      </c>
    </row>
    <row r="1233" spans="1:7" x14ac:dyDescent="0.3">
      <c r="A1233" s="14" t="e">
        <f>VLOOKUP(B1233,'Relacion codigos'!$A:$B,2,FALSE)</f>
        <v>#N/A</v>
      </c>
      <c r="B1233" s="6" t="s">
        <v>9645</v>
      </c>
      <c r="C1233" s="6" t="s">
        <v>9646</v>
      </c>
      <c r="D1233" s="24">
        <v>1812.834927072</v>
      </c>
      <c r="E1233" s="6" t="s">
        <v>5889</v>
      </c>
      <c r="F1233" s="6">
        <v>21</v>
      </c>
      <c r="G1233" s="8">
        <f t="shared" si="19"/>
        <v>1812.834927072</v>
      </c>
    </row>
    <row r="1234" spans="1:7" x14ac:dyDescent="0.3">
      <c r="A1234" s="14" t="str">
        <f>VLOOKUP(B1234,'Relacion codigos'!$A:$B,2,FALSE)</f>
        <v>1919</v>
      </c>
      <c r="B1234" s="6" t="s">
        <v>4677</v>
      </c>
      <c r="C1234" s="6" t="s">
        <v>167</v>
      </c>
      <c r="D1234" s="24">
        <v>2765.7885904999998</v>
      </c>
      <c r="E1234" s="6" t="s">
        <v>5889</v>
      </c>
      <c r="F1234" s="6">
        <v>21</v>
      </c>
      <c r="G1234" s="8">
        <f t="shared" si="19"/>
        <v>2765.7885904999998</v>
      </c>
    </row>
    <row r="1235" spans="1:7" x14ac:dyDescent="0.3">
      <c r="A1235" s="14" t="e">
        <f>VLOOKUP(B1235,'Relacion codigos'!$A:$B,2,FALSE)</f>
        <v>#N/A</v>
      </c>
      <c r="B1235" s="6" t="s">
        <v>9647</v>
      </c>
      <c r="C1235" s="6" t="s">
        <v>9648</v>
      </c>
      <c r="D1235" s="24">
        <v>3338.7481951200002</v>
      </c>
      <c r="E1235" s="6" t="s">
        <v>5889</v>
      </c>
      <c r="F1235" s="6">
        <v>21</v>
      </c>
      <c r="G1235" s="8">
        <f t="shared" si="19"/>
        <v>3338.7481951200002</v>
      </c>
    </row>
    <row r="1236" spans="1:7" x14ac:dyDescent="0.3">
      <c r="A1236" s="14" t="e">
        <f>VLOOKUP(B1236,'Relacion codigos'!$A:$B,2,FALSE)</f>
        <v>#N/A</v>
      </c>
      <c r="B1236" s="6" t="s">
        <v>9649</v>
      </c>
      <c r="C1236" s="6" t="s">
        <v>9650</v>
      </c>
      <c r="D1236" s="24">
        <v>3338.7481951200002</v>
      </c>
      <c r="E1236" s="6" t="s">
        <v>5889</v>
      </c>
      <c r="F1236" s="6">
        <v>21</v>
      </c>
      <c r="G1236" s="8">
        <f t="shared" si="19"/>
        <v>3338.7481951200002</v>
      </c>
    </row>
    <row r="1237" spans="1:7" x14ac:dyDescent="0.3">
      <c r="A1237" s="14" t="e">
        <f>VLOOKUP(B1237,'Relacion codigos'!$A:$B,2,FALSE)</f>
        <v>#N/A</v>
      </c>
      <c r="B1237" s="6" t="s">
        <v>9651</v>
      </c>
      <c r="C1237" s="6" t="s">
        <v>9652</v>
      </c>
      <c r="D1237" s="24">
        <v>2530.7483993999999</v>
      </c>
      <c r="E1237" s="6" t="s">
        <v>5889</v>
      </c>
      <c r="F1237" s="6">
        <v>21</v>
      </c>
      <c r="G1237" s="8">
        <f t="shared" si="19"/>
        <v>2530.7483993999999</v>
      </c>
    </row>
    <row r="1238" spans="1:7" x14ac:dyDescent="0.3">
      <c r="A1238" s="14" t="e">
        <f>VLOOKUP(B1238,'Relacion codigos'!$A:$B,2,FALSE)</f>
        <v>#N/A</v>
      </c>
      <c r="B1238" s="6" t="s">
        <v>9653</v>
      </c>
      <c r="C1238" s="6" t="s">
        <v>9654</v>
      </c>
      <c r="D1238" s="24">
        <v>1943.8085047679999</v>
      </c>
      <c r="E1238" s="6" t="s">
        <v>5889</v>
      </c>
      <c r="F1238" s="6">
        <v>21</v>
      </c>
      <c r="G1238" s="8">
        <f t="shared" si="19"/>
        <v>1943.8085047679999</v>
      </c>
    </row>
    <row r="1239" spans="1:7" x14ac:dyDescent="0.3">
      <c r="A1239" s="14" t="e">
        <f>VLOOKUP(B1239,'Relacion codigos'!$A:$B,2,FALSE)</f>
        <v>#N/A</v>
      </c>
      <c r="B1239" s="6" t="s">
        <v>9655</v>
      </c>
      <c r="C1239" s="6" t="s">
        <v>9656</v>
      </c>
      <c r="D1239" s="24">
        <v>3372.9719362559999</v>
      </c>
      <c r="E1239" s="6" t="s">
        <v>5889</v>
      </c>
      <c r="F1239" s="6">
        <v>21</v>
      </c>
      <c r="G1239" s="8">
        <f t="shared" si="19"/>
        <v>3372.9719362559999</v>
      </c>
    </row>
    <row r="1240" spans="1:7" x14ac:dyDescent="0.3">
      <c r="A1240" s="14" t="e">
        <f>VLOOKUP(B1240,'Relacion codigos'!$A:$B,2,FALSE)</f>
        <v>#N/A</v>
      </c>
      <c r="B1240" s="6" t="s">
        <v>9657</v>
      </c>
      <c r="C1240" s="6" t="s">
        <v>9658</v>
      </c>
      <c r="D1240" s="24">
        <v>3372.9719362559999</v>
      </c>
      <c r="E1240" s="6" t="s">
        <v>5889</v>
      </c>
      <c r="F1240" s="6">
        <v>21</v>
      </c>
      <c r="G1240" s="8">
        <f t="shared" si="19"/>
        <v>3372.9719362559999</v>
      </c>
    </row>
    <row r="1241" spans="1:7" x14ac:dyDescent="0.3">
      <c r="A1241" s="14" t="str">
        <f>VLOOKUP(B1241,'Relacion codigos'!$A:$B,2,FALSE)</f>
        <v>1923</v>
      </c>
      <c r="B1241" s="6" t="s">
        <v>4678</v>
      </c>
      <c r="C1241" s="6" t="s">
        <v>10590</v>
      </c>
      <c r="D1241" s="24">
        <v>391.02895083471998</v>
      </c>
      <c r="E1241" s="6" t="s">
        <v>5889</v>
      </c>
      <c r="F1241" s="6">
        <v>21</v>
      </c>
      <c r="G1241" s="8">
        <f t="shared" si="19"/>
        <v>391.02895083471998</v>
      </c>
    </row>
    <row r="1242" spans="1:7" x14ac:dyDescent="0.3">
      <c r="A1242" s="14" t="e">
        <f>VLOOKUP(B1242,'Relacion codigos'!$A:$B,2,FALSE)</f>
        <v>#N/A</v>
      </c>
      <c r="B1242" s="6" t="s">
        <v>12288</v>
      </c>
      <c r="C1242" s="6" t="s">
        <v>12289</v>
      </c>
      <c r="D1242" s="24">
        <v>5302.6978680000002</v>
      </c>
      <c r="E1242" s="6" t="s">
        <v>5889</v>
      </c>
      <c r="F1242" s="6">
        <v>21</v>
      </c>
      <c r="G1242" s="8">
        <f t="shared" si="19"/>
        <v>5302.6978680000002</v>
      </c>
    </row>
    <row r="1243" spans="1:7" x14ac:dyDescent="0.3">
      <c r="A1243" s="14" t="e">
        <f>VLOOKUP(B1243,'Relacion codigos'!$A:$B,2,FALSE)</f>
        <v>#N/A</v>
      </c>
      <c r="B1243" s="6" t="s">
        <v>12833</v>
      </c>
      <c r="C1243" s="6" t="s">
        <v>12834</v>
      </c>
      <c r="D1243" s="24">
        <v>6405.7722688635504</v>
      </c>
      <c r="E1243" s="6" t="s">
        <v>5889</v>
      </c>
      <c r="F1243" s="6">
        <v>21</v>
      </c>
      <c r="G1243" s="8">
        <f t="shared" si="19"/>
        <v>6405.7722688635504</v>
      </c>
    </row>
    <row r="1244" spans="1:7" x14ac:dyDescent="0.3">
      <c r="A1244" s="14" t="str">
        <f>VLOOKUP(B1244,'Relacion codigos'!$A:$B,2,FALSE)</f>
        <v>8961</v>
      </c>
      <c r="B1244" s="6" t="s">
        <v>4679</v>
      </c>
      <c r="C1244" s="6" t="s">
        <v>10240</v>
      </c>
      <c r="D1244" s="24">
        <v>2040.597</v>
      </c>
      <c r="E1244" s="6" t="s">
        <v>5889</v>
      </c>
      <c r="F1244" s="6">
        <v>21</v>
      </c>
      <c r="G1244" s="8">
        <f t="shared" si="19"/>
        <v>2040.597</v>
      </c>
    </row>
    <row r="1245" spans="1:7" x14ac:dyDescent="0.3">
      <c r="A1245" s="14" t="str">
        <f>VLOOKUP(B1245,'Relacion codigos'!$A:$B,2,FALSE)</f>
        <v>8962</v>
      </c>
      <c r="B1245" s="6" t="s">
        <v>4680</v>
      </c>
      <c r="C1245" s="6" t="s">
        <v>10241</v>
      </c>
      <c r="D1245" s="24">
        <v>2628.99</v>
      </c>
      <c r="E1245" s="6" t="s">
        <v>5889</v>
      </c>
      <c r="F1245" s="6">
        <v>21</v>
      </c>
      <c r="G1245" s="8">
        <f t="shared" si="19"/>
        <v>2628.99</v>
      </c>
    </row>
    <row r="1246" spans="1:7" x14ac:dyDescent="0.3">
      <c r="A1246" s="14" t="e">
        <f>VLOOKUP(B1246,'Relacion codigos'!$A:$B,2,FALSE)</f>
        <v>#N/A</v>
      </c>
      <c r="B1246" s="6" t="s">
        <v>13137</v>
      </c>
      <c r="C1246" s="6" t="s">
        <v>13138</v>
      </c>
      <c r="D1246" s="24">
        <v>15652.747549947</v>
      </c>
      <c r="E1246" s="6" t="s">
        <v>5889</v>
      </c>
      <c r="F1246" s="6">
        <v>21</v>
      </c>
      <c r="G1246" s="8">
        <f t="shared" si="19"/>
        <v>15652.747549947</v>
      </c>
    </row>
    <row r="1247" spans="1:7" x14ac:dyDescent="0.3">
      <c r="A1247" s="14" t="str">
        <f>VLOOKUP(B1247,'Relacion codigos'!$A:$B,2,FALSE)</f>
        <v>1920</v>
      </c>
      <c r="B1247" s="6" t="s">
        <v>4681</v>
      </c>
      <c r="C1247" s="6" t="s">
        <v>10242</v>
      </c>
      <c r="D1247" s="24">
        <v>5197.8588934999998</v>
      </c>
      <c r="E1247" s="6" t="s">
        <v>5889</v>
      </c>
      <c r="F1247" s="6">
        <v>21</v>
      </c>
      <c r="G1247" s="8">
        <f t="shared" si="19"/>
        <v>5197.8588934999998</v>
      </c>
    </row>
    <row r="1248" spans="1:7" x14ac:dyDescent="0.3">
      <c r="A1248" s="14" t="str">
        <f>VLOOKUP(B1248,'Relacion codigos'!$A:$B,2,FALSE)</f>
        <v>452</v>
      </c>
      <c r="B1248" s="6" t="s">
        <v>4682</v>
      </c>
      <c r="C1248" s="6" t="s">
        <v>168</v>
      </c>
      <c r="D1248" s="24">
        <v>7696.3309584407998</v>
      </c>
      <c r="E1248" s="6" t="s">
        <v>5889</v>
      </c>
      <c r="F1248" s="6">
        <v>21</v>
      </c>
      <c r="G1248" s="8">
        <f t="shared" si="19"/>
        <v>7696.3309584407998</v>
      </c>
    </row>
    <row r="1249" spans="1:7" x14ac:dyDescent="0.3">
      <c r="A1249" s="14" t="str">
        <f>VLOOKUP(B1249,'Relacion codigos'!$A:$B,2,FALSE)</f>
        <v>1922</v>
      </c>
      <c r="B1249" s="6" t="s">
        <v>4684</v>
      </c>
      <c r="C1249" s="6" t="s">
        <v>10243</v>
      </c>
      <c r="D1249" s="24">
        <v>3790.9806285</v>
      </c>
      <c r="E1249" s="6" t="s">
        <v>5889</v>
      </c>
      <c r="F1249" s="6">
        <v>21</v>
      </c>
      <c r="G1249" s="8">
        <f t="shared" si="19"/>
        <v>3790.9806285</v>
      </c>
    </row>
    <row r="1250" spans="1:7" x14ac:dyDescent="0.3">
      <c r="A1250" s="14" t="str">
        <f>VLOOKUP(B1250,'Relacion codigos'!$A:$B,2,FALSE)</f>
        <v>1921</v>
      </c>
      <c r="B1250" s="6" t="s">
        <v>4685</v>
      </c>
      <c r="C1250" s="6" t="s">
        <v>10244</v>
      </c>
      <c r="D1250" s="24">
        <v>3026.1893544999998</v>
      </c>
      <c r="E1250" s="6" t="s">
        <v>5889</v>
      </c>
      <c r="F1250" s="6">
        <v>21</v>
      </c>
      <c r="G1250" s="8">
        <f t="shared" si="19"/>
        <v>3026.1893544999998</v>
      </c>
    </row>
    <row r="1251" spans="1:7" x14ac:dyDescent="0.3">
      <c r="A1251" s="14" t="str">
        <f>VLOOKUP(B1251,'Relacion codigos'!$A:$B,2,FALSE)</f>
        <v>495</v>
      </c>
      <c r="B1251" s="6" t="s">
        <v>4683</v>
      </c>
      <c r="C1251" s="6" t="s">
        <v>13921</v>
      </c>
      <c r="D1251" s="24">
        <v>5986.7049057659997</v>
      </c>
      <c r="E1251" s="6" t="s">
        <v>5889</v>
      </c>
      <c r="F1251" s="6">
        <v>21</v>
      </c>
      <c r="G1251" s="8">
        <f t="shared" si="19"/>
        <v>5986.7049057659997</v>
      </c>
    </row>
    <row r="1252" spans="1:7" x14ac:dyDescent="0.3">
      <c r="A1252" s="14" t="str">
        <f>VLOOKUP(B1252,'Relacion codigos'!$A:$B,2,FALSE)</f>
        <v>1962</v>
      </c>
      <c r="B1252" s="6" t="s">
        <v>4672</v>
      </c>
      <c r="C1252" s="6" t="s">
        <v>13507</v>
      </c>
      <c r="D1252" s="24">
        <v>3844.2921506963999</v>
      </c>
      <c r="E1252" s="6" t="s">
        <v>5889</v>
      </c>
      <c r="F1252" s="6">
        <v>21</v>
      </c>
      <c r="G1252" s="8">
        <f t="shared" si="19"/>
        <v>3844.2921506963999</v>
      </c>
    </row>
    <row r="1253" spans="1:7" x14ac:dyDescent="0.3">
      <c r="A1253" s="14" t="str">
        <f>VLOOKUP(B1253,'Relacion codigos'!$A:$B,2,FALSE)</f>
        <v>6042</v>
      </c>
      <c r="B1253" s="6" t="s">
        <v>4673</v>
      </c>
      <c r="C1253" s="6" t="s">
        <v>13508</v>
      </c>
      <c r="D1253" s="24">
        <v>3844.2921506963999</v>
      </c>
      <c r="E1253" s="6" t="s">
        <v>5889</v>
      </c>
      <c r="F1253" s="6">
        <v>21</v>
      </c>
      <c r="G1253" s="8">
        <f t="shared" si="19"/>
        <v>3844.2921506963999</v>
      </c>
    </row>
    <row r="1254" spans="1:7" x14ac:dyDescent="0.3">
      <c r="A1254" s="14" t="str">
        <f>VLOOKUP(B1254,'Relacion codigos'!$A:$B,2,FALSE)</f>
        <v>1924</v>
      </c>
      <c r="B1254" s="6" t="s">
        <v>4686</v>
      </c>
      <c r="C1254" s="6" t="s">
        <v>10245</v>
      </c>
      <c r="D1254" s="24">
        <v>1952.9639999999999</v>
      </c>
      <c r="E1254" s="6" t="s">
        <v>5889</v>
      </c>
      <c r="F1254" s="6">
        <v>21</v>
      </c>
      <c r="G1254" s="8">
        <f t="shared" si="19"/>
        <v>1952.9639999999999</v>
      </c>
    </row>
    <row r="1255" spans="1:7" x14ac:dyDescent="0.3">
      <c r="A1255" s="14" t="str">
        <f>VLOOKUP(B1255,'Relacion codigos'!$A:$B,2,FALSE)</f>
        <v>1967</v>
      </c>
      <c r="B1255" s="6" t="s">
        <v>4674</v>
      </c>
      <c r="C1255" s="6" t="s">
        <v>13509</v>
      </c>
      <c r="D1255" s="24">
        <v>4570.8674239800002</v>
      </c>
      <c r="E1255" s="6" t="s">
        <v>5889</v>
      </c>
      <c r="F1255" s="6">
        <v>21</v>
      </c>
      <c r="G1255" s="8">
        <f t="shared" si="19"/>
        <v>4570.8674239800002</v>
      </c>
    </row>
    <row r="1256" spans="1:7" x14ac:dyDescent="0.3">
      <c r="A1256" s="14" t="str">
        <f>VLOOKUP(B1256,'Relacion codigos'!$A:$B,2,FALSE)</f>
        <v>734</v>
      </c>
      <c r="B1256" s="6" t="s">
        <v>4675</v>
      </c>
      <c r="C1256" s="6" t="s">
        <v>13510</v>
      </c>
      <c r="D1256" s="24">
        <v>4570.8674239800002</v>
      </c>
      <c r="E1256" s="6" t="s">
        <v>5889</v>
      </c>
      <c r="F1256" s="6">
        <v>21</v>
      </c>
      <c r="G1256" s="8">
        <f t="shared" si="19"/>
        <v>4570.8674239800002</v>
      </c>
    </row>
    <row r="1257" spans="1:7" x14ac:dyDescent="0.3">
      <c r="A1257" s="14" t="str">
        <f>VLOOKUP(B1257,'Relacion codigos'!$A:$B,2,FALSE)</f>
        <v>1925</v>
      </c>
      <c r="B1257" s="6" t="s">
        <v>4687</v>
      </c>
      <c r="C1257" s="6" t="s">
        <v>10246</v>
      </c>
      <c r="D1257" s="24">
        <v>2770.4546999999998</v>
      </c>
      <c r="E1257" s="6" t="s">
        <v>5889</v>
      </c>
      <c r="F1257" s="6">
        <v>21</v>
      </c>
      <c r="G1257" s="8">
        <f t="shared" si="19"/>
        <v>2770.4546999999998</v>
      </c>
    </row>
    <row r="1258" spans="1:7" x14ac:dyDescent="0.3">
      <c r="A1258" s="14" t="str">
        <f>VLOOKUP(B1258,'Relacion codigos'!$A:$B,2,FALSE)</f>
        <v>8544</v>
      </c>
      <c r="B1258" s="6" t="s">
        <v>5785</v>
      </c>
      <c r="C1258" s="6" t="s">
        <v>1068</v>
      </c>
      <c r="D1258" s="24">
        <v>7928.7</v>
      </c>
      <c r="E1258" s="6" t="s">
        <v>5889</v>
      </c>
      <c r="F1258" s="6">
        <v>21</v>
      </c>
      <c r="G1258" s="8">
        <f t="shared" si="19"/>
        <v>7928.7</v>
      </c>
    </row>
    <row r="1259" spans="1:7" x14ac:dyDescent="0.3">
      <c r="A1259" s="14" t="str">
        <f>VLOOKUP(B1259,'Relacion codigos'!$A:$B,2,FALSE)</f>
        <v>567</v>
      </c>
      <c r="B1259" s="6" t="s">
        <v>5284</v>
      </c>
      <c r="C1259" s="6" t="s">
        <v>170</v>
      </c>
      <c r="D1259" s="24">
        <v>38.331842639999998</v>
      </c>
      <c r="E1259" s="6" t="s">
        <v>5887</v>
      </c>
      <c r="F1259" s="6">
        <v>21</v>
      </c>
      <c r="G1259" s="8">
        <f t="shared" si="19"/>
        <v>59606.015305199995</v>
      </c>
    </row>
    <row r="1260" spans="1:7" x14ac:dyDescent="0.3">
      <c r="A1260" s="14" t="str">
        <f>VLOOKUP(B1260,'Relacion codigos'!$A:$B,2,FALSE)</f>
        <v>6340</v>
      </c>
      <c r="B1260" s="6" t="s">
        <v>5285</v>
      </c>
      <c r="C1260" s="6" t="s">
        <v>11850</v>
      </c>
      <c r="D1260" s="24">
        <v>14.866312499999999</v>
      </c>
      <c r="E1260" s="6" t="s">
        <v>5887</v>
      </c>
      <c r="F1260" s="6">
        <v>21</v>
      </c>
      <c r="G1260" s="8">
        <f t="shared" si="19"/>
        <v>23117.115937499999</v>
      </c>
    </row>
    <row r="1261" spans="1:7" x14ac:dyDescent="0.3">
      <c r="A1261" s="14" t="e">
        <f>VLOOKUP(B1261,'Relacion codigos'!$A:$B,2,FALSE)</f>
        <v>#N/A</v>
      </c>
      <c r="B1261" s="6" t="s">
        <v>11851</v>
      </c>
      <c r="C1261" s="6" t="s">
        <v>11852</v>
      </c>
      <c r="D1261" s="24">
        <v>14.866312499999999</v>
      </c>
      <c r="E1261" s="6" t="s">
        <v>5887</v>
      </c>
      <c r="F1261" s="6">
        <v>21</v>
      </c>
      <c r="G1261" s="8">
        <f t="shared" si="19"/>
        <v>23117.115937499999</v>
      </c>
    </row>
    <row r="1262" spans="1:7" x14ac:dyDescent="0.3">
      <c r="A1262" s="14" t="str">
        <f>VLOOKUP(B1262,'Relacion codigos'!$A:$B,2,FALSE)</f>
        <v>6339</v>
      </c>
      <c r="B1262" s="6" t="s">
        <v>5286</v>
      </c>
      <c r="C1262" s="6" t="s">
        <v>13968</v>
      </c>
      <c r="D1262" s="24">
        <v>1486.6312499999999</v>
      </c>
      <c r="E1262" s="6" t="s">
        <v>5887</v>
      </c>
      <c r="F1262" s="6">
        <v>21</v>
      </c>
      <c r="G1262" s="8">
        <f t="shared" si="19"/>
        <v>2311711.59375</v>
      </c>
    </row>
    <row r="1263" spans="1:7" x14ac:dyDescent="0.3">
      <c r="A1263" s="14" t="e">
        <f>VLOOKUP(B1263,'Relacion codigos'!$A:$B,2,FALSE)</f>
        <v>#N/A</v>
      </c>
      <c r="B1263" s="6" t="s">
        <v>10939</v>
      </c>
      <c r="C1263" s="6" t="s">
        <v>10940</v>
      </c>
      <c r="D1263" s="24">
        <v>1.289925</v>
      </c>
      <c r="E1263" s="6" t="s">
        <v>5887</v>
      </c>
      <c r="F1263" s="6">
        <v>21</v>
      </c>
      <c r="G1263" s="8">
        <f t="shared" si="19"/>
        <v>2005.8333749999999</v>
      </c>
    </row>
    <row r="1264" spans="1:7" x14ac:dyDescent="0.3">
      <c r="A1264" s="14" t="e">
        <f>VLOOKUP(B1264,'Relacion codigos'!$A:$B,2,FALSE)</f>
        <v>#N/A</v>
      </c>
      <c r="B1264" s="6" t="s">
        <v>10247</v>
      </c>
      <c r="C1264" s="6" t="s">
        <v>10248</v>
      </c>
      <c r="D1264" s="24">
        <v>1.289925</v>
      </c>
      <c r="E1264" s="6" t="s">
        <v>5887</v>
      </c>
      <c r="F1264" s="6">
        <v>21</v>
      </c>
      <c r="G1264" s="8">
        <f t="shared" si="19"/>
        <v>2005.8333749999999</v>
      </c>
    </row>
    <row r="1265" spans="1:7" x14ac:dyDescent="0.3">
      <c r="A1265" s="14" t="str">
        <f>VLOOKUP(B1265,'Relacion codigos'!$A:$B,2,FALSE)</f>
        <v>8120</v>
      </c>
      <c r="B1265" s="6" t="s">
        <v>3007</v>
      </c>
      <c r="C1265" s="6" t="s">
        <v>868</v>
      </c>
      <c r="D1265" s="24">
        <v>0.82815932225</v>
      </c>
      <c r="E1265" s="6" t="s">
        <v>5887</v>
      </c>
      <c r="F1265" s="6">
        <v>21</v>
      </c>
      <c r="G1265" s="8">
        <f t="shared" si="19"/>
        <v>1287.7877460987499</v>
      </c>
    </row>
    <row r="1266" spans="1:7" x14ac:dyDescent="0.3">
      <c r="A1266" s="14" t="str">
        <f>VLOOKUP(B1266,'Relacion codigos'!$A:$B,2,FALSE)</f>
        <v>8122</v>
      </c>
      <c r="B1266" s="6" t="s">
        <v>3009</v>
      </c>
      <c r="C1266" s="6" t="s">
        <v>12679</v>
      </c>
      <c r="D1266" s="24">
        <v>1.289925</v>
      </c>
      <c r="E1266" s="6" t="s">
        <v>5887</v>
      </c>
      <c r="F1266" s="6">
        <v>21</v>
      </c>
      <c r="G1266" s="8">
        <f t="shared" si="19"/>
        <v>2005.8333749999999</v>
      </c>
    </row>
    <row r="1267" spans="1:7" x14ac:dyDescent="0.3">
      <c r="A1267" s="14" t="str">
        <f>VLOOKUP(B1267,'Relacion codigos'!$A:$B,2,FALSE)</f>
        <v>8123</v>
      </c>
      <c r="B1267" s="6" t="s">
        <v>3010</v>
      </c>
      <c r="C1267" s="6" t="s">
        <v>12680</v>
      </c>
      <c r="D1267" s="24">
        <v>1.289925</v>
      </c>
      <c r="E1267" s="6" t="s">
        <v>5887</v>
      </c>
      <c r="F1267" s="6">
        <v>21</v>
      </c>
      <c r="G1267" s="8">
        <f t="shared" si="19"/>
        <v>2005.8333749999999</v>
      </c>
    </row>
    <row r="1268" spans="1:7" x14ac:dyDescent="0.3">
      <c r="A1268" s="14" t="e">
        <f>VLOOKUP(B1268,'Relacion codigos'!$A:$B,2,FALSE)</f>
        <v>#N/A</v>
      </c>
      <c r="B1268" s="6" t="s">
        <v>9305</v>
      </c>
      <c r="C1268" s="6" t="s">
        <v>12681</v>
      </c>
      <c r="D1268" s="24">
        <v>1.289925</v>
      </c>
      <c r="E1268" s="6" t="s">
        <v>5887</v>
      </c>
      <c r="F1268" s="6">
        <v>21</v>
      </c>
      <c r="G1268" s="8">
        <f t="shared" si="19"/>
        <v>2005.8333749999999</v>
      </c>
    </row>
    <row r="1269" spans="1:7" x14ac:dyDescent="0.3">
      <c r="A1269" s="14" t="str">
        <f>VLOOKUP(B1269,'Relacion codigos'!$A:$B,2,FALSE)</f>
        <v>8124</v>
      </c>
      <c r="B1269" s="6" t="s">
        <v>3011</v>
      </c>
      <c r="C1269" s="6" t="s">
        <v>12682</v>
      </c>
      <c r="D1269" s="24">
        <v>1.289925</v>
      </c>
      <c r="E1269" s="6" t="s">
        <v>5887</v>
      </c>
      <c r="F1269" s="6">
        <v>21</v>
      </c>
      <c r="G1269" s="8">
        <f t="shared" si="19"/>
        <v>2005.8333749999999</v>
      </c>
    </row>
    <row r="1270" spans="1:7" x14ac:dyDescent="0.3">
      <c r="A1270" s="14" t="str">
        <f>VLOOKUP(B1270,'Relacion codigos'!$A:$B,2,FALSE)</f>
        <v>8119</v>
      </c>
      <c r="B1270" s="6" t="s">
        <v>3013</v>
      </c>
      <c r="C1270" s="6" t="s">
        <v>869</v>
      </c>
      <c r="D1270" s="24">
        <v>0.82815932225</v>
      </c>
      <c r="E1270" s="6" t="s">
        <v>5887</v>
      </c>
      <c r="F1270" s="6">
        <v>21</v>
      </c>
      <c r="G1270" s="8">
        <f t="shared" si="19"/>
        <v>1287.7877460987499</v>
      </c>
    </row>
    <row r="1271" spans="1:7" x14ac:dyDescent="0.3">
      <c r="A1271" s="14" t="e">
        <f>VLOOKUP(B1271,'Relacion codigos'!$A:$B,2,FALSE)</f>
        <v>#N/A</v>
      </c>
      <c r="B1271" s="6" t="s">
        <v>10249</v>
      </c>
      <c r="C1271" s="6" t="s">
        <v>10250</v>
      </c>
      <c r="D1271" s="24">
        <v>1.289925</v>
      </c>
      <c r="E1271" s="6" t="s">
        <v>5887</v>
      </c>
      <c r="F1271" s="6">
        <v>21</v>
      </c>
      <c r="G1271" s="8">
        <f t="shared" si="19"/>
        <v>2005.8333749999999</v>
      </c>
    </row>
    <row r="1272" spans="1:7" x14ac:dyDescent="0.3">
      <c r="A1272" s="14" t="e">
        <f>VLOOKUP(B1272,'Relacion codigos'!$A:$B,2,FALSE)</f>
        <v>#N/A</v>
      </c>
      <c r="B1272" s="6" t="s">
        <v>10251</v>
      </c>
      <c r="C1272" s="6" t="s">
        <v>10252</v>
      </c>
      <c r="D1272" s="24">
        <v>1.289925</v>
      </c>
      <c r="E1272" s="6" t="s">
        <v>5887</v>
      </c>
      <c r="F1272" s="6">
        <v>21</v>
      </c>
      <c r="G1272" s="8">
        <f t="shared" si="19"/>
        <v>2005.8333749999999</v>
      </c>
    </row>
    <row r="1273" spans="1:7" x14ac:dyDescent="0.3">
      <c r="A1273" s="14" t="str">
        <f>VLOOKUP(B1273,'Relacion codigos'!$A:$B,2,FALSE)</f>
        <v>1471</v>
      </c>
      <c r="B1273" s="6" t="s">
        <v>3014</v>
      </c>
      <c r="C1273" s="6" t="s">
        <v>870</v>
      </c>
      <c r="D1273" s="24">
        <v>2.5107550000000001</v>
      </c>
      <c r="E1273" s="6" t="s">
        <v>5887</v>
      </c>
      <c r="F1273" s="6">
        <v>21</v>
      </c>
      <c r="G1273" s="8">
        <f t="shared" si="19"/>
        <v>3904.224025</v>
      </c>
    </row>
    <row r="1274" spans="1:7" x14ac:dyDescent="0.3">
      <c r="A1274" s="14" t="str">
        <f>VLOOKUP(B1274,'Relacion codigos'!$A:$B,2,FALSE)</f>
        <v>1472</v>
      </c>
      <c r="B1274" s="6" t="s">
        <v>3015</v>
      </c>
      <c r="C1274" s="6" t="s">
        <v>871</v>
      </c>
      <c r="D1274" s="24">
        <v>2.1893783600000001</v>
      </c>
      <c r="E1274" s="6" t="s">
        <v>5887</v>
      </c>
      <c r="F1274" s="6">
        <v>21</v>
      </c>
      <c r="G1274" s="8">
        <f t="shared" si="19"/>
        <v>3404.4833498000003</v>
      </c>
    </row>
    <row r="1275" spans="1:7" x14ac:dyDescent="0.3">
      <c r="A1275" s="14" t="str">
        <f>VLOOKUP(B1275,'Relacion codigos'!$A:$B,2,FALSE)</f>
        <v>1056</v>
      </c>
      <c r="B1275" s="6" t="s">
        <v>3016</v>
      </c>
      <c r="C1275" s="6" t="s">
        <v>872</v>
      </c>
      <c r="D1275" s="24">
        <v>2.6212282199999999</v>
      </c>
      <c r="E1275" s="6" t="s">
        <v>5887</v>
      </c>
      <c r="F1275" s="6">
        <v>21</v>
      </c>
      <c r="G1275" s="8">
        <f t="shared" si="19"/>
        <v>4076.0098820999997</v>
      </c>
    </row>
    <row r="1276" spans="1:7" x14ac:dyDescent="0.3">
      <c r="A1276" s="14" t="str">
        <f>VLOOKUP(B1276,'Relacion codigos'!$A:$B,2,FALSE)</f>
        <v>1473</v>
      </c>
      <c r="B1276" s="6" t="s">
        <v>3017</v>
      </c>
      <c r="C1276" s="6" t="s">
        <v>873</v>
      </c>
      <c r="D1276" s="24">
        <v>2.1893783600000001</v>
      </c>
      <c r="E1276" s="6" t="s">
        <v>5887</v>
      </c>
      <c r="F1276" s="6">
        <v>21</v>
      </c>
      <c r="G1276" s="8">
        <f t="shared" si="19"/>
        <v>3404.4833498000003</v>
      </c>
    </row>
    <row r="1277" spans="1:7" x14ac:dyDescent="0.3">
      <c r="A1277" s="14" t="str">
        <f>VLOOKUP(B1277,'Relacion codigos'!$A:$B,2,FALSE)</f>
        <v>1354</v>
      </c>
      <c r="B1277" s="6" t="s">
        <v>3018</v>
      </c>
      <c r="C1277" s="6" t="s">
        <v>874</v>
      </c>
      <c r="D1277" s="24">
        <v>2.8622607000000002</v>
      </c>
      <c r="E1277" s="6" t="s">
        <v>5887</v>
      </c>
      <c r="F1277" s="6">
        <v>21</v>
      </c>
      <c r="G1277" s="8">
        <f t="shared" si="19"/>
        <v>4450.8153885000002</v>
      </c>
    </row>
    <row r="1278" spans="1:7" x14ac:dyDescent="0.3">
      <c r="A1278" s="14" t="str">
        <f>VLOOKUP(B1278,'Relacion codigos'!$A:$B,2,FALSE)</f>
        <v>1469</v>
      </c>
      <c r="B1278" s="6" t="s">
        <v>3019</v>
      </c>
      <c r="C1278" s="6" t="s">
        <v>875</v>
      </c>
      <c r="D1278" s="24">
        <v>2.7618304999999999</v>
      </c>
      <c r="E1278" s="6" t="s">
        <v>5887</v>
      </c>
      <c r="F1278" s="6">
        <v>21</v>
      </c>
      <c r="G1278" s="8">
        <f t="shared" si="19"/>
        <v>4294.6464274999998</v>
      </c>
    </row>
    <row r="1279" spans="1:7" x14ac:dyDescent="0.3">
      <c r="A1279" s="14" t="str">
        <f>VLOOKUP(B1279,'Relacion codigos'!$A:$B,2,FALSE)</f>
        <v>1470</v>
      </c>
      <c r="B1279" s="6" t="s">
        <v>3020</v>
      </c>
      <c r="C1279" s="6" t="s">
        <v>876</v>
      </c>
      <c r="D1279" s="24">
        <v>2.6614002999999999</v>
      </c>
      <c r="E1279" s="6" t="s">
        <v>5887</v>
      </c>
      <c r="F1279" s="6">
        <v>21</v>
      </c>
      <c r="G1279" s="8">
        <f t="shared" si="19"/>
        <v>4138.4774664999995</v>
      </c>
    </row>
    <row r="1280" spans="1:7" x14ac:dyDescent="0.3">
      <c r="A1280" s="14" t="str">
        <f>VLOOKUP(B1280,'Relacion codigos'!$A:$B,2,FALSE)</f>
        <v>8842</v>
      </c>
      <c r="B1280" s="6" t="s">
        <v>3373</v>
      </c>
      <c r="C1280" s="6" t="s">
        <v>11059</v>
      </c>
      <c r="D1280" s="24">
        <v>2195.64</v>
      </c>
      <c r="E1280" s="6" t="s">
        <v>5889</v>
      </c>
      <c r="F1280" s="6">
        <v>10.5</v>
      </c>
      <c r="G1280" s="8">
        <f t="shared" si="19"/>
        <v>2195.64</v>
      </c>
    </row>
    <row r="1281" spans="1:7" x14ac:dyDescent="0.3">
      <c r="A1281" s="14" t="e">
        <f>VLOOKUP(B1281,'Relacion codigos'!$A:$B,2,FALSE)</f>
        <v>#N/A</v>
      </c>
      <c r="B1281" s="6" t="s">
        <v>10941</v>
      </c>
      <c r="C1281" s="6" t="s">
        <v>10942</v>
      </c>
      <c r="D1281" s="24">
        <v>35.80395</v>
      </c>
      <c r="E1281" s="6" t="s">
        <v>5887</v>
      </c>
      <c r="F1281" s="6">
        <v>21</v>
      </c>
      <c r="G1281" s="8">
        <f t="shared" si="19"/>
        <v>55675.142249999997</v>
      </c>
    </row>
    <row r="1282" spans="1:7" x14ac:dyDescent="0.3">
      <c r="A1282" s="14" t="e">
        <f>VLOOKUP(B1282,'Relacion codigos'!$A:$B,2,FALSE)</f>
        <v>#N/A</v>
      </c>
      <c r="B1282" s="6" t="s">
        <v>10253</v>
      </c>
      <c r="C1282" s="6" t="s">
        <v>10254</v>
      </c>
      <c r="D1282" s="24">
        <v>29.033550000000002</v>
      </c>
      <c r="E1282" s="6" t="s">
        <v>5887</v>
      </c>
      <c r="F1282" s="6">
        <v>21</v>
      </c>
      <c r="G1282" s="8">
        <f t="shared" ref="G1282:G1345" si="20">IF(E1282="Dolares",D1282*$G$1,D1282)</f>
        <v>45147.170250000003</v>
      </c>
    </row>
    <row r="1283" spans="1:7" x14ac:dyDescent="0.3">
      <c r="A1283" s="14" t="str">
        <f>VLOOKUP(B1283,'Relacion codigos'!$A:$B,2,FALSE)</f>
        <v>6743</v>
      </c>
      <c r="B1283" s="6" t="s">
        <v>1341</v>
      </c>
      <c r="C1283" s="6" t="s">
        <v>171</v>
      </c>
      <c r="D1283" s="24">
        <v>18360.47668</v>
      </c>
      <c r="E1283" s="6" t="s">
        <v>5889</v>
      </c>
      <c r="F1283" s="6">
        <v>21</v>
      </c>
      <c r="G1283" s="8">
        <f t="shared" si="20"/>
        <v>18360.47668</v>
      </c>
    </row>
    <row r="1284" spans="1:7" x14ac:dyDescent="0.3">
      <c r="A1284" s="14" t="e">
        <f>VLOOKUP(B1284,'Relacion codigos'!$A:$B,2,FALSE)</f>
        <v>#N/A</v>
      </c>
      <c r="B1284" s="6" t="s">
        <v>12917</v>
      </c>
      <c r="C1284" s="6" t="s">
        <v>12918</v>
      </c>
      <c r="D1284" s="24">
        <v>14263.770248000001</v>
      </c>
      <c r="E1284" s="6" t="s">
        <v>5889</v>
      </c>
      <c r="F1284" s="6">
        <v>21</v>
      </c>
      <c r="G1284" s="8">
        <f t="shared" si="20"/>
        <v>14263.770248000001</v>
      </c>
    </row>
    <row r="1285" spans="1:7" x14ac:dyDescent="0.3">
      <c r="A1285" s="14" t="e">
        <f>VLOOKUP(B1285,'Relacion codigos'!$A:$B,2,FALSE)</f>
        <v>#N/A</v>
      </c>
      <c r="B1285" s="6" t="s">
        <v>9006</v>
      </c>
      <c r="C1285" s="6" t="s">
        <v>9017</v>
      </c>
      <c r="D1285" s="24">
        <v>12895.5318748308</v>
      </c>
      <c r="E1285" s="6" t="s">
        <v>5889</v>
      </c>
      <c r="F1285" s="6">
        <v>21</v>
      </c>
      <c r="G1285" s="8">
        <f t="shared" si="20"/>
        <v>12895.5318748308</v>
      </c>
    </row>
    <row r="1286" spans="1:7" x14ac:dyDescent="0.3">
      <c r="A1286" s="14" t="str">
        <f>VLOOKUP(B1286,'Relacion codigos'!$A:$B,2,FALSE)</f>
        <v>6651</v>
      </c>
      <c r="B1286" s="6" t="s">
        <v>3517</v>
      </c>
      <c r="C1286" s="6" t="s">
        <v>12016</v>
      </c>
      <c r="D1286" s="24">
        <v>10.180150343999999</v>
      </c>
      <c r="E1286" s="6" t="s">
        <v>5887</v>
      </c>
      <c r="F1286" s="6">
        <v>21</v>
      </c>
      <c r="G1286" s="8">
        <f t="shared" si="20"/>
        <v>15830.133784919999</v>
      </c>
    </row>
    <row r="1287" spans="1:7" x14ac:dyDescent="0.3">
      <c r="A1287" s="14" t="str">
        <f>VLOOKUP(B1287,'Relacion codigos'!$A:$B,2,FALSE)</f>
        <v>7060</v>
      </c>
      <c r="B1287" s="6" t="s">
        <v>1442</v>
      </c>
      <c r="C1287" s="6" t="s">
        <v>13922</v>
      </c>
      <c r="D1287" s="24">
        <v>464.03690449999999</v>
      </c>
      <c r="E1287" s="6" t="s">
        <v>5889</v>
      </c>
      <c r="F1287" s="6">
        <v>21</v>
      </c>
      <c r="G1287" s="8">
        <f t="shared" si="20"/>
        <v>464.03690449999999</v>
      </c>
    </row>
    <row r="1288" spans="1:7" x14ac:dyDescent="0.3">
      <c r="A1288" s="14" t="str">
        <f>VLOOKUP(B1288,'Relacion codigos'!$A:$B,2,FALSE)</f>
        <v>933</v>
      </c>
      <c r="B1288" s="6" t="s">
        <v>1445</v>
      </c>
      <c r="C1288" s="6" t="s">
        <v>13923</v>
      </c>
      <c r="D1288" s="24">
        <v>864.36304500000006</v>
      </c>
      <c r="E1288" s="6" t="s">
        <v>5889</v>
      </c>
      <c r="F1288" s="6">
        <v>21</v>
      </c>
      <c r="G1288" s="8">
        <f t="shared" si="20"/>
        <v>864.36304500000006</v>
      </c>
    </row>
    <row r="1289" spans="1:7" x14ac:dyDescent="0.3">
      <c r="A1289" s="14" t="str">
        <f>VLOOKUP(B1289,'Relacion codigos'!$A:$B,2,FALSE)</f>
        <v>6803</v>
      </c>
      <c r="B1289" s="6" t="s">
        <v>1441</v>
      </c>
      <c r="C1289" s="6" t="s">
        <v>13328</v>
      </c>
      <c r="D1289" s="24">
        <v>1.69701613561752</v>
      </c>
      <c r="E1289" s="6" t="s">
        <v>5887</v>
      </c>
      <c r="F1289" s="6">
        <v>21</v>
      </c>
      <c r="G1289" s="8">
        <f t="shared" si="20"/>
        <v>2638.8600908852436</v>
      </c>
    </row>
    <row r="1290" spans="1:7" x14ac:dyDescent="0.3">
      <c r="A1290" s="14" t="str">
        <f>VLOOKUP(B1290,'Relacion codigos'!$A:$B,2,FALSE)</f>
        <v>7400</v>
      </c>
      <c r="B1290" s="6" t="s">
        <v>1440</v>
      </c>
      <c r="C1290" s="6" t="s">
        <v>13259</v>
      </c>
      <c r="D1290" s="24">
        <v>2.7680928242166001</v>
      </c>
      <c r="E1290" s="6" t="s">
        <v>5887</v>
      </c>
      <c r="F1290" s="6">
        <v>21</v>
      </c>
      <c r="G1290" s="8">
        <f t="shared" si="20"/>
        <v>4304.3843416568134</v>
      </c>
    </row>
    <row r="1291" spans="1:7" x14ac:dyDescent="0.3">
      <c r="A1291" s="14" t="str">
        <f>VLOOKUP(B1291,'Relacion codigos'!$A:$B,2,FALSE)</f>
        <v>8329</v>
      </c>
      <c r="B1291" s="6" t="s">
        <v>1438</v>
      </c>
      <c r="C1291" s="6" t="s">
        <v>10591</v>
      </c>
      <c r="D1291" s="24">
        <v>1.4049100000000001</v>
      </c>
      <c r="E1291" s="6" t="s">
        <v>5887</v>
      </c>
      <c r="F1291" s="6">
        <v>21</v>
      </c>
      <c r="G1291" s="8">
        <f t="shared" si="20"/>
        <v>2184.6350500000003</v>
      </c>
    </row>
    <row r="1292" spans="1:7" x14ac:dyDescent="0.3">
      <c r="A1292" s="14" t="str">
        <f>VLOOKUP(B1292,'Relacion codigos'!$A:$B,2,FALSE)</f>
        <v>7059</v>
      </c>
      <c r="B1292" s="6" t="s">
        <v>1439</v>
      </c>
      <c r="C1292" s="6" t="s">
        <v>9226</v>
      </c>
      <c r="D1292" s="24">
        <v>1.0293373597478901</v>
      </c>
      <c r="E1292" s="6" t="s">
        <v>5887</v>
      </c>
      <c r="F1292" s="6">
        <v>21</v>
      </c>
      <c r="G1292" s="8">
        <f t="shared" si="20"/>
        <v>1600.6195944079691</v>
      </c>
    </row>
    <row r="1293" spans="1:7" x14ac:dyDescent="0.3">
      <c r="A1293" s="14" t="str">
        <f>VLOOKUP(B1293,'Relacion codigos'!$A:$B,2,FALSE)</f>
        <v>932</v>
      </c>
      <c r="B1293" s="6" t="s">
        <v>1443</v>
      </c>
      <c r="C1293" s="6" t="s">
        <v>10255</v>
      </c>
      <c r="D1293" s="24">
        <v>810.433368143434</v>
      </c>
      <c r="E1293" s="6" t="s">
        <v>5889</v>
      </c>
      <c r="F1293" s="6">
        <v>21</v>
      </c>
      <c r="G1293" s="8">
        <f t="shared" si="20"/>
        <v>810.433368143434</v>
      </c>
    </row>
    <row r="1294" spans="1:7" x14ac:dyDescent="0.3">
      <c r="A1294" s="14" t="str">
        <f>VLOOKUP(B1294,'Relacion codigos'!$A:$B,2,FALSE)</f>
        <v>209</v>
      </c>
      <c r="B1294" s="6" t="s">
        <v>1444</v>
      </c>
      <c r="C1294" s="6" t="s">
        <v>10256</v>
      </c>
      <c r="D1294" s="24">
        <v>679.71830876546005</v>
      </c>
      <c r="E1294" s="6" t="s">
        <v>5889</v>
      </c>
      <c r="F1294" s="6">
        <v>21</v>
      </c>
      <c r="G1294" s="8">
        <f t="shared" si="20"/>
        <v>679.71830876546005</v>
      </c>
    </row>
    <row r="1295" spans="1:7" x14ac:dyDescent="0.3">
      <c r="A1295" s="14" t="e">
        <f>VLOOKUP(B1295,'Relacion codigos'!$A:$B,2,FALSE)</f>
        <v>#N/A</v>
      </c>
      <c r="B1295" s="6" t="s">
        <v>13707</v>
      </c>
      <c r="C1295" s="6" t="s">
        <v>13708</v>
      </c>
      <c r="D1295" s="24">
        <v>0.51870000000000005</v>
      </c>
      <c r="E1295" s="6" t="s">
        <v>5887</v>
      </c>
      <c r="F1295" s="6">
        <v>21</v>
      </c>
      <c r="G1295" s="8">
        <f t="shared" si="20"/>
        <v>806.57850000000008</v>
      </c>
    </row>
    <row r="1296" spans="1:7" x14ac:dyDescent="0.3">
      <c r="A1296" s="14" t="str">
        <f>VLOOKUP(B1296,'Relacion codigos'!$A:$B,2,FALSE)</f>
        <v>934</v>
      </c>
      <c r="B1296" s="6" t="s">
        <v>1446</v>
      </c>
      <c r="C1296" s="6" t="s">
        <v>10257</v>
      </c>
      <c r="D1296" s="24">
        <v>1400.9891109494299</v>
      </c>
      <c r="E1296" s="6" t="s">
        <v>5889</v>
      </c>
      <c r="F1296" s="6">
        <v>21</v>
      </c>
      <c r="G1296" s="8">
        <f t="shared" si="20"/>
        <v>1400.9891109494299</v>
      </c>
    </row>
    <row r="1297" spans="1:7" x14ac:dyDescent="0.3">
      <c r="A1297" s="14" t="str">
        <f>VLOOKUP(B1297,'Relacion codigos'!$A:$B,2,FALSE)</f>
        <v>210</v>
      </c>
      <c r="B1297" s="6" t="s">
        <v>1447</v>
      </c>
      <c r="C1297" s="6" t="s">
        <v>10258</v>
      </c>
      <c r="D1297" s="24">
        <v>1175.0194300000001</v>
      </c>
      <c r="E1297" s="6" t="s">
        <v>5889</v>
      </c>
      <c r="F1297" s="6">
        <v>21</v>
      </c>
      <c r="G1297" s="8">
        <f t="shared" si="20"/>
        <v>1175.0194300000001</v>
      </c>
    </row>
    <row r="1298" spans="1:7" x14ac:dyDescent="0.3">
      <c r="A1298" s="14" t="str">
        <f>VLOOKUP(B1298,'Relacion codigos'!$A:$B,2,FALSE)</f>
        <v>936</v>
      </c>
      <c r="B1298" s="6" t="s">
        <v>1448</v>
      </c>
      <c r="C1298" s="6" t="s">
        <v>13709</v>
      </c>
      <c r="D1298" s="24">
        <v>0.90090000000000003</v>
      </c>
      <c r="E1298" s="6" t="s">
        <v>5887</v>
      </c>
      <c r="F1298" s="6">
        <v>21</v>
      </c>
      <c r="G1298" s="8">
        <f t="shared" si="20"/>
        <v>1400.8995</v>
      </c>
    </row>
    <row r="1299" spans="1:7" x14ac:dyDescent="0.3">
      <c r="A1299" s="14" t="str">
        <f>VLOOKUP(B1299,'Relacion codigos'!$A:$B,2,FALSE)</f>
        <v>208</v>
      </c>
      <c r="B1299" s="6" t="s">
        <v>1449</v>
      </c>
      <c r="C1299" s="6" t="s">
        <v>10259</v>
      </c>
      <c r="D1299" s="24">
        <v>426.81443999999999</v>
      </c>
      <c r="E1299" s="6" t="s">
        <v>5889</v>
      </c>
      <c r="F1299" s="6">
        <v>21</v>
      </c>
      <c r="G1299" s="8">
        <f t="shared" si="20"/>
        <v>426.81443999999999</v>
      </c>
    </row>
    <row r="1300" spans="1:7" x14ac:dyDescent="0.3">
      <c r="A1300" s="14" t="str">
        <f>VLOOKUP(B1300,'Relacion codigos'!$A:$B,2,FALSE)</f>
        <v>641</v>
      </c>
      <c r="B1300" s="6" t="s">
        <v>1455</v>
      </c>
      <c r="C1300" s="6" t="s">
        <v>10592</v>
      </c>
      <c r="D1300" s="24">
        <v>1322.5627999999999</v>
      </c>
      <c r="E1300" s="6" t="s">
        <v>5889</v>
      </c>
      <c r="F1300" s="6">
        <v>21</v>
      </c>
      <c r="G1300" s="8">
        <f t="shared" si="20"/>
        <v>1322.5627999999999</v>
      </c>
    </row>
    <row r="1301" spans="1:7" x14ac:dyDescent="0.3">
      <c r="A1301" s="14" t="e">
        <f>VLOOKUP(B1301,'Relacion codigos'!$A:$B,2,FALSE)</f>
        <v>#N/A</v>
      </c>
      <c r="B1301" s="6" t="s">
        <v>9716</v>
      </c>
      <c r="C1301" s="6" t="s">
        <v>10808</v>
      </c>
      <c r="D1301" s="24">
        <v>13231.484109999999</v>
      </c>
      <c r="E1301" s="6" t="s">
        <v>5889</v>
      </c>
      <c r="F1301" s="6">
        <v>21</v>
      </c>
      <c r="G1301" s="8">
        <f t="shared" si="20"/>
        <v>13231.484109999999</v>
      </c>
    </row>
    <row r="1302" spans="1:7" x14ac:dyDescent="0.3">
      <c r="A1302" s="14" t="str">
        <f>VLOOKUP(B1302,'Relacion codigos'!$A:$B,2,FALSE)</f>
        <v>8818</v>
      </c>
      <c r="B1302" s="6" t="s">
        <v>1451</v>
      </c>
      <c r="C1302" s="6" t="s">
        <v>12782</v>
      </c>
      <c r="D1302" s="24">
        <v>4.5346599999999997</v>
      </c>
      <c r="E1302" s="6" t="s">
        <v>5887</v>
      </c>
      <c r="F1302" s="6">
        <v>21</v>
      </c>
      <c r="G1302" s="8">
        <f t="shared" si="20"/>
        <v>7051.3962999999994</v>
      </c>
    </row>
    <row r="1303" spans="1:7" x14ac:dyDescent="0.3">
      <c r="A1303" s="14" t="str">
        <f>VLOOKUP(B1303,'Relacion codigos'!$A:$B,2,FALSE)</f>
        <v>632</v>
      </c>
      <c r="B1303" s="6" t="s">
        <v>1453</v>
      </c>
      <c r="C1303" s="6" t="s">
        <v>10593</v>
      </c>
      <c r="D1303" s="24">
        <v>4489.59283177016</v>
      </c>
      <c r="E1303" s="6" t="s">
        <v>5889</v>
      </c>
      <c r="F1303" s="6">
        <v>21</v>
      </c>
      <c r="G1303" s="8">
        <f t="shared" si="20"/>
        <v>4489.59283177016</v>
      </c>
    </row>
    <row r="1304" spans="1:7" x14ac:dyDescent="0.3">
      <c r="A1304" s="14" t="str">
        <f>VLOOKUP(B1304,'Relacion codigos'!$A:$B,2,FALSE)</f>
        <v>1912</v>
      </c>
      <c r="B1304" s="6" t="s">
        <v>1454</v>
      </c>
      <c r="C1304" s="6" t="s">
        <v>10594</v>
      </c>
      <c r="D1304" s="24">
        <v>6504.9946582000002</v>
      </c>
      <c r="E1304" s="6" t="s">
        <v>5889</v>
      </c>
      <c r="F1304" s="6">
        <v>21</v>
      </c>
      <c r="G1304" s="8">
        <f t="shared" si="20"/>
        <v>6504.9946582000002</v>
      </c>
    </row>
    <row r="1305" spans="1:7" x14ac:dyDescent="0.3">
      <c r="A1305" s="14" t="str">
        <f>VLOOKUP(B1305,'Relacion codigos'!$A:$B,2,FALSE)</f>
        <v>8813</v>
      </c>
      <c r="B1305" s="6" t="s">
        <v>1456</v>
      </c>
      <c r="C1305" s="6" t="s">
        <v>10260</v>
      </c>
      <c r="D1305" s="24">
        <v>7907.68022193047</v>
      </c>
      <c r="E1305" s="6" t="s">
        <v>5889</v>
      </c>
      <c r="F1305" s="6">
        <v>21</v>
      </c>
      <c r="G1305" s="8">
        <f t="shared" si="20"/>
        <v>7907.68022193047</v>
      </c>
    </row>
    <row r="1306" spans="1:7" x14ac:dyDescent="0.3">
      <c r="A1306" s="14" t="str">
        <f>VLOOKUP(B1306,'Relacion codigos'!$A:$B,2,FALSE)</f>
        <v>8814</v>
      </c>
      <c r="B1306" s="6" t="s">
        <v>1457</v>
      </c>
      <c r="C1306" s="6" t="s">
        <v>10261</v>
      </c>
      <c r="D1306" s="24">
        <v>15822.018523999999</v>
      </c>
      <c r="E1306" s="6" t="s">
        <v>5889</v>
      </c>
      <c r="F1306" s="6">
        <v>21</v>
      </c>
      <c r="G1306" s="8">
        <f t="shared" si="20"/>
        <v>15822.018523999999</v>
      </c>
    </row>
    <row r="1307" spans="1:7" x14ac:dyDescent="0.3">
      <c r="A1307" s="14" t="e">
        <f>VLOOKUP(B1307,'Relacion codigos'!$A:$B,2,FALSE)</f>
        <v>#N/A</v>
      </c>
      <c r="B1307" s="6" t="s">
        <v>9717</v>
      </c>
      <c r="C1307" s="6" t="s">
        <v>9718</v>
      </c>
      <c r="D1307" s="24">
        <v>9639.7815659527096</v>
      </c>
      <c r="E1307" s="6" t="s">
        <v>5889</v>
      </c>
      <c r="F1307" s="6">
        <v>21</v>
      </c>
      <c r="G1307" s="8">
        <f t="shared" si="20"/>
        <v>9639.7815659527096</v>
      </c>
    </row>
    <row r="1308" spans="1:7" x14ac:dyDescent="0.3">
      <c r="A1308" s="14" t="e">
        <f>VLOOKUP(B1308,'Relacion codigos'!$A:$B,2,FALSE)</f>
        <v>#N/A</v>
      </c>
      <c r="B1308" s="6" t="s">
        <v>8856</v>
      </c>
      <c r="C1308" s="6" t="s">
        <v>8862</v>
      </c>
      <c r="D1308" s="24">
        <v>3369.6557699999998</v>
      </c>
      <c r="E1308" s="6" t="s">
        <v>5889</v>
      </c>
      <c r="F1308" s="6">
        <v>21</v>
      </c>
      <c r="G1308" s="8">
        <f t="shared" si="20"/>
        <v>3369.6557699999998</v>
      </c>
    </row>
    <row r="1309" spans="1:7" x14ac:dyDescent="0.3">
      <c r="A1309" s="14" t="e">
        <f>VLOOKUP(B1309,'Relacion codigos'!$A:$B,2,FALSE)</f>
        <v>#N/A</v>
      </c>
      <c r="B1309" s="6" t="s">
        <v>8857</v>
      </c>
      <c r="C1309" s="6" t="s">
        <v>8863</v>
      </c>
      <c r="D1309" s="24">
        <v>3304.6027648080999</v>
      </c>
      <c r="E1309" s="6" t="s">
        <v>5889</v>
      </c>
      <c r="F1309" s="6">
        <v>21</v>
      </c>
      <c r="G1309" s="8">
        <f t="shared" si="20"/>
        <v>3304.6027648080999</v>
      </c>
    </row>
    <row r="1310" spans="1:7" x14ac:dyDescent="0.3">
      <c r="A1310" s="14" t="e">
        <f>VLOOKUP(B1310,'Relacion codigos'!$A:$B,2,FALSE)</f>
        <v>#N/A</v>
      </c>
      <c r="B1310" s="6" t="s">
        <v>8858</v>
      </c>
      <c r="C1310" s="6" t="s">
        <v>8864</v>
      </c>
      <c r="D1310" s="24">
        <v>4841.3377437865202</v>
      </c>
      <c r="E1310" s="6" t="s">
        <v>5889</v>
      </c>
      <c r="F1310" s="6">
        <v>21</v>
      </c>
      <c r="G1310" s="8">
        <f t="shared" si="20"/>
        <v>4841.3377437865202</v>
      </c>
    </row>
    <row r="1311" spans="1:7" x14ac:dyDescent="0.3">
      <c r="A1311" s="14" t="e">
        <f>VLOOKUP(B1311,'Relacion codigos'!$A:$B,2,FALSE)</f>
        <v>#N/A</v>
      </c>
      <c r="B1311" s="6" t="s">
        <v>9203</v>
      </c>
      <c r="C1311" s="6" t="s">
        <v>9879</v>
      </c>
      <c r="D1311" s="24">
        <v>1457.1559600000001</v>
      </c>
      <c r="E1311" s="6" t="s">
        <v>5889</v>
      </c>
      <c r="F1311" s="6">
        <v>21</v>
      </c>
      <c r="G1311" s="8">
        <f t="shared" si="20"/>
        <v>1457.1559600000001</v>
      </c>
    </row>
    <row r="1312" spans="1:7" x14ac:dyDescent="0.3">
      <c r="A1312" s="14" t="str">
        <f>VLOOKUP(B1312,'Relacion codigos'!$A:$B,2,FALSE)</f>
        <v>1911</v>
      </c>
      <c r="B1312" s="6" t="s">
        <v>1464</v>
      </c>
      <c r="C1312" s="6" t="s">
        <v>10809</v>
      </c>
      <c r="D1312" s="24">
        <v>16504.891269424999</v>
      </c>
      <c r="E1312" s="6" t="s">
        <v>5889</v>
      </c>
      <c r="F1312" s="6">
        <v>21</v>
      </c>
      <c r="G1312" s="8">
        <f t="shared" si="20"/>
        <v>16504.891269424999</v>
      </c>
    </row>
    <row r="1313" spans="1:7" x14ac:dyDescent="0.3">
      <c r="A1313" s="14" t="str">
        <f>VLOOKUP(B1313,'Relacion codigos'!$A:$B,2,FALSE)</f>
        <v>753</v>
      </c>
      <c r="B1313" s="6" t="s">
        <v>1465</v>
      </c>
      <c r="C1313" s="6" t="s">
        <v>10810</v>
      </c>
      <c r="D1313" s="24">
        <v>3274.0523400000002</v>
      </c>
      <c r="E1313" s="6" t="s">
        <v>5889</v>
      </c>
      <c r="F1313" s="6">
        <v>21</v>
      </c>
      <c r="G1313" s="8">
        <f t="shared" si="20"/>
        <v>3274.0523400000002</v>
      </c>
    </row>
    <row r="1314" spans="1:7" x14ac:dyDescent="0.3">
      <c r="A1314" s="14" t="e">
        <f>VLOOKUP(B1314,'Relacion codigos'!$A:$B,2,FALSE)</f>
        <v>#N/A</v>
      </c>
      <c r="B1314" s="6" t="s">
        <v>9204</v>
      </c>
      <c r="C1314" s="6" t="s">
        <v>10811</v>
      </c>
      <c r="D1314" s="24">
        <v>8697.3842052907894</v>
      </c>
      <c r="E1314" s="6" t="s">
        <v>5889</v>
      </c>
      <c r="F1314" s="6">
        <v>21</v>
      </c>
      <c r="G1314" s="8">
        <f t="shared" si="20"/>
        <v>8697.3842052907894</v>
      </c>
    </row>
    <row r="1315" spans="1:7" x14ac:dyDescent="0.3">
      <c r="A1315" s="14" t="e">
        <f>VLOOKUP(B1315,'Relacion codigos'!$A:$B,2,FALSE)</f>
        <v>#N/A</v>
      </c>
      <c r="B1315" s="6" t="s">
        <v>9205</v>
      </c>
      <c r="C1315" s="6" t="s">
        <v>10812</v>
      </c>
      <c r="D1315" s="24">
        <v>8697.3805100000009</v>
      </c>
      <c r="E1315" s="6" t="s">
        <v>5889</v>
      </c>
      <c r="F1315" s="6">
        <v>21</v>
      </c>
      <c r="G1315" s="8">
        <f t="shared" si="20"/>
        <v>8697.3805100000009</v>
      </c>
    </row>
    <row r="1316" spans="1:7" x14ac:dyDescent="0.3">
      <c r="A1316" s="14" t="str">
        <f>VLOOKUP(B1316,'Relacion codigos'!$A:$B,2,FALSE)</f>
        <v>1910</v>
      </c>
      <c r="B1316" s="6" t="s">
        <v>1463</v>
      </c>
      <c r="C1316" s="6" t="s">
        <v>10813</v>
      </c>
      <c r="D1316" s="24">
        <v>8697.3842052907894</v>
      </c>
      <c r="E1316" s="6" t="s">
        <v>5889</v>
      </c>
      <c r="F1316" s="6">
        <v>21</v>
      </c>
      <c r="G1316" s="8">
        <f t="shared" si="20"/>
        <v>8697.3842052907894</v>
      </c>
    </row>
    <row r="1317" spans="1:7" x14ac:dyDescent="0.3">
      <c r="A1317" s="14" t="str">
        <f>VLOOKUP(B1317,'Relacion codigos'!$A:$B,2,FALSE)</f>
        <v>5445</v>
      </c>
      <c r="B1317" s="6" t="s">
        <v>3296</v>
      </c>
      <c r="C1317" s="6" t="s">
        <v>172</v>
      </c>
      <c r="D1317" s="24">
        <v>9342.7470077292</v>
      </c>
      <c r="E1317" s="6" t="s">
        <v>5889</v>
      </c>
      <c r="F1317" s="6">
        <v>21</v>
      </c>
      <c r="G1317" s="8">
        <f t="shared" si="20"/>
        <v>9342.7470077292</v>
      </c>
    </row>
    <row r="1318" spans="1:7" x14ac:dyDescent="0.3">
      <c r="A1318" s="14" t="str">
        <f>VLOOKUP(B1318,'Relacion codigos'!$A:$B,2,FALSE)</f>
        <v>5446</v>
      </c>
      <c r="B1318" s="6" t="s">
        <v>3297</v>
      </c>
      <c r="C1318" s="6" t="s">
        <v>173</v>
      </c>
      <c r="D1318" s="24">
        <v>11737.829893514399</v>
      </c>
      <c r="E1318" s="6" t="s">
        <v>5889</v>
      </c>
      <c r="F1318" s="6">
        <v>21</v>
      </c>
      <c r="G1318" s="8">
        <f t="shared" si="20"/>
        <v>11737.829893514399</v>
      </c>
    </row>
    <row r="1319" spans="1:7" x14ac:dyDescent="0.3">
      <c r="A1319" s="14" t="str">
        <f>VLOOKUP(B1319,'Relacion codigos'!$A:$B,2,FALSE)</f>
        <v>5447</v>
      </c>
      <c r="B1319" s="6" t="s">
        <v>3298</v>
      </c>
      <c r="C1319" s="6" t="s">
        <v>174</v>
      </c>
      <c r="D1319" s="24">
        <v>15293.3959816561</v>
      </c>
      <c r="E1319" s="6" t="s">
        <v>5889</v>
      </c>
      <c r="F1319" s="6">
        <v>21</v>
      </c>
      <c r="G1319" s="8">
        <f t="shared" si="20"/>
        <v>15293.3959816561</v>
      </c>
    </row>
    <row r="1320" spans="1:7" x14ac:dyDescent="0.3">
      <c r="A1320" s="14" t="str">
        <f>VLOOKUP(B1320,'Relacion codigos'!$A:$B,2,FALSE)</f>
        <v>5448</v>
      </c>
      <c r="B1320" s="6" t="s">
        <v>3299</v>
      </c>
      <c r="C1320" s="6" t="s">
        <v>175</v>
      </c>
      <c r="D1320" s="24">
        <v>21240.416258333898</v>
      </c>
      <c r="E1320" s="6" t="s">
        <v>5889</v>
      </c>
      <c r="F1320" s="6">
        <v>21</v>
      </c>
      <c r="G1320" s="8">
        <f t="shared" si="20"/>
        <v>21240.416258333898</v>
      </c>
    </row>
    <row r="1321" spans="1:7" x14ac:dyDescent="0.3">
      <c r="A1321" s="14" t="e">
        <f>VLOOKUP(B1321,'Relacion codigos'!$A:$B,2,FALSE)</f>
        <v>#N/A</v>
      </c>
      <c r="B1321" s="6" t="s">
        <v>9324</v>
      </c>
      <c r="C1321" s="6" t="s">
        <v>10814</v>
      </c>
      <c r="D1321" s="24">
        <v>13079.843092695601</v>
      </c>
      <c r="E1321" s="6" t="s">
        <v>5889</v>
      </c>
      <c r="F1321" s="6">
        <v>21</v>
      </c>
      <c r="G1321" s="8">
        <f t="shared" si="20"/>
        <v>13079.843092695601</v>
      </c>
    </row>
    <row r="1322" spans="1:7" x14ac:dyDescent="0.3">
      <c r="A1322" s="14" t="str">
        <f>VLOOKUP(B1322,'Relacion codigos'!$A:$B,2,FALSE)</f>
        <v>7268</v>
      </c>
      <c r="B1322" s="6" t="s">
        <v>3308</v>
      </c>
      <c r="C1322" s="6" t="s">
        <v>10815</v>
      </c>
      <c r="D1322" s="24">
        <v>21410.754374318502</v>
      </c>
      <c r="E1322" s="6" t="s">
        <v>5889</v>
      </c>
      <c r="F1322" s="6">
        <v>21</v>
      </c>
      <c r="G1322" s="8">
        <f t="shared" si="20"/>
        <v>21410.754374318502</v>
      </c>
    </row>
    <row r="1323" spans="1:7" x14ac:dyDescent="0.3">
      <c r="A1323" s="14" t="str">
        <f>VLOOKUP(B1323,'Relacion codigos'!$A:$B,2,FALSE)</f>
        <v>7266</v>
      </c>
      <c r="B1323" s="6" t="s">
        <v>3300</v>
      </c>
      <c r="C1323" s="6" t="s">
        <v>176</v>
      </c>
      <c r="D1323" s="24">
        <v>5511.9911209272004</v>
      </c>
      <c r="E1323" s="6" t="s">
        <v>5889</v>
      </c>
      <c r="F1323" s="6">
        <v>21</v>
      </c>
      <c r="G1323" s="8">
        <f t="shared" si="20"/>
        <v>5511.9911209272004</v>
      </c>
    </row>
    <row r="1324" spans="1:7" x14ac:dyDescent="0.3">
      <c r="A1324" s="14" t="str">
        <f>VLOOKUP(B1324,'Relacion codigos'!$A:$B,2,FALSE)</f>
        <v>7267</v>
      </c>
      <c r="B1324" s="6" t="s">
        <v>3301</v>
      </c>
      <c r="C1324" s="6" t="s">
        <v>177</v>
      </c>
      <c r="D1324" s="24">
        <v>6956.5388009832004</v>
      </c>
      <c r="E1324" s="6" t="s">
        <v>5889</v>
      </c>
      <c r="F1324" s="6">
        <v>21</v>
      </c>
      <c r="G1324" s="8">
        <f t="shared" si="20"/>
        <v>6956.5388009832004</v>
      </c>
    </row>
    <row r="1325" spans="1:7" x14ac:dyDescent="0.3">
      <c r="A1325" s="14" t="str">
        <f>VLOOKUP(B1325,'Relacion codigos'!$A:$B,2,FALSE)</f>
        <v>8736</v>
      </c>
      <c r="B1325" s="6" t="s">
        <v>3302</v>
      </c>
      <c r="C1325" s="6" t="s">
        <v>1094</v>
      </c>
      <c r="D1325" s="24">
        <v>8224.5850159824004</v>
      </c>
      <c r="E1325" s="6" t="s">
        <v>5889</v>
      </c>
      <c r="F1325" s="6">
        <v>21</v>
      </c>
      <c r="G1325" s="8">
        <f t="shared" si="20"/>
        <v>8224.5850159824004</v>
      </c>
    </row>
    <row r="1326" spans="1:7" x14ac:dyDescent="0.3">
      <c r="A1326" s="14" t="str">
        <f>VLOOKUP(B1326,'Relacion codigos'!$A:$B,2,FALSE)</f>
        <v>7265</v>
      </c>
      <c r="B1326" s="6" t="s">
        <v>3303</v>
      </c>
      <c r="C1326" s="6" t="s">
        <v>178</v>
      </c>
      <c r="D1326" s="24">
        <v>4139.0252701199997</v>
      </c>
      <c r="E1326" s="6" t="s">
        <v>5889</v>
      </c>
      <c r="F1326" s="6">
        <v>21</v>
      </c>
      <c r="G1326" s="8">
        <f t="shared" si="20"/>
        <v>4139.0252701199997</v>
      </c>
    </row>
    <row r="1327" spans="1:7" x14ac:dyDescent="0.3">
      <c r="A1327" s="14" t="str">
        <f>VLOOKUP(B1327,'Relacion codigos'!$A:$B,2,FALSE)</f>
        <v>9223</v>
      </c>
      <c r="B1327" s="6" t="s">
        <v>3306</v>
      </c>
      <c r="C1327" s="6" t="s">
        <v>1233</v>
      </c>
      <c r="D1327" s="24">
        <v>620.28876909999997</v>
      </c>
      <c r="E1327" s="6" t="s">
        <v>5889</v>
      </c>
      <c r="F1327" s="6">
        <v>21</v>
      </c>
      <c r="G1327" s="8">
        <f t="shared" si="20"/>
        <v>620.28876909999997</v>
      </c>
    </row>
    <row r="1328" spans="1:7" x14ac:dyDescent="0.3">
      <c r="A1328" s="14" t="str">
        <f>VLOOKUP(B1328,'Relacion codigos'!$A:$B,2,FALSE)</f>
        <v>NUEVO</v>
      </c>
      <c r="B1328" s="6" t="s">
        <v>8759</v>
      </c>
      <c r="C1328" s="6" t="s">
        <v>8760</v>
      </c>
      <c r="D1328" s="24">
        <v>731.80857749999996</v>
      </c>
      <c r="E1328" s="6" t="s">
        <v>5889</v>
      </c>
      <c r="F1328" s="6">
        <v>21</v>
      </c>
      <c r="G1328" s="8">
        <f t="shared" si="20"/>
        <v>731.80857749999996</v>
      </c>
    </row>
    <row r="1329" spans="1:7" x14ac:dyDescent="0.3">
      <c r="A1329" s="14" t="str">
        <f>VLOOKUP(B1329,'Relacion codigos'!$A:$B,2,FALSE)</f>
        <v>8816</v>
      </c>
      <c r="B1329" s="6" t="s">
        <v>1466</v>
      </c>
      <c r="C1329" s="6" t="s">
        <v>1095</v>
      </c>
      <c r="D1329" s="24">
        <v>8150.2033750000001</v>
      </c>
      <c r="E1329" s="6" t="s">
        <v>5889</v>
      </c>
      <c r="F1329" s="6">
        <v>21</v>
      </c>
      <c r="G1329" s="8">
        <f t="shared" si="20"/>
        <v>8150.2033750000001</v>
      </c>
    </row>
    <row r="1330" spans="1:7" x14ac:dyDescent="0.3">
      <c r="A1330" s="14" t="str">
        <f>VLOOKUP(B1330,'Relacion codigos'!$A:$B,2,FALSE)</f>
        <v>8817</v>
      </c>
      <c r="B1330" s="6" t="s">
        <v>1467</v>
      </c>
      <c r="C1330" s="6" t="s">
        <v>10262</v>
      </c>
      <c r="D1330" s="24">
        <v>8476.2129010000008</v>
      </c>
      <c r="E1330" s="6" t="s">
        <v>5889</v>
      </c>
      <c r="F1330" s="6">
        <v>21</v>
      </c>
      <c r="G1330" s="8">
        <f t="shared" si="20"/>
        <v>8476.2129010000008</v>
      </c>
    </row>
    <row r="1331" spans="1:7" x14ac:dyDescent="0.3">
      <c r="A1331" s="14" t="e">
        <f>VLOOKUP(B1331,'Relacion codigos'!$A:$B,2,FALSE)</f>
        <v>#N/A</v>
      </c>
      <c r="B1331" s="6" t="s">
        <v>8967</v>
      </c>
      <c r="C1331" s="6" t="s">
        <v>9612</v>
      </c>
      <c r="D1331" s="24">
        <v>8.1995972500000001</v>
      </c>
      <c r="E1331" s="6" t="s">
        <v>5887</v>
      </c>
      <c r="F1331" s="6">
        <v>21</v>
      </c>
      <c r="G1331" s="8">
        <f t="shared" si="20"/>
        <v>12750.373723750001</v>
      </c>
    </row>
    <row r="1332" spans="1:7" x14ac:dyDescent="0.3">
      <c r="A1332" s="14" t="str">
        <f>VLOOKUP(B1332,'Relacion codigos'!$A:$B,2,FALSE)</f>
        <v>2643</v>
      </c>
      <c r="B1332" s="6" t="s">
        <v>2475</v>
      </c>
      <c r="C1332" s="6" t="s">
        <v>11577</v>
      </c>
      <c r="D1332" s="24">
        <v>414.89063499000002</v>
      </c>
      <c r="E1332" s="6" t="s">
        <v>5889</v>
      </c>
      <c r="F1332" s="6">
        <v>21</v>
      </c>
      <c r="G1332" s="8">
        <f t="shared" si="20"/>
        <v>414.89063499000002</v>
      </c>
    </row>
    <row r="1333" spans="1:7" x14ac:dyDescent="0.3">
      <c r="A1333" s="14" t="str">
        <f>VLOOKUP(B1333,'Relacion codigos'!$A:$B,2,FALSE)</f>
        <v>1407</v>
      </c>
      <c r="B1333" s="6" t="s">
        <v>1751</v>
      </c>
      <c r="C1333" s="6" t="s">
        <v>179</v>
      </c>
      <c r="D1333" s="24">
        <v>421.0939525</v>
      </c>
      <c r="E1333" s="6" t="s">
        <v>5889</v>
      </c>
      <c r="F1333" s="6">
        <v>21</v>
      </c>
      <c r="G1333" s="8">
        <f t="shared" si="20"/>
        <v>421.0939525</v>
      </c>
    </row>
    <row r="1334" spans="1:7" x14ac:dyDescent="0.3">
      <c r="A1334" s="14" t="str">
        <f>VLOOKUP(B1334,'Relacion codigos'!$A:$B,2,FALSE)</f>
        <v>1408</v>
      </c>
      <c r="B1334" s="6" t="s">
        <v>1752</v>
      </c>
      <c r="C1334" s="6" t="s">
        <v>180</v>
      </c>
      <c r="D1334" s="24">
        <v>523.742816824123</v>
      </c>
      <c r="E1334" s="6" t="s">
        <v>5889</v>
      </c>
      <c r="F1334" s="6">
        <v>21</v>
      </c>
      <c r="G1334" s="8">
        <f t="shared" si="20"/>
        <v>523.742816824123</v>
      </c>
    </row>
    <row r="1335" spans="1:7" x14ac:dyDescent="0.3">
      <c r="A1335" s="14" t="str">
        <f>VLOOKUP(B1335,'Relacion codigos'!$A:$B,2,FALSE)</f>
        <v>1409</v>
      </c>
      <c r="B1335" s="6" t="s">
        <v>1753</v>
      </c>
      <c r="C1335" s="6" t="s">
        <v>181</v>
      </c>
      <c r="D1335" s="24">
        <v>626.36173599999995</v>
      </c>
      <c r="E1335" s="6" t="s">
        <v>5889</v>
      </c>
      <c r="F1335" s="6">
        <v>21</v>
      </c>
      <c r="G1335" s="8">
        <f t="shared" si="20"/>
        <v>626.36173599999995</v>
      </c>
    </row>
    <row r="1336" spans="1:7" x14ac:dyDescent="0.3">
      <c r="A1336" s="14" t="str">
        <f>VLOOKUP(B1336,'Relacion codigos'!$A:$B,2,FALSE)</f>
        <v>1410</v>
      </c>
      <c r="B1336" s="6" t="s">
        <v>1754</v>
      </c>
      <c r="C1336" s="6" t="s">
        <v>182</v>
      </c>
      <c r="D1336" s="24">
        <v>1051.7357955</v>
      </c>
      <c r="E1336" s="6" t="s">
        <v>5889</v>
      </c>
      <c r="F1336" s="6">
        <v>21</v>
      </c>
      <c r="G1336" s="8">
        <f t="shared" si="20"/>
        <v>1051.7357955</v>
      </c>
    </row>
    <row r="1337" spans="1:7" x14ac:dyDescent="0.3">
      <c r="A1337" s="14" t="str">
        <f>VLOOKUP(B1337,'Relacion codigos'!$A:$B,2,FALSE)</f>
        <v>1411</v>
      </c>
      <c r="B1337" s="6" t="s">
        <v>1755</v>
      </c>
      <c r="C1337" s="6" t="s">
        <v>183</v>
      </c>
      <c r="D1337" s="24">
        <v>50.862190659370398</v>
      </c>
      <c r="E1337" s="6" t="s">
        <v>5889</v>
      </c>
      <c r="F1337" s="6">
        <v>21</v>
      </c>
      <c r="G1337" s="8">
        <f t="shared" si="20"/>
        <v>50.862190659370398</v>
      </c>
    </row>
    <row r="1338" spans="1:7" x14ac:dyDescent="0.3">
      <c r="A1338" s="14" t="e">
        <f>VLOOKUP(B1338,'Relacion codigos'!$A:$B,2,FALSE)</f>
        <v>#N/A</v>
      </c>
      <c r="B1338" s="6" t="s">
        <v>13574</v>
      </c>
      <c r="C1338" s="6" t="s">
        <v>13575</v>
      </c>
      <c r="D1338" s="24">
        <v>3850.0552082888398</v>
      </c>
      <c r="E1338" s="6" t="s">
        <v>5889</v>
      </c>
      <c r="F1338" s="6">
        <v>21</v>
      </c>
      <c r="G1338" s="8">
        <f t="shared" si="20"/>
        <v>3850.0552082888398</v>
      </c>
    </row>
    <row r="1339" spans="1:7" x14ac:dyDescent="0.3">
      <c r="A1339" s="14" t="e">
        <f>VLOOKUP(B1339,'Relacion codigos'!$A:$B,2,FALSE)</f>
        <v>#N/A</v>
      </c>
      <c r="B1339" s="6" t="s">
        <v>13576</v>
      </c>
      <c r="C1339" s="6" t="s">
        <v>13577</v>
      </c>
      <c r="D1339" s="24">
        <v>4170.8971786025304</v>
      </c>
      <c r="E1339" s="6" t="s">
        <v>5889</v>
      </c>
      <c r="F1339" s="6">
        <v>21</v>
      </c>
      <c r="G1339" s="8">
        <f t="shared" si="20"/>
        <v>4170.8971786025304</v>
      </c>
    </row>
    <row r="1340" spans="1:7" x14ac:dyDescent="0.3">
      <c r="A1340" s="14" t="e">
        <f>VLOOKUP(B1340,'Relacion codigos'!$A:$B,2,FALSE)</f>
        <v>#N/A</v>
      </c>
      <c r="B1340" s="6" t="s">
        <v>13370</v>
      </c>
      <c r="C1340" s="6" t="s">
        <v>13371</v>
      </c>
      <c r="D1340" s="24">
        <v>176.67108713047401</v>
      </c>
      <c r="E1340" s="6" t="s">
        <v>5889</v>
      </c>
      <c r="F1340" s="6">
        <v>21</v>
      </c>
      <c r="G1340" s="8">
        <f t="shared" si="20"/>
        <v>176.67108713047401</v>
      </c>
    </row>
    <row r="1341" spans="1:7" x14ac:dyDescent="0.3">
      <c r="A1341" s="14" t="e">
        <f>VLOOKUP(B1341,'Relacion codigos'!$A:$B,2,FALSE)</f>
        <v>#N/A</v>
      </c>
      <c r="B1341" s="6" t="s">
        <v>13372</v>
      </c>
      <c r="C1341" s="6" t="s">
        <v>13373</v>
      </c>
      <c r="D1341" s="24">
        <v>304.57311205104003</v>
      </c>
      <c r="E1341" s="6" t="s">
        <v>5889</v>
      </c>
      <c r="F1341" s="6">
        <v>21</v>
      </c>
      <c r="G1341" s="8">
        <f t="shared" si="20"/>
        <v>304.57311205104003</v>
      </c>
    </row>
    <row r="1342" spans="1:7" x14ac:dyDescent="0.3">
      <c r="A1342" s="14" t="e">
        <f>VLOOKUP(B1342,'Relacion codigos'!$A:$B,2,FALSE)</f>
        <v>#N/A</v>
      </c>
      <c r="B1342" s="6" t="s">
        <v>13374</v>
      </c>
      <c r="C1342" s="6" t="s">
        <v>13375</v>
      </c>
      <c r="D1342" s="24">
        <v>508.61554473397399</v>
      </c>
      <c r="E1342" s="6" t="s">
        <v>5889</v>
      </c>
      <c r="F1342" s="6">
        <v>21</v>
      </c>
      <c r="G1342" s="8">
        <f t="shared" si="20"/>
        <v>508.61554473397399</v>
      </c>
    </row>
    <row r="1343" spans="1:7" x14ac:dyDescent="0.3">
      <c r="A1343" s="14" t="e">
        <f>VLOOKUP(B1343,'Relacion codigos'!$A:$B,2,FALSE)</f>
        <v>#N/A</v>
      </c>
      <c r="B1343" s="6" t="s">
        <v>13376</v>
      </c>
      <c r="C1343" s="6" t="s">
        <v>13377</v>
      </c>
      <c r="D1343" s="24">
        <v>1151.38659269656</v>
      </c>
      <c r="E1343" s="6" t="s">
        <v>5889</v>
      </c>
      <c r="F1343" s="6">
        <v>21</v>
      </c>
      <c r="G1343" s="8">
        <f t="shared" si="20"/>
        <v>1151.38659269656</v>
      </c>
    </row>
    <row r="1344" spans="1:7" x14ac:dyDescent="0.3">
      <c r="A1344" s="14" t="e">
        <f>VLOOKUP(B1344,'Relacion codigos'!$A:$B,2,FALSE)</f>
        <v>#N/A</v>
      </c>
      <c r="B1344" s="6" t="s">
        <v>13378</v>
      </c>
      <c r="C1344" s="6" t="s">
        <v>13379</v>
      </c>
      <c r="D1344" s="24">
        <v>1728.6513511333501</v>
      </c>
      <c r="E1344" s="6" t="s">
        <v>5889</v>
      </c>
      <c r="F1344" s="6">
        <v>21</v>
      </c>
      <c r="G1344" s="8">
        <f t="shared" si="20"/>
        <v>1728.6513511333501</v>
      </c>
    </row>
    <row r="1345" spans="1:7" x14ac:dyDescent="0.3">
      <c r="A1345" s="14" t="e">
        <f>VLOOKUP(B1345,'Relacion codigos'!$A:$B,2,FALSE)</f>
        <v>#N/A</v>
      </c>
      <c r="B1345" s="6" t="s">
        <v>13380</v>
      </c>
      <c r="C1345" s="6" t="s">
        <v>13381</v>
      </c>
      <c r="D1345" s="24">
        <v>1861.81123625792</v>
      </c>
      <c r="E1345" s="6" t="s">
        <v>5889</v>
      </c>
      <c r="F1345" s="6">
        <v>21</v>
      </c>
      <c r="G1345" s="8">
        <f t="shared" si="20"/>
        <v>1861.81123625792</v>
      </c>
    </row>
    <row r="1346" spans="1:7" x14ac:dyDescent="0.3">
      <c r="A1346" s="14" t="e">
        <f>VLOOKUP(B1346,'Relacion codigos'!$A:$B,2,FALSE)</f>
        <v>#N/A</v>
      </c>
      <c r="B1346" s="6" t="s">
        <v>13382</v>
      </c>
      <c r="C1346" s="6" t="s">
        <v>13383</v>
      </c>
      <c r="D1346" s="24">
        <v>1432.3231130567699</v>
      </c>
      <c r="E1346" s="6" t="s">
        <v>5889</v>
      </c>
      <c r="F1346" s="6">
        <v>21</v>
      </c>
      <c r="G1346" s="8">
        <f t="shared" ref="G1346:G1409" si="21">IF(E1346="Dolares",D1346*$G$1,D1346)</f>
        <v>1432.3231130567699</v>
      </c>
    </row>
    <row r="1347" spans="1:7" x14ac:dyDescent="0.3">
      <c r="A1347" s="14" t="e">
        <f>VLOOKUP(B1347,'Relacion codigos'!$A:$B,2,FALSE)</f>
        <v>#N/A</v>
      </c>
      <c r="B1347" s="6" t="s">
        <v>13384</v>
      </c>
      <c r="C1347" s="6" t="s">
        <v>13385</v>
      </c>
      <c r="D1347" s="24">
        <v>1898.55223515641</v>
      </c>
      <c r="E1347" s="6" t="s">
        <v>5889</v>
      </c>
      <c r="F1347" s="6">
        <v>21</v>
      </c>
      <c r="G1347" s="8">
        <f t="shared" si="21"/>
        <v>1898.55223515641</v>
      </c>
    </row>
    <row r="1348" spans="1:7" x14ac:dyDescent="0.3">
      <c r="A1348" s="14" t="str">
        <f>VLOOKUP(B1348,'Relacion codigos'!$A:$B,2,FALSE)</f>
        <v>NUEVO</v>
      </c>
      <c r="B1348" s="6" t="s">
        <v>5859</v>
      </c>
      <c r="C1348" s="6" t="s">
        <v>11708</v>
      </c>
      <c r="D1348" s="24">
        <v>35378.137600000002</v>
      </c>
      <c r="E1348" s="6" t="s">
        <v>5889</v>
      </c>
      <c r="F1348" s="6">
        <v>21</v>
      </c>
      <c r="G1348" s="8">
        <f t="shared" si="21"/>
        <v>35378.137600000002</v>
      </c>
    </row>
    <row r="1349" spans="1:7" x14ac:dyDescent="0.3">
      <c r="A1349" s="14" t="str">
        <f>VLOOKUP(B1349,'Relacion codigos'!$A:$B,2,FALSE)</f>
        <v>NUEVO</v>
      </c>
      <c r="B1349" s="6" t="s">
        <v>8752</v>
      </c>
      <c r="C1349" s="6" t="s">
        <v>8785</v>
      </c>
      <c r="D1349" s="24">
        <v>25369.058000000001</v>
      </c>
      <c r="E1349" s="6" t="s">
        <v>5889</v>
      </c>
      <c r="F1349" s="6">
        <v>21</v>
      </c>
      <c r="G1349" s="8">
        <f t="shared" si="21"/>
        <v>25369.058000000001</v>
      </c>
    </row>
    <row r="1350" spans="1:7" x14ac:dyDescent="0.3">
      <c r="A1350" s="14" t="str">
        <f>VLOOKUP(B1350,'Relacion codigos'!$A:$B,2,FALSE)</f>
        <v>NUEVO</v>
      </c>
      <c r="B1350" s="6" t="s">
        <v>8753</v>
      </c>
      <c r="C1350" s="6" t="s">
        <v>8786</v>
      </c>
      <c r="D1350" s="24">
        <v>25369.058000000001</v>
      </c>
      <c r="E1350" s="6" t="s">
        <v>5889</v>
      </c>
      <c r="F1350" s="6">
        <v>21</v>
      </c>
      <c r="G1350" s="8">
        <f t="shared" si="21"/>
        <v>25369.058000000001</v>
      </c>
    </row>
    <row r="1351" spans="1:7" x14ac:dyDescent="0.3">
      <c r="A1351" s="14" t="str">
        <f>VLOOKUP(B1351,'Relacion codigos'!$A:$B,2,FALSE)</f>
        <v>8079</v>
      </c>
      <c r="B1351" s="6" t="s">
        <v>3695</v>
      </c>
      <c r="C1351" s="6" t="s">
        <v>11477</v>
      </c>
      <c r="D1351" s="24">
        <v>108041.75199999999</v>
      </c>
      <c r="E1351" s="6" t="s">
        <v>5889</v>
      </c>
      <c r="F1351" s="6">
        <v>21</v>
      </c>
      <c r="G1351" s="8">
        <f t="shared" si="21"/>
        <v>108041.75199999999</v>
      </c>
    </row>
    <row r="1352" spans="1:7" x14ac:dyDescent="0.3">
      <c r="A1352" s="14" t="str">
        <f>VLOOKUP(B1352,'Relacion codigos'!$A:$B,2,FALSE)</f>
        <v>7432</v>
      </c>
      <c r="B1352" s="6" t="s">
        <v>3697</v>
      </c>
      <c r="C1352" s="6" t="s">
        <v>184</v>
      </c>
      <c r="D1352" s="24">
        <v>62167.963000000003</v>
      </c>
      <c r="E1352" s="6" t="s">
        <v>5889</v>
      </c>
      <c r="F1352" s="6">
        <v>21</v>
      </c>
      <c r="G1352" s="8">
        <f t="shared" si="21"/>
        <v>62167.963000000003</v>
      </c>
    </row>
    <row r="1353" spans="1:7" x14ac:dyDescent="0.3">
      <c r="A1353" s="14" t="str">
        <f>VLOOKUP(B1353,'Relacion codigos'!$A:$B,2,FALSE)</f>
        <v>8250</v>
      </c>
      <c r="B1353" s="6" t="s">
        <v>3696</v>
      </c>
      <c r="C1353" s="6" t="s">
        <v>11945</v>
      </c>
      <c r="D1353" s="24">
        <v>119939.80959999999</v>
      </c>
      <c r="E1353" s="6" t="s">
        <v>5889</v>
      </c>
      <c r="F1353" s="6">
        <v>21</v>
      </c>
      <c r="G1353" s="8">
        <f t="shared" si="21"/>
        <v>119939.80959999999</v>
      </c>
    </row>
    <row r="1354" spans="1:7" x14ac:dyDescent="0.3">
      <c r="A1354" s="14" t="str">
        <f>VLOOKUP(B1354,'Relacion codigos'!$A:$B,2,FALSE)</f>
        <v>6298</v>
      </c>
      <c r="B1354" s="6" t="s">
        <v>3699</v>
      </c>
      <c r="C1354" s="6" t="s">
        <v>11853</v>
      </c>
      <c r="D1354" s="24">
        <v>13103.22</v>
      </c>
      <c r="E1354" s="6" t="s">
        <v>5889</v>
      </c>
      <c r="F1354" s="6">
        <v>21</v>
      </c>
      <c r="G1354" s="8">
        <f t="shared" si="21"/>
        <v>13103.22</v>
      </c>
    </row>
    <row r="1355" spans="1:7" x14ac:dyDescent="0.3">
      <c r="A1355" s="14" t="str">
        <f>VLOOKUP(B1355,'Relacion codigos'!$A:$B,2,FALSE)</f>
        <v>7518</v>
      </c>
      <c r="B1355" s="6" t="s">
        <v>3701</v>
      </c>
      <c r="C1355" s="6" t="s">
        <v>1096</v>
      </c>
      <c r="D1355" s="24">
        <v>62569.962</v>
      </c>
      <c r="E1355" s="6" t="s">
        <v>5889</v>
      </c>
      <c r="F1355" s="6">
        <v>21</v>
      </c>
      <c r="G1355" s="8">
        <f t="shared" si="21"/>
        <v>62569.962</v>
      </c>
    </row>
    <row r="1356" spans="1:7" x14ac:dyDescent="0.3">
      <c r="A1356" s="14" t="e">
        <f>VLOOKUP(B1356,'Relacion codigos'!$A:$B,2,FALSE)</f>
        <v>#N/A</v>
      </c>
      <c r="B1356" s="6" t="s">
        <v>9500</v>
      </c>
      <c r="C1356" s="6" t="s">
        <v>11946</v>
      </c>
      <c r="D1356" s="24">
        <v>30978.126400000001</v>
      </c>
      <c r="E1356" s="6" t="s">
        <v>5889</v>
      </c>
      <c r="F1356" s="6">
        <v>21</v>
      </c>
      <c r="G1356" s="8">
        <f t="shared" si="21"/>
        <v>30978.126400000001</v>
      </c>
    </row>
    <row r="1357" spans="1:7" x14ac:dyDescent="0.3">
      <c r="A1357" s="14" t="e">
        <f>VLOOKUP(B1357,'Relacion codigos'!$A:$B,2,FALSE)</f>
        <v>#N/A</v>
      </c>
      <c r="B1357" s="6" t="s">
        <v>9501</v>
      </c>
      <c r="C1357" s="6" t="s">
        <v>11947</v>
      </c>
      <c r="D1357" s="24">
        <v>30978.126400000001</v>
      </c>
      <c r="E1357" s="6" t="s">
        <v>5889</v>
      </c>
      <c r="F1357" s="6">
        <v>21</v>
      </c>
      <c r="G1357" s="8">
        <f t="shared" si="21"/>
        <v>30978.126400000001</v>
      </c>
    </row>
    <row r="1358" spans="1:7" x14ac:dyDescent="0.3">
      <c r="A1358" s="14" t="str">
        <f>VLOOKUP(B1358,'Relacion codigos'!$A:$B,2,FALSE)</f>
        <v>8356</v>
      </c>
      <c r="B1358" s="6" t="s">
        <v>3705</v>
      </c>
      <c r="C1358" s="6" t="s">
        <v>11948</v>
      </c>
      <c r="D1358" s="24">
        <v>36808.085599999999</v>
      </c>
      <c r="E1358" s="6" t="s">
        <v>5889</v>
      </c>
      <c r="F1358" s="6">
        <v>21</v>
      </c>
      <c r="G1358" s="8">
        <f t="shared" si="21"/>
        <v>36808.085599999999</v>
      </c>
    </row>
    <row r="1359" spans="1:7" x14ac:dyDescent="0.3">
      <c r="A1359" s="14" t="e">
        <f>VLOOKUP(B1359,'Relacion codigos'!$A:$B,2,FALSE)</f>
        <v>#N/A</v>
      </c>
      <c r="B1359" s="6" t="s">
        <v>12056</v>
      </c>
      <c r="C1359" s="6" t="s">
        <v>12057</v>
      </c>
      <c r="D1359" s="24">
        <v>99151.592799999999</v>
      </c>
      <c r="E1359" s="6" t="s">
        <v>5889</v>
      </c>
      <c r="F1359" s="6">
        <v>21</v>
      </c>
      <c r="G1359" s="8">
        <f t="shared" si="21"/>
        <v>99151.592799999999</v>
      </c>
    </row>
    <row r="1360" spans="1:7" x14ac:dyDescent="0.3">
      <c r="A1360" s="14" t="str">
        <f>VLOOKUP(B1360,'Relacion codigos'!$A:$B,2,FALSE)</f>
        <v>8866</v>
      </c>
      <c r="B1360" s="6" t="s">
        <v>3694</v>
      </c>
      <c r="C1360" s="6" t="s">
        <v>11709</v>
      </c>
      <c r="D1360" s="24">
        <v>25266.124</v>
      </c>
      <c r="E1360" s="6" t="s">
        <v>5889</v>
      </c>
      <c r="F1360" s="6">
        <v>21</v>
      </c>
      <c r="G1360" s="8">
        <f t="shared" si="21"/>
        <v>25266.124</v>
      </c>
    </row>
    <row r="1361" spans="1:7" x14ac:dyDescent="0.3">
      <c r="A1361" s="14" t="str">
        <f>VLOOKUP(B1361,'Relacion codigos'!$A:$B,2,FALSE)</f>
        <v>9290</v>
      </c>
      <c r="B1361" s="6" t="s">
        <v>3700</v>
      </c>
      <c r="C1361" s="6" t="s">
        <v>11710</v>
      </c>
      <c r="D1361" s="24">
        <v>25266.124</v>
      </c>
      <c r="E1361" s="6" t="s">
        <v>5889</v>
      </c>
      <c r="F1361" s="6">
        <v>21</v>
      </c>
      <c r="G1361" s="8">
        <f t="shared" si="21"/>
        <v>25266.124</v>
      </c>
    </row>
    <row r="1362" spans="1:7" x14ac:dyDescent="0.3">
      <c r="A1362" s="14" t="str">
        <f>VLOOKUP(B1362,'Relacion codigos'!$A:$B,2,FALSE)</f>
        <v>NUEVO</v>
      </c>
      <c r="B1362" s="6" t="s">
        <v>5857</v>
      </c>
      <c r="C1362" s="6" t="s">
        <v>11711</v>
      </c>
      <c r="D1362" s="24">
        <v>25266.124</v>
      </c>
      <c r="E1362" s="6" t="s">
        <v>5889</v>
      </c>
      <c r="F1362" s="6">
        <v>21</v>
      </c>
      <c r="G1362" s="8">
        <f t="shared" si="21"/>
        <v>25266.124</v>
      </c>
    </row>
    <row r="1363" spans="1:7" x14ac:dyDescent="0.3">
      <c r="A1363" s="14" t="str">
        <f>VLOOKUP(B1363,'Relacion codigos'!$A:$B,2,FALSE)</f>
        <v>8084</v>
      </c>
      <c r="B1363" s="6" t="s">
        <v>3728</v>
      </c>
      <c r="C1363" s="6" t="s">
        <v>11712</v>
      </c>
      <c r="D1363" s="24">
        <v>25266.124</v>
      </c>
      <c r="E1363" s="6" t="s">
        <v>5889</v>
      </c>
      <c r="F1363" s="6">
        <v>21</v>
      </c>
      <c r="G1363" s="8">
        <f t="shared" si="21"/>
        <v>25266.124</v>
      </c>
    </row>
    <row r="1364" spans="1:7" x14ac:dyDescent="0.3">
      <c r="A1364" s="14" t="str">
        <f>VLOOKUP(B1364,'Relacion codigos'!$A:$B,2,FALSE)</f>
        <v>8083</v>
      </c>
      <c r="B1364" s="6" t="s">
        <v>3729</v>
      </c>
      <c r="C1364" s="6" t="s">
        <v>11713</v>
      </c>
      <c r="D1364" s="24">
        <v>99151.592799999999</v>
      </c>
      <c r="E1364" s="6" t="s">
        <v>5889</v>
      </c>
      <c r="F1364" s="6">
        <v>21</v>
      </c>
      <c r="G1364" s="8">
        <f t="shared" si="21"/>
        <v>99151.592799999999</v>
      </c>
    </row>
    <row r="1365" spans="1:7" x14ac:dyDescent="0.3">
      <c r="A1365" s="14" t="str">
        <f>VLOOKUP(B1365,'Relacion codigos'!$A:$B,2,FALSE)</f>
        <v>8087</v>
      </c>
      <c r="B1365" s="6" t="s">
        <v>3730</v>
      </c>
      <c r="C1365" s="6" t="s">
        <v>11714</v>
      </c>
      <c r="D1365" s="24">
        <v>106632.9472</v>
      </c>
      <c r="E1365" s="6" t="s">
        <v>5889</v>
      </c>
      <c r="F1365" s="6">
        <v>21</v>
      </c>
      <c r="G1365" s="8">
        <f t="shared" si="21"/>
        <v>106632.9472</v>
      </c>
    </row>
    <row r="1366" spans="1:7" x14ac:dyDescent="0.3">
      <c r="A1366" s="14" t="str">
        <f>VLOOKUP(B1366,'Relacion codigos'!$A:$B,2,FALSE)</f>
        <v>8719</v>
      </c>
      <c r="B1366" s="6" t="s">
        <v>3725</v>
      </c>
      <c r="C1366" s="6" t="s">
        <v>11715</v>
      </c>
      <c r="D1366" s="24">
        <v>37671.618399999999</v>
      </c>
      <c r="E1366" s="6" t="s">
        <v>5889</v>
      </c>
      <c r="F1366" s="6">
        <v>21</v>
      </c>
      <c r="G1366" s="8">
        <f t="shared" si="21"/>
        <v>37671.618399999999</v>
      </c>
    </row>
    <row r="1367" spans="1:7" x14ac:dyDescent="0.3">
      <c r="A1367" s="14" t="str">
        <f>VLOOKUP(B1367,'Relacion codigos'!$A:$B,2,FALSE)</f>
        <v>NUEVO</v>
      </c>
      <c r="B1367" s="6" t="s">
        <v>5858</v>
      </c>
      <c r="C1367" s="6" t="s">
        <v>11716</v>
      </c>
      <c r="D1367" s="24">
        <v>32896.5936</v>
      </c>
      <c r="E1367" s="6" t="s">
        <v>5889</v>
      </c>
      <c r="F1367" s="6">
        <v>21</v>
      </c>
      <c r="G1367" s="8">
        <f t="shared" si="21"/>
        <v>32896.5936</v>
      </c>
    </row>
    <row r="1368" spans="1:7" x14ac:dyDescent="0.3">
      <c r="A1368" s="14" t="str">
        <f>VLOOKUP(B1368,'Relacion codigos'!$A:$B,2,FALSE)</f>
        <v>9289</v>
      </c>
      <c r="B1368" s="6" t="s">
        <v>3738</v>
      </c>
      <c r="C1368" s="6" t="s">
        <v>11717</v>
      </c>
      <c r="D1368" s="24">
        <v>16615.216799999998</v>
      </c>
      <c r="E1368" s="6" t="s">
        <v>5889</v>
      </c>
      <c r="F1368" s="6">
        <v>21</v>
      </c>
      <c r="G1368" s="8">
        <f t="shared" si="21"/>
        <v>16615.216799999998</v>
      </c>
    </row>
    <row r="1369" spans="1:7" x14ac:dyDescent="0.3">
      <c r="A1369" s="14" t="str">
        <f>VLOOKUP(B1369,'Relacion codigos'!$A:$B,2,FALSE)</f>
        <v>9288</v>
      </c>
      <c r="B1369" s="6" t="s">
        <v>3737</v>
      </c>
      <c r="C1369" s="6" t="s">
        <v>11718</v>
      </c>
      <c r="D1369" s="24">
        <v>16615.216799999998</v>
      </c>
      <c r="E1369" s="6" t="s">
        <v>5889</v>
      </c>
      <c r="F1369" s="6">
        <v>21</v>
      </c>
      <c r="G1369" s="8">
        <f t="shared" si="21"/>
        <v>16615.216799999998</v>
      </c>
    </row>
    <row r="1370" spans="1:7" x14ac:dyDescent="0.3">
      <c r="A1370" s="14" t="str">
        <f>VLOOKUP(B1370,'Relacion codigos'!$A:$B,2,FALSE)</f>
        <v>407</v>
      </c>
      <c r="B1370" s="6" t="s">
        <v>3706</v>
      </c>
      <c r="C1370" s="6" t="s">
        <v>1234</v>
      </c>
      <c r="D1370" s="24">
        <v>27017.393</v>
      </c>
      <c r="E1370" s="6" t="s">
        <v>5889</v>
      </c>
      <c r="F1370" s="6">
        <v>21</v>
      </c>
      <c r="G1370" s="8">
        <f t="shared" si="21"/>
        <v>27017.393</v>
      </c>
    </row>
    <row r="1371" spans="1:7" x14ac:dyDescent="0.3">
      <c r="A1371" s="14" t="str">
        <f>VLOOKUP(B1371,'Relacion codigos'!$A:$B,2,FALSE)</f>
        <v>8100</v>
      </c>
      <c r="B1371" s="6" t="s">
        <v>3708</v>
      </c>
      <c r="C1371" s="6" t="s">
        <v>1170</v>
      </c>
      <c r="D1371" s="24">
        <v>11290.10758512</v>
      </c>
      <c r="E1371" s="6" t="s">
        <v>5889</v>
      </c>
      <c r="F1371" s="6">
        <v>21</v>
      </c>
      <c r="G1371" s="8">
        <f t="shared" si="21"/>
        <v>11290.10758512</v>
      </c>
    </row>
    <row r="1372" spans="1:7" x14ac:dyDescent="0.3">
      <c r="A1372" s="14" t="str">
        <f>VLOOKUP(B1372,'Relacion codigos'!$A:$B,2,FALSE)</f>
        <v>8138</v>
      </c>
      <c r="B1372" s="6" t="s">
        <v>3709</v>
      </c>
      <c r="C1372" s="6" t="s">
        <v>10410</v>
      </c>
      <c r="D1372" s="24">
        <v>9320.5697644800002</v>
      </c>
      <c r="E1372" s="6" t="s">
        <v>5889</v>
      </c>
      <c r="F1372" s="6">
        <v>21</v>
      </c>
      <c r="G1372" s="8">
        <f t="shared" si="21"/>
        <v>9320.5697644800002</v>
      </c>
    </row>
    <row r="1373" spans="1:7" x14ac:dyDescent="0.3">
      <c r="A1373" s="14" t="str">
        <f>VLOOKUP(B1373,'Relacion codigos'!$A:$B,2,FALSE)</f>
        <v>8137</v>
      </c>
      <c r="B1373" s="6" t="s">
        <v>3707</v>
      </c>
      <c r="C1373" s="6" t="s">
        <v>11478</v>
      </c>
      <c r="D1373" s="24">
        <v>9320.5697644800002</v>
      </c>
      <c r="E1373" s="6" t="s">
        <v>5889</v>
      </c>
      <c r="F1373" s="6">
        <v>21</v>
      </c>
      <c r="G1373" s="8">
        <f t="shared" si="21"/>
        <v>9320.5697644800002</v>
      </c>
    </row>
    <row r="1374" spans="1:7" x14ac:dyDescent="0.3">
      <c r="A1374" s="14" t="e">
        <f>VLOOKUP(B1374,'Relacion codigos'!$A:$B,2,FALSE)</f>
        <v>#N/A</v>
      </c>
      <c r="B1374" s="6" t="s">
        <v>13260</v>
      </c>
      <c r="C1374" s="6" t="s">
        <v>13261</v>
      </c>
      <c r="D1374" s="24">
        <v>11954.254000000001</v>
      </c>
      <c r="E1374" s="6" t="s">
        <v>5889</v>
      </c>
      <c r="F1374" s="6">
        <v>21</v>
      </c>
      <c r="G1374" s="8">
        <f t="shared" si="21"/>
        <v>11954.254000000001</v>
      </c>
    </row>
    <row r="1375" spans="1:7" x14ac:dyDescent="0.3">
      <c r="A1375" s="14" t="e">
        <f>VLOOKUP(B1375,'Relacion codigos'!$A:$B,2,FALSE)</f>
        <v>#N/A</v>
      </c>
      <c r="B1375" s="6" t="s">
        <v>13262</v>
      </c>
      <c r="C1375" s="6" t="s">
        <v>13263</v>
      </c>
      <c r="D1375" s="24">
        <v>11954.254000000001</v>
      </c>
      <c r="E1375" s="6" t="s">
        <v>5889</v>
      </c>
      <c r="F1375" s="6">
        <v>21</v>
      </c>
      <c r="G1375" s="8">
        <f t="shared" si="21"/>
        <v>11954.254000000001</v>
      </c>
    </row>
    <row r="1376" spans="1:7" x14ac:dyDescent="0.3">
      <c r="A1376" s="14" t="str">
        <f>VLOOKUP(B1376,'Relacion codigos'!$A:$B,2,FALSE)</f>
        <v>8140</v>
      </c>
      <c r="B1376" s="6" t="s">
        <v>3713</v>
      </c>
      <c r="C1376" s="6" t="s">
        <v>11479</v>
      </c>
      <c r="D1376" s="24">
        <v>19638.35788928</v>
      </c>
      <c r="E1376" s="6" t="s">
        <v>5889</v>
      </c>
      <c r="F1376" s="6">
        <v>21</v>
      </c>
      <c r="G1376" s="8">
        <f t="shared" si="21"/>
        <v>19638.35788928</v>
      </c>
    </row>
    <row r="1377" spans="1:7" x14ac:dyDescent="0.3">
      <c r="A1377" s="14" t="str">
        <f>VLOOKUP(B1377,'Relacion codigos'!$A:$B,2,FALSE)</f>
        <v>8102</v>
      </c>
      <c r="B1377" s="6" t="s">
        <v>3712</v>
      </c>
      <c r="C1377" s="6" t="s">
        <v>11480</v>
      </c>
      <c r="D1377" s="24">
        <v>19638.35788928</v>
      </c>
      <c r="E1377" s="6" t="s">
        <v>5889</v>
      </c>
      <c r="F1377" s="6">
        <v>21</v>
      </c>
      <c r="G1377" s="8">
        <f t="shared" si="21"/>
        <v>19638.35788928</v>
      </c>
    </row>
    <row r="1378" spans="1:7" x14ac:dyDescent="0.3">
      <c r="A1378" s="14" t="str">
        <f>VLOOKUP(B1378,'Relacion codigos'!$A:$B,2,FALSE)</f>
        <v>8104</v>
      </c>
      <c r="B1378" s="6" t="s">
        <v>3715</v>
      </c>
      <c r="C1378" s="6" t="s">
        <v>10411</v>
      </c>
      <c r="D1378" s="24">
        <v>28631.00151808</v>
      </c>
      <c r="E1378" s="6" t="s">
        <v>5889</v>
      </c>
      <c r="F1378" s="6">
        <v>21</v>
      </c>
      <c r="G1378" s="8">
        <f t="shared" si="21"/>
        <v>28631.00151808</v>
      </c>
    </row>
    <row r="1379" spans="1:7" x14ac:dyDescent="0.3">
      <c r="A1379" s="14" t="str">
        <f>VLOOKUP(B1379,'Relacion codigos'!$A:$B,2,FALSE)</f>
        <v>585</v>
      </c>
      <c r="B1379" s="6" t="s">
        <v>3718</v>
      </c>
      <c r="C1379" s="6" t="s">
        <v>1235</v>
      </c>
      <c r="D1379" s="24">
        <v>30326.581999999999</v>
      </c>
      <c r="E1379" s="6" t="s">
        <v>5889</v>
      </c>
      <c r="F1379" s="6">
        <v>21</v>
      </c>
      <c r="G1379" s="8">
        <f t="shared" si="21"/>
        <v>30326.581999999999</v>
      </c>
    </row>
    <row r="1380" spans="1:7" x14ac:dyDescent="0.3">
      <c r="A1380" s="14" t="str">
        <f>VLOOKUP(B1380,'Relacion codigos'!$A:$B,2,FALSE)</f>
        <v>6761</v>
      </c>
      <c r="B1380" s="6" t="s">
        <v>3719</v>
      </c>
      <c r="C1380" s="6" t="s">
        <v>185</v>
      </c>
      <c r="D1380" s="24">
        <v>9707.3320564999995</v>
      </c>
      <c r="E1380" s="6" t="s">
        <v>5889</v>
      </c>
      <c r="F1380" s="6">
        <v>21</v>
      </c>
      <c r="G1380" s="8">
        <f t="shared" si="21"/>
        <v>9707.3320564999995</v>
      </c>
    </row>
    <row r="1381" spans="1:7" x14ac:dyDescent="0.3">
      <c r="A1381" s="14" t="str">
        <f>VLOOKUP(B1381,'Relacion codigos'!$A:$B,2,FALSE)</f>
        <v>7256</v>
      </c>
      <c r="B1381" s="6" t="s">
        <v>3720</v>
      </c>
      <c r="C1381" s="6" t="s">
        <v>186</v>
      </c>
      <c r="D1381" s="24">
        <v>17417.43432</v>
      </c>
      <c r="E1381" s="6" t="s">
        <v>5889</v>
      </c>
      <c r="F1381" s="6">
        <v>21</v>
      </c>
      <c r="G1381" s="8">
        <f t="shared" si="21"/>
        <v>17417.43432</v>
      </c>
    </row>
    <row r="1382" spans="1:7" x14ac:dyDescent="0.3">
      <c r="A1382" s="14" t="str">
        <f>VLOOKUP(B1382,'Relacion codigos'!$A:$B,2,FALSE)</f>
        <v>7025</v>
      </c>
      <c r="B1382" s="6" t="s">
        <v>3721</v>
      </c>
      <c r="C1382" s="6" t="s">
        <v>187</v>
      </c>
      <c r="D1382" s="24">
        <v>4895.8748800000003</v>
      </c>
      <c r="E1382" s="6" t="s">
        <v>5889</v>
      </c>
      <c r="F1382" s="6">
        <v>21</v>
      </c>
      <c r="G1382" s="8">
        <f t="shared" si="21"/>
        <v>4895.8748800000003</v>
      </c>
    </row>
    <row r="1383" spans="1:7" x14ac:dyDescent="0.3">
      <c r="A1383" s="14" t="str">
        <f>VLOOKUP(B1383,'Relacion codigos'!$A:$B,2,FALSE)</f>
        <v>7027</v>
      </c>
      <c r="B1383" s="6" t="s">
        <v>3723</v>
      </c>
      <c r="C1383" s="6" t="s">
        <v>188</v>
      </c>
      <c r="D1383" s="24">
        <v>4895.8748800000003</v>
      </c>
      <c r="E1383" s="6" t="s">
        <v>5889</v>
      </c>
      <c r="F1383" s="6">
        <v>21</v>
      </c>
      <c r="G1383" s="8">
        <f t="shared" si="21"/>
        <v>4895.8748800000003</v>
      </c>
    </row>
    <row r="1384" spans="1:7" x14ac:dyDescent="0.3">
      <c r="A1384" s="14" t="str">
        <f>VLOOKUP(B1384,'Relacion codigos'!$A:$B,2,FALSE)</f>
        <v>7028</v>
      </c>
      <c r="B1384" s="6" t="s">
        <v>3724</v>
      </c>
      <c r="C1384" s="6" t="s">
        <v>189</v>
      </c>
      <c r="D1384" s="24">
        <v>5655.132756</v>
      </c>
      <c r="E1384" s="6" t="s">
        <v>5889</v>
      </c>
      <c r="F1384" s="6">
        <v>21</v>
      </c>
      <c r="G1384" s="8">
        <f t="shared" si="21"/>
        <v>5655.132756</v>
      </c>
    </row>
    <row r="1385" spans="1:7" x14ac:dyDescent="0.3">
      <c r="A1385" s="14" t="e">
        <f>VLOOKUP(B1385,'Relacion codigos'!$A:$B,2,FALSE)</f>
        <v>#N/A</v>
      </c>
      <c r="B1385" s="6" t="s">
        <v>9502</v>
      </c>
      <c r="C1385" s="6" t="s">
        <v>11719</v>
      </c>
      <c r="D1385" s="24">
        <v>11479.6448</v>
      </c>
      <c r="E1385" s="6" t="s">
        <v>5889</v>
      </c>
      <c r="F1385" s="6">
        <v>21</v>
      </c>
      <c r="G1385" s="8">
        <f t="shared" si="21"/>
        <v>11479.6448</v>
      </c>
    </row>
    <row r="1386" spans="1:7" x14ac:dyDescent="0.3">
      <c r="A1386" s="14" t="str">
        <f>VLOOKUP(B1386,'Relacion codigos'!$A:$B,2,FALSE)</f>
        <v>8800</v>
      </c>
      <c r="B1386" s="6" t="s">
        <v>3772</v>
      </c>
      <c r="C1386" s="6" t="s">
        <v>11720</v>
      </c>
      <c r="D1386" s="24">
        <v>19203.589599999999</v>
      </c>
      <c r="E1386" s="6" t="s">
        <v>5889</v>
      </c>
      <c r="F1386" s="6">
        <v>21</v>
      </c>
      <c r="G1386" s="8">
        <f t="shared" si="21"/>
        <v>19203.589599999999</v>
      </c>
    </row>
    <row r="1387" spans="1:7" x14ac:dyDescent="0.3">
      <c r="A1387" s="14" t="str">
        <f>VLOOKUP(B1387,'Relacion codigos'!$A:$B,2,FALSE)</f>
        <v>8869</v>
      </c>
      <c r="B1387" s="6" t="s">
        <v>3773</v>
      </c>
      <c r="C1387" s="6" t="s">
        <v>11721</v>
      </c>
      <c r="D1387" s="24">
        <v>11479.6448</v>
      </c>
      <c r="E1387" s="6" t="s">
        <v>5889</v>
      </c>
      <c r="F1387" s="6">
        <v>21</v>
      </c>
      <c r="G1387" s="8">
        <f t="shared" si="21"/>
        <v>11479.6448</v>
      </c>
    </row>
    <row r="1388" spans="1:7" x14ac:dyDescent="0.3">
      <c r="A1388" s="14" t="e">
        <f>VLOOKUP(B1388,'Relacion codigos'!$A:$B,2,FALSE)</f>
        <v>#N/A</v>
      </c>
      <c r="B1388" s="6" t="s">
        <v>9572</v>
      </c>
      <c r="C1388" s="6" t="s">
        <v>11722</v>
      </c>
      <c r="D1388" s="24">
        <v>15465.6944</v>
      </c>
      <c r="E1388" s="6" t="s">
        <v>5889</v>
      </c>
      <c r="F1388" s="6">
        <v>21</v>
      </c>
      <c r="G1388" s="8">
        <f t="shared" si="21"/>
        <v>15465.6944</v>
      </c>
    </row>
    <row r="1389" spans="1:7" x14ac:dyDescent="0.3">
      <c r="A1389" s="14" t="e">
        <f>VLOOKUP(B1389,'Relacion codigos'!$A:$B,2,FALSE)</f>
        <v>#N/A</v>
      </c>
      <c r="B1389" s="6" t="s">
        <v>12044</v>
      </c>
      <c r="C1389" s="6" t="s">
        <v>12045</v>
      </c>
      <c r="D1389" s="24">
        <v>21804.2032</v>
      </c>
      <c r="E1389" s="6" t="s">
        <v>5889</v>
      </c>
      <c r="F1389" s="6">
        <v>21</v>
      </c>
      <c r="G1389" s="8">
        <f t="shared" si="21"/>
        <v>21804.2032</v>
      </c>
    </row>
    <row r="1390" spans="1:7" x14ac:dyDescent="0.3">
      <c r="A1390" s="14" t="str">
        <f>VLOOKUP(B1390,'Relacion codigos'!$A:$B,2,FALSE)</f>
        <v>8244</v>
      </c>
      <c r="B1390" s="6" t="s">
        <v>3692</v>
      </c>
      <c r="C1390" s="6" t="s">
        <v>11723</v>
      </c>
      <c r="D1390" s="24">
        <v>13057.5952</v>
      </c>
      <c r="E1390" s="6" t="s">
        <v>5889</v>
      </c>
      <c r="F1390" s="6">
        <v>21</v>
      </c>
      <c r="G1390" s="8">
        <f t="shared" si="21"/>
        <v>13057.5952</v>
      </c>
    </row>
    <row r="1391" spans="1:7" x14ac:dyDescent="0.3">
      <c r="A1391" s="14" t="str">
        <f>VLOOKUP(B1391,'Relacion codigos'!$A:$B,2,FALSE)</f>
        <v>8245</v>
      </c>
      <c r="B1391" s="6" t="s">
        <v>3693</v>
      </c>
      <c r="C1391" s="6" t="s">
        <v>11724</v>
      </c>
      <c r="D1391" s="24">
        <v>17578.901600000001</v>
      </c>
      <c r="E1391" s="6" t="s">
        <v>5889</v>
      </c>
      <c r="F1391" s="6">
        <v>21</v>
      </c>
      <c r="G1391" s="8">
        <f t="shared" si="21"/>
        <v>17578.901600000001</v>
      </c>
    </row>
    <row r="1392" spans="1:7" x14ac:dyDescent="0.3">
      <c r="A1392" s="14" t="str">
        <f>VLOOKUP(B1392,'Relacion codigos'!$A:$B,2,FALSE)</f>
        <v>8091</v>
      </c>
      <c r="B1392" s="6" t="s">
        <v>3774</v>
      </c>
      <c r="C1392" s="6" t="s">
        <v>11725</v>
      </c>
      <c r="D1392" s="24">
        <v>19203.589599999999</v>
      </c>
      <c r="E1392" s="6" t="s">
        <v>5889</v>
      </c>
      <c r="F1392" s="6">
        <v>21</v>
      </c>
      <c r="G1392" s="8">
        <f t="shared" si="21"/>
        <v>19203.589599999999</v>
      </c>
    </row>
    <row r="1393" spans="1:7" x14ac:dyDescent="0.3">
      <c r="A1393" s="14" t="e">
        <f>VLOOKUP(B1393,'Relacion codigos'!$A:$B,2,FALSE)</f>
        <v>#N/A</v>
      </c>
      <c r="B1393" s="6" t="s">
        <v>9573</v>
      </c>
      <c r="C1393" s="6" t="s">
        <v>11726</v>
      </c>
      <c r="D1393" s="24">
        <v>11479.6448</v>
      </c>
      <c r="E1393" s="6" t="s">
        <v>5889</v>
      </c>
      <c r="F1393" s="6">
        <v>21</v>
      </c>
      <c r="G1393" s="8">
        <f t="shared" si="21"/>
        <v>11479.6448</v>
      </c>
    </row>
    <row r="1394" spans="1:7" x14ac:dyDescent="0.3">
      <c r="A1394" s="14" t="str">
        <f>VLOOKUP(B1394,'Relacion codigos'!$A:$B,2,FALSE)</f>
        <v>8090</v>
      </c>
      <c r="B1394" s="6" t="s">
        <v>3775</v>
      </c>
      <c r="C1394" s="6" t="s">
        <v>11727</v>
      </c>
      <c r="D1394" s="24">
        <v>11479.6448</v>
      </c>
      <c r="E1394" s="6" t="s">
        <v>5889</v>
      </c>
      <c r="F1394" s="6">
        <v>21</v>
      </c>
      <c r="G1394" s="8">
        <f t="shared" si="21"/>
        <v>11479.6448</v>
      </c>
    </row>
    <row r="1395" spans="1:7" x14ac:dyDescent="0.3">
      <c r="A1395" s="14" t="e">
        <f>VLOOKUP(B1395,'Relacion codigos'!$A:$B,2,FALSE)</f>
        <v>#N/A</v>
      </c>
      <c r="B1395" s="6" t="s">
        <v>9503</v>
      </c>
      <c r="C1395" s="6" t="s">
        <v>11728</v>
      </c>
      <c r="D1395" s="24">
        <v>15465.6944</v>
      </c>
      <c r="E1395" s="6" t="s">
        <v>5889</v>
      </c>
      <c r="F1395" s="6">
        <v>21</v>
      </c>
      <c r="G1395" s="8">
        <f t="shared" si="21"/>
        <v>15465.6944</v>
      </c>
    </row>
    <row r="1396" spans="1:7" x14ac:dyDescent="0.3">
      <c r="A1396" s="14" t="str">
        <f>VLOOKUP(B1396,'Relacion codigos'!$A:$B,2,FALSE)</f>
        <v>8893</v>
      </c>
      <c r="B1396" s="6" t="s">
        <v>3778</v>
      </c>
      <c r="C1396" s="6" t="s">
        <v>11729</v>
      </c>
      <c r="D1396" s="24">
        <v>19203.589599999999</v>
      </c>
      <c r="E1396" s="6" t="s">
        <v>5889</v>
      </c>
      <c r="F1396" s="6">
        <v>21</v>
      </c>
      <c r="G1396" s="8">
        <f t="shared" si="21"/>
        <v>19203.589599999999</v>
      </c>
    </row>
    <row r="1397" spans="1:7" x14ac:dyDescent="0.3">
      <c r="A1397" s="14" t="str">
        <f>VLOOKUP(B1397,'Relacion codigos'!$A:$B,2,FALSE)</f>
        <v>8875</v>
      </c>
      <c r="B1397" s="6" t="s">
        <v>3776</v>
      </c>
      <c r="C1397" s="6" t="s">
        <v>11730</v>
      </c>
      <c r="D1397" s="24">
        <v>11479.6448</v>
      </c>
      <c r="E1397" s="6" t="s">
        <v>5889</v>
      </c>
      <c r="F1397" s="6">
        <v>21</v>
      </c>
      <c r="G1397" s="8">
        <f t="shared" si="21"/>
        <v>11479.6448</v>
      </c>
    </row>
    <row r="1398" spans="1:7" x14ac:dyDescent="0.3">
      <c r="A1398" s="14" t="str">
        <f>VLOOKUP(B1398,'Relacion codigos'!$A:$B,2,FALSE)</f>
        <v>8876</v>
      </c>
      <c r="B1398" s="6" t="s">
        <v>3777</v>
      </c>
      <c r="C1398" s="6" t="s">
        <v>11731</v>
      </c>
      <c r="D1398" s="24">
        <v>11479.6448</v>
      </c>
      <c r="E1398" s="6" t="s">
        <v>5889</v>
      </c>
      <c r="F1398" s="6">
        <v>21</v>
      </c>
      <c r="G1398" s="8">
        <f t="shared" si="21"/>
        <v>11479.6448</v>
      </c>
    </row>
    <row r="1399" spans="1:7" x14ac:dyDescent="0.3">
      <c r="A1399" s="14" t="e">
        <f>VLOOKUP(B1399,'Relacion codigos'!$A:$B,2,FALSE)</f>
        <v>#N/A</v>
      </c>
      <c r="B1399" s="6" t="s">
        <v>9504</v>
      </c>
      <c r="C1399" s="6" t="s">
        <v>11732</v>
      </c>
      <c r="D1399" s="24">
        <v>15465.6944</v>
      </c>
      <c r="E1399" s="6" t="s">
        <v>5889</v>
      </c>
      <c r="F1399" s="6">
        <v>21</v>
      </c>
      <c r="G1399" s="8">
        <f t="shared" si="21"/>
        <v>15465.6944</v>
      </c>
    </row>
    <row r="1400" spans="1:7" x14ac:dyDescent="0.3">
      <c r="A1400" s="14" t="str">
        <f>VLOOKUP(B1400,'Relacion codigos'!$A:$B,2,FALSE)</f>
        <v>8085</v>
      </c>
      <c r="B1400" s="6" t="s">
        <v>3727</v>
      </c>
      <c r="C1400" s="6" t="s">
        <v>10412</v>
      </c>
      <c r="D1400" s="24">
        <v>51829.764342720002</v>
      </c>
      <c r="E1400" s="6" t="s">
        <v>5889</v>
      </c>
      <c r="F1400" s="6">
        <v>21</v>
      </c>
      <c r="G1400" s="8">
        <f t="shared" si="21"/>
        <v>51829.764342720002</v>
      </c>
    </row>
    <row r="1401" spans="1:7" x14ac:dyDescent="0.3">
      <c r="A1401" s="14" t="e">
        <f>VLOOKUP(B1401,'Relacion codigos'!$A:$B,2,FALSE)</f>
        <v>#N/A</v>
      </c>
      <c r="B1401" s="6" t="s">
        <v>9685</v>
      </c>
      <c r="C1401" s="6" t="s">
        <v>10413</v>
      </c>
      <c r="D1401" s="24">
        <v>45690.455199999997</v>
      </c>
      <c r="E1401" s="6" t="s">
        <v>5889</v>
      </c>
      <c r="F1401" s="6">
        <v>21</v>
      </c>
      <c r="G1401" s="8">
        <f t="shared" si="21"/>
        <v>45690.455199999997</v>
      </c>
    </row>
    <row r="1402" spans="1:7" x14ac:dyDescent="0.3">
      <c r="A1402" s="14" t="e">
        <f>VLOOKUP(B1402,'Relacion codigos'!$A:$B,2,FALSE)</f>
        <v>#N/A</v>
      </c>
      <c r="B1402" s="6" t="s">
        <v>9751</v>
      </c>
      <c r="C1402" s="6" t="s">
        <v>10414</v>
      </c>
      <c r="D1402" s="24">
        <v>45690.455199999997</v>
      </c>
      <c r="E1402" s="6" t="s">
        <v>5889</v>
      </c>
      <c r="F1402" s="6">
        <v>21</v>
      </c>
      <c r="G1402" s="8">
        <f t="shared" si="21"/>
        <v>45690.455199999997</v>
      </c>
    </row>
    <row r="1403" spans="1:7" x14ac:dyDescent="0.3">
      <c r="A1403" s="14" t="e">
        <f>VLOOKUP(B1403,'Relacion codigos'!$A:$B,2,FALSE)</f>
        <v>#N/A</v>
      </c>
      <c r="B1403" s="6" t="s">
        <v>9686</v>
      </c>
      <c r="C1403" s="6" t="s">
        <v>11733</v>
      </c>
      <c r="D1403" s="24">
        <v>26658.236799999999</v>
      </c>
      <c r="E1403" s="6" t="s">
        <v>5889</v>
      </c>
      <c r="F1403" s="6">
        <v>21</v>
      </c>
      <c r="G1403" s="8">
        <f t="shared" si="21"/>
        <v>26658.236799999999</v>
      </c>
    </row>
    <row r="1404" spans="1:7" x14ac:dyDescent="0.3">
      <c r="A1404" s="14" t="e">
        <f>VLOOKUP(B1404,'Relacion codigos'!$A:$B,2,FALSE)</f>
        <v>#N/A</v>
      </c>
      <c r="B1404" s="6" t="s">
        <v>9749</v>
      </c>
      <c r="C1404" s="6" t="s">
        <v>11734</v>
      </c>
      <c r="D1404" s="24">
        <v>26658.236799999999</v>
      </c>
      <c r="E1404" s="6" t="s">
        <v>5889</v>
      </c>
      <c r="F1404" s="6">
        <v>21</v>
      </c>
      <c r="G1404" s="8">
        <f t="shared" si="21"/>
        <v>26658.236799999999</v>
      </c>
    </row>
    <row r="1405" spans="1:7" x14ac:dyDescent="0.3">
      <c r="A1405" s="14" t="str">
        <f>VLOOKUP(B1405,'Relacion codigos'!$A:$B,2,FALSE)</f>
        <v>8086</v>
      </c>
      <c r="B1405" s="6" t="s">
        <v>3672</v>
      </c>
      <c r="C1405" s="6" t="s">
        <v>10415</v>
      </c>
      <c r="D1405" s="24">
        <v>51829.252232159997</v>
      </c>
      <c r="E1405" s="6" t="s">
        <v>5889</v>
      </c>
      <c r="F1405" s="6">
        <v>21</v>
      </c>
      <c r="G1405" s="8">
        <f t="shared" si="21"/>
        <v>51829.252232159997</v>
      </c>
    </row>
    <row r="1406" spans="1:7" x14ac:dyDescent="0.3">
      <c r="A1406" s="14" t="str">
        <f>VLOOKUP(B1406,'Relacion codigos'!$A:$B,2,FALSE)</f>
        <v>8088</v>
      </c>
      <c r="B1406" s="6" t="s">
        <v>3735</v>
      </c>
      <c r="C1406" s="6" t="s">
        <v>10416</v>
      </c>
      <c r="D1406" s="24">
        <v>29017.996413119999</v>
      </c>
      <c r="E1406" s="6" t="s">
        <v>5889</v>
      </c>
      <c r="F1406" s="6">
        <v>21</v>
      </c>
      <c r="G1406" s="8">
        <f t="shared" si="21"/>
        <v>29017.996413119999</v>
      </c>
    </row>
    <row r="1407" spans="1:7" x14ac:dyDescent="0.3">
      <c r="A1407" s="14" t="str">
        <f>VLOOKUP(B1407,'Relacion codigos'!$A:$B,2,FALSE)</f>
        <v>8089</v>
      </c>
      <c r="B1407" s="6" t="s">
        <v>3736</v>
      </c>
      <c r="C1407" s="6" t="s">
        <v>10417</v>
      </c>
      <c r="D1407" s="24">
        <v>80159.531345919997</v>
      </c>
      <c r="E1407" s="6" t="s">
        <v>5889</v>
      </c>
      <c r="F1407" s="6">
        <v>21</v>
      </c>
      <c r="G1407" s="8">
        <f t="shared" si="21"/>
        <v>80159.531345919997</v>
      </c>
    </row>
    <row r="1408" spans="1:7" x14ac:dyDescent="0.3">
      <c r="A1408" s="14" t="e">
        <f>VLOOKUP(B1408,'Relacion codigos'!$A:$B,2,FALSE)</f>
        <v>#N/A</v>
      </c>
      <c r="B1408" s="6" t="s">
        <v>9390</v>
      </c>
      <c r="C1408" s="6" t="s">
        <v>13264</v>
      </c>
      <c r="D1408" s="24">
        <v>18080.774399999998</v>
      </c>
      <c r="E1408" s="6" t="s">
        <v>5889</v>
      </c>
      <c r="F1408" s="6">
        <v>21</v>
      </c>
      <c r="G1408" s="8">
        <f t="shared" si="21"/>
        <v>18080.774399999998</v>
      </c>
    </row>
    <row r="1409" spans="1:7" x14ac:dyDescent="0.3">
      <c r="A1409" s="14" t="e">
        <f>VLOOKUP(B1409,'Relacion codigos'!$A:$B,2,FALSE)</f>
        <v>#N/A</v>
      </c>
      <c r="B1409" s="6" t="s">
        <v>9391</v>
      </c>
      <c r="C1409" s="6" t="s">
        <v>11735</v>
      </c>
      <c r="D1409" s="24">
        <v>18080.774399999998</v>
      </c>
      <c r="E1409" s="6" t="s">
        <v>5889</v>
      </c>
      <c r="F1409" s="6">
        <v>21</v>
      </c>
      <c r="G1409" s="8">
        <f t="shared" si="21"/>
        <v>18080.774399999998</v>
      </c>
    </row>
    <row r="1410" spans="1:7" x14ac:dyDescent="0.3">
      <c r="A1410" s="14" t="str">
        <f>VLOOKUP(B1410,'Relacion codigos'!$A:$B,2,FALSE)</f>
        <v>3582</v>
      </c>
      <c r="B1410" s="6" t="s">
        <v>3744</v>
      </c>
      <c r="C1410" s="6" t="s">
        <v>190</v>
      </c>
      <c r="D1410" s="24">
        <v>8903.7909999999993</v>
      </c>
      <c r="E1410" s="6" t="s">
        <v>5889</v>
      </c>
      <c r="F1410" s="6">
        <v>21</v>
      </c>
      <c r="G1410" s="8">
        <f t="shared" ref="G1410:G1473" si="22">IF(E1410="Dolares",D1410*$G$1,D1410)</f>
        <v>8903.7909999999993</v>
      </c>
    </row>
    <row r="1411" spans="1:7" x14ac:dyDescent="0.3">
      <c r="A1411" s="14" t="str">
        <f>VLOOKUP(B1411,'Relacion codigos'!$A:$B,2,FALSE)</f>
        <v>3583</v>
      </c>
      <c r="B1411" s="6" t="s">
        <v>3745</v>
      </c>
      <c r="C1411" s="6" t="s">
        <v>191</v>
      </c>
      <c r="D1411" s="24">
        <v>14823.887000000001</v>
      </c>
      <c r="E1411" s="6" t="s">
        <v>5889</v>
      </c>
      <c r="F1411" s="6">
        <v>21</v>
      </c>
      <c r="G1411" s="8">
        <f t="shared" si="22"/>
        <v>14823.887000000001</v>
      </c>
    </row>
    <row r="1412" spans="1:7" x14ac:dyDescent="0.3">
      <c r="A1412" s="14" t="str">
        <f>VLOOKUP(B1412,'Relacion codigos'!$A:$B,2,FALSE)</f>
        <v>7100</v>
      </c>
      <c r="B1412" s="6" t="s">
        <v>3746</v>
      </c>
      <c r="C1412" s="6" t="s">
        <v>192</v>
      </c>
      <c r="D1412" s="24">
        <v>9624.3289999999997</v>
      </c>
      <c r="E1412" s="6" t="s">
        <v>5889</v>
      </c>
      <c r="F1412" s="6">
        <v>21</v>
      </c>
      <c r="G1412" s="8">
        <f t="shared" si="22"/>
        <v>9624.3289999999997</v>
      </c>
    </row>
    <row r="1413" spans="1:7" x14ac:dyDescent="0.3">
      <c r="A1413" s="14" t="str">
        <f>VLOOKUP(B1413,'Relacion codigos'!$A:$B,2,FALSE)</f>
        <v>3584</v>
      </c>
      <c r="B1413" s="6" t="s">
        <v>3747</v>
      </c>
      <c r="C1413" s="6" t="s">
        <v>193</v>
      </c>
      <c r="D1413" s="24">
        <v>9624.3289999999997</v>
      </c>
      <c r="E1413" s="6" t="s">
        <v>5889</v>
      </c>
      <c r="F1413" s="6">
        <v>21</v>
      </c>
      <c r="G1413" s="8">
        <f t="shared" si="22"/>
        <v>9624.3289999999997</v>
      </c>
    </row>
    <row r="1414" spans="1:7" x14ac:dyDescent="0.3">
      <c r="A1414" s="14" t="str">
        <f>VLOOKUP(B1414,'Relacion codigos'!$A:$B,2,FALSE)</f>
        <v>7008</v>
      </c>
      <c r="B1414" s="6" t="s">
        <v>3748</v>
      </c>
      <c r="C1414" s="6" t="s">
        <v>194</v>
      </c>
      <c r="D1414" s="24">
        <v>15814.279</v>
      </c>
      <c r="E1414" s="6" t="s">
        <v>5889</v>
      </c>
      <c r="F1414" s="6">
        <v>21</v>
      </c>
      <c r="G1414" s="8">
        <f t="shared" si="22"/>
        <v>15814.279</v>
      </c>
    </row>
    <row r="1415" spans="1:7" x14ac:dyDescent="0.3">
      <c r="A1415" s="14" t="str">
        <f>VLOOKUP(B1415,'Relacion codigos'!$A:$B,2,FALSE)</f>
        <v>6765</v>
      </c>
      <c r="B1415" s="6" t="s">
        <v>3755</v>
      </c>
      <c r="C1415" s="6" t="s">
        <v>195</v>
      </c>
      <c r="D1415" s="24">
        <v>6171.0129260000003</v>
      </c>
      <c r="E1415" s="6" t="s">
        <v>5889</v>
      </c>
      <c r="F1415" s="6">
        <v>21</v>
      </c>
      <c r="G1415" s="8">
        <f t="shared" si="22"/>
        <v>6171.0129260000003</v>
      </c>
    </row>
    <row r="1416" spans="1:7" x14ac:dyDescent="0.3">
      <c r="A1416" s="14" t="str">
        <f>VLOOKUP(B1416,'Relacion codigos'!$A:$B,2,FALSE)</f>
        <v>6763</v>
      </c>
      <c r="B1416" s="6" t="s">
        <v>3758</v>
      </c>
      <c r="C1416" s="6" t="s">
        <v>196</v>
      </c>
      <c r="D1416" s="24">
        <v>6933.2120715000001</v>
      </c>
      <c r="E1416" s="6" t="s">
        <v>5889</v>
      </c>
      <c r="F1416" s="6">
        <v>21</v>
      </c>
      <c r="G1416" s="8">
        <f t="shared" si="22"/>
        <v>6933.2120715000001</v>
      </c>
    </row>
    <row r="1417" spans="1:7" x14ac:dyDescent="0.3">
      <c r="A1417" s="14" t="str">
        <f>VLOOKUP(B1417,'Relacion codigos'!$A:$B,2,FALSE)</f>
        <v>6764</v>
      </c>
      <c r="B1417" s="6" t="s">
        <v>3759</v>
      </c>
      <c r="C1417" s="6" t="s">
        <v>197</v>
      </c>
      <c r="D1417" s="24">
        <v>6933.2120715000001</v>
      </c>
      <c r="E1417" s="6" t="s">
        <v>5889</v>
      </c>
      <c r="F1417" s="6">
        <v>21</v>
      </c>
      <c r="G1417" s="8">
        <f t="shared" si="22"/>
        <v>6933.2120715000001</v>
      </c>
    </row>
    <row r="1418" spans="1:7" x14ac:dyDescent="0.3">
      <c r="A1418" s="14" t="str">
        <f>VLOOKUP(B1418,'Relacion codigos'!$A:$B,2,FALSE)</f>
        <v>3587</v>
      </c>
      <c r="B1418" s="6" t="s">
        <v>3674</v>
      </c>
      <c r="C1418" s="6" t="s">
        <v>10649</v>
      </c>
      <c r="D1418" s="24">
        <v>7717.268</v>
      </c>
      <c r="E1418" s="6" t="s">
        <v>5889</v>
      </c>
      <c r="F1418" s="6">
        <v>21</v>
      </c>
      <c r="G1418" s="8">
        <f t="shared" si="22"/>
        <v>7717.268</v>
      </c>
    </row>
    <row r="1419" spans="1:7" x14ac:dyDescent="0.3">
      <c r="A1419" s="14" t="str">
        <f>VLOOKUP(B1419,'Relacion codigos'!$A:$B,2,FALSE)</f>
        <v>3588</v>
      </c>
      <c r="B1419" s="6" t="s">
        <v>3686</v>
      </c>
      <c r="C1419" s="6" t="s">
        <v>9179</v>
      </c>
      <c r="D1419" s="24">
        <v>7717.268</v>
      </c>
      <c r="E1419" s="6" t="s">
        <v>5889</v>
      </c>
      <c r="F1419" s="6">
        <v>21</v>
      </c>
      <c r="G1419" s="8">
        <f t="shared" si="22"/>
        <v>7717.268</v>
      </c>
    </row>
    <row r="1420" spans="1:7" x14ac:dyDescent="0.3">
      <c r="A1420" s="14" t="e">
        <f>VLOOKUP(B1420,'Relacion codigos'!$A:$B,2,FALSE)</f>
        <v>#N/A</v>
      </c>
      <c r="B1420" s="6" t="s">
        <v>9776</v>
      </c>
      <c r="C1420" s="6" t="s">
        <v>11736</v>
      </c>
      <c r="D1420" s="24">
        <v>18741.777600000001</v>
      </c>
      <c r="E1420" s="6" t="s">
        <v>5889</v>
      </c>
      <c r="F1420" s="6">
        <v>21</v>
      </c>
      <c r="G1420" s="8">
        <f t="shared" si="22"/>
        <v>18741.777600000001</v>
      </c>
    </row>
    <row r="1421" spans="1:7" x14ac:dyDescent="0.3">
      <c r="A1421" s="14" t="str">
        <f>VLOOKUP(B1421,'Relacion codigos'!$A:$B,2,FALSE)</f>
        <v>8759</v>
      </c>
      <c r="B1421" s="6" t="s">
        <v>3763</v>
      </c>
      <c r="C1421" s="6" t="s">
        <v>1171</v>
      </c>
      <c r="D1421" s="24">
        <v>26107.679</v>
      </c>
      <c r="E1421" s="6" t="s">
        <v>5889</v>
      </c>
      <c r="F1421" s="6">
        <v>21</v>
      </c>
      <c r="G1421" s="8">
        <f t="shared" si="22"/>
        <v>26107.679</v>
      </c>
    </row>
    <row r="1422" spans="1:7" x14ac:dyDescent="0.3">
      <c r="A1422" s="14" t="str">
        <f>VLOOKUP(B1422,'Relacion codigos'!$A:$B,2,FALSE)</f>
        <v>8939</v>
      </c>
      <c r="B1422" s="6" t="s">
        <v>3764</v>
      </c>
      <c r="C1422" s="6" t="s">
        <v>1172</v>
      </c>
      <c r="D1422" s="24">
        <v>26107.679</v>
      </c>
      <c r="E1422" s="6" t="s">
        <v>5889</v>
      </c>
      <c r="F1422" s="6">
        <v>21</v>
      </c>
      <c r="G1422" s="8">
        <f t="shared" si="22"/>
        <v>26107.679</v>
      </c>
    </row>
    <row r="1423" spans="1:7" x14ac:dyDescent="0.3">
      <c r="A1423" s="14" t="e">
        <f>VLOOKUP(B1423,'Relacion codigos'!$A:$B,2,FALSE)</f>
        <v>#N/A</v>
      </c>
      <c r="B1423" s="6" t="s">
        <v>9683</v>
      </c>
      <c r="C1423" s="6" t="s">
        <v>11738</v>
      </c>
      <c r="D1423" s="24">
        <v>22865.814399999999</v>
      </c>
      <c r="E1423" s="6" t="s">
        <v>5889</v>
      </c>
      <c r="F1423" s="6">
        <v>21</v>
      </c>
      <c r="G1423" s="8">
        <f t="shared" si="22"/>
        <v>22865.814399999999</v>
      </c>
    </row>
    <row r="1424" spans="1:7" x14ac:dyDescent="0.3">
      <c r="A1424" s="14" t="e">
        <f>VLOOKUP(B1424,'Relacion codigos'!$A:$B,2,FALSE)</f>
        <v>#N/A</v>
      </c>
      <c r="B1424" s="6" t="s">
        <v>9752</v>
      </c>
      <c r="C1424" s="6" t="s">
        <v>11739</v>
      </c>
      <c r="D1424" s="24">
        <v>22865.814399999999</v>
      </c>
      <c r="E1424" s="6" t="s">
        <v>5889</v>
      </c>
      <c r="F1424" s="6">
        <v>21</v>
      </c>
      <c r="G1424" s="8">
        <f t="shared" si="22"/>
        <v>22865.814399999999</v>
      </c>
    </row>
    <row r="1425" spans="1:7" x14ac:dyDescent="0.3">
      <c r="A1425" s="14" t="e">
        <f>VLOOKUP(B1425,'Relacion codigos'!$A:$B,2,FALSE)</f>
        <v>#N/A</v>
      </c>
      <c r="B1425" s="6" t="s">
        <v>9684</v>
      </c>
      <c r="C1425" s="6" t="s">
        <v>11740</v>
      </c>
      <c r="D1425" s="24">
        <v>22865.814399999999</v>
      </c>
      <c r="E1425" s="6" t="s">
        <v>5889</v>
      </c>
      <c r="F1425" s="6">
        <v>21</v>
      </c>
      <c r="G1425" s="8">
        <f t="shared" si="22"/>
        <v>22865.814399999999</v>
      </c>
    </row>
    <row r="1426" spans="1:7" x14ac:dyDescent="0.3">
      <c r="A1426" s="14" t="e">
        <f>VLOOKUP(B1426,'Relacion codigos'!$A:$B,2,FALSE)</f>
        <v>#N/A</v>
      </c>
      <c r="B1426" s="6" t="s">
        <v>9777</v>
      </c>
      <c r="C1426" s="6" t="s">
        <v>11657</v>
      </c>
      <c r="D1426" s="24">
        <v>25017.9696</v>
      </c>
      <c r="E1426" s="6" t="s">
        <v>5889</v>
      </c>
      <c r="F1426" s="6">
        <v>21</v>
      </c>
      <c r="G1426" s="8">
        <f t="shared" si="22"/>
        <v>25017.9696</v>
      </c>
    </row>
    <row r="1427" spans="1:7" x14ac:dyDescent="0.3">
      <c r="A1427" s="14" t="e">
        <f>VLOOKUP(B1427,'Relacion codigos'!$A:$B,2,FALSE)</f>
        <v>#N/A</v>
      </c>
      <c r="B1427" s="6" t="s">
        <v>9688</v>
      </c>
      <c r="C1427" s="6" t="s">
        <v>11658</v>
      </c>
      <c r="D1427" s="24">
        <v>25017.9696</v>
      </c>
      <c r="E1427" s="6" t="s">
        <v>5889</v>
      </c>
      <c r="F1427" s="6">
        <v>21</v>
      </c>
      <c r="G1427" s="8">
        <f t="shared" si="22"/>
        <v>25017.9696</v>
      </c>
    </row>
    <row r="1428" spans="1:7" x14ac:dyDescent="0.3">
      <c r="A1428" s="14" t="e">
        <f>VLOOKUP(B1428,'Relacion codigos'!$A:$B,2,FALSE)</f>
        <v>#N/A</v>
      </c>
      <c r="B1428" s="6" t="s">
        <v>9687</v>
      </c>
      <c r="C1428" s="6" t="s">
        <v>11659</v>
      </c>
      <c r="D1428" s="24">
        <v>25017.9696</v>
      </c>
      <c r="E1428" s="6" t="s">
        <v>5889</v>
      </c>
      <c r="F1428" s="6">
        <v>21</v>
      </c>
      <c r="G1428" s="8">
        <f t="shared" si="22"/>
        <v>25017.9696</v>
      </c>
    </row>
    <row r="1429" spans="1:7" x14ac:dyDescent="0.3">
      <c r="A1429" s="14" t="str">
        <f>VLOOKUP(B1429,'Relacion codigos'!$A:$B,2,FALSE)</f>
        <v>6766</v>
      </c>
      <c r="B1429" s="6" t="s">
        <v>3765</v>
      </c>
      <c r="C1429" s="6" t="s">
        <v>198</v>
      </c>
      <c r="D1429" s="24">
        <v>6171.0129260000003</v>
      </c>
      <c r="E1429" s="6" t="s">
        <v>5889</v>
      </c>
      <c r="F1429" s="6">
        <v>21</v>
      </c>
      <c r="G1429" s="8">
        <f t="shared" si="22"/>
        <v>6171.0129260000003</v>
      </c>
    </row>
    <row r="1430" spans="1:7" x14ac:dyDescent="0.3">
      <c r="A1430" s="14" t="str">
        <f>VLOOKUP(B1430,'Relacion codigos'!$A:$B,2,FALSE)</f>
        <v>2553</v>
      </c>
      <c r="B1430" s="6" t="s">
        <v>3766</v>
      </c>
      <c r="C1430" s="6" t="s">
        <v>199</v>
      </c>
      <c r="D1430" s="24">
        <v>4057.6762760625202</v>
      </c>
      <c r="E1430" s="6" t="s">
        <v>5889</v>
      </c>
      <c r="F1430" s="6">
        <v>21</v>
      </c>
      <c r="G1430" s="8">
        <f t="shared" si="22"/>
        <v>4057.6762760625202</v>
      </c>
    </row>
    <row r="1431" spans="1:7" x14ac:dyDescent="0.3">
      <c r="A1431" s="14" t="str">
        <f>VLOOKUP(B1431,'Relacion codigos'!$A:$B,2,FALSE)</f>
        <v>2554</v>
      </c>
      <c r="B1431" s="6" t="s">
        <v>3767</v>
      </c>
      <c r="C1431" s="6" t="s">
        <v>200</v>
      </c>
      <c r="D1431" s="24">
        <v>4057.6762760625202</v>
      </c>
      <c r="E1431" s="6" t="s">
        <v>5889</v>
      </c>
      <c r="F1431" s="6">
        <v>21</v>
      </c>
      <c r="G1431" s="8">
        <f t="shared" si="22"/>
        <v>4057.6762760625202</v>
      </c>
    </row>
    <row r="1432" spans="1:7" x14ac:dyDescent="0.3">
      <c r="A1432" s="14" t="str">
        <f>VLOOKUP(B1432,'Relacion codigos'!$A:$B,2,FALSE)</f>
        <v>2547</v>
      </c>
      <c r="B1432" s="6" t="s">
        <v>3768</v>
      </c>
      <c r="C1432" s="6" t="s">
        <v>201</v>
      </c>
      <c r="D1432" s="24">
        <v>11537.510399999999</v>
      </c>
      <c r="E1432" s="6" t="s">
        <v>5889</v>
      </c>
      <c r="F1432" s="6">
        <v>21</v>
      </c>
      <c r="G1432" s="8">
        <f t="shared" si="22"/>
        <v>11537.510399999999</v>
      </c>
    </row>
    <row r="1433" spans="1:7" x14ac:dyDescent="0.3">
      <c r="A1433" s="14" t="str">
        <f>VLOOKUP(B1433,'Relacion codigos'!$A:$B,2,FALSE)</f>
        <v>5194</v>
      </c>
      <c r="B1433" s="6" t="s">
        <v>3770</v>
      </c>
      <c r="C1433" s="6" t="s">
        <v>11660</v>
      </c>
      <c r="D1433" s="24">
        <v>4166.3231999999998</v>
      </c>
      <c r="E1433" s="6" t="s">
        <v>5889</v>
      </c>
      <c r="F1433" s="6">
        <v>21</v>
      </c>
      <c r="G1433" s="8">
        <f t="shared" si="22"/>
        <v>4166.3231999999998</v>
      </c>
    </row>
    <row r="1434" spans="1:7" x14ac:dyDescent="0.3">
      <c r="A1434" s="14" t="str">
        <f>VLOOKUP(B1434,'Relacion codigos'!$A:$B,2,FALSE)</f>
        <v>6907</v>
      </c>
      <c r="B1434" s="6" t="s">
        <v>3771</v>
      </c>
      <c r="C1434" s="6" t="s">
        <v>11661</v>
      </c>
      <c r="D1434" s="24">
        <v>869.76525157031199</v>
      </c>
      <c r="E1434" s="6" t="s">
        <v>5889</v>
      </c>
      <c r="F1434" s="6">
        <v>21</v>
      </c>
      <c r="G1434" s="8">
        <f t="shared" si="22"/>
        <v>869.76525157031199</v>
      </c>
    </row>
    <row r="1435" spans="1:7" x14ac:dyDescent="0.3">
      <c r="A1435" s="14" t="str">
        <f>VLOOKUP(B1435,'Relacion codigos'!$A:$B,2,FALSE)</f>
        <v>7039</v>
      </c>
      <c r="B1435" s="6" t="s">
        <v>3680</v>
      </c>
      <c r="C1435" s="6" t="s">
        <v>9180</v>
      </c>
      <c r="D1435" s="24">
        <v>15944.415396</v>
      </c>
      <c r="E1435" s="6" t="s">
        <v>5889</v>
      </c>
      <c r="F1435" s="6">
        <v>21</v>
      </c>
      <c r="G1435" s="8">
        <f t="shared" si="22"/>
        <v>15944.415396</v>
      </c>
    </row>
    <row r="1436" spans="1:7" x14ac:dyDescent="0.3">
      <c r="A1436" s="14" t="str">
        <f>VLOOKUP(B1436,'Relacion codigos'!$A:$B,2,FALSE)</f>
        <v>7439</v>
      </c>
      <c r="B1436" s="6" t="s">
        <v>3780</v>
      </c>
      <c r="C1436" s="6" t="s">
        <v>10650</v>
      </c>
      <c r="D1436" s="24">
        <v>26761.449000000001</v>
      </c>
      <c r="E1436" s="6" t="s">
        <v>5889</v>
      </c>
      <c r="F1436" s="6">
        <v>21</v>
      </c>
      <c r="G1436" s="8">
        <f t="shared" si="22"/>
        <v>26761.449000000001</v>
      </c>
    </row>
    <row r="1437" spans="1:7" x14ac:dyDescent="0.3">
      <c r="A1437" s="14" t="str">
        <f>VLOOKUP(B1437,'Relacion codigos'!$A:$B,2,FALSE)</f>
        <v>7428</v>
      </c>
      <c r="B1437" s="6" t="s">
        <v>3781</v>
      </c>
      <c r="C1437" s="6" t="s">
        <v>10651</v>
      </c>
      <c r="D1437" s="24">
        <v>26761.449000000001</v>
      </c>
      <c r="E1437" s="6" t="s">
        <v>5889</v>
      </c>
      <c r="F1437" s="6">
        <v>21</v>
      </c>
      <c r="G1437" s="8">
        <f t="shared" si="22"/>
        <v>26761.449000000001</v>
      </c>
    </row>
    <row r="1438" spans="1:7" x14ac:dyDescent="0.3">
      <c r="A1438" s="14" t="e">
        <f>VLOOKUP(B1438,'Relacion codigos'!$A:$B,2,FALSE)</f>
        <v>#N/A</v>
      </c>
      <c r="B1438" s="6" t="s">
        <v>9392</v>
      </c>
      <c r="C1438" s="6" t="s">
        <v>11741</v>
      </c>
      <c r="D1438" s="24">
        <v>55544.299200000001</v>
      </c>
      <c r="E1438" s="6" t="s">
        <v>5889</v>
      </c>
      <c r="F1438" s="6">
        <v>21</v>
      </c>
      <c r="G1438" s="8">
        <f t="shared" si="22"/>
        <v>55544.299200000001</v>
      </c>
    </row>
    <row r="1439" spans="1:7" x14ac:dyDescent="0.3">
      <c r="A1439" s="14" t="e">
        <f>VLOOKUP(B1439,'Relacion codigos'!$A:$B,2,FALSE)</f>
        <v>#N/A</v>
      </c>
      <c r="B1439" s="6" t="s">
        <v>12083</v>
      </c>
      <c r="C1439" s="6" t="s">
        <v>12084</v>
      </c>
      <c r="D1439" s="24">
        <v>43774.749134999998</v>
      </c>
      <c r="E1439" s="6" t="s">
        <v>5889</v>
      </c>
      <c r="F1439" s="6">
        <v>21</v>
      </c>
      <c r="G1439" s="8">
        <f t="shared" si="22"/>
        <v>43774.749134999998</v>
      </c>
    </row>
    <row r="1440" spans="1:7" x14ac:dyDescent="0.3">
      <c r="A1440" s="14" t="e">
        <f>VLOOKUP(B1440,'Relacion codigos'!$A:$B,2,FALSE)</f>
        <v>#N/A</v>
      </c>
      <c r="B1440" s="6" t="s">
        <v>12085</v>
      </c>
      <c r="C1440" s="6" t="s">
        <v>12086</v>
      </c>
      <c r="D1440" s="24">
        <v>41343.016844999998</v>
      </c>
      <c r="E1440" s="6" t="s">
        <v>5889</v>
      </c>
      <c r="F1440" s="6">
        <v>21</v>
      </c>
      <c r="G1440" s="8">
        <f t="shared" si="22"/>
        <v>41343.016844999998</v>
      </c>
    </row>
    <row r="1441" spans="1:7" x14ac:dyDescent="0.3">
      <c r="A1441" s="14" t="str">
        <f>VLOOKUP(B1441,'Relacion codigos'!$A:$B,2,FALSE)</f>
        <v>584</v>
      </c>
      <c r="B1441" s="6" t="s">
        <v>3782</v>
      </c>
      <c r="C1441" s="6" t="s">
        <v>8836</v>
      </c>
      <c r="D1441" s="24">
        <v>30174.197950000002</v>
      </c>
      <c r="E1441" s="6" t="s">
        <v>5889</v>
      </c>
      <c r="F1441" s="6">
        <v>21</v>
      </c>
      <c r="G1441" s="8">
        <f t="shared" si="22"/>
        <v>30174.197950000002</v>
      </c>
    </row>
    <row r="1442" spans="1:7" x14ac:dyDescent="0.3">
      <c r="A1442" s="14" t="str">
        <f>VLOOKUP(B1442,'Relacion codigos'!$A:$B,2,FALSE)</f>
        <v>8101</v>
      </c>
      <c r="B1442" s="6" t="s">
        <v>3710</v>
      </c>
      <c r="C1442" s="6" t="s">
        <v>11742</v>
      </c>
      <c r="D1442" s="24">
        <v>30209.1816</v>
      </c>
      <c r="E1442" s="6" t="s">
        <v>5889</v>
      </c>
      <c r="F1442" s="6">
        <v>21</v>
      </c>
      <c r="G1442" s="8">
        <f t="shared" si="22"/>
        <v>30209.1816</v>
      </c>
    </row>
    <row r="1443" spans="1:7" x14ac:dyDescent="0.3">
      <c r="A1443" s="14" t="str">
        <f>VLOOKUP(B1443,'Relacion codigos'!$A:$B,2,FALSE)</f>
        <v>8139</v>
      </c>
      <c r="B1443" s="6" t="s">
        <v>3711</v>
      </c>
      <c r="C1443" s="6" t="s">
        <v>11743</v>
      </c>
      <c r="D1443" s="24">
        <v>30209.1816</v>
      </c>
      <c r="E1443" s="6" t="s">
        <v>5889</v>
      </c>
      <c r="F1443" s="6">
        <v>21</v>
      </c>
      <c r="G1443" s="8">
        <f t="shared" si="22"/>
        <v>30209.1816</v>
      </c>
    </row>
    <row r="1444" spans="1:7" x14ac:dyDescent="0.3">
      <c r="A1444" s="14" t="e">
        <f>VLOOKUP(B1444,'Relacion codigos'!$A:$B,2,FALSE)</f>
        <v>#N/A</v>
      </c>
      <c r="B1444" s="6" t="s">
        <v>9775</v>
      </c>
      <c r="C1444" s="6" t="s">
        <v>11744</v>
      </c>
      <c r="D1444" s="24">
        <v>30209.1816</v>
      </c>
      <c r="E1444" s="6" t="s">
        <v>5889</v>
      </c>
      <c r="F1444" s="6">
        <v>21</v>
      </c>
      <c r="G1444" s="8">
        <f t="shared" si="22"/>
        <v>30209.1816</v>
      </c>
    </row>
    <row r="1445" spans="1:7" x14ac:dyDescent="0.3">
      <c r="A1445" s="14" t="e">
        <f>VLOOKUP(B1445,'Relacion codigos'!$A:$B,2,FALSE)</f>
        <v>#N/A</v>
      </c>
      <c r="B1445" s="6" t="s">
        <v>9509</v>
      </c>
      <c r="C1445" s="6" t="s">
        <v>11745</v>
      </c>
      <c r="D1445" s="24">
        <v>30209.1816</v>
      </c>
      <c r="E1445" s="6" t="s">
        <v>5889</v>
      </c>
      <c r="F1445" s="6">
        <v>21</v>
      </c>
      <c r="G1445" s="8">
        <f t="shared" si="22"/>
        <v>30209.1816</v>
      </c>
    </row>
    <row r="1446" spans="1:7" x14ac:dyDescent="0.3">
      <c r="A1446" s="14" t="e">
        <f>VLOOKUP(B1446,'Relacion codigos'!$A:$B,2,FALSE)</f>
        <v>#N/A</v>
      </c>
      <c r="B1446" s="6" t="s">
        <v>9682</v>
      </c>
      <c r="C1446" s="6" t="s">
        <v>13955</v>
      </c>
      <c r="D1446" s="24">
        <v>30209.1816</v>
      </c>
      <c r="E1446" s="6" t="s">
        <v>5889</v>
      </c>
      <c r="F1446" s="6">
        <v>21</v>
      </c>
      <c r="G1446" s="8">
        <f t="shared" si="22"/>
        <v>30209.1816</v>
      </c>
    </row>
    <row r="1447" spans="1:7" x14ac:dyDescent="0.3">
      <c r="A1447" s="14" t="str">
        <f>VLOOKUP(B1447,'Relacion codigos'!$A:$B,2,FALSE)</f>
        <v>7034</v>
      </c>
      <c r="B1447" s="6" t="s">
        <v>4124</v>
      </c>
      <c r="C1447" s="6" t="s">
        <v>11662</v>
      </c>
      <c r="D1447" s="24">
        <v>7310.8200256</v>
      </c>
      <c r="E1447" s="6" t="s">
        <v>5889</v>
      </c>
      <c r="F1447" s="6">
        <v>21</v>
      </c>
      <c r="G1447" s="8">
        <f t="shared" si="22"/>
        <v>7310.8200256</v>
      </c>
    </row>
    <row r="1448" spans="1:7" x14ac:dyDescent="0.3">
      <c r="A1448" s="14" t="str">
        <f>VLOOKUP(B1448,'Relacion codigos'!$A:$B,2,FALSE)</f>
        <v>7037</v>
      </c>
      <c r="B1448" s="6" t="s">
        <v>4123</v>
      </c>
      <c r="C1448" s="6" t="s">
        <v>12192</v>
      </c>
      <c r="D1448" s="24">
        <v>7310.8200256</v>
      </c>
      <c r="E1448" s="6" t="s">
        <v>5889</v>
      </c>
      <c r="F1448" s="6">
        <v>21</v>
      </c>
      <c r="G1448" s="8">
        <f t="shared" si="22"/>
        <v>7310.8200256</v>
      </c>
    </row>
    <row r="1449" spans="1:7" x14ac:dyDescent="0.3">
      <c r="A1449" s="14" t="str">
        <f>VLOOKUP(B1449,'Relacion codigos'!$A:$B,2,FALSE)</f>
        <v>7029</v>
      </c>
      <c r="B1449" s="6" t="s">
        <v>4129</v>
      </c>
      <c r="C1449" s="6" t="s">
        <v>13956</v>
      </c>
      <c r="D1449" s="24">
        <v>37701.793084800003</v>
      </c>
      <c r="E1449" s="6" t="s">
        <v>5889</v>
      </c>
      <c r="F1449" s="6">
        <v>21</v>
      </c>
      <c r="G1449" s="8">
        <f t="shared" si="22"/>
        <v>37701.793084800003</v>
      </c>
    </row>
    <row r="1450" spans="1:7" x14ac:dyDescent="0.3">
      <c r="A1450" s="14" t="str">
        <f>VLOOKUP(B1450,'Relacion codigos'!$A:$B,2,FALSE)</f>
        <v>7031</v>
      </c>
      <c r="B1450" s="6" t="s">
        <v>4130</v>
      </c>
      <c r="C1450" s="6" t="s">
        <v>13957</v>
      </c>
      <c r="D1450" s="24">
        <v>37701.793084800003</v>
      </c>
      <c r="E1450" s="6" t="s">
        <v>5889</v>
      </c>
      <c r="F1450" s="6">
        <v>21</v>
      </c>
      <c r="G1450" s="8">
        <f t="shared" si="22"/>
        <v>37701.793084800003</v>
      </c>
    </row>
    <row r="1451" spans="1:7" x14ac:dyDescent="0.3">
      <c r="A1451" s="14" t="str">
        <f>VLOOKUP(B1451,'Relacion codigos'!$A:$B,2,FALSE)</f>
        <v>7095</v>
      </c>
      <c r="B1451" s="6" t="s">
        <v>3681</v>
      </c>
      <c r="C1451" s="6" t="s">
        <v>11663</v>
      </c>
      <c r="D1451" s="24">
        <v>33784.94184</v>
      </c>
      <c r="E1451" s="6" t="s">
        <v>5889</v>
      </c>
      <c r="F1451" s="6">
        <v>21</v>
      </c>
      <c r="G1451" s="8">
        <f t="shared" si="22"/>
        <v>33784.94184</v>
      </c>
    </row>
    <row r="1452" spans="1:7" x14ac:dyDescent="0.3">
      <c r="A1452" s="14" t="str">
        <f>VLOOKUP(B1452,'Relacion codigos'!$A:$B,2,FALSE)</f>
        <v>7096</v>
      </c>
      <c r="B1452" s="6" t="s">
        <v>3682</v>
      </c>
      <c r="C1452" s="6" t="s">
        <v>11664</v>
      </c>
      <c r="D1452" s="24">
        <v>33784.94184</v>
      </c>
      <c r="E1452" s="6" t="s">
        <v>5889</v>
      </c>
      <c r="F1452" s="6">
        <v>21</v>
      </c>
      <c r="G1452" s="8">
        <f t="shared" si="22"/>
        <v>33784.94184</v>
      </c>
    </row>
    <row r="1453" spans="1:7" x14ac:dyDescent="0.3">
      <c r="A1453" s="14" t="str">
        <f>VLOOKUP(B1453,'Relacion codigos'!$A:$B,2,FALSE)</f>
        <v>8249</v>
      </c>
      <c r="B1453" s="6" t="s">
        <v>3690</v>
      </c>
      <c r="C1453" s="6" t="s">
        <v>11747</v>
      </c>
      <c r="D1453" s="24">
        <v>29949.8992</v>
      </c>
      <c r="E1453" s="6" t="s">
        <v>5889</v>
      </c>
      <c r="F1453" s="6">
        <v>21</v>
      </c>
      <c r="G1453" s="8">
        <f t="shared" si="22"/>
        <v>29949.8992</v>
      </c>
    </row>
    <row r="1454" spans="1:7" x14ac:dyDescent="0.3">
      <c r="A1454" s="14" t="str">
        <f>VLOOKUP(B1454,'Relacion codigos'!$A:$B,2,FALSE)</f>
        <v>8412</v>
      </c>
      <c r="B1454" s="6" t="s">
        <v>3717</v>
      </c>
      <c r="C1454" s="6" t="s">
        <v>11748</v>
      </c>
      <c r="D1454" s="24">
        <v>78999.897599999997</v>
      </c>
      <c r="E1454" s="6" t="s">
        <v>5889</v>
      </c>
      <c r="F1454" s="6">
        <v>21</v>
      </c>
      <c r="G1454" s="8">
        <f t="shared" si="22"/>
        <v>78999.897599999997</v>
      </c>
    </row>
    <row r="1455" spans="1:7" x14ac:dyDescent="0.3">
      <c r="A1455" s="14" t="str">
        <f>VLOOKUP(B1455,'Relacion codigos'!$A:$B,2,FALSE)</f>
        <v>8248</v>
      </c>
      <c r="B1455" s="6" t="s">
        <v>3731</v>
      </c>
      <c r="C1455" s="6" t="s">
        <v>11749</v>
      </c>
      <c r="D1455" s="24">
        <v>123410.63280000001</v>
      </c>
      <c r="E1455" s="6" t="s">
        <v>5889</v>
      </c>
      <c r="F1455" s="6">
        <v>21</v>
      </c>
      <c r="G1455" s="8">
        <f t="shared" si="22"/>
        <v>123410.63280000001</v>
      </c>
    </row>
    <row r="1456" spans="1:7" x14ac:dyDescent="0.3">
      <c r="A1456" s="14" t="str">
        <f>VLOOKUP(B1456,'Relacion codigos'!$A:$B,2,FALSE)</f>
        <v>8247</v>
      </c>
      <c r="B1456" s="6" t="s">
        <v>3726</v>
      </c>
      <c r="C1456" s="6" t="s">
        <v>11750</v>
      </c>
      <c r="D1456" s="24">
        <v>101290.3944</v>
      </c>
      <c r="E1456" s="6" t="s">
        <v>5889</v>
      </c>
      <c r="F1456" s="6">
        <v>21</v>
      </c>
      <c r="G1456" s="8">
        <f t="shared" si="22"/>
        <v>101290.3944</v>
      </c>
    </row>
    <row r="1457" spans="1:7" x14ac:dyDescent="0.3">
      <c r="A1457" s="14" t="str">
        <f>VLOOKUP(B1457,'Relacion codigos'!$A:$B,2,FALSE)</f>
        <v>8094</v>
      </c>
      <c r="B1457" s="6" t="s">
        <v>3732</v>
      </c>
      <c r="C1457" s="6" t="s">
        <v>11751</v>
      </c>
      <c r="D1457" s="24">
        <v>136603.9896</v>
      </c>
      <c r="E1457" s="6" t="s">
        <v>5889</v>
      </c>
      <c r="F1457" s="6">
        <v>21</v>
      </c>
      <c r="G1457" s="8">
        <f t="shared" si="22"/>
        <v>136603.9896</v>
      </c>
    </row>
    <row r="1458" spans="1:7" x14ac:dyDescent="0.3">
      <c r="A1458" s="14" t="str">
        <f>VLOOKUP(B1458,'Relacion codigos'!$A:$B,2,FALSE)</f>
        <v>8278</v>
      </c>
      <c r="B1458" s="6" t="s">
        <v>3734</v>
      </c>
      <c r="C1458" s="6" t="s">
        <v>11752</v>
      </c>
      <c r="D1458" s="24">
        <v>171899.78</v>
      </c>
      <c r="E1458" s="6" t="s">
        <v>5889</v>
      </c>
      <c r="F1458" s="6">
        <v>21</v>
      </c>
      <c r="G1458" s="8">
        <f t="shared" si="22"/>
        <v>171899.78</v>
      </c>
    </row>
    <row r="1459" spans="1:7" x14ac:dyDescent="0.3">
      <c r="A1459" s="14" t="str">
        <f>VLOOKUP(B1459,'Relacion codigos'!$A:$B,2,FALSE)</f>
        <v>8735</v>
      </c>
      <c r="B1459" s="6" t="s">
        <v>3675</v>
      </c>
      <c r="C1459" s="6" t="s">
        <v>11753</v>
      </c>
      <c r="D1459" s="24">
        <v>85011.243199999997</v>
      </c>
      <c r="E1459" s="6" t="s">
        <v>5889</v>
      </c>
      <c r="F1459" s="6">
        <v>21</v>
      </c>
      <c r="G1459" s="8">
        <f t="shared" si="22"/>
        <v>85011.243199999997</v>
      </c>
    </row>
    <row r="1460" spans="1:7" x14ac:dyDescent="0.3">
      <c r="A1460" s="14" t="str">
        <f>VLOOKUP(B1460,'Relacion codigos'!$A:$B,2,FALSE)</f>
        <v>8141</v>
      </c>
      <c r="B1460" s="6" t="s">
        <v>3676</v>
      </c>
      <c r="C1460" s="6" t="s">
        <v>11754</v>
      </c>
      <c r="D1460" s="24">
        <v>114602.8208</v>
      </c>
      <c r="E1460" s="6" t="s">
        <v>5889</v>
      </c>
      <c r="F1460" s="6">
        <v>21</v>
      </c>
      <c r="G1460" s="8">
        <f t="shared" si="22"/>
        <v>114602.8208</v>
      </c>
    </row>
    <row r="1461" spans="1:7" x14ac:dyDescent="0.3">
      <c r="A1461" s="14" t="str">
        <f>VLOOKUP(B1461,'Relacion codigos'!$A:$B,2,FALSE)</f>
        <v>5556</v>
      </c>
      <c r="B1461" s="6" t="s">
        <v>3783</v>
      </c>
      <c r="C1461" s="6" t="s">
        <v>13657</v>
      </c>
      <c r="D1461" s="24">
        <v>24961.5683063955</v>
      </c>
      <c r="E1461" s="6" t="s">
        <v>5889</v>
      </c>
      <c r="F1461" s="6">
        <v>21</v>
      </c>
      <c r="G1461" s="8">
        <f t="shared" si="22"/>
        <v>24961.5683063955</v>
      </c>
    </row>
    <row r="1462" spans="1:7" x14ac:dyDescent="0.3">
      <c r="A1462" s="14" t="e">
        <f>VLOOKUP(B1462,'Relacion codigos'!$A:$B,2,FALSE)</f>
        <v>#N/A</v>
      </c>
      <c r="B1462" s="6" t="s">
        <v>10816</v>
      </c>
      <c r="C1462" s="6" t="s">
        <v>10817</v>
      </c>
      <c r="D1462" s="24">
        <v>8722.2794099999992</v>
      </c>
      <c r="E1462" s="6" t="s">
        <v>5889</v>
      </c>
      <c r="F1462" s="6">
        <v>21</v>
      </c>
      <c r="G1462" s="8">
        <f t="shared" si="22"/>
        <v>8722.2794099999992</v>
      </c>
    </row>
    <row r="1463" spans="1:7" x14ac:dyDescent="0.3">
      <c r="A1463" s="14" t="e">
        <f>VLOOKUP(B1463,'Relacion codigos'!$A:$B,2,FALSE)</f>
        <v>#N/A</v>
      </c>
      <c r="B1463" s="6" t="s">
        <v>10818</v>
      </c>
      <c r="C1463" s="6" t="s">
        <v>10819</v>
      </c>
      <c r="D1463" s="24">
        <v>8722.2794099999992</v>
      </c>
      <c r="E1463" s="6" t="s">
        <v>5889</v>
      </c>
      <c r="F1463" s="6">
        <v>21</v>
      </c>
      <c r="G1463" s="8">
        <f t="shared" si="22"/>
        <v>8722.2794099999992</v>
      </c>
    </row>
    <row r="1464" spans="1:7" x14ac:dyDescent="0.3">
      <c r="A1464" s="14" t="e">
        <f>VLOOKUP(B1464,'Relacion codigos'!$A:$B,2,FALSE)</f>
        <v>#N/A</v>
      </c>
      <c r="B1464" s="6" t="s">
        <v>9971</v>
      </c>
      <c r="C1464" s="6" t="s">
        <v>10724</v>
      </c>
      <c r="D1464" s="24">
        <v>17689.347000000002</v>
      </c>
      <c r="E1464" s="6" t="s">
        <v>5889</v>
      </c>
      <c r="F1464" s="6">
        <v>21</v>
      </c>
      <c r="G1464" s="8">
        <f t="shared" si="22"/>
        <v>17689.347000000002</v>
      </c>
    </row>
    <row r="1465" spans="1:7" x14ac:dyDescent="0.3">
      <c r="A1465" s="14" t="e">
        <f>VLOOKUP(B1465,'Relacion codigos'!$A:$B,2,FALSE)</f>
        <v>#N/A</v>
      </c>
      <c r="B1465" s="6" t="s">
        <v>10820</v>
      </c>
      <c r="C1465" s="6" t="s">
        <v>10821</v>
      </c>
      <c r="D1465" s="24">
        <v>8722.2794099999992</v>
      </c>
      <c r="E1465" s="6" t="s">
        <v>5889</v>
      </c>
      <c r="F1465" s="6">
        <v>21</v>
      </c>
      <c r="G1465" s="8">
        <f t="shared" si="22"/>
        <v>8722.2794099999992</v>
      </c>
    </row>
    <row r="1466" spans="1:7" x14ac:dyDescent="0.3">
      <c r="A1466" s="14" t="e">
        <f>VLOOKUP(B1466,'Relacion codigos'!$A:$B,2,FALSE)</f>
        <v>#N/A</v>
      </c>
      <c r="B1466" s="6" t="s">
        <v>9972</v>
      </c>
      <c r="C1466" s="6" t="s">
        <v>10725</v>
      </c>
      <c r="D1466" s="24">
        <v>17689.347000000002</v>
      </c>
      <c r="E1466" s="6" t="s">
        <v>5889</v>
      </c>
      <c r="F1466" s="6">
        <v>21</v>
      </c>
      <c r="G1466" s="8">
        <f t="shared" si="22"/>
        <v>17689.347000000002</v>
      </c>
    </row>
    <row r="1467" spans="1:7" x14ac:dyDescent="0.3">
      <c r="A1467" s="14" t="str">
        <f>VLOOKUP(B1467,'Relacion codigos'!$A:$B,2,FALSE)</f>
        <v>6773</v>
      </c>
      <c r="B1467" s="6" t="s">
        <v>3784</v>
      </c>
      <c r="C1467" s="6" t="s">
        <v>203</v>
      </c>
      <c r="D1467" s="24">
        <v>9013.8483109999997</v>
      </c>
      <c r="E1467" s="6" t="s">
        <v>5889</v>
      </c>
      <c r="F1467" s="6">
        <v>21</v>
      </c>
      <c r="G1467" s="8">
        <f t="shared" si="22"/>
        <v>9013.8483109999997</v>
      </c>
    </row>
    <row r="1468" spans="1:7" x14ac:dyDescent="0.3">
      <c r="A1468" s="14" t="str">
        <f>VLOOKUP(B1468,'Relacion codigos'!$A:$B,2,FALSE)</f>
        <v>6774</v>
      </c>
      <c r="B1468" s="6" t="s">
        <v>3785</v>
      </c>
      <c r="C1468" s="6" t="s">
        <v>204</v>
      </c>
      <c r="D1468" s="24">
        <v>9013.8483109999997</v>
      </c>
      <c r="E1468" s="6" t="s">
        <v>5889</v>
      </c>
      <c r="F1468" s="6">
        <v>21</v>
      </c>
      <c r="G1468" s="8">
        <f t="shared" si="22"/>
        <v>9013.8483109999997</v>
      </c>
    </row>
    <row r="1469" spans="1:7" x14ac:dyDescent="0.3">
      <c r="A1469" s="14" t="e">
        <f>VLOOKUP(B1469,'Relacion codigos'!$A:$B,2,FALSE)</f>
        <v>#N/A</v>
      </c>
      <c r="B1469" s="6" t="s">
        <v>10822</v>
      </c>
      <c r="C1469" s="6" t="s">
        <v>10823</v>
      </c>
      <c r="D1469" s="24">
        <v>8722.2794099999992</v>
      </c>
      <c r="E1469" s="6" t="s">
        <v>5889</v>
      </c>
      <c r="F1469" s="6">
        <v>21</v>
      </c>
      <c r="G1469" s="8">
        <f t="shared" si="22"/>
        <v>8722.2794099999992</v>
      </c>
    </row>
    <row r="1470" spans="1:7" x14ac:dyDescent="0.3">
      <c r="A1470" s="14" t="e">
        <f>VLOOKUP(B1470,'Relacion codigos'!$A:$B,2,FALSE)</f>
        <v>#N/A</v>
      </c>
      <c r="B1470" s="6" t="s">
        <v>9973</v>
      </c>
      <c r="C1470" s="6" t="s">
        <v>10726</v>
      </c>
      <c r="D1470" s="24">
        <v>17689.347000000002</v>
      </c>
      <c r="E1470" s="6" t="s">
        <v>5889</v>
      </c>
      <c r="F1470" s="6">
        <v>21</v>
      </c>
      <c r="G1470" s="8">
        <f t="shared" si="22"/>
        <v>17689.347000000002</v>
      </c>
    </row>
    <row r="1471" spans="1:7" x14ac:dyDescent="0.3">
      <c r="A1471" s="14" t="e">
        <f>VLOOKUP(B1471,'Relacion codigos'!$A:$B,2,FALSE)</f>
        <v>#N/A</v>
      </c>
      <c r="B1471" s="6" t="s">
        <v>9974</v>
      </c>
      <c r="C1471" s="6" t="s">
        <v>10727</v>
      </c>
      <c r="D1471" s="24">
        <v>17689.347000000002</v>
      </c>
      <c r="E1471" s="6" t="s">
        <v>5889</v>
      </c>
      <c r="F1471" s="6">
        <v>21</v>
      </c>
      <c r="G1471" s="8">
        <f t="shared" si="22"/>
        <v>17689.347000000002</v>
      </c>
    </row>
    <row r="1472" spans="1:7" x14ac:dyDescent="0.3">
      <c r="A1472" s="14" t="e">
        <f>VLOOKUP(B1472,'Relacion codigos'!$A:$B,2,FALSE)</f>
        <v>#N/A</v>
      </c>
      <c r="B1472" s="6" t="s">
        <v>9975</v>
      </c>
      <c r="C1472" s="6" t="s">
        <v>10728</v>
      </c>
      <c r="D1472" s="24">
        <v>17689.347000000002</v>
      </c>
      <c r="E1472" s="6" t="s">
        <v>5889</v>
      </c>
      <c r="F1472" s="6">
        <v>21</v>
      </c>
      <c r="G1472" s="8">
        <f t="shared" si="22"/>
        <v>17689.347000000002</v>
      </c>
    </row>
    <row r="1473" spans="1:7" x14ac:dyDescent="0.3">
      <c r="A1473" s="14" t="str">
        <f>VLOOKUP(B1473,'Relacion codigos'!$A:$B,2,FALSE)</f>
        <v>7444</v>
      </c>
      <c r="B1473" s="6" t="s">
        <v>3788</v>
      </c>
      <c r="C1473" s="6" t="s">
        <v>205</v>
      </c>
      <c r="D1473" s="24">
        <v>29468.038160600001</v>
      </c>
      <c r="E1473" s="6" t="s">
        <v>5889</v>
      </c>
      <c r="F1473" s="6">
        <v>21</v>
      </c>
      <c r="G1473" s="8">
        <f t="shared" si="22"/>
        <v>29468.038160600001</v>
      </c>
    </row>
    <row r="1474" spans="1:7" x14ac:dyDescent="0.3">
      <c r="A1474" s="14" t="str">
        <f>VLOOKUP(B1474,'Relacion codigos'!$A:$B,2,FALSE)</f>
        <v>7433</v>
      </c>
      <c r="B1474" s="6" t="s">
        <v>3789</v>
      </c>
      <c r="C1474" s="6" t="s">
        <v>10824</v>
      </c>
      <c r="D1474" s="24">
        <v>29468.038160600001</v>
      </c>
      <c r="E1474" s="6" t="s">
        <v>5889</v>
      </c>
      <c r="F1474" s="6">
        <v>21</v>
      </c>
      <c r="G1474" s="8">
        <f t="shared" ref="G1474:G1537" si="23">IF(E1474="Dolares",D1474*$G$1,D1474)</f>
        <v>29468.038160600001</v>
      </c>
    </row>
    <row r="1475" spans="1:7" x14ac:dyDescent="0.3">
      <c r="A1475" s="14" t="str">
        <f>VLOOKUP(B1475,'Relacion codigos'!$A:$B,2,FALSE)</f>
        <v>7914</v>
      </c>
      <c r="B1475" s="6" t="s">
        <v>3795</v>
      </c>
      <c r="C1475" s="6" t="s">
        <v>877</v>
      </c>
      <c r="D1475" s="24">
        <v>60519.627999999997</v>
      </c>
      <c r="E1475" s="6" t="s">
        <v>5889</v>
      </c>
      <c r="F1475" s="6">
        <v>21</v>
      </c>
      <c r="G1475" s="8">
        <f t="shared" si="23"/>
        <v>60519.627999999997</v>
      </c>
    </row>
    <row r="1476" spans="1:7" x14ac:dyDescent="0.3">
      <c r="A1476" s="14" t="str">
        <f>VLOOKUP(B1476,'Relacion codigos'!$A:$B,2,FALSE)</f>
        <v>7435</v>
      </c>
      <c r="B1476" s="6" t="s">
        <v>3796</v>
      </c>
      <c r="C1476" s="6" t="s">
        <v>206</v>
      </c>
      <c r="D1476" s="24">
        <v>81234.399999999994</v>
      </c>
      <c r="E1476" s="6" t="s">
        <v>5889</v>
      </c>
      <c r="F1476" s="6">
        <v>21</v>
      </c>
      <c r="G1476" s="8">
        <f t="shared" si="23"/>
        <v>81234.399999999994</v>
      </c>
    </row>
    <row r="1477" spans="1:7" x14ac:dyDescent="0.3">
      <c r="A1477" s="14" t="e">
        <f>VLOOKUP(B1477,'Relacion codigos'!$A:$B,2,FALSE)</f>
        <v>#N/A</v>
      </c>
      <c r="B1477" s="6" t="s">
        <v>9996</v>
      </c>
      <c r="C1477" s="6" t="s">
        <v>12624</v>
      </c>
      <c r="D1477" s="24">
        <v>564255.46663200005</v>
      </c>
      <c r="E1477" s="6" t="s">
        <v>5889</v>
      </c>
      <c r="F1477" s="6">
        <v>21</v>
      </c>
      <c r="G1477" s="8">
        <f t="shared" si="23"/>
        <v>564255.46663200005</v>
      </c>
    </row>
    <row r="1478" spans="1:7" x14ac:dyDescent="0.3">
      <c r="A1478" s="14" t="str">
        <f>VLOOKUP(B1478,'Relacion codigos'!$A:$B,2,FALSE)</f>
        <v>7912</v>
      </c>
      <c r="B1478" s="6" t="s">
        <v>3800</v>
      </c>
      <c r="C1478" s="6" t="s">
        <v>878</v>
      </c>
      <c r="D1478" s="24">
        <v>5645.7907999999998</v>
      </c>
      <c r="E1478" s="6" t="s">
        <v>5889</v>
      </c>
      <c r="F1478" s="6">
        <v>21</v>
      </c>
      <c r="G1478" s="8">
        <f t="shared" si="23"/>
        <v>5645.7907999999998</v>
      </c>
    </row>
    <row r="1479" spans="1:7" x14ac:dyDescent="0.3">
      <c r="A1479" s="14" t="str">
        <f>VLOOKUP(B1479,'Relacion codigos'!$A:$B,2,FALSE)</f>
        <v>7915</v>
      </c>
      <c r="B1479" s="6" t="s">
        <v>3801</v>
      </c>
      <c r="C1479" s="6" t="s">
        <v>879</v>
      </c>
      <c r="D1479" s="24">
        <v>10924.914000000001</v>
      </c>
      <c r="E1479" s="6" t="s">
        <v>5889</v>
      </c>
      <c r="F1479" s="6">
        <v>21</v>
      </c>
      <c r="G1479" s="8">
        <f t="shared" si="23"/>
        <v>10924.914000000001</v>
      </c>
    </row>
    <row r="1480" spans="1:7" x14ac:dyDescent="0.3">
      <c r="A1480" s="14" t="str">
        <f>VLOOKUP(B1480,'Relacion codigos'!$A:$B,2,FALSE)</f>
        <v>7916</v>
      </c>
      <c r="B1480" s="6" t="s">
        <v>3802</v>
      </c>
      <c r="C1480" s="6" t="s">
        <v>880</v>
      </c>
      <c r="D1480" s="24">
        <v>10924.914000000001</v>
      </c>
      <c r="E1480" s="6" t="s">
        <v>5889</v>
      </c>
      <c r="F1480" s="6">
        <v>21</v>
      </c>
      <c r="G1480" s="8">
        <f t="shared" si="23"/>
        <v>10924.914000000001</v>
      </c>
    </row>
    <row r="1481" spans="1:7" x14ac:dyDescent="0.3">
      <c r="A1481" s="14" t="e">
        <f>VLOOKUP(B1481,'Relacion codigos'!$A:$B,2,FALSE)</f>
        <v>#N/A</v>
      </c>
      <c r="B1481" s="6" t="s">
        <v>12530</v>
      </c>
      <c r="C1481" s="6" t="s">
        <v>12531</v>
      </c>
      <c r="D1481" s="24">
        <v>9620.1560000000009</v>
      </c>
      <c r="E1481" s="6" t="s">
        <v>5889</v>
      </c>
      <c r="F1481" s="6">
        <v>21</v>
      </c>
      <c r="G1481" s="8">
        <f t="shared" si="23"/>
        <v>9620.1560000000009</v>
      </c>
    </row>
    <row r="1482" spans="1:7" x14ac:dyDescent="0.3">
      <c r="A1482" s="14" t="e">
        <f>VLOOKUP(B1482,'Relacion codigos'!$A:$B,2,FALSE)</f>
        <v>#N/A</v>
      </c>
      <c r="B1482" s="6" t="s">
        <v>12532</v>
      </c>
      <c r="C1482" s="6" t="s">
        <v>12533</v>
      </c>
      <c r="D1482" s="24">
        <v>9620.1560000000009</v>
      </c>
      <c r="E1482" s="6" t="s">
        <v>5889</v>
      </c>
      <c r="F1482" s="6">
        <v>21</v>
      </c>
      <c r="G1482" s="8">
        <f t="shared" si="23"/>
        <v>9620.1560000000009</v>
      </c>
    </row>
    <row r="1483" spans="1:7" x14ac:dyDescent="0.3">
      <c r="A1483" s="14" t="e">
        <f>VLOOKUP(B1483,'Relacion codigos'!$A:$B,2,FALSE)</f>
        <v>#N/A</v>
      </c>
      <c r="B1483" s="6" t="s">
        <v>10767</v>
      </c>
      <c r="C1483" s="6" t="s">
        <v>11481</v>
      </c>
      <c r="D1483" s="24">
        <v>14560.987999999999</v>
      </c>
      <c r="E1483" s="6" t="s">
        <v>5889</v>
      </c>
      <c r="F1483" s="6">
        <v>21</v>
      </c>
      <c r="G1483" s="8">
        <f t="shared" si="23"/>
        <v>14560.987999999999</v>
      </c>
    </row>
    <row r="1484" spans="1:7" x14ac:dyDescent="0.3">
      <c r="A1484" s="14" t="e">
        <f>VLOOKUP(B1484,'Relacion codigos'!$A:$B,2,FALSE)</f>
        <v>#N/A</v>
      </c>
      <c r="B1484" s="6" t="s">
        <v>12683</v>
      </c>
      <c r="C1484" s="6" t="s">
        <v>12684</v>
      </c>
      <c r="D1484" s="24">
        <v>38.937858218999999</v>
      </c>
      <c r="E1484" s="6" t="s">
        <v>5887</v>
      </c>
      <c r="F1484" s="6">
        <v>21</v>
      </c>
      <c r="G1484" s="8">
        <f t="shared" si="23"/>
        <v>60548.369530544995</v>
      </c>
    </row>
    <row r="1485" spans="1:7" x14ac:dyDescent="0.3">
      <c r="A1485" s="14" t="e">
        <f>VLOOKUP(B1485,'Relacion codigos'!$A:$B,2,FALSE)</f>
        <v>#N/A</v>
      </c>
      <c r="B1485" s="6" t="s">
        <v>11755</v>
      </c>
      <c r="C1485" s="6" t="s">
        <v>11756</v>
      </c>
      <c r="D1485" s="24">
        <v>36.554699999999997</v>
      </c>
      <c r="E1485" s="6" t="s">
        <v>5887</v>
      </c>
      <c r="F1485" s="6">
        <v>21</v>
      </c>
      <c r="G1485" s="8">
        <f t="shared" si="23"/>
        <v>56842.558499999992</v>
      </c>
    </row>
    <row r="1486" spans="1:7" x14ac:dyDescent="0.3">
      <c r="A1486" s="14" t="e">
        <f>VLOOKUP(B1486,'Relacion codigos'!$A:$B,2,FALSE)</f>
        <v>#N/A</v>
      </c>
      <c r="B1486" s="6" t="s">
        <v>12685</v>
      </c>
      <c r="C1486" s="6" t="s">
        <v>12686</v>
      </c>
      <c r="D1486" s="24">
        <v>51.951020706000001</v>
      </c>
      <c r="E1486" s="6" t="s">
        <v>5887</v>
      </c>
      <c r="F1486" s="6">
        <v>21</v>
      </c>
      <c r="G1486" s="8">
        <f t="shared" si="23"/>
        <v>80783.837197829998</v>
      </c>
    </row>
    <row r="1487" spans="1:7" x14ac:dyDescent="0.3">
      <c r="A1487" s="14" t="e">
        <f>VLOOKUP(B1487,'Relacion codigos'!$A:$B,2,FALSE)</f>
        <v>#N/A</v>
      </c>
      <c r="B1487" s="6" t="s">
        <v>11757</v>
      </c>
      <c r="C1487" s="6" t="s">
        <v>11758</v>
      </c>
      <c r="D1487" s="24">
        <v>52.627575</v>
      </c>
      <c r="E1487" s="6" t="s">
        <v>5887</v>
      </c>
      <c r="F1487" s="6">
        <v>21</v>
      </c>
      <c r="G1487" s="8">
        <f t="shared" si="23"/>
        <v>81835.879125000007</v>
      </c>
    </row>
    <row r="1488" spans="1:7" x14ac:dyDescent="0.3">
      <c r="A1488" s="14" t="str">
        <f>VLOOKUP(B1488,'Relacion codigos'!$A:$B,2,FALSE)</f>
        <v>6281</v>
      </c>
      <c r="B1488" s="6" t="s">
        <v>3626</v>
      </c>
      <c r="C1488" s="6" t="s">
        <v>10159</v>
      </c>
      <c r="D1488" s="24">
        <v>56.942671500000003</v>
      </c>
      <c r="E1488" s="6" t="s">
        <v>5887</v>
      </c>
      <c r="F1488" s="6">
        <v>21</v>
      </c>
      <c r="G1488" s="8">
        <f t="shared" si="23"/>
        <v>88545.854182499999</v>
      </c>
    </row>
    <row r="1489" spans="1:7" x14ac:dyDescent="0.3">
      <c r="A1489" s="14" t="str">
        <f>VLOOKUP(B1489,'Relacion codigos'!$A:$B,2,FALSE)</f>
        <v>6185</v>
      </c>
      <c r="B1489" s="6" t="s">
        <v>3514</v>
      </c>
      <c r="C1489" s="6" t="s">
        <v>10160</v>
      </c>
      <c r="D1489" s="24">
        <v>95144.4</v>
      </c>
      <c r="E1489" s="6" t="s">
        <v>5889</v>
      </c>
      <c r="F1489" s="6">
        <v>21</v>
      </c>
      <c r="G1489" s="8">
        <f t="shared" si="23"/>
        <v>95144.4</v>
      </c>
    </row>
    <row r="1490" spans="1:7" x14ac:dyDescent="0.3">
      <c r="A1490" s="14" t="e">
        <f>VLOOKUP(B1490,'Relacion codigos'!$A:$B,2,FALSE)</f>
        <v>#N/A</v>
      </c>
      <c r="B1490" s="6" t="s">
        <v>12687</v>
      </c>
      <c r="C1490" s="6" t="s">
        <v>12688</v>
      </c>
      <c r="D1490" s="24">
        <v>64.968802703999998</v>
      </c>
      <c r="E1490" s="6" t="s">
        <v>5887</v>
      </c>
      <c r="F1490" s="6">
        <v>21</v>
      </c>
      <c r="G1490" s="8">
        <f t="shared" si="23"/>
        <v>101026.48820471999</v>
      </c>
    </row>
    <row r="1491" spans="1:7" x14ac:dyDescent="0.3">
      <c r="A1491" s="14" t="str">
        <f>VLOOKUP(B1491,'Relacion codigos'!$A:$B,2,FALSE)</f>
        <v>7965</v>
      </c>
      <c r="B1491" s="6" t="s">
        <v>3628</v>
      </c>
      <c r="C1491" s="6" t="s">
        <v>10161</v>
      </c>
      <c r="D1491" s="24">
        <v>202.52737440000001</v>
      </c>
      <c r="E1491" s="6" t="s">
        <v>5887</v>
      </c>
      <c r="F1491" s="6">
        <v>21</v>
      </c>
      <c r="G1491" s="8">
        <f t="shared" si="23"/>
        <v>314930.06719200005</v>
      </c>
    </row>
    <row r="1492" spans="1:7" x14ac:dyDescent="0.3">
      <c r="A1492" s="14" t="e">
        <f>VLOOKUP(B1492,'Relacion codigos'!$A:$B,2,FALSE)</f>
        <v>#N/A</v>
      </c>
      <c r="B1492" s="6" t="s">
        <v>12324</v>
      </c>
      <c r="C1492" s="6" t="s">
        <v>12325</v>
      </c>
      <c r="D1492" s="24">
        <v>72.863699999999994</v>
      </c>
      <c r="E1492" s="6" t="s">
        <v>5887</v>
      </c>
      <c r="F1492" s="6">
        <v>21</v>
      </c>
      <c r="G1492" s="8">
        <f t="shared" si="23"/>
        <v>113303.05349999999</v>
      </c>
    </row>
    <row r="1493" spans="1:7" x14ac:dyDescent="0.3">
      <c r="A1493" s="14" t="str">
        <f>VLOOKUP(B1493,'Relacion codigos'!$A:$B,2,FALSE)</f>
        <v>9012</v>
      </c>
      <c r="B1493" s="6" t="s">
        <v>3627</v>
      </c>
      <c r="C1493" s="6" t="s">
        <v>10866</v>
      </c>
      <c r="D1493" s="24">
        <v>122408</v>
      </c>
      <c r="E1493" s="6" t="s">
        <v>5889</v>
      </c>
      <c r="F1493" s="6">
        <v>21</v>
      </c>
      <c r="G1493" s="8">
        <f t="shared" si="23"/>
        <v>122408</v>
      </c>
    </row>
    <row r="1494" spans="1:7" x14ac:dyDescent="0.3">
      <c r="A1494" s="14" t="str">
        <f>VLOOKUP(B1494,'Relacion codigos'!$A:$B,2,FALSE)</f>
        <v>408</v>
      </c>
      <c r="B1494" s="6" t="s">
        <v>3812</v>
      </c>
      <c r="C1494" s="6" t="s">
        <v>1236</v>
      </c>
      <c r="D1494" s="24">
        <v>26539.695779999998</v>
      </c>
      <c r="E1494" s="6" t="s">
        <v>5889</v>
      </c>
      <c r="F1494" s="6">
        <v>21</v>
      </c>
      <c r="G1494" s="8">
        <f t="shared" si="23"/>
        <v>26539.695779999998</v>
      </c>
    </row>
    <row r="1495" spans="1:7" x14ac:dyDescent="0.3">
      <c r="A1495" s="14" t="str">
        <f>VLOOKUP(B1495,'Relacion codigos'!$A:$B,2,FALSE)</f>
        <v>7046</v>
      </c>
      <c r="B1495" s="6" t="s">
        <v>3683</v>
      </c>
      <c r="C1495" s="6" t="s">
        <v>9181</v>
      </c>
      <c r="D1495" s="24">
        <v>27.6542667433046</v>
      </c>
      <c r="E1495" s="6" t="s">
        <v>5887</v>
      </c>
      <c r="F1495" s="6">
        <v>21</v>
      </c>
      <c r="G1495" s="8">
        <f t="shared" si="23"/>
        <v>43002.384785838651</v>
      </c>
    </row>
    <row r="1496" spans="1:7" x14ac:dyDescent="0.3">
      <c r="A1496" s="14" t="str">
        <f>VLOOKUP(B1496,'Relacion codigos'!$A:$B,2,FALSE)</f>
        <v>7048</v>
      </c>
      <c r="B1496" s="6" t="s">
        <v>3685</v>
      </c>
      <c r="C1496" s="6" t="s">
        <v>9182</v>
      </c>
      <c r="D1496" s="24">
        <v>27.6542667433046</v>
      </c>
      <c r="E1496" s="6" t="s">
        <v>5887</v>
      </c>
      <c r="F1496" s="6">
        <v>21</v>
      </c>
      <c r="G1496" s="8">
        <f t="shared" si="23"/>
        <v>43002.384785838651</v>
      </c>
    </row>
    <row r="1497" spans="1:7" x14ac:dyDescent="0.3">
      <c r="A1497" s="14" t="str">
        <f>VLOOKUP(B1497,'Relacion codigos'!$A:$B,2,FALSE)</f>
        <v>6769</v>
      </c>
      <c r="B1497" s="6" t="s">
        <v>3814</v>
      </c>
      <c r="C1497" s="6" t="s">
        <v>207</v>
      </c>
      <c r="D1497" s="24">
        <v>6171.0129260000003</v>
      </c>
      <c r="E1497" s="6" t="s">
        <v>5889</v>
      </c>
      <c r="F1497" s="6">
        <v>21</v>
      </c>
      <c r="G1497" s="8">
        <f t="shared" si="23"/>
        <v>6171.0129260000003</v>
      </c>
    </row>
    <row r="1498" spans="1:7" x14ac:dyDescent="0.3">
      <c r="A1498" s="14" t="str">
        <f>VLOOKUP(B1498,'Relacion codigos'!$A:$B,2,FALSE)</f>
        <v>8108</v>
      </c>
      <c r="B1498" s="6" t="s">
        <v>3811</v>
      </c>
      <c r="C1498" s="6" t="s">
        <v>11759</v>
      </c>
      <c r="D1498" s="24">
        <v>13938.9328</v>
      </c>
      <c r="E1498" s="6" t="s">
        <v>5889</v>
      </c>
      <c r="F1498" s="6">
        <v>21</v>
      </c>
      <c r="G1498" s="8">
        <f t="shared" si="23"/>
        <v>13938.9328</v>
      </c>
    </row>
    <row r="1499" spans="1:7" x14ac:dyDescent="0.3">
      <c r="A1499" s="14" t="str">
        <f>VLOOKUP(B1499,'Relacion codigos'!$A:$B,2,FALSE)</f>
        <v>2558</v>
      </c>
      <c r="B1499" s="6" t="s">
        <v>2785</v>
      </c>
      <c r="C1499" s="6" t="s">
        <v>208</v>
      </c>
      <c r="D1499" s="24">
        <v>5568.1173600000002</v>
      </c>
      <c r="E1499" s="6" t="s">
        <v>5889</v>
      </c>
      <c r="F1499" s="6">
        <v>21</v>
      </c>
      <c r="G1499" s="8">
        <f t="shared" si="23"/>
        <v>5568.1173600000002</v>
      </c>
    </row>
    <row r="1500" spans="1:7" x14ac:dyDescent="0.3">
      <c r="A1500" s="14" t="str">
        <f>VLOOKUP(B1500,'Relacion codigos'!$A:$B,2,FALSE)</f>
        <v>2555</v>
      </c>
      <c r="B1500" s="6" t="s">
        <v>2786</v>
      </c>
      <c r="C1500" s="6" t="s">
        <v>209</v>
      </c>
      <c r="D1500" s="24">
        <v>6286.9861600000004</v>
      </c>
      <c r="E1500" s="6" t="s">
        <v>5889</v>
      </c>
      <c r="F1500" s="6">
        <v>21</v>
      </c>
      <c r="G1500" s="8">
        <f t="shared" si="23"/>
        <v>6286.9861600000004</v>
      </c>
    </row>
    <row r="1501" spans="1:7" x14ac:dyDescent="0.3">
      <c r="A1501" s="14" t="str">
        <f>VLOOKUP(B1501,'Relacion codigos'!$A:$B,2,FALSE)</f>
        <v>2177</v>
      </c>
      <c r="B1501" s="6" t="s">
        <v>2787</v>
      </c>
      <c r="C1501" s="6" t="s">
        <v>210</v>
      </c>
      <c r="D1501" s="24">
        <v>5807.402744</v>
      </c>
      <c r="E1501" s="6" t="s">
        <v>5889</v>
      </c>
      <c r="F1501" s="6">
        <v>21</v>
      </c>
      <c r="G1501" s="8">
        <f t="shared" si="23"/>
        <v>5807.402744</v>
      </c>
    </row>
    <row r="1502" spans="1:7" x14ac:dyDescent="0.3">
      <c r="A1502" s="14" t="str">
        <f>VLOOKUP(B1502,'Relacion codigos'!$A:$B,2,FALSE)</f>
        <v>5980</v>
      </c>
      <c r="B1502" s="6" t="s">
        <v>3519</v>
      </c>
      <c r="C1502" s="6" t="s">
        <v>11665</v>
      </c>
      <c r="D1502" s="24">
        <v>29939.615548128</v>
      </c>
      <c r="E1502" s="6" t="s">
        <v>5889</v>
      </c>
      <c r="F1502" s="6">
        <v>21</v>
      </c>
      <c r="G1502" s="8">
        <f t="shared" si="23"/>
        <v>29939.615548128</v>
      </c>
    </row>
    <row r="1503" spans="1:7" x14ac:dyDescent="0.3">
      <c r="A1503" s="14" t="str">
        <f>VLOOKUP(B1503,'Relacion codigos'!$A:$B,2,FALSE)</f>
        <v>473</v>
      </c>
      <c r="B1503" s="6" t="s">
        <v>1356</v>
      </c>
      <c r="C1503" s="6" t="s">
        <v>13329</v>
      </c>
      <c r="D1503" s="24">
        <v>69.55</v>
      </c>
      <c r="E1503" s="6" t="s">
        <v>5887</v>
      </c>
      <c r="F1503" s="6">
        <v>21</v>
      </c>
      <c r="G1503" s="8">
        <f t="shared" si="23"/>
        <v>108150.25</v>
      </c>
    </row>
    <row r="1504" spans="1:7" x14ac:dyDescent="0.3">
      <c r="A1504" s="14" t="str">
        <f>VLOOKUP(B1504,'Relacion codigos'!$A:$B,2,FALSE)</f>
        <v>2522</v>
      </c>
      <c r="B1504" s="6" t="s">
        <v>1357</v>
      </c>
      <c r="C1504" s="6" t="s">
        <v>13330</v>
      </c>
      <c r="D1504" s="24">
        <v>77.896000000000001</v>
      </c>
      <c r="E1504" s="6" t="s">
        <v>5887</v>
      </c>
      <c r="F1504" s="6">
        <v>21</v>
      </c>
      <c r="G1504" s="8">
        <f t="shared" si="23"/>
        <v>121128.28</v>
      </c>
    </row>
    <row r="1505" spans="1:7" x14ac:dyDescent="0.3">
      <c r="A1505" s="14" t="str">
        <f>VLOOKUP(B1505,'Relacion codigos'!$A:$B,2,FALSE)</f>
        <v>2523</v>
      </c>
      <c r="B1505" s="6" t="s">
        <v>1359</v>
      </c>
      <c r="C1505" s="6" t="s">
        <v>13331</v>
      </c>
      <c r="D1505" s="24">
        <v>77.896000000000001</v>
      </c>
      <c r="E1505" s="6" t="s">
        <v>5887</v>
      </c>
      <c r="F1505" s="6">
        <v>21</v>
      </c>
      <c r="G1505" s="8">
        <f t="shared" si="23"/>
        <v>121128.28</v>
      </c>
    </row>
    <row r="1506" spans="1:7" x14ac:dyDescent="0.3">
      <c r="A1506" s="14" t="str">
        <f>VLOOKUP(B1506,'Relacion codigos'!$A:$B,2,FALSE)</f>
        <v>480</v>
      </c>
      <c r="B1506" s="6" t="s">
        <v>1358</v>
      </c>
      <c r="C1506" s="6" t="s">
        <v>13332</v>
      </c>
      <c r="D1506" s="24">
        <v>69.55</v>
      </c>
      <c r="E1506" s="6" t="s">
        <v>5887</v>
      </c>
      <c r="F1506" s="6">
        <v>21</v>
      </c>
      <c r="G1506" s="8">
        <f t="shared" si="23"/>
        <v>108150.25</v>
      </c>
    </row>
    <row r="1507" spans="1:7" x14ac:dyDescent="0.3">
      <c r="A1507" s="14" t="str">
        <f>VLOOKUP(B1507,'Relacion codigos'!$A:$B,2,FALSE)</f>
        <v>2524</v>
      </c>
      <c r="B1507" s="6" t="s">
        <v>1354</v>
      </c>
      <c r="C1507" s="6" t="s">
        <v>211</v>
      </c>
      <c r="D1507" s="24">
        <v>121.017</v>
      </c>
      <c r="E1507" s="6" t="s">
        <v>5887</v>
      </c>
      <c r="F1507" s="6">
        <v>21</v>
      </c>
      <c r="G1507" s="8">
        <f t="shared" si="23"/>
        <v>188181.435</v>
      </c>
    </row>
    <row r="1508" spans="1:7" x14ac:dyDescent="0.3">
      <c r="A1508" s="14" t="str">
        <f>VLOOKUP(B1508,'Relacion codigos'!$A:$B,2,FALSE)</f>
        <v>2525</v>
      </c>
      <c r="B1508" s="6" t="s">
        <v>1355</v>
      </c>
      <c r="C1508" s="6" t="s">
        <v>212</v>
      </c>
      <c r="D1508" s="24">
        <v>121.017</v>
      </c>
      <c r="E1508" s="6" t="s">
        <v>5887</v>
      </c>
      <c r="F1508" s="6">
        <v>21</v>
      </c>
      <c r="G1508" s="8">
        <f t="shared" si="23"/>
        <v>188181.435</v>
      </c>
    </row>
    <row r="1509" spans="1:7" x14ac:dyDescent="0.3">
      <c r="A1509" s="14" t="str">
        <f>VLOOKUP(B1509,'Relacion codigos'!$A:$B,2,FALSE)</f>
        <v>1733</v>
      </c>
      <c r="B1509" s="6" t="s">
        <v>1367</v>
      </c>
      <c r="C1509" s="6" t="s">
        <v>9227</v>
      </c>
      <c r="D1509" s="24">
        <v>246.20699999999999</v>
      </c>
      <c r="E1509" s="6" t="s">
        <v>5887</v>
      </c>
      <c r="F1509" s="6">
        <v>21</v>
      </c>
      <c r="G1509" s="8">
        <f t="shared" si="23"/>
        <v>382851.88500000001</v>
      </c>
    </row>
    <row r="1510" spans="1:7" x14ac:dyDescent="0.3">
      <c r="A1510" s="14" t="str">
        <f>VLOOKUP(B1510,'Relacion codigos'!$A:$B,2,FALSE)</f>
        <v>8401</v>
      </c>
      <c r="B1510" s="6" t="s">
        <v>1368</v>
      </c>
      <c r="C1510" s="6" t="s">
        <v>9228</v>
      </c>
      <c r="D1510" s="24">
        <v>312.97500000000002</v>
      </c>
      <c r="E1510" s="6" t="s">
        <v>5887</v>
      </c>
      <c r="F1510" s="6">
        <v>21</v>
      </c>
      <c r="G1510" s="8">
        <f t="shared" si="23"/>
        <v>486676.12500000006</v>
      </c>
    </row>
    <row r="1511" spans="1:7" x14ac:dyDescent="0.3">
      <c r="A1511" s="14" t="str">
        <f>VLOOKUP(B1511,'Relacion codigos'!$A:$B,2,FALSE)</f>
        <v>5505</v>
      </c>
      <c r="B1511" s="6" t="s">
        <v>3451</v>
      </c>
      <c r="C1511" s="6" t="s">
        <v>213</v>
      </c>
      <c r="D1511" s="24">
        <v>0.94866200729608297</v>
      </c>
      <c r="E1511" s="6" t="s">
        <v>5887</v>
      </c>
      <c r="F1511" s="6">
        <v>21</v>
      </c>
      <c r="G1511" s="8">
        <f t="shared" si="23"/>
        <v>1475.1694213454091</v>
      </c>
    </row>
    <row r="1512" spans="1:7" x14ac:dyDescent="0.3">
      <c r="A1512" s="14" t="str">
        <f>VLOOKUP(B1512,'Relacion codigos'!$A:$B,2,FALSE)</f>
        <v>2156</v>
      </c>
      <c r="B1512" s="6" t="s">
        <v>2328</v>
      </c>
      <c r="C1512" s="6" t="s">
        <v>12689</v>
      </c>
      <c r="D1512" s="24">
        <v>142.65275810759999</v>
      </c>
      <c r="E1512" s="6" t="s">
        <v>5889</v>
      </c>
      <c r="F1512" s="6">
        <v>21</v>
      </c>
      <c r="G1512" s="8">
        <f t="shared" si="23"/>
        <v>142.65275810759999</v>
      </c>
    </row>
    <row r="1513" spans="1:7" x14ac:dyDescent="0.3">
      <c r="A1513" s="14" t="str">
        <f>VLOOKUP(B1513,'Relacion codigos'!$A:$B,2,FALSE)</f>
        <v>8696</v>
      </c>
      <c r="B1513" s="6" t="s">
        <v>2327</v>
      </c>
      <c r="C1513" s="6" t="s">
        <v>10825</v>
      </c>
      <c r="D1513" s="24">
        <v>174.14936385151501</v>
      </c>
      <c r="E1513" s="6" t="s">
        <v>5889</v>
      </c>
      <c r="F1513" s="6">
        <v>21</v>
      </c>
      <c r="G1513" s="8">
        <f t="shared" si="23"/>
        <v>174.14936385151501</v>
      </c>
    </row>
    <row r="1514" spans="1:7" x14ac:dyDescent="0.3">
      <c r="A1514" s="14" t="str">
        <f>VLOOKUP(B1514,'Relacion codigos'!$A:$B,2,FALSE)</f>
        <v>2157</v>
      </c>
      <c r="B1514" s="6" t="s">
        <v>2330</v>
      </c>
      <c r="C1514" s="6" t="s">
        <v>12690</v>
      </c>
      <c r="D1514" s="24">
        <v>143.89715171520001</v>
      </c>
      <c r="E1514" s="6" t="s">
        <v>5889</v>
      </c>
      <c r="F1514" s="6">
        <v>21</v>
      </c>
      <c r="G1514" s="8">
        <f t="shared" si="23"/>
        <v>143.89715171520001</v>
      </c>
    </row>
    <row r="1515" spans="1:7" x14ac:dyDescent="0.3">
      <c r="A1515" s="14" t="str">
        <f>VLOOKUP(B1515,'Relacion codigos'!$A:$B,2,FALSE)</f>
        <v>8697</v>
      </c>
      <c r="B1515" s="6" t="s">
        <v>2329</v>
      </c>
      <c r="C1515" s="6" t="s">
        <v>10826</v>
      </c>
      <c r="D1515" s="24">
        <v>176.28028681360499</v>
      </c>
      <c r="E1515" s="6" t="s">
        <v>5889</v>
      </c>
      <c r="F1515" s="6">
        <v>21</v>
      </c>
      <c r="G1515" s="8">
        <f t="shared" si="23"/>
        <v>176.28028681360499</v>
      </c>
    </row>
    <row r="1516" spans="1:7" x14ac:dyDescent="0.3">
      <c r="A1516" s="14" t="e">
        <f>VLOOKUP(B1516,'Relacion codigos'!$A:$B,2,FALSE)</f>
        <v>#N/A</v>
      </c>
      <c r="B1516" s="6" t="s">
        <v>13614</v>
      </c>
      <c r="C1516" s="6" t="s">
        <v>13615</v>
      </c>
      <c r="D1516" s="24">
        <v>158.2821036576</v>
      </c>
      <c r="E1516" s="6" t="s">
        <v>5889</v>
      </c>
      <c r="F1516" s="6">
        <v>21</v>
      </c>
      <c r="G1516" s="8">
        <f t="shared" si="23"/>
        <v>158.2821036576</v>
      </c>
    </row>
    <row r="1517" spans="1:7" x14ac:dyDescent="0.3">
      <c r="A1517" s="14" t="str">
        <f>VLOOKUP(B1517,'Relacion codigos'!$A:$B,2,FALSE)</f>
        <v>2158</v>
      </c>
      <c r="B1517" s="6" t="s">
        <v>2332</v>
      </c>
      <c r="C1517" s="6" t="s">
        <v>12691</v>
      </c>
      <c r="D1517" s="24">
        <v>272.11137155279999</v>
      </c>
      <c r="E1517" s="6" t="s">
        <v>5889</v>
      </c>
      <c r="F1517" s="6">
        <v>21</v>
      </c>
      <c r="G1517" s="8">
        <f t="shared" si="23"/>
        <v>272.11137155279999</v>
      </c>
    </row>
    <row r="1518" spans="1:7" x14ac:dyDescent="0.3">
      <c r="A1518" s="14" t="str">
        <f>VLOOKUP(B1518,'Relacion codigos'!$A:$B,2,FALSE)</f>
        <v>8698</v>
      </c>
      <c r="B1518" s="6" t="s">
        <v>2331</v>
      </c>
      <c r="C1518" s="6" t="s">
        <v>10827</v>
      </c>
      <c r="D1518" s="24">
        <v>242.414552708055</v>
      </c>
      <c r="E1518" s="6" t="s">
        <v>5889</v>
      </c>
      <c r="F1518" s="6">
        <v>21</v>
      </c>
      <c r="G1518" s="8">
        <f t="shared" si="23"/>
        <v>242.414552708055</v>
      </c>
    </row>
    <row r="1519" spans="1:7" x14ac:dyDescent="0.3">
      <c r="A1519" s="14" t="str">
        <f>VLOOKUP(B1519,'Relacion codigos'!$A:$B,2,FALSE)</f>
        <v>2159</v>
      </c>
      <c r="B1519" s="6" t="s">
        <v>2333</v>
      </c>
      <c r="C1519" s="6" t="s">
        <v>12692</v>
      </c>
      <c r="D1519" s="24">
        <v>306.90676027440003</v>
      </c>
      <c r="E1519" s="6" t="s">
        <v>5889</v>
      </c>
      <c r="F1519" s="6">
        <v>21</v>
      </c>
      <c r="G1519" s="8">
        <f t="shared" si="23"/>
        <v>306.90676027440003</v>
      </c>
    </row>
    <row r="1520" spans="1:7" x14ac:dyDescent="0.3">
      <c r="A1520" s="14" t="str">
        <f>VLOOKUP(B1520,'Relacion codigos'!$A:$B,2,FALSE)</f>
        <v>8856</v>
      </c>
      <c r="B1520" s="6" t="s">
        <v>2334</v>
      </c>
      <c r="C1520" s="6" t="s">
        <v>10828</v>
      </c>
      <c r="D1520" s="24">
        <v>254.48768132462999</v>
      </c>
      <c r="E1520" s="6" t="s">
        <v>5889</v>
      </c>
      <c r="F1520" s="6">
        <v>21</v>
      </c>
      <c r="G1520" s="8">
        <f t="shared" si="23"/>
        <v>254.48768132462999</v>
      </c>
    </row>
    <row r="1521" spans="1:7" x14ac:dyDescent="0.3">
      <c r="A1521" s="14" t="str">
        <f>VLOOKUP(B1521,'Relacion codigos'!$A:$B,2,FALSE)</f>
        <v>2387</v>
      </c>
      <c r="B1521" s="6" t="s">
        <v>2336</v>
      </c>
      <c r="C1521" s="6" t="s">
        <v>12693</v>
      </c>
      <c r="D1521" s="24">
        <v>719.77155232320001</v>
      </c>
      <c r="E1521" s="6" t="s">
        <v>5889</v>
      </c>
      <c r="F1521" s="6">
        <v>21</v>
      </c>
      <c r="G1521" s="8">
        <f t="shared" si="23"/>
        <v>719.77155232320001</v>
      </c>
    </row>
    <row r="1522" spans="1:7" x14ac:dyDescent="0.3">
      <c r="A1522" s="14" t="str">
        <f>VLOOKUP(B1522,'Relacion codigos'!$A:$B,2,FALSE)</f>
        <v>8745</v>
      </c>
      <c r="B1522" s="6" t="s">
        <v>2335</v>
      </c>
      <c r="C1522" s="6" t="s">
        <v>10829</v>
      </c>
      <c r="D1522" s="24">
        <v>754.97087465455502</v>
      </c>
      <c r="E1522" s="6" t="s">
        <v>5889</v>
      </c>
      <c r="F1522" s="6">
        <v>21</v>
      </c>
      <c r="G1522" s="8">
        <f t="shared" si="23"/>
        <v>754.97087465455502</v>
      </c>
    </row>
    <row r="1523" spans="1:7" x14ac:dyDescent="0.3">
      <c r="A1523" s="14" t="str">
        <f>VLOOKUP(B1523,'Relacion codigos'!$A:$B,2,FALSE)</f>
        <v>2388</v>
      </c>
      <c r="B1523" s="6" t="s">
        <v>2338</v>
      </c>
      <c r="C1523" s="6" t="s">
        <v>12694</v>
      </c>
      <c r="D1523" s="24">
        <v>900.03000433320005</v>
      </c>
      <c r="E1523" s="6" t="s">
        <v>5889</v>
      </c>
      <c r="F1523" s="6">
        <v>21</v>
      </c>
      <c r="G1523" s="8">
        <f t="shared" si="23"/>
        <v>900.03000433320005</v>
      </c>
    </row>
    <row r="1524" spans="1:7" x14ac:dyDescent="0.3">
      <c r="A1524" s="14" t="str">
        <f>VLOOKUP(B1524,'Relacion codigos'!$A:$B,2,FALSE)</f>
        <v>8746</v>
      </c>
      <c r="B1524" s="6" t="s">
        <v>2337</v>
      </c>
      <c r="C1524" s="6" t="s">
        <v>10830</v>
      </c>
      <c r="D1524" s="24">
        <v>950.70686638238999</v>
      </c>
      <c r="E1524" s="6" t="s">
        <v>5889</v>
      </c>
      <c r="F1524" s="6">
        <v>21</v>
      </c>
      <c r="G1524" s="8">
        <f t="shared" si="23"/>
        <v>950.70686638238999</v>
      </c>
    </row>
    <row r="1525" spans="1:7" x14ac:dyDescent="0.3">
      <c r="A1525" s="14" t="str">
        <f>VLOOKUP(B1525,'Relacion codigos'!$A:$B,2,FALSE)</f>
        <v>2389</v>
      </c>
      <c r="B1525" s="6" t="s">
        <v>2340</v>
      </c>
      <c r="C1525" s="6" t="s">
        <v>12695</v>
      </c>
      <c r="D1525" s="24">
        <v>1349.2382345676001</v>
      </c>
      <c r="E1525" s="6" t="s">
        <v>5889</v>
      </c>
      <c r="F1525" s="6">
        <v>21</v>
      </c>
      <c r="G1525" s="8">
        <f t="shared" si="23"/>
        <v>1349.2382345676001</v>
      </c>
    </row>
    <row r="1526" spans="1:7" x14ac:dyDescent="0.3">
      <c r="A1526" s="14" t="str">
        <f>VLOOKUP(B1526,'Relacion codigos'!$A:$B,2,FALSE)</f>
        <v>8747</v>
      </c>
      <c r="B1526" s="6" t="s">
        <v>2339</v>
      </c>
      <c r="C1526" s="6" t="s">
        <v>10831</v>
      </c>
      <c r="D1526" s="24">
        <v>1420.61951106386</v>
      </c>
      <c r="E1526" s="6" t="s">
        <v>5889</v>
      </c>
      <c r="F1526" s="6">
        <v>21</v>
      </c>
      <c r="G1526" s="8">
        <f t="shared" si="23"/>
        <v>1420.61951106386</v>
      </c>
    </row>
    <row r="1527" spans="1:7" x14ac:dyDescent="0.3">
      <c r="A1527" s="14" t="str">
        <f>VLOOKUP(B1527,'Relacion codigos'!$A:$B,2,FALSE)</f>
        <v>7393</v>
      </c>
      <c r="B1527" s="6" t="s">
        <v>5667</v>
      </c>
      <c r="C1527" s="6" t="s">
        <v>1066</v>
      </c>
      <c r="D1527" s="24">
        <v>33.6608528507996</v>
      </c>
      <c r="E1527" s="6" t="s">
        <v>5889</v>
      </c>
      <c r="F1527" s="6">
        <v>21</v>
      </c>
      <c r="G1527" s="8">
        <f t="shared" si="23"/>
        <v>33.6608528507996</v>
      </c>
    </row>
    <row r="1528" spans="1:7" x14ac:dyDescent="0.3">
      <c r="A1528" s="14" t="str">
        <f>VLOOKUP(B1528,'Relacion codigos'!$A:$B,2,FALSE)</f>
        <v>2254</v>
      </c>
      <c r="B1528" s="6" t="s">
        <v>2788</v>
      </c>
      <c r="C1528" s="6" t="s">
        <v>8986</v>
      </c>
      <c r="D1528" s="24">
        <v>4052.8470830796</v>
      </c>
      <c r="E1528" s="6" t="s">
        <v>5889</v>
      </c>
      <c r="F1528" s="6">
        <v>21</v>
      </c>
      <c r="G1528" s="8">
        <f t="shared" si="23"/>
        <v>4052.8470830796</v>
      </c>
    </row>
    <row r="1529" spans="1:7" x14ac:dyDescent="0.3">
      <c r="A1529" s="14" t="e">
        <f>VLOOKUP(B1529,'Relacion codigos'!$A:$B,2,FALSE)</f>
        <v>#N/A</v>
      </c>
      <c r="B1529" s="6" t="s">
        <v>8973</v>
      </c>
      <c r="C1529" s="6" t="s">
        <v>8987</v>
      </c>
      <c r="D1529" s="24">
        <v>9582.9679994723992</v>
      </c>
      <c r="E1529" s="6" t="s">
        <v>5889</v>
      </c>
      <c r="F1529" s="6">
        <v>21</v>
      </c>
      <c r="G1529" s="8">
        <f t="shared" si="23"/>
        <v>9582.9679994723992</v>
      </c>
    </row>
    <row r="1530" spans="1:7" x14ac:dyDescent="0.3">
      <c r="A1530" s="14" t="str">
        <f>VLOOKUP(B1530,'Relacion codigos'!$A:$B,2,FALSE)</f>
        <v>7089</v>
      </c>
      <c r="B1530" s="6" t="s">
        <v>5668</v>
      </c>
      <c r="C1530" s="6" t="s">
        <v>1190</v>
      </c>
      <c r="D1530" s="24">
        <v>6.5377000000000005E-2</v>
      </c>
      <c r="E1530" s="6" t="s">
        <v>5887</v>
      </c>
      <c r="F1530" s="6">
        <v>21</v>
      </c>
      <c r="G1530" s="8">
        <f t="shared" si="23"/>
        <v>101.661235</v>
      </c>
    </row>
    <row r="1531" spans="1:7" x14ac:dyDescent="0.3">
      <c r="A1531" s="14" t="str">
        <f>VLOOKUP(B1531,'Relacion codigos'!$A:$B,2,FALSE)</f>
        <v>773</v>
      </c>
      <c r="B1531" s="6" t="s">
        <v>5669</v>
      </c>
      <c r="C1531" s="6" t="s">
        <v>214</v>
      </c>
      <c r="D1531" s="24">
        <v>0.48685</v>
      </c>
      <c r="E1531" s="6" t="s">
        <v>5887</v>
      </c>
      <c r="F1531" s="6">
        <v>21</v>
      </c>
      <c r="G1531" s="8">
        <f t="shared" si="23"/>
        <v>757.05174999999997</v>
      </c>
    </row>
    <row r="1532" spans="1:7" x14ac:dyDescent="0.3">
      <c r="A1532" s="14" t="str">
        <f>VLOOKUP(B1532,'Relacion codigos'!$A:$B,2,FALSE)</f>
        <v>774</v>
      </c>
      <c r="B1532" s="6" t="s">
        <v>5670</v>
      </c>
      <c r="C1532" s="6" t="s">
        <v>1186</v>
      </c>
      <c r="D1532" s="24">
        <v>6.9550000000000001E-2</v>
      </c>
      <c r="E1532" s="6" t="s">
        <v>5887</v>
      </c>
      <c r="F1532" s="6">
        <v>21</v>
      </c>
      <c r="G1532" s="8">
        <f t="shared" si="23"/>
        <v>108.15025</v>
      </c>
    </row>
    <row r="1533" spans="1:7" x14ac:dyDescent="0.3">
      <c r="A1533" s="14" t="e">
        <f>VLOOKUP(B1533,'Relacion codigos'!$A:$B,2,FALSE)</f>
        <v>#N/A</v>
      </c>
      <c r="B1533" s="6" t="s">
        <v>10263</v>
      </c>
      <c r="C1533" s="6" t="s">
        <v>10595</v>
      </c>
      <c r="D1533" s="24">
        <v>3320.4176562375001</v>
      </c>
      <c r="E1533" s="6" t="s">
        <v>5889</v>
      </c>
      <c r="F1533" s="6">
        <v>21</v>
      </c>
      <c r="G1533" s="8">
        <f t="shared" si="23"/>
        <v>3320.4176562375001</v>
      </c>
    </row>
    <row r="1534" spans="1:7" x14ac:dyDescent="0.3">
      <c r="A1534" s="14" t="e">
        <f>VLOOKUP(B1534,'Relacion codigos'!$A:$B,2,FALSE)</f>
        <v>#N/A</v>
      </c>
      <c r="B1534" s="6" t="s">
        <v>10729</v>
      </c>
      <c r="C1534" s="6" t="s">
        <v>10730</v>
      </c>
      <c r="D1534" s="24">
        <v>392.65472798500002</v>
      </c>
      <c r="E1534" s="6" t="s">
        <v>5889</v>
      </c>
      <c r="F1534" s="6">
        <v>21</v>
      </c>
      <c r="G1534" s="8">
        <f t="shared" si="23"/>
        <v>392.65472798500002</v>
      </c>
    </row>
    <row r="1535" spans="1:7" x14ac:dyDescent="0.3">
      <c r="A1535" s="14" t="str">
        <f>VLOOKUP(B1535,'Relacion codigos'!$A:$B,2,FALSE)</f>
        <v>9096</v>
      </c>
      <c r="B1535" s="6" t="s">
        <v>2300</v>
      </c>
      <c r="C1535" s="6" t="s">
        <v>10596</v>
      </c>
      <c r="D1535" s="24">
        <v>1716.9520563000001</v>
      </c>
      <c r="E1535" s="6" t="s">
        <v>5889</v>
      </c>
      <c r="F1535" s="6">
        <v>21</v>
      </c>
      <c r="G1535" s="8">
        <f t="shared" si="23"/>
        <v>1716.9520563000001</v>
      </c>
    </row>
    <row r="1536" spans="1:7" x14ac:dyDescent="0.3">
      <c r="A1536" s="14" t="e">
        <f>VLOOKUP(B1536,'Relacion codigos'!$A:$B,2,FALSE)</f>
        <v>#N/A</v>
      </c>
      <c r="B1536" s="6" t="s">
        <v>12087</v>
      </c>
      <c r="C1536" s="6" t="s">
        <v>12088</v>
      </c>
      <c r="D1536" s="24">
        <v>5344.7366700000002</v>
      </c>
      <c r="E1536" s="6" t="s">
        <v>5889</v>
      </c>
      <c r="F1536" s="6">
        <v>21</v>
      </c>
      <c r="G1536" s="8">
        <f t="shared" si="23"/>
        <v>5344.7366700000002</v>
      </c>
    </row>
    <row r="1537" spans="1:7" x14ac:dyDescent="0.3">
      <c r="A1537" s="14" t="str">
        <f>VLOOKUP(B1537,'Relacion codigos'!$A:$B,2,FALSE)</f>
        <v>9094</v>
      </c>
      <c r="B1537" s="6" t="s">
        <v>2301</v>
      </c>
      <c r="C1537" s="6" t="s">
        <v>10597</v>
      </c>
      <c r="D1537" s="24">
        <v>1252.3173521624999</v>
      </c>
      <c r="E1537" s="6" t="s">
        <v>5889</v>
      </c>
      <c r="F1537" s="6">
        <v>21</v>
      </c>
      <c r="G1537" s="8">
        <f t="shared" si="23"/>
        <v>1252.3173521624999</v>
      </c>
    </row>
    <row r="1538" spans="1:7" x14ac:dyDescent="0.3">
      <c r="A1538" s="14" t="str">
        <f>VLOOKUP(B1538,'Relacion codigos'!$A:$B,2,FALSE)</f>
        <v>9095</v>
      </c>
      <c r="B1538" s="6" t="s">
        <v>2302</v>
      </c>
      <c r="C1538" s="6" t="s">
        <v>10598</v>
      </c>
      <c r="D1538" s="24">
        <v>1686.2888001374999</v>
      </c>
      <c r="E1538" s="6" t="s">
        <v>5889</v>
      </c>
      <c r="F1538" s="6">
        <v>21</v>
      </c>
      <c r="G1538" s="8">
        <f t="shared" ref="G1538:G1601" si="24">IF(E1538="Dolares",D1538*$G$1,D1538)</f>
        <v>1686.2888001374999</v>
      </c>
    </row>
    <row r="1539" spans="1:7" x14ac:dyDescent="0.3">
      <c r="A1539" s="14" t="str">
        <f>VLOOKUP(B1539,'Relacion codigos'!$A:$B,2,FALSE)</f>
        <v>1363</v>
      </c>
      <c r="B1539" s="6" t="s">
        <v>4654</v>
      </c>
      <c r="C1539" s="6" t="s">
        <v>215</v>
      </c>
      <c r="D1539" s="24">
        <v>111.280890239999</v>
      </c>
      <c r="E1539" s="6" t="s">
        <v>5889</v>
      </c>
      <c r="F1539" s="6">
        <v>21</v>
      </c>
      <c r="G1539" s="8">
        <f t="shared" si="24"/>
        <v>111.280890239999</v>
      </c>
    </row>
    <row r="1540" spans="1:7" x14ac:dyDescent="0.3">
      <c r="A1540" s="14" t="e">
        <f>VLOOKUP(B1540,'Relacion codigos'!$A:$B,2,FALSE)</f>
        <v>#N/A</v>
      </c>
      <c r="B1540" s="6" t="s">
        <v>9756</v>
      </c>
      <c r="C1540" s="6" t="s">
        <v>9757</v>
      </c>
      <c r="D1540" s="24">
        <v>0.82625400000000004</v>
      </c>
      <c r="E1540" s="6" t="s">
        <v>5887</v>
      </c>
      <c r="F1540" s="6">
        <v>21</v>
      </c>
      <c r="G1540" s="8">
        <f t="shared" si="24"/>
        <v>1284.8249700000001</v>
      </c>
    </row>
    <row r="1541" spans="1:7" x14ac:dyDescent="0.3">
      <c r="A1541" s="14" t="e">
        <f>VLOOKUP(B1541,'Relacion codigos'!$A:$B,2,FALSE)</f>
        <v>#N/A</v>
      </c>
      <c r="B1541" s="6" t="s">
        <v>9758</v>
      </c>
      <c r="C1541" s="6" t="s">
        <v>9759</v>
      </c>
      <c r="D1541" s="24">
        <v>0.82625400000000004</v>
      </c>
      <c r="E1541" s="6" t="s">
        <v>5887</v>
      </c>
      <c r="F1541" s="6">
        <v>21</v>
      </c>
      <c r="G1541" s="8">
        <f t="shared" si="24"/>
        <v>1284.8249700000001</v>
      </c>
    </row>
    <row r="1542" spans="1:7" x14ac:dyDescent="0.3">
      <c r="A1542" s="14" t="e">
        <f>VLOOKUP(B1542,'Relacion codigos'!$A:$B,2,FALSE)</f>
        <v>#N/A</v>
      </c>
      <c r="B1542" s="6" t="s">
        <v>13079</v>
      </c>
      <c r="C1542" s="6" t="s">
        <v>13080</v>
      </c>
      <c r="D1542" s="24">
        <v>0.69550000000000001</v>
      </c>
      <c r="E1542" s="6" t="s">
        <v>5887</v>
      </c>
      <c r="F1542" s="6">
        <v>21</v>
      </c>
      <c r="G1542" s="8">
        <f t="shared" si="24"/>
        <v>1081.5025000000001</v>
      </c>
    </row>
    <row r="1543" spans="1:7" x14ac:dyDescent="0.3">
      <c r="A1543" s="14" t="e">
        <f>VLOOKUP(B1543,'Relacion codigos'!$A:$B,2,FALSE)</f>
        <v>#N/A</v>
      </c>
      <c r="B1543" s="6" t="s">
        <v>13081</v>
      </c>
      <c r="C1543" s="6" t="s">
        <v>13082</v>
      </c>
      <c r="D1543" s="24">
        <v>0.83460000000000001</v>
      </c>
      <c r="E1543" s="6" t="s">
        <v>5887</v>
      </c>
      <c r="F1543" s="6">
        <v>21</v>
      </c>
      <c r="G1543" s="8">
        <f t="shared" si="24"/>
        <v>1297.8030000000001</v>
      </c>
    </row>
    <row r="1544" spans="1:7" x14ac:dyDescent="0.3">
      <c r="A1544" s="14" t="e">
        <f>VLOOKUP(B1544,'Relacion codigos'!$A:$B,2,FALSE)</f>
        <v>#N/A</v>
      </c>
      <c r="B1544" s="6" t="s">
        <v>10116</v>
      </c>
      <c r="C1544" s="6" t="s">
        <v>10599</v>
      </c>
      <c r="D1544" s="24">
        <v>5047.7701847625003</v>
      </c>
      <c r="E1544" s="6" t="s">
        <v>5889</v>
      </c>
      <c r="F1544" s="6">
        <v>21</v>
      </c>
      <c r="G1544" s="8">
        <f t="shared" si="24"/>
        <v>5047.7701847625003</v>
      </c>
    </row>
    <row r="1545" spans="1:7" x14ac:dyDescent="0.3">
      <c r="A1545" s="14" t="e">
        <f>VLOOKUP(B1545,'Relacion codigos'!$A:$B,2,FALSE)</f>
        <v>#N/A</v>
      </c>
      <c r="B1545" s="6" t="s">
        <v>10117</v>
      </c>
      <c r="C1545" s="6" t="s">
        <v>10118</v>
      </c>
      <c r="D1545" s="24">
        <v>3034.4730550875001</v>
      </c>
      <c r="E1545" s="6" t="s">
        <v>5889</v>
      </c>
      <c r="F1545" s="6">
        <v>21</v>
      </c>
      <c r="G1545" s="8">
        <f t="shared" si="24"/>
        <v>3034.4730550875001</v>
      </c>
    </row>
    <row r="1546" spans="1:7" x14ac:dyDescent="0.3">
      <c r="A1546" s="14" t="str">
        <f>VLOOKUP(B1546,'Relacion codigos'!$A:$B,2,FALSE)</f>
        <v>9099</v>
      </c>
      <c r="B1546" s="6" t="s">
        <v>2297</v>
      </c>
      <c r="C1546" s="6" t="s">
        <v>10600</v>
      </c>
      <c r="D1546" s="24">
        <v>2174.6768983874999</v>
      </c>
      <c r="E1546" s="6" t="s">
        <v>5889</v>
      </c>
      <c r="F1546" s="6">
        <v>21</v>
      </c>
      <c r="G1546" s="8">
        <f t="shared" si="24"/>
        <v>2174.6768983874999</v>
      </c>
    </row>
    <row r="1547" spans="1:7" x14ac:dyDescent="0.3">
      <c r="A1547" s="14" t="e">
        <f>VLOOKUP(B1547,'Relacion codigos'!$A:$B,2,FALSE)</f>
        <v>#N/A</v>
      </c>
      <c r="B1547" s="6" t="s">
        <v>12089</v>
      </c>
      <c r="C1547" s="6" t="s">
        <v>12090</v>
      </c>
      <c r="D1547" s="24">
        <v>6616.3386027375</v>
      </c>
      <c r="E1547" s="6" t="s">
        <v>5889</v>
      </c>
      <c r="F1547" s="6">
        <v>21</v>
      </c>
      <c r="G1547" s="8">
        <f t="shared" si="24"/>
        <v>6616.3386027375</v>
      </c>
    </row>
    <row r="1548" spans="1:7" x14ac:dyDescent="0.3">
      <c r="A1548" s="14" t="str">
        <f>VLOOKUP(B1548,'Relacion codigos'!$A:$B,2,FALSE)</f>
        <v>9097</v>
      </c>
      <c r="B1548" s="6" t="s">
        <v>2298</v>
      </c>
      <c r="C1548" s="6" t="s">
        <v>10601</v>
      </c>
      <c r="D1548" s="24">
        <v>1655.4649878</v>
      </c>
      <c r="E1548" s="6" t="s">
        <v>5889</v>
      </c>
      <c r="F1548" s="6">
        <v>21</v>
      </c>
      <c r="G1548" s="8">
        <f t="shared" si="24"/>
        <v>1655.4649878</v>
      </c>
    </row>
    <row r="1549" spans="1:7" x14ac:dyDescent="0.3">
      <c r="A1549" s="14" t="str">
        <f>VLOOKUP(B1549,'Relacion codigos'!$A:$B,2,FALSE)</f>
        <v>9098</v>
      </c>
      <c r="B1549" s="6" t="s">
        <v>2299</v>
      </c>
      <c r="C1549" s="6" t="s">
        <v>10602</v>
      </c>
      <c r="D1549" s="24">
        <v>1954.9527996375</v>
      </c>
      <c r="E1549" s="6" t="s">
        <v>5889</v>
      </c>
      <c r="F1549" s="6">
        <v>21</v>
      </c>
      <c r="G1549" s="8">
        <f t="shared" si="24"/>
        <v>1954.9527996375</v>
      </c>
    </row>
    <row r="1550" spans="1:7" x14ac:dyDescent="0.3">
      <c r="A1550" s="14" t="str">
        <f>VLOOKUP(B1550,'Relacion codigos'!$A:$B,2,FALSE)</f>
        <v>9251</v>
      </c>
      <c r="B1550" s="6" t="s">
        <v>4239</v>
      </c>
      <c r="C1550" s="6" t="s">
        <v>1237</v>
      </c>
      <c r="D1550" s="24">
        <v>0.4173</v>
      </c>
      <c r="E1550" s="6" t="s">
        <v>5887</v>
      </c>
      <c r="F1550" s="6">
        <v>21</v>
      </c>
      <c r="G1550" s="8">
        <f t="shared" si="24"/>
        <v>648.90150000000006</v>
      </c>
    </row>
    <row r="1551" spans="1:7" x14ac:dyDescent="0.3">
      <c r="A1551" s="14" t="e">
        <f>VLOOKUP(B1551,'Relacion codigos'!$A:$B,2,FALSE)</f>
        <v>#N/A</v>
      </c>
      <c r="B1551" s="6" t="s">
        <v>12696</v>
      </c>
      <c r="C1551" s="6" t="s">
        <v>12697</v>
      </c>
      <c r="D1551" s="24">
        <v>3.26900301</v>
      </c>
      <c r="E1551" s="6" t="s">
        <v>5887</v>
      </c>
      <c r="F1551" s="6">
        <v>21</v>
      </c>
      <c r="G1551" s="8">
        <f t="shared" si="24"/>
        <v>5083.2996805499997</v>
      </c>
    </row>
    <row r="1552" spans="1:7" x14ac:dyDescent="0.3">
      <c r="A1552" s="14" t="str">
        <f>VLOOKUP(B1552,'Relacion codigos'!$A:$B,2,FALSE)</f>
        <v>6667</v>
      </c>
      <c r="B1552" s="6" t="s">
        <v>3902</v>
      </c>
      <c r="C1552" s="6" t="s">
        <v>216</v>
      </c>
      <c r="D1552" s="24">
        <v>2627.4918929999999</v>
      </c>
      <c r="E1552" s="6" t="s">
        <v>5889</v>
      </c>
      <c r="F1552" s="6">
        <v>21</v>
      </c>
      <c r="G1552" s="8">
        <f t="shared" si="24"/>
        <v>2627.4918929999999</v>
      </c>
    </row>
    <row r="1553" spans="1:7" x14ac:dyDescent="0.3">
      <c r="A1553" s="14" t="e">
        <f>VLOOKUP(B1553,'Relacion codigos'!$A:$B,2,FALSE)</f>
        <v>#N/A</v>
      </c>
      <c r="B1553" s="6" t="s">
        <v>13682</v>
      </c>
      <c r="C1553" s="6" t="s">
        <v>13816</v>
      </c>
      <c r="D1553" s="24">
        <v>2.01718647</v>
      </c>
      <c r="E1553" s="6" t="s">
        <v>5887</v>
      </c>
      <c r="F1553" s="6">
        <v>21</v>
      </c>
      <c r="G1553" s="8">
        <f t="shared" si="24"/>
        <v>3136.7249608500001</v>
      </c>
    </row>
    <row r="1554" spans="1:7" x14ac:dyDescent="0.3">
      <c r="A1554" s="14" t="e">
        <f>VLOOKUP(B1554,'Relacion codigos'!$A:$B,2,FALSE)</f>
        <v>#N/A</v>
      </c>
      <c r="B1554" s="6" t="s">
        <v>13679</v>
      </c>
      <c r="C1554" s="6" t="s">
        <v>13817</v>
      </c>
      <c r="D1554" s="24">
        <v>0.44141994000000001</v>
      </c>
      <c r="E1554" s="6" t="s">
        <v>5887</v>
      </c>
      <c r="F1554" s="6">
        <v>21</v>
      </c>
      <c r="G1554" s="8">
        <f t="shared" si="24"/>
        <v>686.40800669999999</v>
      </c>
    </row>
    <row r="1555" spans="1:7" x14ac:dyDescent="0.3">
      <c r="A1555" s="14" t="e">
        <f>VLOOKUP(B1555,'Relacion codigos'!$A:$B,2,FALSE)</f>
        <v>#N/A</v>
      </c>
      <c r="B1555" s="6" t="s">
        <v>13684</v>
      </c>
      <c r="C1555" s="6" t="s">
        <v>13818</v>
      </c>
      <c r="D1555" s="24">
        <v>0.79044966000000005</v>
      </c>
      <c r="E1555" s="6" t="s">
        <v>5887</v>
      </c>
      <c r="F1555" s="6">
        <v>21</v>
      </c>
      <c r="G1555" s="8">
        <f t="shared" si="24"/>
        <v>1229.1492213000001</v>
      </c>
    </row>
    <row r="1556" spans="1:7" x14ac:dyDescent="0.3">
      <c r="A1556" s="14" t="e">
        <f>VLOOKUP(B1556,'Relacion codigos'!$A:$B,2,FALSE)</f>
        <v>#N/A</v>
      </c>
      <c r="B1556" s="6" t="s">
        <v>13680</v>
      </c>
      <c r="C1556" s="6" t="s">
        <v>13819</v>
      </c>
      <c r="D1556" s="24">
        <v>0.54920853000000003</v>
      </c>
      <c r="E1556" s="6" t="s">
        <v>5887</v>
      </c>
      <c r="F1556" s="6">
        <v>21</v>
      </c>
      <c r="G1556" s="8">
        <f t="shared" si="24"/>
        <v>854.01926415000003</v>
      </c>
    </row>
    <row r="1557" spans="1:7" x14ac:dyDescent="0.3">
      <c r="A1557" s="14" t="e">
        <f>VLOOKUP(B1557,'Relacion codigos'!$A:$B,2,FALSE)</f>
        <v>#N/A</v>
      </c>
      <c r="B1557" s="6" t="s">
        <v>13685</v>
      </c>
      <c r="C1557" s="6" t="s">
        <v>13820</v>
      </c>
      <c r="D1557" s="24">
        <v>1.0060268400000001</v>
      </c>
      <c r="E1557" s="6" t="s">
        <v>5887</v>
      </c>
      <c r="F1557" s="6">
        <v>21</v>
      </c>
      <c r="G1557" s="8">
        <f t="shared" si="24"/>
        <v>1564.3717362000002</v>
      </c>
    </row>
    <row r="1558" spans="1:7" x14ac:dyDescent="0.3">
      <c r="A1558" s="14" t="e">
        <f>VLOOKUP(B1558,'Relacion codigos'!$A:$B,2,FALSE)</f>
        <v>#N/A</v>
      </c>
      <c r="B1558" s="6" t="s">
        <v>13681</v>
      </c>
      <c r="C1558" s="6" t="s">
        <v>13821</v>
      </c>
      <c r="D1558" s="24">
        <v>0.85717593000000003</v>
      </c>
      <c r="E1558" s="6" t="s">
        <v>5887</v>
      </c>
      <c r="F1558" s="6">
        <v>21</v>
      </c>
      <c r="G1558" s="8">
        <f t="shared" si="24"/>
        <v>1332.9085711499999</v>
      </c>
    </row>
    <row r="1559" spans="1:7" x14ac:dyDescent="0.3">
      <c r="A1559" s="14" t="e">
        <f>VLOOKUP(B1559,'Relacion codigos'!$A:$B,2,FALSE)</f>
        <v>#N/A</v>
      </c>
      <c r="B1559" s="6" t="s">
        <v>13686</v>
      </c>
      <c r="C1559" s="6" t="s">
        <v>13822</v>
      </c>
      <c r="D1559" s="24">
        <v>1.6014304800000001</v>
      </c>
      <c r="E1559" s="6" t="s">
        <v>5887</v>
      </c>
      <c r="F1559" s="6">
        <v>21</v>
      </c>
      <c r="G1559" s="8">
        <f t="shared" si="24"/>
        <v>2490.2243963999999</v>
      </c>
    </row>
    <row r="1560" spans="1:7" x14ac:dyDescent="0.3">
      <c r="A1560" s="14" t="e">
        <f>VLOOKUP(B1560,'Relacion codigos'!$A:$B,2,FALSE)</f>
        <v>#N/A</v>
      </c>
      <c r="B1560" s="6" t="s">
        <v>13683</v>
      </c>
      <c r="C1560" s="6" t="s">
        <v>13823</v>
      </c>
      <c r="D1560" s="24">
        <v>0.54920853000000003</v>
      </c>
      <c r="E1560" s="6" t="s">
        <v>5887</v>
      </c>
      <c r="F1560" s="6">
        <v>21</v>
      </c>
      <c r="G1560" s="8">
        <f t="shared" si="24"/>
        <v>854.01926415000003</v>
      </c>
    </row>
    <row r="1561" spans="1:7" x14ac:dyDescent="0.3">
      <c r="A1561" s="14" t="str">
        <f>VLOOKUP(B1561,'Relacion codigos'!$A:$B,2,FALSE)</f>
        <v>1438</v>
      </c>
      <c r="B1561" s="6" t="s">
        <v>2251</v>
      </c>
      <c r="C1561" s="6" t="s">
        <v>217</v>
      </c>
      <c r="D1561" s="24">
        <v>1227.3543357562501</v>
      </c>
      <c r="E1561" s="6" t="s">
        <v>5889</v>
      </c>
      <c r="F1561" s="6">
        <v>21</v>
      </c>
      <c r="G1561" s="8">
        <f t="shared" si="24"/>
        <v>1227.3543357562501</v>
      </c>
    </row>
    <row r="1562" spans="1:7" x14ac:dyDescent="0.3">
      <c r="A1562" s="14" t="str">
        <f>VLOOKUP(B1562,'Relacion codigos'!$A:$B,2,FALSE)</f>
        <v>1073</v>
      </c>
      <c r="B1562" s="6" t="s">
        <v>2252</v>
      </c>
      <c r="C1562" s="6" t="s">
        <v>218</v>
      </c>
      <c r="D1562" s="24">
        <v>1125.0724539437499</v>
      </c>
      <c r="E1562" s="6" t="s">
        <v>5889</v>
      </c>
      <c r="F1562" s="6">
        <v>21</v>
      </c>
      <c r="G1562" s="8">
        <f t="shared" si="24"/>
        <v>1125.0724539437499</v>
      </c>
    </row>
    <row r="1563" spans="1:7" x14ac:dyDescent="0.3">
      <c r="A1563" s="14" t="str">
        <f>VLOOKUP(B1563,'Relacion codigos'!$A:$B,2,FALSE)</f>
        <v>185</v>
      </c>
      <c r="B1563" s="6" t="s">
        <v>2253</v>
      </c>
      <c r="C1563" s="6" t="s">
        <v>219</v>
      </c>
      <c r="D1563" s="24">
        <v>485.82795405625001</v>
      </c>
      <c r="E1563" s="6" t="s">
        <v>5889</v>
      </c>
      <c r="F1563" s="6">
        <v>21</v>
      </c>
      <c r="G1563" s="8">
        <f t="shared" si="24"/>
        <v>485.82795405625001</v>
      </c>
    </row>
    <row r="1564" spans="1:7" x14ac:dyDescent="0.3">
      <c r="A1564" s="14" t="str">
        <f>VLOOKUP(B1564,'Relacion codigos'!$A:$B,2,FALSE)</f>
        <v>1444</v>
      </c>
      <c r="B1564" s="6" t="s">
        <v>2254</v>
      </c>
      <c r="C1564" s="6" t="s">
        <v>220</v>
      </c>
      <c r="D1564" s="24">
        <v>1712.71466169375</v>
      </c>
      <c r="E1564" s="6" t="s">
        <v>5889</v>
      </c>
      <c r="F1564" s="6">
        <v>21</v>
      </c>
      <c r="G1564" s="8">
        <f t="shared" si="24"/>
        <v>1712.71466169375</v>
      </c>
    </row>
    <row r="1565" spans="1:7" x14ac:dyDescent="0.3">
      <c r="A1565" s="14" t="str">
        <f>VLOOKUP(B1565,'Relacion codigos'!$A:$B,2,FALSE)</f>
        <v>183</v>
      </c>
      <c r="B1565" s="6" t="s">
        <v>2255</v>
      </c>
      <c r="C1565" s="6" t="s">
        <v>221</v>
      </c>
      <c r="D1565" s="24">
        <v>259.48966769374999</v>
      </c>
      <c r="E1565" s="6" t="s">
        <v>5889</v>
      </c>
      <c r="F1565" s="6">
        <v>21</v>
      </c>
      <c r="G1565" s="8">
        <f t="shared" si="24"/>
        <v>259.48966769374999</v>
      </c>
    </row>
    <row r="1566" spans="1:7" x14ac:dyDescent="0.3">
      <c r="A1566" s="14" t="str">
        <f>VLOOKUP(B1566,'Relacion codigos'!$A:$B,2,FALSE)</f>
        <v>182</v>
      </c>
      <c r="B1566" s="6" t="s">
        <v>2256</v>
      </c>
      <c r="C1566" s="6" t="s">
        <v>222</v>
      </c>
      <c r="D1566" s="24">
        <v>259.48966769374999</v>
      </c>
      <c r="E1566" s="6" t="s">
        <v>5889</v>
      </c>
      <c r="F1566" s="6">
        <v>21</v>
      </c>
      <c r="G1566" s="8">
        <f t="shared" si="24"/>
        <v>259.48966769374999</v>
      </c>
    </row>
    <row r="1567" spans="1:7" x14ac:dyDescent="0.3">
      <c r="A1567" s="14" t="str">
        <f>VLOOKUP(B1567,'Relacion codigos'!$A:$B,2,FALSE)</f>
        <v>184</v>
      </c>
      <c r="B1567" s="6" t="s">
        <v>2257</v>
      </c>
      <c r="C1567" s="6" t="s">
        <v>223</v>
      </c>
      <c r="D1567" s="24">
        <v>398.8899237375</v>
      </c>
      <c r="E1567" s="6" t="s">
        <v>5889</v>
      </c>
      <c r="F1567" s="6">
        <v>21</v>
      </c>
      <c r="G1567" s="8">
        <f t="shared" si="24"/>
        <v>398.8899237375</v>
      </c>
    </row>
    <row r="1568" spans="1:7" x14ac:dyDescent="0.3">
      <c r="A1568" s="14" t="str">
        <f>VLOOKUP(B1568,'Relacion codigos'!$A:$B,2,FALSE)</f>
        <v>824</v>
      </c>
      <c r="B1568" s="6" t="s">
        <v>4977</v>
      </c>
      <c r="C1568" s="6" t="s">
        <v>224</v>
      </c>
      <c r="D1568" s="24">
        <v>2819.4680701965699</v>
      </c>
      <c r="E1568" s="6" t="s">
        <v>5889</v>
      </c>
      <c r="F1568" s="6">
        <v>10.5</v>
      </c>
      <c r="G1568" s="8">
        <f t="shared" si="24"/>
        <v>2819.4680701965699</v>
      </c>
    </row>
    <row r="1569" spans="1:7" x14ac:dyDescent="0.3">
      <c r="A1569" s="14" t="str">
        <f>VLOOKUP(B1569,'Relacion codigos'!$A:$B,2,FALSE)</f>
        <v>825</v>
      </c>
      <c r="B1569" s="6" t="s">
        <v>4978</v>
      </c>
      <c r="C1569" s="6" t="s">
        <v>225</v>
      </c>
      <c r="D1569" s="24">
        <v>2337.0097552428001</v>
      </c>
      <c r="E1569" s="6" t="s">
        <v>5889</v>
      </c>
      <c r="F1569" s="6">
        <v>21</v>
      </c>
      <c r="G1569" s="8">
        <f t="shared" si="24"/>
        <v>2337.0097552428001</v>
      </c>
    </row>
    <row r="1570" spans="1:7" x14ac:dyDescent="0.3">
      <c r="A1570" s="14" t="str">
        <f>VLOOKUP(B1570,'Relacion codigos'!$A:$B,2,FALSE)</f>
        <v>826</v>
      </c>
      <c r="B1570" s="6" t="s">
        <v>4979</v>
      </c>
      <c r="C1570" s="6" t="s">
        <v>226</v>
      </c>
      <c r="D1570" s="24">
        <v>4739.5126541658201</v>
      </c>
      <c r="E1570" s="6" t="s">
        <v>5889</v>
      </c>
      <c r="F1570" s="6">
        <v>10.5</v>
      </c>
      <c r="G1570" s="8">
        <f t="shared" si="24"/>
        <v>4739.5126541658201</v>
      </c>
    </row>
    <row r="1571" spans="1:7" x14ac:dyDescent="0.3">
      <c r="A1571" s="14" t="str">
        <f>VLOOKUP(B1571,'Relacion codigos'!$A:$B,2,FALSE)</f>
        <v>827</v>
      </c>
      <c r="B1571" s="6" t="s">
        <v>4980</v>
      </c>
      <c r="C1571" s="6" t="s">
        <v>227</v>
      </c>
      <c r="D1571" s="24">
        <v>3758.0148858462899</v>
      </c>
      <c r="E1571" s="6" t="s">
        <v>5889</v>
      </c>
      <c r="F1571" s="6">
        <v>21</v>
      </c>
      <c r="G1571" s="8">
        <f t="shared" si="24"/>
        <v>3758.0148858462899</v>
      </c>
    </row>
    <row r="1572" spans="1:7" x14ac:dyDescent="0.3">
      <c r="A1572" s="14" t="str">
        <f>VLOOKUP(B1572,'Relacion codigos'!$A:$B,2,FALSE)</f>
        <v>828</v>
      </c>
      <c r="B1572" s="6" t="s">
        <v>4981</v>
      </c>
      <c r="C1572" s="6" t="s">
        <v>228</v>
      </c>
      <c r="D1572" s="24">
        <v>4418.09688125295</v>
      </c>
      <c r="E1572" s="6" t="s">
        <v>5889</v>
      </c>
      <c r="F1572" s="6">
        <v>10.5</v>
      </c>
      <c r="G1572" s="8">
        <f t="shared" si="24"/>
        <v>4418.09688125295</v>
      </c>
    </row>
    <row r="1573" spans="1:7" x14ac:dyDescent="0.3">
      <c r="A1573" s="14" t="str">
        <f>VLOOKUP(B1573,'Relacion codigos'!$A:$B,2,FALSE)</f>
        <v>6046</v>
      </c>
      <c r="B1573" s="6" t="s">
        <v>4982</v>
      </c>
      <c r="C1573" s="6" t="s">
        <v>229</v>
      </c>
      <c r="D1573" s="24">
        <v>4673.0835206477996</v>
      </c>
      <c r="E1573" s="6" t="s">
        <v>5889</v>
      </c>
      <c r="F1573" s="6">
        <v>21</v>
      </c>
      <c r="G1573" s="8">
        <f t="shared" si="24"/>
        <v>4673.0835206477996</v>
      </c>
    </row>
    <row r="1574" spans="1:7" x14ac:dyDescent="0.3">
      <c r="A1574" s="14" t="str">
        <f>VLOOKUP(B1574,'Relacion codigos'!$A:$B,2,FALSE)</f>
        <v>830</v>
      </c>
      <c r="B1574" s="6" t="s">
        <v>4983</v>
      </c>
      <c r="C1574" s="6" t="s">
        <v>230</v>
      </c>
      <c r="D1574" s="24">
        <v>3711.3147448316799</v>
      </c>
      <c r="E1574" s="6" t="s">
        <v>5889</v>
      </c>
      <c r="F1574" s="6">
        <v>21</v>
      </c>
      <c r="G1574" s="8">
        <f t="shared" si="24"/>
        <v>3711.3147448316799</v>
      </c>
    </row>
    <row r="1575" spans="1:7" x14ac:dyDescent="0.3">
      <c r="A1575" s="14" t="str">
        <f>VLOOKUP(B1575,'Relacion codigos'!$A:$B,2,FALSE)</f>
        <v>829</v>
      </c>
      <c r="B1575" s="6" t="s">
        <v>4984</v>
      </c>
      <c r="C1575" s="6" t="s">
        <v>231</v>
      </c>
      <c r="D1575" s="24">
        <v>2883.3402258894698</v>
      </c>
      <c r="E1575" s="6" t="s">
        <v>5889</v>
      </c>
      <c r="F1575" s="6">
        <v>21</v>
      </c>
      <c r="G1575" s="8">
        <f t="shared" si="24"/>
        <v>2883.3402258894698</v>
      </c>
    </row>
    <row r="1576" spans="1:7" x14ac:dyDescent="0.3">
      <c r="A1576" s="14" t="str">
        <f>VLOOKUP(B1576,'Relacion codigos'!$A:$B,2,FALSE)</f>
        <v>3585</v>
      </c>
      <c r="B1576" s="6" t="s">
        <v>3815</v>
      </c>
      <c r="C1576" s="6" t="s">
        <v>9183</v>
      </c>
      <c r="D1576" s="24">
        <v>3858.634</v>
      </c>
      <c r="E1576" s="6" t="s">
        <v>5889</v>
      </c>
      <c r="F1576" s="6">
        <v>21</v>
      </c>
      <c r="G1576" s="8">
        <f t="shared" si="24"/>
        <v>3858.634</v>
      </c>
    </row>
    <row r="1577" spans="1:7" x14ac:dyDescent="0.3">
      <c r="A1577" s="14" t="str">
        <f>VLOOKUP(B1577,'Relacion codigos'!$A:$B,2,FALSE)</f>
        <v>3586</v>
      </c>
      <c r="B1577" s="6" t="s">
        <v>3816</v>
      </c>
      <c r="C1577" s="6" t="s">
        <v>9184</v>
      </c>
      <c r="D1577" s="24">
        <v>3858.634</v>
      </c>
      <c r="E1577" s="6" t="s">
        <v>5889</v>
      </c>
      <c r="F1577" s="6">
        <v>21</v>
      </c>
      <c r="G1577" s="8">
        <f t="shared" si="24"/>
        <v>3858.634</v>
      </c>
    </row>
    <row r="1578" spans="1:7" x14ac:dyDescent="0.3">
      <c r="A1578" s="14" t="e">
        <f>VLOOKUP(B1578,'Relacion codigos'!$A:$B,2,FALSE)</f>
        <v>#N/A</v>
      </c>
      <c r="B1578" s="6" t="s">
        <v>10780</v>
      </c>
      <c r="C1578" s="6" t="s">
        <v>13265</v>
      </c>
      <c r="D1578" s="24">
        <v>3217.3829999999998</v>
      </c>
      <c r="E1578" s="6" t="s">
        <v>5889</v>
      </c>
      <c r="F1578" s="6">
        <v>21</v>
      </c>
      <c r="G1578" s="8">
        <f t="shared" si="24"/>
        <v>3217.3829999999998</v>
      </c>
    </row>
    <row r="1579" spans="1:7" x14ac:dyDescent="0.3">
      <c r="A1579" s="14" t="e">
        <f>VLOOKUP(B1579,'Relacion codigos'!$A:$B,2,FALSE)</f>
        <v>#N/A</v>
      </c>
      <c r="B1579" s="6" t="s">
        <v>13266</v>
      </c>
      <c r="C1579" s="6" t="s">
        <v>13267</v>
      </c>
      <c r="D1579" s="24">
        <v>3217.3829999999998</v>
      </c>
      <c r="E1579" s="6" t="s">
        <v>5889</v>
      </c>
      <c r="F1579" s="6">
        <v>21</v>
      </c>
      <c r="G1579" s="8">
        <f t="shared" si="24"/>
        <v>3217.3829999999998</v>
      </c>
    </row>
    <row r="1580" spans="1:7" x14ac:dyDescent="0.3">
      <c r="A1580" s="14" t="str">
        <f>VLOOKUP(B1580,'Relacion codigos'!$A:$B,2,FALSE)</f>
        <v>6569</v>
      </c>
      <c r="B1580" s="6" t="s">
        <v>1745</v>
      </c>
      <c r="C1580" s="6" t="s">
        <v>8915</v>
      </c>
      <c r="D1580" s="24">
        <v>13115.533688400001</v>
      </c>
      <c r="E1580" s="6" t="s">
        <v>5889</v>
      </c>
      <c r="F1580" s="6">
        <v>21</v>
      </c>
      <c r="G1580" s="8">
        <f t="shared" si="24"/>
        <v>13115.533688400001</v>
      </c>
    </row>
    <row r="1581" spans="1:7" x14ac:dyDescent="0.3">
      <c r="A1581" s="14" t="str">
        <f>VLOOKUP(B1581,'Relacion codigos'!$A:$B,2,FALSE)</f>
        <v>8973</v>
      </c>
      <c r="B1581" s="6" t="s">
        <v>4968</v>
      </c>
      <c r="C1581" s="6" t="s">
        <v>9229</v>
      </c>
      <c r="D1581" s="24">
        <v>9565.1938923400103</v>
      </c>
      <c r="E1581" s="6" t="s">
        <v>5889</v>
      </c>
      <c r="F1581" s="6">
        <v>10.5</v>
      </c>
      <c r="G1581" s="8">
        <f t="shared" si="24"/>
        <v>9565.1938923400103</v>
      </c>
    </row>
    <row r="1582" spans="1:7" x14ac:dyDescent="0.3">
      <c r="A1582" s="14" t="str">
        <f>VLOOKUP(B1582,'Relacion codigos'!$A:$B,2,FALSE)</f>
        <v>8977</v>
      </c>
      <c r="B1582" s="6" t="s">
        <v>4969</v>
      </c>
      <c r="C1582" s="6" t="s">
        <v>9230</v>
      </c>
      <c r="D1582" s="24">
        <v>9565.1938923400103</v>
      </c>
      <c r="E1582" s="6" t="s">
        <v>5889</v>
      </c>
      <c r="F1582" s="6">
        <v>10.5</v>
      </c>
      <c r="G1582" s="8">
        <f t="shared" si="24"/>
        <v>9565.1938923400103</v>
      </c>
    </row>
    <row r="1583" spans="1:7" x14ac:dyDescent="0.3">
      <c r="A1583" s="14" t="str">
        <f>VLOOKUP(B1583,'Relacion codigos'!$A:$B,2,FALSE)</f>
        <v>8974</v>
      </c>
      <c r="B1583" s="6" t="s">
        <v>4970</v>
      </c>
      <c r="C1583" s="6" t="s">
        <v>9185</v>
      </c>
      <c r="D1583" s="24">
        <v>9565.1938923400103</v>
      </c>
      <c r="E1583" s="6" t="s">
        <v>5889</v>
      </c>
      <c r="F1583" s="6">
        <v>10.5</v>
      </c>
      <c r="G1583" s="8">
        <f t="shared" si="24"/>
        <v>9565.1938923400103</v>
      </c>
    </row>
    <row r="1584" spans="1:7" x14ac:dyDescent="0.3">
      <c r="A1584" s="14" t="str">
        <f>VLOOKUP(B1584,'Relacion codigos'!$A:$B,2,FALSE)</f>
        <v>8972</v>
      </c>
      <c r="B1584" s="6" t="s">
        <v>4971</v>
      </c>
      <c r="C1584" s="6" t="s">
        <v>9186</v>
      </c>
      <c r="D1584" s="24">
        <v>9565.1938923400103</v>
      </c>
      <c r="E1584" s="6" t="s">
        <v>5889</v>
      </c>
      <c r="F1584" s="6">
        <v>10.5</v>
      </c>
      <c r="G1584" s="8">
        <f t="shared" si="24"/>
        <v>9565.1938923400103</v>
      </c>
    </row>
    <row r="1585" spans="1:7" x14ac:dyDescent="0.3">
      <c r="A1585" s="14" t="str">
        <f>VLOOKUP(B1585,'Relacion codigos'!$A:$B,2,FALSE)</f>
        <v>8969</v>
      </c>
      <c r="B1585" s="6" t="s">
        <v>4972</v>
      </c>
      <c r="C1585" s="6" t="s">
        <v>9187</v>
      </c>
      <c r="D1585" s="24">
        <v>9565.1938923400103</v>
      </c>
      <c r="E1585" s="6" t="s">
        <v>5889</v>
      </c>
      <c r="F1585" s="6">
        <v>10.5</v>
      </c>
      <c r="G1585" s="8">
        <f t="shared" si="24"/>
        <v>9565.1938923400103</v>
      </c>
    </row>
    <row r="1586" spans="1:7" x14ac:dyDescent="0.3">
      <c r="A1586" s="14" t="str">
        <f>VLOOKUP(B1586,'Relacion codigos'!$A:$B,2,FALSE)</f>
        <v>8975</v>
      </c>
      <c r="B1586" s="6" t="s">
        <v>4975</v>
      </c>
      <c r="C1586" s="6" t="s">
        <v>10603</v>
      </c>
      <c r="D1586" s="24">
        <v>9565.1938923400103</v>
      </c>
      <c r="E1586" s="6" t="s">
        <v>5889</v>
      </c>
      <c r="F1586" s="6">
        <v>10.5</v>
      </c>
      <c r="G1586" s="8">
        <f t="shared" si="24"/>
        <v>9565.1938923400103</v>
      </c>
    </row>
    <row r="1587" spans="1:7" x14ac:dyDescent="0.3">
      <c r="A1587" s="14" t="str">
        <f>VLOOKUP(B1587,'Relacion codigos'!$A:$B,2,FALSE)</f>
        <v>8970</v>
      </c>
      <c r="B1587" s="6" t="s">
        <v>4973</v>
      </c>
      <c r="C1587" s="6" t="s">
        <v>9188</v>
      </c>
      <c r="D1587" s="24">
        <v>9565.1938923400103</v>
      </c>
      <c r="E1587" s="6" t="s">
        <v>5889</v>
      </c>
      <c r="F1587" s="6">
        <v>10.5</v>
      </c>
      <c r="G1587" s="8">
        <f t="shared" si="24"/>
        <v>9565.1938923400103</v>
      </c>
    </row>
    <row r="1588" spans="1:7" x14ac:dyDescent="0.3">
      <c r="A1588" s="14" t="str">
        <f>VLOOKUP(B1588,'Relacion codigos'!$A:$B,2,FALSE)</f>
        <v>8978</v>
      </c>
      <c r="B1588" s="6" t="s">
        <v>4967</v>
      </c>
      <c r="C1588" s="6" t="s">
        <v>10604</v>
      </c>
      <c r="D1588" s="24">
        <v>9565.1938923400103</v>
      </c>
      <c r="E1588" s="6" t="s">
        <v>5889</v>
      </c>
      <c r="F1588" s="6">
        <v>10.5</v>
      </c>
      <c r="G1588" s="8">
        <f t="shared" si="24"/>
        <v>9565.1938923400103</v>
      </c>
    </row>
    <row r="1589" spans="1:7" x14ac:dyDescent="0.3">
      <c r="A1589" s="14" t="str">
        <f>VLOOKUP(B1589,'Relacion codigos'!$A:$B,2,FALSE)</f>
        <v>8971</v>
      </c>
      <c r="B1589" s="6" t="s">
        <v>4974</v>
      </c>
      <c r="C1589" s="6" t="s">
        <v>9189</v>
      </c>
      <c r="D1589" s="24">
        <v>9565.1844801506904</v>
      </c>
      <c r="E1589" s="6" t="s">
        <v>5889</v>
      </c>
      <c r="F1589" s="6">
        <v>10.5</v>
      </c>
      <c r="G1589" s="8">
        <f t="shared" si="24"/>
        <v>9565.1844801506904</v>
      </c>
    </row>
    <row r="1590" spans="1:7" x14ac:dyDescent="0.3">
      <c r="A1590" s="14" t="str">
        <f>VLOOKUP(B1590,'Relacion codigos'!$A:$B,2,FALSE)</f>
        <v>8976</v>
      </c>
      <c r="B1590" s="6" t="s">
        <v>4976</v>
      </c>
      <c r="C1590" s="6" t="s">
        <v>9190</v>
      </c>
      <c r="D1590" s="24">
        <v>9565.1844801506904</v>
      </c>
      <c r="E1590" s="6" t="s">
        <v>5889</v>
      </c>
      <c r="F1590" s="6">
        <v>10.5</v>
      </c>
      <c r="G1590" s="8">
        <f t="shared" si="24"/>
        <v>9565.1844801506904</v>
      </c>
    </row>
    <row r="1591" spans="1:7" x14ac:dyDescent="0.3">
      <c r="A1591" s="14" t="str">
        <f>VLOOKUP(B1591,'Relacion codigos'!$A:$B,2,FALSE)</f>
        <v>8241</v>
      </c>
      <c r="B1591" s="6" t="s">
        <v>3452</v>
      </c>
      <c r="C1591" s="6" t="s">
        <v>11372</v>
      </c>
      <c r="D1591" s="24">
        <v>620.38599999999997</v>
      </c>
      <c r="E1591" s="6" t="s">
        <v>5889</v>
      </c>
      <c r="F1591" s="6">
        <v>21</v>
      </c>
      <c r="G1591" s="8">
        <f t="shared" si="24"/>
        <v>620.38599999999997</v>
      </c>
    </row>
    <row r="1592" spans="1:7" x14ac:dyDescent="0.3">
      <c r="A1592" s="14" t="str">
        <f>VLOOKUP(B1592,'Relacion codigos'!$A:$B,2,FALSE)</f>
        <v>8242</v>
      </c>
      <c r="B1592" s="6" t="s">
        <v>3453</v>
      </c>
      <c r="C1592" s="6" t="s">
        <v>11373</v>
      </c>
      <c r="D1592" s="24">
        <v>620.38599999999997</v>
      </c>
      <c r="E1592" s="6" t="s">
        <v>5889</v>
      </c>
      <c r="F1592" s="6">
        <v>21</v>
      </c>
      <c r="G1592" s="8">
        <f t="shared" si="24"/>
        <v>620.38599999999997</v>
      </c>
    </row>
    <row r="1593" spans="1:7" x14ac:dyDescent="0.3">
      <c r="A1593" s="14" t="e">
        <f>VLOOKUP(B1593,'Relacion codigos'!$A:$B,2,FALSE)</f>
        <v>#N/A</v>
      </c>
      <c r="B1593" s="6" t="s">
        <v>13037</v>
      </c>
      <c r="C1593" s="6" t="s">
        <v>13038</v>
      </c>
      <c r="D1593" s="24">
        <v>620.38599999999997</v>
      </c>
      <c r="E1593" s="6" t="s">
        <v>5889</v>
      </c>
      <c r="F1593" s="6">
        <v>21</v>
      </c>
      <c r="G1593" s="8">
        <f t="shared" si="24"/>
        <v>620.38599999999997</v>
      </c>
    </row>
    <row r="1594" spans="1:7" x14ac:dyDescent="0.3">
      <c r="A1594" s="14" t="e">
        <f>VLOOKUP(B1594,'Relacion codigos'!$A:$B,2,FALSE)</f>
        <v>#N/A</v>
      </c>
      <c r="B1594" s="6" t="s">
        <v>10943</v>
      </c>
      <c r="C1594" s="6" t="s">
        <v>10944</v>
      </c>
      <c r="D1594" s="24">
        <v>8.6540999999999997</v>
      </c>
      <c r="E1594" s="6" t="s">
        <v>5887</v>
      </c>
      <c r="F1594" s="6">
        <v>21</v>
      </c>
      <c r="G1594" s="8">
        <f t="shared" si="24"/>
        <v>13457.1255</v>
      </c>
    </row>
    <row r="1595" spans="1:7" x14ac:dyDescent="0.3">
      <c r="A1595" s="14" t="e">
        <f>VLOOKUP(B1595,'Relacion codigos'!$A:$B,2,FALSE)</f>
        <v>#N/A</v>
      </c>
      <c r="B1595" s="6" t="s">
        <v>10945</v>
      </c>
      <c r="C1595" s="6" t="s">
        <v>11899</v>
      </c>
      <c r="D1595" s="24">
        <v>4.0677000000000003</v>
      </c>
      <c r="E1595" s="6" t="s">
        <v>5887</v>
      </c>
      <c r="F1595" s="6">
        <v>21</v>
      </c>
      <c r="G1595" s="8">
        <f t="shared" si="24"/>
        <v>6325.2735000000002</v>
      </c>
    </row>
    <row r="1596" spans="1:7" x14ac:dyDescent="0.3">
      <c r="A1596" s="14" t="e">
        <f>VLOOKUP(B1596,'Relacion codigos'!$A:$B,2,FALSE)</f>
        <v>#N/A</v>
      </c>
      <c r="B1596" s="6" t="s">
        <v>10946</v>
      </c>
      <c r="C1596" s="6" t="s">
        <v>10947</v>
      </c>
      <c r="D1596" s="24">
        <v>7.637175</v>
      </c>
      <c r="E1596" s="6" t="s">
        <v>5887</v>
      </c>
      <c r="F1596" s="6">
        <v>21</v>
      </c>
      <c r="G1596" s="8">
        <f t="shared" si="24"/>
        <v>11875.807124999999</v>
      </c>
    </row>
    <row r="1597" spans="1:7" x14ac:dyDescent="0.3">
      <c r="A1597" s="14" t="e">
        <f>VLOOKUP(B1597,'Relacion codigos'!$A:$B,2,FALSE)</f>
        <v>#N/A</v>
      </c>
      <c r="B1597" s="6" t="s">
        <v>11949</v>
      </c>
      <c r="C1597" s="6" t="s">
        <v>11950</v>
      </c>
      <c r="D1597" s="24">
        <v>7.2686250000000001</v>
      </c>
      <c r="E1597" s="6" t="s">
        <v>5887</v>
      </c>
      <c r="F1597" s="6">
        <v>21</v>
      </c>
      <c r="G1597" s="8">
        <f t="shared" si="24"/>
        <v>11302.711875000001</v>
      </c>
    </row>
    <row r="1598" spans="1:7" x14ac:dyDescent="0.3">
      <c r="A1598" s="14" t="e">
        <f>VLOOKUP(B1598,'Relacion codigos'!$A:$B,2,FALSE)</f>
        <v>#N/A</v>
      </c>
      <c r="B1598" s="6" t="s">
        <v>11951</v>
      </c>
      <c r="C1598" s="6" t="s">
        <v>11952</v>
      </c>
      <c r="D1598" s="24">
        <v>10.408125</v>
      </c>
      <c r="E1598" s="6" t="s">
        <v>5887</v>
      </c>
      <c r="F1598" s="6">
        <v>21</v>
      </c>
      <c r="G1598" s="8">
        <f t="shared" si="24"/>
        <v>16184.634375</v>
      </c>
    </row>
    <row r="1599" spans="1:7" x14ac:dyDescent="0.3">
      <c r="A1599" s="14" t="e">
        <f>VLOOKUP(B1599,'Relacion codigos'!$A:$B,2,FALSE)</f>
        <v>#N/A</v>
      </c>
      <c r="B1599" s="6" t="s">
        <v>13677</v>
      </c>
      <c r="C1599" s="6" t="s">
        <v>13678</v>
      </c>
      <c r="D1599" s="24">
        <v>8.5585500000000003</v>
      </c>
      <c r="E1599" s="6" t="s">
        <v>5887</v>
      </c>
      <c r="F1599" s="6">
        <v>21</v>
      </c>
      <c r="G1599" s="8">
        <f t="shared" si="24"/>
        <v>13308.545250000001</v>
      </c>
    </row>
    <row r="1600" spans="1:7" x14ac:dyDescent="0.3">
      <c r="A1600" s="14" t="e">
        <f>VLOOKUP(B1600,'Relacion codigos'!$A:$B,2,FALSE)</f>
        <v>#N/A</v>
      </c>
      <c r="B1600" s="6" t="s">
        <v>10948</v>
      </c>
      <c r="C1600" s="6" t="s">
        <v>10949</v>
      </c>
      <c r="D1600" s="24">
        <v>20.734349999999999</v>
      </c>
      <c r="E1600" s="6" t="s">
        <v>5887</v>
      </c>
      <c r="F1600" s="6">
        <v>21</v>
      </c>
      <c r="G1600" s="8">
        <f t="shared" si="24"/>
        <v>32241.914249999998</v>
      </c>
    </row>
    <row r="1601" spans="1:7" x14ac:dyDescent="0.3">
      <c r="A1601" s="14" t="str">
        <f>VLOOKUP(B1601,'Relacion codigos'!$A:$B,2,FALSE)</f>
        <v>7460</v>
      </c>
      <c r="B1601" s="6" t="s">
        <v>2938</v>
      </c>
      <c r="C1601" s="6" t="s">
        <v>881</v>
      </c>
      <c r="D1601" s="24">
        <v>62.890448399999997</v>
      </c>
      <c r="E1601" s="6" t="s">
        <v>5887</v>
      </c>
      <c r="F1601" s="6">
        <v>21</v>
      </c>
      <c r="G1601" s="8">
        <f t="shared" si="24"/>
        <v>97794.647261999999</v>
      </c>
    </row>
    <row r="1602" spans="1:7" x14ac:dyDescent="0.3">
      <c r="A1602" s="14" t="str">
        <f>VLOOKUP(B1602,'Relacion codigos'!$A:$B,2,FALSE)</f>
        <v>8325</v>
      </c>
      <c r="B1602" s="6" t="s">
        <v>2939</v>
      </c>
      <c r="C1602" s="6" t="s">
        <v>882</v>
      </c>
      <c r="D1602" s="24">
        <v>110.6829828</v>
      </c>
      <c r="E1602" s="6" t="s">
        <v>5887</v>
      </c>
      <c r="F1602" s="6">
        <v>21</v>
      </c>
      <c r="G1602" s="8">
        <f t="shared" ref="G1602:G1665" si="25">IF(E1602="Dolares",D1602*$G$1,D1602)</f>
        <v>172112.03825400001</v>
      </c>
    </row>
    <row r="1603" spans="1:7" x14ac:dyDescent="0.3">
      <c r="A1603" s="14" t="str">
        <f>VLOOKUP(B1603,'Relacion codigos'!$A:$B,2,FALSE)</f>
        <v>7962</v>
      </c>
      <c r="B1603" s="6" t="s">
        <v>2940</v>
      </c>
      <c r="C1603" s="6" t="s">
        <v>10605</v>
      </c>
      <c r="D1603" s="24">
        <v>23.565642496500001</v>
      </c>
      <c r="E1603" s="6" t="s">
        <v>5887</v>
      </c>
      <c r="F1603" s="6">
        <v>21</v>
      </c>
      <c r="G1603" s="8">
        <f t="shared" si="25"/>
        <v>36644.574082057501</v>
      </c>
    </row>
    <row r="1604" spans="1:7" x14ac:dyDescent="0.3">
      <c r="A1604" s="14" t="e">
        <f>VLOOKUP(B1604,'Relacion codigos'!$A:$B,2,FALSE)</f>
        <v>#N/A</v>
      </c>
      <c r="B1604" s="6" t="s">
        <v>10950</v>
      </c>
      <c r="C1604" s="6" t="s">
        <v>10951</v>
      </c>
      <c r="D1604" s="24">
        <v>31.217549999999999</v>
      </c>
      <c r="E1604" s="6" t="s">
        <v>5887</v>
      </c>
      <c r="F1604" s="6">
        <v>21</v>
      </c>
      <c r="G1604" s="8">
        <f t="shared" si="25"/>
        <v>48543.290249999998</v>
      </c>
    </row>
    <row r="1605" spans="1:7" x14ac:dyDescent="0.3">
      <c r="A1605" s="14" t="str">
        <f>VLOOKUP(B1605,'Relacion codigos'!$A:$B,2,FALSE)</f>
        <v>7453</v>
      </c>
      <c r="B1605" s="6" t="s">
        <v>2941</v>
      </c>
      <c r="C1605" s="6" t="s">
        <v>883</v>
      </c>
      <c r="D1605" s="24">
        <v>164.4095232</v>
      </c>
      <c r="E1605" s="6" t="s">
        <v>5887</v>
      </c>
      <c r="F1605" s="6">
        <v>21</v>
      </c>
      <c r="G1605" s="8">
        <f t="shared" si="25"/>
        <v>255656.80857599998</v>
      </c>
    </row>
    <row r="1606" spans="1:7" x14ac:dyDescent="0.3">
      <c r="A1606" s="14" t="e">
        <f>VLOOKUP(B1606,'Relacion codigos'!$A:$B,2,FALSE)</f>
        <v>#N/A</v>
      </c>
      <c r="B1606" s="6" t="s">
        <v>12801</v>
      </c>
      <c r="C1606" s="6" t="s">
        <v>12802</v>
      </c>
      <c r="D1606" s="24">
        <v>74.788349999999994</v>
      </c>
      <c r="E1606" s="6" t="s">
        <v>5887</v>
      </c>
      <c r="F1606" s="6">
        <v>21</v>
      </c>
      <c r="G1606" s="8">
        <f t="shared" si="25"/>
        <v>116295.88424999999</v>
      </c>
    </row>
    <row r="1607" spans="1:7" x14ac:dyDescent="0.3">
      <c r="A1607" s="14" t="e">
        <f>VLOOKUP(B1607,'Relacion codigos'!$A:$B,2,FALSE)</f>
        <v>#N/A</v>
      </c>
      <c r="B1607" s="6" t="s">
        <v>12803</v>
      </c>
      <c r="C1607" s="6" t="s">
        <v>12804</v>
      </c>
      <c r="D1607" s="24">
        <v>105.77385</v>
      </c>
      <c r="E1607" s="6" t="s">
        <v>5887</v>
      </c>
      <c r="F1607" s="6">
        <v>21</v>
      </c>
      <c r="G1607" s="8">
        <f t="shared" si="25"/>
        <v>164478.33674999999</v>
      </c>
    </row>
    <row r="1608" spans="1:7" x14ac:dyDescent="0.3">
      <c r="A1608" s="14" t="e">
        <f>VLOOKUP(B1608,'Relacion codigos'!$A:$B,2,FALSE)</f>
        <v>#N/A</v>
      </c>
      <c r="B1608" s="6" t="s">
        <v>11867</v>
      </c>
      <c r="C1608" s="6" t="s">
        <v>11868</v>
      </c>
      <c r="D1608" s="24">
        <v>123.962475</v>
      </c>
      <c r="E1608" s="6" t="s">
        <v>5887</v>
      </c>
      <c r="F1608" s="6">
        <v>21</v>
      </c>
      <c r="G1608" s="8">
        <f t="shared" si="25"/>
        <v>192761.648625</v>
      </c>
    </row>
    <row r="1609" spans="1:7" x14ac:dyDescent="0.3">
      <c r="A1609" s="14" t="e">
        <f>VLOOKUP(B1609,'Relacion codigos'!$A:$B,2,FALSE)</f>
        <v>#N/A</v>
      </c>
      <c r="B1609" s="6" t="s">
        <v>11953</v>
      </c>
      <c r="C1609" s="6" t="s">
        <v>11954</v>
      </c>
      <c r="D1609" s="24">
        <v>116.100075</v>
      </c>
      <c r="E1609" s="6" t="s">
        <v>5887</v>
      </c>
      <c r="F1609" s="6">
        <v>21</v>
      </c>
      <c r="G1609" s="8">
        <f t="shared" si="25"/>
        <v>180535.616625</v>
      </c>
    </row>
    <row r="1610" spans="1:7" x14ac:dyDescent="0.3">
      <c r="A1610" s="14" t="e">
        <f>VLOOKUP(B1610,'Relacion codigos'!$A:$B,2,FALSE)</f>
        <v>#N/A</v>
      </c>
      <c r="B1610" s="6" t="s">
        <v>10024</v>
      </c>
      <c r="C1610" s="6" t="s">
        <v>10025</v>
      </c>
      <c r="D1610" s="24">
        <v>114.50227932</v>
      </c>
      <c r="E1610" s="6" t="s">
        <v>5887</v>
      </c>
      <c r="F1610" s="6">
        <v>21</v>
      </c>
      <c r="G1610" s="8">
        <f t="shared" si="25"/>
        <v>178051.04434260001</v>
      </c>
    </row>
    <row r="1611" spans="1:7" x14ac:dyDescent="0.3">
      <c r="A1611" s="14" t="str">
        <f>VLOOKUP(B1611,'Relacion codigos'!$A:$B,2,FALSE)</f>
        <v>2295</v>
      </c>
      <c r="B1611" s="6" t="s">
        <v>2895</v>
      </c>
      <c r="C1611" s="6" t="s">
        <v>884</v>
      </c>
      <c r="D1611" s="24">
        <v>91.283540400000007</v>
      </c>
      <c r="E1611" s="6" t="s">
        <v>5887</v>
      </c>
      <c r="F1611" s="6">
        <v>21</v>
      </c>
      <c r="G1611" s="8">
        <f t="shared" si="25"/>
        <v>141945.90532200001</v>
      </c>
    </row>
    <row r="1612" spans="1:7" x14ac:dyDescent="0.3">
      <c r="A1612" s="14" t="str">
        <f>VLOOKUP(B1612,'Relacion codigos'!$A:$B,2,FALSE)</f>
        <v>9016</v>
      </c>
      <c r="B1612" s="6" t="s">
        <v>2914</v>
      </c>
      <c r="C1612" s="6" t="s">
        <v>1152</v>
      </c>
      <c r="D1612" s="24">
        <v>91.283540400000007</v>
      </c>
      <c r="E1612" s="6" t="s">
        <v>5887</v>
      </c>
      <c r="F1612" s="6">
        <v>21</v>
      </c>
      <c r="G1612" s="8">
        <f t="shared" si="25"/>
        <v>141945.90532200001</v>
      </c>
    </row>
    <row r="1613" spans="1:7" x14ac:dyDescent="0.3">
      <c r="A1613" s="14" t="str">
        <f>VLOOKUP(B1613,'Relacion codigos'!$A:$B,2,FALSE)</f>
        <v>2297</v>
      </c>
      <c r="B1613" s="6" t="s">
        <v>2921</v>
      </c>
      <c r="C1613" s="6" t="s">
        <v>885</v>
      </c>
      <c r="D1613" s="24">
        <v>91.258502399999998</v>
      </c>
      <c r="E1613" s="6" t="s">
        <v>5887</v>
      </c>
      <c r="F1613" s="6">
        <v>21</v>
      </c>
      <c r="G1613" s="8">
        <f t="shared" si="25"/>
        <v>141906.97123199998</v>
      </c>
    </row>
    <row r="1614" spans="1:7" x14ac:dyDescent="0.3">
      <c r="A1614" s="14" t="e">
        <f>VLOOKUP(B1614,'Relacion codigos'!$A:$B,2,FALSE)</f>
        <v>#N/A</v>
      </c>
      <c r="B1614" s="6" t="s">
        <v>12835</v>
      </c>
      <c r="C1614" s="6" t="s">
        <v>12890</v>
      </c>
      <c r="D1614" s="24">
        <v>322.16730000000001</v>
      </c>
      <c r="E1614" s="6" t="s">
        <v>5887</v>
      </c>
      <c r="F1614" s="6">
        <v>21</v>
      </c>
      <c r="G1614" s="8">
        <f t="shared" si="25"/>
        <v>500970.15150000004</v>
      </c>
    </row>
    <row r="1615" spans="1:7" x14ac:dyDescent="0.3">
      <c r="A1615" s="14" t="str">
        <f>VLOOKUP(B1615,'Relacion codigos'!$A:$B,2,FALSE)</f>
        <v>8859</v>
      </c>
      <c r="B1615" s="6" t="s">
        <v>2933</v>
      </c>
      <c r="C1615" s="6" t="s">
        <v>10606</v>
      </c>
      <c r="D1615" s="24">
        <v>10.101903812</v>
      </c>
      <c r="E1615" s="6" t="s">
        <v>5887</v>
      </c>
      <c r="F1615" s="6">
        <v>21</v>
      </c>
      <c r="G1615" s="8">
        <f t="shared" si="25"/>
        <v>15708.46042766</v>
      </c>
    </row>
    <row r="1616" spans="1:7" x14ac:dyDescent="0.3">
      <c r="A1616" s="14" t="e">
        <f>VLOOKUP(B1616,'Relacion codigos'!$A:$B,2,FALSE)</f>
        <v>#N/A</v>
      </c>
      <c r="B1616" s="6" t="s">
        <v>9951</v>
      </c>
      <c r="C1616" s="6" t="s">
        <v>9952</v>
      </c>
      <c r="D1616" s="24">
        <v>11.446539</v>
      </c>
      <c r="E1616" s="6" t="s">
        <v>5887</v>
      </c>
      <c r="F1616" s="6">
        <v>21</v>
      </c>
      <c r="G1616" s="8">
        <f t="shared" si="25"/>
        <v>17799.368145</v>
      </c>
    </row>
    <row r="1617" spans="1:7" x14ac:dyDescent="0.3">
      <c r="A1617" s="14" t="e">
        <f>VLOOKUP(B1617,'Relacion codigos'!$A:$B,2,FALSE)</f>
        <v>#N/A</v>
      </c>
      <c r="B1617" s="6" t="s">
        <v>10264</v>
      </c>
      <c r="C1617" s="6" t="s">
        <v>10265</v>
      </c>
      <c r="D1617" s="24">
        <v>13.793324999999999</v>
      </c>
      <c r="E1617" s="6" t="s">
        <v>5887</v>
      </c>
      <c r="F1617" s="6">
        <v>21</v>
      </c>
      <c r="G1617" s="8">
        <f t="shared" si="25"/>
        <v>21448.620374999999</v>
      </c>
    </row>
    <row r="1618" spans="1:7" x14ac:dyDescent="0.3">
      <c r="A1618" s="14" t="str">
        <f>VLOOKUP(B1618,'Relacion codigos'!$A:$B,2,FALSE)</f>
        <v>7970</v>
      </c>
      <c r="B1618" s="6" t="s">
        <v>2915</v>
      </c>
      <c r="C1618" s="6" t="s">
        <v>10607</v>
      </c>
      <c r="D1618" s="24">
        <v>10.101903812</v>
      </c>
      <c r="E1618" s="6" t="s">
        <v>5887</v>
      </c>
      <c r="F1618" s="6">
        <v>21</v>
      </c>
      <c r="G1618" s="8">
        <f t="shared" si="25"/>
        <v>15708.46042766</v>
      </c>
    </row>
    <row r="1619" spans="1:7" x14ac:dyDescent="0.3">
      <c r="A1619" s="14" t="e">
        <f>VLOOKUP(B1619,'Relacion codigos'!$A:$B,2,FALSE)</f>
        <v>#N/A</v>
      </c>
      <c r="B1619" s="6" t="s">
        <v>11493</v>
      </c>
      <c r="C1619" s="6" t="s">
        <v>11494</v>
      </c>
      <c r="D1619" s="24">
        <v>13.793324999999999</v>
      </c>
      <c r="E1619" s="6" t="s">
        <v>5887</v>
      </c>
      <c r="F1619" s="6">
        <v>21</v>
      </c>
      <c r="G1619" s="8">
        <f t="shared" si="25"/>
        <v>21448.620374999999</v>
      </c>
    </row>
    <row r="1620" spans="1:7" x14ac:dyDescent="0.3">
      <c r="A1620" s="14" t="e">
        <f>VLOOKUP(B1620,'Relacion codigos'!$A:$B,2,FALSE)</f>
        <v>#N/A</v>
      </c>
      <c r="B1620" s="6" t="s">
        <v>13547</v>
      </c>
      <c r="C1620" s="6" t="s">
        <v>13548</v>
      </c>
      <c r="D1620" s="24">
        <v>13.793324999999999</v>
      </c>
      <c r="E1620" s="6" t="s">
        <v>5887</v>
      </c>
      <c r="F1620" s="6">
        <v>21</v>
      </c>
      <c r="G1620" s="8">
        <f t="shared" si="25"/>
        <v>21448.620374999999</v>
      </c>
    </row>
    <row r="1621" spans="1:7" x14ac:dyDescent="0.3">
      <c r="A1621" s="14" t="str">
        <f>VLOOKUP(B1621,'Relacion codigos'!$A:$B,2,FALSE)</f>
        <v>2294</v>
      </c>
      <c r="B1621" s="6" t="s">
        <v>2897</v>
      </c>
      <c r="C1621" s="6" t="s">
        <v>886</v>
      </c>
      <c r="D1621" s="24">
        <v>145.4106888</v>
      </c>
      <c r="E1621" s="6" t="s">
        <v>5887</v>
      </c>
      <c r="F1621" s="6">
        <v>21</v>
      </c>
      <c r="G1621" s="8">
        <f t="shared" si="25"/>
        <v>226113.62108400001</v>
      </c>
    </row>
    <row r="1622" spans="1:7" x14ac:dyDescent="0.3">
      <c r="A1622" s="14" t="e">
        <f>VLOOKUP(B1622,'Relacion codigos'!$A:$B,2,FALSE)</f>
        <v>#N/A</v>
      </c>
      <c r="B1622" s="6" t="s">
        <v>9339</v>
      </c>
      <c r="C1622" s="6" t="s">
        <v>9340</v>
      </c>
      <c r="D1622" s="24">
        <v>146.1417984</v>
      </c>
      <c r="E1622" s="6" t="s">
        <v>5887</v>
      </c>
      <c r="F1622" s="6">
        <v>21</v>
      </c>
      <c r="G1622" s="8">
        <f t="shared" si="25"/>
        <v>227250.49651200001</v>
      </c>
    </row>
    <row r="1623" spans="1:7" x14ac:dyDescent="0.3">
      <c r="A1623" s="14" t="str">
        <f>VLOOKUP(B1623,'Relacion codigos'!$A:$B,2,FALSE)</f>
        <v>1448</v>
      </c>
      <c r="B1623" s="6" t="s">
        <v>2923</v>
      </c>
      <c r="C1623" s="6" t="s">
        <v>887</v>
      </c>
      <c r="D1623" s="24">
        <v>145.37062800000001</v>
      </c>
      <c r="E1623" s="6" t="s">
        <v>5887</v>
      </c>
      <c r="F1623" s="6">
        <v>21</v>
      </c>
      <c r="G1623" s="8">
        <f t="shared" si="25"/>
        <v>226051.32654000001</v>
      </c>
    </row>
    <row r="1624" spans="1:7" x14ac:dyDescent="0.3">
      <c r="A1624" s="14" t="str">
        <f>VLOOKUP(B1624,'Relacion codigos'!$A:$B,2,FALSE)</f>
        <v>1077</v>
      </c>
      <c r="B1624" s="6" t="s">
        <v>2898</v>
      </c>
      <c r="C1624" s="6" t="s">
        <v>888</v>
      </c>
      <c r="D1624" s="24">
        <v>186.3177732</v>
      </c>
      <c r="E1624" s="6" t="s">
        <v>5887</v>
      </c>
      <c r="F1624" s="6">
        <v>21</v>
      </c>
      <c r="G1624" s="8">
        <f t="shared" si="25"/>
        <v>289724.13732600003</v>
      </c>
    </row>
    <row r="1625" spans="1:7" x14ac:dyDescent="0.3">
      <c r="A1625" s="14" t="e">
        <f>VLOOKUP(B1625,'Relacion codigos'!$A:$B,2,FALSE)</f>
        <v>#N/A</v>
      </c>
      <c r="B1625" s="6" t="s">
        <v>12643</v>
      </c>
      <c r="C1625" s="6" t="s">
        <v>12644</v>
      </c>
      <c r="D1625" s="24">
        <v>186.3177732</v>
      </c>
      <c r="E1625" s="6" t="s">
        <v>5887</v>
      </c>
      <c r="F1625" s="6">
        <v>21</v>
      </c>
      <c r="G1625" s="8">
        <f t="shared" si="25"/>
        <v>289724.13732600003</v>
      </c>
    </row>
    <row r="1626" spans="1:7" x14ac:dyDescent="0.3">
      <c r="A1626" s="14" t="str">
        <f>VLOOKUP(B1626,'Relacion codigos'!$A:$B,2,FALSE)</f>
        <v>8133</v>
      </c>
      <c r="B1626" s="6" t="s">
        <v>2924</v>
      </c>
      <c r="C1626" s="6" t="s">
        <v>889</v>
      </c>
      <c r="D1626" s="24">
        <v>186.3177732</v>
      </c>
      <c r="E1626" s="6" t="s">
        <v>5887</v>
      </c>
      <c r="F1626" s="6">
        <v>21</v>
      </c>
      <c r="G1626" s="8">
        <f t="shared" si="25"/>
        <v>289724.13732600003</v>
      </c>
    </row>
    <row r="1627" spans="1:7" x14ac:dyDescent="0.3">
      <c r="A1627" s="14" t="e">
        <f>VLOOKUP(B1627,'Relacion codigos'!$A:$B,2,FALSE)</f>
        <v>#N/A</v>
      </c>
      <c r="B1627" s="6" t="s">
        <v>12874</v>
      </c>
      <c r="C1627" s="6" t="s">
        <v>12891</v>
      </c>
      <c r="D1627" s="24">
        <v>480.89632499999999</v>
      </c>
      <c r="E1627" s="6" t="s">
        <v>5887</v>
      </c>
      <c r="F1627" s="6">
        <v>21</v>
      </c>
      <c r="G1627" s="8">
        <f t="shared" si="25"/>
        <v>747793.78537499998</v>
      </c>
    </row>
    <row r="1628" spans="1:7" x14ac:dyDescent="0.3">
      <c r="A1628" s="14" t="str">
        <f>VLOOKUP(B1628,'Relacion codigos'!$A:$B,2,FALSE)</f>
        <v>7978</v>
      </c>
      <c r="B1628" s="6" t="s">
        <v>2899</v>
      </c>
      <c r="C1628" s="6" t="s">
        <v>10609</v>
      </c>
      <c r="D1628" s="24">
        <v>11.53683333075</v>
      </c>
      <c r="E1628" s="6" t="s">
        <v>5887</v>
      </c>
      <c r="F1628" s="6">
        <v>21</v>
      </c>
      <c r="G1628" s="8">
        <f t="shared" si="25"/>
        <v>17939.775829316248</v>
      </c>
    </row>
    <row r="1629" spans="1:7" x14ac:dyDescent="0.3">
      <c r="A1629" s="14" t="e">
        <f>VLOOKUP(B1629,'Relacion codigos'!$A:$B,2,FALSE)</f>
        <v>#N/A</v>
      </c>
      <c r="B1629" s="6" t="s">
        <v>10266</v>
      </c>
      <c r="C1629" s="6" t="s">
        <v>10267</v>
      </c>
      <c r="D1629" s="24">
        <v>15.11055</v>
      </c>
      <c r="E1629" s="6" t="s">
        <v>5887</v>
      </c>
      <c r="F1629" s="6">
        <v>21</v>
      </c>
      <c r="G1629" s="8">
        <f t="shared" si="25"/>
        <v>23496.90525</v>
      </c>
    </row>
    <row r="1630" spans="1:7" x14ac:dyDescent="0.3">
      <c r="A1630" s="14" t="str">
        <f>VLOOKUP(B1630,'Relacion codigos'!$A:$B,2,FALSE)</f>
        <v>7979</v>
      </c>
      <c r="B1630" s="6" t="s">
        <v>2916</v>
      </c>
      <c r="C1630" s="6" t="s">
        <v>10610</v>
      </c>
      <c r="D1630" s="24">
        <v>11.53683333075</v>
      </c>
      <c r="E1630" s="6" t="s">
        <v>5887</v>
      </c>
      <c r="F1630" s="6">
        <v>21</v>
      </c>
      <c r="G1630" s="8">
        <f t="shared" si="25"/>
        <v>17939.775829316248</v>
      </c>
    </row>
    <row r="1631" spans="1:7" x14ac:dyDescent="0.3">
      <c r="A1631" s="14" t="e">
        <f>VLOOKUP(B1631,'Relacion codigos'!$A:$B,2,FALSE)</f>
        <v>#N/A</v>
      </c>
      <c r="B1631" s="6" t="s">
        <v>11267</v>
      </c>
      <c r="C1631" s="6" t="s">
        <v>11268</v>
      </c>
      <c r="D1631" s="24">
        <v>15.11055</v>
      </c>
      <c r="E1631" s="6" t="s">
        <v>5887</v>
      </c>
      <c r="F1631" s="6">
        <v>21</v>
      </c>
      <c r="G1631" s="8">
        <f t="shared" si="25"/>
        <v>23496.90525</v>
      </c>
    </row>
    <row r="1632" spans="1:7" x14ac:dyDescent="0.3">
      <c r="A1632" s="14" t="str">
        <f>VLOOKUP(B1632,'Relacion codigos'!$A:$B,2,FALSE)</f>
        <v>9233</v>
      </c>
      <c r="B1632" s="6" t="s">
        <v>2925</v>
      </c>
      <c r="C1632" s="6" t="s">
        <v>10611</v>
      </c>
      <c r="D1632" s="24">
        <v>11.53683333075</v>
      </c>
      <c r="E1632" s="6" t="s">
        <v>5887</v>
      </c>
      <c r="F1632" s="6">
        <v>21</v>
      </c>
      <c r="G1632" s="8">
        <f t="shared" si="25"/>
        <v>17939.775829316248</v>
      </c>
    </row>
    <row r="1633" spans="1:7" x14ac:dyDescent="0.3">
      <c r="A1633" s="14" t="e">
        <f>VLOOKUP(B1633,'Relacion codigos'!$A:$B,2,FALSE)</f>
        <v>#N/A</v>
      </c>
      <c r="B1633" s="6" t="s">
        <v>13511</v>
      </c>
      <c r="C1633" s="6" t="s">
        <v>13512</v>
      </c>
      <c r="D1633" s="24">
        <v>15.11055</v>
      </c>
      <c r="E1633" s="6" t="s">
        <v>5887</v>
      </c>
      <c r="F1633" s="6">
        <v>21</v>
      </c>
      <c r="G1633" s="8">
        <f t="shared" si="25"/>
        <v>23496.90525</v>
      </c>
    </row>
    <row r="1634" spans="1:7" x14ac:dyDescent="0.3">
      <c r="A1634" s="14" t="e">
        <f>VLOOKUP(B1634,'Relacion codigos'!$A:$B,2,FALSE)</f>
        <v>#N/A</v>
      </c>
      <c r="B1634" s="6" t="s">
        <v>10026</v>
      </c>
      <c r="C1634" s="6" t="s">
        <v>10027</v>
      </c>
      <c r="D1634" s="24">
        <v>471.46053239999998</v>
      </c>
      <c r="E1634" s="6" t="s">
        <v>5887</v>
      </c>
      <c r="F1634" s="6">
        <v>21</v>
      </c>
      <c r="G1634" s="8">
        <f t="shared" si="25"/>
        <v>733121.12788199994</v>
      </c>
    </row>
    <row r="1635" spans="1:7" x14ac:dyDescent="0.3">
      <c r="A1635" s="14" t="str">
        <f>VLOOKUP(B1635,'Relacion codigos'!$A:$B,2,FALSE)</f>
        <v>785</v>
      </c>
      <c r="B1635" s="6" t="s">
        <v>2900</v>
      </c>
      <c r="C1635" s="6" t="s">
        <v>890</v>
      </c>
      <c r="D1635" s="24">
        <v>270.16001999999997</v>
      </c>
      <c r="E1635" s="6" t="s">
        <v>5887</v>
      </c>
      <c r="F1635" s="6">
        <v>21</v>
      </c>
      <c r="G1635" s="8">
        <f t="shared" si="25"/>
        <v>420098.83109999995</v>
      </c>
    </row>
    <row r="1636" spans="1:7" x14ac:dyDescent="0.3">
      <c r="A1636" s="14" t="str">
        <f>VLOOKUP(B1636,'Relacion codigos'!$A:$B,2,FALSE)</f>
        <v>7945</v>
      </c>
      <c r="B1636" s="6" t="s">
        <v>2901</v>
      </c>
      <c r="C1636" s="6" t="s">
        <v>10612</v>
      </c>
      <c r="D1636" s="24">
        <v>15.480839608</v>
      </c>
      <c r="E1636" s="6" t="s">
        <v>5887</v>
      </c>
      <c r="F1636" s="6">
        <v>21</v>
      </c>
      <c r="G1636" s="8">
        <f t="shared" si="25"/>
        <v>24072.70559044</v>
      </c>
    </row>
    <row r="1637" spans="1:7" x14ac:dyDescent="0.3">
      <c r="A1637" s="14" t="e">
        <f>VLOOKUP(B1637,'Relacion codigos'!$A:$B,2,FALSE)</f>
        <v>#N/A</v>
      </c>
      <c r="B1637" s="6" t="s">
        <v>10952</v>
      </c>
      <c r="C1637" s="6" t="s">
        <v>11300</v>
      </c>
      <c r="D1637" s="24">
        <v>20.318024999999999</v>
      </c>
      <c r="E1637" s="6" t="s">
        <v>5887</v>
      </c>
      <c r="F1637" s="6">
        <v>21</v>
      </c>
      <c r="G1637" s="8">
        <f t="shared" si="25"/>
        <v>31594.528874999996</v>
      </c>
    </row>
    <row r="1638" spans="1:7" x14ac:dyDescent="0.3">
      <c r="A1638" s="14" t="e">
        <f>VLOOKUP(B1638,'Relacion codigos'!$A:$B,2,FALSE)</f>
        <v>#N/A</v>
      </c>
      <c r="B1638" s="6" t="s">
        <v>12995</v>
      </c>
      <c r="C1638" s="6" t="s">
        <v>12996</v>
      </c>
      <c r="D1638" s="24">
        <v>20.318024999999999</v>
      </c>
      <c r="E1638" s="6" t="s">
        <v>5887</v>
      </c>
      <c r="F1638" s="6">
        <v>21</v>
      </c>
      <c r="G1638" s="8">
        <f t="shared" si="25"/>
        <v>31594.528874999996</v>
      </c>
    </row>
    <row r="1639" spans="1:7" x14ac:dyDescent="0.3">
      <c r="A1639" s="14" t="str">
        <f>VLOOKUP(B1639,'Relacion codigos'!$A:$B,2,FALSE)</f>
        <v>7980</v>
      </c>
      <c r="B1639" s="6" t="s">
        <v>2926</v>
      </c>
      <c r="C1639" s="6" t="s">
        <v>10613</v>
      </c>
      <c r="D1639" s="24">
        <v>15.480839608</v>
      </c>
      <c r="E1639" s="6" t="s">
        <v>5887</v>
      </c>
      <c r="F1639" s="6">
        <v>21</v>
      </c>
      <c r="G1639" s="8">
        <f t="shared" si="25"/>
        <v>24072.70559044</v>
      </c>
    </row>
    <row r="1640" spans="1:7" x14ac:dyDescent="0.3">
      <c r="A1640" s="14" t="e">
        <f>VLOOKUP(B1640,'Relacion codigos'!$A:$B,2,FALSE)</f>
        <v>#N/A</v>
      </c>
      <c r="B1640" s="6" t="s">
        <v>10268</v>
      </c>
      <c r="C1640" s="6" t="s">
        <v>10269</v>
      </c>
      <c r="D1640" s="24">
        <v>20.318024999999999</v>
      </c>
      <c r="E1640" s="6" t="s">
        <v>5887</v>
      </c>
      <c r="F1640" s="6">
        <v>21</v>
      </c>
      <c r="G1640" s="8">
        <f t="shared" si="25"/>
        <v>31594.528874999996</v>
      </c>
    </row>
    <row r="1641" spans="1:7" x14ac:dyDescent="0.3">
      <c r="A1641" s="14" t="str">
        <f>VLOOKUP(B1641,'Relacion codigos'!$A:$B,2,FALSE)</f>
        <v>7940</v>
      </c>
      <c r="B1641" s="6" t="s">
        <v>2902</v>
      </c>
      <c r="C1641" s="6" t="s">
        <v>1147</v>
      </c>
      <c r="D1641" s="24">
        <v>429.37666200000001</v>
      </c>
      <c r="E1641" s="6" t="s">
        <v>5887</v>
      </c>
      <c r="F1641" s="6">
        <v>21</v>
      </c>
      <c r="G1641" s="8">
        <f t="shared" si="25"/>
        <v>667680.70941000001</v>
      </c>
    </row>
    <row r="1642" spans="1:7" x14ac:dyDescent="0.3">
      <c r="A1642" s="14" t="str">
        <f>VLOOKUP(B1642,'Relacion codigos'!$A:$B,2,FALSE)</f>
        <v>8239</v>
      </c>
      <c r="B1642" s="6" t="s">
        <v>2917</v>
      </c>
      <c r="C1642" s="6" t="s">
        <v>891</v>
      </c>
      <c r="D1642" s="24">
        <v>429.38374686793998</v>
      </c>
      <c r="E1642" s="6" t="s">
        <v>5887</v>
      </c>
      <c r="F1642" s="6">
        <v>21</v>
      </c>
      <c r="G1642" s="8">
        <f t="shared" si="25"/>
        <v>667691.72637964669</v>
      </c>
    </row>
    <row r="1643" spans="1:7" x14ac:dyDescent="0.3">
      <c r="A1643" s="14" t="str">
        <f>VLOOKUP(B1643,'Relacion codigos'!$A:$B,2,FALSE)</f>
        <v>8178</v>
      </c>
      <c r="B1643" s="6" t="s">
        <v>2927</v>
      </c>
      <c r="C1643" s="6" t="s">
        <v>892</v>
      </c>
      <c r="D1643" s="24">
        <v>429.37666200000001</v>
      </c>
      <c r="E1643" s="6" t="s">
        <v>5887</v>
      </c>
      <c r="F1643" s="6">
        <v>21</v>
      </c>
      <c r="G1643" s="8">
        <f t="shared" si="25"/>
        <v>667680.70941000001</v>
      </c>
    </row>
    <row r="1644" spans="1:7" x14ac:dyDescent="0.3">
      <c r="A1644" s="14" t="str">
        <f>VLOOKUP(B1644,'Relacion codigos'!$A:$B,2,FALSE)</f>
        <v>7981</v>
      </c>
      <c r="B1644" s="6" t="s">
        <v>2903</v>
      </c>
      <c r="C1644" s="6" t="s">
        <v>10614</v>
      </c>
      <c r="D1644" s="24">
        <v>24.697186917</v>
      </c>
      <c r="E1644" s="6" t="s">
        <v>5887</v>
      </c>
      <c r="F1644" s="6">
        <v>21</v>
      </c>
      <c r="G1644" s="8">
        <f t="shared" si="25"/>
        <v>38404.125655935</v>
      </c>
    </row>
    <row r="1645" spans="1:7" x14ac:dyDescent="0.3">
      <c r="A1645" s="14" t="e">
        <f>VLOOKUP(B1645,'Relacion codigos'!$A:$B,2,FALSE)</f>
        <v>#N/A</v>
      </c>
      <c r="B1645" s="6" t="s">
        <v>10270</v>
      </c>
      <c r="C1645" s="6" t="s">
        <v>10271</v>
      </c>
      <c r="D1645" s="24">
        <v>32.439225</v>
      </c>
      <c r="E1645" s="6" t="s">
        <v>5887</v>
      </c>
      <c r="F1645" s="6">
        <v>21</v>
      </c>
      <c r="G1645" s="8">
        <f t="shared" si="25"/>
        <v>50442.994875000004</v>
      </c>
    </row>
    <row r="1646" spans="1:7" x14ac:dyDescent="0.3">
      <c r="A1646" s="14" t="str">
        <f>VLOOKUP(B1646,'Relacion codigos'!$A:$B,2,FALSE)</f>
        <v>7946</v>
      </c>
      <c r="B1646" s="6" t="s">
        <v>2928</v>
      </c>
      <c r="C1646" s="6" t="s">
        <v>10615</v>
      </c>
      <c r="D1646" s="24">
        <v>24.697186917</v>
      </c>
      <c r="E1646" s="6" t="s">
        <v>5887</v>
      </c>
      <c r="F1646" s="6">
        <v>21</v>
      </c>
      <c r="G1646" s="8">
        <f t="shared" si="25"/>
        <v>38404.125655935</v>
      </c>
    </row>
    <row r="1647" spans="1:7" x14ac:dyDescent="0.3">
      <c r="A1647" s="14" t="e">
        <f>VLOOKUP(B1647,'Relacion codigos'!$A:$B,2,FALSE)</f>
        <v>#N/A</v>
      </c>
      <c r="B1647" s="6" t="s">
        <v>13386</v>
      </c>
      <c r="C1647" s="6" t="s">
        <v>13387</v>
      </c>
      <c r="D1647" s="24">
        <v>32.439225</v>
      </c>
      <c r="E1647" s="6" t="s">
        <v>5887</v>
      </c>
      <c r="F1647" s="6">
        <v>21</v>
      </c>
      <c r="G1647" s="8">
        <f t="shared" si="25"/>
        <v>50442.994875000004</v>
      </c>
    </row>
    <row r="1648" spans="1:7" x14ac:dyDescent="0.3">
      <c r="A1648" s="14" t="str">
        <f>VLOOKUP(B1648,'Relacion codigos'!$A:$B,2,FALSE)</f>
        <v>8670</v>
      </c>
      <c r="B1648" s="6" t="s">
        <v>2904</v>
      </c>
      <c r="C1648" s="6" t="s">
        <v>1097</v>
      </c>
      <c r="D1648" s="24">
        <v>518.4167976</v>
      </c>
      <c r="E1648" s="6" t="s">
        <v>5887</v>
      </c>
      <c r="F1648" s="6">
        <v>21</v>
      </c>
      <c r="G1648" s="8">
        <f t="shared" si="25"/>
        <v>806138.12026799994</v>
      </c>
    </row>
    <row r="1649" spans="1:7" x14ac:dyDescent="0.3">
      <c r="A1649" s="14" t="str">
        <f>VLOOKUP(B1649,'Relacion codigos'!$A:$B,2,FALSE)</f>
        <v>8136</v>
      </c>
      <c r="B1649" s="6" t="s">
        <v>2934</v>
      </c>
      <c r="C1649" s="6" t="s">
        <v>1098</v>
      </c>
      <c r="D1649" s="24">
        <v>518.45685839999999</v>
      </c>
      <c r="E1649" s="6" t="s">
        <v>5887</v>
      </c>
      <c r="F1649" s="6">
        <v>21</v>
      </c>
      <c r="G1649" s="8">
        <f t="shared" si="25"/>
        <v>806200.414812</v>
      </c>
    </row>
    <row r="1650" spans="1:7" x14ac:dyDescent="0.3">
      <c r="A1650" s="14" t="e">
        <f>VLOOKUP(B1650,'Relacion codigos'!$A:$B,2,FALSE)</f>
        <v>#N/A</v>
      </c>
      <c r="B1650" s="6" t="s">
        <v>10272</v>
      </c>
      <c r="C1650" s="6" t="s">
        <v>10273</v>
      </c>
      <c r="D1650" s="24">
        <v>42.765450000000001</v>
      </c>
      <c r="E1650" s="6" t="s">
        <v>5887</v>
      </c>
      <c r="F1650" s="6">
        <v>21</v>
      </c>
      <c r="G1650" s="8">
        <f t="shared" si="25"/>
        <v>66500.274749999997</v>
      </c>
    </row>
    <row r="1651" spans="1:7" x14ac:dyDescent="0.3">
      <c r="A1651" s="14" t="str">
        <f>VLOOKUP(B1651,'Relacion codigos'!$A:$B,2,FALSE)</f>
        <v>8482</v>
      </c>
      <c r="B1651" s="6" t="s">
        <v>2929</v>
      </c>
      <c r="C1651" s="6" t="s">
        <v>10616</v>
      </c>
      <c r="D1651" s="24">
        <v>28.829783931000001</v>
      </c>
      <c r="E1651" s="6" t="s">
        <v>5887</v>
      </c>
      <c r="F1651" s="6">
        <v>21</v>
      </c>
      <c r="G1651" s="8">
        <f t="shared" si="25"/>
        <v>44830.314012704999</v>
      </c>
    </row>
    <row r="1652" spans="1:7" x14ac:dyDescent="0.3">
      <c r="A1652" s="14" t="str">
        <f>VLOOKUP(B1652,'Relacion codigos'!$A:$B,2,FALSE)</f>
        <v>8989</v>
      </c>
      <c r="B1652" s="6" t="s">
        <v>2906</v>
      </c>
      <c r="C1652" s="6" t="s">
        <v>1148</v>
      </c>
      <c r="D1652" s="24">
        <v>636.87157560000003</v>
      </c>
      <c r="E1652" s="6" t="s">
        <v>5887</v>
      </c>
      <c r="F1652" s="6">
        <v>21</v>
      </c>
      <c r="G1652" s="8">
        <f t="shared" si="25"/>
        <v>990335.30005800002</v>
      </c>
    </row>
    <row r="1653" spans="1:7" x14ac:dyDescent="0.3">
      <c r="A1653" s="14" t="str">
        <f>VLOOKUP(B1653,'Relacion codigos'!$A:$B,2,FALSE)</f>
        <v>8217</v>
      </c>
      <c r="B1653" s="6" t="s">
        <v>2935</v>
      </c>
      <c r="C1653" s="6" t="s">
        <v>893</v>
      </c>
      <c r="D1653" s="24">
        <v>20.360901599999998</v>
      </c>
      <c r="E1653" s="6" t="s">
        <v>5887</v>
      </c>
      <c r="F1653" s="6">
        <v>21</v>
      </c>
      <c r="G1653" s="8">
        <f t="shared" si="25"/>
        <v>31661.201987999997</v>
      </c>
    </row>
    <row r="1654" spans="1:7" x14ac:dyDescent="0.3">
      <c r="A1654" s="14" t="str">
        <f>VLOOKUP(B1654,'Relacion codigos'!$A:$B,2,FALSE)</f>
        <v>2303</v>
      </c>
      <c r="B1654" s="6" t="s">
        <v>2907</v>
      </c>
      <c r="C1654" s="6" t="s">
        <v>894</v>
      </c>
      <c r="D1654" s="24">
        <v>20.360901599999998</v>
      </c>
      <c r="E1654" s="6" t="s">
        <v>5887</v>
      </c>
      <c r="F1654" s="6">
        <v>21</v>
      </c>
      <c r="G1654" s="8">
        <f t="shared" si="25"/>
        <v>31661.201987999997</v>
      </c>
    </row>
    <row r="1655" spans="1:7" x14ac:dyDescent="0.3">
      <c r="A1655" s="14" t="e">
        <f>VLOOKUP(B1655,'Relacion codigos'!$A:$B,2,FALSE)</f>
        <v>#N/A</v>
      </c>
      <c r="B1655" s="6" t="s">
        <v>9953</v>
      </c>
      <c r="C1655" s="6" t="s">
        <v>9954</v>
      </c>
      <c r="D1655" s="24">
        <v>9.7648200000000003</v>
      </c>
      <c r="E1655" s="6" t="s">
        <v>5887</v>
      </c>
      <c r="F1655" s="6">
        <v>21</v>
      </c>
      <c r="G1655" s="8">
        <f t="shared" si="25"/>
        <v>15184.295100000001</v>
      </c>
    </row>
    <row r="1656" spans="1:7" x14ac:dyDescent="0.3">
      <c r="A1656" s="14" t="str">
        <f>VLOOKUP(B1656,'Relacion codigos'!$A:$B,2,FALSE)</f>
        <v>7888</v>
      </c>
      <c r="B1656" s="6" t="s">
        <v>2918</v>
      </c>
      <c r="C1656" s="6" t="s">
        <v>895</v>
      </c>
      <c r="D1656" s="24">
        <v>20.360901599999998</v>
      </c>
      <c r="E1656" s="6" t="s">
        <v>5887</v>
      </c>
      <c r="F1656" s="6">
        <v>21</v>
      </c>
      <c r="G1656" s="8">
        <f t="shared" si="25"/>
        <v>31661.201987999997</v>
      </c>
    </row>
    <row r="1657" spans="1:7" x14ac:dyDescent="0.3">
      <c r="A1657" s="14" t="str">
        <f>VLOOKUP(B1657,'Relacion codigos'!$A:$B,2,FALSE)</f>
        <v>2305</v>
      </c>
      <c r="B1657" s="6" t="s">
        <v>2930</v>
      </c>
      <c r="C1657" s="6" t="s">
        <v>896</v>
      </c>
      <c r="D1657" s="24">
        <v>20.360901599999998</v>
      </c>
      <c r="E1657" s="6" t="s">
        <v>5887</v>
      </c>
      <c r="F1657" s="6">
        <v>21</v>
      </c>
      <c r="G1657" s="8">
        <f t="shared" si="25"/>
        <v>31661.201987999997</v>
      </c>
    </row>
    <row r="1658" spans="1:7" x14ac:dyDescent="0.3">
      <c r="A1658" s="14" t="str">
        <f>VLOOKUP(B1658,'Relacion codigos'!$A:$B,2,FALSE)</f>
        <v>8216</v>
      </c>
      <c r="B1658" s="6" t="s">
        <v>2936</v>
      </c>
      <c r="C1658" s="6" t="s">
        <v>897</v>
      </c>
      <c r="D1658" s="24">
        <v>23.019937200000001</v>
      </c>
      <c r="E1658" s="6" t="s">
        <v>5887</v>
      </c>
      <c r="F1658" s="6">
        <v>21</v>
      </c>
      <c r="G1658" s="8">
        <f t="shared" si="25"/>
        <v>35796.002346000001</v>
      </c>
    </row>
    <row r="1659" spans="1:7" x14ac:dyDescent="0.3">
      <c r="A1659" s="14" t="str">
        <f>VLOOKUP(B1659,'Relacion codigos'!$A:$B,2,FALSE)</f>
        <v>2304</v>
      </c>
      <c r="B1659" s="6" t="s">
        <v>2908</v>
      </c>
      <c r="C1659" s="6" t="s">
        <v>898</v>
      </c>
      <c r="D1659" s="24">
        <v>23.019937200000001</v>
      </c>
      <c r="E1659" s="6" t="s">
        <v>5887</v>
      </c>
      <c r="F1659" s="6">
        <v>21</v>
      </c>
      <c r="G1659" s="8">
        <f t="shared" si="25"/>
        <v>35796.002346000001</v>
      </c>
    </row>
    <row r="1660" spans="1:7" x14ac:dyDescent="0.3">
      <c r="A1660" s="14" t="str">
        <f>VLOOKUP(B1660,'Relacion codigos'!$A:$B,2,FALSE)</f>
        <v>2300</v>
      </c>
      <c r="B1660" s="6" t="s">
        <v>2919</v>
      </c>
      <c r="C1660" s="6" t="s">
        <v>899</v>
      </c>
      <c r="D1660" s="24">
        <v>23.019937200000001</v>
      </c>
      <c r="E1660" s="6" t="s">
        <v>5887</v>
      </c>
      <c r="F1660" s="6">
        <v>21</v>
      </c>
      <c r="G1660" s="8">
        <f t="shared" si="25"/>
        <v>35796.002346000001</v>
      </c>
    </row>
    <row r="1661" spans="1:7" x14ac:dyDescent="0.3">
      <c r="A1661" s="14" t="str">
        <f>VLOOKUP(B1661,'Relacion codigos'!$A:$B,2,FALSE)</f>
        <v>2307</v>
      </c>
      <c r="B1661" s="6" t="s">
        <v>2931</v>
      </c>
      <c r="C1661" s="6" t="s">
        <v>900</v>
      </c>
      <c r="D1661" s="24">
        <v>23.019937200000001</v>
      </c>
      <c r="E1661" s="6" t="s">
        <v>5887</v>
      </c>
      <c r="F1661" s="6">
        <v>21</v>
      </c>
      <c r="G1661" s="8">
        <f t="shared" si="25"/>
        <v>35796.002346000001</v>
      </c>
    </row>
    <row r="1662" spans="1:7" x14ac:dyDescent="0.3">
      <c r="A1662" s="14" t="str">
        <f>VLOOKUP(B1662,'Relacion codigos'!$A:$B,2,FALSE)</f>
        <v>8881</v>
      </c>
      <c r="B1662" s="6" t="s">
        <v>2909</v>
      </c>
      <c r="C1662" s="6" t="s">
        <v>10617</v>
      </c>
      <c r="D1662" s="24">
        <v>33.134572487249997</v>
      </c>
      <c r="E1662" s="6" t="s">
        <v>5887</v>
      </c>
      <c r="F1662" s="6">
        <v>21</v>
      </c>
      <c r="G1662" s="8">
        <f t="shared" si="25"/>
        <v>51524.260217673749</v>
      </c>
    </row>
    <row r="1663" spans="1:7" x14ac:dyDescent="0.3">
      <c r="A1663" s="14" t="e">
        <f>VLOOKUP(B1663,'Relacion codigos'!$A:$B,2,FALSE)</f>
        <v>#N/A</v>
      </c>
      <c r="B1663" s="6" t="s">
        <v>10274</v>
      </c>
      <c r="C1663" s="6" t="s">
        <v>10275</v>
      </c>
      <c r="D1663" s="24">
        <v>44.812950000000001</v>
      </c>
      <c r="E1663" s="6" t="s">
        <v>5887</v>
      </c>
      <c r="F1663" s="6">
        <v>21</v>
      </c>
      <c r="G1663" s="8">
        <f t="shared" si="25"/>
        <v>69684.13725</v>
      </c>
    </row>
    <row r="1664" spans="1:7" x14ac:dyDescent="0.3">
      <c r="A1664" s="14" t="str">
        <f>VLOOKUP(B1664,'Relacion codigos'!$A:$B,2,FALSE)</f>
        <v>8990</v>
      </c>
      <c r="B1664" s="6" t="s">
        <v>2910</v>
      </c>
      <c r="C1664" s="6" t="s">
        <v>1149</v>
      </c>
      <c r="D1664" s="24">
        <v>886.07979720000003</v>
      </c>
      <c r="E1664" s="6" t="s">
        <v>5887</v>
      </c>
      <c r="F1664" s="6">
        <v>21</v>
      </c>
      <c r="G1664" s="8">
        <f t="shared" si="25"/>
        <v>1377854.0846460001</v>
      </c>
    </row>
    <row r="1665" spans="1:7" x14ac:dyDescent="0.3">
      <c r="A1665" s="14" t="str">
        <f>VLOOKUP(B1665,'Relacion codigos'!$A:$B,2,FALSE)</f>
        <v>8824</v>
      </c>
      <c r="B1665" s="6" t="s">
        <v>2911</v>
      </c>
      <c r="C1665" s="6" t="s">
        <v>10652</v>
      </c>
      <c r="D1665" s="24">
        <v>49.689559334999998</v>
      </c>
      <c r="E1665" s="6" t="s">
        <v>5887</v>
      </c>
      <c r="F1665" s="6">
        <v>21</v>
      </c>
      <c r="G1665" s="8">
        <f t="shared" si="25"/>
        <v>77267.264765924992</v>
      </c>
    </row>
    <row r="1666" spans="1:7" x14ac:dyDescent="0.3">
      <c r="A1666" s="14" t="e">
        <f>VLOOKUP(B1666,'Relacion codigos'!$A:$B,2,FALSE)</f>
        <v>#N/A</v>
      </c>
      <c r="B1666" s="6" t="s">
        <v>10276</v>
      </c>
      <c r="C1666" s="6" t="s">
        <v>10277</v>
      </c>
      <c r="D1666" s="24">
        <v>62.394150000000003</v>
      </c>
      <c r="E1666" s="6" t="s">
        <v>5887</v>
      </c>
      <c r="F1666" s="6">
        <v>21</v>
      </c>
      <c r="G1666" s="8">
        <f t="shared" ref="G1666:G1729" si="26">IF(E1666="Dolares",D1666*$G$1,D1666)</f>
        <v>97022.903250000003</v>
      </c>
    </row>
    <row r="1667" spans="1:7" x14ac:dyDescent="0.3">
      <c r="A1667" s="14" t="str">
        <f>VLOOKUP(B1667,'Relacion codigos'!$A:$B,2,FALSE)</f>
        <v>8218</v>
      </c>
      <c r="B1667" s="6" t="s">
        <v>2937</v>
      </c>
      <c r="C1667" s="6" t="s">
        <v>901</v>
      </c>
      <c r="D1667" s="24">
        <v>30.371093999999999</v>
      </c>
      <c r="E1667" s="6" t="s">
        <v>5887</v>
      </c>
      <c r="F1667" s="6">
        <v>21</v>
      </c>
      <c r="G1667" s="8">
        <f t="shared" si="26"/>
        <v>47227.051169999999</v>
      </c>
    </row>
    <row r="1668" spans="1:7" x14ac:dyDescent="0.3">
      <c r="A1668" s="14" t="str">
        <f>VLOOKUP(B1668,'Relacion codigos'!$A:$B,2,FALSE)</f>
        <v>2306</v>
      </c>
      <c r="B1668" s="6" t="s">
        <v>2912</v>
      </c>
      <c r="C1668" s="6" t="s">
        <v>10731</v>
      </c>
      <c r="D1668" s="24">
        <v>30.371093999999999</v>
      </c>
      <c r="E1668" s="6" t="s">
        <v>5887</v>
      </c>
      <c r="F1668" s="6">
        <v>21</v>
      </c>
      <c r="G1668" s="8">
        <f t="shared" si="26"/>
        <v>47227.051169999999</v>
      </c>
    </row>
    <row r="1669" spans="1:7" x14ac:dyDescent="0.3">
      <c r="A1669" s="14" t="str">
        <f>VLOOKUP(B1669,'Relacion codigos'!$A:$B,2,FALSE)</f>
        <v>2302</v>
      </c>
      <c r="B1669" s="6" t="s">
        <v>2920</v>
      </c>
      <c r="C1669" s="6" t="s">
        <v>902</v>
      </c>
      <c r="D1669" s="24">
        <v>30.371093999999999</v>
      </c>
      <c r="E1669" s="6" t="s">
        <v>5887</v>
      </c>
      <c r="F1669" s="6">
        <v>21</v>
      </c>
      <c r="G1669" s="8">
        <f t="shared" si="26"/>
        <v>47227.051169999999</v>
      </c>
    </row>
    <row r="1670" spans="1:7" x14ac:dyDescent="0.3">
      <c r="A1670" s="14" t="str">
        <f>VLOOKUP(B1670,'Relacion codigos'!$A:$B,2,FALSE)</f>
        <v>2296</v>
      </c>
      <c r="B1670" s="6" t="s">
        <v>2932</v>
      </c>
      <c r="C1670" s="6" t="s">
        <v>903</v>
      </c>
      <c r="D1670" s="24">
        <v>30.371093999999999</v>
      </c>
      <c r="E1670" s="6" t="s">
        <v>5887</v>
      </c>
      <c r="F1670" s="6">
        <v>21</v>
      </c>
      <c r="G1670" s="8">
        <f t="shared" si="26"/>
        <v>47227.051169999999</v>
      </c>
    </row>
    <row r="1671" spans="1:7" x14ac:dyDescent="0.3">
      <c r="A1671" s="14" t="e">
        <f>VLOOKUP(B1671,'Relacion codigos'!$A:$B,2,FALSE)</f>
        <v>#N/A</v>
      </c>
      <c r="B1671" s="6" t="s">
        <v>9544</v>
      </c>
      <c r="C1671" s="6" t="s">
        <v>9545</v>
      </c>
      <c r="D1671" s="24">
        <v>1108.5774804</v>
      </c>
      <c r="E1671" s="6" t="s">
        <v>5887</v>
      </c>
      <c r="F1671" s="6">
        <v>21</v>
      </c>
      <c r="G1671" s="8">
        <f t="shared" si="26"/>
        <v>1723837.982022</v>
      </c>
    </row>
    <row r="1672" spans="1:7" x14ac:dyDescent="0.3">
      <c r="A1672" s="14" t="e">
        <f>VLOOKUP(B1672,'Relacion codigos'!$A:$B,2,FALSE)</f>
        <v>#N/A</v>
      </c>
      <c r="B1672" s="6" t="s">
        <v>9091</v>
      </c>
      <c r="C1672" s="6" t="s">
        <v>10618</v>
      </c>
      <c r="D1672" s="24">
        <v>70.823201287149999</v>
      </c>
      <c r="E1672" s="6" t="s">
        <v>5887</v>
      </c>
      <c r="F1672" s="6">
        <v>21</v>
      </c>
      <c r="G1672" s="8">
        <f t="shared" si="26"/>
        <v>110130.07800151825</v>
      </c>
    </row>
    <row r="1673" spans="1:7" x14ac:dyDescent="0.3">
      <c r="A1673" s="14" t="e">
        <f>VLOOKUP(B1673,'Relacion codigos'!$A:$B,2,FALSE)</f>
        <v>#N/A</v>
      </c>
      <c r="B1673" s="6" t="s">
        <v>10278</v>
      </c>
      <c r="C1673" s="6" t="s">
        <v>10619</v>
      </c>
      <c r="D1673" s="24">
        <v>86.063249999999996</v>
      </c>
      <c r="E1673" s="6" t="s">
        <v>5887</v>
      </c>
      <c r="F1673" s="6">
        <v>21</v>
      </c>
      <c r="G1673" s="8">
        <f t="shared" si="26"/>
        <v>133828.35374999998</v>
      </c>
    </row>
    <row r="1674" spans="1:7" x14ac:dyDescent="0.3">
      <c r="A1674" s="14" t="str">
        <f>VLOOKUP(B1674,'Relacion codigos'!$A:$B,2,FALSE)</f>
        <v>9310</v>
      </c>
      <c r="B1674" s="6" t="s">
        <v>2913</v>
      </c>
      <c r="C1674" s="6" t="s">
        <v>10620</v>
      </c>
      <c r="D1674" s="24">
        <v>77.404198039999997</v>
      </c>
      <c r="E1674" s="6" t="s">
        <v>5887</v>
      </c>
      <c r="F1674" s="6">
        <v>21</v>
      </c>
      <c r="G1674" s="8">
        <f t="shared" si="26"/>
        <v>120363.52795219999</v>
      </c>
    </row>
    <row r="1675" spans="1:7" x14ac:dyDescent="0.3">
      <c r="A1675" s="14" t="e">
        <f>VLOOKUP(B1675,'Relacion codigos'!$A:$B,2,FALSE)</f>
        <v>#N/A</v>
      </c>
      <c r="B1675" s="6" t="s">
        <v>10279</v>
      </c>
      <c r="C1675" s="6" t="s">
        <v>10280</v>
      </c>
      <c r="D1675" s="24">
        <v>13.424775</v>
      </c>
      <c r="E1675" s="6" t="s">
        <v>5887</v>
      </c>
      <c r="F1675" s="6">
        <v>21</v>
      </c>
      <c r="G1675" s="8">
        <f t="shared" si="26"/>
        <v>20875.525125</v>
      </c>
    </row>
    <row r="1676" spans="1:7" x14ac:dyDescent="0.3">
      <c r="A1676" s="14" t="e">
        <f>VLOOKUP(B1676,'Relacion codigos'!$A:$B,2,FALSE)</f>
        <v>#N/A</v>
      </c>
      <c r="B1676" s="6" t="s">
        <v>9719</v>
      </c>
      <c r="C1676" s="6" t="s">
        <v>9720</v>
      </c>
      <c r="D1676" s="24">
        <v>9.5443311990000002</v>
      </c>
      <c r="E1676" s="6" t="s">
        <v>5887</v>
      </c>
      <c r="F1676" s="6">
        <v>21</v>
      </c>
      <c r="G1676" s="8">
        <f t="shared" si="26"/>
        <v>14841.435014445</v>
      </c>
    </row>
    <row r="1677" spans="1:7" x14ac:dyDescent="0.3">
      <c r="A1677" s="14" t="e">
        <f>VLOOKUP(B1677,'Relacion codigos'!$A:$B,2,FALSE)</f>
        <v>#N/A</v>
      </c>
      <c r="B1677" s="6" t="s">
        <v>10281</v>
      </c>
      <c r="C1677" s="6" t="s">
        <v>10282</v>
      </c>
      <c r="D1677" s="24">
        <v>13.424775</v>
      </c>
      <c r="E1677" s="6" t="s">
        <v>5887</v>
      </c>
      <c r="F1677" s="6">
        <v>21</v>
      </c>
      <c r="G1677" s="8">
        <f t="shared" si="26"/>
        <v>20875.525125</v>
      </c>
    </row>
    <row r="1678" spans="1:7" x14ac:dyDescent="0.3">
      <c r="A1678" s="14" t="e">
        <f>VLOOKUP(B1678,'Relacion codigos'!$A:$B,2,FALSE)</f>
        <v>#N/A</v>
      </c>
      <c r="B1678" s="6" t="s">
        <v>11900</v>
      </c>
      <c r="C1678" s="6" t="s">
        <v>11901</v>
      </c>
      <c r="D1678" s="24">
        <v>13.424775</v>
      </c>
      <c r="E1678" s="6" t="s">
        <v>5887</v>
      </c>
      <c r="F1678" s="6">
        <v>21</v>
      </c>
      <c r="G1678" s="8">
        <f t="shared" si="26"/>
        <v>20875.525125</v>
      </c>
    </row>
    <row r="1679" spans="1:7" x14ac:dyDescent="0.3">
      <c r="A1679" s="14" t="e">
        <f>VLOOKUP(B1679,'Relacion codigos'!$A:$B,2,FALSE)</f>
        <v>#N/A</v>
      </c>
      <c r="B1679" s="6" t="s">
        <v>9760</v>
      </c>
      <c r="C1679" s="6" t="s">
        <v>9761</v>
      </c>
      <c r="D1679" s="24">
        <v>20.65635</v>
      </c>
      <c r="E1679" s="6" t="s">
        <v>5887</v>
      </c>
      <c r="F1679" s="6">
        <v>21</v>
      </c>
      <c r="G1679" s="8">
        <f t="shared" si="26"/>
        <v>32120.624250000001</v>
      </c>
    </row>
    <row r="1680" spans="1:7" x14ac:dyDescent="0.3">
      <c r="A1680" s="14" t="e">
        <f>VLOOKUP(B1680,'Relacion codigos'!$A:$B,2,FALSE)</f>
        <v>#N/A</v>
      </c>
      <c r="B1680" s="6" t="s">
        <v>9762</v>
      </c>
      <c r="C1680" s="6" t="s">
        <v>9763</v>
      </c>
      <c r="D1680" s="24">
        <v>33.050159999999998</v>
      </c>
      <c r="E1680" s="6" t="s">
        <v>5887</v>
      </c>
      <c r="F1680" s="6">
        <v>21</v>
      </c>
      <c r="G1680" s="8">
        <f t="shared" si="26"/>
        <v>51392.998799999994</v>
      </c>
    </row>
    <row r="1681" spans="1:7" x14ac:dyDescent="0.3">
      <c r="A1681" s="14" t="e">
        <f>VLOOKUP(B1681,'Relacion codigos'!$A:$B,2,FALSE)</f>
        <v>#N/A</v>
      </c>
      <c r="B1681" s="6" t="s">
        <v>9764</v>
      </c>
      <c r="C1681" s="6" t="s">
        <v>9765</v>
      </c>
      <c r="D1681" s="24">
        <v>14.046317999999999</v>
      </c>
      <c r="E1681" s="6" t="s">
        <v>5887</v>
      </c>
      <c r="F1681" s="6">
        <v>21</v>
      </c>
      <c r="G1681" s="8">
        <f t="shared" si="26"/>
        <v>21842.02449</v>
      </c>
    </row>
    <row r="1682" spans="1:7" x14ac:dyDescent="0.3">
      <c r="A1682" s="14" t="str">
        <f>VLOOKUP(B1682,'Relacion codigos'!$A:$B,2,FALSE)</f>
        <v>7217</v>
      </c>
      <c r="B1682" s="6" t="s">
        <v>4279</v>
      </c>
      <c r="C1682" s="6" t="s">
        <v>232</v>
      </c>
      <c r="D1682" s="24">
        <v>4.9116210000000002</v>
      </c>
      <c r="E1682" s="6" t="s">
        <v>5887</v>
      </c>
      <c r="F1682" s="6">
        <v>21</v>
      </c>
      <c r="G1682" s="8">
        <f t="shared" si="26"/>
        <v>7637.5706550000004</v>
      </c>
    </row>
    <row r="1683" spans="1:7" x14ac:dyDescent="0.3">
      <c r="A1683" s="14" t="str">
        <f>VLOOKUP(B1683,'Relacion codigos'!$A:$B,2,FALSE)</f>
        <v>7218</v>
      </c>
      <c r="B1683" s="6" t="s">
        <v>4280</v>
      </c>
      <c r="C1683" s="6" t="s">
        <v>233</v>
      </c>
      <c r="D1683" s="24">
        <v>6.2595000000000001</v>
      </c>
      <c r="E1683" s="6" t="s">
        <v>5887</v>
      </c>
      <c r="F1683" s="6">
        <v>21</v>
      </c>
      <c r="G1683" s="8">
        <f t="shared" si="26"/>
        <v>9733.5225000000009</v>
      </c>
    </row>
    <row r="1684" spans="1:7" x14ac:dyDescent="0.3">
      <c r="A1684" s="14" t="str">
        <f>VLOOKUP(B1684,'Relacion codigos'!$A:$B,2,FALSE)</f>
        <v>6646</v>
      </c>
      <c r="B1684" s="6" t="s">
        <v>4281</v>
      </c>
      <c r="C1684" s="6" t="s">
        <v>234</v>
      </c>
      <c r="D1684" s="24">
        <v>795.82892407199995</v>
      </c>
      <c r="E1684" s="6" t="s">
        <v>5887</v>
      </c>
      <c r="F1684" s="6">
        <v>21</v>
      </c>
      <c r="G1684" s="8">
        <f t="shared" si="26"/>
        <v>1237513.9769319599</v>
      </c>
    </row>
    <row r="1685" spans="1:7" x14ac:dyDescent="0.3">
      <c r="A1685" s="14" t="str">
        <f>VLOOKUP(B1685,'Relacion codigos'!$A:$B,2,FALSE)</f>
        <v>7331</v>
      </c>
      <c r="B1685" s="6" t="s">
        <v>1508</v>
      </c>
      <c r="C1685" s="6" t="s">
        <v>235</v>
      </c>
      <c r="D1685" s="24">
        <v>1127.9619</v>
      </c>
      <c r="E1685" s="6" t="s">
        <v>5889</v>
      </c>
      <c r="F1685" s="6">
        <v>21</v>
      </c>
      <c r="G1685" s="8">
        <f t="shared" si="26"/>
        <v>1127.9619</v>
      </c>
    </row>
    <row r="1686" spans="1:7" x14ac:dyDescent="0.3">
      <c r="A1686" s="14" t="e">
        <f>VLOOKUP(B1686,'Relacion codigos'!$A:$B,2,FALSE)</f>
        <v>#N/A</v>
      </c>
      <c r="B1686" s="6" t="s">
        <v>13843</v>
      </c>
      <c r="C1686" s="6" t="s">
        <v>13924</v>
      </c>
      <c r="D1686" s="24">
        <v>0.40561560000000002</v>
      </c>
      <c r="E1686" s="6" t="s">
        <v>5887</v>
      </c>
      <c r="F1686" s="6">
        <v>21</v>
      </c>
      <c r="G1686" s="8">
        <f t="shared" si="26"/>
        <v>630.732258</v>
      </c>
    </row>
    <row r="1687" spans="1:7" x14ac:dyDescent="0.3">
      <c r="A1687" s="14" t="str">
        <f>VLOOKUP(B1687,'Relacion codigos'!$A:$B,2,FALSE)</f>
        <v>8296</v>
      </c>
      <c r="B1687" s="6" t="s">
        <v>3109</v>
      </c>
      <c r="C1687" s="6" t="s">
        <v>904</v>
      </c>
      <c r="D1687" s="24">
        <v>40.202685338400002</v>
      </c>
      <c r="E1687" s="6" t="s">
        <v>5887</v>
      </c>
      <c r="F1687" s="6">
        <v>21</v>
      </c>
      <c r="G1687" s="8">
        <f t="shared" si="26"/>
        <v>62515.175701212</v>
      </c>
    </row>
    <row r="1688" spans="1:7" x14ac:dyDescent="0.3">
      <c r="A1688" s="14" t="e">
        <f>VLOOKUP(B1688,'Relacion codigos'!$A:$B,2,FALSE)</f>
        <v>#N/A</v>
      </c>
      <c r="B1688" s="6" t="s">
        <v>10053</v>
      </c>
      <c r="C1688" s="6" t="s">
        <v>10054</v>
      </c>
      <c r="D1688" s="24">
        <v>13919.62572</v>
      </c>
      <c r="E1688" s="6" t="s">
        <v>5889</v>
      </c>
      <c r="F1688" s="6">
        <v>21</v>
      </c>
      <c r="G1688" s="8">
        <f t="shared" si="26"/>
        <v>13919.62572</v>
      </c>
    </row>
    <row r="1689" spans="1:7" x14ac:dyDescent="0.3">
      <c r="A1689" s="14" t="e">
        <f>VLOOKUP(B1689,'Relacion codigos'!$A:$B,2,FALSE)</f>
        <v>#N/A</v>
      </c>
      <c r="B1689" s="6" t="s">
        <v>10055</v>
      </c>
      <c r="C1689" s="6" t="s">
        <v>10056</v>
      </c>
      <c r="D1689" s="24">
        <v>19730.517091999998</v>
      </c>
      <c r="E1689" s="6" t="s">
        <v>5889</v>
      </c>
      <c r="F1689" s="6">
        <v>21</v>
      </c>
      <c r="G1689" s="8">
        <f t="shared" si="26"/>
        <v>19730.517091999998</v>
      </c>
    </row>
    <row r="1690" spans="1:7" x14ac:dyDescent="0.3">
      <c r="A1690" s="14" t="str">
        <f>VLOOKUP(B1690,'Relacion codigos'!$A:$B,2,FALSE)</f>
        <v>6655</v>
      </c>
      <c r="B1690" s="6" t="s">
        <v>3466</v>
      </c>
      <c r="C1690" s="6" t="s">
        <v>13268</v>
      </c>
      <c r="D1690" s="24">
        <v>497.97800000000001</v>
      </c>
      <c r="E1690" s="6" t="s">
        <v>5889</v>
      </c>
      <c r="F1690" s="6">
        <v>21</v>
      </c>
      <c r="G1690" s="8">
        <f t="shared" si="26"/>
        <v>497.97800000000001</v>
      </c>
    </row>
    <row r="1691" spans="1:7" x14ac:dyDescent="0.3">
      <c r="A1691" s="14" t="str">
        <f>VLOOKUP(B1691,'Relacion codigos'!$A:$B,2,FALSE)</f>
        <v>6096</v>
      </c>
      <c r="B1691" s="6" t="s">
        <v>3202</v>
      </c>
      <c r="C1691" s="6" t="s">
        <v>236</v>
      </c>
      <c r="D1691" s="24">
        <v>40895.4</v>
      </c>
      <c r="E1691" s="6" t="s">
        <v>5889</v>
      </c>
      <c r="F1691" s="6">
        <v>21</v>
      </c>
      <c r="G1691" s="8">
        <f t="shared" si="26"/>
        <v>40895.4</v>
      </c>
    </row>
    <row r="1692" spans="1:7" x14ac:dyDescent="0.3">
      <c r="A1692" s="14" t="str">
        <f>VLOOKUP(B1692,'Relacion codigos'!$A:$B,2,FALSE)</f>
        <v>5338</v>
      </c>
      <c r="B1692" s="6" t="s">
        <v>4964</v>
      </c>
      <c r="C1692" s="6" t="s">
        <v>237</v>
      </c>
      <c r="D1692" s="24">
        <v>411.73617776618198</v>
      </c>
      <c r="E1692" s="6" t="s">
        <v>5889</v>
      </c>
      <c r="F1692" s="6">
        <v>21</v>
      </c>
      <c r="G1692" s="8">
        <f t="shared" si="26"/>
        <v>411.73617776618198</v>
      </c>
    </row>
    <row r="1693" spans="1:7" x14ac:dyDescent="0.3">
      <c r="A1693" s="14" t="str">
        <f>VLOOKUP(B1693,'Relacion codigos'!$A:$B,2,FALSE)</f>
        <v>2644</v>
      </c>
      <c r="B1693" s="6" t="s">
        <v>2470</v>
      </c>
      <c r="C1693" s="6" t="s">
        <v>238</v>
      </c>
      <c r="D1693" s="24">
        <v>771.17549106000001</v>
      </c>
      <c r="E1693" s="6" t="s">
        <v>5889</v>
      </c>
      <c r="F1693" s="6">
        <v>21</v>
      </c>
      <c r="G1693" s="8">
        <f t="shared" si="26"/>
        <v>771.17549106000001</v>
      </c>
    </row>
    <row r="1694" spans="1:7" x14ac:dyDescent="0.3">
      <c r="A1694" s="14" t="e">
        <f>VLOOKUP(B1694,'Relacion codigos'!$A:$B,2,FALSE)</f>
        <v>#N/A</v>
      </c>
      <c r="B1694" s="6" t="s">
        <v>13388</v>
      </c>
      <c r="C1694" s="6" t="s">
        <v>13389</v>
      </c>
      <c r="D1694" s="24">
        <v>133.84874521816801</v>
      </c>
      <c r="E1694" s="6" t="s">
        <v>5889</v>
      </c>
      <c r="F1694" s="6">
        <v>21</v>
      </c>
      <c r="G1694" s="8">
        <f t="shared" si="26"/>
        <v>133.84874521816801</v>
      </c>
    </row>
    <row r="1695" spans="1:7" x14ac:dyDescent="0.3">
      <c r="A1695" s="14" t="e">
        <f>VLOOKUP(B1695,'Relacion codigos'!$A:$B,2,FALSE)</f>
        <v>#N/A</v>
      </c>
      <c r="B1695" s="6" t="s">
        <v>13390</v>
      </c>
      <c r="C1695" s="6" t="s">
        <v>13391</v>
      </c>
      <c r="D1695" s="24">
        <v>203.45052326917499</v>
      </c>
      <c r="E1695" s="6" t="s">
        <v>5889</v>
      </c>
      <c r="F1695" s="6">
        <v>21</v>
      </c>
      <c r="G1695" s="8">
        <f t="shared" si="26"/>
        <v>203.45052326917499</v>
      </c>
    </row>
    <row r="1696" spans="1:7" x14ac:dyDescent="0.3">
      <c r="A1696" s="14" t="e">
        <f>VLOOKUP(B1696,'Relacion codigos'!$A:$B,2,FALSE)</f>
        <v>#N/A</v>
      </c>
      <c r="B1696" s="6" t="s">
        <v>13392</v>
      </c>
      <c r="C1696" s="6" t="s">
        <v>13393</v>
      </c>
      <c r="D1696" s="24">
        <v>326.58426500017498</v>
      </c>
      <c r="E1696" s="6" t="s">
        <v>5889</v>
      </c>
      <c r="F1696" s="6">
        <v>21</v>
      </c>
      <c r="G1696" s="8">
        <f t="shared" si="26"/>
        <v>326.58426500017498</v>
      </c>
    </row>
    <row r="1697" spans="1:7" x14ac:dyDescent="0.3">
      <c r="A1697" s="14" t="e">
        <f>VLOOKUP(B1697,'Relacion codigos'!$A:$B,2,FALSE)</f>
        <v>#N/A</v>
      </c>
      <c r="B1697" s="6" t="s">
        <v>13394</v>
      </c>
      <c r="C1697" s="6" t="s">
        <v>13395</v>
      </c>
      <c r="D1697" s="24">
        <v>1102.39141853925</v>
      </c>
      <c r="E1697" s="6" t="s">
        <v>5889</v>
      </c>
      <c r="F1697" s="6">
        <v>21</v>
      </c>
      <c r="G1697" s="8">
        <f t="shared" si="26"/>
        <v>1102.39141853925</v>
      </c>
    </row>
    <row r="1698" spans="1:7" x14ac:dyDescent="0.3">
      <c r="A1698" s="14" t="e">
        <f>VLOOKUP(B1698,'Relacion codigos'!$A:$B,2,FALSE)</f>
        <v>#N/A</v>
      </c>
      <c r="B1698" s="6" t="s">
        <v>13396</v>
      </c>
      <c r="C1698" s="6" t="s">
        <v>13397</v>
      </c>
      <c r="D1698" s="24">
        <v>1376.2025423063001</v>
      </c>
      <c r="E1698" s="6" t="s">
        <v>5889</v>
      </c>
      <c r="F1698" s="6">
        <v>21</v>
      </c>
      <c r="G1698" s="8">
        <f t="shared" si="26"/>
        <v>1376.2025423063001</v>
      </c>
    </row>
    <row r="1699" spans="1:7" x14ac:dyDescent="0.3">
      <c r="A1699" s="14" t="e">
        <f>VLOOKUP(B1699,'Relacion codigos'!$A:$B,2,FALSE)</f>
        <v>#N/A</v>
      </c>
      <c r="B1699" s="6" t="s">
        <v>13398</v>
      </c>
      <c r="C1699" s="6" t="s">
        <v>13399</v>
      </c>
      <c r="D1699" s="24">
        <v>2489.26052885738</v>
      </c>
      <c r="E1699" s="6" t="s">
        <v>5889</v>
      </c>
      <c r="F1699" s="6">
        <v>21</v>
      </c>
      <c r="G1699" s="8">
        <f t="shared" si="26"/>
        <v>2489.26052885738</v>
      </c>
    </row>
    <row r="1700" spans="1:7" x14ac:dyDescent="0.3">
      <c r="A1700" s="14" t="e">
        <f>VLOOKUP(B1700,'Relacion codigos'!$A:$B,2,FALSE)</f>
        <v>#N/A</v>
      </c>
      <c r="B1700" s="6" t="s">
        <v>13400</v>
      </c>
      <c r="C1700" s="6" t="s">
        <v>13401</v>
      </c>
      <c r="D1700" s="24">
        <v>1286.1125581901699</v>
      </c>
      <c r="E1700" s="6" t="s">
        <v>5889</v>
      </c>
      <c r="F1700" s="6">
        <v>21</v>
      </c>
      <c r="G1700" s="8">
        <f t="shared" si="26"/>
        <v>1286.1125581901699</v>
      </c>
    </row>
    <row r="1701" spans="1:7" x14ac:dyDescent="0.3">
      <c r="A1701" s="14" t="e">
        <f>VLOOKUP(B1701,'Relacion codigos'!$A:$B,2,FALSE)</f>
        <v>#N/A</v>
      </c>
      <c r="B1701" s="6" t="s">
        <v>13402</v>
      </c>
      <c r="C1701" s="6" t="s">
        <v>13403</v>
      </c>
      <c r="D1701" s="24">
        <v>1531.08842897667</v>
      </c>
      <c r="E1701" s="6" t="s">
        <v>5889</v>
      </c>
      <c r="F1701" s="6">
        <v>21</v>
      </c>
      <c r="G1701" s="8">
        <f t="shared" si="26"/>
        <v>1531.08842897667</v>
      </c>
    </row>
    <row r="1702" spans="1:7" x14ac:dyDescent="0.3">
      <c r="A1702" s="14" t="e">
        <f>VLOOKUP(B1702,'Relacion codigos'!$A:$B,2,FALSE)</f>
        <v>#N/A</v>
      </c>
      <c r="B1702" s="6" t="s">
        <v>13404</v>
      </c>
      <c r="C1702" s="6" t="s">
        <v>13405</v>
      </c>
      <c r="D1702" s="24">
        <v>1837.31364917927</v>
      </c>
      <c r="E1702" s="6" t="s">
        <v>5889</v>
      </c>
      <c r="F1702" s="6">
        <v>21</v>
      </c>
      <c r="G1702" s="8">
        <f t="shared" si="26"/>
        <v>1837.31364917927</v>
      </c>
    </row>
    <row r="1703" spans="1:7" x14ac:dyDescent="0.3">
      <c r="A1703" s="14" t="e">
        <f>VLOOKUP(B1703,'Relacion codigos'!$A:$B,2,FALSE)</f>
        <v>#N/A</v>
      </c>
      <c r="B1703" s="6" t="s">
        <v>13406</v>
      </c>
      <c r="C1703" s="6" t="s">
        <v>13407</v>
      </c>
      <c r="D1703" s="24">
        <v>200.52286787137501</v>
      </c>
      <c r="E1703" s="6" t="s">
        <v>5889</v>
      </c>
      <c r="F1703" s="6">
        <v>21</v>
      </c>
      <c r="G1703" s="8">
        <f t="shared" si="26"/>
        <v>200.52286787137501</v>
      </c>
    </row>
    <row r="1704" spans="1:7" x14ac:dyDescent="0.3">
      <c r="A1704" s="14" t="str">
        <f>VLOOKUP(B1704,'Relacion codigos'!$A:$B,2,FALSE)</f>
        <v>2160</v>
      </c>
      <c r="B1704" s="6" t="s">
        <v>2342</v>
      </c>
      <c r="C1704" s="6" t="s">
        <v>12698</v>
      </c>
      <c r="D1704" s="24">
        <v>294.98677940160002</v>
      </c>
      <c r="E1704" s="6" t="s">
        <v>5889</v>
      </c>
      <c r="F1704" s="6">
        <v>21</v>
      </c>
      <c r="G1704" s="8">
        <f t="shared" si="26"/>
        <v>294.98677940160002</v>
      </c>
    </row>
    <row r="1705" spans="1:7" x14ac:dyDescent="0.3">
      <c r="A1705" s="14" t="str">
        <f>VLOOKUP(B1705,'Relacion codigos'!$A:$B,2,FALSE)</f>
        <v>8690</v>
      </c>
      <c r="B1705" s="6" t="s">
        <v>2341</v>
      </c>
      <c r="C1705" s="6" t="s">
        <v>10834</v>
      </c>
      <c r="D1705" s="24">
        <v>283.24253230123497</v>
      </c>
      <c r="E1705" s="6" t="s">
        <v>5889</v>
      </c>
      <c r="F1705" s="6">
        <v>21</v>
      </c>
      <c r="G1705" s="8">
        <f t="shared" si="26"/>
        <v>283.24253230123497</v>
      </c>
    </row>
    <row r="1706" spans="1:7" x14ac:dyDescent="0.3">
      <c r="A1706" s="14" t="str">
        <f>VLOOKUP(B1706,'Relacion codigos'!$A:$B,2,FALSE)</f>
        <v>2161</v>
      </c>
      <c r="B1706" s="6" t="s">
        <v>2344</v>
      </c>
      <c r="C1706" s="6" t="s">
        <v>12699</v>
      </c>
      <c r="D1706" s="24">
        <v>321.32624562792</v>
      </c>
      <c r="E1706" s="6" t="s">
        <v>5889</v>
      </c>
      <c r="F1706" s="6">
        <v>21</v>
      </c>
      <c r="G1706" s="8">
        <f t="shared" si="26"/>
        <v>321.32624562792</v>
      </c>
    </row>
    <row r="1707" spans="1:7" x14ac:dyDescent="0.3">
      <c r="A1707" s="14" t="e">
        <f>VLOOKUP(B1707,'Relacion codigos'!$A:$B,2,FALSE)</f>
        <v>#N/A</v>
      </c>
      <c r="B1707" s="6" t="s">
        <v>13616</v>
      </c>
      <c r="C1707" s="6" t="s">
        <v>13617</v>
      </c>
      <c r="D1707" s="24">
        <v>353.4554168496</v>
      </c>
      <c r="E1707" s="6" t="s">
        <v>5889</v>
      </c>
      <c r="F1707" s="6">
        <v>21</v>
      </c>
      <c r="G1707" s="8">
        <f t="shared" si="26"/>
        <v>353.4554168496</v>
      </c>
    </row>
    <row r="1708" spans="1:7" x14ac:dyDescent="0.3">
      <c r="A1708" s="14" t="str">
        <f>VLOOKUP(B1708,'Relacion codigos'!$A:$B,2,FALSE)</f>
        <v>2162</v>
      </c>
      <c r="B1708" s="6" t="s">
        <v>2346</v>
      </c>
      <c r="C1708" s="6" t="s">
        <v>12700</v>
      </c>
      <c r="D1708" s="24">
        <v>383.08270197600001</v>
      </c>
      <c r="E1708" s="6" t="s">
        <v>5889</v>
      </c>
      <c r="F1708" s="6">
        <v>21</v>
      </c>
      <c r="G1708" s="8">
        <f t="shared" si="26"/>
        <v>383.08270197600001</v>
      </c>
    </row>
    <row r="1709" spans="1:7" x14ac:dyDescent="0.3">
      <c r="A1709" s="14" t="str">
        <f>VLOOKUP(B1709,'Relacion codigos'!$A:$B,2,FALSE)</f>
        <v>8692</v>
      </c>
      <c r="B1709" s="6" t="s">
        <v>2345</v>
      </c>
      <c r="C1709" s="6" t="s">
        <v>10836</v>
      </c>
      <c r="D1709" s="24">
        <v>356.28653655796501</v>
      </c>
      <c r="E1709" s="6" t="s">
        <v>5889</v>
      </c>
      <c r="F1709" s="6">
        <v>21</v>
      </c>
      <c r="G1709" s="8">
        <f t="shared" si="26"/>
        <v>356.28653655796501</v>
      </c>
    </row>
    <row r="1710" spans="1:7" x14ac:dyDescent="0.3">
      <c r="A1710" s="14" t="str">
        <f>VLOOKUP(B1710,'Relacion codigos'!$A:$B,2,FALSE)</f>
        <v>8737</v>
      </c>
      <c r="B1710" s="6" t="s">
        <v>2347</v>
      </c>
      <c r="C1710" s="6" t="s">
        <v>10837</v>
      </c>
      <c r="D1710" s="24">
        <v>579.04364016602995</v>
      </c>
      <c r="E1710" s="6" t="s">
        <v>5889</v>
      </c>
      <c r="F1710" s="6">
        <v>21</v>
      </c>
      <c r="G1710" s="8">
        <f t="shared" si="26"/>
        <v>579.04364016602995</v>
      </c>
    </row>
    <row r="1711" spans="1:7" x14ac:dyDescent="0.3">
      <c r="A1711" s="14" t="str">
        <f>VLOOKUP(B1711,'Relacion codigos'!$A:$B,2,FALSE)</f>
        <v>2163</v>
      </c>
      <c r="B1711" s="6" t="s">
        <v>2348</v>
      </c>
      <c r="C1711" s="6" t="s">
        <v>12701</v>
      </c>
      <c r="D1711" s="24">
        <v>411.90619218839998</v>
      </c>
      <c r="E1711" s="6" t="s">
        <v>5889</v>
      </c>
      <c r="F1711" s="6">
        <v>21</v>
      </c>
      <c r="G1711" s="8">
        <f t="shared" si="26"/>
        <v>411.90619218839998</v>
      </c>
    </row>
    <row r="1712" spans="1:7" x14ac:dyDescent="0.3">
      <c r="A1712" s="14" t="str">
        <f>VLOOKUP(B1712,'Relacion codigos'!$A:$B,2,FALSE)</f>
        <v>2395</v>
      </c>
      <c r="B1712" s="6" t="s">
        <v>2350</v>
      </c>
      <c r="C1712" s="6" t="s">
        <v>12702</v>
      </c>
      <c r="D1712" s="24">
        <v>960.21935830079997</v>
      </c>
      <c r="E1712" s="6" t="s">
        <v>5889</v>
      </c>
      <c r="F1712" s="6">
        <v>21</v>
      </c>
      <c r="G1712" s="8">
        <f t="shared" si="26"/>
        <v>960.21935830079997</v>
      </c>
    </row>
    <row r="1713" spans="1:7" x14ac:dyDescent="0.3">
      <c r="A1713" s="14" t="str">
        <f>VLOOKUP(B1713,'Relacion codigos'!$A:$B,2,FALSE)</f>
        <v>8738</v>
      </c>
      <c r="B1713" s="6" t="s">
        <v>2349</v>
      </c>
      <c r="C1713" s="6" t="s">
        <v>10838</v>
      </c>
      <c r="D1713" s="24">
        <v>1101.35933709867</v>
      </c>
      <c r="E1713" s="6" t="s">
        <v>5889</v>
      </c>
      <c r="F1713" s="6">
        <v>21</v>
      </c>
      <c r="G1713" s="8">
        <f t="shared" si="26"/>
        <v>1101.35933709867</v>
      </c>
    </row>
    <row r="1714" spans="1:7" x14ac:dyDescent="0.3">
      <c r="A1714" s="14" t="str">
        <f>VLOOKUP(B1714,'Relacion codigos'!$A:$B,2,FALSE)</f>
        <v>2393</v>
      </c>
      <c r="B1714" s="6" t="s">
        <v>2352</v>
      </c>
      <c r="C1714" s="6" t="s">
        <v>12703</v>
      </c>
      <c r="D1714" s="24">
        <v>1446.4259707248</v>
      </c>
      <c r="E1714" s="6" t="s">
        <v>5889</v>
      </c>
      <c r="F1714" s="6">
        <v>21</v>
      </c>
      <c r="G1714" s="8">
        <f t="shared" si="26"/>
        <v>1446.4259707248</v>
      </c>
    </row>
    <row r="1715" spans="1:7" x14ac:dyDescent="0.3">
      <c r="A1715" s="14" t="str">
        <f>VLOOKUP(B1715,'Relacion codigos'!$A:$B,2,FALSE)</f>
        <v>8739</v>
      </c>
      <c r="B1715" s="6" t="s">
        <v>2351</v>
      </c>
      <c r="C1715" s="6" t="s">
        <v>10839</v>
      </c>
      <c r="D1715" s="24">
        <v>1872.19865286441</v>
      </c>
      <c r="E1715" s="6" t="s">
        <v>5889</v>
      </c>
      <c r="F1715" s="6">
        <v>21</v>
      </c>
      <c r="G1715" s="8">
        <f t="shared" si="26"/>
        <v>1872.19865286441</v>
      </c>
    </row>
    <row r="1716" spans="1:7" x14ac:dyDescent="0.3">
      <c r="A1716" s="14" t="str">
        <f>VLOOKUP(B1716,'Relacion codigos'!$A:$B,2,FALSE)</f>
        <v>2394</v>
      </c>
      <c r="B1716" s="6" t="s">
        <v>2354</v>
      </c>
      <c r="C1716" s="6" t="s">
        <v>12704</v>
      </c>
      <c r="D1716" s="24">
        <v>2517.3010955196</v>
      </c>
      <c r="E1716" s="6" t="s">
        <v>5889</v>
      </c>
      <c r="F1716" s="6">
        <v>21</v>
      </c>
      <c r="G1716" s="8">
        <f t="shared" si="26"/>
        <v>2517.3010955196</v>
      </c>
    </row>
    <row r="1717" spans="1:7" x14ac:dyDescent="0.3">
      <c r="A1717" s="14" t="str">
        <f>VLOOKUP(B1717,'Relacion codigos'!$A:$B,2,FALSE)</f>
        <v>8740</v>
      </c>
      <c r="B1717" s="6" t="s">
        <v>2353</v>
      </c>
      <c r="C1717" s="6" t="s">
        <v>10981</v>
      </c>
      <c r="D1717" s="24">
        <v>4077.95609885975</v>
      </c>
      <c r="E1717" s="6" t="s">
        <v>5889</v>
      </c>
      <c r="F1717" s="6">
        <v>21</v>
      </c>
      <c r="G1717" s="8">
        <f t="shared" si="26"/>
        <v>4077.95609885975</v>
      </c>
    </row>
    <row r="1718" spans="1:7" x14ac:dyDescent="0.3">
      <c r="A1718" s="14" t="str">
        <f>VLOOKUP(B1718,'Relacion codigos'!$A:$B,2,FALSE)</f>
        <v>8397</v>
      </c>
      <c r="B1718" s="6" t="s">
        <v>2792</v>
      </c>
      <c r="C1718" s="6" t="s">
        <v>13986</v>
      </c>
      <c r="D1718" s="24">
        <v>18244.945784</v>
      </c>
      <c r="E1718" s="6" t="s">
        <v>5889</v>
      </c>
      <c r="F1718" s="6">
        <v>21</v>
      </c>
      <c r="G1718" s="8">
        <f t="shared" si="26"/>
        <v>18244.945784</v>
      </c>
    </row>
    <row r="1719" spans="1:7" x14ac:dyDescent="0.3">
      <c r="A1719" s="14" t="str">
        <f>VLOOKUP(B1719,'Relacion codigos'!$A:$B,2,FALSE)</f>
        <v>8398</v>
      </c>
      <c r="B1719" s="6" t="s">
        <v>2793</v>
      </c>
      <c r="C1719" s="6" t="s">
        <v>13987</v>
      </c>
      <c r="D1719" s="24">
        <v>23368.833384000001</v>
      </c>
      <c r="E1719" s="6" t="s">
        <v>5889</v>
      </c>
      <c r="F1719" s="6">
        <v>21</v>
      </c>
      <c r="G1719" s="8">
        <f t="shared" si="26"/>
        <v>23368.833384000001</v>
      </c>
    </row>
    <row r="1720" spans="1:7" x14ac:dyDescent="0.3">
      <c r="A1720" s="14" t="str">
        <f>VLOOKUP(B1720,'Relacion codigos'!$A:$B,2,FALSE)</f>
        <v>2559</v>
      </c>
      <c r="B1720" s="6" t="s">
        <v>2789</v>
      </c>
      <c r="C1720" s="6" t="s">
        <v>12647</v>
      </c>
      <c r="D1720" s="24">
        <v>7025.0730160000003</v>
      </c>
      <c r="E1720" s="6" t="s">
        <v>5889</v>
      </c>
      <c r="F1720" s="6">
        <v>21</v>
      </c>
      <c r="G1720" s="8">
        <f t="shared" si="26"/>
        <v>7025.0730160000003</v>
      </c>
    </row>
    <row r="1721" spans="1:7" x14ac:dyDescent="0.3">
      <c r="A1721" s="14" t="str">
        <f>VLOOKUP(B1721,'Relacion codigos'!$A:$B,2,FALSE)</f>
        <v>2473</v>
      </c>
      <c r="B1721" s="6" t="s">
        <v>2410</v>
      </c>
      <c r="C1721" s="6" t="s">
        <v>905</v>
      </c>
      <c r="D1721" s="24">
        <v>5723.7681734999996</v>
      </c>
      <c r="E1721" s="6" t="s">
        <v>5889</v>
      </c>
      <c r="F1721" s="6">
        <v>21</v>
      </c>
      <c r="G1721" s="8">
        <f t="shared" si="26"/>
        <v>5723.7681734999996</v>
      </c>
    </row>
    <row r="1722" spans="1:7" x14ac:dyDescent="0.3">
      <c r="A1722" s="14" t="str">
        <f>VLOOKUP(B1722,'Relacion codigos'!$A:$B,2,FALSE)</f>
        <v>2474</v>
      </c>
      <c r="B1722" s="6" t="s">
        <v>2411</v>
      </c>
      <c r="C1722" s="6" t="s">
        <v>906</v>
      </c>
      <c r="D1722" s="24">
        <v>6149.0239979999997</v>
      </c>
      <c r="E1722" s="6" t="s">
        <v>5889</v>
      </c>
      <c r="F1722" s="6">
        <v>21</v>
      </c>
      <c r="G1722" s="8">
        <f t="shared" si="26"/>
        <v>6149.0239979999997</v>
      </c>
    </row>
    <row r="1723" spans="1:7" x14ac:dyDescent="0.3">
      <c r="A1723" s="14" t="str">
        <f>VLOOKUP(B1723,'Relacion codigos'!$A:$B,2,FALSE)</f>
        <v>2594</v>
      </c>
      <c r="B1723" s="6" t="s">
        <v>2412</v>
      </c>
      <c r="C1723" s="6" t="s">
        <v>907</v>
      </c>
      <c r="D1723" s="24">
        <v>6275.7246240000004</v>
      </c>
      <c r="E1723" s="6" t="s">
        <v>5889</v>
      </c>
      <c r="F1723" s="6">
        <v>21</v>
      </c>
      <c r="G1723" s="8">
        <f t="shared" si="26"/>
        <v>6275.7246240000004</v>
      </c>
    </row>
    <row r="1724" spans="1:7" x14ac:dyDescent="0.3">
      <c r="A1724" s="14" t="str">
        <f>VLOOKUP(B1724,'Relacion codigos'!$A:$B,2,FALSE)</f>
        <v>2595</v>
      </c>
      <c r="B1724" s="6" t="s">
        <v>2413</v>
      </c>
      <c r="C1724" s="6" t="s">
        <v>908</v>
      </c>
      <c r="D1724" s="24">
        <v>7601.3636205000003</v>
      </c>
      <c r="E1724" s="6" t="s">
        <v>5889</v>
      </c>
      <c r="F1724" s="6">
        <v>21</v>
      </c>
      <c r="G1724" s="8">
        <f t="shared" si="26"/>
        <v>7601.3636205000003</v>
      </c>
    </row>
    <row r="1725" spans="1:7" x14ac:dyDescent="0.3">
      <c r="A1725" s="14" t="str">
        <f>VLOOKUP(B1725,'Relacion codigos'!$A:$B,2,FALSE)</f>
        <v>2082</v>
      </c>
      <c r="B1725" s="6" t="s">
        <v>2414</v>
      </c>
      <c r="C1725" s="6" t="s">
        <v>909</v>
      </c>
      <c r="D1725" s="24">
        <v>5321.4262920000001</v>
      </c>
      <c r="E1725" s="6" t="s">
        <v>5889</v>
      </c>
      <c r="F1725" s="6">
        <v>21</v>
      </c>
      <c r="G1725" s="8">
        <f t="shared" si="26"/>
        <v>5321.4262920000001</v>
      </c>
    </row>
    <row r="1726" spans="1:7" x14ac:dyDescent="0.3">
      <c r="A1726" s="14" t="e">
        <f>VLOOKUP(B1726,'Relacion codigos'!$A:$B,2,FALSE)</f>
        <v>#N/A</v>
      </c>
      <c r="B1726" s="6" t="s">
        <v>13739</v>
      </c>
      <c r="C1726" s="6" t="s">
        <v>13740</v>
      </c>
      <c r="D1726" s="24">
        <v>14107.575553500001</v>
      </c>
      <c r="E1726" s="6" t="s">
        <v>5889</v>
      </c>
      <c r="F1726" s="6">
        <v>21</v>
      </c>
      <c r="G1726" s="8">
        <f t="shared" si="26"/>
        <v>14107.575553500001</v>
      </c>
    </row>
    <row r="1727" spans="1:7" x14ac:dyDescent="0.3">
      <c r="A1727" s="14" t="str">
        <f>VLOOKUP(B1727,'Relacion codigos'!$A:$B,2,FALSE)</f>
        <v>8005</v>
      </c>
      <c r="B1727" s="6" t="s">
        <v>2415</v>
      </c>
      <c r="C1727" s="6" t="s">
        <v>14018</v>
      </c>
      <c r="D1727" s="24">
        <v>12198.30495</v>
      </c>
      <c r="E1727" s="6" t="s">
        <v>5889</v>
      </c>
      <c r="F1727" s="6">
        <v>21</v>
      </c>
      <c r="G1727" s="8">
        <f t="shared" si="26"/>
        <v>12198.30495</v>
      </c>
    </row>
    <row r="1728" spans="1:7" x14ac:dyDescent="0.3">
      <c r="A1728" s="14" t="e">
        <f>VLOOKUP(B1728,'Relacion codigos'!$A:$B,2,FALSE)</f>
        <v>#N/A</v>
      </c>
      <c r="B1728" s="6" t="s">
        <v>10119</v>
      </c>
      <c r="C1728" s="6" t="s">
        <v>10120</v>
      </c>
      <c r="D1728" s="24">
        <v>9377.9342149999993</v>
      </c>
      <c r="E1728" s="6" t="s">
        <v>5889</v>
      </c>
      <c r="F1728" s="6">
        <v>21</v>
      </c>
      <c r="G1728" s="8">
        <f t="shared" si="26"/>
        <v>9377.9342149999993</v>
      </c>
    </row>
    <row r="1729" spans="1:7" x14ac:dyDescent="0.3">
      <c r="A1729" s="14" t="e">
        <f>VLOOKUP(B1729,'Relacion codigos'!$A:$B,2,FALSE)</f>
        <v>#N/A</v>
      </c>
      <c r="B1729" s="6" t="s">
        <v>10121</v>
      </c>
      <c r="C1729" s="6" t="s">
        <v>10122</v>
      </c>
      <c r="D1729" s="24">
        <v>6138.1405358000002</v>
      </c>
      <c r="E1729" s="6" t="s">
        <v>5889</v>
      </c>
      <c r="F1729" s="6">
        <v>21</v>
      </c>
      <c r="G1729" s="8">
        <f t="shared" si="26"/>
        <v>6138.1405358000002</v>
      </c>
    </row>
    <row r="1730" spans="1:7" x14ac:dyDescent="0.3">
      <c r="A1730" s="14" t="str">
        <f>VLOOKUP(B1730,'Relacion codigos'!$A:$B,2,FALSE)</f>
        <v>9077</v>
      </c>
      <c r="B1730" s="6" t="s">
        <v>2305</v>
      </c>
      <c r="C1730" s="6" t="s">
        <v>1155</v>
      </c>
      <c r="D1730" s="24">
        <v>2541.7367876128001</v>
      </c>
      <c r="E1730" s="6" t="s">
        <v>5889</v>
      </c>
      <c r="F1730" s="6">
        <v>21</v>
      </c>
      <c r="G1730" s="8">
        <f t="shared" ref="G1730:G1793" si="27">IF(E1730="Dolares",D1730*$G$1,D1730)</f>
        <v>2541.7367876128001</v>
      </c>
    </row>
    <row r="1731" spans="1:7" x14ac:dyDescent="0.3">
      <c r="A1731" s="14" t="e">
        <f>VLOOKUP(B1731,'Relacion codigos'!$A:$B,2,FALSE)</f>
        <v>#N/A</v>
      </c>
      <c r="B1731" s="6" t="s">
        <v>12091</v>
      </c>
      <c r="C1731" s="6" t="s">
        <v>12092</v>
      </c>
      <c r="D1731" s="24">
        <v>14402.568122799999</v>
      </c>
      <c r="E1731" s="6" t="s">
        <v>5889</v>
      </c>
      <c r="F1731" s="6">
        <v>21</v>
      </c>
      <c r="G1731" s="8">
        <f t="shared" si="27"/>
        <v>14402.568122799999</v>
      </c>
    </row>
    <row r="1732" spans="1:7" x14ac:dyDescent="0.3">
      <c r="A1732" s="14" t="e">
        <f>VLOOKUP(B1732,'Relacion codigos'!$A:$B,2,FALSE)</f>
        <v>#N/A</v>
      </c>
      <c r="B1732" s="6" t="s">
        <v>12093</v>
      </c>
      <c r="C1732" s="6" t="s">
        <v>12094</v>
      </c>
      <c r="D1732" s="24">
        <v>14402.568122799999</v>
      </c>
      <c r="E1732" s="6" t="s">
        <v>5889</v>
      </c>
      <c r="F1732" s="6">
        <v>21</v>
      </c>
      <c r="G1732" s="8">
        <f t="shared" si="27"/>
        <v>14402.568122799999</v>
      </c>
    </row>
    <row r="1733" spans="1:7" x14ac:dyDescent="0.3">
      <c r="A1733" s="14" t="e">
        <f>VLOOKUP(B1733,'Relacion codigos'!$A:$B,2,FALSE)</f>
        <v>#N/A</v>
      </c>
      <c r="B1733" s="6" t="s">
        <v>13230</v>
      </c>
      <c r="C1733" s="6" t="s">
        <v>13231</v>
      </c>
      <c r="D1733" s="24">
        <v>1591.6838820999999</v>
      </c>
      <c r="E1733" s="6" t="s">
        <v>5889</v>
      </c>
      <c r="F1733" s="6">
        <v>21</v>
      </c>
      <c r="G1733" s="8">
        <f t="shared" si="27"/>
        <v>1591.6838820999999</v>
      </c>
    </row>
    <row r="1734" spans="1:7" x14ac:dyDescent="0.3">
      <c r="A1734" s="14" t="str">
        <f>VLOOKUP(B1734,'Relacion codigos'!$A:$B,2,FALSE)</f>
        <v>9075</v>
      </c>
      <c r="B1734" s="6" t="s">
        <v>2306</v>
      </c>
      <c r="C1734" s="6" t="s">
        <v>13232</v>
      </c>
      <c r="D1734" s="24">
        <v>1591.6838820999999</v>
      </c>
      <c r="E1734" s="6" t="s">
        <v>5889</v>
      </c>
      <c r="F1734" s="6">
        <v>21</v>
      </c>
      <c r="G1734" s="8">
        <f t="shared" si="27"/>
        <v>1591.6838820999999</v>
      </c>
    </row>
    <row r="1735" spans="1:7" x14ac:dyDescent="0.3">
      <c r="A1735" s="14" t="str">
        <f>VLOOKUP(B1735,'Relacion codigos'!$A:$B,2,FALSE)</f>
        <v>9076</v>
      </c>
      <c r="B1735" s="6" t="s">
        <v>2307</v>
      </c>
      <c r="C1735" s="6" t="s">
        <v>1156</v>
      </c>
      <c r="D1735" s="24">
        <v>1984.4611084999999</v>
      </c>
      <c r="E1735" s="6" t="s">
        <v>5889</v>
      </c>
      <c r="F1735" s="6">
        <v>21</v>
      </c>
      <c r="G1735" s="8">
        <f t="shared" si="27"/>
        <v>1984.4611084999999</v>
      </c>
    </row>
    <row r="1736" spans="1:7" x14ac:dyDescent="0.3">
      <c r="A1736" s="14" t="e">
        <f>VLOOKUP(B1736,'Relacion codigos'!$A:$B,2,FALSE)</f>
        <v>#N/A</v>
      </c>
      <c r="B1736" s="6" t="s">
        <v>9325</v>
      </c>
      <c r="C1736" s="6" t="s">
        <v>9326</v>
      </c>
      <c r="D1736" s="24">
        <v>10325.950704062499</v>
      </c>
      <c r="E1736" s="6" t="s">
        <v>5889</v>
      </c>
      <c r="F1736" s="6">
        <v>21</v>
      </c>
      <c r="G1736" s="8">
        <f t="shared" si="27"/>
        <v>10325.950704062499</v>
      </c>
    </row>
    <row r="1737" spans="1:7" x14ac:dyDescent="0.3">
      <c r="A1737" s="14" t="str">
        <f>VLOOKUP(B1737,'Relacion codigos'!$A:$B,2,FALSE)</f>
        <v>332</v>
      </c>
      <c r="B1737" s="6" t="s">
        <v>2259</v>
      </c>
      <c r="C1737" s="6" t="s">
        <v>239</v>
      </c>
      <c r="D1737" s="24">
        <v>874.27219546062497</v>
      </c>
      <c r="E1737" s="6" t="s">
        <v>5889</v>
      </c>
      <c r="F1737" s="6">
        <v>21</v>
      </c>
      <c r="G1737" s="8">
        <f t="shared" si="27"/>
        <v>874.27219546062497</v>
      </c>
    </row>
    <row r="1738" spans="1:7" x14ac:dyDescent="0.3">
      <c r="A1738" s="14" t="str">
        <f>VLOOKUP(B1738,'Relacion codigos'!$A:$B,2,FALSE)</f>
        <v>106</v>
      </c>
      <c r="B1738" s="6" t="s">
        <v>2261</v>
      </c>
      <c r="C1738" s="6" t="s">
        <v>241</v>
      </c>
      <c r="D1738" s="24">
        <v>6912.4160824874998</v>
      </c>
      <c r="E1738" s="6" t="s">
        <v>5889</v>
      </c>
      <c r="F1738" s="6">
        <v>21</v>
      </c>
      <c r="G1738" s="8">
        <f t="shared" si="27"/>
        <v>6912.4160824874998</v>
      </c>
    </row>
    <row r="1739" spans="1:7" x14ac:dyDescent="0.3">
      <c r="A1739" s="14" t="str">
        <f>VLOOKUP(B1739,'Relacion codigos'!$A:$B,2,FALSE)</f>
        <v>3914</v>
      </c>
      <c r="B1739" s="6" t="s">
        <v>2262</v>
      </c>
      <c r="C1739" s="6" t="s">
        <v>242</v>
      </c>
      <c r="D1739" s="24">
        <v>3715.6318016187502</v>
      </c>
      <c r="E1739" s="6" t="s">
        <v>5889</v>
      </c>
      <c r="F1739" s="6">
        <v>21</v>
      </c>
      <c r="G1739" s="8">
        <f t="shared" si="27"/>
        <v>3715.6318016187502</v>
      </c>
    </row>
    <row r="1740" spans="1:7" x14ac:dyDescent="0.3">
      <c r="A1740" s="14" t="str">
        <f>VLOOKUP(B1740,'Relacion codigos'!$A:$B,2,FALSE)</f>
        <v>NUEVO</v>
      </c>
      <c r="B1740" s="6" t="s">
        <v>3346</v>
      </c>
      <c r="C1740" s="6" t="s">
        <v>3347</v>
      </c>
      <c r="D1740" s="24">
        <v>2156.7228527812499</v>
      </c>
      <c r="E1740" s="6" t="s">
        <v>5889</v>
      </c>
      <c r="F1740" s="6">
        <v>21</v>
      </c>
      <c r="G1740" s="8">
        <f t="shared" si="27"/>
        <v>2156.7228527812499</v>
      </c>
    </row>
    <row r="1741" spans="1:7" x14ac:dyDescent="0.3">
      <c r="A1741" s="14" t="str">
        <f>VLOOKUP(B1741,'Relacion codigos'!$A:$B,2,FALSE)</f>
        <v>334</v>
      </c>
      <c r="B1741" s="6" t="s">
        <v>2263</v>
      </c>
      <c r="C1741" s="6" t="s">
        <v>243</v>
      </c>
      <c r="D1741" s="24">
        <v>1040.9778536624999</v>
      </c>
      <c r="E1741" s="6" t="s">
        <v>5889</v>
      </c>
      <c r="F1741" s="6">
        <v>21</v>
      </c>
      <c r="G1741" s="8">
        <f t="shared" si="27"/>
        <v>1040.9778536624999</v>
      </c>
    </row>
    <row r="1742" spans="1:7" x14ac:dyDescent="0.3">
      <c r="A1742" s="14" t="str">
        <f>VLOOKUP(B1742,'Relacion codigos'!$A:$B,2,FALSE)</f>
        <v>336</v>
      </c>
      <c r="B1742" s="6" t="s">
        <v>2264</v>
      </c>
      <c r="C1742" s="6" t="s">
        <v>244</v>
      </c>
      <c r="D1742" s="24">
        <v>1690.02999026875</v>
      </c>
      <c r="E1742" s="6" t="s">
        <v>5889</v>
      </c>
      <c r="F1742" s="6">
        <v>21</v>
      </c>
      <c r="G1742" s="8">
        <f t="shared" si="27"/>
        <v>1690.02999026875</v>
      </c>
    </row>
    <row r="1743" spans="1:7" x14ac:dyDescent="0.3">
      <c r="A1743" s="14" t="str">
        <f>VLOOKUP(B1743,'Relacion codigos'!$A:$B,2,FALSE)</f>
        <v>2054</v>
      </c>
      <c r="B1743" s="6" t="s">
        <v>2416</v>
      </c>
      <c r="C1743" s="6" t="s">
        <v>910</v>
      </c>
      <c r="D1743" s="24">
        <v>2289.3724815</v>
      </c>
      <c r="E1743" s="6" t="s">
        <v>5889</v>
      </c>
      <c r="F1743" s="6">
        <v>21</v>
      </c>
      <c r="G1743" s="8">
        <f t="shared" si="27"/>
        <v>2289.3724815</v>
      </c>
    </row>
    <row r="1744" spans="1:7" x14ac:dyDescent="0.3">
      <c r="A1744" s="14" t="str">
        <f>VLOOKUP(B1744,'Relacion codigos'!$A:$B,2,FALSE)</f>
        <v>2055</v>
      </c>
      <c r="B1744" s="6" t="s">
        <v>2417</v>
      </c>
      <c r="C1744" s="6" t="s">
        <v>911</v>
      </c>
      <c r="D1744" s="24">
        <v>3209.2998990000001</v>
      </c>
      <c r="E1744" s="6" t="s">
        <v>5889</v>
      </c>
      <c r="F1744" s="6">
        <v>21</v>
      </c>
      <c r="G1744" s="8">
        <f t="shared" si="27"/>
        <v>3209.2998990000001</v>
      </c>
    </row>
    <row r="1745" spans="1:7" x14ac:dyDescent="0.3">
      <c r="A1745" s="14" t="str">
        <f>VLOOKUP(B1745,'Relacion codigos'!$A:$B,2,FALSE)</f>
        <v>2080</v>
      </c>
      <c r="B1745" s="6" t="s">
        <v>2418</v>
      </c>
      <c r="C1745" s="6" t="s">
        <v>912</v>
      </c>
      <c r="D1745" s="24">
        <v>3674.318154</v>
      </c>
      <c r="E1745" s="6" t="s">
        <v>5889</v>
      </c>
      <c r="F1745" s="6">
        <v>21</v>
      </c>
      <c r="G1745" s="8">
        <f t="shared" si="27"/>
        <v>3674.318154</v>
      </c>
    </row>
    <row r="1746" spans="1:7" x14ac:dyDescent="0.3">
      <c r="A1746" s="14" t="str">
        <f>VLOOKUP(B1746,'Relacion codigos'!$A:$B,2,FALSE)</f>
        <v>2081</v>
      </c>
      <c r="B1746" s="6" t="s">
        <v>2419</v>
      </c>
      <c r="C1746" s="6" t="s">
        <v>913</v>
      </c>
      <c r="D1746" s="24">
        <v>5950.2118455</v>
      </c>
      <c r="E1746" s="6" t="s">
        <v>5889</v>
      </c>
      <c r="F1746" s="6">
        <v>21</v>
      </c>
      <c r="G1746" s="8">
        <f t="shared" si="27"/>
        <v>5950.2118455</v>
      </c>
    </row>
    <row r="1747" spans="1:7" x14ac:dyDescent="0.3">
      <c r="A1747" s="14" t="str">
        <f>VLOOKUP(B1747,'Relacion codigos'!$A:$B,2,FALSE)</f>
        <v>2053</v>
      </c>
      <c r="B1747" s="6" t="s">
        <v>2420</v>
      </c>
      <c r="C1747" s="6" t="s">
        <v>914</v>
      </c>
      <c r="D1747" s="24">
        <v>1754.2645184999999</v>
      </c>
      <c r="E1747" s="6" t="s">
        <v>5889</v>
      </c>
      <c r="F1747" s="6">
        <v>21</v>
      </c>
      <c r="G1747" s="8">
        <f t="shared" si="27"/>
        <v>1754.2645184999999</v>
      </c>
    </row>
    <row r="1748" spans="1:7" x14ac:dyDescent="0.3">
      <c r="A1748" s="14" t="str">
        <f>VLOOKUP(B1748,'Relacion codigos'!$A:$B,2,FALSE)</f>
        <v>2049</v>
      </c>
      <c r="B1748" s="6" t="s">
        <v>2421</v>
      </c>
      <c r="C1748" s="6" t="s">
        <v>915</v>
      </c>
      <c r="D1748" s="24">
        <v>2441.6828085000002</v>
      </c>
      <c r="E1748" s="6" t="s">
        <v>5889</v>
      </c>
      <c r="F1748" s="6">
        <v>21</v>
      </c>
      <c r="G1748" s="8">
        <f t="shared" si="27"/>
        <v>2441.6828085000002</v>
      </c>
    </row>
    <row r="1749" spans="1:7" x14ac:dyDescent="0.3">
      <c r="A1749" s="14" t="str">
        <f>VLOOKUP(B1749,'Relacion codigos'!$A:$B,2,FALSE)</f>
        <v>2050</v>
      </c>
      <c r="B1749" s="6" t="s">
        <v>2422</v>
      </c>
      <c r="C1749" s="6" t="s">
        <v>916</v>
      </c>
      <c r="D1749" s="24">
        <v>3374.4150764999999</v>
      </c>
      <c r="E1749" s="6" t="s">
        <v>5889</v>
      </c>
      <c r="F1749" s="6">
        <v>21</v>
      </c>
      <c r="G1749" s="8">
        <f t="shared" si="27"/>
        <v>3374.4150764999999</v>
      </c>
    </row>
    <row r="1750" spans="1:7" x14ac:dyDescent="0.3">
      <c r="A1750" s="14" t="str">
        <f>VLOOKUP(B1750,'Relacion codigos'!$A:$B,2,FALSE)</f>
        <v>2051</v>
      </c>
      <c r="B1750" s="6" t="s">
        <v>2423</v>
      </c>
      <c r="C1750" s="6" t="s">
        <v>917</v>
      </c>
      <c r="D1750" s="24">
        <v>4251.8843054999998</v>
      </c>
      <c r="E1750" s="6" t="s">
        <v>5889</v>
      </c>
      <c r="F1750" s="6">
        <v>21</v>
      </c>
      <c r="G1750" s="8">
        <f t="shared" si="27"/>
        <v>4251.8843054999998</v>
      </c>
    </row>
    <row r="1751" spans="1:7" x14ac:dyDescent="0.3">
      <c r="A1751" s="14" t="str">
        <f>VLOOKUP(B1751,'Relacion codigos'!$A:$B,2,FALSE)</f>
        <v>2052</v>
      </c>
      <c r="B1751" s="6" t="s">
        <v>2424</v>
      </c>
      <c r="C1751" s="6" t="s">
        <v>918</v>
      </c>
      <c r="D1751" s="24">
        <v>8038.7503559999996</v>
      </c>
      <c r="E1751" s="6" t="s">
        <v>5889</v>
      </c>
      <c r="F1751" s="6">
        <v>21</v>
      </c>
      <c r="G1751" s="8">
        <f t="shared" si="27"/>
        <v>8038.7503559999996</v>
      </c>
    </row>
    <row r="1752" spans="1:7" x14ac:dyDescent="0.3">
      <c r="A1752" s="14" t="e">
        <f>VLOOKUP(B1752,'Relacion codigos'!$A:$B,2,FALSE)</f>
        <v>#N/A</v>
      </c>
      <c r="B1752" s="6" t="s">
        <v>13901</v>
      </c>
      <c r="C1752" s="6" t="s">
        <v>13902</v>
      </c>
      <c r="D1752" s="24">
        <v>14797.6896015</v>
      </c>
      <c r="E1752" s="6" t="s">
        <v>5889</v>
      </c>
      <c r="F1752" s="6">
        <v>21</v>
      </c>
      <c r="G1752" s="8">
        <f t="shared" si="27"/>
        <v>14797.6896015</v>
      </c>
    </row>
    <row r="1753" spans="1:7" x14ac:dyDescent="0.3">
      <c r="A1753" s="14" t="str">
        <f>VLOOKUP(B1753,'Relacion codigos'!$A:$B,2,FALSE)</f>
        <v>2048</v>
      </c>
      <c r="B1753" s="6" t="s">
        <v>2425</v>
      </c>
      <c r="C1753" s="6" t="s">
        <v>919</v>
      </c>
      <c r="D1753" s="24">
        <v>1579.0402485</v>
      </c>
      <c r="E1753" s="6" t="s">
        <v>5889</v>
      </c>
      <c r="F1753" s="6">
        <v>21</v>
      </c>
      <c r="G1753" s="8">
        <f t="shared" si="27"/>
        <v>1579.0402485</v>
      </c>
    </row>
    <row r="1754" spans="1:7" x14ac:dyDescent="0.3">
      <c r="A1754" s="14" t="e">
        <f>VLOOKUP(B1754,'Relacion codigos'!$A:$B,2,FALSE)</f>
        <v>#N/A</v>
      </c>
      <c r="B1754" s="6" t="s">
        <v>13741</v>
      </c>
      <c r="C1754" s="6" t="s">
        <v>13742</v>
      </c>
      <c r="D1754" s="24">
        <v>23051.426658</v>
      </c>
      <c r="E1754" s="6" t="s">
        <v>5889</v>
      </c>
      <c r="F1754" s="6">
        <v>21</v>
      </c>
      <c r="G1754" s="8">
        <f t="shared" si="27"/>
        <v>23051.426658</v>
      </c>
    </row>
    <row r="1755" spans="1:7" x14ac:dyDescent="0.3">
      <c r="A1755" s="14" t="e">
        <f>VLOOKUP(B1755,'Relacion codigos'!$A:$B,2,FALSE)</f>
        <v>#N/A</v>
      </c>
      <c r="B1755" s="6" t="s">
        <v>8974</v>
      </c>
      <c r="C1755" s="6" t="s">
        <v>10123</v>
      </c>
      <c r="D1755" s="24">
        <v>26110.09473579</v>
      </c>
      <c r="E1755" s="6" t="s">
        <v>5889</v>
      </c>
      <c r="F1755" s="6">
        <v>21</v>
      </c>
      <c r="G1755" s="8">
        <f t="shared" si="27"/>
        <v>26110.09473579</v>
      </c>
    </row>
    <row r="1756" spans="1:7" x14ac:dyDescent="0.3">
      <c r="A1756" s="14" t="e">
        <f>VLOOKUP(B1756,'Relacion codigos'!$A:$B,2,FALSE)</f>
        <v>#N/A</v>
      </c>
      <c r="B1756" s="6" t="s">
        <v>8975</v>
      </c>
      <c r="C1756" s="6" t="s">
        <v>10124</v>
      </c>
      <c r="D1756" s="24">
        <v>26110.09473579</v>
      </c>
      <c r="E1756" s="6" t="s">
        <v>5889</v>
      </c>
      <c r="F1756" s="6">
        <v>21</v>
      </c>
      <c r="G1756" s="8">
        <f t="shared" si="27"/>
        <v>26110.09473579</v>
      </c>
    </row>
    <row r="1757" spans="1:7" x14ac:dyDescent="0.3">
      <c r="A1757" s="14" t="e">
        <f>VLOOKUP(B1757,'Relacion codigos'!$A:$B,2,FALSE)</f>
        <v>#N/A</v>
      </c>
      <c r="B1757" s="6" t="s">
        <v>8976</v>
      </c>
      <c r="C1757" s="6" t="s">
        <v>8988</v>
      </c>
      <c r="D1757" s="24">
        <v>26110.09473579</v>
      </c>
      <c r="E1757" s="6" t="s">
        <v>5889</v>
      </c>
      <c r="F1757" s="6">
        <v>21</v>
      </c>
      <c r="G1757" s="8">
        <f t="shared" si="27"/>
        <v>26110.09473579</v>
      </c>
    </row>
    <row r="1758" spans="1:7" x14ac:dyDescent="0.3">
      <c r="A1758" s="14" t="e">
        <f>VLOOKUP(B1758,'Relacion codigos'!$A:$B,2,FALSE)</f>
        <v>#N/A</v>
      </c>
      <c r="B1758" s="6" t="s">
        <v>8977</v>
      </c>
      <c r="C1758" s="6" t="s">
        <v>8989</v>
      </c>
      <c r="D1758" s="24">
        <v>17689.234328999999</v>
      </c>
      <c r="E1758" s="6" t="s">
        <v>5889</v>
      </c>
      <c r="F1758" s="6">
        <v>21</v>
      </c>
      <c r="G1758" s="8">
        <f t="shared" si="27"/>
        <v>17689.234328999999</v>
      </c>
    </row>
    <row r="1759" spans="1:7" x14ac:dyDescent="0.3">
      <c r="A1759" s="14" t="e">
        <f>VLOOKUP(B1759,'Relacion codigos'!$A:$B,2,FALSE)</f>
        <v>#N/A</v>
      </c>
      <c r="B1759" s="6" t="s">
        <v>8978</v>
      </c>
      <c r="C1759" s="6" t="s">
        <v>10125</v>
      </c>
      <c r="D1759" s="24">
        <v>12541.341407399999</v>
      </c>
      <c r="E1759" s="6" t="s">
        <v>5889</v>
      </c>
      <c r="F1759" s="6">
        <v>21</v>
      </c>
      <c r="G1759" s="8">
        <f t="shared" si="27"/>
        <v>12541.341407399999</v>
      </c>
    </row>
    <row r="1760" spans="1:7" x14ac:dyDescent="0.3">
      <c r="A1760" s="14" t="e">
        <f>VLOOKUP(B1760,'Relacion codigos'!$A:$B,2,FALSE)</f>
        <v>#N/A</v>
      </c>
      <c r="B1760" s="6" t="s">
        <v>8979</v>
      </c>
      <c r="C1760" s="6" t="s">
        <v>10126</v>
      </c>
      <c r="D1760" s="24">
        <v>12541.341407399999</v>
      </c>
      <c r="E1760" s="6" t="s">
        <v>5889</v>
      </c>
      <c r="F1760" s="6">
        <v>21</v>
      </c>
      <c r="G1760" s="8">
        <f t="shared" si="27"/>
        <v>12541.341407399999</v>
      </c>
    </row>
    <row r="1761" spans="1:7" x14ac:dyDescent="0.3">
      <c r="A1761" s="14" t="e">
        <f>VLOOKUP(B1761,'Relacion codigos'!$A:$B,2,FALSE)</f>
        <v>#N/A</v>
      </c>
      <c r="B1761" s="6" t="s">
        <v>8980</v>
      </c>
      <c r="C1761" s="6" t="s">
        <v>8990</v>
      </c>
      <c r="D1761" s="24">
        <v>12541.341407399999</v>
      </c>
      <c r="E1761" s="6" t="s">
        <v>5889</v>
      </c>
      <c r="F1761" s="6">
        <v>21</v>
      </c>
      <c r="G1761" s="8">
        <f t="shared" si="27"/>
        <v>12541.341407399999</v>
      </c>
    </row>
    <row r="1762" spans="1:7" x14ac:dyDescent="0.3">
      <c r="A1762" s="14" t="e">
        <f>VLOOKUP(B1762,'Relacion codigos'!$A:$B,2,FALSE)</f>
        <v>#N/A</v>
      </c>
      <c r="B1762" s="6" t="s">
        <v>8981</v>
      </c>
      <c r="C1762" s="6" t="s">
        <v>10127</v>
      </c>
      <c r="D1762" s="24">
        <v>21499.880219999999</v>
      </c>
      <c r="E1762" s="6" t="s">
        <v>5889</v>
      </c>
      <c r="F1762" s="6">
        <v>21</v>
      </c>
      <c r="G1762" s="8">
        <f t="shared" si="27"/>
        <v>21499.880219999999</v>
      </c>
    </row>
    <row r="1763" spans="1:7" x14ac:dyDescent="0.3">
      <c r="A1763" s="14" t="e">
        <f>VLOOKUP(B1763,'Relacion codigos'!$A:$B,2,FALSE)</f>
        <v>#N/A</v>
      </c>
      <c r="B1763" s="6" t="s">
        <v>8982</v>
      </c>
      <c r="C1763" s="6" t="s">
        <v>10128</v>
      </c>
      <c r="D1763" s="24">
        <v>21499.880219999999</v>
      </c>
      <c r="E1763" s="6" t="s">
        <v>5889</v>
      </c>
      <c r="F1763" s="6">
        <v>21</v>
      </c>
      <c r="G1763" s="8">
        <f t="shared" si="27"/>
        <v>21499.880219999999</v>
      </c>
    </row>
    <row r="1764" spans="1:7" x14ac:dyDescent="0.3">
      <c r="A1764" s="14" t="e">
        <f>VLOOKUP(B1764,'Relacion codigos'!$A:$B,2,FALSE)</f>
        <v>#N/A</v>
      </c>
      <c r="B1764" s="6" t="s">
        <v>8983</v>
      </c>
      <c r="C1764" s="6" t="s">
        <v>8991</v>
      </c>
      <c r="D1764" s="24">
        <v>21499.880219999999</v>
      </c>
      <c r="E1764" s="6" t="s">
        <v>5889</v>
      </c>
      <c r="F1764" s="6">
        <v>21</v>
      </c>
      <c r="G1764" s="8">
        <f t="shared" si="27"/>
        <v>21499.880219999999</v>
      </c>
    </row>
    <row r="1765" spans="1:7" x14ac:dyDescent="0.3">
      <c r="A1765" s="14" t="str">
        <f>VLOOKUP(B1765,'Relacion codigos'!$A:$B,2,FALSE)</f>
        <v>432</v>
      </c>
      <c r="B1765" s="6" t="s">
        <v>5671</v>
      </c>
      <c r="C1765" s="6" t="s">
        <v>1202</v>
      </c>
      <c r="D1765" s="24">
        <v>0.66907099999999997</v>
      </c>
      <c r="E1765" s="6" t="s">
        <v>5887</v>
      </c>
      <c r="F1765" s="6">
        <v>10.5</v>
      </c>
      <c r="G1765" s="8">
        <f t="shared" si="27"/>
        <v>1040.405405</v>
      </c>
    </row>
    <row r="1766" spans="1:7" x14ac:dyDescent="0.3">
      <c r="A1766" s="14" t="str">
        <f>VLOOKUP(B1766,'Relacion codigos'!$A:$B,2,FALSE)</f>
        <v>433</v>
      </c>
      <c r="B1766" s="6" t="s">
        <v>5672</v>
      </c>
      <c r="C1766" s="6" t="s">
        <v>245</v>
      </c>
      <c r="D1766" s="24">
        <v>0.69550000000000001</v>
      </c>
      <c r="E1766" s="6" t="s">
        <v>5887</v>
      </c>
      <c r="F1766" s="6">
        <v>21</v>
      </c>
      <c r="G1766" s="8">
        <f t="shared" si="27"/>
        <v>1081.5025000000001</v>
      </c>
    </row>
    <row r="1767" spans="1:7" x14ac:dyDescent="0.3">
      <c r="A1767" s="14" t="e">
        <f>VLOOKUP(B1767,'Relacion codigos'!$A:$B,2,FALSE)</f>
        <v>#N/A</v>
      </c>
      <c r="B1767" s="6" t="s">
        <v>9976</v>
      </c>
      <c r="C1767" s="6" t="s">
        <v>9977</v>
      </c>
      <c r="D1767" s="24">
        <v>19.679033400000002</v>
      </c>
      <c r="E1767" s="6" t="s">
        <v>5887</v>
      </c>
      <c r="F1767" s="6">
        <v>21</v>
      </c>
      <c r="G1767" s="8">
        <f t="shared" si="27"/>
        <v>30600.896937000001</v>
      </c>
    </row>
    <row r="1768" spans="1:7" x14ac:dyDescent="0.3">
      <c r="A1768" s="14" t="e">
        <f>VLOOKUP(B1768,'Relacion codigos'!$A:$B,2,FALSE)</f>
        <v>#N/A</v>
      </c>
      <c r="B1768" s="6" t="s">
        <v>10283</v>
      </c>
      <c r="C1768" s="6" t="s">
        <v>10284</v>
      </c>
      <c r="D1768" s="24">
        <v>47.0379</v>
      </c>
      <c r="E1768" s="6" t="s">
        <v>5887</v>
      </c>
      <c r="F1768" s="6">
        <v>21</v>
      </c>
      <c r="G1768" s="8">
        <f t="shared" si="27"/>
        <v>73143.934500000003</v>
      </c>
    </row>
    <row r="1769" spans="1:7" x14ac:dyDescent="0.3">
      <c r="A1769" s="14" t="e">
        <f>VLOOKUP(B1769,'Relacion codigos'!$A:$B,2,FALSE)</f>
        <v>#N/A</v>
      </c>
      <c r="B1769" s="6" t="s">
        <v>13982</v>
      </c>
      <c r="C1769" s="6" t="s">
        <v>13983</v>
      </c>
      <c r="D1769" s="24">
        <v>112.2303</v>
      </c>
      <c r="E1769" s="6" t="s">
        <v>5887</v>
      </c>
      <c r="F1769" s="6">
        <v>21</v>
      </c>
      <c r="G1769" s="8">
        <f t="shared" si="27"/>
        <v>174518.1165</v>
      </c>
    </row>
    <row r="1770" spans="1:7" x14ac:dyDescent="0.3">
      <c r="A1770" s="14" t="e">
        <f>VLOOKUP(B1770,'Relacion codigos'!$A:$B,2,FALSE)</f>
        <v>#N/A</v>
      </c>
      <c r="B1770" s="6" t="s">
        <v>10735</v>
      </c>
      <c r="C1770" s="6" t="s">
        <v>11557</v>
      </c>
      <c r="D1770" s="24">
        <v>19.679033400000002</v>
      </c>
      <c r="E1770" s="6" t="s">
        <v>5887</v>
      </c>
      <c r="F1770" s="6">
        <v>21</v>
      </c>
      <c r="G1770" s="8">
        <f t="shared" si="27"/>
        <v>30600.896937000001</v>
      </c>
    </row>
    <row r="1771" spans="1:7" x14ac:dyDescent="0.3">
      <c r="A1771" s="14" t="e">
        <f>VLOOKUP(B1771,'Relacion codigos'!$A:$B,2,FALSE)</f>
        <v>#N/A</v>
      </c>
      <c r="B1771" s="6" t="s">
        <v>11558</v>
      </c>
      <c r="C1771" s="6" t="s">
        <v>11559</v>
      </c>
      <c r="D1771" s="24">
        <v>12.76677291825</v>
      </c>
      <c r="E1771" s="6" t="s">
        <v>5887</v>
      </c>
      <c r="F1771" s="6">
        <v>21</v>
      </c>
      <c r="G1771" s="8">
        <f t="shared" si="27"/>
        <v>19852.33188787875</v>
      </c>
    </row>
    <row r="1772" spans="1:7" x14ac:dyDescent="0.3">
      <c r="A1772" s="14" t="e">
        <f>VLOOKUP(B1772,'Relacion codigos'!$A:$B,2,FALSE)</f>
        <v>#N/A</v>
      </c>
      <c r="B1772" s="6" t="s">
        <v>9628</v>
      </c>
      <c r="C1772" s="6" t="s">
        <v>9629</v>
      </c>
      <c r="D1772" s="24">
        <v>2208.7835055</v>
      </c>
      <c r="E1772" s="6" t="s">
        <v>5889</v>
      </c>
      <c r="F1772" s="6">
        <v>21</v>
      </c>
      <c r="G1772" s="8">
        <f t="shared" si="27"/>
        <v>2208.7835055</v>
      </c>
    </row>
    <row r="1773" spans="1:7" x14ac:dyDescent="0.3">
      <c r="A1773" s="14" t="e">
        <f>VLOOKUP(B1773,'Relacion codigos'!$A:$B,2,FALSE)</f>
        <v>#N/A</v>
      </c>
      <c r="B1773" s="6" t="s">
        <v>9630</v>
      </c>
      <c r="C1773" s="6" t="s">
        <v>9631</v>
      </c>
      <c r="D1773" s="24">
        <v>2208.7835055</v>
      </c>
      <c r="E1773" s="6" t="s">
        <v>5889</v>
      </c>
      <c r="F1773" s="6">
        <v>21</v>
      </c>
      <c r="G1773" s="8">
        <f t="shared" si="27"/>
        <v>2208.7835055</v>
      </c>
    </row>
    <row r="1774" spans="1:7" x14ac:dyDescent="0.3">
      <c r="A1774" s="14" t="str">
        <f>VLOOKUP(B1774,'Relacion codigos'!$A:$B,2,FALSE)</f>
        <v>7397</v>
      </c>
      <c r="B1774" s="6" t="s">
        <v>1370</v>
      </c>
      <c r="C1774" s="6" t="s">
        <v>247</v>
      </c>
      <c r="D1774" s="24">
        <v>39.601770000000002</v>
      </c>
      <c r="E1774" s="6" t="s">
        <v>5887</v>
      </c>
      <c r="F1774" s="6">
        <v>21</v>
      </c>
      <c r="G1774" s="8">
        <f t="shared" si="27"/>
        <v>61580.752350000002</v>
      </c>
    </row>
    <row r="1775" spans="1:7" x14ac:dyDescent="0.3">
      <c r="A1775" s="14" t="str">
        <f>VLOOKUP(B1775,'Relacion codigos'!$A:$B,2,FALSE)</f>
        <v>3911</v>
      </c>
      <c r="B1775" s="6" t="s">
        <v>1371</v>
      </c>
      <c r="C1775" s="6" t="s">
        <v>13233</v>
      </c>
      <c r="D1775" s="24">
        <v>11.57444145</v>
      </c>
      <c r="E1775" s="6" t="s">
        <v>5887</v>
      </c>
      <c r="F1775" s="6">
        <v>21</v>
      </c>
      <c r="G1775" s="8">
        <f t="shared" si="27"/>
        <v>17998.256454750001</v>
      </c>
    </row>
    <row r="1776" spans="1:7" x14ac:dyDescent="0.3">
      <c r="A1776" s="14" t="str">
        <f>VLOOKUP(B1776,'Relacion codigos'!$A:$B,2,FALSE)</f>
        <v>5366</v>
      </c>
      <c r="B1776" s="6" t="s">
        <v>1373</v>
      </c>
      <c r="C1776" s="6" t="s">
        <v>920</v>
      </c>
      <c r="D1776" s="24">
        <v>37.399260599999998</v>
      </c>
      <c r="E1776" s="6" t="s">
        <v>5887</v>
      </c>
      <c r="F1776" s="6">
        <v>21</v>
      </c>
      <c r="G1776" s="8">
        <f t="shared" si="27"/>
        <v>58155.850232999997</v>
      </c>
    </row>
    <row r="1777" spans="1:7" x14ac:dyDescent="0.3">
      <c r="A1777" s="14" t="e">
        <f>VLOOKUP(B1777,'Relacion codigos'!$A:$B,2,FALSE)</f>
        <v>#N/A</v>
      </c>
      <c r="B1777" s="6" t="s">
        <v>10012</v>
      </c>
      <c r="C1777" s="6" t="s">
        <v>11956</v>
      </c>
      <c r="D1777" s="24">
        <v>1.04325</v>
      </c>
      <c r="E1777" s="6" t="s">
        <v>5887</v>
      </c>
      <c r="F1777" s="6">
        <v>10.5</v>
      </c>
      <c r="G1777" s="8">
        <f t="shared" si="27"/>
        <v>1622.2537500000001</v>
      </c>
    </row>
    <row r="1778" spans="1:7" x14ac:dyDescent="0.3">
      <c r="A1778" s="14" t="str">
        <f>VLOOKUP(B1778,'Relacion codigos'!$A:$B,2,FALSE)</f>
        <v>2760</v>
      </c>
      <c r="B1778" s="6" t="s">
        <v>5502</v>
      </c>
      <c r="C1778" s="6" t="s">
        <v>248</v>
      </c>
      <c r="D1778" s="24">
        <v>8.0111070544518004</v>
      </c>
      <c r="E1778" s="6" t="s">
        <v>5887</v>
      </c>
      <c r="F1778" s="6">
        <v>21</v>
      </c>
      <c r="G1778" s="8">
        <f t="shared" si="27"/>
        <v>12457.271469672549</v>
      </c>
    </row>
    <row r="1779" spans="1:7" x14ac:dyDescent="0.3">
      <c r="A1779" s="14" t="str">
        <f>VLOOKUP(B1779,'Relacion codigos'!$A:$B,2,FALSE)</f>
        <v>2762</v>
      </c>
      <c r="B1779" s="6" t="s">
        <v>5503</v>
      </c>
      <c r="C1779" s="6" t="s">
        <v>249</v>
      </c>
      <c r="D1779" s="24">
        <v>8.0111070544518004</v>
      </c>
      <c r="E1779" s="6" t="s">
        <v>5887</v>
      </c>
      <c r="F1779" s="6">
        <v>21</v>
      </c>
      <c r="G1779" s="8">
        <f t="shared" si="27"/>
        <v>12457.271469672549</v>
      </c>
    </row>
    <row r="1780" spans="1:7" x14ac:dyDescent="0.3">
      <c r="A1780" s="14" t="str">
        <f>VLOOKUP(B1780,'Relacion codigos'!$A:$B,2,FALSE)</f>
        <v>2761</v>
      </c>
      <c r="B1780" s="6" t="s">
        <v>5504</v>
      </c>
      <c r="C1780" s="6" t="s">
        <v>250</v>
      </c>
      <c r="D1780" s="24">
        <v>8.0111070544518004</v>
      </c>
      <c r="E1780" s="6" t="s">
        <v>5887</v>
      </c>
      <c r="F1780" s="6">
        <v>21</v>
      </c>
      <c r="G1780" s="8">
        <f t="shared" si="27"/>
        <v>12457.271469672549</v>
      </c>
    </row>
    <row r="1781" spans="1:7" x14ac:dyDescent="0.3">
      <c r="A1781" s="14" t="e">
        <f>VLOOKUP(B1781,'Relacion codigos'!$A:$B,2,FALSE)</f>
        <v>#N/A</v>
      </c>
      <c r="B1781" s="6" t="s">
        <v>13710</v>
      </c>
      <c r="C1781" s="6" t="s">
        <v>13711</v>
      </c>
      <c r="D1781" s="24">
        <v>2.0133749999999999</v>
      </c>
      <c r="E1781" s="6" t="s">
        <v>5887</v>
      </c>
      <c r="F1781" s="6">
        <v>10.5</v>
      </c>
      <c r="G1781" s="8">
        <f t="shared" si="27"/>
        <v>3130.7981249999998</v>
      </c>
    </row>
    <row r="1782" spans="1:7" x14ac:dyDescent="0.3">
      <c r="A1782" s="14" t="e">
        <f>VLOOKUP(B1782,'Relacion codigos'!$A:$B,2,FALSE)</f>
        <v>#N/A</v>
      </c>
      <c r="B1782" s="6" t="s">
        <v>12648</v>
      </c>
      <c r="C1782" s="6" t="s">
        <v>12649</v>
      </c>
      <c r="D1782" s="24">
        <v>2.0133749999999999</v>
      </c>
      <c r="E1782" s="6" t="s">
        <v>5887</v>
      </c>
      <c r="F1782" s="6">
        <v>10.5</v>
      </c>
      <c r="G1782" s="8">
        <f t="shared" si="27"/>
        <v>3130.7981249999998</v>
      </c>
    </row>
    <row r="1783" spans="1:7" x14ac:dyDescent="0.3">
      <c r="A1783" s="14" t="str">
        <f>VLOOKUP(B1783,'Relacion codigos'!$A:$B,2,FALSE)</f>
        <v>6133</v>
      </c>
      <c r="B1783" s="6" t="s">
        <v>5528</v>
      </c>
      <c r="C1783" s="6" t="s">
        <v>11902</v>
      </c>
      <c r="D1783" s="24">
        <v>2747.3696639999998</v>
      </c>
      <c r="E1783" s="6" t="s">
        <v>5889</v>
      </c>
      <c r="F1783" s="6">
        <v>10.5</v>
      </c>
      <c r="G1783" s="8">
        <f t="shared" si="27"/>
        <v>2747.3696639999998</v>
      </c>
    </row>
    <row r="1784" spans="1:7" x14ac:dyDescent="0.3">
      <c r="A1784" s="14" t="str">
        <f>VLOOKUP(B1784,'Relacion codigos'!$A:$B,2,FALSE)</f>
        <v>6134</v>
      </c>
      <c r="B1784" s="6" t="s">
        <v>5529</v>
      </c>
      <c r="C1784" s="6" t="s">
        <v>11903</v>
      </c>
      <c r="D1784" s="24">
        <v>2747.3696639999998</v>
      </c>
      <c r="E1784" s="6" t="s">
        <v>5889</v>
      </c>
      <c r="F1784" s="6">
        <v>10.5</v>
      </c>
      <c r="G1784" s="8">
        <f t="shared" si="27"/>
        <v>2747.3696639999998</v>
      </c>
    </row>
    <row r="1785" spans="1:7" x14ac:dyDescent="0.3">
      <c r="A1785" s="14" t="e">
        <f>VLOOKUP(B1785,'Relacion codigos'!$A:$B,2,FALSE)</f>
        <v>#N/A</v>
      </c>
      <c r="B1785" s="6" t="s">
        <v>9433</v>
      </c>
      <c r="C1785" s="6" t="s">
        <v>13856</v>
      </c>
      <c r="D1785" s="24">
        <v>2.0701418399999998</v>
      </c>
      <c r="E1785" s="6" t="s">
        <v>5887</v>
      </c>
      <c r="F1785" s="6">
        <v>10.5</v>
      </c>
      <c r="G1785" s="8">
        <f t="shared" si="27"/>
        <v>3219.0705611999997</v>
      </c>
    </row>
    <row r="1786" spans="1:7" x14ac:dyDescent="0.3">
      <c r="A1786" s="14" t="e">
        <f>VLOOKUP(B1786,'Relacion codigos'!$A:$B,2,FALSE)</f>
        <v>#N/A</v>
      </c>
      <c r="B1786" s="6" t="s">
        <v>9434</v>
      </c>
      <c r="C1786" s="6" t="s">
        <v>10163</v>
      </c>
      <c r="D1786" s="24">
        <v>2.06870711434689</v>
      </c>
      <c r="E1786" s="6" t="s">
        <v>5887</v>
      </c>
      <c r="F1786" s="6">
        <v>10.5</v>
      </c>
      <c r="G1786" s="8">
        <f t="shared" si="27"/>
        <v>3216.839562809414</v>
      </c>
    </row>
    <row r="1787" spans="1:7" x14ac:dyDescent="0.3">
      <c r="A1787" s="14" t="str">
        <f>VLOOKUP(B1787,'Relacion codigos'!$A:$B,2,FALSE)</f>
        <v>6115</v>
      </c>
      <c r="B1787" s="6" t="s">
        <v>5496</v>
      </c>
      <c r="C1787" s="6" t="s">
        <v>10165</v>
      </c>
      <c r="D1787" s="24">
        <v>3.6590950499999999</v>
      </c>
      <c r="E1787" s="6" t="s">
        <v>5887</v>
      </c>
      <c r="F1787" s="6">
        <v>10.5</v>
      </c>
      <c r="G1787" s="8">
        <f t="shared" si="27"/>
        <v>5689.8928027499996</v>
      </c>
    </row>
    <row r="1788" spans="1:7" x14ac:dyDescent="0.3">
      <c r="A1788" s="14" t="e">
        <f>VLOOKUP(B1788,'Relacion codigos'!$A:$B,2,FALSE)</f>
        <v>#N/A</v>
      </c>
      <c r="B1788" s="6" t="s">
        <v>12535</v>
      </c>
      <c r="C1788" s="6" t="s">
        <v>12536</v>
      </c>
      <c r="D1788" s="24">
        <v>1492.1020530000001</v>
      </c>
      <c r="E1788" s="6" t="s">
        <v>5889</v>
      </c>
      <c r="F1788" s="6">
        <v>10.5</v>
      </c>
      <c r="G1788" s="8">
        <f t="shared" si="27"/>
        <v>1492.1020530000001</v>
      </c>
    </row>
    <row r="1789" spans="1:7" x14ac:dyDescent="0.3">
      <c r="A1789" s="14" t="str">
        <f>VLOOKUP(B1789,'Relacion codigos'!$A:$B,2,FALSE)</f>
        <v>6855</v>
      </c>
      <c r="B1789" s="6" t="s">
        <v>5522</v>
      </c>
      <c r="C1789" s="6" t="s">
        <v>12291</v>
      </c>
      <c r="D1789" s="24">
        <v>1492.1020530000001</v>
      </c>
      <c r="E1789" s="6" t="s">
        <v>5889</v>
      </c>
      <c r="F1789" s="6">
        <v>10.5</v>
      </c>
      <c r="G1789" s="8">
        <f t="shared" si="27"/>
        <v>1492.1020530000001</v>
      </c>
    </row>
    <row r="1790" spans="1:7" x14ac:dyDescent="0.3">
      <c r="A1790" s="14" t="str">
        <f>VLOOKUP(B1790,'Relacion codigos'!$A:$B,2,FALSE)</f>
        <v>6918</v>
      </c>
      <c r="B1790" s="6" t="s">
        <v>5523</v>
      </c>
      <c r="C1790" s="6" t="s">
        <v>11578</v>
      </c>
      <c r="D1790" s="24">
        <v>1359.8262990000001</v>
      </c>
      <c r="E1790" s="6" t="s">
        <v>5889</v>
      </c>
      <c r="F1790" s="6">
        <v>10.5</v>
      </c>
      <c r="G1790" s="8">
        <f t="shared" si="27"/>
        <v>1359.8262990000001</v>
      </c>
    </row>
    <row r="1791" spans="1:7" x14ac:dyDescent="0.3">
      <c r="A1791" s="14" t="e">
        <f>VLOOKUP(B1791,'Relacion codigos'!$A:$B,2,FALSE)</f>
        <v>#N/A</v>
      </c>
      <c r="B1791" s="6" t="s">
        <v>12968</v>
      </c>
      <c r="C1791" s="6" t="s">
        <v>12969</v>
      </c>
      <c r="D1791" s="24">
        <v>0.79169999999999996</v>
      </c>
      <c r="E1791" s="6" t="s">
        <v>5887</v>
      </c>
      <c r="F1791" s="6">
        <v>10.5</v>
      </c>
      <c r="G1791" s="8">
        <f t="shared" si="27"/>
        <v>1231.0934999999999</v>
      </c>
    </row>
    <row r="1792" spans="1:7" x14ac:dyDescent="0.3">
      <c r="A1792" s="14" t="str">
        <f>VLOOKUP(B1792,'Relacion codigos'!$A:$B,2,FALSE)</f>
        <v>6854</v>
      </c>
      <c r="B1792" s="6" t="s">
        <v>5521</v>
      </c>
      <c r="C1792" s="6" t="s">
        <v>12963</v>
      </c>
      <c r="D1792" s="24">
        <v>0.600912</v>
      </c>
      <c r="E1792" s="6" t="s">
        <v>5887</v>
      </c>
      <c r="F1792" s="6">
        <v>10.5</v>
      </c>
      <c r="G1792" s="8">
        <f t="shared" si="27"/>
        <v>934.41816000000006</v>
      </c>
    </row>
    <row r="1793" spans="1:7" x14ac:dyDescent="0.3">
      <c r="A1793" s="14" t="e">
        <f>VLOOKUP(B1793,'Relacion codigos'!$A:$B,2,FALSE)</f>
        <v>#N/A</v>
      </c>
      <c r="B1793" s="6" t="s">
        <v>11854</v>
      </c>
      <c r="C1793" s="6" t="s">
        <v>11855</v>
      </c>
      <c r="D1793" s="24">
        <v>0.79169999999999996</v>
      </c>
      <c r="E1793" s="6" t="s">
        <v>5887</v>
      </c>
      <c r="F1793" s="6">
        <v>10.5</v>
      </c>
      <c r="G1793" s="8">
        <f t="shared" si="27"/>
        <v>1231.0934999999999</v>
      </c>
    </row>
    <row r="1794" spans="1:7" x14ac:dyDescent="0.3">
      <c r="A1794" s="14" t="str">
        <f>VLOOKUP(B1794,'Relacion codigos'!$A:$B,2,FALSE)</f>
        <v>9060</v>
      </c>
      <c r="B1794" s="6" t="s">
        <v>5545</v>
      </c>
      <c r="C1794" s="6" t="s">
        <v>12964</v>
      </c>
      <c r="D1794" s="24">
        <v>0.72610200000000003</v>
      </c>
      <c r="E1794" s="6" t="s">
        <v>5887</v>
      </c>
      <c r="F1794" s="6">
        <v>10.5</v>
      </c>
      <c r="G1794" s="8">
        <f t="shared" ref="G1794:G1857" si="28">IF(E1794="Dolares",D1794*$G$1,D1794)</f>
        <v>1129.08861</v>
      </c>
    </row>
    <row r="1795" spans="1:7" x14ac:dyDescent="0.3">
      <c r="A1795" s="14" t="str">
        <f>VLOOKUP(B1795,'Relacion codigos'!$A:$B,2,FALSE)</f>
        <v>7105</v>
      </c>
      <c r="B1795" s="6" t="s">
        <v>5515</v>
      </c>
      <c r="C1795" s="6" t="s">
        <v>10166</v>
      </c>
      <c r="D1795" s="24">
        <v>6398.6</v>
      </c>
      <c r="E1795" s="6" t="s">
        <v>5889</v>
      </c>
      <c r="F1795" s="6">
        <v>21</v>
      </c>
      <c r="G1795" s="8">
        <f t="shared" si="28"/>
        <v>6398.6</v>
      </c>
    </row>
    <row r="1796" spans="1:7" x14ac:dyDescent="0.3">
      <c r="A1796" s="14" t="str">
        <f>VLOOKUP(B1796,'Relacion codigos'!$A:$B,2,FALSE)</f>
        <v>7013</v>
      </c>
      <c r="B1796" s="6" t="s">
        <v>5516</v>
      </c>
      <c r="C1796" s="6" t="s">
        <v>11904</v>
      </c>
      <c r="D1796" s="24">
        <v>1392.838902</v>
      </c>
      <c r="E1796" s="6" t="s">
        <v>5889</v>
      </c>
      <c r="F1796" s="6">
        <v>21</v>
      </c>
      <c r="G1796" s="8">
        <f t="shared" si="28"/>
        <v>1392.838902</v>
      </c>
    </row>
    <row r="1797" spans="1:7" x14ac:dyDescent="0.3">
      <c r="A1797" s="14" t="str">
        <f>VLOOKUP(B1797,'Relacion codigos'!$A:$B,2,FALSE)</f>
        <v>7014</v>
      </c>
      <c r="B1797" s="6" t="s">
        <v>5517</v>
      </c>
      <c r="C1797" s="6" t="s">
        <v>11905</v>
      </c>
      <c r="D1797" s="24">
        <v>1392.838902</v>
      </c>
      <c r="E1797" s="6" t="s">
        <v>5889</v>
      </c>
      <c r="F1797" s="6">
        <v>21</v>
      </c>
      <c r="G1797" s="8">
        <f t="shared" si="28"/>
        <v>1392.838902</v>
      </c>
    </row>
    <row r="1798" spans="1:7" x14ac:dyDescent="0.3">
      <c r="A1798" s="14" t="e">
        <f>VLOOKUP(B1798,'Relacion codigos'!$A:$B,2,FALSE)</f>
        <v>#N/A</v>
      </c>
      <c r="B1798" s="6" t="s">
        <v>12595</v>
      </c>
      <c r="C1798" s="6" t="s">
        <v>12596</v>
      </c>
      <c r="D1798" s="24">
        <v>2483.043498</v>
      </c>
      <c r="E1798" s="6" t="s">
        <v>5889</v>
      </c>
      <c r="F1798" s="6">
        <v>10.5</v>
      </c>
      <c r="G1798" s="8">
        <f t="shared" si="28"/>
        <v>2483.043498</v>
      </c>
    </row>
    <row r="1799" spans="1:7" x14ac:dyDescent="0.3">
      <c r="A1799" s="14" t="e">
        <f>VLOOKUP(B1799,'Relacion codigos'!$A:$B,2,FALSE)</f>
        <v>#N/A</v>
      </c>
      <c r="B1799" s="6" t="s">
        <v>10285</v>
      </c>
      <c r="C1799" s="6" t="s">
        <v>11579</v>
      </c>
      <c r="D1799" s="24">
        <v>1.0647</v>
      </c>
      <c r="E1799" s="6" t="s">
        <v>5887</v>
      </c>
      <c r="F1799" s="6">
        <v>10.5</v>
      </c>
      <c r="G1799" s="8">
        <f t="shared" si="28"/>
        <v>1655.6085</v>
      </c>
    </row>
    <row r="1800" spans="1:7" x14ac:dyDescent="0.3">
      <c r="A1800" s="14" t="str">
        <f>VLOOKUP(B1800,'Relacion codigos'!$A:$B,2,FALSE)</f>
        <v>6536</v>
      </c>
      <c r="B1800" s="6" t="s">
        <v>5525</v>
      </c>
      <c r="C1800" s="6" t="s">
        <v>11580</v>
      </c>
      <c r="D1800" s="24">
        <v>1624.05441050428</v>
      </c>
      <c r="E1800" s="6" t="s">
        <v>5889</v>
      </c>
      <c r="F1800" s="6">
        <v>10.5</v>
      </c>
      <c r="G1800" s="8">
        <f t="shared" si="28"/>
        <v>1624.05441050428</v>
      </c>
    </row>
    <row r="1801" spans="1:7" x14ac:dyDescent="0.3">
      <c r="A1801" s="14" t="e">
        <f>VLOOKUP(B1801,'Relacion codigos'!$A:$B,2,FALSE)</f>
        <v>#N/A</v>
      </c>
      <c r="B1801" s="6" t="s">
        <v>10286</v>
      </c>
      <c r="C1801" s="6" t="s">
        <v>11581</v>
      </c>
      <c r="D1801" s="24">
        <v>1.0647</v>
      </c>
      <c r="E1801" s="6" t="s">
        <v>5887</v>
      </c>
      <c r="F1801" s="6">
        <v>10.5</v>
      </c>
      <c r="G1801" s="8">
        <f t="shared" si="28"/>
        <v>1655.6085</v>
      </c>
    </row>
    <row r="1802" spans="1:7" x14ac:dyDescent="0.3">
      <c r="A1802" s="14" t="str">
        <f>VLOOKUP(B1802,'Relacion codigos'!$A:$B,2,FALSE)</f>
        <v>6595</v>
      </c>
      <c r="B1802" s="6" t="s">
        <v>5526</v>
      </c>
      <c r="C1802" s="6" t="s">
        <v>11582</v>
      </c>
      <c r="D1802" s="24">
        <v>1624.05441050428</v>
      </c>
      <c r="E1802" s="6" t="s">
        <v>5889</v>
      </c>
      <c r="F1802" s="6">
        <v>10.5</v>
      </c>
      <c r="G1802" s="8">
        <f t="shared" si="28"/>
        <v>1624.05441050428</v>
      </c>
    </row>
    <row r="1803" spans="1:7" x14ac:dyDescent="0.3">
      <c r="A1803" s="14" t="e">
        <f>VLOOKUP(B1803,'Relacion codigos'!$A:$B,2,FALSE)</f>
        <v>#N/A</v>
      </c>
      <c r="B1803" s="6" t="s">
        <v>10287</v>
      </c>
      <c r="C1803" s="6" t="s">
        <v>11583</v>
      </c>
      <c r="D1803" s="24">
        <v>1.0647</v>
      </c>
      <c r="E1803" s="6" t="s">
        <v>5887</v>
      </c>
      <c r="F1803" s="6">
        <v>10.5</v>
      </c>
      <c r="G1803" s="8">
        <f t="shared" si="28"/>
        <v>1655.6085</v>
      </c>
    </row>
    <row r="1804" spans="1:7" x14ac:dyDescent="0.3">
      <c r="A1804" s="14" t="str">
        <f>VLOOKUP(B1804,'Relacion codigos'!$A:$B,2,FALSE)</f>
        <v>8711</v>
      </c>
      <c r="B1804" s="6" t="s">
        <v>5527</v>
      </c>
      <c r="C1804" s="6" t="s">
        <v>11584</v>
      </c>
      <c r="D1804" s="24">
        <v>1624.05587215473</v>
      </c>
      <c r="E1804" s="6" t="s">
        <v>5889</v>
      </c>
      <c r="F1804" s="6">
        <v>10.5</v>
      </c>
      <c r="G1804" s="8">
        <f t="shared" si="28"/>
        <v>1624.05587215473</v>
      </c>
    </row>
    <row r="1805" spans="1:7" x14ac:dyDescent="0.3">
      <c r="A1805" s="14" t="str">
        <f>VLOOKUP(B1805,'Relacion codigos'!$A:$B,2,FALSE)</f>
        <v>9116</v>
      </c>
      <c r="B1805" s="6" t="s">
        <v>5519</v>
      </c>
      <c r="C1805" s="6" t="s">
        <v>10653</v>
      </c>
      <c r="D1805" s="24">
        <v>8.1995972500000001</v>
      </c>
      <c r="E1805" s="6" t="s">
        <v>5887</v>
      </c>
      <c r="F1805" s="6">
        <v>10.5</v>
      </c>
      <c r="G1805" s="8">
        <f t="shared" si="28"/>
        <v>12750.373723750001</v>
      </c>
    </row>
    <row r="1806" spans="1:7" x14ac:dyDescent="0.3">
      <c r="A1806" s="14" t="str">
        <f>VLOOKUP(B1806,'Relacion codigos'!$A:$B,2,FALSE)</f>
        <v>9226</v>
      </c>
      <c r="B1806" s="6" t="s">
        <v>5511</v>
      </c>
      <c r="C1806" s="6" t="s">
        <v>11585</v>
      </c>
      <c r="D1806" s="24">
        <v>2.1318952850000001</v>
      </c>
      <c r="E1806" s="6" t="s">
        <v>5887</v>
      </c>
      <c r="F1806" s="6">
        <v>10.5</v>
      </c>
      <c r="G1806" s="8">
        <f t="shared" si="28"/>
        <v>3315.0971681750002</v>
      </c>
    </row>
    <row r="1807" spans="1:7" x14ac:dyDescent="0.3">
      <c r="A1807" s="14" t="str">
        <f>VLOOKUP(B1807,'Relacion codigos'!$A:$B,2,FALSE)</f>
        <v>9297</v>
      </c>
      <c r="B1807" s="6" t="s">
        <v>5512</v>
      </c>
      <c r="C1807" s="6" t="s">
        <v>11586</v>
      </c>
      <c r="D1807" s="24">
        <v>2.1318952850000001</v>
      </c>
      <c r="E1807" s="6" t="s">
        <v>5887</v>
      </c>
      <c r="F1807" s="6">
        <v>10.5</v>
      </c>
      <c r="G1807" s="8">
        <f t="shared" si="28"/>
        <v>3315.0971681750002</v>
      </c>
    </row>
    <row r="1808" spans="1:7" x14ac:dyDescent="0.3">
      <c r="A1808" s="14" t="e">
        <f>VLOOKUP(B1808,'Relacion codigos'!$A:$B,2,FALSE)</f>
        <v>#N/A</v>
      </c>
      <c r="B1808" s="6" t="s">
        <v>10011</v>
      </c>
      <c r="C1808" s="6" t="s">
        <v>10129</v>
      </c>
      <c r="D1808" s="24">
        <v>1.3770899999999999</v>
      </c>
      <c r="E1808" s="6" t="s">
        <v>5887</v>
      </c>
      <c r="F1808" s="6">
        <v>10.5</v>
      </c>
      <c r="G1808" s="8">
        <f t="shared" si="28"/>
        <v>2141.3749499999999</v>
      </c>
    </row>
    <row r="1809" spans="1:7" x14ac:dyDescent="0.3">
      <c r="A1809" s="14" t="str">
        <f>VLOOKUP(B1809,'Relacion codigos'!$A:$B,2,FALSE)</f>
        <v>8874</v>
      </c>
      <c r="B1809" s="6" t="s">
        <v>3824</v>
      </c>
      <c r="C1809" s="6" t="s">
        <v>10418</v>
      </c>
      <c r="D1809" s="24">
        <v>2939.8691524800001</v>
      </c>
      <c r="E1809" s="6" t="s">
        <v>5889</v>
      </c>
      <c r="F1809" s="6">
        <v>21</v>
      </c>
      <c r="G1809" s="8">
        <f t="shared" si="28"/>
        <v>2939.8691524800001</v>
      </c>
    </row>
    <row r="1810" spans="1:7" x14ac:dyDescent="0.3">
      <c r="A1810" s="14" t="str">
        <f>VLOOKUP(B1810,'Relacion codigos'!$A:$B,2,FALSE)</f>
        <v>6400</v>
      </c>
      <c r="B1810" s="6" t="s">
        <v>1410</v>
      </c>
      <c r="C1810" s="6" t="s">
        <v>251</v>
      </c>
      <c r="D1810" s="24">
        <v>21.218453100000001</v>
      </c>
      <c r="E1810" s="6" t="s">
        <v>5887</v>
      </c>
      <c r="F1810" s="6">
        <v>21</v>
      </c>
      <c r="G1810" s="8">
        <f t="shared" si="28"/>
        <v>32994.694570500003</v>
      </c>
    </row>
    <row r="1811" spans="1:7" x14ac:dyDescent="0.3">
      <c r="A1811" s="14" t="str">
        <f>VLOOKUP(B1811,'Relacion codigos'!$A:$B,2,FALSE)</f>
        <v>6398</v>
      </c>
      <c r="B1811" s="6" t="s">
        <v>1411</v>
      </c>
      <c r="C1811" s="6" t="s">
        <v>10288</v>
      </c>
      <c r="D1811" s="24">
        <v>32.359737150000001</v>
      </c>
      <c r="E1811" s="6" t="s">
        <v>5887</v>
      </c>
      <c r="F1811" s="6">
        <v>21</v>
      </c>
      <c r="G1811" s="8">
        <f t="shared" si="28"/>
        <v>50319.391268250001</v>
      </c>
    </row>
    <row r="1812" spans="1:7" x14ac:dyDescent="0.3">
      <c r="A1812" s="14" t="str">
        <f>VLOOKUP(B1812,'Relacion codigos'!$A:$B,2,FALSE)</f>
        <v>6399</v>
      </c>
      <c r="B1812" s="6" t="s">
        <v>1412</v>
      </c>
      <c r="C1812" s="6" t="s">
        <v>252</v>
      </c>
      <c r="D1812" s="24">
        <v>20.856653999999999</v>
      </c>
      <c r="E1812" s="6" t="s">
        <v>5887</v>
      </c>
      <c r="F1812" s="6">
        <v>21</v>
      </c>
      <c r="G1812" s="8">
        <f t="shared" si="28"/>
        <v>32432.096969999999</v>
      </c>
    </row>
    <row r="1813" spans="1:7" x14ac:dyDescent="0.3">
      <c r="A1813" s="14" t="str">
        <f>VLOOKUP(B1813,'Relacion codigos'!$A:$B,2,FALSE)</f>
        <v>3087</v>
      </c>
      <c r="B1813" s="6" t="s">
        <v>3266</v>
      </c>
      <c r="C1813" s="6" t="s">
        <v>1238</v>
      </c>
      <c r="D1813" s="24">
        <v>2.0161072320479998</v>
      </c>
      <c r="E1813" s="6" t="s">
        <v>5887</v>
      </c>
      <c r="F1813" s="6">
        <v>21</v>
      </c>
      <c r="G1813" s="8">
        <f t="shared" si="28"/>
        <v>3135.0467458346398</v>
      </c>
    </row>
    <row r="1814" spans="1:7" x14ac:dyDescent="0.3">
      <c r="A1814" s="14" t="str">
        <f>VLOOKUP(B1814,'Relacion codigos'!$A:$B,2,FALSE)</f>
        <v>9177</v>
      </c>
      <c r="B1814" s="6" t="s">
        <v>3267</v>
      </c>
      <c r="C1814" s="6" t="s">
        <v>12896</v>
      </c>
      <c r="D1814" s="24">
        <v>19446.113232</v>
      </c>
      <c r="E1814" s="6" t="s">
        <v>5889</v>
      </c>
      <c r="F1814" s="6">
        <v>21</v>
      </c>
      <c r="G1814" s="8">
        <f t="shared" si="28"/>
        <v>19446.113232</v>
      </c>
    </row>
    <row r="1815" spans="1:7" x14ac:dyDescent="0.3">
      <c r="A1815" s="14" t="str">
        <f>VLOOKUP(B1815,'Relacion codigos'!$A:$B,2,FALSE)</f>
        <v>9174</v>
      </c>
      <c r="B1815" s="6" t="s">
        <v>3273</v>
      </c>
      <c r="C1815" s="6" t="s">
        <v>13199</v>
      </c>
      <c r="D1815" s="24">
        <v>8146.4708619000003</v>
      </c>
      <c r="E1815" s="6" t="s">
        <v>5889</v>
      </c>
      <c r="F1815" s="6">
        <v>21</v>
      </c>
      <c r="G1815" s="8">
        <f t="shared" si="28"/>
        <v>8146.4708619000003</v>
      </c>
    </row>
    <row r="1816" spans="1:7" x14ac:dyDescent="0.3">
      <c r="A1816" s="14" t="str">
        <f>VLOOKUP(B1816,'Relacion codigos'!$A:$B,2,FALSE)</f>
        <v>7202</v>
      </c>
      <c r="B1816" s="6" t="s">
        <v>4468</v>
      </c>
      <c r="C1816" s="6" t="s">
        <v>4469</v>
      </c>
      <c r="D1816" s="24">
        <v>108.9203076</v>
      </c>
      <c r="E1816" s="6" t="s">
        <v>5887</v>
      </c>
      <c r="F1816" s="6">
        <v>21</v>
      </c>
      <c r="G1816" s="8">
        <f t="shared" si="28"/>
        <v>169371.07831800001</v>
      </c>
    </row>
    <row r="1817" spans="1:7" x14ac:dyDescent="0.3">
      <c r="A1817" s="14" t="e">
        <f>VLOOKUP(B1817,'Relacion codigos'!$A:$B,2,FALSE)</f>
        <v>#N/A</v>
      </c>
      <c r="B1817" s="6" t="s">
        <v>13211</v>
      </c>
      <c r="C1817" s="6" t="s">
        <v>13212</v>
      </c>
      <c r="D1817" s="24">
        <v>23.461974744000099</v>
      </c>
      <c r="E1817" s="6" t="s">
        <v>5887</v>
      </c>
      <c r="F1817" s="6">
        <v>21</v>
      </c>
      <c r="G1817" s="8">
        <f t="shared" si="28"/>
        <v>36483.370726920155</v>
      </c>
    </row>
    <row r="1818" spans="1:7" x14ac:dyDescent="0.3">
      <c r="A1818" s="14" t="e">
        <f>VLOOKUP(B1818,'Relacion codigos'!$A:$B,2,FALSE)</f>
        <v>#N/A</v>
      </c>
      <c r="B1818" s="6" t="s">
        <v>13824</v>
      </c>
      <c r="C1818" s="6" t="s">
        <v>13825</v>
      </c>
      <c r="D1818" s="24">
        <v>42.588000000000001</v>
      </c>
      <c r="E1818" s="6" t="s">
        <v>5887</v>
      </c>
      <c r="F1818" s="6">
        <v>21</v>
      </c>
      <c r="G1818" s="8">
        <f t="shared" si="28"/>
        <v>66224.34</v>
      </c>
    </row>
    <row r="1819" spans="1:7" x14ac:dyDescent="0.3">
      <c r="A1819" s="14" t="str">
        <f>VLOOKUP(B1819,'Relacion codigos'!$A:$B,2,FALSE)</f>
        <v>2068</v>
      </c>
      <c r="B1819" s="6" t="s">
        <v>4471</v>
      </c>
      <c r="C1819" s="6" t="s">
        <v>13618</v>
      </c>
      <c r="D1819" s="24">
        <v>16.10472402864</v>
      </c>
      <c r="E1819" s="6" t="s">
        <v>5887</v>
      </c>
      <c r="F1819" s="6">
        <v>21</v>
      </c>
      <c r="G1819" s="8">
        <f t="shared" si="28"/>
        <v>25042.8458645352</v>
      </c>
    </row>
    <row r="1820" spans="1:7" x14ac:dyDescent="0.3">
      <c r="A1820" s="14" t="e">
        <f>VLOOKUP(B1820,'Relacion codigos'!$A:$B,2,FALSE)</f>
        <v>#N/A</v>
      </c>
      <c r="B1820" s="6" t="s">
        <v>10736</v>
      </c>
      <c r="C1820" s="6" t="s">
        <v>10737</v>
      </c>
      <c r="D1820" s="24">
        <v>19.376175</v>
      </c>
      <c r="E1820" s="6" t="s">
        <v>5887</v>
      </c>
      <c r="F1820" s="6">
        <v>21</v>
      </c>
      <c r="G1820" s="8">
        <f t="shared" si="28"/>
        <v>30129.952125</v>
      </c>
    </row>
    <row r="1821" spans="1:7" x14ac:dyDescent="0.3">
      <c r="A1821" s="14" t="str">
        <f>VLOOKUP(B1821,'Relacion codigos'!$A:$B,2,FALSE)</f>
        <v>6998</v>
      </c>
      <c r="B1821" s="6" t="s">
        <v>4470</v>
      </c>
      <c r="C1821" s="6" t="s">
        <v>253</v>
      </c>
      <c r="D1821" s="24">
        <v>14.896018696000199</v>
      </c>
      <c r="E1821" s="6" t="s">
        <v>5887</v>
      </c>
      <c r="F1821" s="6">
        <v>21</v>
      </c>
      <c r="G1821" s="8">
        <f t="shared" si="28"/>
        <v>23163.30907228031</v>
      </c>
    </row>
    <row r="1822" spans="1:7" x14ac:dyDescent="0.3">
      <c r="A1822" s="14" t="str">
        <f>VLOOKUP(B1822,'Relacion codigos'!$A:$B,2,FALSE)</f>
        <v>7205</v>
      </c>
      <c r="B1822" s="6" t="s">
        <v>4473</v>
      </c>
      <c r="C1822" s="6" t="s">
        <v>4474</v>
      </c>
      <c r="D1822" s="24">
        <v>37.377482234115597</v>
      </c>
      <c r="E1822" s="6" t="s">
        <v>5887</v>
      </c>
      <c r="F1822" s="6">
        <v>21</v>
      </c>
      <c r="G1822" s="8">
        <f t="shared" si="28"/>
        <v>58121.984874049755</v>
      </c>
    </row>
    <row r="1823" spans="1:7" x14ac:dyDescent="0.3">
      <c r="A1823" s="14" t="e">
        <f>VLOOKUP(B1823,'Relacion codigos'!$A:$B,2,FALSE)</f>
        <v>#N/A</v>
      </c>
      <c r="B1823" s="6" t="s">
        <v>13619</v>
      </c>
      <c r="C1823" s="6" t="s">
        <v>13620</v>
      </c>
      <c r="D1823" s="24">
        <v>16.10472402864</v>
      </c>
      <c r="E1823" s="6" t="s">
        <v>5887</v>
      </c>
      <c r="F1823" s="6">
        <v>21</v>
      </c>
      <c r="G1823" s="8">
        <f t="shared" si="28"/>
        <v>25042.8458645352</v>
      </c>
    </row>
    <row r="1824" spans="1:7" x14ac:dyDescent="0.3">
      <c r="A1824" s="14" t="e">
        <f>VLOOKUP(B1824,'Relacion codigos'!$A:$B,2,FALSE)</f>
        <v>#N/A</v>
      </c>
      <c r="B1824" s="6" t="s">
        <v>10738</v>
      </c>
      <c r="C1824" s="6" t="s">
        <v>10739</v>
      </c>
      <c r="D1824" s="24">
        <v>20.939653313359202</v>
      </c>
      <c r="E1824" s="6" t="s">
        <v>5887</v>
      </c>
      <c r="F1824" s="6">
        <v>21</v>
      </c>
      <c r="G1824" s="8">
        <f t="shared" si="28"/>
        <v>32561.160902273557</v>
      </c>
    </row>
    <row r="1825" spans="1:7" x14ac:dyDescent="0.3">
      <c r="A1825" s="14" t="str">
        <f>VLOOKUP(B1825,'Relacion codigos'!$A:$B,2,FALSE)</f>
        <v>8448</v>
      </c>
      <c r="B1825" s="6" t="s">
        <v>5795</v>
      </c>
      <c r="C1825" s="6" t="s">
        <v>1239</v>
      </c>
      <c r="D1825" s="24">
        <v>36.509460156000003</v>
      </c>
      <c r="E1825" s="6" t="s">
        <v>5887</v>
      </c>
      <c r="F1825" s="6">
        <v>21</v>
      </c>
      <c r="G1825" s="8">
        <f t="shared" si="28"/>
        <v>56772.210542580004</v>
      </c>
    </row>
    <row r="1826" spans="1:7" x14ac:dyDescent="0.3">
      <c r="A1826" s="14" t="str">
        <f>VLOOKUP(B1826,'Relacion codigos'!$A:$B,2,FALSE)</f>
        <v>6999</v>
      </c>
      <c r="B1826" s="6" t="s">
        <v>4475</v>
      </c>
      <c r="C1826" s="6" t="s">
        <v>255</v>
      </c>
      <c r="D1826" s="24">
        <v>14.896018696000199</v>
      </c>
      <c r="E1826" s="6" t="s">
        <v>5887</v>
      </c>
      <c r="F1826" s="6">
        <v>21</v>
      </c>
      <c r="G1826" s="8">
        <f t="shared" si="28"/>
        <v>23163.30907228031</v>
      </c>
    </row>
    <row r="1827" spans="1:7" x14ac:dyDescent="0.3">
      <c r="A1827" s="14" t="str">
        <f>VLOOKUP(B1827,'Relacion codigos'!$A:$B,2,FALSE)</f>
        <v>2077</v>
      </c>
      <c r="B1827" s="6" t="s">
        <v>4476</v>
      </c>
      <c r="C1827" s="6" t="s">
        <v>1240</v>
      </c>
      <c r="D1827" s="24">
        <v>50.3368959599999</v>
      </c>
      <c r="E1827" s="6" t="s">
        <v>5887</v>
      </c>
      <c r="F1827" s="6">
        <v>21</v>
      </c>
      <c r="G1827" s="8">
        <f t="shared" si="28"/>
        <v>78273.873217799846</v>
      </c>
    </row>
    <row r="1828" spans="1:7" x14ac:dyDescent="0.3">
      <c r="A1828" s="14" t="str">
        <f>VLOOKUP(B1828,'Relacion codigos'!$A:$B,2,FALSE)</f>
        <v>8944</v>
      </c>
      <c r="B1828" s="6" t="s">
        <v>5797</v>
      </c>
      <c r="C1828" s="6" t="s">
        <v>1241</v>
      </c>
      <c r="D1828" s="24">
        <v>40.772485232483</v>
      </c>
      <c r="E1828" s="6" t="s">
        <v>5887</v>
      </c>
      <c r="F1828" s="6">
        <v>21</v>
      </c>
      <c r="G1828" s="8">
        <f t="shared" si="28"/>
        <v>63401.214536511063</v>
      </c>
    </row>
    <row r="1829" spans="1:7" x14ac:dyDescent="0.3">
      <c r="A1829" s="14" t="e">
        <f>VLOOKUP(B1829,'Relacion codigos'!$A:$B,2,FALSE)</f>
        <v>#N/A</v>
      </c>
      <c r="B1829" s="6" t="s">
        <v>13712</v>
      </c>
      <c r="C1829" s="6" t="s">
        <v>13713</v>
      </c>
      <c r="D1829" s="24">
        <v>22.276800000000001</v>
      </c>
      <c r="E1829" s="6" t="s">
        <v>5887</v>
      </c>
      <c r="F1829" s="6">
        <v>21</v>
      </c>
      <c r="G1829" s="8">
        <f t="shared" si="28"/>
        <v>34640.423999999999</v>
      </c>
    </row>
    <row r="1830" spans="1:7" x14ac:dyDescent="0.3">
      <c r="A1830" s="14" t="str">
        <f>VLOOKUP(B1830,'Relacion codigos'!$A:$B,2,FALSE)</f>
        <v>7000</v>
      </c>
      <c r="B1830" s="6" t="s">
        <v>4478</v>
      </c>
      <c r="C1830" s="6" t="s">
        <v>257</v>
      </c>
      <c r="D1830" s="24">
        <v>14.896018696000199</v>
      </c>
      <c r="E1830" s="6" t="s">
        <v>5887</v>
      </c>
      <c r="F1830" s="6">
        <v>21</v>
      </c>
      <c r="G1830" s="8">
        <f t="shared" si="28"/>
        <v>23163.30907228031</v>
      </c>
    </row>
    <row r="1831" spans="1:7" x14ac:dyDescent="0.3">
      <c r="A1831" s="14" t="str">
        <f>VLOOKUP(B1831,'Relacion codigos'!$A:$B,2,FALSE)</f>
        <v>2065</v>
      </c>
      <c r="B1831" s="6" t="s">
        <v>4479</v>
      </c>
      <c r="C1831" s="6" t="s">
        <v>1242</v>
      </c>
      <c r="D1831" s="24">
        <v>92.703445380000005</v>
      </c>
      <c r="E1831" s="6" t="s">
        <v>5887</v>
      </c>
      <c r="F1831" s="6">
        <v>21</v>
      </c>
      <c r="G1831" s="8">
        <f t="shared" si="28"/>
        <v>144153.85756590002</v>
      </c>
    </row>
    <row r="1832" spans="1:7" x14ac:dyDescent="0.3">
      <c r="A1832" s="14" t="str">
        <f>VLOOKUP(B1832,'Relacion codigos'!$A:$B,2,FALSE)</f>
        <v>1138</v>
      </c>
      <c r="B1832" s="6" t="s">
        <v>4480</v>
      </c>
      <c r="C1832" s="6" t="s">
        <v>258</v>
      </c>
      <c r="D1832" s="24">
        <v>20.388944160000001</v>
      </c>
      <c r="E1832" s="6" t="s">
        <v>5887</v>
      </c>
      <c r="F1832" s="6">
        <v>21</v>
      </c>
      <c r="G1832" s="8">
        <f t="shared" si="28"/>
        <v>31704.808168800002</v>
      </c>
    </row>
    <row r="1833" spans="1:7" x14ac:dyDescent="0.3">
      <c r="A1833" s="14" t="str">
        <f>VLOOKUP(B1833,'Relacion codigos'!$A:$B,2,FALSE)</f>
        <v>6822</v>
      </c>
      <c r="B1833" s="6" t="s">
        <v>5796</v>
      </c>
      <c r="C1833" s="6" t="s">
        <v>13925</v>
      </c>
      <c r="D1833" s="24">
        <v>59178.2777976</v>
      </c>
      <c r="E1833" s="6" t="s">
        <v>5889</v>
      </c>
      <c r="F1833" s="6">
        <v>21</v>
      </c>
      <c r="G1833" s="8">
        <f t="shared" si="28"/>
        <v>59178.2777976</v>
      </c>
    </row>
    <row r="1834" spans="1:7" x14ac:dyDescent="0.3">
      <c r="A1834" s="14" t="e">
        <f>VLOOKUP(B1834,'Relacion codigos'!$A:$B,2,FALSE)</f>
        <v>#N/A</v>
      </c>
      <c r="B1834" s="6" t="s">
        <v>13905</v>
      </c>
      <c r="C1834" s="6" t="s">
        <v>13926</v>
      </c>
      <c r="D1834" s="24">
        <v>64722.039303999998</v>
      </c>
      <c r="E1834" s="6" t="s">
        <v>5889</v>
      </c>
      <c r="F1834" s="6">
        <v>21</v>
      </c>
      <c r="G1834" s="8">
        <f t="shared" si="28"/>
        <v>64722.039303999998</v>
      </c>
    </row>
    <row r="1835" spans="1:7" x14ac:dyDescent="0.3">
      <c r="A1835" s="14" t="e">
        <f>VLOOKUP(B1835,'Relacion codigos'!$A:$B,2,FALSE)</f>
        <v>#N/A</v>
      </c>
      <c r="B1835" s="6" t="s">
        <v>10028</v>
      </c>
      <c r="C1835" s="6" t="s">
        <v>10029</v>
      </c>
      <c r="D1835" s="24">
        <v>524.01028680000002</v>
      </c>
      <c r="E1835" s="6" t="s">
        <v>5887</v>
      </c>
      <c r="F1835" s="6">
        <v>21</v>
      </c>
      <c r="G1835" s="8">
        <f t="shared" si="28"/>
        <v>814835.99597400008</v>
      </c>
    </row>
    <row r="1836" spans="1:7" x14ac:dyDescent="0.3">
      <c r="A1836" s="14" t="str">
        <f>VLOOKUP(B1836,'Relacion codigos'!$A:$B,2,FALSE)</f>
        <v>19601</v>
      </c>
      <c r="B1836" s="6" t="s">
        <v>4481</v>
      </c>
      <c r="C1836" s="6" t="s">
        <v>1243</v>
      </c>
      <c r="D1836" s="24">
        <v>389.15561880000001</v>
      </c>
      <c r="E1836" s="6" t="s">
        <v>5887</v>
      </c>
      <c r="F1836" s="6">
        <v>21</v>
      </c>
      <c r="G1836" s="8">
        <f t="shared" si="28"/>
        <v>605136.987234</v>
      </c>
    </row>
    <row r="1837" spans="1:7" x14ac:dyDescent="0.3">
      <c r="A1837" s="14" t="e">
        <f>VLOOKUP(B1837,'Relacion codigos'!$A:$B,2,FALSE)</f>
        <v>#N/A</v>
      </c>
      <c r="B1837" s="6" t="s">
        <v>13099</v>
      </c>
      <c r="C1837" s="6" t="s">
        <v>13100</v>
      </c>
      <c r="D1837" s="24">
        <v>102.21120000000001</v>
      </c>
      <c r="E1837" s="6" t="s">
        <v>5887</v>
      </c>
      <c r="F1837" s="6">
        <v>21</v>
      </c>
      <c r="G1837" s="8">
        <f t="shared" si="28"/>
        <v>158938.416</v>
      </c>
    </row>
    <row r="1838" spans="1:7" x14ac:dyDescent="0.3">
      <c r="A1838" s="14" t="e">
        <f>VLOOKUP(B1838,'Relacion codigos'!$A:$B,2,FALSE)</f>
        <v>#N/A</v>
      </c>
      <c r="B1838" s="6" t="s">
        <v>13794</v>
      </c>
      <c r="C1838" s="6" t="s">
        <v>13795</v>
      </c>
      <c r="D1838" s="24">
        <v>73.709999999999994</v>
      </c>
      <c r="E1838" s="6" t="s">
        <v>5887</v>
      </c>
      <c r="F1838" s="6">
        <v>21</v>
      </c>
      <c r="G1838" s="8">
        <f t="shared" si="28"/>
        <v>114619.04999999999</v>
      </c>
    </row>
    <row r="1839" spans="1:7" x14ac:dyDescent="0.3">
      <c r="A1839" s="14" t="str">
        <f>VLOOKUP(B1839,'Relacion codigos'!$A:$B,2,FALSE)</f>
        <v>7203</v>
      </c>
      <c r="B1839" s="6" t="s">
        <v>4482</v>
      </c>
      <c r="C1839" s="6" t="s">
        <v>13621</v>
      </c>
      <c r="D1839" s="24">
        <v>22.39095459744</v>
      </c>
      <c r="E1839" s="6" t="s">
        <v>5887</v>
      </c>
      <c r="F1839" s="6">
        <v>21</v>
      </c>
      <c r="G1839" s="8">
        <f t="shared" si="28"/>
        <v>34817.934399019199</v>
      </c>
    </row>
    <row r="1840" spans="1:7" x14ac:dyDescent="0.3">
      <c r="A1840" s="14" t="e">
        <f>VLOOKUP(B1840,'Relacion codigos'!$A:$B,2,FALSE)</f>
        <v>#N/A</v>
      </c>
      <c r="B1840" s="6" t="s">
        <v>10879</v>
      </c>
      <c r="C1840" s="6" t="s">
        <v>10880</v>
      </c>
      <c r="D1840" s="24">
        <v>31.046925000000002</v>
      </c>
      <c r="E1840" s="6" t="s">
        <v>5887</v>
      </c>
      <c r="F1840" s="6">
        <v>21</v>
      </c>
      <c r="G1840" s="8">
        <f t="shared" si="28"/>
        <v>48277.968375000004</v>
      </c>
    </row>
    <row r="1841" spans="1:7" x14ac:dyDescent="0.3">
      <c r="A1841" s="14" t="str">
        <f>VLOOKUP(B1841,'Relacion codigos'!$A:$B,2,FALSE)</f>
        <v>8785</v>
      </c>
      <c r="B1841" s="6" t="s">
        <v>5798</v>
      </c>
      <c r="C1841" s="6" t="s">
        <v>1244</v>
      </c>
      <c r="D1841" s="24">
        <v>63.541436400000002</v>
      </c>
      <c r="E1841" s="6" t="s">
        <v>5887</v>
      </c>
      <c r="F1841" s="6">
        <v>21</v>
      </c>
      <c r="G1841" s="8">
        <f t="shared" si="28"/>
        <v>98806.933602000005</v>
      </c>
    </row>
    <row r="1842" spans="1:7" x14ac:dyDescent="0.3">
      <c r="A1842" s="14" t="str">
        <f>VLOOKUP(B1842,'Relacion codigos'!$A:$B,2,FALSE)</f>
        <v>7001</v>
      </c>
      <c r="B1842" s="6" t="s">
        <v>4483</v>
      </c>
      <c r="C1842" s="6" t="s">
        <v>259</v>
      </c>
      <c r="D1842" s="24">
        <v>24.202303892</v>
      </c>
      <c r="E1842" s="6" t="s">
        <v>5887</v>
      </c>
      <c r="F1842" s="6">
        <v>21</v>
      </c>
      <c r="G1842" s="8">
        <f t="shared" si="28"/>
        <v>37634.582552059997</v>
      </c>
    </row>
    <row r="1843" spans="1:7" x14ac:dyDescent="0.3">
      <c r="A1843" s="14" t="str">
        <f>VLOOKUP(B1843,'Relacion codigos'!$A:$B,2,FALSE)</f>
        <v>9277</v>
      </c>
      <c r="B1843" s="6" t="s">
        <v>4484</v>
      </c>
      <c r="C1843" s="6" t="s">
        <v>1245</v>
      </c>
      <c r="D1843" s="24">
        <v>57.686644072032003</v>
      </c>
      <c r="E1843" s="6" t="s">
        <v>5887</v>
      </c>
      <c r="F1843" s="6">
        <v>21</v>
      </c>
      <c r="G1843" s="8">
        <f t="shared" si="28"/>
        <v>89702.73153200977</v>
      </c>
    </row>
    <row r="1844" spans="1:7" x14ac:dyDescent="0.3">
      <c r="A1844" s="14" t="e">
        <f>VLOOKUP(B1844,'Relacion codigos'!$A:$B,2,FALSE)</f>
        <v>#N/A</v>
      </c>
      <c r="B1844" s="6" t="s">
        <v>12046</v>
      </c>
      <c r="C1844" s="6" t="s">
        <v>12047</v>
      </c>
      <c r="D1844" s="24">
        <v>225.8577828</v>
      </c>
      <c r="E1844" s="6" t="s">
        <v>5887</v>
      </c>
      <c r="F1844" s="6">
        <v>21</v>
      </c>
      <c r="G1844" s="8">
        <f t="shared" si="28"/>
        <v>351208.85225399997</v>
      </c>
    </row>
    <row r="1845" spans="1:7" x14ac:dyDescent="0.3">
      <c r="A1845" s="14" t="e">
        <f>VLOOKUP(B1845,'Relacion codigos'!$A:$B,2,FALSE)</f>
        <v>#N/A</v>
      </c>
      <c r="B1845" s="6" t="s">
        <v>9022</v>
      </c>
      <c r="C1845" s="6" t="s">
        <v>10419</v>
      </c>
      <c r="D1845" s="24">
        <v>241.36632</v>
      </c>
      <c r="E1845" s="6" t="s">
        <v>5887</v>
      </c>
      <c r="F1845" s="6">
        <v>21</v>
      </c>
      <c r="G1845" s="8">
        <f t="shared" si="28"/>
        <v>375324.62760000001</v>
      </c>
    </row>
    <row r="1846" spans="1:7" x14ac:dyDescent="0.3">
      <c r="A1846" s="14" t="e">
        <f>VLOOKUP(B1846,'Relacion codigos'!$A:$B,2,FALSE)</f>
        <v>#N/A</v>
      </c>
      <c r="B1846" s="6" t="s">
        <v>11869</v>
      </c>
      <c r="C1846" s="6" t="s">
        <v>11870</v>
      </c>
      <c r="D1846" s="24">
        <v>88.581675000000004</v>
      </c>
      <c r="E1846" s="6" t="s">
        <v>5887</v>
      </c>
      <c r="F1846" s="6">
        <v>21</v>
      </c>
      <c r="G1846" s="8">
        <f t="shared" si="28"/>
        <v>137744.504625</v>
      </c>
    </row>
    <row r="1847" spans="1:7" x14ac:dyDescent="0.3">
      <c r="A1847" s="14" t="str">
        <f>VLOOKUP(B1847,'Relacion codigos'!$A:$B,2,FALSE)</f>
        <v>7204</v>
      </c>
      <c r="B1847" s="6" t="s">
        <v>4485</v>
      </c>
      <c r="C1847" s="6" t="s">
        <v>13622</v>
      </c>
      <c r="D1847" s="24">
        <v>22.39095459744</v>
      </c>
      <c r="E1847" s="6" t="s">
        <v>5887</v>
      </c>
      <c r="F1847" s="6">
        <v>21</v>
      </c>
      <c r="G1847" s="8">
        <f t="shared" si="28"/>
        <v>34817.934399019199</v>
      </c>
    </row>
    <row r="1848" spans="1:7" x14ac:dyDescent="0.3">
      <c r="A1848" s="14" t="e">
        <f>VLOOKUP(B1848,'Relacion codigos'!$A:$B,2,FALSE)</f>
        <v>#N/A</v>
      </c>
      <c r="B1848" s="6" t="s">
        <v>10881</v>
      </c>
      <c r="C1848" s="6" t="s">
        <v>10882</v>
      </c>
      <c r="D1848" s="24">
        <v>33.5244</v>
      </c>
      <c r="E1848" s="6" t="s">
        <v>5887</v>
      </c>
      <c r="F1848" s="6">
        <v>21</v>
      </c>
      <c r="G1848" s="8">
        <f t="shared" si="28"/>
        <v>52130.442000000003</v>
      </c>
    </row>
    <row r="1849" spans="1:7" x14ac:dyDescent="0.3">
      <c r="A1849" s="14" t="str">
        <f>VLOOKUP(B1849,'Relacion codigos'!$A:$B,2,FALSE)</f>
        <v>8449</v>
      </c>
      <c r="B1849" s="6" t="s">
        <v>5799</v>
      </c>
      <c r="C1849" s="6" t="s">
        <v>1246</v>
      </c>
      <c r="D1849" s="24">
        <v>65.789848800000001</v>
      </c>
      <c r="E1849" s="6" t="s">
        <v>5887</v>
      </c>
      <c r="F1849" s="6">
        <v>21</v>
      </c>
      <c r="G1849" s="8">
        <f t="shared" si="28"/>
        <v>102303.214884</v>
      </c>
    </row>
    <row r="1850" spans="1:7" x14ac:dyDescent="0.3">
      <c r="A1850" s="14" t="str">
        <f>VLOOKUP(B1850,'Relacion codigos'!$A:$B,2,FALSE)</f>
        <v>7002</v>
      </c>
      <c r="B1850" s="6" t="s">
        <v>4486</v>
      </c>
      <c r="C1850" s="6" t="s">
        <v>260</v>
      </c>
      <c r="D1850" s="24">
        <v>24.202303892</v>
      </c>
      <c r="E1850" s="6" t="s">
        <v>5887</v>
      </c>
      <c r="F1850" s="6">
        <v>21</v>
      </c>
      <c r="G1850" s="8">
        <f t="shared" si="28"/>
        <v>37634.582552059997</v>
      </c>
    </row>
    <row r="1851" spans="1:7" x14ac:dyDescent="0.3">
      <c r="A1851" s="14" t="str">
        <f>VLOOKUP(B1851,'Relacion codigos'!$A:$B,2,FALSE)</f>
        <v>8984</v>
      </c>
      <c r="B1851" s="6" t="s">
        <v>5800</v>
      </c>
      <c r="C1851" s="6" t="s">
        <v>1247</v>
      </c>
      <c r="D1851" s="24">
        <v>59.718784788000399</v>
      </c>
      <c r="E1851" s="6" t="s">
        <v>5887</v>
      </c>
      <c r="F1851" s="6">
        <v>21</v>
      </c>
      <c r="G1851" s="8">
        <f t="shared" si="28"/>
        <v>92862.710345340616</v>
      </c>
    </row>
    <row r="1852" spans="1:7" x14ac:dyDescent="0.3">
      <c r="A1852" s="14" t="str">
        <f>VLOOKUP(B1852,'Relacion codigos'!$A:$B,2,FALSE)</f>
        <v>8545</v>
      </c>
      <c r="B1852" s="6" t="s">
        <v>5805</v>
      </c>
      <c r="C1852" s="6" t="s">
        <v>10420</v>
      </c>
      <c r="D1852" s="24">
        <v>262.54846800000001</v>
      </c>
      <c r="E1852" s="6" t="s">
        <v>5887</v>
      </c>
      <c r="F1852" s="6">
        <v>21</v>
      </c>
      <c r="G1852" s="8">
        <f t="shared" si="28"/>
        <v>408262.86774000002</v>
      </c>
    </row>
    <row r="1853" spans="1:7" x14ac:dyDescent="0.3">
      <c r="A1853" s="14" t="e">
        <f>VLOOKUP(B1853,'Relacion codigos'!$A:$B,2,FALSE)</f>
        <v>#N/A</v>
      </c>
      <c r="B1853" s="6" t="s">
        <v>12537</v>
      </c>
      <c r="C1853" s="6" t="s">
        <v>12538</v>
      </c>
      <c r="D1853" s="24">
        <v>120.666</v>
      </c>
      <c r="E1853" s="6" t="s">
        <v>5887</v>
      </c>
      <c r="F1853" s="6">
        <v>21</v>
      </c>
      <c r="G1853" s="8">
        <f t="shared" si="28"/>
        <v>187635.63</v>
      </c>
    </row>
    <row r="1854" spans="1:7" x14ac:dyDescent="0.3">
      <c r="A1854" s="14" t="e">
        <f>VLOOKUP(B1854,'Relacion codigos'!$A:$B,2,FALSE)</f>
        <v>#N/A</v>
      </c>
      <c r="B1854" s="6" t="s">
        <v>12539</v>
      </c>
      <c r="C1854" s="6" t="s">
        <v>12540</v>
      </c>
      <c r="D1854" s="24">
        <v>88.581675000000004</v>
      </c>
      <c r="E1854" s="6" t="s">
        <v>5887</v>
      </c>
      <c r="F1854" s="6">
        <v>21</v>
      </c>
      <c r="G1854" s="8">
        <f t="shared" si="28"/>
        <v>137744.504625</v>
      </c>
    </row>
    <row r="1855" spans="1:7" x14ac:dyDescent="0.3">
      <c r="A1855" s="14" t="e">
        <f>VLOOKUP(B1855,'Relacion codigos'!$A:$B,2,FALSE)</f>
        <v>#N/A</v>
      </c>
      <c r="B1855" s="6" t="s">
        <v>10883</v>
      </c>
      <c r="C1855" s="6" t="s">
        <v>10884</v>
      </c>
      <c r="D1855" s="24">
        <v>35.715224999999997</v>
      </c>
      <c r="E1855" s="6" t="s">
        <v>5887</v>
      </c>
      <c r="F1855" s="6">
        <v>21</v>
      </c>
      <c r="G1855" s="8">
        <f t="shared" si="28"/>
        <v>55537.174874999997</v>
      </c>
    </row>
    <row r="1856" spans="1:7" x14ac:dyDescent="0.3">
      <c r="A1856" s="14" t="str">
        <f>VLOOKUP(B1856,'Relacion codigos'!$A:$B,2,FALSE)</f>
        <v>7003</v>
      </c>
      <c r="B1856" s="6" t="s">
        <v>4488</v>
      </c>
      <c r="C1856" s="6" t="s">
        <v>261</v>
      </c>
      <c r="D1856" s="24">
        <v>24.202303892</v>
      </c>
      <c r="E1856" s="6" t="s">
        <v>5887</v>
      </c>
      <c r="F1856" s="6">
        <v>21</v>
      </c>
      <c r="G1856" s="8">
        <f t="shared" si="28"/>
        <v>37634.582552059997</v>
      </c>
    </row>
    <row r="1857" spans="1:7" x14ac:dyDescent="0.3">
      <c r="A1857" s="14" t="str">
        <f>VLOOKUP(B1857,'Relacion codigos'!$A:$B,2,FALSE)</f>
        <v>9067</v>
      </c>
      <c r="B1857" s="6" t="s">
        <v>5801</v>
      </c>
      <c r="C1857" s="6" t="s">
        <v>1248</v>
      </c>
      <c r="D1857" s="24">
        <v>115.048795700963</v>
      </c>
      <c r="E1857" s="6" t="s">
        <v>5887</v>
      </c>
      <c r="F1857" s="6">
        <v>21</v>
      </c>
      <c r="G1857" s="8">
        <f t="shared" si="28"/>
        <v>178900.87731499746</v>
      </c>
    </row>
    <row r="1858" spans="1:7" x14ac:dyDescent="0.3">
      <c r="A1858" s="14" t="str">
        <f>VLOOKUP(B1858,'Relacion codigos'!$A:$B,2,FALSE)</f>
        <v>1140</v>
      </c>
      <c r="B1858" s="6" t="s">
        <v>4490</v>
      </c>
      <c r="C1858" s="6" t="s">
        <v>262</v>
      </c>
      <c r="D1858" s="24">
        <v>39.222352493999999</v>
      </c>
      <c r="E1858" s="6" t="s">
        <v>5887</v>
      </c>
      <c r="F1858" s="6">
        <v>21</v>
      </c>
      <c r="G1858" s="8">
        <f t="shared" ref="G1858:G1921" si="29">IF(E1858="Dolares",D1858*$G$1,D1858)</f>
        <v>60990.758128169997</v>
      </c>
    </row>
    <row r="1859" spans="1:7" x14ac:dyDescent="0.3">
      <c r="A1859" s="14" t="str">
        <f>VLOOKUP(B1859,'Relacion codigos'!$A:$B,2,FALSE)</f>
        <v>8324</v>
      </c>
      <c r="B1859" s="6" t="s">
        <v>5802</v>
      </c>
      <c r="C1859" s="6" t="s">
        <v>1249</v>
      </c>
      <c r="D1859" s="24">
        <v>255.062106</v>
      </c>
      <c r="E1859" s="6" t="s">
        <v>5887</v>
      </c>
      <c r="F1859" s="6">
        <v>21</v>
      </c>
      <c r="G1859" s="8">
        <f t="shared" si="29"/>
        <v>396621.57483</v>
      </c>
    </row>
    <row r="1860" spans="1:7" x14ac:dyDescent="0.3">
      <c r="A1860" s="14" t="e">
        <f>VLOOKUP(B1860,'Relacion codigos'!$A:$B,2,FALSE)</f>
        <v>#N/A</v>
      </c>
      <c r="B1860" s="6" t="s">
        <v>13114</v>
      </c>
      <c r="C1860" s="6" t="s">
        <v>13115</v>
      </c>
      <c r="D1860" s="24">
        <v>95.113200000000006</v>
      </c>
      <c r="E1860" s="6" t="s">
        <v>5887</v>
      </c>
      <c r="F1860" s="6">
        <v>21</v>
      </c>
      <c r="G1860" s="8">
        <f t="shared" si="29"/>
        <v>147901.02600000001</v>
      </c>
    </row>
    <row r="1861" spans="1:7" x14ac:dyDescent="0.3">
      <c r="A1861" s="14" t="str">
        <f>VLOOKUP(B1861,'Relacion codigos'!$A:$B,2,FALSE)</f>
        <v>6824</v>
      </c>
      <c r="B1861" s="6" t="s">
        <v>5803</v>
      </c>
      <c r="C1861" s="6" t="s">
        <v>13927</v>
      </c>
      <c r="D1861" s="24">
        <v>89755.331191278601</v>
      </c>
      <c r="E1861" s="6" t="s">
        <v>5889</v>
      </c>
      <c r="F1861" s="6">
        <v>21</v>
      </c>
      <c r="G1861" s="8">
        <f t="shared" si="29"/>
        <v>89755.331191278601</v>
      </c>
    </row>
    <row r="1862" spans="1:7" x14ac:dyDescent="0.3">
      <c r="A1862" s="14" t="str">
        <f>VLOOKUP(B1862,'Relacion codigos'!$A:$B,2,FALSE)</f>
        <v>6825</v>
      </c>
      <c r="B1862" s="6" t="s">
        <v>5804</v>
      </c>
      <c r="C1862" s="6" t="s">
        <v>13928</v>
      </c>
      <c r="D1862" s="24">
        <v>95836.20005128</v>
      </c>
      <c r="E1862" s="6" t="s">
        <v>5889</v>
      </c>
      <c r="F1862" s="6">
        <v>21</v>
      </c>
      <c r="G1862" s="8">
        <f t="shared" si="29"/>
        <v>95836.20005128</v>
      </c>
    </row>
    <row r="1863" spans="1:7" x14ac:dyDescent="0.3">
      <c r="A1863" s="14" t="e">
        <f>VLOOKUP(B1863,'Relacion codigos'!$A:$B,2,FALSE)</f>
        <v>#N/A</v>
      </c>
      <c r="B1863" s="6" t="s">
        <v>13906</v>
      </c>
      <c r="C1863" s="6" t="s">
        <v>13929</v>
      </c>
      <c r="D1863" s="24">
        <v>185169.50381279999</v>
      </c>
      <c r="E1863" s="6" t="s">
        <v>5889</v>
      </c>
      <c r="F1863" s="6">
        <v>21</v>
      </c>
      <c r="G1863" s="8">
        <f t="shared" si="29"/>
        <v>185169.50381279999</v>
      </c>
    </row>
    <row r="1864" spans="1:7" x14ac:dyDescent="0.3">
      <c r="A1864" s="14" t="str">
        <f>VLOOKUP(B1864,'Relacion codigos'!$A:$B,2,FALSE)</f>
        <v>3905</v>
      </c>
      <c r="B1864" s="6" t="s">
        <v>4303</v>
      </c>
      <c r="C1864" s="6" t="s">
        <v>264</v>
      </c>
      <c r="D1864" s="24">
        <v>27.9832420027032</v>
      </c>
      <c r="E1864" s="6" t="s">
        <v>5887</v>
      </c>
      <c r="F1864" s="6">
        <v>21</v>
      </c>
      <c r="G1864" s="8">
        <f t="shared" si="29"/>
        <v>43513.941314203475</v>
      </c>
    </row>
    <row r="1865" spans="1:7" x14ac:dyDescent="0.3">
      <c r="A1865" s="14" t="str">
        <f>VLOOKUP(B1865,'Relacion codigos'!$A:$B,2,FALSE)</f>
        <v>3905</v>
      </c>
      <c r="B1865" s="6" t="s">
        <v>4304</v>
      </c>
      <c r="C1865" s="6" t="s">
        <v>264</v>
      </c>
      <c r="D1865" s="24">
        <v>27.9832420027032</v>
      </c>
      <c r="E1865" s="6" t="s">
        <v>5887</v>
      </c>
      <c r="F1865" s="6">
        <v>21</v>
      </c>
      <c r="G1865" s="8">
        <f t="shared" si="29"/>
        <v>43513.941314203475</v>
      </c>
    </row>
    <row r="1866" spans="1:7" x14ac:dyDescent="0.3">
      <c r="A1866" s="14" t="str">
        <f>VLOOKUP(B1866,'Relacion codigos'!$A:$B,2,FALSE)</f>
        <v>3906</v>
      </c>
      <c r="B1866" s="6" t="s">
        <v>4305</v>
      </c>
      <c r="C1866" s="6" t="s">
        <v>265</v>
      </c>
      <c r="D1866" s="24">
        <v>44.459454844776303</v>
      </c>
      <c r="E1866" s="6" t="s">
        <v>5887</v>
      </c>
      <c r="F1866" s="6">
        <v>21</v>
      </c>
      <c r="G1866" s="8">
        <f t="shared" si="29"/>
        <v>69134.45228362715</v>
      </c>
    </row>
    <row r="1867" spans="1:7" x14ac:dyDescent="0.3">
      <c r="A1867" s="14" t="str">
        <f>VLOOKUP(B1867,'Relacion codigos'!$A:$B,2,FALSE)</f>
        <v>3906</v>
      </c>
      <c r="B1867" s="6" t="s">
        <v>4306</v>
      </c>
      <c r="C1867" s="6" t="s">
        <v>265</v>
      </c>
      <c r="D1867" s="24">
        <v>44.459454844776303</v>
      </c>
      <c r="E1867" s="6" t="s">
        <v>5887</v>
      </c>
      <c r="F1867" s="6">
        <v>21</v>
      </c>
      <c r="G1867" s="8">
        <f t="shared" si="29"/>
        <v>69134.45228362715</v>
      </c>
    </row>
    <row r="1868" spans="1:7" x14ac:dyDescent="0.3">
      <c r="A1868" s="14" t="str">
        <f>VLOOKUP(B1868,'Relacion codigos'!$A:$B,2,FALSE)</f>
        <v>5559</v>
      </c>
      <c r="B1868" s="6" t="s">
        <v>4308</v>
      </c>
      <c r="C1868" s="6" t="s">
        <v>266</v>
      </c>
      <c r="D1868" s="24">
        <v>9.5970848044500006</v>
      </c>
      <c r="E1868" s="6" t="s">
        <v>5887</v>
      </c>
      <c r="F1868" s="6">
        <v>21</v>
      </c>
      <c r="G1868" s="8">
        <f t="shared" si="29"/>
        <v>14923.46687091975</v>
      </c>
    </row>
    <row r="1869" spans="1:7" x14ac:dyDescent="0.3">
      <c r="A1869" s="14" t="str">
        <f>VLOOKUP(B1869,'Relacion codigos'!$A:$B,2,FALSE)</f>
        <v>5515</v>
      </c>
      <c r="B1869" s="6" t="s">
        <v>4310</v>
      </c>
      <c r="C1869" s="6" t="s">
        <v>267</v>
      </c>
      <c r="D1869" s="24">
        <v>9.5970848044500006</v>
      </c>
      <c r="E1869" s="6" t="s">
        <v>5887</v>
      </c>
      <c r="F1869" s="6">
        <v>21</v>
      </c>
      <c r="G1869" s="8">
        <f t="shared" si="29"/>
        <v>14923.46687091975</v>
      </c>
    </row>
    <row r="1870" spans="1:7" x14ac:dyDescent="0.3">
      <c r="A1870" s="14" t="str">
        <f>VLOOKUP(B1870,'Relacion codigos'!$A:$B,2,FALSE)</f>
        <v>8303</v>
      </c>
      <c r="B1870" s="6" t="s">
        <v>4252</v>
      </c>
      <c r="C1870" s="6" t="s">
        <v>9393</v>
      </c>
      <c r="D1870" s="24">
        <v>1.8715904999999999</v>
      </c>
      <c r="E1870" s="6" t="s">
        <v>5887</v>
      </c>
      <c r="F1870" s="6">
        <v>21</v>
      </c>
      <c r="G1870" s="8">
        <f t="shared" si="29"/>
        <v>2910.3232275</v>
      </c>
    </row>
    <row r="1871" spans="1:7" x14ac:dyDescent="0.3">
      <c r="A1871" s="14" t="str">
        <f>VLOOKUP(B1871,'Relacion codigos'!$A:$B,2,FALSE)</f>
        <v>8302</v>
      </c>
      <c r="B1871" s="6" t="s">
        <v>4253</v>
      </c>
      <c r="C1871" s="6" t="s">
        <v>13139</v>
      </c>
      <c r="D1871" s="24">
        <v>2.2346414999999999</v>
      </c>
      <c r="E1871" s="6" t="s">
        <v>5887</v>
      </c>
      <c r="F1871" s="6">
        <v>21</v>
      </c>
      <c r="G1871" s="8">
        <f t="shared" si="29"/>
        <v>3474.8675324999999</v>
      </c>
    </row>
    <row r="1872" spans="1:7" x14ac:dyDescent="0.3">
      <c r="A1872" s="14" t="e">
        <f>VLOOKUP(B1872,'Relacion codigos'!$A:$B,2,FALSE)</f>
        <v>#N/A</v>
      </c>
      <c r="B1872" s="6" t="s">
        <v>11278</v>
      </c>
      <c r="C1872" s="6" t="s">
        <v>11587</v>
      </c>
      <c r="D1872" s="24">
        <v>2.1908249999999998</v>
      </c>
      <c r="E1872" s="6" t="s">
        <v>5887</v>
      </c>
      <c r="F1872" s="6">
        <v>21</v>
      </c>
      <c r="G1872" s="8">
        <f t="shared" si="29"/>
        <v>3406.7328749999997</v>
      </c>
    </row>
    <row r="1873" spans="1:7" x14ac:dyDescent="0.3">
      <c r="A1873" s="14" t="e">
        <f>VLOOKUP(B1873,'Relacion codigos'!$A:$B,2,FALSE)</f>
        <v>#N/A</v>
      </c>
      <c r="B1873" s="6" t="s">
        <v>9394</v>
      </c>
      <c r="C1873" s="6" t="s">
        <v>9395</v>
      </c>
      <c r="D1873" s="24">
        <v>2.8042560000000001</v>
      </c>
      <c r="E1873" s="6" t="s">
        <v>5887</v>
      </c>
      <c r="F1873" s="6">
        <v>21</v>
      </c>
      <c r="G1873" s="8">
        <f t="shared" si="29"/>
        <v>4360.6180800000002</v>
      </c>
    </row>
    <row r="1874" spans="1:7" x14ac:dyDescent="0.3">
      <c r="A1874" s="14" t="e">
        <f>VLOOKUP(B1874,'Relacion codigos'!$A:$B,2,FALSE)</f>
        <v>#N/A</v>
      </c>
      <c r="B1874" s="6" t="s">
        <v>9396</v>
      </c>
      <c r="C1874" s="6" t="s">
        <v>12095</v>
      </c>
      <c r="D1874" s="24">
        <v>1.3583114999999999</v>
      </c>
      <c r="E1874" s="6" t="s">
        <v>5887</v>
      </c>
      <c r="F1874" s="6">
        <v>21</v>
      </c>
      <c r="G1874" s="8">
        <f t="shared" si="29"/>
        <v>2112.1743824999999</v>
      </c>
    </row>
    <row r="1875" spans="1:7" x14ac:dyDescent="0.3">
      <c r="A1875" s="14" t="e">
        <f>VLOOKUP(B1875,'Relacion codigos'!$A:$B,2,FALSE)</f>
        <v>#N/A</v>
      </c>
      <c r="B1875" s="6" t="s">
        <v>10289</v>
      </c>
      <c r="C1875" s="6" t="s">
        <v>10421</v>
      </c>
      <c r="D1875" s="24">
        <v>8.1695250000000001</v>
      </c>
      <c r="E1875" s="6" t="s">
        <v>5887</v>
      </c>
      <c r="F1875" s="6">
        <v>21</v>
      </c>
      <c r="G1875" s="8">
        <f t="shared" si="29"/>
        <v>12703.611375</v>
      </c>
    </row>
    <row r="1876" spans="1:7" x14ac:dyDescent="0.3">
      <c r="A1876" s="14" t="str">
        <f>VLOOKUP(B1876,'Relacion codigos'!$A:$B,2,FALSE)</f>
        <v>5507</v>
      </c>
      <c r="B1876" s="6" t="s">
        <v>4254</v>
      </c>
      <c r="C1876" s="6" t="s">
        <v>1250</v>
      </c>
      <c r="D1876" s="24">
        <v>28.888286715888899</v>
      </c>
      <c r="E1876" s="6" t="s">
        <v>5887</v>
      </c>
      <c r="F1876" s="6">
        <v>21</v>
      </c>
      <c r="G1876" s="8">
        <f t="shared" si="29"/>
        <v>44921.285843207239</v>
      </c>
    </row>
    <row r="1877" spans="1:7" x14ac:dyDescent="0.3">
      <c r="A1877" s="14" t="str">
        <f>VLOOKUP(B1877,'Relacion codigos'!$A:$B,2,FALSE)</f>
        <v>3863</v>
      </c>
      <c r="B1877" s="6" t="s">
        <v>4174</v>
      </c>
      <c r="C1877" s="6" t="s">
        <v>1203</v>
      </c>
      <c r="D1877" s="24">
        <v>16985.779200000001</v>
      </c>
      <c r="E1877" s="6" t="s">
        <v>5889</v>
      </c>
      <c r="F1877" s="6">
        <v>21</v>
      </c>
      <c r="G1877" s="8">
        <f t="shared" si="29"/>
        <v>16985.779200000001</v>
      </c>
    </row>
    <row r="1878" spans="1:7" x14ac:dyDescent="0.3">
      <c r="A1878" s="14" t="str">
        <f>VLOOKUP(B1878,'Relacion codigos'!$A:$B,2,FALSE)</f>
        <v>2552</v>
      </c>
      <c r="B1878" s="6" t="s">
        <v>4154</v>
      </c>
      <c r="C1878" s="6" t="s">
        <v>13140</v>
      </c>
      <c r="D1878" s="24">
        <v>226454.8</v>
      </c>
      <c r="E1878" s="6" t="s">
        <v>5889</v>
      </c>
      <c r="F1878" s="6">
        <v>21</v>
      </c>
      <c r="G1878" s="8">
        <f t="shared" si="29"/>
        <v>226454.8</v>
      </c>
    </row>
    <row r="1879" spans="1:7" x14ac:dyDescent="0.3">
      <c r="A1879" s="14" t="str">
        <f>VLOOKUP(B1879,'Relacion codigos'!$A:$B,2,FALSE)</f>
        <v>5072</v>
      </c>
      <c r="B1879" s="6" t="s">
        <v>3859</v>
      </c>
      <c r="C1879" s="6" t="s">
        <v>13408</v>
      </c>
      <c r="D1879" s="24">
        <v>904845.5</v>
      </c>
      <c r="E1879" s="6" t="s">
        <v>5889</v>
      </c>
      <c r="F1879" s="6">
        <v>21</v>
      </c>
      <c r="G1879" s="8">
        <f t="shared" si="29"/>
        <v>904845.5</v>
      </c>
    </row>
    <row r="1880" spans="1:7" x14ac:dyDescent="0.3">
      <c r="A1880" s="14" t="str">
        <f>VLOOKUP(B1880,'Relacion codigos'!$A:$B,2,FALSE)</f>
        <v>5344</v>
      </c>
      <c r="B1880" s="6" t="s">
        <v>3609</v>
      </c>
      <c r="C1880" s="6" t="s">
        <v>10167</v>
      </c>
      <c r="D1880" s="24">
        <v>34835.835939313503</v>
      </c>
      <c r="E1880" s="6" t="s">
        <v>5889</v>
      </c>
      <c r="F1880" s="6">
        <v>21</v>
      </c>
      <c r="G1880" s="8">
        <f t="shared" si="29"/>
        <v>34835.835939313503</v>
      </c>
    </row>
    <row r="1881" spans="1:7" x14ac:dyDescent="0.3">
      <c r="A1881" s="14" t="str">
        <f>VLOOKUP(B1881,'Relacion codigos'!$A:$B,2,FALSE)</f>
        <v>5426</v>
      </c>
      <c r="B1881" s="6" t="s">
        <v>4227</v>
      </c>
      <c r="C1881" s="6" t="s">
        <v>268</v>
      </c>
      <c r="D1881" s="24">
        <v>1629.5899466476601</v>
      </c>
      <c r="E1881" s="6" t="s">
        <v>5889</v>
      </c>
      <c r="F1881" s="6">
        <v>21</v>
      </c>
      <c r="G1881" s="8">
        <f t="shared" si="29"/>
        <v>1629.5899466476601</v>
      </c>
    </row>
    <row r="1882" spans="1:7" x14ac:dyDescent="0.3">
      <c r="A1882" s="14" t="str">
        <f>VLOOKUP(B1882,'Relacion codigos'!$A:$B,2,FALSE)</f>
        <v>771</v>
      </c>
      <c r="B1882" s="6" t="s">
        <v>5674</v>
      </c>
      <c r="C1882" s="6" t="s">
        <v>269</v>
      </c>
      <c r="D1882" s="24">
        <v>16.734397684669599</v>
      </c>
      <c r="E1882" s="6" t="s">
        <v>5889</v>
      </c>
      <c r="F1882" s="6">
        <v>21</v>
      </c>
      <c r="G1882" s="8">
        <f t="shared" si="29"/>
        <v>16.734397684669599</v>
      </c>
    </row>
    <row r="1883" spans="1:7" x14ac:dyDescent="0.3">
      <c r="A1883" s="14" t="str">
        <f>VLOOKUP(B1883,'Relacion codigos'!$A:$B,2,FALSE)</f>
        <v>5050</v>
      </c>
      <c r="B1883" s="6" t="s">
        <v>4228</v>
      </c>
      <c r="C1883" s="6" t="s">
        <v>270</v>
      </c>
      <c r="D1883" s="24">
        <v>11002.4655884</v>
      </c>
      <c r="E1883" s="6" t="s">
        <v>5889</v>
      </c>
      <c r="F1883" s="6">
        <v>21</v>
      </c>
      <c r="G1883" s="8">
        <f t="shared" si="29"/>
        <v>11002.4655884</v>
      </c>
    </row>
    <row r="1884" spans="1:7" x14ac:dyDescent="0.3">
      <c r="A1884" s="14" t="str">
        <f>VLOOKUP(B1884,'Relacion codigos'!$A:$B,2,FALSE)</f>
        <v>5048</v>
      </c>
      <c r="B1884" s="6" t="s">
        <v>4176</v>
      </c>
      <c r="C1884" s="6" t="s">
        <v>271</v>
      </c>
      <c r="D1884" s="24">
        <v>17526.599999999999</v>
      </c>
      <c r="E1884" s="6" t="s">
        <v>5889</v>
      </c>
      <c r="F1884" s="6">
        <v>21</v>
      </c>
      <c r="G1884" s="8">
        <f t="shared" si="29"/>
        <v>17526.599999999999</v>
      </c>
    </row>
    <row r="1885" spans="1:7" x14ac:dyDescent="0.3">
      <c r="A1885" s="14" t="str">
        <f>VLOOKUP(B1885,'Relacion codigos'!$A:$B,2,FALSE)</f>
        <v>5046</v>
      </c>
      <c r="B1885" s="6" t="s">
        <v>4177</v>
      </c>
      <c r="C1885" s="6" t="s">
        <v>272</v>
      </c>
      <c r="D1885" s="24">
        <v>6676.8</v>
      </c>
      <c r="E1885" s="6" t="s">
        <v>5889</v>
      </c>
      <c r="F1885" s="6">
        <v>21</v>
      </c>
      <c r="G1885" s="8">
        <f t="shared" si="29"/>
        <v>6676.8</v>
      </c>
    </row>
    <row r="1886" spans="1:7" x14ac:dyDescent="0.3">
      <c r="A1886" s="14" t="str">
        <f>VLOOKUP(B1886,'Relacion codigos'!$A:$B,2,FALSE)</f>
        <v>5039</v>
      </c>
      <c r="B1886" s="6" t="s">
        <v>4179</v>
      </c>
      <c r="C1886" s="6" t="s">
        <v>273</v>
      </c>
      <c r="D1886" s="24">
        <v>62595</v>
      </c>
      <c r="E1886" s="6" t="s">
        <v>5889</v>
      </c>
      <c r="F1886" s="6">
        <v>21</v>
      </c>
      <c r="G1886" s="8">
        <f t="shared" si="29"/>
        <v>62595</v>
      </c>
    </row>
    <row r="1887" spans="1:7" x14ac:dyDescent="0.3">
      <c r="A1887" s="14" t="str">
        <f>VLOOKUP(B1887,'Relacion codigos'!$A:$B,2,FALSE)</f>
        <v>5040</v>
      </c>
      <c r="B1887" s="6" t="s">
        <v>4180</v>
      </c>
      <c r="C1887" s="6" t="s">
        <v>274</v>
      </c>
      <c r="D1887" s="24">
        <v>61204</v>
      </c>
      <c r="E1887" s="6" t="s">
        <v>5889</v>
      </c>
      <c r="F1887" s="6">
        <v>21</v>
      </c>
      <c r="G1887" s="8">
        <f t="shared" si="29"/>
        <v>61204</v>
      </c>
    </row>
    <row r="1888" spans="1:7" x14ac:dyDescent="0.3">
      <c r="A1888" s="14" t="str">
        <f>VLOOKUP(B1888,'Relacion codigos'!$A:$B,2,FALSE)</f>
        <v>5047</v>
      </c>
      <c r="B1888" s="6" t="s">
        <v>4231</v>
      </c>
      <c r="C1888" s="6" t="s">
        <v>12096</v>
      </c>
      <c r="D1888" s="24">
        <v>7505.2223603499997</v>
      </c>
      <c r="E1888" s="6" t="s">
        <v>5889</v>
      </c>
      <c r="F1888" s="6">
        <v>21</v>
      </c>
      <c r="G1888" s="8">
        <f t="shared" si="29"/>
        <v>7505.2223603499997</v>
      </c>
    </row>
    <row r="1889" spans="1:7" x14ac:dyDescent="0.3">
      <c r="A1889" s="14" t="str">
        <f>VLOOKUP(B1889,'Relacion codigos'!$A:$B,2,FALSE)</f>
        <v>5382</v>
      </c>
      <c r="B1889" s="6" t="s">
        <v>4230</v>
      </c>
      <c r="C1889" s="6" t="s">
        <v>12097</v>
      </c>
      <c r="D1889" s="24">
        <v>9307.5807038500006</v>
      </c>
      <c r="E1889" s="6" t="s">
        <v>5889</v>
      </c>
      <c r="F1889" s="6">
        <v>21</v>
      </c>
      <c r="G1889" s="8">
        <f t="shared" si="29"/>
        <v>9307.5807038500006</v>
      </c>
    </row>
    <row r="1890" spans="1:7" x14ac:dyDescent="0.3">
      <c r="A1890" s="14" t="str">
        <f>VLOOKUP(B1890,'Relacion codigos'!$A:$B,2,FALSE)</f>
        <v>5042</v>
      </c>
      <c r="B1890" s="6" t="s">
        <v>4155</v>
      </c>
      <c r="C1890" s="6" t="s">
        <v>275</v>
      </c>
      <c r="D1890" s="24">
        <v>41869.1</v>
      </c>
      <c r="E1890" s="6" t="s">
        <v>5889</v>
      </c>
      <c r="F1890" s="6">
        <v>21</v>
      </c>
      <c r="G1890" s="8">
        <f t="shared" si="29"/>
        <v>41869.1</v>
      </c>
    </row>
    <row r="1891" spans="1:7" x14ac:dyDescent="0.3">
      <c r="A1891" s="14" t="str">
        <f>VLOOKUP(B1891,'Relacion codigos'!$A:$B,2,FALSE)</f>
        <v>8206</v>
      </c>
      <c r="B1891" s="6" t="s">
        <v>3023</v>
      </c>
      <c r="C1891" s="6" t="s">
        <v>13141</v>
      </c>
      <c r="D1891" s="24">
        <v>10.0577646</v>
      </c>
      <c r="E1891" s="6" t="s">
        <v>5887</v>
      </c>
      <c r="F1891" s="6">
        <v>21</v>
      </c>
      <c r="G1891" s="8">
        <f t="shared" si="29"/>
        <v>15639.823953000001</v>
      </c>
    </row>
    <row r="1892" spans="1:7" x14ac:dyDescent="0.3">
      <c r="A1892" s="14" t="e">
        <f>VLOOKUP(B1892,'Relacion codigos'!$A:$B,2,FALSE)</f>
        <v>#N/A</v>
      </c>
      <c r="B1892" s="6" t="s">
        <v>9632</v>
      </c>
      <c r="C1892" s="6" t="s">
        <v>9633</v>
      </c>
      <c r="D1892" s="24">
        <v>14.341766399999999</v>
      </c>
      <c r="E1892" s="6" t="s">
        <v>5887</v>
      </c>
      <c r="F1892" s="6">
        <v>21</v>
      </c>
      <c r="G1892" s="8">
        <f t="shared" si="29"/>
        <v>22301.446752</v>
      </c>
    </row>
    <row r="1893" spans="1:7" x14ac:dyDescent="0.3">
      <c r="A1893" s="14" t="str">
        <f>VLOOKUP(B1893,'Relacion codigos'!$A:$B,2,FALSE)</f>
        <v>7330</v>
      </c>
      <c r="B1893" s="6" t="s">
        <v>3520</v>
      </c>
      <c r="C1893" s="6" t="s">
        <v>276</v>
      </c>
      <c r="D1893" s="24">
        <v>2947.6584022038501</v>
      </c>
      <c r="E1893" s="6" t="s">
        <v>5889</v>
      </c>
      <c r="F1893" s="6">
        <v>21</v>
      </c>
      <c r="G1893" s="8">
        <f t="shared" si="29"/>
        <v>2947.6584022038501</v>
      </c>
    </row>
    <row r="1894" spans="1:7" x14ac:dyDescent="0.3">
      <c r="A1894" s="14" t="e">
        <f>VLOOKUP(B1894,'Relacion codigos'!$A:$B,2,FALSE)</f>
        <v>#N/A</v>
      </c>
      <c r="B1894" s="6" t="s">
        <v>9510</v>
      </c>
      <c r="C1894" s="6" t="s">
        <v>9511</v>
      </c>
      <c r="D1894" s="24">
        <v>0</v>
      </c>
      <c r="E1894" s="6" t="s">
        <v>5889</v>
      </c>
      <c r="F1894" s="6">
        <v>21</v>
      </c>
      <c r="G1894" s="8">
        <f t="shared" si="29"/>
        <v>0</v>
      </c>
    </row>
    <row r="1895" spans="1:7" x14ac:dyDescent="0.3">
      <c r="A1895" s="14" t="str">
        <f>VLOOKUP(B1895,'Relacion codigos'!$A:$B,2,FALSE)</f>
        <v>8714</v>
      </c>
      <c r="B1895" s="6" t="s">
        <v>1607</v>
      </c>
      <c r="C1895" s="6" t="s">
        <v>12098</v>
      </c>
      <c r="D1895" s="24">
        <v>1.873677</v>
      </c>
      <c r="E1895" s="6" t="s">
        <v>5887</v>
      </c>
      <c r="F1895" s="6">
        <v>21</v>
      </c>
      <c r="G1895" s="8">
        <f t="shared" si="29"/>
        <v>2913.5677350000001</v>
      </c>
    </row>
    <row r="1896" spans="1:7" x14ac:dyDescent="0.3">
      <c r="A1896" s="14" t="e">
        <f>VLOOKUP(B1896,'Relacion codigos'!$A:$B,2,FALSE)</f>
        <v>#N/A</v>
      </c>
      <c r="B1896" s="6" t="s">
        <v>9558</v>
      </c>
      <c r="C1896" s="6" t="s">
        <v>9559</v>
      </c>
      <c r="D1896" s="24">
        <v>127693.8</v>
      </c>
      <c r="E1896" s="6" t="s">
        <v>5889</v>
      </c>
      <c r="F1896" s="6">
        <v>21</v>
      </c>
      <c r="G1896" s="8">
        <f t="shared" si="29"/>
        <v>127693.8</v>
      </c>
    </row>
    <row r="1897" spans="1:7" x14ac:dyDescent="0.3">
      <c r="A1897" s="14" t="e">
        <f>VLOOKUP(B1897,'Relacion codigos'!$A:$B,2,FALSE)</f>
        <v>#N/A</v>
      </c>
      <c r="B1897" s="6" t="s">
        <v>9327</v>
      </c>
      <c r="C1897" s="6" t="s">
        <v>9328</v>
      </c>
      <c r="D1897" s="24">
        <v>19534.731059999998</v>
      </c>
      <c r="E1897" s="6" t="s">
        <v>5889</v>
      </c>
      <c r="F1897" s="6">
        <v>21</v>
      </c>
      <c r="G1897" s="8">
        <f t="shared" si="29"/>
        <v>19534.731059999998</v>
      </c>
    </row>
    <row r="1898" spans="1:7" x14ac:dyDescent="0.3">
      <c r="A1898" s="14" t="str">
        <f>VLOOKUP(B1898,'Relacion codigos'!$A:$B,2,FALSE)</f>
        <v>8782</v>
      </c>
      <c r="B1898" s="6" t="s">
        <v>4659</v>
      </c>
      <c r="C1898" s="6" t="s">
        <v>1193</v>
      </c>
      <c r="D1898" s="24">
        <v>1285.7012999999999</v>
      </c>
      <c r="E1898" s="6" t="s">
        <v>5889</v>
      </c>
      <c r="F1898" s="6">
        <v>21</v>
      </c>
      <c r="G1898" s="8">
        <f t="shared" si="29"/>
        <v>1285.7012999999999</v>
      </c>
    </row>
    <row r="1899" spans="1:7" x14ac:dyDescent="0.3">
      <c r="A1899" s="14" t="str">
        <f>VLOOKUP(B1899,'Relacion codigos'!$A:$B,2,FALSE)</f>
        <v>2842</v>
      </c>
      <c r="B1899" s="6" t="s">
        <v>4617</v>
      </c>
      <c r="C1899" s="6" t="s">
        <v>277</v>
      </c>
      <c r="D1899" s="24">
        <v>981.74474278400498</v>
      </c>
      <c r="E1899" s="6" t="s">
        <v>5889</v>
      </c>
      <c r="F1899" s="6">
        <v>21</v>
      </c>
      <c r="G1899" s="8">
        <f t="shared" si="29"/>
        <v>981.74474278400498</v>
      </c>
    </row>
    <row r="1900" spans="1:7" x14ac:dyDescent="0.3">
      <c r="A1900" s="14" t="str">
        <f>VLOOKUP(B1900,'Relacion codigos'!$A:$B,2,FALSE)</f>
        <v>2841</v>
      </c>
      <c r="B1900" s="6" t="s">
        <v>4618</v>
      </c>
      <c r="C1900" s="6" t="s">
        <v>278</v>
      </c>
      <c r="D1900" s="24">
        <v>942.17820403199903</v>
      </c>
      <c r="E1900" s="6" t="s">
        <v>5889</v>
      </c>
      <c r="F1900" s="6">
        <v>21</v>
      </c>
      <c r="G1900" s="8">
        <f t="shared" si="29"/>
        <v>942.17820403199903</v>
      </c>
    </row>
    <row r="1901" spans="1:7" x14ac:dyDescent="0.3">
      <c r="A1901" s="14" t="str">
        <f>VLOOKUP(B1901,'Relacion codigos'!$A:$B,2,FALSE)</f>
        <v>8853</v>
      </c>
      <c r="B1901" s="6" t="s">
        <v>4661</v>
      </c>
      <c r="C1901" s="6" t="s">
        <v>1191</v>
      </c>
      <c r="D1901" s="24">
        <v>1034.0694000000001</v>
      </c>
      <c r="E1901" s="6" t="s">
        <v>5889</v>
      </c>
      <c r="F1901" s="6">
        <v>21</v>
      </c>
      <c r="G1901" s="8">
        <f t="shared" si="29"/>
        <v>1034.0694000000001</v>
      </c>
    </row>
    <row r="1902" spans="1:7" x14ac:dyDescent="0.3">
      <c r="A1902" s="14" t="str">
        <f>VLOOKUP(B1902,'Relacion codigos'!$A:$B,2,FALSE)</f>
        <v>2805</v>
      </c>
      <c r="B1902" s="6" t="s">
        <v>4638</v>
      </c>
      <c r="C1902" s="6" t="s">
        <v>921</v>
      </c>
      <c r="D1902" s="24">
        <v>985.07504159999996</v>
      </c>
      <c r="E1902" s="6" t="s">
        <v>5889</v>
      </c>
      <c r="F1902" s="6">
        <v>10.5</v>
      </c>
      <c r="G1902" s="8">
        <f t="shared" si="29"/>
        <v>985.07504159999996</v>
      </c>
    </row>
    <row r="1903" spans="1:7" x14ac:dyDescent="0.3">
      <c r="A1903" s="14" t="str">
        <f>VLOOKUP(B1903,'Relacion codigos'!$A:$B,2,FALSE)</f>
        <v>5029</v>
      </c>
      <c r="B1903" s="6" t="s">
        <v>4619</v>
      </c>
      <c r="C1903" s="6" t="s">
        <v>9517</v>
      </c>
      <c r="D1903" s="24">
        <v>1808.9326935679901</v>
      </c>
      <c r="E1903" s="6" t="s">
        <v>5889</v>
      </c>
      <c r="F1903" s="6">
        <v>21</v>
      </c>
      <c r="G1903" s="8">
        <f t="shared" si="29"/>
        <v>1808.9326935679901</v>
      </c>
    </row>
    <row r="1904" spans="1:7" x14ac:dyDescent="0.3">
      <c r="A1904" s="14" t="str">
        <f>VLOOKUP(B1904,'Relacion codigos'!$A:$B,2,FALSE)</f>
        <v>8779</v>
      </c>
      <c r="B1904" s="6" t="s">
        <v>4662</v>
      </c>
      <c r="C1904" s="6" t="s">
        <v>1197</v>
      </c>
      <c r="D1904" s="24">
        <v>2267.1909000000001</v>
      </c>
      <c r="E1904" s="6" t="s">
        <v>5889</v>
      </c>
      <c r="F1904" s="6">
        <v>21</v>
      </c>
      <c r="G1904" s="8">
        <f t="shared" si="29"/>
        <v>2267.1909000000001</v>
      </c>
    </row>
    <row r="1905" spans="1:7" x14ac:dyDescent="0.3">
      <c r="A1905" s="14" t="e">
        <f>VLOOKUP(B1905,'Relacion codigos'!$A:$B,2,FALSE)</f>
        <v>#N/A</v>
      </c>
      <c r="B1905" s="6" t="s">
        <v>10722</v>
      </c>
      <c r="C1905" s="6" t="s">
        <v>10723</v>
      </c>
      <c r="D1905" s="24">
        <v>1932.1530959900099</v>
      </c>
      <c r="E1905" s="6" t="s">
        <v>5889</v>
      </c>
      <c r="F1905" s="6">
        <v>21</v>
      </c>
      <c r="G1905" s="8">
        <f t="shared" si="29"/>
        <v>1932.1530959900099</v>
      </c>
    </row>
    <row r="1906" spans="1:7" x14ac:dyDescent="0.3">
      <c r="A1906" s="14" t="str">
        <f>VLOOKUP(B1906,'Relacion codigos'!$A:$B,2,FALSE)</f>
        <v>2843</v>
      </c>
      <c r="B1906" s="6" t="s">
        <v>4620</v>
      </c>
      <c r="C1906" s="6" t="s">
        <v>279</v>
      </c>
      <c r="D1906" s="24">
        <v>938.46884102400304</v>
      </c>
      <c r="E1906" s="6" t="s">
        <v>5889</v>
      </c>
      <c r="F1906" s="6">
        <v>21</v>
      </c>
      <c r="G1906" s="8">
        <f t="shared" si="29"/>
        <v>938.46884102400304</v>
      </c>
    </row>
    <row r="1907" spans="1:7" x14ac:dyDescent="0.3">
      <c r="A1907" s="14" t="str">
        <f>VLOOKUP(B1907,'Relacion codigos'!$A:$B,2,FALSE)</f>
        <v>3854</v>
      </c>
      <c r="B1907" s="6" t="s">
        <v>4621</v>
      </c>
      <c r="C1907" s="6" t="s">
        <v>280</v>
      </c>
      <c r="D1907" s="24">
        <v>2670.43225217602</v>
      </c>
      <c r="E1907" s="6" t="s">
        <v>5889</v>
      </c>
      <c r="F1907" s="6">
        <v>21</v>
      </c>
      <c r="G1907" s="8">
        <f t="shared" si="29"/>
        <v>2670.43225217602</v>
      </c>
    </row>
    <row r="1908" spans="1:7" x14ac:dyDescent="0.3">
      <c r="A1908" s="14" t="str">
        <f>VLOOKUP(B1908,'Relacion codigos'!$A:$B,2,FALSE)</f>
        <v>3855</v>
      </c>
      <c r="B1908" s="6" t="s">
        <v>4622</v>
      </c>
      <c r="C1908" s="6" t="s">
        <v>281</v>
      </c>
      <c r="D1908" s="24">
        <v>1489.3092477119901</v>
      </c>
      <c r="E1908" s="6" t="s">
        <v>5889</v>
      </c>
      <c r="F1908" s="6">
        <v>21</v>
      </c>
      <c r="G1908" s="8">
        <f t="shared" si="29"/>
        <v>1489.3092477119901</v>
      </c>
    </row>
    <row r="1909" spans="1:7" x14ac:dyDescent="0.3">
      <c r="A1909" s="14" t="str">
        <f>VLOOKUP(B1909,'Relacion codigos'!$A:$B,2,FALSE)</f>
        <v>3856</v>
      </c>
      <c r="B1909" s="6" t="s">
        <v>4623</v>
      </c>
      <c r="C1909" s="6" t="s">
        <v>282</v>
      </c>
      <c r="D1909" s="24">
        <v>2522.9850726080199</v>
      </c>
      <c r="E1909" s="6" t="s">
        <v>5889</v>
      </c>
      <c r="F1909" s="6">
        <v>21</v>
      </c>
      <c r="G1909" s="8">
        <f t="shared" si="29"/>
        <v>2522.9850726080199</v>
      </c>
    </row>
    <row r="1910" spans="1:7" x14ac:dyDescent="0.3">
      <c r="A1910" s="14" t="str">
        <f>VLOOKUP(B1910,'Relacion codigos'!$A:$B,2,FALSE)</f>
        <v>5030</v>
      </c>
      <c r="B1910" s="6" t="s">
        <v>4624</v>
      </c>
      <c r="C1910" s="6" t="s">
        <v>283</v>
      </c>
      <c r="D1910" s="24">
        <v>1812.642056576</v>
      </c>
      <c r="E1910" s="6" t="s">
        <v>5889</v>
      </c>
      <c r="F1910" s="6">
        <v>21</v>
      </c>
      <c r="G1910" s="8">
        <f t="shared" si="29"/>
        <v>1812.642056576</v>
      </c>
    </row>
    <row r="1911" spans="1:7" x14ac:dyDescent="0.3">
      <c r="A1911" s="14" t="str">
        <f>VLOOKUP(B1911,'Relacion codigos'!$A:$B,2,FALSE)</f>
        <v>8783</v>
      </c>
      <c r="B1911" s="6" t="s">
        <v>4663</v>
      </c>
      <c r="C1911" s="6" t="s">
        <v>1196</v>
      </c>
      <c r="D1911" s="24">
        <v>1599.9282000000001</v>
      </c>
      <c r="E1911" s="6" t="s">
        <v>5889</v>
      </c>
      <c r="F1911" s="6">
        <v>21</v>
      </c>
      <c r="G1911" s="8">
        <f t="shared" si="29"/>
        <v>1599.9282000000001</v>
      </c>
    </row>
    <row r="1912" spans="1:7" x14ac:dyDescent="0.3">
      <c r="A1912" s="14" t="str">
        <f>VLOOKUP(B1912,'Relacion codigos'!$A:$B,2,FALSE)</f>
        <v>2802</v>
      </c>
      <c r="B1912" s="6" t="s">
        <v>4639</v>
      </c>
      <c r="C1912" s="6" t="s">
        <v>922</v>
      </c>
      <c r="D1912" s="24">
        <v>1565.1092555279999</v>
      </c>
      <c r="E1912" s="6" t="s">
        <v>5889</v>
      </c>
      <c r="F1912" s="6">
        <v>21</v>
      </c>
      <c r="G1912" s="8">
        <f t="shared" si="29"/>
        <v>1565.1092555279999</v>
      </c>
    </row>
    <row r="1913" spans="1:7" x14ac:dyDescent="0.3">
      <c r="A1913" s="14" t="str">
        <f>VLOOKUP(B1913,'Relacion codigos'!$A:$B,2,FALSE)</f>
        <v>2801</v>
      </c>
      <c r="B1913" s="6" t="s">
        <v>4640</v>
      </c>
      <c r="C1913" s="6" t="s">
        <v>923</v>
      </c>
      <c r="D1913" s="24">
        <v>1703.840006232</v>
      </c>
      <c r="E1913" s="6" t="s">
        <v>5889</v>
      </c>
      <c r="F1913" s="6">
        <v>21</v>
      </c>
      <c r="G1913" s="8">
        <f t="shared" si="29"/>
        <v>1703.840006232</v>
      </c>
    </row>
    <row r="1914" spans="1:7" x14ac:dyDescent="0.3">
      <c r="A1914" s="14" t="str">
        <f>VLOOKUP(B1914,'Relacion codigos'!$A:$B,2,FALSE)</f>
        <v>3857</v>
      </c>
      <c r="B1914" s="6" t="s">
        <v>4625</v>
      </c>
      <c r="C1914" s="6" t="s">
        <v>10982</v>
      </c>
      <c r="D1914" s="24">
        <v>1805.22333056</v>
      </c>
      <c r="E1914" s="6" t="s">
        <v>5889</v>
      </c>
      <c r="F1914" s="6">
        <v>21</v>
      </c>
      <c r="G1914" s="8">
        <f t="shared" si="29"/>
        <v>1805.22333056</v>
      </c>
    </row>
    <row r="1915" spans="1:7" x14ac:dyDescent="0.3">
      <c r="A1915" s="14" t="str">
        <f>VLOOKUP(B1915,'Relacion codigos'!$A:$B,2,FALSE)</f>
        <v>6044</v>
      </c>
      <c r="B1915" s="6" t="s">
        <v>4627</v>
      </c>
      <c r="C1915" s="6" t="s">
        <v>924</v>
      </c>
      <c r="D1915" s="24">
        <v>4479.3698908045999</v>
      </c>
      <c r="E1915" s="6" t="s">
        <v>5889</v>
      </c>
      <c r="F1915" s="6">
        <v>21</v>
      </c>
      <c r="G1915" s="8">
        <f t="shared" si="29"/>
        <v>4479.3698908045999</v>
      </c>
    </row>
    <row r="1916" spans="1:7" x14ac:dyDescent="0.3">
      <c r="A1916" s="14" t="str">
        <f>VLOOKUP(B1916,'Relacion codigos'!$A:$B,2,FALSE)</f>
        <v>5401</v>
      </c>
      <c r="B1916" s="6" t="s">
        <v>4641</v>
      </c>
      <c r="C1916" s="6" t="s">
        <v>925</v>
      </c>
      <c r="D1916" s="24">
        <v>1140.866885808</v>
      </c>
      <c r="E1916" s="6" t="s">
        <v>5889</v>
      </c>
      <c r="F1916" s="6">
        <v>21</v>
      </c>
      <c r="G1916" s="8">
        <f t="shared" si="29"/>
        <v>1140.866885808</v>
      </c>
    </row>
    <row r="1917" spans="1:7" x14ac:dyDescent="0.3">
      <c r="A1917" s="14" t="str">
        <f>VLOOKUP(B1917,'Relacion codigos'!$A:$B,2,FALSE)</f>
        <v>2804</v>
      </c>
      <c r="B1917" s="6" t="s">
        <v>4642</v>
      </c>
      <c r="C1917" s="6" t="s">
        <v>926</v>
      </c>
      <c r="D1917" s="24">
        <v>1064.1232124640001</v>
      </c>
      <c r="E1917" s="6" t="s">
        <v>5889</v>
      </c>
      <c r="F1917" s="6">
        <v>21</v>
      </c>
      <c r="G1917" s="8">
        <f t="shared" si="29"/>
        <v>1064.1232124640001</v>
      </c>
    </row>
    <row r="1918" spans="1:7" x14ac:dyDescent="0.3">
      <c r="A1918" s="14" t="str">
        <f>VLOOKUP(B1918,'Relacion codigos'!$A:$B,2,FALSE)</f>
        <v>2806</v>
      </c>
      <c r="B1918" s="6" t="s">
        <v>4643</v>
      </c>
      <c r="C1918" s="6" t="s">
        <v>927</v>
      </c>
      <c r="D1918" s="24">
        <v>1665.425204352</v>
      </c>
      <c r="E1918" s="6" t="s">
        <v>5889</v>
      </c>
      <c r="F1918" s="6">
        <v>21</v>
      </c>
      <c r="G1918" s="8">
        <f t="shared" si="29"/>
        <v>1665.425204352</v>
      </c>
    </row>
    <row r="1919" spans="1:7" x14ac:dyDescent="0.3">
      <c r="A1919" s="14" t="str">
        <f>VLOOKUP(B1919,'Relacion codigos'!$A:$B,2,FALSE)</f>
        <v>6039</v>
      </c>
      <c r="B1919" s="6" t="s">
        <v>4628</v>
      </c>
      <c r="C1919" s="6" t="s">
        <v>928</v>
      </c>
      <c r="D1919" s="24">
        <v>2588.9939432604001</v>
      </c>
      <c r="E1919" s="6" t="s">
        <v>5889</v>
      </c>
      <c r="F1919" s="6">
        <v>10.5</v>
      </c>
      <c r="G1919" s="8">
        <f t="shared" si="29"/>
        <v>2588.9939432604001</v>
      </c>
    </row>
    <row r="1920" spans="1:7" x14ac:dyDescent="0.3">
      <c r="A1920" s="14" t="e">
        <f>VLOOKUP(B1920,'Relacion codigos'!$A:$B,2,FALSE)</f>
        <v>#N/A</v>
      </c>
      <c r="B1920" s="6" t="s">
        <v>12836</v>
      </c>
      <c r="C1920" s="6" t="s">
        <v>12875</v>
      </c>
      <c r="D1920" s="24">
        <v>2848.1196215159998</v>
      </c>
      <c r="E1920" s="6" t="s">
        <v>5889</v>
      </c>
      <c r="F1920" s="6">
        <v>10.5</v>
      </c>
      <c r="G1920" s="8">
        <f t="shared" si="29"/>
        <v>2848.1196215159998</v>
      </c>
    </row>
    <row r="1921" spans="1:7" x14ac:dyDescent="0.3">
      <c r="A1921" s="14" t="str">
        <f>VLOOKUP(B1921,'Relacion codigos'!$A:$B,2,FALSE)</f>
        <v>6040</v>
      </c>
      <c r="B1921" s="6" t="s">
        <v>4629</v>
      </c>
      <c r="C1921" s="6" t="s">
        <v>929</v>
      </c>
      <c r="D1921" s="24">
        <v>8285.4288913125602</v>
      </c>
      <c r="E1921" s="6" t="s">
        <v>5889</v>
      </c>
      <c r="F1921" s="6">
        <v>21</v>
      </c>
      <c r="G1921" s="8">
        <f t="shared" si="29"/>
        <v>8285.4288913125602</v>
      </c>
    </row>
    <row r="1922" spans="1:7" x14ac:dyDescent="0.3">
      <c r="A1922" s="14" t="str">
        <f>VLOOKUP(B1922,'Relacion codigos'!$A:$B,2,FALSE)</f>
        <v>6060</v>
      </c>
      <c r="B1922" s="6" t="s">
        <v>4630</v>
      </c>
      <c r="C1922" s="6" t="s">
        <v>930</v>
      </c>
      <c r="D1922" s="24">
        <v>2175.8056036657199</v>
      </c>
      <c r="E1922" s="6" t="s">
        <v>5889</v>
      </c>
      <c r="F1922" s="6">
        <v>10.5</v>
      </c>
      <c r="G1922" s="8">
        <f t="shared" ref="G1922:G1985" si="30">IF(E1922="Dolares",D1922*$G$1,D1922)</f>
        <v>2175.8056036657199</v>
      </c>
    </row>
    <row r="1923" spans="1:7" x14ac:dyDescent="0.3">
      <c r="A1923" s="14" t="e">
        <f>VLOOKUP(B1923,'Relacion codigos'!$A:$B,2,FALSE)</f>
        <v>#N/A</v>
      </c>
      <c r="B1923" s="6" t="s">
        <v>12837</v>
      </c>
      <c r="C1923" s="6" t="s">
        <v>12838</v>
      </c>
      <c r="D1923" s="24">
        <v>2393.3867756104601</v>
      </c>
      <c r="E1923" s="6" t="s">
        <v>5889</v>
      </c>
      <c r="F1923" s="6">
        <v>10.5</v>
      </c>
      <c r="G1923" s="8">
        <f t="shared" si="30"/>
        <v>2393.3867756104601</v>
      </c>
    </row>
    <row r="1924" spans="1:7" x14ac:dyDescent="0.3">
      <c r="A1924" s="14" t="str">
        <f>VLOOKUP(B1924,'Relacion codigos'!$A:$B,2,FALSE)</f>
        <v>6035</v>
      </c>
      <c r="B1924" s="6" t="s">
        <v>4631</v>
      </c>
      <c r="C1924" s="6" t="s">
        <v>931</v>
      </c>
      <c r="D1924" s="24">
        <v>2228.8233167834401</v>
      </c>
      <c r="E1924" s="6" t="s">
        <v>5889</v>
      </c>
      <c r="F1924" s="6">
        <v>10.5</v>
      </c>
      <c r="G1924" s="8">
        <f t="shared" si="30"/>
        <v>2228.8233167834401</v>
      </c>
    </row>
    <row r="1925" spans="1:7" x14ac:dyDescent="0.3">
      <c r="A1925" s="14" t="e">
        <f>VLOOKUP(B1925,'Relacion codigos'!$A:$B,2,FALSE)</f>
        <v>#N/A</v>
      </c>
      <c r="B1925" s="6" t="s">
        <v>12839</v>
      </c>
      <c r="C1925" s="6" t="s">
        <v>12840</v>
      </c>
      <c r="D1925" s="24">
        <v>2451.7068716181602</v>
      </c>
      <c r="E1925" s="6" t="s">
        <v>5889</v>
      </c>
      <c r="F1925" s="6">
        <v>10.5</v>
      </c>
      <c r="G1925" s="8">
        <f t="shared" si="30"/>
        <v>2451.7068716181602</v>
      </c>
    </row>
    <row r="1926" spans="1:7" x14ac:dyDescent="0.3">
      <c r="A1926" s="14" t="e">
        <f>VLOOKUP(B1926,'Relacion codigos'!$A:$B,2,FALSE)</f>
        <v>#N/A</v>
      </c>
      <c r="B1926" s="6" t="s">
        <v>13039</v>
      </c>
      <c r="C1926" s="6" t="s">
        <v>13040</v>
      </c>
      <c r="D1926" s="24">
        <v>4854.9094771460404</v>
      </c>
      <c r="E1926" s="6" t="s">
        <v>5889</v>
      </c>
      <c r="F1926" s="6">
        <v>10.5</v>
      </c>
      <c r="G1926" s="8">
        <f t="shared" si="30"/>
        <v>4854.9094771460404</v>
      </c>
    </row>
    <row r="1927" spans="1:7" x14ac:dyDescent="0.3">
      <c r="A1927" s="14" t="e">
        <f>VLOOKUP(B1927,'Relacion codigos'!$A:$B,2,FALSE)</f>
        <v>#N/A</v>
      </c>
      <c r="B1927" s="6" t="s">
        <v>12841</v>
      </c>
      <c r="C1927" s="6" t="s">
        <v>12842</v>
      </c>
      <c r="D1927" s="24">
        <v>3958.5743690313602</v>
      </c>
      <c r="E1927" s="6" t="s">
        <v>5889</v>
      </c>
      <c r="F1927" s="6">
        <v>21</v>
      </c>
      <c r="G1927" s="8">
        <f t="shared" si="30"/>
        <v>3958.5743690313602</v>
      </c>
    </row>
    <row r="1928" spans="1:7" x14ac:dyDescent="0.3">
      <c r="A1928" s="14" t="str">
        <f>VLOOKUP(B1928,'Relacion codigos'!$A:$B,2,FALSE)</f>
        <v>6032</v>
      </c>
      <c r="B1928" s="6" t="s">
        <v>4632</v>
      </c>
      <c r="C1928" s="6" t="s">
        <v>932</v>
      </c>
      <c r="D1928" s="24">
        <v>2512.5344381966402</v>
      </c>
      <c r="E1928" s="6" t="s">
        <v>5889</v>
      </c>
      <c r="F1928" s="6">
        <v>21</v>
      </c>
      <c r="G1928" s="8">
        <f t="shared" si="30"/>
        <v>2512.5344381966402</v>
      </c>
    </row>
    <row r="1929" spans="1:7" x14ac:dyDescent="0.3">
      <c r="A1929" s="14" t="e">
        <f>VLOOKUP(B1929,'Relacion codigos'!$A:$B,2,FALSE)</f>
        <v>#N/A</v>
      </c>
      <c r="B1929" s="6" t="s">
        <v>12843</v>
      </c>
      <c r="C1929" s="6" t="s">
        <v>12844</v>
      </c>
      <c r="D1929" s="24">
        <v>2763.7891051726801</v>
      </c>
      <c r="E1929" s="6" t="s">
        <v>5889</v>
      </c>
      <c r="F1929" s="6">
        <v>21</v>
      </c>
      <c r="G1929" s="8">
        <f t="shared" si="30"/>
        <v>2763.7891051726801</v>
      </c>
    </row>
    <row r="1930" spans="1:7" x14ac:dyDescent="0.3">
      <c r="A1930" s="14" t="str">
        <f>VLOOKUP(B1930,'Relacion codigos'!$A:$B,2,FALSE)</f>
        <v>6036</v>
      </c>
      <c r="B1930" s="6" t="s">
        <v>4633</v>
      </c>
      <c r="C1930" s="6" t="s">
        <v>933</v>
      </c>
      <c r="D1930" s="24">
        <v>3871.7669610266398</v>
      </c>
      <c r="E1930" s="6" t="s">
        <v>5889</v>
      </c>
      <c r="F1930" s="6">
        <v>10.5</v>
      </c>
      <c r="G1930" s="8">
        <f t="shared" si="30"/>
        <v>3871.7669610266398</v>
      </c>
    </row>
    <row r="1931" spans="1:7" x14ac:dyDescent="0.3">
      <c r="A1931" s="14" t="e">
        <f>VLOOKUP(B1931,'Relacion codigos'!$A:$B,2,FALSE)</f>
        <v>#N/A</v>
      </c>
      <c r="B1931" s="6" t="s">
        <v>12845</v>
      </c>
      <c r="C1931" s="6" t="s">
        <v>12846</v>
      </c>
      <c r="D1931" s="24">
        <v>4258.9448802856796</v>
      </c>
      <c r="E1931" s="6" t="s">
        <v>5889</v>
      </c>
      <c r="F1931" s="6">
        <v>10.5</v>
      </c>
      <c r="G1931" s="8">
        <f t="shared" si="30"/>
        <v>4258.9448802856796</v>
      </c>
    </row>
    <row r="1932" spans="1:7" x14ac:dyDescent="0.3">
      <c r="A1932" s="14" t="str">
        <f>VLOOKUP(B1932,'Relacion codigos'!$A:$B,2,FALSE)</f>
        <v>6033</v>
      </c>
      <c r="B1932" s="6" t="s">
        <v>4634</v>
      </c>
      <c r="C1932" s="6" t="s">
        <v>934</v>
      </c>
      <c r="D1932" s="24">
        <v>4597.4411757799198</v>
      </c>
      <c r="E1932" s="6" t="s">
        <v>5889</v>
      </c>
      <c r="F1932" s="6">
        <v>21</v>
      </c>
      <c r="G1932" s="8">
        <f t="shared" si="30"/>
        <v>4597.4411757799198</v>
      </c>
    </row>
    <row r="1933" spans="1:7" x14ac:dyDescent="0.3">
      <c r="A1933" s="14" t="e">
        <f>VLOOKUP(B1933,'Relacion codigos'!$A:$B,2,FALSE)</f>
        <v>#N/A</v>
      </c>
      <c r="B1933" s="6" t="s">
        <v>12847</v>
      </c>
      <c r="C1933" s="6" t="s">
        <v>12848</v>
      </c>
      <c r="D1933" s="24">
        <v>4862.6758144665</v>
      </c>
      <c r="E1933" s="6" t="s">
        <v>5889</v>
      </c>
      <c r="F1933" s="6">
        <v>21</v>
      </c>
      <c r="G1933" s="8">
        <f t="shared" si="30"/>
        <v>4862.6758144665</v>
      </c>
    </row>
    <row r="1934" spans="1:7" x14ac:dyDescent="0.3">
      <c r="A1934" s="14" t="str">
        <f>VLOOKUP(B1934,'Relacion codigos'!$A:$B,2,FALSE)</f>
        <v>6037</v>
      </c>
      <c r="B1934" s="6" t="s">
        <v>4635</v>
      </c>
      <c r="C1934" s="6" t="s">
        <v>935</v>
      </c>
      <c r="D1934" s="24">
        <v>2539.28486813975</v>
      </c>
      <c r="E1934" s="6" t="s">
        <v>5889</v>
      </c>
      <c r="F1934" s="6">
        <v>21</v>
      </c>
      <c r="G1934" s="8">
        <f t="shared" si="30"/>
        <v>2539.28486813975</v>
      </c>
    </row>
    <row r="1935" spans="1:7" x14ac:dyDescent="0.3">
      <c r="A1935" s="14" t="str">
        <f>VLOOKUP(B1935,'Relacion codigos'!$A:$B,2,FALSE)</f>
        <v>6034</v>
      </c>
      <c r="B1935" s="6" t="s">
        <v>4636</v>
      </c>
      <c r="C1935" s="6" t="s">
        <v>936</v>
      </c>
      <c r="D1935" s="24">
        <v>4414.0839192356398</v>
      </c>
      <c r="E1935" s="6" t="s">
        <v>5889</v>
      </c>
      <c r="F1935" s="6">
        <v>10.5</v>
      </c>
      <c r="G1935" s="8">
        <f t="shared" si="30"/>
        <v>4414.0839192356398</v>
      </c>
    </row>
    <row r="1936" spans="1:7" x14ac:dyDescent="0.3">
      <c r="A1936" s="14" t="str">
        <f>VLOOKUP(B1936,'Relacion codigos'!$A:$B,2,FALSE)</f>
        <v>6038</v>
      </c>
      <c r="B1936" s="6" t="s">
        <v>4637</v>
      </c>
      <c r="C1936" s="6" t="s">
        <v>937</v>
      </c>
      <c r="D1936" s="24">
        <v>3542.4137594429999</v>
      </c>
      <c r="E1936" s="6" t="s">
        <v>5889</v>
      </c>
      <c r="F1936" s="6">
        <v>21</v>
      </c>
      <c r="G1936" s="8">
        <f t="shared" si="30"/>
        <v>3542.4137594429999</v>
      </c>
    </row>
    <row r="1937" spans="1:7" x14ac:dyDescent="0.3">
      <c r="A1937" s="14" t="e">
        <f>VLOOKUP(B1937,'Relacion codigos'!$A:$B,2,FALSE)</f>
        <v>#N/A</v>
      </c>
      <c r="B1937" s="6" t="s">
        <v>12984</v>
      </c>
      <c r="C1937" s="6" t="s">
        <v>12985</v>
      </c>
      <c r="D1937" s="24">
        <v>4281.4979999999996</v>
      </c>
      <c r="E1937" s="6" t="s">
        <v>5889</v>
      </c>
      <c r="F1937" s="6">
        <v>21</v>
      </c>
      <c r="G1937" s="8">
        <f t="shared" si="30"/>
        <v>4281.4979999999996</v>
      </c>
    </row>
    <row r="1938" spans="1:7" x14ac:dyDescent="0.3">
      <c r="A1938" s="14" t="str">
        <f>VLOOKUP(B1938,'Relacion codigos'!$A:$B,2,FALSE)</f>
        <v>2800</v>
      </c>
      <c r="B1938" s="6" t="s">
        <v>4644</v>
      </c>
      <c r="C1938" s="6" t="s">
        <v>938</v>
      </c>
      <c r="D1938" s="24">
        <v>1006.737318288</v>
      </c>
      <c r="E1938" s="6" t="s">
        <v>5889</v>
      </c>
      <c r="F1938" s="6">
        <v>21</v>
      </c>
      <c r="G1938" s="8">
        <f t="shared" si="30"/>
        <v>1006.737318288</v>
      </c>
    </row>
    <row r="1939" spans="1:7" x14ac:dyDescent="0.3">
      <c r="A1939" s="14" t="str">
        <f>VLOOKUP(B1939,'Relacion codigos'!$A:$B,2,FALSE)</f>
        <v>2865</v>
      </c>
      <c r="B1939" s="6" t="s">
        <v>4645</v>
      </c>
      <c r="C1939" s="6" t="s">
        <v>10983</v>
      </c>
      <c r="D1939" s="24">
        <v>1722.971241576</v>
      </c>
      <c r="E1939" s="6" t="s">
        <v>5889</v>
      </c>
      <c r="F1939" s="6">
        <v>21</v>
      </c>
      <c r="G1939" s="8">
        <f t="shared" si="30"/>
        <v>1722.971241576</v>
      </c>
    </row>
    <row r="1940" spans="1:7" x14ac:dyDescent="0.3">
      <c r="A1940" s="14" t="str">
        <f>VLOOKUP(B1940,'Relacion codigos'!$A:$B,2,FALSE)</f>
        <v>5364</v>
      </c>
      <c r="B1940" s="6" t="s">
        <v>5678</v>
      </c>
      <c r="C1940" s="6" t="s">
        <v>13720</v>
      </c>
      <c r="D1940" s="24">
        <v>12.519</v>
      </c>
      <c r="E1940" s="6" t="s">
        <v>5887</v>
      </c>
      <c r="F1940" s="6">
        <v>21</v>
      </c>
      <c r="G1940" s="8">
        <f t="shared" si="30"/>
        <v>19467.045000000002</v>
      </c>
    </row>
    <row r="1941" spans="1:7" x14ac:dyDescent="0.3">
      <c r="A1941" s="14" t="str">
        <f>VLOOKUP(B1941,'Relacion codigos'!$A:$B,2,FALSE)</f>
        <v>5365</v>
      </c>
      <c r="B1941" s="6" t="s">
        <v>5679</v>
      </c>
      <c r="C1941" s="6" t="s">
        <v>11442</v>
      </c>
      <c r="D1941" s="24">
        <v>16.692</v>
      </c>
      <c r="E1941" s="6" t="s">
        <v>5887</v>
      </c>
      <c r="F1941" s="6">
        <v>21</v>
      </c>
      <c r="G1941" s="8">
        <f t="shared" si="30"/>
        <v>25956.06</v>
      </c>
    </row>
    <row r="1942" spans="1:7" x14ac:dyDescent="0.3">
      <c r="A1942" s="14" t="str">
        <f>VLOOKUP(B1942,'Relacion codigos'!$A:$B,2,FALSE)</f>
        <v>583</v>
      </c>
      <c r="B1942" s="6" t="s">
        <v>3530</v>
      </c>
      <c r="C1942" s="6" t="s">
        <v>284</v>
      </c>
      <c r="D1942" s="24">
        <v>15025.582</v>
      </c>
      <c r="E1942" s="6" t="s">
        <v>5889</v>
      </c>
      <c r="F1942" s="6">
        <v>21</v>
      </c>
      <c r="G1942" s="8">
        <f t="shared" si="30"/>
        <v>15025.582</v>
      </c>
    </row>
    <row r="1943" spans="1:7" x14ac:dyDescent="0.3">
      <c r="A1943" s="14" t="str">
        <f>VLOOKUP(B1943,'Relacion codigos'!$A:$B,2,FALSE)</f>
        <v>587</v>
      </c>
      <c r="B1943" s="6" t="s">
        <v>3531</v>
      </c>
      <c r="C1943" s="6" t="s">
        <v>13213</v>
      </c>
      <c r="D1943" s="24">
        <v>25206.311000000002</v>
      </c>
      <c r="E1943" s="6" t="s">
        <v>5889</v>
      </c>
      <c r="F1943" s="6">
        <v>21</v>
      </c>
      <c r="G1943" s="8">
        <f t="shared" si="30"/>
        <v>25206.311000000002</v>
      </c>
    </row>
    <row r="1944" spans="1:7" x14ac:dyDescent="0.3">
      <c r="A1944" s="14" t="str">
        <f>VLOOKUP(B1944,'Relacion codigos'!$A:$B,2,FALSE)</f>
        <v>6310</v>
      </c>
      <c r="B1944" s="6" t="s">
        <v>3535</v>
      </c>
      <c r="C1944" s="6" t="s">
        <v>285</v>
      </c>
      <c r="D1944" s="24">
        <v>117289.12</v>
      </c>
      <c r="E1944" s="6" t="s">
        <v>5889</v>
      </c>
      <c r="F1944" s="6">
        <v>21</v>
      </c>
      <c r="G1944" s="8">
        <f t="shared" si="30"/>
        <v>117289.12</v>
      </c>
    </row>
    <row r="1945" spans="1:7" x14ac:dyDescent="0.3">
      <c r="A1945" s="14" t="e">
        <f>VLOOKUP(B1945,'Relacion codigos'!$A:$B,2,FALSE)</f>
        <v>#N/A</v>
      </c>
      <c r="B1945" s="6" t="s">
        <v>9689</v>
      </c>
      <c r="C1945" s="6" t="s">
        <v>11760</v>
      </c>
      <c r="D1945" s="24">
        <v>23329.423999999999</v>
      </c>
      <c r="E1945" s="6" t="s">
        <v>5889</v>
      </c>
      <c r="F1945" s="6">
        <v>21</v>
      </c>
      <c r="G1945" s="8">
        <f t="shared" si="30"/>
        <v>23329.423999999999</v>
      </c>
    </row>
    <row r="1946" spans="1:7" x14ac:dyDescent="0.3">
      <c r="A1946" s="14" t="e">
        <f>VLOOKUP(B1946,'Relacion codigos'!$A:$B,2,FALSE)</f>
        <v>#N/A</v>
      </c>
      <c r="B1946" s="6" t="s">
        <v>9803</v>
      </c>
      <c r="C1946" s="6" t="s">
        <v>11761</v>
      </c>
      <c r="D1946" s="24">
        <v>19410.570400000001</v>
      </c>
      <c r="E1946" s="6" t="s">
        <v>5889</v>
      </c>
      <c r="F1946" s="6">
        <v>21</v>
      </c>
      <c r="G1946" s="8">
        <f t="shared" si="30"/>
        <v>19410.570400000001</v>
      </c>
    </row>
    <row r="1947" spans="1:7" x14ac:dyDescent="0.3">
      <c r="A1947" s="14" t="e">
        <f>VLOOKUP(B1947,'Relacion codigos'!$A:$B,2,FALSE)</f>
        <v>#N/A</v>
      </c>
      <c r="B1947" s="6" t="s">
        <v>8787</v>
      </c>
      <c r="C1947" s="6" t="s">
        <v>11762</v>
      </c>
      <c r="D1947" s="24">
        <v>38732.116800000003</v>
      </c>
      <c r="E1947" s="6" t="s">
        <v>5889</v>
      </c>
      <c r="F1947" s="6">
        <v>21</v>
      </c>
      <c r="G1947" s="8">
        <f t="shared" si="30"/>
        <v>38732.116800000003</v>
      </c>
    </row>
    <row r="1948" spans="1:7" x14ac:dyDescent="0.3">
      <c r="A1948" s="14" t="e">
        <f>VLOOKUP(B1948,'Relacion codigos'!$A:$B,2,FALSE)</f>
        <v>#N/A</v>
      </c>
      <c r="B1948" s="6" t="s">
        <v>8788</v>
      </c>
      <c r="C1948" s="6" t="s">
        <v>12099</v>
      </c>
      <c r="D1948" s="24">
        <v>43329.0936</v>
      </c>
      <c r="E1948" s="6" t="s">
        <v>5889</v>
      </c>
      <c r="F1948" s="6">
        <v>21</v>
      </c>
      <c r="G1948" s="8">
        <f t="shared" si="30"/>
        <v>43329.0936</v>
      </c>
    </row>
    <row r="1949" spans="1:7" x14ac:dyDescent="0.3">
      <c r="A1949" s="14" t="e">
        <f>VLOOKUP(B1949,'Relacion codigos'!$A:$B,2,FALSE)</f>
        <v>#N/A</v>
      </c>
      <c r="B1949" s="6" t="s">
        <v>8837</v>
      </c>
      <c r="C1949" s="6" t="s">
        <v>8838</v>
      </c>
      <c r="D1949" s="24">
        <v>17197.211200000002</v>
      </c>
      <c r="E1949" s="6" t="s">
        <v>5889</v>
      </c>
      <c r="F1949" s="6">
        <v>21</v>
      </c>
      <c r="G1949" s="8">
        <f t="shared" si="30"/>
        <v>17197.211200000002</v>
      </c>
    </row>
    <row r="1950" spans="1:7" x14ac:dyDescent="0.3">
      <c r="A1950" s="14">
        <f>VLOOKUP(B1950,'Relacion codigos'!$A:$B,2,FALSE)</f>
        <v>8243</v>
      </c>
      <c r="B1950" s="6" t="s">
        <v>5854</v>
      </c>
      <c r="C1950" s="6" t="s">
        <v>11763</v>
      </c>
      <c r="D1950" s="24">
        <v>23185.187999999998</v>
      </c>
      <c r="E1950" s="6" t="s">
        <v>5889</v>
      </c>
      <c r="F1950" s="6">
        <v>21</v>
      </c>
      <c r="G1950" s="8">
        <f t="shared" si="30"/>
        <v>23185.187999999998</v>
      </c>
    </row>
    <row r="1951" spans="1:7" x14ac:dyDescent="0.3">
      <c r="A1951" s="14" t="str">
        <f>VLOOKUP(B1951,'Relacion codigos'!$A:$B,2,FALSE)</f>
        <v>8357</v>
      </c>
      <c r="B1951" s="6" t="s">
        <v>3539</v>
      </c>
      <c r="C1951" s="6" t="s">
        <v>11764</v>
      </c>
      <c r="D1951" s="24">
        <v>31106.098399999999</v>
      </c>
      <c r="E1951" s="6" t="s">
        <v>5889</v>
      </c>
      <c r="F1951" s="6">
        <v>21</v>
      </c>
      <c r="G1951" s="8">
        <f t="shared" si="30"/>
        <v>31106.098399999999</v>
      </c>
    </row>
    <row r="1952" spans="1:7" x14ac:dyDescent="0.3">
      <c r="A1952" s="14" t="str">
        <f>VLOOKUP(B1952,'Relacion codigos'!$A:$B,2,FALSE)</f>
        <v>8338</v>
      </c>
      <c r="B1952" s="6" t="s">
        <v>3537</v>
      </c>
      <c r="C1952" s="6" t="s">
        <v>11765</v>
      </c>
      <c r="D1952" s="24">
        <v>26765.065600000002</v>
      </c>
      <c r="E1952" s="6" t="s">
        <v>5889</v>
      </c>
      <c r="F1952" s="6">
        <v>21</v>
      </c>
      <c r="G1952" s="8">
        <f t="shared" si="30"/>
        <v>26765.065600000002</v>
      </c>
    </row>
    <row r="1953" spans="1:7" x14ac:dyDescent="0.3">
      <c r="A1953" s="14" t="str">
        <f>VLOOKUP(B1953,'Relacion codigos'!$A:$B,2,FALSE)</f>
        <v>541</v>
      </c>
      <c r="B1953" s="6" t="s">
        <v>3521</v>
      </c>
      <c r="C1953" s="6" t="s">
        <v>286</v>
      </c>
      <c r="D1953" s="24">
        <v>26323.840400000001</v>
      </c>
      <c r="E1953" s="6" t="s">
        <v>5889</v>
      </c>
      <c r="F1953" s="6">
        <v>21</v>
      </c>
      <c r="G1953" s="8">
        <f t="shared" si="30"/>
        <v>26323.840400000001</v>
      </c>
    </row>
    <row r="1954" spans="1:7" x14ac:dyDescent="0.3">
      <c r="A1954" s="14" t="str">
        <f>VLOOKUP(B1954,'Relacion codigos'!$A:$B,2,FALSE)</f>
        <v>8807</v>
      </c>
      <c r="B1954" s="6" t="s">
        <v>3522</v>
      </c>
      <c r="C1954" s="6" t="s">
        <v>10057</v>
      </c>
      <c r="D1954" s="24">
        <v>42718.03674489</v>
      </c>
      <c r="E1954" s="6" t="s">
        <v>5889</v>
      </c>
      <c r="F1954" s="6">
        <v>21</v>
      </c>
      <c r="G1954" s="8">
        <f t="shared" si="30"/>
        <v>42718.03674489</v>
      </c>
    </row>
    <row r="1955" spans="1:7" x14ac:dyDescent="0.3">
      <c r="A1955" s="14" t="str">
        <f>VLOOKUP(B1955,'Relacion codigos'!$A:$B,2,FALSE)</f>
        <v>8806</v>
      </c>
      <c r="B1955" s="6" t="s">
        <v>3524</v>
      </c>
      <c r="C1955" s="6" t="s">
        <v>10058</v>
      </c>
      <c r="D1955" s="24">
        <v>39006.816251130003</v>
      </c>
      <c r="E1955" s="6" t="s">
        <v>5889</v>
      </c>
      <c r="F1955" s="6">
        <v>21</v>
      </c>
      <c r="G1955" s="8">
        <f t="shared" si="30"/>
        <v>39006.816251130003</v>
      </c>
    </row>
    <row r="1956" spans="1:7" x14ac:dyDescent="0.3">
      <c r="A1956" s="14" t="e">
        <f>VLOOKUP(B1956,'Relacion codigos'!$A:$B,2,FALSE)</f>
        <v>#N/A</v>
      </c>
      <c r="B1956" s="6" t="s">
        <v>11589</v>
      </c>
      <c r="C1956" s="6" t="s">
        <v>11590</v>
      </c>
      <c r="D1956" s="24">
        <v>60719.932000000001</v>
      </c>
      <c r="E1956" s="6" t="s">
        <v>5889</v>
      </c>
      <c r="F1956" s="6">
        <v>21</v>
      </c>
      <c r="G1956" s="8">
        <f t="shared" si="30"/>
        <v>60719.932000000001</v>
      </c>
    </row>
    <row r="1957" spans="1:7" x14ac:dyDescent="0.3">
      <c r="A1957" s="14" t="str">
        <f>VLOOKUP(B1957,'Relacion codigos'!$A:$B,2,FALSE)</f>
        <v>8760</v>
      </c>
      <c r="B1957" s="6" t="s">
        <v>3541</v>
      </c>
      <c r="C1957" s="6" t="s">
        <v>1173</v>
      </c>
      <c r="D1957" s="24">
        <v>31450.51</v>
      </c>
      <c r="E1957" s="6" t="s">
        <v>5889</v>
      </c>
      <c r="F1957" s="6">
        <v>21</v>
      </c>
      <c r="G1957" s="8">
        <f t="shared" si="30"/>
        <v>31450.51</v>
      </c>
    </row>
    <row r="1958" spans="1:7" x14ac:dyDescent="0.3">
      <c r="A1958" s="14" t="str">
        <f>VLOOKUP(B1958,'Relacion codigos'!$A:$B,2,FALSE)</f>
        <v>8761</v>
      </c>
      <c r="B1958" s="6" t="s">
        <v>3542</v>
      </c>
      <c r="C1958" s="6" t="s">
        <v>1174</v>
      </c>
      <c r="D1958" s="24">
        <v>42425.5</v>
      </c>
      <c r="E1958" s="6" t="s">
        <v>5889</v>
      </c>
      <c r="F1958" s="6">
        <v>21</v>
      </c>
      <c r="G1958" s="8">
        <f t="shared" si="30"/>
        <v>42425.5</v>
      </c>
    </row>
    <row r="1959" spans="1:7" x14ac:dyDescent="0.3">
      <c r="A1959" s="14" t="e">
        <f>VLOOKUP(B1959,'Relacion codigos'!$A:$B,2,FALSE)</f>
        <v>#N/A</v>
      </c>
      <c r="B1959" s="6" t="s">
        <v>11591</v>
      </c>
      <c r="C1959" s="6" t="s">
        <v>11592</v>
      </c>
      <c r="D1959" s="24">
        <v>52158.326999999997</v>
      </c>
      <c r="E1959" s="6" t="s">
        <v>5889</v>
      </c>
      <c r="F1959" s="6">
        <v>21</v>
      </c>
      <c r="G1959" s="8">
        <f t="shared" si="30"/>
        <v>52158.326999999997</v>
      </c>
    </row>
    <row r="1960" spans="1:7" x14ac:dyDescent="0.3">
      <c r="A1960" s="14" t="e">
        <f>VLOOKUP(B1960,'Relacion codigos'!$A:$B,2,FALSE)</f>
        <v>#N/A</v>
      </c>
      <c r="B1960" s="6" t="s">
        <v>12058</v>
      </c>
      <c r="C1960" s="6" t="s">
        <v>12059</v>
      </c>
      <c r="D1960" s="24">
        <v>133.836456</v>
      </c>
      <c r="E1960" s="6" t="s">
        <v>5887</v>
      </c>
      <c r="F1960" s="6">
        <v>21</v>
      </c>
      <c r="G1960" s="8">
        <f t="shared" si="30"/>
        <v>208115.68908000001</v>
      </c>
    </row>
    <row r="1961" spans="1:7" x14ac:dyDescent="0.3">
      <c r="A1961" s="14" t="e">
        <f>VLOOKUP(B1961,'Relacion codigos'!$A:$B,2,FALSE)</f>
        <v>#N/A</v>
      </c>
      <c r="B1961" s="6" t="s">
        <v>13142</v>
      </c>
      <c r="C1961" s="6" t="s">
        <v>13143</v>
      </c>
      <c r="D1961" s="24">
        <v>139.3648464</v>
      </c>
      <c r="E1961" s="6" t="s">
        <v>5887</v>
      </c>
      <c r="F1961" s="6">
        <v>21</v>
      </c>
      <c r="G1961" s="8">
        <f t="shared" si="30"/>
        <v>216712.336152</v>
      </c>
    </row>
    <row r="1962" spans="1:7" x14ac:dyDescent="0.3">
      <c r="A1962" s="14" t="e">
        <f>VLOOKUP(B1962,'Relacion codigos'!$A:$B,2,FALSE)</f>
        <v>#N/A</v>
      </c>
      <c r="B1962" s="6" t="s">
        <v>12972</v>
      </c>
      <c r="C1962" s="6" t="s">
        <v>12973</v>
      </c>
      <c r="D1962" s="24">
        <v>100.83303359999999</v>
      </c>
      <c r="E1962" s="6" t="s">
        <v>5887</v>
      </c>
      <c r="F1962" s="6">
        <v>21</v>
      </c>
      <c r="G1962" s="8">
        <f t="shared" si="30"/>
        <v>156795.367248</v>
      </c>
    </row>
    <row r="1963" spans="1:7" x14ac:dyDescent="0.3">
      <c r="A1963" s="14" t="e">
        <f>VLOOKUP(B1963,'Relacion codigos'!$A:$B,2,FALSE)</f>
        <v>#N/A</v>
      </c>
      <c r="B1963" s="6" t="s">
        <v>11374</v>
      </c>
      <c r="C1963" s="6" t="s">
        <v>11375</v>
      </c>
      <c r="D1963" s="24">
        <v>260951.6</v>
      </c>
      <c r="E1963" s="6" t="s">
        <v>5889</v>
      </c>
      <c r="F1963" s="6">
        <v>21</v>
      </c>
      <c r="G1963" s="8">
        <f t="shared" si="30"/>
        <v>260951.6</v>
      </c>
    </row>
    <row r="1964" spans="1:7" x14ac:dyDescent="0.3">
      <c r="A1964" s="14" t="e">
        <f>VLOOKUP(B1964,'Relacion codigos'!$A:$B,2,FALSE)</f>
        <v>#N/A</v>
      </c>
      <c r="B1964" s="6" t="s">
        <v>13144</v>
      </c>
      <c r="C1964" s="6" t="s">
        <v>13145</v>
      </c>
      <c r="D1964" s="24">
        <v>210541.76</v>
      </c>
      <c r="E1964" s="6" t="s">
        <v>5889</v>
      </c>
      <c r="F1964" s="6">
        <v>21</v>
      </c>
      <c r="G1964" s="8">
        <f t="shared" si="30"/>
        <v>210541.76</v>
      </c>
    </row>
    <row r="1965" spans="1:7" x14ac:dyDescent="0.3">
      <c r="A1965" s="14" t="e">
        <f>VLOOKUP(B1965,'Relacion codigos'!$A:$B,2,FALSE)</f>
        <v>#N/A</v>
      </c>
      <c r="B1965" s="6" t="s">
        <v>13146</v>
      </c>
      <c r="C1965" s="6" t="s">
        <v>13147</v>
      </c>
      <c r="D1965" s="24">
        <v>240364.79999999999</v>
      </c>
      <c r="E1965" s="6" t="s">
        <v>5889</v>
      </c>
      <c r="F1965" s="6">
        <v>21</v>
      </c>
      <c r="G1965" s="8">
        <f t="shared" si="30"/>
        <v>240364.79999999999</v>
      </c>
    </row>
    <row r="1966" spans="1:7" x14ac:dyDescent="0.3">
      <c r="A1966" s="14" t="str">
        <f>VLOOKUP(B1966,'Relacion codigos'!$A:$B,2,FALSE)</f>
        <v>1481</v>
      </c>
      <c r="B1966" s="6" t="s">
        <v>5681</v>
      </c>
      <c r="C1966" s="6" t="s">
        <v>288</v>
      </c>
      <c r="D1966" s="24">
        <v>9.0270335999999993</v>
      </c>
      <c r="E1966" s="6" t="s">
        <v>5887</v>
      </c>
      <c r="F1966" s="6">
        <v>21</v>
      </c>
      <c r="G1966" s="8">
        <f t="shared" si="30"/>
        <v>14037.037247999999</v>
      </c>
    </row>
    <row r="1967" spans="1:7" x14ac:dyDescent="0.3">
      <c r="A1967" s="14" t="str">
        <f>VLOOKUP(B1967,'Relacion codigos'!$A:$B,2,FALSE)</f>
        <v>2783</v>
      </c>
      <c r="B1967" s="6" t="s">
        <v>5682</v>
      </c>
      <c r="C1967" s="6" t="s">
        <v>289</v>
      </c>
      <c r="D1967" s="24">
        <v>8.1265002000000006</v>
      </c>
      <c r="E1967" s="6" t="s">
        <v>5887</v>
      </c>
      <c r="F1967" s="6">
        <v>21</v>
      </c>
      <c r="G1967" s="8">
        <f t="shared" si="30"/>
        <v>12636.707811</v>
      </c>
    </row>
    <row r="1968" spans="1:7" x14ac:dyDescent="0.3">
      <c r="A1968" s="14" t="str">
        <f>VLOOKUP(B1968,'Relacion codigos'!$A:$B,2,FALSE)</f>
        <v>1294</v>
      </c>
      <c r="B1968" s="6" t="s">
        <v>5683</v>
      </c>
      <c r="C1968" s="6" t="s">
        <v>290</v>
      </c>
      <c r="D1968" s="24">
        <v>11.500788</v>
      </c>
      <c r="E1968" s="6" t="s">
        <v>5887</v>
      </c>
      <c r="F1968" s="6">
        <v>21</v>
      </c>
      <c r="G1968" s="8">
        <f t="shared" si="30"/>
        <v>17883.725340000001</v>
      </c>
    </row>
    <row r="1969" spans="1:7" x14ac:dyDescent="0.3">
      <c r="A1969" s="14" t="str">
        <f>VLOOKUP(B1969,'Relacion codigos'!$A:$B,2,FALSE)</f>
        <v>1297</v>
      </c>
      <c r="B1969" s="6" t="s">
        <v>5684</v>
      </c>
      <c r="C1969" s="6" t="s">
        <v>291</v>
      </c>
      <c r="D1969" s="24">
        <v>10.198812</v>
      </c>
      <c r="E1969" s="6" t="s">
        <v>5887</v>
      </c>
      <c r="F1969" s="6">
        <v>21</v>
      </c>
      <c r="G1969" s="8">
        <f t="shared" si="30"/>
        <v>15859.15266</v>
      </c>
    </row>
    <row r="1970" spans="1:7" x14ac:dyDescent="0.3">
      <c r="A1970" s="14" t="str">
        <f>VLOOKUP(B1970,'Relacion codigos'!$A:$B,2,FALSE)</f>
        <v>889</v>
      </c>
      <c r="B1970" s="6" t="s">
        <v>5685</v>
      </c>
      <c r="C1970" s="6" t="s">
        <v>292</v>
      </c>
      <c r="D1970" s="24">
        <v>6.8245241999999999</v>
      </c>
      <c r="E1970" s="6" t="s">
        <v>5887</v>
      </c>
      <c r="F1970" s="6">
        <v>21</v>
      </c>
      <c r="G1970" s="8">
        <f t="shared" si="30"/>
        <v>10612.135130999999</v>
      </c>
    </row>
    <row r="1971" spans="1:7" x14ac:dyDescent="0.3">
      <c r="A1971" s="14" t="str">
        <f>VLOOKUP(B1971,'Relacion codigos'!$A:$B,2,FALSE)</f>
        <v>221</v>
      </c>
      <c r="B1971" s="6" t="s">
        <v>1509</v>
      </c>
      <c r="C1971" s="6" t="s">
        <v>12541</v>
      </c>
      <c r="D1971" s="24">
        <v>1048.4725094999999</v>
      </c>
      <c r="E1971" s="6" t="s">
        <v>5889</v>
      </c>
      <c r="F1971" s="6">
        <v>21</v>
      </c>
      <c r="G1971" s="8">
        <f t="shared" si="30"/>
        <v>1048.4725094999999</v>
      </c>
    </row>
    <row r="1972" spans="1:7" x14ac:dyDescent="0.3">
      <c r="A1972" s="14" t="str">
        <f>VLOOKUP(B1972,'Relacion codigos'!$A:$B,2,FALSE)</f>
        <v>620</v>
      </c>
      <c r="B1972" s="6" t="s">
        <v>1510</v>
      </c>
      <c r="C1972" s="6" t="s">
        <v>293</v>
      </c>
      <c r="D1972" s="24">
        <v>1795.729466232</v>
      </c>
      <c r="E1972" s="6" t="s">
        <v>5889</v>
      </c>
      <c r="F1972" s="6">
        <v>21</v>
      </c>
      <c r="G1972" s="8">
        <f t="shared" si="30"/>
        <v>1795.729466232</v>
      </c>
    </row>
    <row r="1973" spans="1:7" x14ac:dyDescent="0.3">
      <c r="A1973" s="14" t="str">
        <f>VLOOKUP(B1973,'Relacion codigos'!$A:$B,2,FALSE)</f>
        <v>222</v>
      </c>
      <c r="B1973" s="6" t="s">
        <v>1511</v>
      </c>
      <c r="C1973" s="6" t="s">
        <v>13513</v>
      </c>
      <c r="D1973" s="24">
        <v>1080.0057839999999</v>
      </c>
      <c r="E1973" s="6" t="s">
        <v>5889</v>
      </c>
      <c r="F1973" s="6">
        <v>21</v>
      </c>
      <c r="G1973" s="8">
        <f t="shared" si="30"/>
        <v>1080.0057839999999</v>
      </c>
    </row>
    <row r="1974" spans="1:7" x14ac:dyDescent="0.3">
      <c r="A1974" s="14" t="str">
        <f>VLOOKUP(B1974,'Relacion codigos'!$A:$B,2,FALSE)</f>
        <v>613</v>
      </c>
      <c r="B1974" s="6" t="s">
        <v>1512</v>
      </c>
      <c r="C1974" s="6" t="s">
        <v>294</v>
      </c>
      <c r="D1974" s="24">
        <v>2077.0554327119999</v>
      </c>
      <c r="E1974" s="6" t="s">
        <v>5889</v>
      </c>
      <c r="F1974" s="6">
        <v>21</v>
      </c>
      <c r="G1974" s="8">
        <f t="shared" si="30"/>
        <v>2077.0554327119999</v>
      </c>
    </row>
    <row r="1975" spans="1:7" x14ac:dyDescent="0.3">
      <c r="A1975" s="14" t="str">
        <f>VLOOKUP(B1975,'Relacion codigos'!$A:$B,2,FALSE)</f>
        <v>1235</v>
      </c>
      <c r="B1975" s="6" t="s">
        <v>1513</v>
      </c>
      <c r="C1975" s="6" t="s">
        <v>12543</v>
      </c>
      <c r="D1975" s="24">
        <v>1048.46732180709</v>
      </c>
      <c r="E1975" s="6" t="s">
        <v>5889</v>
      </c>
      <c r="F1975" s="6">
        <v>21</v>
      </c>
      <c r="G1975" s="8">
        <f t="shared" si="30"/>
        <v>1048.46732180709</v>
      </c>
    </row>
    <row r="1976" spans="1:7" x14ac:dyDescent="0.3">
      <c r="A1976" s="14" t="e">
        <f>VLOOKUP(B1976,'Relacion codigos'!$A:$B,2,FALSE)</f>
        <v>#N/A</v>
      </c>
      <c r="B1976" s="6" t="s">
        <v>12544</v>
      </c>
      <c r="C1976" s="6" t="s">
        <v>12545</v>
      </c>
      <c r="D1976" s="24">
        <v>1080.0057839999999</v>
      </c>
      <c r="E1976" s="6" t="s">
        <v>5889</v>
      </c>
      <c r="F1976" s="6">
        <v>21</v>
      </c>
      <c r="G1976" s="8">
        <f t="shared" si="30"/>
        <v>1080.0057839999999</v>
      </c>
    </row>
    <row r="1977" spans="1:7" x14ac:dyDescent="0.3">
      <c r="A1977" s="14" t="str">
        <f>VLOOKUP(B1977,'Relacion codigos'!$A:$B,2,FALSE)</f>
        <v>1335</v>
      </c>
      <c r="B1977" s="6" t="s">
        <v>1526</v>
      </c>
      <c r="C1977" s="6" t="s">
        <v>295</v>
      </c>
      <c r="D1977" s="24">
        <v>467.17317550799999</v>
      </c>
      <c r="E1977" s="6" t="s">
        <v>5889</v>
      </c>
      <c r="F1977" s="6">
        <v>21</v>
      </c>
      <c r="G1977" s="8">
        <f t="shared" si="30"/>
        <v>467.17317550799999</v>
      </c>
    </row>
    <row r="1978" spans="1:7" x14ac:dyDescent="0.3">
      <c r="A1978" s="14" t="e">
        <f>VLOOKUP(B1978,'Relacion codigos'!$A:$B,2,FALSE)</f>
        <v>#N/A</v>
      </c>
      <c r="B1978" s="6" t="s">
        <v>12626</v>
      </c>
      <c r="C1978" s="6" t="s">
        <v>12627</v>
      </c>
      <c r="D1978" s="24">
        <v>14474.8177756</v>
      </c>
      <c r="E1978" s="6" t="s">
        <v>5889</v>
      </c>
      <c r="F1978" s="6">
        <v>21</v>
      </c>
      <c r="G1978" s="8">
        <f t="shared" si="30"/>
        <v>14474.8177756</v>
      </c>
    </row>
    <row r="1979" spans="1:7" x14ac:dyDescent="0.3">
      <c r="A1979" s="14" t="str">
        <f>VLOOKUP(B1979,'Relacion codigos'!$A:$B,2,FALSE)</f>
        <v>220</v>
      </c>
      <c r="B1979" s="6" t="s">
        <v>1473</v>
      </c>
      <c r="C1979" s="6" t="s">
        <v>296</v>
      </c>
      <c r="D1979" s="24">
        <v>184.75060305</v>
      </c>
      <c r="E1979" s="6" t="s">
        <v>5889</v>
      </c>
      <c r="F1979" s="6">
        <v>21</v>
      </c>
      <c r="G1979" s="8">
        <f t="shared" si="30"/>
        <v>184.75060305</v>
      </c>
    </row>
    <row r="1980" spans="1:7" x14ac:dyDescent="0.3">
      <c r="A1980" s="14" t="str">
        <f>VLOOKUP(B1980,'Relacion codigos'!$A:$B,2,FALSE)</f>
        <v>797</v>
      </c>
      <c r="B1980" s="6" t="s">
        <v>1474</v>
      </c>
      <c r="C1980" s="6" t="s">
        <v>297</v>
      </c>
      <c r="D1980" s="24">
        <v>1048.9670100000001</v>
      </c>
      <c r="E1980" s="6" t="s">
        <v>5889</v>
      </c>
      <c r="F1980" s="6">
        <v>21</v>
      </c>
      <c r="G1980" s="8">
        <f t="shared" si="30"/>
        <v>1048.9670100000001</v>
      </c>
    </row>
    <row r="1981" spans="1:7" x14ac:dyDescent="0.3">
      <c r="A1981" s="14" t="str">
        <f>VLOOKUP(B1981,'Relacion codigos'!$A:$B,2,FALSE)</f>
        <v>2207</v>
      </c>
      <c r="B1981" s="6" t="s">
        <v>1475</v>
      </c>
      <c r="C1981" s="6" t="s">
        <v>298</v>
      </c>
      <c r="D1981" s="24">
        <v>13.036452000000001</v>
      </c>
      <c r="E1981" s="6" t="s">
        <v>5889</v>
      </c>
      <c r="F1981" s="6">
        <v>21</v>
      </c>
      <c r="G1981" s="8">
        <f t="shared" si="30"/>
        <v>13.036452000000001</v>
      </c>
    </row>
    <row r="1982" spans="1:7" x14ac:dyDescent="0.3">
      <c r="A1982" s="14" t="e">
        <f>VLOOKUP(B1982,'Relacion codigos'!$A:$B,2,FALSE)</f>
        <v>#N/A</v>
      </c>
      <c r="B1982" s="6" t="s">
        <v>8840</v>
      </c>
      <c r="C1982" s="6" t="s">
        <v>9147</v>
      </c>
      <c r="D1982" s="24">
        <v>1062.577945</v>
      </c>
      <c r="E1982" s="6" t="s">
        <v>5889</v>
      </c>
      <c r="F1982" s="6">
        <v>21</v>
      </c>
      <c r="G1982" s="8">
        <f t="shared" si="30"/>
        <v>1062.577945</v>
      </c>
    </row>
    <row r="1983" spans="1:7" x14ac:dyDescent="0.3">
      <c r="A1983" s="14" t="e">
        <f>VLOOKUP(B1983,'Relacion codigos'!$A:$B,2,FALSE)</f>
        <v>#N/A</v>
      </c>
      <c r="B1983" s="6" t="s">
        <v>8842</v>
      </c>
      <c r="C1983" s="6" t="s">
        <v>9148</v>
      </c>
      <c r="D1983" s="24">
        <v>1062.577945</v>
      </c>
      <c r="E1983" s="6" t="s">
        <v>5889</v>
      </c>
      <c r="F1983" s="6">
        <v>21</v>
      </c>
      <c r="G1983" s="8">
        <f t="shared" si="30"/>
        <v>1062.577945</v>
      </c>
    </row>
    <row r="1984" spans="1:7" x14ac:dyDescent="0.3">
      <c r="A1984" s="14" t="str">
        <f>VLOOKUP(B1984,'Relacion codigos'!$A:$B,2,FALSE)</f>
        <v>6276</v>
      </c>
      <c r="B1984" s="6" t="s">
        <v>1476</v>
      </c>
      <c r="C1984" s="6" t="s">
        <v>9329</v>
      </c>
      <c r="D1984" s="24">
        <v>1553.6646528000001</v>
      </c>
      <c r="E1984" s="6" t="s">
        <v>5889</v>
      </c>
      <c r="F1984" s="6">
        <v>21</v>
      </c>
      <c r="G1984" s="8">
        <f t="shared" si="30"/>
        <v>1553.6646528000001</v>
      </c>
    </row>
    <row r="1985" spans="1:7" x14ac:dyDescent="0.3">
      <c r="A1985" s="14" t="str">
        <f>VLOOKUP(B1985,'Relacion codigos'!$A:$B,2,FALSE)</f>
        <v>6275</v>
      </c>
      <c r="B1985" s="6" t="s">
        <v>1477</v>
      </c>
      <c r="C1985" s="6" t="s">
        <v>9330</v>
      </c>
      <c r="D1985" s="24">
        <v>1942.0808159999999</v>
      </c>
      <c r="E1985" s="6" t="s">
        <v>5889</v>
      </c>
      <c r="F1985" s="6">
        <v>21</v>
      </c>
      <c r="G1985" s="8">
        <f t="shared" si="30"/>
        <v>1942.0808159999999</v>
      </c>
    </row>
    <row r="1986" spans="1:7" x14ac:dyDescent="0.3">
      <c r="A1986" s="14" t="e">
        <f>VLOOKUP(B1986,'Relacion codigos'!$A:$B,2,FALSE)</f>
        <v>#N/A</v>
      </c>
      <c r="B1986" s="6" t="s">
        <v>11982</v>
      </c>
      <c r="C1986" s="6" t="s">
        <v>11983</v>
      </c>
      <c r="D1986" s="24">
        <v>1519.515357984</v>
      </c>
      <c r="E1986" s="6" t="s">
        <v>5889</v>
      </c>
      <c r="F1986" s="6">
        <v>21</v>
      </c>
      <c r="G1986" s="8">
        <f t="shared" ref="G1986:G2049" si="31">IF(E1986="Dolares",D1986*$G$1,D1986)</f>
        <v>1519.515357984</v>
      </c>
    </row>
    <row r="1987" spans="1:7" x14ac:dyDescent="0.3">
      <c r="A1987" s="14" t="str">
        <f>VLOOKUP(B1987,'Relacion codigos'!$A:$B,2,FALSE)</f>
        <v>237</v>
      </c>
      <c r="B1987" s="6" t="s">
        <v>1478</v>
      </c>
      <c r="C1987" s="6" t="s">
        <v>299</v>
      </c>
      <c r="D1987" s="24">
        <v>4769.2497975407996</v>
      </c>
      <c r="E1987" s="6" t="s">
        <v>5889</v>
      </c>
      <c r="F1987" s="6">
        <v>21</v>
      </c>
      <c r="G1987" s="8">
        <f t="shared" si="31"/>
        <v>4769.2497975407996</v>
      </c>
    </row>
    <row r="1988" spans="1:7" x14ac:dyDescent="0.3">
      <c r="A1988" s="14" t="str">
        <f>VLOOKUP(B1988,'Relacion codigos'!$A:$B,2,FALSE)</f>
        <v>636</v>
      </c>
      <c r="B1988" s="6" t="s">
        <v>1479</v>
      </c>
      <c r="C1988" s="6" t="s">
        <v>300</v>
      </c>
      <c r="D1988" s="24">
        <v>1492.5395225</v>
      </c>
      <c r="E1988" s="6" t="s">
        <v>5889</v>
      </c>
      <c r="F1988" s="6">
        <v>21</v>
      </c>
      <c r="G1988" s="8">
        <f t="shared" si="31"/>
        <v>1492.5395225</v>
      </c>
    </row>
    <row r="1989" spans="1:7" x14ac:dyDescent="0.3">
      <c r="A1989" s="14" t="str">
        <f>VLOOKUP(B1989,'Relacion codigos'!$A:$B,2,FALSE)</f>
        <v>120</v>
      </c>
      <c r="B1989" s="6" t="s">
        <v>1480</v>
      </c>
      <c r="C1989" s="6" t="s">
        <v>10654</v>
      </c>
      <c r="D1989" s="24">
        <v>1513.1005889999999</v>
      </c>
      <c r="E1989" s="6" t="s">
        <v>5889</v>
      </c>
      <c r="F1989" s="6">
        <v>21</v>
      </c>
      <c r="G1989" s="8">
        <f t="shared" si="31"/>
        <v>1513.1005889999999</v>
      </c>
    </row>
    <row r="1990" spans="1:7" x14ac:dyDescent="0.3">
      <c r="A1990" s="14" t="str">
        <f>VLOOKUP(B1990,'Relacion codigos'!$A:$B,2,FALSE)</f>
        <v>869</v>
      </c>
      <c r="B1990" s="6" t="s">
        <v>1527</v>
      </c>
      <c r="C1990" s="6" t="s">
        <v>301</v>
      </c>
      <c r="D1990" s="24">
        <v>564.12401435000004</v>
      </c>
      <c r="E1990" s="6" t="s">
        <v>5889</v>
      </c>
      <c r="F1990" s="6">
        <v>21</v>
      </c>
      <c r="G1990" s="8">
        <f t="shared" si="31"/>
        <v>564.12401435000004</v>
      </c>
    </row>
    <row r="1991" spans="1:7" x14ac:dyDescent="0.3">
      <c r="A1991" s="14" t="e">
        <f>VLOOKUP(B1991,'Relacion codigos'!$A:$B,2,FALSE)</f>
        <v>#N/A</v>
      </c>
      <c r="B1991" s="6" t="s">
        <v>8839</v>
      </c>
      <c r="C1991" s="6" t="s">
        <v>9518</v>
      </c>
      <c r="D1991" s="24">
        <v>830.74275700000203</v>
      </c>
      <c r="E1991" s="6" t="s">
        <v>5889</v>
      </c>
      <c r="F1991" s="6">
        <v>21</v>
      </c>
      <c r="G1991" s="8">
        <f t="shared" si="31"/>
        <v>830.74275700000203</v>
      </c>
    </row>
    <row r="1992" spans="1:7" x14ac:dyDescent="0.3">
      <c r="A1992" s="14" t="e">
        <f>VLOOKUP(B1992,'Relacion codigos'!$A:$B,2,FALSE)</f>
        <v>#N/A</v>
      </c>
      <c r="B1992" s="6" t="s">
        <v>8841</v>
      </c>
      <c r="C1992" s="6" t="s">
        <v>9519</v>
      </c>
      <c r="D1992" s="24">
        <v>830.74275700000203</v>
      </c>
      <c r="E1992" s="6" t="s">
        <v>5889</v>
      </c>
      <c r="F1992" s="6">
        <v>21</v>
      </c>
      <c r="G1992" s="8">
        <f t="shared" si="31"/>
        <v>830.74275700000203</v>
      </c>
    </row>
    <row r="1993" spans="1:7" x14ac:dyDescent="0.3">
      <c r="A1993" s="14" t="str">
        <f>VLOOKUP(B1993,'Relacion codigos'!$A:$B,2,FALSE)</f>
        <v>5486</v>
      </c>
      <c r="B1993" s="6" t="s">
        <v>1481</v>
      </c>
      <c r="C1993" s="6" t="s">
        <v>302</v>
      </c>
      <c r="D1993" s="24">
        <v>1319.5288668650401</v>
      </c>
      <c r="E1993" s="6" t="s">
        <v>5889</v>
      </c>
      <c r="F1993" s="6">
        <v>21</v>
      </c>
      <c r="G1993" s="8">
        <f t="shared" si="31"/>
        <v>1319.5288668650401</v>
      </c>
    </row>
    <row r="1994" spans="1:7" x14ac:dyDescent="0.3">
      <c r="A1994" s="14" t="str">
        <f>VLOOKUP(B1994,'Relacion codigos'!$A:$B,2,FALSE)</f>
        <v>9240</v>
      </c>
      <c r="B1994" s="6" t="s">
        <v>1482</v>
      </c>
      <c r="C1994" s="6" t="s">
        <v>1251</v>
      </c>
      <c r="D1994" s="24">
        <v>90.314152500000006</v>
      </c>
      <c r="E1994" s="6" t="s">
        <v>5889</v>
      </c>
      <c r="F1994" s="6">
        <v>21</v>
      </c>
      <c r="G1994" s="8">
        <f t="shared" si="31"/>
        <v>90.314152500000006</v>
      </c>
    </row>
    <row r="1995" spans="1:7" x14ac:dyDescent="0.3">
      <c r="A1995" s="14" t="e">
        <f>VLOOKUP(B1995,'Relacion codigos'!$A:$B,2,FALSE)</f>
        <v>#N/A</v>
      </c>
      <c r="B1995" s="6" t="s">
        <v>10875</v>
      </c>
      <c r="C1995" s="6" t="s">
        <v>11455</v>
      </c>
      <c r="D1995" s="24">
        <v>1569.98236641481</v>
      </c>
      <c r="E1995" s="6" t="s">
        <v>5889</v>
      </c>
      <c r="F1995" s="6">
        <v>21</v>
      </c>
      <c r="G1995" s="8">
        <f t="shared" si="31"/>
        <v>1569.98236641481</v>
      </c>
    </row>
    <row r="1996" spans="1:7" x14ac:dyDescent="0.3">
      <c r="A1996" s="14" t="str">
        <f>VLOOKUP(B1996,'Relacion codigos'!$A:$B,2,FALSE)</f>
        <v>6542</v>
      </c>
      <c r="B1996" s="6" t="s">
        <v>1518</v>
      </c>
      <c r="C1996" s="6" t="s">
        <v>10781</v>
      </c>
      <c r="D1996" s="24">
        <v>1340.924</v>
      </c>
      <c r="E1996" s="6" t="s">
        <v>5889</v>
      </c>
      <c r="F1996" s="6">
        <v>21</v>
      </c>
      <c r="G1996" s="8">
        <f t="shared" si="31"/>
        <v>1340.924</v>
      </c>
    </row>
    <row r="1997" spans="1:7" x14ac:dyDescent="0.3">
      <c r="A1997" s="14" t="e">
        <f>VLOOKUP(B1997,'Relacion codigos'!$A:$B,2,FALSE)</f>
        <v>#N/A</v>
      </c>
      <c r="B1997" s="6" t="s">
        <v>9435</v>
      </c>
      <c r="C1997" s="6" t="s">
        <v>10573</v>
      </c>
      <c r="D1997" s="24">
        <v>1340.924</v>
      </c>
      <c r="E1997" s="6" t="s">
        <v>5889</v>
      </c>
      <c r="F1997" s="6">
        <v>21</v>
      </c>
      <c r="G1997" s="8">
        <f t="shared" si="31"/>
        <v>1340.924</v>
      </c>
    </row>
    <row r="1998" spans="1:7" x14ac:dyDescent="0.3">
      <c r="A1998" s="14" t="str">
        <f>VLOOKUP(B1998,'Relacion codigos'!$A:$B,2,FALSE)</f>
        <v>5487</v>
      </c>
      <c r="B1998" s="6" t="s">
        <v>1483</v>
      </c>
      <c r="C1998" s="6" t="s">
        <v>303</v>
      </c>
      <c r="D1998" s="24">
        <v>1319.5288668650401</v>
      </c>
      <c r="E1998" s="6" t="s">
        <v>5889</v>
      </c>
      <c r="F1998" s="6">
        <v>21</v>
      </c>
      <c r="G1998" s="8">
        <f t="shared" si="31"/>
        <v>1319.5288668650401</v>
      </c>
    </row>
    <row r="1999" spans="1:7" x14ac:dyDescent="0.3">
      <c r="A1999" s="14" t="str">
        <f>VLOOKUP(B1999,'Relacion codigos'!$A:$B,2,FALSE)</f>
        <v>3852</v>
      </c>
      <c r="B1999" s="6" t="s">
        <v>1486</v>
      </c>
      <c r="C1999" s="6" t="s">
        <v>9520</v>
      </c>
      <c r="D1999" s="24">
        <v>772.78395999999896</v>
      </c>
      <c r="E1999" s="6" t="s">
        <v>5889</v>
      </c>
      <c r="F1999" s="6">
        <v>21</v>
      </c>
      <c r="G1999" s="8">
        <f t="shared" si="31"/>
        <v>772.78395999999896</v>
      </c>
    </row>
    <row r="2000" spans="1:7" x14ac:dyDescent="0.3">
      <c r="A2000" s="14" t="str">
        <f>VLOOKUP(B2000,'Relacion codigos'!$A:$B,2,FALSE)</f>
        <v>3853</v>
      </c>
      <c r="B2000" s="6" t="s">
        <v>1488</v>
      </c>
      <c r="C2000" s="6" t="s">
        <v>9521</v>
      </c>
      <c r="D2000" s="24">
        <v>772.78395999999896</v>
      </c>
      <c r="E2000" s="6" t="s">
        <v>5889</v>
      </c>
      <c r="F2000" s="6">
        <v>21</v>
      </c>
      <c r="G2000" s="8">
        <f t="shared" si="31"/>
        <v>772.78395999999896</v>
      </c>
    </row>
    <row r="2001" spans="1:7" x14ac:dyDescent="0.3">
      <c r="A2001" s="14" t="str">
        <f>VLOOKUP(B2001,'Relacion codigos'!$A:$B,2,FALSE)</f>
        <v>1331</v>
      </c>
      <c r="B2001" s="6" t="s">
        <v>1484</v>
      </c>
      <c r="C2001" s="6" t="s">
        <v>304</v>
      </c>
      <c r="D2001" s="24">
        <v>44.128084000000001</v>
      </c>
      <c r="E2001" s="6" t="s">
        <v>5889</v>
      </c>
      <c r="F2001" s="6">
        <v>21</v>
      </c>
      <c r="G2001" s="8">
        <f t="shared" si="31"/>
        <v>44.128084000000001</v>
      </c>
    </row>
    <row r="2002" spans="1:7" x14ac:dyDescent="0.3">
      <c r="A2002" s="14" t="str">
        <f>VLOOKUP(B2002,'Relacion codigos'!$A:$B,2,FALSE)</f>
        <v>625</v>
      </c>
      <c r="B2002" s="6" t="s">
        <v>1485</v>
      </c>
      <c r="C2002" s="6" t="s">
        <v>305</v>
      </c>
      <c r="D2002" s="24">
        <v>346.44485488803798</v>
      </c>
      <c r="E2002" s="6" t="s">
        <v>5889</v>
      </c>
      <c r="F2002" s="6">
        <v>21</v>
      </c>
      <c r="G2002" s="8">
        <f t="shared" si="31"/>
        <v>346.44485488803798</v>
      </c>
    </row>
    <row r="2003" spans="1:7" x14ac:dyDescent="0.3">
      <c r="A2003" s="14" t="str">
        <f>VLOOKUP(B2003,'Relacion codigos'!$A:$B,2,FALSE)</f>
        <v>5494</v>
      </c>
      <c r="B2003" s="6" t="s">
        <v>1468</v>
      </c>
      <c r="C2003" s="6" t="s">
        <v>10850</v>
      </c>
      <c r="D2003" s="24">
        <v>957.82868333988495</v>
      </c>
      <c r="E2003" s="6" t="s">
        <v>5889</v>
      </c>
      <c r="F2003" s="6">
        <v>21</v>
      </c>
      <c r="G2003" s="8">
        <f t="shared" si="31"/>
        <v>957.82868333988495</v>
      </c>
    </row>
    <row r="2004" spans="1:7" x14ac:dyDescent="0.3">
      <c r="A2004" s="14" t="str">
        <f>VLOOKUP(B2004,'Relacion codigos'!$A:$B,2,FALSE)</f>
        <v>5495</v>
      </c>
      <c r="B2004" s="6" t="s">
        <v>1470</v>
      </c>
      <c r="C2004" s="6" t="s">
        <v>10851</v>
      </c>
      <c r="D2004" s="24">
        <v>1432.7075263363199</v>
      </c>
      <c r="E2004" s="6" t="s">
        <v>5889</v>
      </c>
      <c r="F2004" s="6">
        <v>21</v>
      </c>
      <c r="G2004" s="8">
        <f t="shared" si="31"/>
        <v>1432.7075263363199</v>
      </c>
    </row>
    <row r="2005" spans="1:7" x14ac:dyDescent="0.3">
      <c r="A2005" s="14" t="e">
        <f>VLOOKUP(B2005,'Relacion codigos'!$A:$B,2,FALSE)</f>
        <v>#N/A</v>
      </c>
      <c r="B2005" s="6" t="s">
        <v>9057</v>
      </c>
      <c r="C2005" s="6" t="s">
        <v>9058</v>
      </c>
      <c r="D2005" s="24">
        <v>768.66660000000002</v>
      </c>
      <c r="E2005" s="6" t="s">
        <v>5889</v>
      </c>
      <c r="F2005" s="6">
        <v>21</v>
      </c>
      <c r="G2005" s="8">
        <f t="shared" si="31"/>
        <v>768.66660000000002</v>
      </c>
    </row>
    <row r="2006" spans="1:7" x14ac:dyDescent="0.3">
      <c r="A2006" s="14" t="str">
        <f>VLOOKUP(B2006,'Relacion codigos'!$A:$B,2,FALSE)</f>
        <v>3160</v>
      </c>
      <c r="B2006" s="6" t="s">
        <v>1487</v>
      </c>
      <c r="C2006" s="6" t="s">
        <v>306</v>
      </c>
      <c r="D2006" s="24">
        <v>1064.115</v>
      </c>
      <c r="E2006" s="6" t="s">
        <v>5889</v>
      </c>
      <c r="F2006" s="6">
        <v>21</v>
      </c>
      <c r="G2006" s="8">
        <f t="shared" si="31"/>
        <v>1064.115</v>
      </c>
    </row>
    <row r="2007" spans="1:7" x14ac:dyDescent="0.3">
      <c r="A2007" s="14" t="str">
        <f>VLOOKUP(B2007,'Relacion codigos'!$A:$B,2,FALSE)</f>
        <v>6615</v>
      </c>
      <c r="B2007" s="6" t="s">
        <v>5734</v>
      </c>
      <c r="C2007" s="6" t="s">
        <v>1252</v>
      </c>
      <c r="D2007" s="24">
        <v>1.5301</v>
      </c>
      <c r="E2007" s="6" t="s">
        <v>5889</v>
      </c>
      <c r="F2007" s="6">
        <v>21</v>
      </c>
      <c r="G2007" s="8">
        <f t="shared" si="31"/>
        <v>1.5301</v>
      </c>
    </row>
    <row r="2008" spans="1:7" x14ac:dyDescent="0.3">
      <c r="A2008" s="14" t="str">
        <f>VLOOKUP(B2008,'Relacion codigos'!$A:$B,2,FALSE)</f>
        <v>6614</v>
      </c>
      <c r="B2008" s="6" t="s">
        <v>5735</v>
      </c>
      <c r="C2008" s="6" t="s">
        <v>1253</v>
      </c>
      <c r="D2008" s="24">
        <v>1.5301</v>
      </c>
      <c r="E2008" s="6" t="s">
        <v>5889</v>
      </c>
      <c r="F2008" s="6">
        <v>21</v>
      </c>
      <c r="G2008" s="8">
        <f t="shared" si="31"/>
        <v>1.5301</v>
      </c>
    </row>
    <row r="2009" spans="1:7" x14ac:dyDescent="0.3">
      <c r="A2009" s="14" t="str">
        <f>VLOOKUP(B2009,'Relacion codigos'!$A:$B,2,FALSE)</f>
        <v>228</v>
      </c>
      <c r="B2009" s="6" t="s">
        <v>5736</v>
      </c>
      <c r="C2009" s="6" t="s">
        <v>307</v>
      </c>
      <c r="D2009" s="24">
        <v>6174.3778657235998</v>
      </c>
      <c r="E2009" s="6" t="s">
        <v>5889</v>
      </c>
      <c r="F2009" s="6">
        <v>21</v>
      </c>
      <c r="G2009" s="8">
        <f t="shared" si="31"/>
        <v>6174.3778657235998</v>
      </c>
    </row>
    <row r="2010" spans="1:7" x14ac:dyDescent="0.3">
      <c r="A2010" s="14" t="str">
        <f>VLOOKUP(B2010,'Relacion codigos'!$A:$B,2,FALSE)</f>
        <v>2130</v>
      </c>
      <c r="B2010" s="6" t="s">
        <v>5737</v>
      </c>
      <c r="C2010" s="6" t="s">
        <v>10655</v>
      </c>
      <c r="D2010" s="24">
        <v>4733.4589379999998</v>
      </c>
      <c r="E2010" s="6" t="s">
        <v>5889</v>
      </c>
      <c r="F2010" s="6">
        <v>21</v>
      </c>
      <c r="G2010" s="8">
        <f t="shared" si="31"/>
        <v>4733.4589379999998</v>
      </c>
    </row>
    <row r="2011" spans="1:7" x14ac:dyDescent="0.3">
      <c r="A2011" s="14" t="str">
        <f>VLOOKUP(B2011,'Relacion codigos'!$A:$B,2,FALSE)</f>
        <v>2129</v>
      </c>
      <c r="B2011" s="6" t="s">
        <v>5738</v>
      </c>
      <c r="C2011" s="6" t="s">
        <v>10656</v>
      </c>
      <c r="D2011" s="24">
        <v>4262.7195000000002</v>
      </c>
      <c r="E2011" s="6" t="s">
        <v>5889</v>
      </c>
      <c r="F2011" s="6">
        <v>21</v>
      </c>
      <c r="G2011" s="8">
        <f t="shared" si="31"/>
        <v>4262.7195000000002</v>
      </c>
    </row>
    <row r="2012" spans="1:7" x14ac:dyDescent="0.3">
      <c r="A2012" s="14" t="str">
        <f>VLOOKUP(B2012,'Relacion codigos'!$A:$B,2,FALSE)</f>
        <v>1384</v>
      </c>
      <c r="B2012" s="6" t="s">
        <v>5739</v>
      </c>
      <c r="C2012" s="6" t="s">
        <v>308</v>
      </c>
      <c r="D2012" s="24">
        <v>78.432925999999995</v>
      </c>
      <c r="E2012" s="6" t="s">
        <v>5889</v>
      </c>
      <c r="F2012" s="6">
        <v>21</v>
      </c>
      <c r="G2012" s="8">
        <f t="shared" si="31"/>
        <v>78.432925999999995</v>
      </c>
    </row>
    <row r="2013" spans="1:7" x14ac:dyDescent="0.3">
      <c r="A2013" s="14" t="str">
        <f>VLOOKUP(B2013,'Relacion codigos'!$A:$B,2,FALSE)</f>
        <v>1383</v>
      </c>
      <c r="B2013" s="6" t="s">
        <v>5740</v>
      </c>
      <c r="C2013" s="6" t="s">
        <v>309</v>
      </c>
      <c r="D2013" s="24">
        <v>57.853081000000003</v>
      </c>
      <c r="E2013" s="6" t="s">
        <v>5889</v>
      </c>
      <c r="F2013" s="6">
        <v>21</v>
      </c>
      <c r="G2013" s="8">
        <f t="shared" si="31"/>
        <v>57.853081000000003</v>
      </c>
    </row>
    <row r="2014" spans="1:7" x14ac:dyDescent="0.3">
      <c r="A2014" s="14" t="str">
        <f>VLOOKUP(B2014,'Relacion codigos'!$A:$B,2,FALSE)</f>
        <v>227</v>
      </c>
      <c r="B2014" s="6" t="s">
        <v>5741</v>
      </c>
      <c r="C2014" s="6" t="s">
        <v>310</v>
      </c>
      <c r="D2014" s="24">
        <v>5336.0808481187996</v>
      </c>
      <c r="E2014" s="6" t="s">
        <v>5889</v>
      </c>
      <c r="F2014" s="6">
        <v>21</v>
      </c>
      <c r="G2014" s="8">
        <f t="shared" si="31"/>
        <v>5336.0808481187996</v>
      </c>
    </row>
    <row r="2015" spans="1:7" x14ac:dyDescent="0.3">
      <c r="A2015" s="14" t="str">
        <f>VLOOKUP(B2015,'Relacion codigos'!$A:$B,2,FALSE)</f>
        <v>6619</v>
      </c>
      <c r="B2015" s="6" t="s">
        <v>5742</v>
      </c>
      <c r="C2015" s="6" t="s">
        <v>1254</v>
      </c>
      <c r="D2015" s="24">
        <v>1.5301</v>
      </c>
      <c r="E2015" s="6" t="s">
        <v>5889</v>
      </c>
      <c r="F2015" s="6">
        <v>21</v>
      </c>
      <c r="G2015" s="8">
        <f t="shared" si="31"/>
        <v>1.5301</v>
      </c>
    </row>
    <row r="2016" spans="1:7" x14ac:dyDescent="0.3">
      <c r="A2016" s="14" t="str">
        <f>VLOOKUP(B2016,'Relacion codigos'!$A:$B,2,FALSE)</f>
        <v>6618</v>
      </c>
      <c r="B2016" s="6" t="s">
        <v>5743</v>
      </c>
      <c r="C2016" s="6" t="s">
        <v>1255</v>
      </c>
      <c r="D2016" s="24">
        <v>1.5301</v>
      </c>
      <c r="E2016" s="6" t="s">
        <v>5889</v>
      </c>
      <c r="F2016" s="6">
        <v>21</v>
      </c>
      <c r="G2016" s="8">
        <f t="shared" si="31"/>
        <v>1.5301</v>
      </c>
    </row>
    <row r="2017" spans="1:7" x14ac:dyDescent="0.3">
      <c r="A2017" s="14" t="str">
        <f>VLOOKUP(B2017,'Relacion codigos'!$A:$B,2,FALSE)</f>
        <v>232</v>
      </c>
      <c r="B2017" s="6" t="s">
        <v>5744</v>
      </c>
      <c r="C2017" s="6" t="s">
        <v>311</v>
      </c>
      <c r="D2017" s="24">
        <v>9436.5698970815993</v>
      </c>
      <c r="E2017" s="6" t="s">
        <v>5889</v>
      </c>
      <c r="F2017" s="6">
        <v>21</v>
      </c>
      <c r="G2017" s="8">
        <f t="shared" si="31"/>
        <v>9436.5698970815993</v>
      </c>
    </row>
    <row r="2018" spans="1:7" x14ac:dyDescent="0.3">
      <c r="A2018" s="14" t="str">
        <f>VLOOKUP(B2018,'Relacion codigos'!$A:$B,2,FALSE)</f>
        <v>463</v>
      </c>
      <c r="B2018" s="6" t="s">
        <v>5745</v>
      </c>
      <c r="C2018" s="6" t="s">
        <v>10657</v>
      </c>
      <c r="D2018" s="24">
        <v>6865.9704359999996</v>
      </c>
      <c r="E2018" s="6" t="s">
        <v>5889</v>
      </c>
      <c r="F2018" s="6">
        <v>21</v>
      </c>
      <c r="G2018" s="8">
        <f t="shared" si="31"/>
        <v>6865.9704359999996</v>
      </c>
    </row>
    <row r="2019" spans="1:7" x14ac:dyDescent="0.3">
      <c r="A2019" s="14" t="str">
        <f>VLOOKUP(B2019,'Relacion codigos'!$A:$B,2,FALSE)</f>
        <v>500</v>
      </c>
      <c r="B2019" s="6" t="s">
        <v>5746</v>
      </c>
      <c r="C2019" s="6" t="s">
        <v>10658</v>
      </c>
      <c r="D2019" s="24">
        <v>6003.4113360000001</v>
      </c>
      <c r="E2019" s="6" t="s">
        <v>5889</v>
      </c>
      <c r="F2019" s="6">
        <v>21</v>
      </c>
      <c r="G2019" s="8">
        <f t="shared" si="31"/>
        <v>6003.4113360000001</v>
      </c>
    </row>
    <row r="2020" spans="1:7" x14ac:dyDescent="0.3">
      <c r="A2020" s="14" t="str">
        <f>VLOOKUP(B2020,'Relacion codigos'!$A:$B,2,FALSE)</f>
        <v>231</v>
      </c>
      <c r="B2020" s="6" t="s">
        <v>5747</v>
      </c>
      <c r="C2020" s="6" t="s">
        <v>312</v>
      </c>
      <c r="D2020" s="24">
        <v>8197.7095522763993</v>
      </c>
      <c r="E2020" s="6" t="s">
        <v>5889</v>
      </c>
      <c r="F2020" s="6">
        <v>21</v>
      </c>
      <c r="G2020" s="8">
        <f t="shared" si="31"/>
        <v>8197.7095522763993</v>
      </c>
    </row>
    <row r="2021" spans="1:7" x14ac:dyDescent="0.3">
      <c r="A2021" s="14" t="str">
        <f>VLOOKUP(B2021,'Relacion codigos'!$A:$B,2,FALSE)</f>
        <v>6617</v>
      </c>
      <c r="B2021" s="6" t="s">
        <v>5748</v>
      </c>
      <c r="C2021" s="6" t="s">
        <v>1256</v>
      </c>
      <c r="D2021" s="24">
        <v>1.5301</v>
      </c>
      <c r="E2021" s="6" t="s">
        <v>5889</v>
      </c>
      <c r="F2021" s="6">
        <v>21</v>
      </c>
      <c r="G2021" s="8">
        <f t="shared" si="31"/>
        <v>1.5301</v>
      </c>
    </row>
    <row r="2022" spans="1:7" x14ac:dyDescent="0.3">
      <c r="A2022" s="14" t="str">
        <f>VLOOKUP(B2022,'Relacion codigos'!$A:$B,2,FALSE)</f>
        <v>6616</v>
      </c>
      <c r="B2022" s="6" t="s">
        <v>5749</v>
      </c>
      <c r="C2022" s="6" t="s">
        <v>1257</v>
      </c>
      <c r="D2022" s="24">
        <v>1.5301</v>
      </c>
      <c r="E2022" s="6" t="s">
        <v>5889</v>
      </c>
      <c r="F2022" s="6">
        <v>21</v>
      </c>
      <c r="G2022" s="8">
        <f t="shared" si="31"/>
        <v>1.5301</v>
      </c>
    </row>
    <row r="2023" spans="1:7" x14ac:dyDescent="0.3">
      <c r="A2023" s="14" t="str">
        <f>VLOOKUP(B2023,'Relacion codigos'!$A:$B,2,FALSE)</f>
        <v>230</v>
      </c>
      <c r="B2023" s="6" t="s">
        <v>5750</v>
      </c>
      <c r="C2023" s="6" t="s">
        <v>313</v>
      </c>
      <c r="D2023" s="24">
        <v>7071.3116409311997</v>
      </c>
      <c r="E2023" s="6" t="s">
        <v>5889</v>
      </c>
      <c r="F2023" s="6">
        <v>21</v>
      </c>
      <c r="G2023" s="8">
        <f t="shared" si="31"/>
        <v>7071.3116409311997</v>
      </c>
    </row>
    <row r="2024" spans="1:7" x14ac:dyDescent="0.3">
      <c r="A2024" s="14" t="str">
        <f>VLOOKUP(B2024,'Relacion codigos'!$A:$B,2,FALSE)</f>
        <v>484</v>
      </c>
      <c r="B2024" s="6" t="s">
        <v>5751</v>
      </c>
      <c r="C2024" s="6" t="s">
        <v>10659</v>
      </c>
      <c r="D2024" s="24">
        <v>6354.6444000000001</v>
      </c>
      <c r="E2024" s="6" t="s">
        <v>5889</v>
      </c>
      <c r="F2024" s="6">
        <v>21</v>
      </c>
      <c r="G2024" s="8">
        <f t="shared" si="31"/>
        <v>6354.6444000000001</v>
      </c>
    </row>
    <row r="2025" spans="1:7" x14ac:dyDescent="0.3">
      <c r="A2025" s="14" t="str">
        <f>VLOOKUP(B2025,'Relacion codigos'!$A:$B,2,FALSE)</f>
        <v>503</v>
      </c>
      <c r="B2025" s="6" t="s">
        <v>5752</v>
      </c>
      <c r="C2025" s="6" t="s">
        <v>10660</v>
      </c>
      <c r="D2025" s="24">
        <v>4854.2172119999996</v>
      </c>
      <c r="E2025" s="6" t="s">
        <v>5889</v>
      </c>
      <c r="F2025" s="6">
        <v>21</v>
      </c>
      <c r="G2025" s="8">
        <f t="shared" si="31"/>
        <v>4854.2172119999996</v>
      </c>
    </row>
    <row r="2026" spans="1:7" x14ac:dyDescent="0.3">
      <c r="A2026" s="14" t="str">
        <f>VLOOKUP(B2026,'Relacion codigos'!$A:$B,2,FALSE)</f>
        <v>1510</v>
      </c>
      <c r="B2026" s="6" t="s">
        <v>5753</v>
      </c>
      <c r="C2026" s="6" t="s">
        <v>314</v>
      </c>
      <c r="D2026" s="24">
        <v>88.485682999999995</v>
      </c>
      <c r="E2026" s="6" t="s">
        <v>5889</v>
      </c>
      <c r="F2026" s="6">
        <v>21</v>
      </c>
      <c r="G2026" s="8">
        <f t="shared" si="31"/>
        <v>88.485682999999995</v>
      </c>
    </row>
    <row r="2027" spans="1:7" x14ac:dyDescent="0.3">
      <c r="A2027" s="14" t="str">
        <f>VLOOKUP(B2027,'Relacion codigos'!$A:$B,2,FALSE)</f>
        <v>1499</v>
      </c>
      <c r="B2027" s="6" t="s">
        <v>5754</v>
      </c>
      <c r="C2027" s="6" t="s">
        <v>315</v>
      </c>
      <c r="D2027" s="24">
        <v>70.415201999999994</v>
      </c>
      <c r="E2027" s="6" t="s">
        <v>5889</v>
      </c>
      <c r="F2027" s="6">
        <v>21</v>
      </c>
      <c r="G2027" s="8">
        <f t="shared" si="31"/>
        <v>70.415201999999994</v>
      </c>
    </row>
    <row r="2028" spans="1:7" x14ac:dyDescent="0.3">
      <c r="A2028" s="14" t="str">
        <f>VLOOKUP(B2028,'Relacion codigos'!$A:$B,2,FALSE)</f>
        <v>229</v>
      </c>
      <c r="B2028" s="6" t="s">
        <v>5755</v>
      </c>
      <c r="C2028" s="6" t="s">
        <v>316</v>
      </c>
      <c r="D2028" s="24">
        <v>6299.2213598340004</v>
      </c>
      <c r="E2028" s="6" t="s">
        <v>5889</v>
      </c>
      <c r="F2028" s="6">
        <v>21</v>
      </c>
      <c r="G2028" s="8">
        <f t="shared" si="31"/>
        <v>6299.2213598340004</v>
      </c>
    </row>
    <row r="2029" spans="1:7" x14ac:dyDescent="0.3">
      <c r="A2029" s="14" t="str">
        <f>VLOOKUP(B2029,'Relacion codigos'!$A:$B,2,FALSE)</f>
        <v>6629</v>
      </c>
      <c r="B2029" s="6" t="s">
        <v>5757</v>
      </c>
      <c r="C2029" s="6" t="s">
        <v>1258</v>
      </c>
      <c r="D2029" s="24">
        <v>1.5301</v>
      </c>
      <c r="E2029" s="6" t="s">
        <v>5889</v>
      </c>
      <c r="F2029" s="6">
        <v>21</v>
      </c>
      <c r="G2029" s="8">
        <f t="shared" si="31"/>
        <v>1.5301</v>
      </c>
    </row>
    <row r="2030" spans="1:7" x14ac:dyDescent="0.3">
      <c r="A2030" s="14" t="str">
        <f>VLOOKUP(B2030,'Relacion codigos'!$A:$B,2,FALSE)</f>
        <v>6628</v>
      </c>
      <c r="B2030" s="6" t="s">
        <v>5758</v>
      </c>
      <c r="C2030" s="6" t="s">
        <v>1259</v>
      </c>
      <c r="D2030" s="24">
        <v>1.5301</v>
      </c>
      <c r="E2030" s="6" t="s">
        <v>5889</v>
      </c>
      <c r="F2030" s="6">
        <v>21</v>
      </c>
      <c r="G2030" s="8">
        <f t="shared" si="31"/>
        <v>1.5301</v>
      </c>
    </row>
    <row r="2031" spans="1:7" x14ac:dyDescent="0.3">
      <c r="A2031" s="14" t="str">
        <f>VLOOKUP(B2031,'Relacion codigos'!$A:$B,2,FALSE)</f>
        <v>234</v>
      </c>
      <c r="B2031" s="6" t="s">
        <v>5759</v>
      </c>
      <c r="C2031" s="6" t="s">
        <v>317</v>
      </c>
      <c r="D2031" s="24">
        <v>11356.300238587201</v>
      </c>
      <c r="E2031" s="6" t="s">
        <v>5889</v>
      </c>
      <c r="F2031" s="6">
        <v>21</v>
      </c>
      <c r="G2031" s="8">
        <f t="shared" si="31"/>
        <v>11356.300238587201</v>
      </c>
    </row>
    <row r="2032" spans="1:7" x14ac:dyDescent="0.3">
      <c r="A2032" s="14" t="str">
        <f>VLOOKUP(B2032,'Relacion codigos'!$A:$B,2,FALSE)</f>
        <v>465</v>
      </c>
      <c r="B2032" s="6" t="s">
        <v>5760</v>
      </c>
      <c r="C2032" s="6" t="s">
        <v>10661</v>
      </c>
      <c r="D2032" s="24">
        <v>9965.1239999999998</v>
      </c>
      <c r="E2032" s="6" t="s">
        <v>5889</v>
      </c>
      <c r="F2032" s="6">
        <v>21</v>
      </c>
      <c r="G2032" s="8">
        <f t="shared" si="31"/>
        <v>9965.1239999999998</v>
      </c>
    </row>
    <row r="2033" spans="1:7" x14ac:dyDescent="0.3">
      <c r="A2033" s="14" t="str">
        <f>VLOOKUP(B2033,'Relacion codigos'!$A:$B,2,FALSE)</f>
        <v>390</v>
      </c>
      <c r="B2033" s="6" t="s">
        <v>5761</v>
      </c>
      <c r="C2033" s="6" t="s">
        <v>10662</v>
      </c>
      <c r="D2033" s="24">
        <v>8794.5974999999999</v>
      </c>
      <c r="E2033" s="6" t="s">
        <v>5889</v>
      </c>
      <c r="F2033" s="6">
        <v>21</v>
      </c>
      <c r="G2033" s="8">
        <f t="shared" si="31"/>
        <v>8794.5974999999999</v>
      </c>
    </row>
    <row r="2034" spans="1:7" x14ac:dyDescent="0.3">
      <c r="A2034" s="14" t="str">
        <f>VLOOKUP(B2034,'Relacion codigos'!$A:$B,2,FALSE)</f>
        <v>1514</v>
      </c>
      <c r="B2034" s="6" t="s">
        <v>5762</v>
      </c>
      <c r="C2034" s="6" t="s">
        <v>318</v>
      </c>
      <c r="D2034" s="24">
        <v>123.02003999999999</v>
      </c>
      <c r="E2034" s="6" t="s">
        <v>5889</v>
      </c>
      <c r="F2034" s="6">
        <v>21</v>
      </c>
      <c r="G2034" s="8">
        <f t="shared" si="31"/>
        <v>123.02003999999999</v>
      </c>
    </row>
    <row r="2035" spans="1:7" x14ac:dyDescent="0.3">
      <c r="A2035" s="14" t="str">
        <f>VLOOKUP(B2035,'Relacion codigos'!$A:$B,2,FALSE)</f>
        <v>1511</v>
      </c>
      <c r="B2035" s="6" t="s">
        <v>5763</v>
      </c>
      <c r="C2035" s="6" t="s">
        <v>319</v>
      </c>
      <c r="D2035" s="24">
        <v>106.265445</v>
      </c>
      <c r="E2035" s="6" t="s">
        <v>5889</v>
      </c>
      <c r="F2035" s="6">
        <v>21</v>
      </c>
      <c r="G2035" s="8">
        <f t="shared" si="31"/>
        <v>106.265445</v>
      </c>
    </row>
    <row r="2036" spans="1:7" x14ac:dyDescent="0.3">
      <c r="A2036" s="14" t="str">
        <f>VLOOKUP(B2036,'Relacion codigos'!$A:$B,2,FALSE)</f>
        <v>233</v>
      </c>
      <c r="B2036" s="6" t="s">
        <v>5764</v>
      </c>
      <c r="C2036" s="6" t="s">
        <v>320</v>
      </c>
      <c r="D2036" s="24">
        <v>10563.110510004</v>
      </c>
      <c r="E2036" s="6" t="s">
        <v>5889</v>
      </c>
      <c r="F2036" s="6">
        <v>21</v>
      </c>
      <c r="G2036" s="8">
        <f t="shared" si="31"/>
        <v>10563.110510004</v>
      </c>
    </row>
    <row r="2037" spans="1:7" x14ac:dyDescent="0.3">
      <c r="A2037" s="14" t="str">
        <f>VLOOKUP(B2037,'Relacion codigos'!$A:$B,2,FALSE)</f>
        <v>219</v>
      </c>
      <c r="B2037" s="6" t="s">
        <v>1490</v>
      </c>
      <c r="C2037" s="6" t="s">
        <v>321</v>
      </c>
      <c r="D2037" s="24">
        <v>528.03751</v>
      </c>
      <c r="E2037" s="6" t="s">
        <v>5889</v>
      </c>
      <c r="F2037" s="6">
        <v>21</v>
      </c>
      <c r="G2037" s="8">
        <f t="shared" si="31"/>
        <v>528.03751</v>
      </c>
    </row>
    <row r="2038" spans="1:7" x14ac:dyDescent="0.3">
      <c r="A2038" s="14" t="str">
        <f>VLOOKUP(B2038,'Relacion codigos'!$A:$B,2,FALSE)</f>
        <v>796</v>
      </c>
      <c r="B2038" s="6" t="s">
        <v>1491</v>
      </c>
      <c r="C2038" s="6" t="s">
        <v>322</v>
      </c>
      <c r="D2038" s="24">
        <v>990.37809000000004</v>
      </c>
      <c r="E2038" s="6" t="s">
        <v>5889</v>
      </c>
      <c r="F2038" s="6">
        <v>21</v>
      </c>
      <c r="G2038" s="8">
        <f t="shared" si="31"/>
        <v>990.37809000000004</v>
      </c>
    </row>
    <row r="2039" spans="1:7" x14ac:dyDescent="0.3">
      <c r="A2039" s="14" t="str">
        <f>VLOOKUP(B2039,'Relacion codigos'!$A:$B,2,FALSE)</f>
        <v>6045</v>
      </c>
      <c r="B2039" s="6" t="s">
        <v>1472</v>
      </c>
      <c r="C2039" s="6" t="s">
        <v>9331</v>
      </c>
      <c r="D2039" s="24">
        <v>4917.4080112403999</v>
      </c>
      <c r="E2039" s="6" t="s">
        <v>5889</v>
      </c>
      <c r="F2039" s="6">
        <v>21</v>
      </c>
      <c r="G2039" s="8">
        <f t="shared" si="31"/>
        <v>4917.4080112403999</v>
      </c>
    </row>
    <row r="2040" spans="1:7" x14ac:dyDescent="0.3">
      <c r="A2040" s="14" t="str">
        <f>VLOOKUP(B2040,'Relacion codigos'!$A:$B,2,FALSE)</f>
        <v>925</v>
      </c>
      <c r="B2040" s="6" t="s">
        <v>1499</v>
      </c>
      <c r="C2040" s="6" t="s">
        <v>10663</v>
      </c>
      <c r="D2040" s="24">
        <v>1958.5391279999999</v>
      </c>
      <c r="E2040" s="6" t="s">
        <v>5889</v>
      </c>
      <c r="F2040" s="6">
        <v>21</v>
      </c>
      <c r="G2040" s="8">
        <f t="shared" si="31"/>
        <v>1958.5391279999999</v>
      </c>
    </row>
    <row r="2041" spans="1:7" x14ac:dyDescent="0.3">
      <c r="A2041" s="14" t="e">
        <f>VLOOKUP(B2041,'Relacion codigos'!$A:$B,2,FALSE)</f>
        <v>#N/A</v>
      </c>
      <c r="B2041" s="6" t="s">
        <v>11856</v>
      </c>
      <c r="C2041" s="6" t="s">
        <v>11857</v>
      </c>
      <c r="D2041" s="24">
        <v>1646.473641696</v>
      </c>
      <c r="E2041" s="6" t="s">
        <v>5889</v>
      </c>
      <c r="F2041" s="6">
        <v>21</v>
      </c>
      <c r="G2041" s="8">
        <f t="shared" si="31"/>
        <v>1646.473641696</v>
      </c>
    </row>
    <row r="2042" spans="1:7" x14ac:dyDescent="0.3">
      <c r="A2042" s="14" t="e">
        <f>VLOOKUP(B2042,'Relacion codigos'!$A:$B,2,FALSE)</f>
        <v>#N/A</v>
      </c>
      <c r="B2042" s="6" t="s">
        <v>12242</v>
      </c>
      <c r="C2042" s="6" t="s">
        <v>12243</v>
      </c>
      <c r="D2042" s="24">
        <v>473.030415</v>
      </c>
      <c r="E2042" s="6" t="s">
        <v>5889</v>
      </c>
      <c r="F2042" s="6">
        <v>21</v>
      </c>
      <c r="G2042" s="8">
        <f t="shared" si="31"/>
        <v>473.030415</v>
      </c>
    </row>
    <row r="2043" spans="1:7" x14ac:dyDescent="0.3">
      <c r="A2043" s="14" t="str">
        <f>VLOOKUP(B2043,'Relacion codigos'!$A:$B,2,FALSE)</f>
        <v>236</v>
      </c>
      <c r="B2043" s="6" t="s">
        <v>1492</v>
      </c>
      <c r="C2043" s="6" t="s">
        <v>323</v>
      </c>
      <c r="D2043" s="24">
        <v>4052.7655643592002</v>
      </c>
      <c r="E2043" s="6" t="s">
        <v>5889</v>
      </c>
      <c r="F2043" s="6">
        <v>21</v>
      </c>
      <c r="G2043" s="8">
        <f t="shared" si="31"/>
        <v>4052.7655643592002</v>
      </c>
    </row>
    <row r="2044" spans="1:7" x14ac:dyDescent="0.3">
      <c r="A2044" s="14" t="str">
        <f>VLOOKUP(B2044,'Relacion codigos'!$A:$B,2,FALSE)</f>
        <v>637</v>
      </c>
      <c r="B2044" s="6" t="s">
        <v>1493</v>
      </c>
      <c r="C2044" s="6" t="s">
        <v>10664</v>
      </c>
      <c r="D2044" s="24">
        <v>1464.4705335000001</v>
      </c>
      <c r="E2044" s="6" t="s">
        <v>5889</v>
      </c>
      <c r="F2044" s="6">
        <v>21</v>
      </c>
      <c r="G2044" s="8">
        <f t="shared" si="31"/>
        <v>1464.4705335000001</v>
      </c>
    </row>
    <row r="2045" spans="1:7" x14ac:dyDescent="0.3">
      <c r="A2045" s="14" t="str">
        <f>VLOOKUP(B2045,'Relacion codigos'!$A:$B,2,FALSE)</f>
        <v>235</v>
      </c>
      <c r="B2045" s="6" t="s">
        <v>1494</v>
      </c>
      <c r="C2045" s="6" t="s">
        <v>324</v>
      </c>
      <c r="D2045" s="24">
        <v>3081.1241158307998</v>
      </c>
      <c r="E2045" s="6" t="s">
        <v>5889</v>
      </c>
      <c r="F2045" s="6">
        <v>21</v>
      </c>
      <c r="G2045" s="8">
        <f t="shared" si="31"/>
        <v>3081.1241158307998</v>
      </c>
    </row>
    <row r="2046" spans="1:7" x14ac:dyDescent="0.3">
      <c r="A2046" s="14" t="str">
        <f>VLOOKUP(B2046,'Relacion codigos'!$A:$B,2,FALSE)</f>
        <v>695</v>
      </c>
      <c r="B2046" s="6" t="s">
        <v>1495</v>
      </c>
      <c r="C2046" s="6" t="s">
        <v>10665</v>
      </c>
      <c r="D2046" s="24">
        <v>1526.1148067414599</v>
      </c>
      <c r="E2046" s="6" t="s">
        <v>5889</v>
      </c>
      <c r="F2046" s="6">
        <v>21</v>
      </c>
      <c r="G2046" s="8">
        <f t="shared" si="31"/>
        <v>1526.1148067414599</v>
      </c>
    </row>
    <row r="2047" spans="1:7" x14ac:dyDescent="0.3">
      <c r="A2047" s="14" t="str">
        <f>VLOOKUP(B2047,'Relacion codigos'!$A:$B,2,FALSE)</f>
        <v>9139</v>
      </c>
      <c r="B2047" s="6" t="s">
        <v>5648</v>
      </c>
      <c r="C2047" s="6" t="s">
        <v>10180</v>
      </c>
      <c r="D2047" s="24">
        <v>7.5114E-2</v>
      </c>
      <c r="E2047" s="6" t="s">
        <v>5887</v>
      </c>
      <c r="F2047" s="6">
        <v>21</v>
      </c>
      <c r="G2047" s="8">
        <f t="shared" si="31"/>
        <v>116.80227000000001</v>
      </c>
    </row>
    <row r="2048" spans="1:7" x14ac:dyDescent="0.3">
      <c r="A2048" s="14" t="str">
        <f>VLOOKUP(B2048,'Relacion codigos'!$A:$B,2,FALSE)</f>
        <v>9140</v>
      </c>
      <c r="B2048" s="6" t="s">
        <v>5647</v>
      </c>
      <c r="C2048" s="6" t="s">
        <v>10181</v>
      </c>
      <c r="D2048" s="24">
        <v>0.11267099999999999</v>
      </c>
      <c r="E2048" s="6" t="s">
        <v>5887</v>
      </c>
      <c r="F2048" s="6">
        <v>21</v>
      </c>
      <c r="G2048" s="8">
        <f t="shared" si="31"/>
        <v>175.203405</v>
      </c>
    </row>
    <row r="2049" spans="1:7" x14ac:dyDescent="0.3">
      <c r="A2049" s="14" t="str">
        <f>VLOOKUP(B2049,'Relacion codigos'!$A:$B,2,FALSE)</f>
        <v>3159</v>
      </c>
      <c r="B2049" s="6" t="s">
        <v>1505</v>
      </c>
      <c r="C2049" s="6" t="s">
        <v>11988</v>
      </c>
      <c r="D2049" s="24">
        <v>892.82795550000003</v>
      </c>
      <c r="E2049" s="6" t="s">
        <v>5889</v>
      </c>
      <c r="F2049" s="6">
        <v>21</v>
      </c>
      <c r="G2049" s="8">
        <f t="shared" si="31"/>
        <v>892.82795550000003</v>
      </c>
    </row>
    <row r="2050" spans="1:7" x14ac:dyDescent="0.3">
      <c r="A2050" s="14" t="str">
        <f>VLOOKUP(B2050,'Relacion codigos'!$A:$B,2,FALSE)</f>
        <v>5484</v>
      </c>
      <c r="B2050" s="6" t="s">
        <v>1496</v>
      </c>
      <c r="C2050" s="6" t="s">
        <v>325</v>
      </c>
      <c r="D2050" s="24">
        <v>1194.0085595599201</v>
      </c>
      <c r="E2050" s="6" t="s">
        <v>5889</v>
      </c>
      <c r="F2050" s="6">
        <v>21</v>
      </c>
      <c r="G2050" s="8">
        <f t="shared" ref="G2050:G2113" si="32">IF(E2050="Dolares",D2050*$G$1,D2050)</f>
        <v>1194.0085595599201</v>
      </c>
    </row>
    <row r="2051" spans="1:7" x14ac:dyDescent="0.3">
      <c r="A2051" s="14" t="e">
        <f>VLOOKUP(B2051,'Relacion codigos'!$A:$B,2,FALSE)</f>
        <v>#N/A</v>
      </c>
      <c r="B2051" s="6" t="s">
        <v>10867</v>
      </c>
      <c r="C2051" s="6" t="s">
        <v>11456</v>
      </c>
      <c r="D2051" s="24">
        <v>1487.0217852126</v>
      </c>
      <c r="E2051" s="6" t="s">
        <v>5889</v>
      </c>
      <c r="F2051" s="6">
        <v>21</v>
      </c>
      <c r="G2051" s="8">
        <f t="shared" si="32"/>
        <v>1487.0217852126</v>
      </c>
    </row>
    <row r="2052" spans="1:7" x14ac:dyDescent="0.3">
      <c r="A2052" s="14" t="str">
        <f>VLOOKUP(B2052,'Relacion codigos'!$A:$B,2,FALSE)</f>
        <v>5485</v>
      </c>
      <c r="B2052" s="6" t="s">
        <v>1498</v>
      </c>
      <c r="C2052" s="6" t="s">
        <v>326</v>
      </c>
      <c r="D2052" s="24">
        <v>1194.0085595599201</v>
      </c>
      <c r="E2052" s="6" t="s">
        <v>5889</v>
      </c>
      <c r="F2052" s="6">
        <v>21</v>
      </c>
      <c r="G2052" s="8">
        <f t="shared" si="32"/>
        <v>1194.0085595599201</v>
      </c>
    </row>
    <row r="2053" spans="1:7" x14ac:dyDescent="0.3">
      <c r="A2053" s="14" t="str">
        <f>VLOOKUP(B2053,'Relacion codigos'!$A:$B,2,FALSE)</f>
        <v>964</v>
      </c>
      <c r="B2053" s="6" t="s">
        <v>1507</v>
      </c>
      <c r="C2053" s="6" t="s">
        <v>9342</v>
      </c>
      <c r="D2053" s="24">
        <v>864.05607294551999</v>
      </c>
      <c r="E2053" s="6" t="s">
        <v>5889</v>
      </c>
      <c r="F2053" s="6">
        <v>21</v>
      </c>
      <c r="G2053" s="8">
        <f t="shared" si="32"/>
        <v>864.05607294551999</v>
      </c>
    </row>
    <row r="2054" spans="1:7" x14ac:dyDescent="0.3">
      <c r="A2054" s="14" t="e">
        <f>VLOOKUP(B2054,'Relacion codigos'!$A:$B,2,FALSE)</f>
        <v>#N/A</v>
      </c>
      <c r="B2054" s="6" t="s">
        <v>9659</v>
      </c>
      <c r="C2054" s="6" t="s">
        <v>10006</v>
      </c>
      <c r="D2054" s="24">
        <v>7.3899031050000001</v>
      </c>
      <c r="E2054" s="6" t="s">
        <v>5887</v>
      </c>
      <c r="F2054" s="6">
        <v>21</v>
      </c>
      <c r="G2054" s="8">
        <f t="shared" si="32"/>
        <v>11491.299328274999</v>
      </c>
    </row>
    <row r="2055" spans="1:7" x14ac:dyDescent="0.3">
      <c r="A2055" s="14" t="e">
        <f>VLOOKUP(B2055,'Relacion codigos'!$A:$B,2,FALSE)</f>
        <v>#N/A</v>
      </c>
      <c r="B2055" s="6" t="s">
        <v>9660</v>
      </c>
      <c r="C2055" s="6" t="s">
        <v>10007</v>
      </c>
      <c r="D2055" s="24">
        <v>12.481291520099999</v>
      </c>
      <c r="E2055" s="6" t="s">
        <v>5887</v>
      </c>
      <c r="F2055" s="6">
        <v>21</v>
      </c>
      <c r="G2055" s="8">
        <f t="shared" si="32"/>
        <v>19408.408313755499</v>
      </c>
    </row>
    <row r="2056" spans="1:7" x14ac:dyDescent="0.3">
      <c r="A2056" s="14" t="e">
        <f>VLOOKUP(B2056,'Relacion codigos'!$A:$B,2,FALSE)</f>
        <v>#N/A</v>
      </c>
      <c r="B2056" s="6" t="s">
        <v>9828</v>
      </c>
      <c r="C2056" s="6" t="s">
        <v>10008</v>
      </c>
      <c r="D2056" s="24">
        <v>15.4627351866</v>
      </c>
      <c r="E2056" s="6" t="s">
        <v>5887</v>
      </c>
      <c r="F2056" s="6">
        <v>21</v>
      </c>
      <c r="G2056" s="8">
        <f t="shared" si="32"/>
        <v>24044.553215163</v>
      </c>
    </row>
    <row r="2057" spans="1:7" x14ac:dyDescent="0.3">
      <c r="A2057" s="14" t="e">
        <f>VLOOKUP(B2057,'Relacion codigos'!$A:$B,2,FALSE)</f>
        <v>#N/A</v>
      </c>
      <c r="B2057" s="6" t="s">
        <v>9743</v>
      </c>
      <c r="C2057" s="6" t="s">
        <v>10009</v>
      </c>
      <c r="D2057" s="24">
        <v>8.3582352360000005</v>
      </c>
      <c r="E2057" s="6" t="s">
        <v>5887</v>
      </c>
      <c r="F2057" s="6">
        <v>21</v>
      </c>
      <c r="G2057" s="8">
        <f t="shared" si="32"/>
        <v>12997.055791980001</v>
      </c>
    </row>
    <row r="2058" spans="1:7" x14ac:dyDescent="0.3">
      <c r="A2058" s="14" t="e">
        <f>VLOOKUP(B2058,'Relacion codigos'!$A:$B,2,FALSE)</f>
        <v>#N/A</v>
      </c>
      <c r="B2058" s="6" t="s">
        <v>9823</v>
      </c>
      <c r="C2058" s="6" t="s">
        <v>10010</v>
      </c>
      <c r="D2058" s="24">
        <v>13.271246679600001</v>
      </c>
      <c r="E2058" s="6" t="s">
        <v>5887</v>
      </c>
      <c r="F2058" s="6">
        <v>21</v>
      </c>
      <c r="G2058" s="8">
        <f t="shared" si="32"/>
        <v>20636.788586778002</v>
      </c>
    </row>
    <row r="2059" spans="1:7" x14ac:dyDescent="0.3">
      <c r="A2059" s="14" t="str">
        <f>VLOOKUP(B2059,'Relacion codigos'!$A:$B,2,FALSE)</f>
        <v>224</v>
      </c>
      <c r="B2059" s="6" t="s">
        <v>1501</v>
      </c>
      <c r="C2059" s="6" t="s">
        <v>10182</v>
      </c>
      <c r="D2059" s="24">
        <v>816.46003576800001</v>
      </c>
      <c r="E2059" s="6" t="s">
        <v>5889</v>
      </c>
      <c r="F2059" s="6">
        <v>21</v>
      </c>
      <c r="G2059" s="8">
        <f t="shared" si="32"/>
        <v>816.46003576800001</v>
      </c>
    </row>
    <row r="2060" spans="1:7" x14ac:dyDescent="0.3">
      <c r="A2060" s="14" t="str">
        <f>VLOOKUP(B2060,'Relacion codigos'!$A:$B,2,FALSE)</f>
        <v>223</v>
      </c>
      <c r="B2060" s="6" t="s">
        <v>1502</v>
      </c>
      <c r="C2060" s="6" t="s">
        <v>10183</v>
      </c>
      <c r="D2060" s="24">
        <v>1396.37164261608</v>
      </c>
      <c r="E2060" s="6" t="s">
        <v>5889</v>
      </c>
      <c r="F2060" s="6">
        <v>21</v>
      </c>
      <c r="G2060" s="8">
        <f t="shared" si="32"/>
        <v>1396.37164261608</v>
      </c>
    </row>
    <row r="2061" spans="1:7" x14ac:dyDescent="0.3">
      <c r="A2061" s="14" t="str">
        <f>VLOOKUP(B2061,'Relacion codigos'!$A:$B,2,FALSE)</f>
        <v>5492</v>
      </c>
      <c r="B2061" s="6" t="s">
        <v>1469</v>
      </c>
      <c r="C2061" s="6" t="s">
        <v>10852</v>
      </c>
      <c r="D2061" s="24">
        <v>1405.70634933612</v>
      </c>
      <c r="E2061" s="6" t="s">
        <v>5889</v>
      </c>
      <c r="F2061" s="6">
        <v>21</v>
      </c>
      <c r="G2061" s="8">
        <f t="shared" si="32"/>
        <v>1405.70634933612</v>
      </c>
    </row>
    <row r="2062" spans="1:7" x14ac:dyDescent="0.3">
      <c r="A2062" s="14" t="str">
        <f>VLOOKUP(B2062,'Relacion codigos'!$A:$B,2,FALSE)</f>
        <v>5493</v>
      </c>
      <c r="B2062" s="6" t="s">
        <v>1471</v>
      </c>
      <c r="C2062" s="6" t="s">
        <v>10853</v>
      </c>
      <c r="D2062" s="24">
        <v>1405.70634933612</v>
      </c>
      <c r="E2062" s="6" t="s">
        <v>5889</v>
      </c>
      <c r="F2062" s="6">
        <v>21</v>
      </c>
      <c r="G2062" s="8">
        <f t="shared" si="32"/>
        <v>1405.70634933612</v>
      </c>
    </row>
    <row r="2063" spans="1:7" x14ac:dyDescent="0.3">
      <c r="A2063" s="14" t="str">
        <f>VLOOKUP(B2063,'Relacion codigos'!$A:$B,2,FALSE)</f>
        <v>1244</v>
      </c>
      <c r="B2063" s="6" t="s">
        <v>5653</v>
      </c>
      <c r="C2063" s="6" t="s">
        <v>327</v>
      </c>
      <c r="D2063" s="24">
        <v>3.5859424131155002</v>
      </c>
      <c r="E2063" s="6" t="s">
        <v>5889</v>
      </c>
      <c r="F2063" s="6">
        <v>21</v>
      </c>
      <c r="G2063" s="8">
        <f t="shared" si="32"/>
        <v>3.5859424131155002</v>
      </c>
    </row>
    <row r="2064" spans="1:7" x14ac:dyDescent="0.3">
      <c r="A2064" s="14" t="str">
        <f>VLOOKUP(B2064,'Relacion codigos'!$A:$B,2,FALSE)</f>
        <v>1243</v>
      </c>
      <c r="B2064" s="6" t="s">
        <v>5654</v>
      </c>
      <c r="C2064" s="6" t="s">
        <v>328</v>
      </c>
      <c r="D2064" s="24">
        <v>3.5859424131155002</v>
      </c>
      <c r="E2064" s="6" t="s">
        <v>5889</v>
      </c>
      <c r="F2064" s="6">
        <v>21</v>
      </c>
      <c r="G2064" s="8">
        <f t="shared" si="32"/>
        <v>3.5859424131155002</v>
      </c>
    </row>
    <row r="2065" spans="1:7" x14ac:dyDescent="0.3">
      <c r="A2065" s="14" t="e">
        <f>VLOOKUP(B2065,'Relacion codigos'!$A:$B,2,FALSE)</f>
        <v>#N/A</v>
      </c>
      <c r="B2065" s="6" t="s">
        <v>9978</v>
      </c>
      <c r="C2065" s="6" t="s">
        <v>9979</v>
      </c>
      <c r="D2065" s="24">
        <v>1340.924</v>
      </c>
      <c r="E2065" s="6" t="s">
        <v>5889</v>
      </c>
      <c r="F2065" s="6">
        <v>21</v>
      </c>
      <c r="G2065" s="8">
        <f t="shared" si="32"/>
        <v>1340.924</v>
      </c>
    </row>
    <row r="2066" spans="1:7" x14ac:dyDescent="0.3">
      <c r="A2066" s="14" t="str">
        <f>VLOOKUP(B2066,'Relacion codigos'!$A:$B,2,FALSE)</f>
        <v>2803</v>
      </c>
      <c r="B2066" s="6" t="s">
        <v>1504</v>
      </c>
      <c r="C2066" s="6" t="s">
        <v>329</v>
      </c>
      <c r="D2066" s="24">
        <v>1406.1925020000001</v>
      </c>
      <c r="E2066" s="6" t="s">
        <v>5889</v>
      </c>
      <c r="F2066" s="6">
        <v>21</v>
      </c>
      <c r="G2066" s="8">
        <f t="shared" si="32"/>
        <v>1406.1925020000001</v>
      </c>
    </row>
    <row r="2067" spans="1:7" x14ac:dyDescent="0.3">
      <c r="A2067" s="14" t="e">
        <f>VLOOKUP(B2067,'Relacion codigos'!$A:$B,2,FALSE)</f>
        <v>#N/A</v>
      </c>
      <c r="B2067" s="6" t="s">
        <v>9436</v>
      </c>
      <c r="C2067" s="6" t="s">
        <v>9980</v>
      </c>
      <c r="D2067" s="24">
        <v>1340.924</v>
      </c>
      <c r="E2067" s="6" t="s">
        <v>5889</v>
      </c>
      <c r="F2067" s="6">
        <v>21</v>
      </c>
      <c r="G2067" s="8">
        <f t="shared" si="32"/>
        <v>1340.924</v>
      </c>
    </row>
    <row r="2068" spans="1:7" x14ac:dyDescent="0.3">
      <c r="A2068" s="14" t="e">
        <f>VLOOKUP(B2068,'Relacion codigos'!$A:$B,2,FALSE)</f>
        <v>#N/A</v>
      </c>
      <c r="B2068" s="6" t="s">
        <v>12897</v>
      </c>
      <c r="C2068" s="6" t="s">
        <v>12898</v>
      </c>
      <c r="D2068" s="24">
        <v>1245.6405</v>
      </c>
      <c r="E2068" s="6" t="s">
        <v>5889</v>
      </c>
      <c r="F2068" s="6">
        <v>21</v>
      </c>
      <c r="G2068" s="8">
        <f t="shared" si="32"/>
        <v>1245.6405</v>
      </c>
    </row>
    <row r="2069" spans="1:7" x14ac:dyDescent="0.3">
      <c r="A2069" s="14" t="str">
        <f>VLOOKUP(B2069,'Relacion codigos'!$A:$B,2,FALSE)</f>
        <v>614</v>
      </c>
      <c r="B2069" s="6" t="s">
        <v>1515</v>
      </c>
      <c r="C2069" s="6" t="s">
        <v>330</v>
      </c>
      <c r="D2069" s="24">
        <v>240.821314330652</v>
      </c>
      <c r="E2069" s="6" t="s">
        <v>5889</v>
      </c>
      <c r="F2069" s="6">
        <v>21</v>
      </c>
      <c r="G2069" s="8">
        <f t="shared" si="32"/>
        <v>240.821314330652</v>
      </c>
    </row>
    <row r="2070" spans="1:7" x14ac:dyDescent="0.3">
      <c r="A2070" s="14" t="str">
        <f>VLOOKUP(B2070,'Relacion codigos'!$A:$B,2,FALSE)</f>
        <v>2232</v>
      </c>
      <c r="B2070" s="6" t="s">
        <v>1608</v>
      </c>
      <c r="C2070" s="6" t="s">
        <v>8795</v>
      </c>
      <c r="D2070" s="24">
        <v>858.56971199999998</v>
      </c>
      <c r="E2070" s="6" t="s">
        <v>5889</v>
      </c>
      <c r="F2070" s="6">
        <v>21</v>
      </c>
      <c r="G2070" s="8">
        <f t="shared" si="32"/>
        <v>858.56971199999998</v>
      </c>
    </row>
    <row r="2071" spans="1:7" x14ac:dyDescent="0.3">
      <c r="A2071" s="14" t="str">
        <f>VLOOKUP(B2071,'Relacion codigos'!$A:$B,2,FALSE)</f>
        <v>135</v>
      </c>
      <c r="B2071" s="6" t="s">
        <v>3467</v>
      </c>
      <c r="C2071" s="6" t="s">
        <v>331</v>
      </c>
      <c r="D2071" s="24">
        <v>1640.1655679759999</v>
      </c>
      <c r="E2071" s="6" t="s">
        <v>5889</v>
      </c>
      <c r="F2071" s="6">
        <v>21</v>
      </c>
      <c r="G2071" s="8">
        <f t="shared" si="32"/>
        <v>1640.1655679759999</v>
      </c>
    </row>
    <row r="2072" spans="1:7" x14ac:dyDescent="0.3">
      <c r="A2072" s="14" t="str">
        <f>VLOOKUP(B2072,'Relacion codigos'!$A:$B,2,FALSE)</f>
        <v>194</v>
      </c>
      <c r="B2072" s="6" t="s">
        <v>3468</v>
      </c>
      <c r="C2072" s="6" t="s">
        <v>332</v>
      </c>
      <c r="D2072" s="24">
        <v>227.47022999999999</v>
      </c>
      <c r="E2072" s="6" t="s">
        <v>5889</v>
      </c>
      <c r="F2072" s="6">
        <v>21</v>
      </c>
      <c r="G2072" s="8">
        <f t="shared" si="32"/>
        <v>227.47022999999999</v>
      </c>
    </row>
    <row r="2073" spans="1:7" x14ac:dyDescent="0.3">
      <c r="A2073" s="14" t="str">
        <f>VLOOKUP(B2073,'Relacion codigos'!$A:$B,2,FALSE)</f>
        <v>195</v>
      </c>
      <c r="B2073" s="6" t="s">
        <v>3469</v>
      </c>
      <c r="C2073" s="6" t="s">
        <v>333</v>
      </c>
      <c r="D2073" s="24">
        <v>368.21161000000001</v>
      </c>
      <c r="E2073" s="6" t="s">
        <v>5889</v>
      </c>
      <c r="F2073" s="6">
        <v>21</v>
      </c>
      <c r="G2073" s="8">
        <f t="shared" si="32"/>
        <v>368.21161000000001</v>
      </c>
    </row>
    <row r="2074" spans="1:7" x14ac:dyDescent="0.3">
      <c r="A2074" s="14" t="e">
        <f>VLOOKUP(B2074,'Relacion codigos'!$A:$B,2,FALSE)</f>
        <v>#N/A</v>
      </c>
      <c r="B2074" s="6" t="s">
        <v>12193</v>
      </c>
      <c r="C2074" s="6" t="s">
        <v>12194</v>
      </c>
      <c r="D2074" s="24">
        <v>565.14660800000001</v>
      </c>
      <c r="E2074" s="6" t="s">
        <v>5889</v>
      </c>
      <c r="F2074" s="6">
        <v>21</v>
      </c>
      <c r="G2074" s="8">
        <f t="shared" si="32"/>
        <v>565.14660800000001</v>
      </c>
    </row>
    <row r="2075" spans="1:7" x14ac:dyDescent="0.3">
      <c r="A2075" s="14" t="e">
        <f>VLOOKUP(B2075,'Relacion codigos'!$A:$B,2,FALSE)</f>
        <v>#N/A</v>
      </c>
      <c r="B2075" s="6" t="s">
        <v>9397</v>
      </c>
      <c r="C2075" s="6" t="s">
        <v>11766</v>
      </c>
      <c r="D2075" s="24">
        <v>13149.9576</v>
      </c>
      <c r="E2075" s="6" t="s">
        <v>5889</v>
      </c>
      <c r="F2075" s="6">
        <v>21</v>
      </c>
      <c r="G2075" s="8">
        <f t="shared" si="32"/>
        <v>13149.9576</v>
      </c>
    </row>
    <row r="2076" spans="1:7" x14ac:dyDescent="0.3">
      <c r="A2076" s="14" t="e">
        <f>VLOOKUP(B2076,'Relacion codigos'!$A:$B,2,FALSE)</f>
        <v>#N/A</v>
      </c>
      <c r="B2076" s="6" t="s">
        <v>9398</v>
      </c>
      <c r="C2076" s="6" t="s">
        <v>11767</v>
      </c>
      <c r="D2076" s="24">
        <v>15228.668</v>
      </c>
      <c r="E2076" s="6" t="s">
        <v>5889</v>
      </c>
      <c r="F2076" s="6">
        <v>21</v>
      </c>
      <c r="G2076" s="8">
        <f t="shared" si="32"/>
        <v>15228.668</v>
      </c>
    </row>
    <row r="2077" spans="1:7" x14ac:dyDescent="0.3">
      <c r="A2077" s="14" t="e">
        <f>VLOOKUP(B2077,'Relacion codigos'!$A:$B,2,FALSE)</f>
        <v>#N/A</v>
      </c>
      <c r="B2077" s="6" t="s">
        <v>9399</v>
      </c>
      <c r="C2077" s="6" t="s">
        <v>11768</v>
      </c>
      <c r="D2077" s="24">
        <v>17163.8272</v>
      </c>
      <c r="E2077" s="6" t="s">
        <v>5889</v>
      </c>
      <c r="F2077" s="6">
        <v>21</v>
      </c>
      <c r="G2077" s="8">
        <f t="shared" si="32"/>
        <v>17163.8272</v>
      </c>
    </row>
    <row r="2078" spans="1:7" x14ac:dyDescent="0.3">
      <c r="A2078" s="14" t="e">
        <f>VLOOKUP(B2078,'Relacion codigos'!$A:$B,2,FALSE)</f>
        <v>#N/A</v>
      </c>
      <c r="B2078" s="6" t="s">
        <v>9400</v>
      </c>
      <c r="C2078" s="6" t="s">
        <v>11769</v>
      </c>
      <c r="D2078" s="24">
        <v>19389.427199999998</v>
      </c>
      <c r="E2078" s="6" t="s">
        <v>5889</v>
      </c>
      <c r="F2078" s="6">
        <v>21</v>
      </c>
      <c r="G2078" s="8">
        <f t="shared" si="32"/>
        <v>19389.427199999998</v>
      </c>
    </row>
    <row r="2079" spans="1:7" x14ac:dyDescent="0.3">
      <c r="A2079" s="14" t="str">
        <f>VLOOKUP(B2079,'Relacion codigos'!$A:$B,2,FALSE)</f>
        <v>NUEVO</v>
      </c>
      <c r="B2079" s="6" t="s">
        <v>5860</v>
      </c>
      <c r="C2079" s="6" t="s">
        <v>11770</v>
      </c>
      <c r="D2079" s="24">
        <v>13149.9576</v>
      </c>
      <c r="E2079" s="6" t="s">
        <v>5889</v>
      </c>
      <c r="F2079" s="6">
        <v>21</v>
      </c>
      <c r="G2079" s="8">
        <f t="shared" si="32"/>
        <v>13149.9576</v>
      </c>
    </row>
    <row r="2080" spans="1:7" x14ac:dyDescent="0.3">
      <c r="A2080" s="14" t="str">
        <f>VLOOKUP(B2080,'Relacion codigos'!$A:$B,2,FALSE)</f>
        <v>9291</v>
      </c>
      <c r="B2080" s="6" t="s">
        <v>3817</v>
      </c>
      <c r="C2080" s="6" t="s">
        <v>11771</v>
      </c>
      <c r="D2080" s="24">
        <v>15228.668</v>
      </c>
      <c r="E2080" s="6" t="s">
        <v>5889</v>
      </c>
      <c r="F2080" s="6">
        <v>21</v>
      </c>
      <c r="G2080" s="8">
        <f t="shared" si="32"/>
        <v>15228.668</v>
      </c>
    </row>
    <row r="2081" spans="1:7" x14ac:dyDescent="0.3">
      <c r="A2081" s="14" t="str">
        <f>VLOOKUP(B2081,'Relacion codigos'!$A:$B,2,FALSE)</f>
        <v>5482</v>
      </c>
      <c r="B2081" s="6" t="s">
        <v>1396</v>
      </c>
      <c r="C2081" s="6" t="s">
        <v>12195</v>
      </c>
      <c r="D2081" s="24">
        <v>15412.014968875301</v>
      </c>
      <c r="E2081" s="6" t="s">
        <v>5889</v>
      </c>
      <c r="F2081" s="6">
        <v>10.5</v>
      </c>
      <c r="G2081" s="8">
        <f t="shared" si="32"/>
        <v>15412.014968875301</v>
      </c>
    </row>
    <row r="2082" spans="1:7" x14ac:dyDescent="0.3">
      <c r="A2082" s="14" t="str">
        <f>VLOOKUP(B2082,'Relacion codigos'!$A:$B,2,FALSE)</f>
        <v>9115</v>
      </c>
      <c r="B2082" s="6" t="s">
        <v>1400</v>
      </c>
      <c r="C2082" s="6" t="s">
        <v>13721</v>
      </c>
      <c r="D2082" s="24">
        <v>10736.359058632001</v>
      </c>
      <c r="E2082" s="6" t="s">
        <v>5889</v>
      </c>
      <c r="F2082" s="6">
        <v>21</v>
      </c>
      <c r="G2082" s="8">
        <f t="shared" si="32"/>
        <v>10736.359058632001</v>
      </c>
    </row>
    <row r="2083" spans="1:7" x14ac:dyDescent="0.3">
      <c r="A2083" s="14" t="str">
        <f>VLOOKUP(B2083,'Relacion codigos'!$A:$B,2,FALSE)</f>
        <v>6043</v>
      </c>
      <c r="B2083" s="6" t="s">
        <v>1397</v>
      </c>
      <c r="C2083" s="6" t="s">
        <v>13722</v>
      </c>
      <c r="D2083" s="24">
        <v>12631.0099377103</v>
      </c>
      <c r="E2083" s="6" t="s">
        <v>5889</v>
      </c>
      <c r="F2083" s="6">
        <v>10.5</v>
      </c>
      <c r="G2083" s="8">
        <f t="shared" si="32"/>
        <v>12631.0099377103</v>
      </c>
    </row>
    <row r="2084" spans="1:7" x14ac:dyDescent="0.3">
      <c r="A2084" s="14" t="e">
        <f>VLOOKUP(B2084,'Relacion codigos'!$A:$B,2,FALSE)</f>
        <v>#N/A</v>
      </c>
      <c r="B2084" s="6" t="s">
        <v>10856</v>
      </c>
      <c r="C2084" s="6" t="s">
        <v>13882</v>
      </c>
      <c r="D2084" s="24">
        <v>3.7623350699999998</v>
      </c>
      <c r="E2084" s="6" t="s">
        <v>5887</v>
      </c>
      <c r="F2084" s="6">
        <v>21</v>
      </c>
      <c r="G2084" s="8">
        <f t="shared" si="32"/>
        <v>5850.4310338499999</v>
      </c>
    </row>
    <row r="2085" spans="1:7" x14ac:dyDescent="0.3">
      <c r="A2085" s="14" t="str">
        <f>VLOOKUP(B2085,'Relacion codigos'!$A:$B,2,FALSE)</f>
        <v>6886</v>
      </c>
      <c r="B2085" s="6" t="s">
        <v>1398</v>
      </c>
      <c r="C2085" s="6" t="s">
        <v>9956</v>
      </c>
      <c r="D2085" s="24">
        <v>29358.9740024569</v>
      </c>
      <c r="E2085" s="6" t="s">
        <v>5889</v>
      </c>
      <c r="F2085" s="6">
        <v>10.5</v>
      </c>
      <c r="G2085" s="8">
        <f t="shared" si="32"/>
        <v>29358.9740024569</v>
      </c>
    </row>
    <row r="2086" spans="1:7" x14ac:dyDescent="0.3">
      <c r="A2086" s="14" t="str">
        <f>VLOOKUP(B2086,'Relacion codigos'!$A:$B,2,FALSE)</f>
        <v>6654</v>
      </c>
      <c r="B2086" s="6" t="s">
        <v>1395</v>
      </c>
      <c r="C2086" s="6" t="s">
        <v>13200</v>
      </c>
      <c r="D2086" s="24">
        <v>5.3329688099999997</v>
      </c>
      <c r="E2086" s="6" t="s">
        <v>5887</v>
      </c>
      <c r="F2086" s="6">
        <v>21</v>
      </c>
      <c r="G2086" s="8">
        <f t="shared" si="32"/>
        <v>8292.7664995499999</v>
      </c>
    </row>
    <row r="2087" spans="1:7" x14ac:dyDescent="0.3">
      <c r="A2087" s="14" t="str">
        <f>VLOOKUP(B2087,'Relacion codigos'!$A:$B,2,FALSE)</f>
        <v>8429</v>
      </c>
      <c r="B2087" s="6" t="s">
        <v>1401</v>
      </c>
      <c r="C2087" s="6" t="s">
        <v>12198</v>
      </c>
      <c r="D2087" s="24">
        <v>5990.3415000000005</v>
      </c>
      <c r="E2087" s="6" t="s">
        <v>5889</v>
      </c>
      <c r="F2087" s="6">
        <v>21</v>
      </c>
      <c r="G2087" s="8">
        <f t="shared" si="32"/>
        <v>5990.3415000000005</v>
      </c>
    </row>
    <row r="2088" spans="1:7" x14ac:dyDescent="0.3">
      <c r="A2088" s="14" t="str">
        <f>VLOOKUP(B2088,'Relacion codigos'!$A:$B,2,FALSE)</f>
        <v>5422</v>
      </c>
      <c r="B2088" s="6" t="s">
        <v>1402</v>
      </c>
      <c r="C2088" s="6" t="s">
        <v>12199</v>
      </c>
      <c r="D2088" s="24">
        <v>6412.8577500000001</v>
      </c>
      <c r="E2088" s="6" t="s">
        <v>5889</v>
      </c>
      <c r="F2088" s="6">
        <v>21</v>
      </c>
      <c r="G2088" s="8">
        <f t="shared" si="32"/>
        <v>6412.8577500000001</v>
      </c>
    </row>
    <row r="2089" spans="1:7" x14ac:dyDescent="0.3">
      <c r="A2089" s="14" t="str">
        <f>VLOOKUP(B2089,'Relacion codigos'!$A:$B,2,FALSE)</f>
        <v>7937</v>
      </c>
      <c r="B2089" s="6" t="s">
        <v>1344</v>
      </c>
      <c r="C2089" s="6" t="s">
        <v>939</v>
      </c>
      <c r="D2089" s="24">
        <v>168.31100000000001</v>
      </c>
      <c r="E2089" s="6" t="s">
        <v>5887</v>
      </c>
      <c r="F2089" s="6">
        <v>21</v>
      </c>
      <c r="G2089" s="8">
        <f t="shared" si="32"/>
        <v>261723.60500000001</v>
      </c>
    </row>
    <row r="2090" spans="1:7" x14ac:dyDescent="0.3">
      <c r="A2090" s="14" t="str">
        <f>VLOOKUP(B2090,'Relacion codigos'!$A:$B,2,FALSE)</f>
        <v>2527</v>
      </c>
      <c r="B2090" s="6" t="s">
        <v>1360</v>
      </c>
      <c r="C2090" s="6" t="s">
        <v>334</v>
      </c>
      <c r="D2090" s="24">
        <v>25.038</v>
      </c>
      <c r="E2090" s="6" t="s">
        <v>5887</v>
      </c>
      <c r="F2090" s="6">
        <v>21</v>
      </c>
      <c r="G2090" s="8">
        <f t="shared" si="32"/>
        <v>38934.090000000004</v>
      </c>
    </row>
    <row r="2091" spans="1:7" x14ac:dyDescent="0.3">
      <c r="A2091" s="14" t="str">
        <f>VLOOKUP(B2091,'Relacion codigos'!$A:$B,2,FALSE)</f>
        <v>8402</v>
      </c>
      <c r="B2091" s="6" t="s">
        <v>1345</v>
      </c>
      <c r="C2091" s="6" t="s">
        <v>940</v>
      </c>
      <c r="D2091" s="24">
        <v>119.626</v>
      </c>
      <c r="E2091" s="6" t="s">
        <v>5887</v>
      </c>
      <c r="F2091" s="6">
        <v>21</v>
      </c>
      <c r="G2091" s="8">
        <f t="shared" si="32"/>
        <v>186018.43</v>
      </c>
    </row>
    <row r="2092" spans="1:7" x14ac:dyDescent="0.3">
      <c r="A2092" s="14" t="str">
        <f>VLOOKUP(B2092,'Relacion codigos'!$A:$B,2,FALSE)</f>
        <v>6657</v>
      </c>
      <c r="B2092" s="6" t="s">
        <v>1346</v>
      </c>
      <c r="C2092" s="6" t="s">
        <v>335</v>
      </c>
      <c r="D2092" s="24">
        <v>95.978999999999999</v>
      </c>
      <c r="E2092" s="6" t="s">
        <v>5887</v>
      </c>
      <c r="F2092" s="6">
        <v>21</v>
      </c>
      <c r="G2092" s="8">
        <f t="shared" si="32"/>
        <v>149247.345</v>
      </c>
    </row>
    <row r="2093" spans="1:7" x14ac:dyDescent="0.3">
      <c r="A2093" s="14" t="str">
        <f>VLOOKUP(B2093,'Relacion codigos'!$A:$B,2,FALSE)</f>
        <v>6788</v>
      </c>
      <c r="B2093" s="6" t="s">
        <v>1347</v>
      </c>
      <c r="C2093" s="6" t="s">
        <v>336</v>
      </c>
      <c r="D2093" s="24">
        <v>108.498</v>
      </c>
      <c r="E2093" s="6" t="s">
        <v>5887</v>
      </c>
      <c r="F2093" s="6">
        <v>21</v>
      </c>
      <c r="G2093" s="8">
        <f t="shared" si="32"/>
        <v>168714.39</v>
      </c>
    </row>
    <row r="2094" spans="1:7" x14ac:dyDescent="0.3">
      <c r="A2094" s="14" t="str">
        <f>VLOOKUP(B2094,'Relacion codigos'!$A:$B,2,FALSE)</f>
        <v>2526</v>
      </c>
      <c r="B2094" s="6" t="s">
        <v>1361</v>
      </c>
      <c r="C2094" s="6" t="s">
        <v>337</v>
      </c>
      <c r="D2094" s="24">
        <v>25.038</v>
      </c>
      <c r="E2094" s="6" t="s">
        <v>5887</v>
      </c>
      <c r="F2094" s="6">
        <v>21</v>
      </c>
      <c r="G2094" s="8">
        <f t="shared" si="32"/>
        <v>38934.090000000004</v>
      </c>
    </row>
    <row r="2095" spans="1:7" x14ac:dyDescent="0.3">
      <c r="A2095" s="14" t="str">
        <f>VLOOKUP(B2095,'Relacion codigos'!$A:$B,2,FALSE)</f>
        <v>3088</v>
      </c>
      <c r="B2095" s="6" t="s">
        <v>1348</v>
      </c>
      <c r="C2095" s="6" t="s">
        <v>338</v>
      </c>
      <c r="D2095" s="24">
        <v>176.65700000000001</v>
      </c>
      <c r="E2095" s="6" t="s">
        <v>5887</v>
      </c>
      <c r="F2095" s="6">
        <v>21</v>
      </c>
      <c r="G2095" s="8">
        <f t="shared" si="32"/>
        <v>274701.63500000001</v>
      </c>
    </row>
    <row r="2096" spans="1:7" x14ac:dyDescent="0.3">
      <c r="A2096" s="14" t="str">
        <f>VLOOKUP(B2096,'Relacion codigos'!$A:$B,2,FALSE)</f>
        <v>568</v>
      </c>
      <c r="B2096" s="6" t="s">
        <v>1349</v>
      </c>
      <c r="C2096" s="6" t="s">
        <v>339</v>
      </c>
      <c r="D2096" s="24">
        <v>94.587999999999994</v>
      </c>
      <c r="E2096" s="6" t="s">
        <v>5887</v>
      </c>
      <c r="F2096" s="6">
        <v>21</v>
      </c>
      <c r="G2096" s="8">
        <f t="shared" si="32"/>
        <v>147084.34</v>
      </c>
    </row>
    <row r="2097" spans="1:7" x14ac:dyDescent="0.3">
      <c r="A2097" s="14" t="str">
        <f>VLOOKUP(B2097,'Relacion codigos'!$A:$B,2,FALSE)</f>
        <v>693</v>
      </c>
      <c r="B2097" s="6" t="s">
        <v>1350</v>
      </c>
      <c r="C2097" s="6" t="s">
        <v>340</v>
      </c>
      <c r="D2097" s="24">
        <v>108.498</v>
      </c>
      <c r="E2097" s="6" t="s">
        <v>5887</v>
      </c>
      <c r="F2097" s="6">
        <v>21</v>
      </c>
      <c r="G2097" s="8">
        <f t="shared" si="32"/>
        <v>168714.39</v>
      </c>
    </row>
    <row r="2098" spans="1:7" x14ac:dyDescent="0.3">
      <c r="A2098" s="14" t="str">
        <f>VLOOKUP(B2098,'Relacion codigos'!$A:$B,2,FALSE)</f>
        <v>4064</v>
      </c>
      <c r="B2098" s="6" t="s">
        <v>1351</v>
      </c>
      <c r="C2098" s="6" t="s">
        <v>341</v>
      </c>
      <c r="D2098" s="24">
        <v>121.017</v>
      </c>
      <c r="E2098" s="6" t="s">
        <v>5887</v>
      </c>
      <c r="F2098" s="6">
        <v>21</v>
      </c>
      <c r="G2098" s="8">
        <f t="shared" si="32"/>
        <v>188181.435</v>
      </c>
    </row>
    <row r="2099" spans="1:7" x14ac:dyDescent="0.3">
      <c r="A2099" s="14" t="str">
        <f>VLOOKUP(B2099,'Relacion codigos'!$A:$B,2,FALSE)</f>
        <v>2950</v>
      </c>
      <c r="B2099" s="6" t="s">
        <v>1352</v>
      </c>
      <c r="C2099" s="6" t="s">
        <v>342</v>
      </c>
      <c r="D2099" s="24">
        <v>133.536</v>
      </c>
      <c r="E2099" s="6" t="s">
        <v>5887</v>
      </c>
      <c r="F2099" s="6">
        <v>21</v>
      </c>
      <c r="G2099" s="8">
        <f t="shared" si="32"/>
        <v>207648.48</v>
      </c>
    </row>
    <row r="2100" spans="1:7" x14ac:dyDescent="0.3">
      <c r="A2100" s="14" t="e">
        <f>VLOOKUP(B2100,'Relacion codigos'!$A:$B,2,FALSE)</f>
        <v>#N/A</v>
      </c>
      <c r="B2100" s="6" t="s">
        <v>12050</v>
      </c>
      <c r="C2100" s="6" t="s">
        <v>12051</v>
      </c>
      <c r="D2100" s="24">
        <v>2.0725899999999999</v>
      </c>
      <c r="E2100" s="6" t="s">
        <v>5887</v>
      </c>
      <c r="F2100" s="6">
        <v>21</v>
      </c>
      <c r="G2100" s="8">
        <f t="shared" si="32"/>
        <v>3222.87745</v>
      </c>
    </row>
    <row r="2101" spans="1:7" x14ac:dyDescent="0.3">
      <c r="A2101" s="14" t="str">
        <f>VLOOKUP(B2101,'Relacion codigos'!$A:$B,2,FALSE)</f>
        <v>2700</v>
      </c>
      <c r="B2101" s="6" t="s">
        <v>1342</v>
      </c>
      <c r="C2101" s="6" t="s">
        <v>343</v>
      </c>
      <c r="D2101" s="24">
        <v>61.204000000000001</v>
      </c>
      <c r="E2101" s="6" t="s">
        <v>5887</v>
      </c>
      <c r="F2101" s="6">
        <v>21</v>
      </c>
      <c r="G2101" s="8">
        <f t="shared" si="32"/>
        <v>95172.22</v>
      </c>
    </row>
    <row r="2102" spans="1:7" x14ac:dyDescent="0.3">
      <c r="A2102" s="14" t="str">
        <f>VLOOKUP(B2102,'Relacion codigos'!$A:$B,2,FALSE)</f>
        <v>7214</v>
      </c>
      <c r="B2102" s="6" t="s">
        <v>4240</v>
      </c>
      <c r="C2102" s="6" t="s">
        <v>13988</v>
      </c>
      <c r="D2102" s="24">
        <v>19.881225000000001</v>
      </c>
      <c r="E2102" s="6" t="s">
        <v>5887</v>
      </c>
      <c r="F2102" s="6">
        <v>21</v>
      </c>
      <c r="G2102" s="8">
        <f t="shared" si="32"/>
        <v>30915.304875000002</v>
      </c>
    </row>
    <row r="2103" spans="1:7" x14ac:dyDescent="0.3">
      <c r="A2103" s="14" t="str">
        <f>VLOOKUP(B2103,'Relacion codigos'!$A:$B,2,FALSE)</f>
        <v>6589</v>
      </c>
      <c r="B2103" s="6" t="s">
        <v>4241</v>
      </c>
      <c r="C2103" s="6" t="s">
        <v>13989</v>
      </c>
      <c r="D2103" s="24">
        <v>27.784575</v>
      </c>
      <c r="E2103" s="6" t="s">
        <v>5887</v>
      </c>
      <c r="F2103" s="6">
        <v>21</v>
      </c>
      <c r="G2103" s="8">
        <f t="shared" si="32"/>
        <v>43205.014125000002</v>
      </c>
    </row>
    <row r="2104" spans="1:7" x14ac:dyDescent="0.3">
      <c r="A2104" s="14" t="e">
        <f>VLOOKUP(B2104,'Relacion codigos'!$A:$B,2,FALSE)</f>
        <v>#N/A</v>
      </c>
      <c r="B2104" s="6" t="s">
        <v>11629</v>
      </c>
      <c r="C2104" s="6" t="s">
        <v>13990</v>
      </c>
      <c r="D2104" s="24">
        <v>34.793849999999999</v>
      </c>
      <c r="E2104" s="6" t="s">
        <v>5887</v>
      </c>
      <c r="F2104" s="6">
        <v>21</v>
      </c>
      <c r="G2104" s="8">
        <f t="shared" si="32"/>
        <v>54104.436750000001</v>
      </c>
    </row>
    <row r="2105" spans="1:7" x14ac:dyDescent="0.3">
      <c r="A2105" s="14" t="e">
        <f>VLOOKUP(B2105,'Relacion codigos'!$A:$B,2,FALSE)</f>
        <v>#N/A</v>
      </c>
      <c r="B2105" s="6" t="s">
        <v>11279</v>
      </c>
      <c r="C2105" s="6" t="s">
        <v>13991</v>
      </c>
      <c r="D2105" s="24">
        <v>39.195974999999997</v>
      </c>
      <c r="E2105" s="6" t="s">
        <v>5887</v>
      </c>
      <c r="F2105" s="6">
        <v>21</v>
      </c>
      <c r="G2105" s="8">
        <f t="shared" si="32"/>
        <v>60949.741124999993</v>
      </c>
    </row>
    <row r="2106" spans="1:7" x14ac:dyDescent="0.3">
      <c r="A2106" s="14" t="str">
        <f>VLOOKUP(B2106,'Relacion codigos'!$A:$B,2,FALSE)</f>
        <v>4220</v>
      </c>
      <c r="B2106" s="6" t="s">
        <v>4243</v>
      </c>
      <c r="C2106" s="6" t="s">
        <v>13992</v>
      </c>
      <c r="D2106" s="24">
        <v>9.9917999999999996</v>
      </c>
      <c r="E2106" s="6" t="s">
        <v>5887</v>
      </c>
      <c r="F2106" s="6">
        <v>21</v>
      </c>
      <c r="G2106" s="8">
        <f t="shared" si="32"/>
        <v>15537.249</v>
      </c>
    </row>
    <row r="2107" spans="1:7" x14ac:dyDescent="0.3">
      <c r="A2107" s="14" t="str">
        <f>VLOOKUP(B2107,'Relacion codigos'!$A:$B,2,FALSE)</f>
        <v>7219</v>
      </c>
      <c r="B2107" s="6" t="s">
        <v>4244</v>
      </c>
      <c r="C2107" s="6" t="s">
        <v>13993</v>
      </c>
      <c r="D2107" s="24">
        <v>10.5924</v>
      </c>
      <c r="E2107" s="6" t="s">
        <v>5887</v>
      </c>
      <c r="F2107" s="6">
        <v>21</v>
      </c>
      <c r="G2107" s="8">
        <f t="shared" si="32"/>
        <v>16471.182000000001</v>
      </c>
    </row>
    <row r="2108" spans="1:7" x14ac:dyDescent="0.3">
      <c r="A2108" s="14" t="e">
        <f>VLOOKUP(B2108,'Relacion codigos'!$A:$B,2,FALSE)</f>
        <v>#N/A</v>
      </c>
      <c r="B2108" s="6" t="s">
        <v>12326</v>
      </c>
      <c r="C2108" s="6" t="s">
        <v>13994</v>
      </c>
      <c r="D2108" s="24">
        <v>13.779674999999999</v>
      </c>
      <c r="E2108" s="6" t="s">
        <v>5887</v>
      </c>
      <c r="F2108" s="6">
        <v>21</v>
      </c>
      <c r="G2108" s="8">
        <f t="shared" si="32"/>
        <v>21427.394624999997</v>
      </c>
    </row>
    <row r="2109" spans="1:7" x14ac:dyDescent="0.3">
      <c r="A2109" s="14" t="str">
        <f>VLOOKUP(B2109,'Relacion codigos'!$A:$B,2,FALSE)</f>
        <v>7213</v>
      </c>
      <c r="B2109" s="6" t="s">
        <v>4245</v>
      </c>
      <c r="C2109" s="6" t="s">
        <v>13995</v>
      </c>
      <c r="D2109" s="24">
        <v>14.10045</v>
      </c>
      <c r="E2109" s="6" t="s">
        <v>5887</v>
      </c>
      <c r="F2109" s="6">
        <v>21</v>
      </c>
      <c r="G2109" s="8">
        <f t="shared" si="32"/>
        <v>21926.19975</v>
      </c>
    </row>
    <row r="2110" spans="1:7" x14ac:dyDescent="0.3">
      <c r="A2110" s="14" t="e">
        <f>VLOOKUP(B2110,'Relacion codigos'!$A:$B,2,FALSE)</f>
        <v>#N/A</v>
      </c>
      <c r="B2110" s="6" t="s">
        <v>10291</v>
      </c>
      <c r="C2110" s="6" t="s">
        <v>13996</v>
      </c>
      <c r="D2110" s="24">
        <v>16.127475</v>
      </c>
      <c r="E2110" s="6" t="s">
        <v>5887</v>
      </c>
      <c r="F2110" s="6">
        <v>21</v>
      </c>
      <c r="G2110" s="8">
        <f t="shared" si="32"/>
        <v>25078.223625000002</v>
      </c>
    </row>
    <row r="2111" spans="1:7" x14ac:dyDescent="0.3">
      <c r="A2111" s="14" t="e">
        <f>VLOOKUP(B2111,'Relacion codigos'!$A:$B,2,FALSE)</f>
        <v>#N/A</v>
      </c>
      <c r="B2111" s="6" t="s">
        <v>10886</v>
      </c>
      <c r="C2111" s="6" t="s">
        <v>13997</v>
      </c>
      <c r="D2111" s="24">
        <v>19.505849999999999</v>
      </c>
      <c r="E2111" s="6" t="s">
        <v>5887</v>
      </c>
      <c r="F2111" s="6">
        <v>21</v>
      </c>
      <c r="G2111" s="8">
        <f t="shared" si="32"/>
        <v>30331.596749999997</v>
      </c>
    </row>
    <row r="2112" spans="1:7" x14ac:dyDescent="0.3">
      <c r="A2112" s="14" t="e">
        <f>VLOOKUP(B2112,'Relacion codigos'!$A:$B,2,FALSE)</f>
        <v>#N/A</v>
      </c>
      <c r="B2112" s="6" t="s">
        <v>12876</v>
      </c>
      <c r="C2112" s="6" t="s">
        <v>13998</v>
      </c>
      <c r="D2112" s="24">
        <v>23.512125000000001</v>
      </c>
      <c r="E2112" s="6" t="s">
        <v>5887</v>
      </c>
      <c r="F2112" s="6">
        <v>21</v>
      </c>
      <c r="G2112" s="8">
        <f t="shared" si="32"/>
        <v>36561.354375000003</v>
      </c>
    </row>
    <row r="2113" spans="1:7" x14ac:dyDescent="0.3">
      <c r="A2113" s="14" t="e">
        <f>VLOOKUP(B2113,'Relacion codigos'!$A:$B,2,FALSE)</f>
        <v>#N/A</v>
      </c>
      <c r="B2113" s="6" t="s">
        <v>13883</v>
      </c>
      <c r="C2113" s="6" t="s">
        <v>13884</v>
      </c>
      <c r="D2113" s="24">
        <v>6.4701000000000004</v>
      </c>
      <c r="E2113" s="6" t="s">
        <v>5887</v>
      </c>
      <c r="F2113" s="6">
        <v>21</v>
      </c>
      <c r="G2113" s="8">
        <f t="shared" si="32"/>
        <v>10061.005500000001</v>
      </c>
    </row>
    <row r="2114" spans="1:7" x14ac:dyDescent="0.3">
      <c r="A2114" s="14" t="e">
        <f>VLOOKUP(B2114,'Relacion codigos'!$A:$B,2,FALSE)</f>
        <v>#N/A</v>
      </c>
      <c r="B2114" s="6" t="s">
        <v>13885</v>
      </c>
      <c r="C2114" s="6" t="s">
        <v>13886</v>
      </c>
      <c r="D2114" s="24">
        <v>8.4493500000000008</v>
      </c>
      <c r="E2114" s="6" t="s">
        <v>5887</v>
      </c>
      <c r="F2114" s="6">
        <v>21</v>
      </c>
      <c r="G2114" s="8">
        <f t="shared" ref="G2114:G2177" si="33">IF(E2114="Dolares",D2114*$G$1,D2114)</f>
        <v>13138.739250000001</v>
      </c>
    </row>
    <row r="2115" spans="1:7" x14ac:dyDescent="0.3">
      <c r="A2115" s="14" t="e">
        <f>VLOOKUP(B2115,'Relacion codigos'!$A:$B,2,FALSE)</f>
        <v>#N/A</v>
      </c>
      <c r="B2115" s="6" t="s">
        <v>9768</v>
      </c>
      <c r="C2115" s="6" t="s">
        <v>9769</v>
      </c>
      <c r="D2115" s="24">
        <v>12.674736360000001</v>
      </c>
      <c r="E2115" s="6" t="s">
        <v>5887</v>
      </c>
      <c r="F2115" s="6">
        <v>21</v>
      </c>
      <c r="G2115" s="8">
        <f t="shared" si="33"/>
        <v>19709.215039800001</v>
      </c>
    </row>
    <row r="2116" spans="1:7" x14ac:dyDescent="0.3">
      <c r="A2116" s="14" t="e">
        <f>VLOOKUP(B2116,'Relacion codigos'!$A:$B,2,FALSE)</f>
        <v>#N/A</v>
      </c>
      <c r="B2116" s="6" t="s">
        <v>9770</v>
      </c>
      <c r="C2116" s="6" t="s">
        <v>9771</v>
      </c>
      <c r="D2116" s="24">
        <v>22.308858000000001</v>
      </c>
      <c r="E2116" s="6" t="s">
        <v>5887</v>
      </c>
      <c r="F2116" s="6">
        <v>21</v>
      </c>
      <c r="G2116" s="8">
        <f t="shared" si="33"/>
        <v>34690.274190000004</v>
      </c>
    </row>
    <row r="2117" spans="1:7" x14ac:dyDescent="0.3">
      <c r="A2117" s="14" t="str">
        <f>VLOOKUP(B2117,'Relacion codigos'!$A:$B,2,FALSE)</f>
        <v>2575</v>
      </c>
      <c r="B2117" s="6" t="s">
        <v>3024</v>
      </c>
      <c r="C2117" s="6" t="s">
        <v>13148</v>
      </c>
      <c r="D2117" s="24">
        <v>9.4176263999999996</v>
      </c>
      <c r="E2117" s="6" t="s">
        <v>5887</v>
      </c>
      <c r="F2117" s="6">
        <v>21</v>
      </c>
      <c r="G2117" s="8">
        <f t="shared" si="33"/>
        <v>14644.409051999999</v>
      </c>
    </row>
    <row r="2118" spans="1:7" x14ac:dyDescent="0.3">
      <c r="A2118" s="14" t="str">
        <f>VLOOKUP(B2118,'Relacion codigos'!$A:$B,2,FALSE)</f>
        <v>2565</v>
      </c>
      <c r="B2118" s="6" t="s">
        <v>3025</v>
      </c>
      <c r="C2118" s="6" t="s">
        <v>13149</v>
      </c>
      <c r="D2118" s="24">
        <v>3.6997817999999998</v>
      </c>
      <c r="E2118" s="6" t="s">
        <v>5887</v>
      </c>
      <c r="F2118" s="6">
        <v>21</v>
      </c>
      <c r="G2118" s="8">
        <f t="shared" si="33"/>
        <v>5753.160699</v>
      </c>
    </row>
    <row r="2119" spans="1:7" x14ac:dyDescent="0.3">
      <c r="A2119" s="14" t="str">
        <f>VLOOKUP(B2119,'Relacion codigos'!$A:$B,2,FALSE)</f>
        <v>2571</v>
      </c>
      <c r="B2119" s="6" t="s">
        <v>3026</v>
      </c>
      <c r="C2119" s="6" t="s">
        <v>13150</v>
      </c>
      <c r="D2119" s="24">
        <v>3.6997817999999998</v>
      </c>
      <c r="E2119" s="6" t="s">
        <v>5887</v>
      </c>
      <c r="F2119" s="6">
        <v>21</v>
      </c>
      <c r="G2119" s="8">
        <f t="shared" si="33"/>
        <v>5753.160699</v>
      </c>
    </row>
    <row r="2120" spans="1:7" x14ac:dyDescent="0.3">
      <c r="A2120" s="14" t="str">
        <f>VLOOKUP(B2120,'Relacion codigos'!$A:$B,2,FALSE)</f>
        <v>1509</v>
      </c>
      <c r="B2120" s="6" t="s">
        <v>3027</v>
      </c>
      <c r="C2120" s="6" t="s">
        <v>12705</v>
      </c>
      <c r="D2120" s="24">
        <v>3.4329749999999999</v>
      </c>
      <c r="E2120" s="6" t="s">
        <v>5887</v>
      </c>
      <c r="F2120" s="6">
        <v>21</v>
      </c>
      <c r="G2120" s="8">
        <f t="shared" si="33"/>
        <v>5338.2761249999994</v>
      </c>
    </row>
    <row r="2121" spans="1:7" x14ac:dyDescent="0.3">
      <c r="A2121" s="14" t="str">
        <f>VLOOKUP(B2121,'Relacion codigos'!$A:$B,2,FALSE)</f>
        <v>2573</v>
      </c>
      <c r="B2121" s="6" t="s">
        <v>3028</v>
      </c>
      <c r="C2121" s="6" t="s">
        <v>12706</v>
      </c>
      <c r="D2121" s="24">
        <v>3.4329749999999999</v>
      </c>
      <c r="E2121" s="6" t="s">
        <v>5887</v>
      </c>
      <c r="F2121" s="6">
        <v>21</v>
      </c>
      <c r="G2121" s="8">
        <f t="shared" si="33"/>
        <v>5338.2761249999994</v>
      </c>
    </row>
    <row r="2122" spans="1:7" x14ac:dyDescent="0.3">
      <c r="A2122" s="14" t="str">
        <f>VLOOKUP(B2122,'Relacion codigos'!$A:$B,2,FALSE)</f>
        <v>1521</v>
      </c>
      <c r="B2122" s="6" t="s">
        <v>3029</v>
      </c>
      <c r="C2122" s="6" t="s">
        <v>13151</v>
      </c>
      <c r="D2122" s="24">
        <v>9.4176263999999996</v>
      </c>
      <c r="E2122" s="6" t="s">
        <v>5887</v>
      </c>
      <c r="F2122" s="6">
        <v>21</v>
      </c>
      <c r="G2122" s="8">
        <f t="shared" si="33"/>
        <v>14644.409051999999</v>
      </c>
    </row>
    <row r="2123" spans="1:7" x14ac:dyDescent="0.3">
      <c r="A2123" s="14" t="str">
        <f>VLOOKUP(B2123,'Relacion codigos'!$A:$B,2,FALSE)</f>
        <v>2576</v>
      </c>
      <c r="B2123" s="6" t="s">
        <v>3030</v>
      </c>
      <c r="C2123" s="6" t="s">
        <v>13152</v>
      </c>
      <c r="D2123" s="24">
        <v>9.4176263999999996</v>
      </c>
      <c r="E2123" s="6" t="s">
        <v>5887</v>
      </c>
      <c r="F2123" s="6">
        <v>21</v>
      </c>
      <c r="G2123" s="8">
        <f t="shared" si="33"/>
        <v>14644.409051999999</v>
      </c>
    </row>
    <row r="2124" spans="1:7" x14ac:dyDescent="0.3">
      <c r="A2124" s="14" t="str">
        <f>VLOOKUP(B2124,'Relacion codigos'!$A:$B,2,FALSE)</f>
        <v>2583</v>
      </c>
      <c r="B2124" s="6" t="s">
        <v>3031</v>
      </c>
      <c r="C2124" s="6" t="s">
        <v>13153</v>
      </c>
      <c r="D2124" s="24">
        <v>14.4953328</v>
      </c>
      <c r="E2124" s="6" t="s">
        <v>5887</v>
      </c>
      <c r="F2124" s="6">
        <v>21</v>
      </c>
      <c r="G2124" s="8">
        <f t="shared" si="33"/>
        <v>22540.242504000002</v>
      </c>
    </row>
    <row r="2125" spans="1:7" x14ac:dyDescent="0.3">
      <c r="A2125" s="14" t="str">
        <f>VLOOKUP(B2125,'Relacion codigos'!$A:$B,2,FALSE)</f>
        <v>2566</v>
      </c>
      <c r="B2125" s="6" t="s">
        <v>3032</v>
      </c>
      <c r="C2125" s="6" t="s">
        <v>12878</v>
      </c>
      <c r="D2125" s="24">
        <v>3.5421749999999999</v>
      </c>
      <c r="E2125" s="6" t="s">
        <v>5887</v>
      </c>
      <c r="F2125" s="6">
        <v>21</v>
      </c>
      <c r="G2125" s="8">
        <f t="shared" si="33"/>
        <v>5508.0821249999999</v>
      </c>
    </row>
    <row r="2126" spans="1:7" x14ac:dyDescent="0.3">
      <c r="A2126" s="14" t="str">
        <f>VLOOKUP(B2126,'Relacion codigos'!$A:$B,2,FALSE)</f>
        <v>2567</v>
      </c>
      <c r="B2126" s="6" t="s">
        <v>3033</v>
      </c>
      <c r="C2126" s="6" t="s">
        <v>13154</v>
      </c>
      <c r="D2126" s="24">
        <v>3.5421749999999999</v>
      </c>
      <c r="E2126" s="6" t="s">
        <v>5887</v>
      </c>
      <c r="F2126" s="6">
        <v>21</v>
      </c>
      <c r="G2126" s="8">
        <f t="shared" si="33"/>
        <v>5508.0821249999999</v>
      </c>
    </row>
    <row r="2127" spans="1:7" x14ac:dyDescent="0.3">
      <c r="A2127" s="14" t="str">
        <f>VLOOKUP(B2127,'Relacion codigos'!$A:$B,2,FALSE)</f>
        <v>2569</v>
      </c>
      <c r="B2127" s="6" t="s">
        <v>3034</v>
      </c>
      <c r="C2127" s="6" t="s">
        <v>13155</v>
      </c>
      <c r="D2127" s="24">
        <v>3.6997817999999998</v>
      </c>
      <c r="E2127" s="6" t="s">
        <v>5887</v>
      </c>
      <c r="F2127" s="6">
        <v>21</v>
      </c>
      <c r="G2127" s="8">
        <f t="shared" si="33"/>
        <v>5753.160699</v>
      </c>
    </row>
    <row r="2128" spans="1:7" x14ac:dyDescent="0.3">
      <c r="A2128" s="14" t="str">
        <f>VLOOKUP(B2128,'Relacion codigos'!$A:$B,2,FALSE)</f>
        <v>2568</v>
      </c>
      <c r="B2128" s="6" t="s">
        <v>3035</v>
      </c>
      <c r="C2128" s="6" t="s">
        <v>13156</v>
      </c>
      <c r="D2128" s="24">
        <v>4.8064613999999999</v>
      </c>
      <c r="E2128" s="6" t="s">
        <v>5887</v>
      </c>
      <c r="F2128" s="6">
        <v>21</v>
      </c>
      <c r="G2128" s="8">
        <f t="shared" si="33"/>
        <v>7474.0474770000001</v>
      </c>
    </row>
    <row r="2129" spans="1:7" x14ac:dyDescent="0.3">
      <c r="A2129" s="14" t="str">
        <f>VLOOKUP(B2129,'Relacion codigos'!$A:$B,2,FALSE)</f>
        <v>2570</v>
      </c>
      <c r="B2129" s="6" t="s">
        <v>3036</v>
      </c>
      <c r="C2129" s="6" t="s">
        <v>13157</v>
      </c>
      <c r="D2129" s="24">
        <v>3.6997817999999998</v>
      </c>
      <c r="E2129" s="6" t="s">
        <v>5887</v>
      </c>
      <c r="F2129" s="6">
        <v>21</v>
      </c>
      <c r="G2129" s="8">
        <f t="shared" si="33"/>
        <v>5753.160699</v>
      </c>
    </row>
    <row r="2130" spans="1:7" x14ac:dyDescent="0.3">
      <c r="A2130" s="14" t="str">
        <f>VLOOKUP(B2130,'Relacion codigos'!$A:$B,2,FALSE)</f>
        <v>2572</v>
      </c>
      <c r="B2130" s="6" t="s">
        <v>3037</v>
      </c>
      <c r="C2130" s="6" t="s">
        <v>12707</v>
      </c>
      <c r="D2130" s="24">
        <v>3.4329749999999999</v>
      </c>
      <c r="E2130" s="6" t="s">
        <v>5887</v>
      </c>
      <c r="F2130" s="6">
        <v>21</v>
      </c>
      <c r="G2130" s="8">
        <f t="shared" si="33"/>
        <v>5338.2761249999994</v>
      </c>
    </row>
    <row r="2131" spans="1:7" x14ac:dyDescent="0.3">
      <c r="A2131" s="14" t="str">
        <f>VLOOKUP(B2131,'Relacion codigos'!$A:$B,2,FALSE)</f>
        <v>2564</v>
      </c>
      <c r="B2131" s="6" t="s">
        <v>3038</v>
      </c>
      <c r="C2131" s="6" t="s">
        <v>13158</v>
      </c>
      <c r="D2131" s="24">
        <v>3.6997817999999998</v>
      </c>
      <c r="E2131" s="6" t="s">
        <v>5887</v>
      </c>
      <c r="F2131" s="6">
        <v>21</v>
      </c>
      <c r="G2131" s="8">
        <f t="shared" si="33"/>
        <v>5753.160699</v>
      </c>
    </row>
    <row r="2132" spans="1:7" x14ac:dyDescent="0.3">
      <c r="A2132" s="14" t="str">
        <f>VLOOKUP(B2132,'Relacion codigos'!$A:$B,2,FALSE)</f>
        <v>1517</v>
      </c>
      <c r="B2132" s="6" t="s">
        <v>3039</v>
      </c>
      <c r="C2132" s="6" t="s">
        <v>12708</v>
      </c>
      <c r="D2132" s="24">
        <v>3.4329749999999999</v>
      </c>
      <c r="E2132" s="6" t="s">
        <v>5887</v>
      </c>
      <c r="F2132" s="6">
        <v>21</v>
      </c>
      <c r="G2132" s="8">
        <f t="shared" si="33"/>
        <v>5338.2761249999994</v>
      </c>
    </row>
    <row r="2133" spans="1:7" x14ac:dyDescent="0.3">
      <c r="A2133" s="14" t="str">
        <f>VLOOKUP(B2133,'Relacion codigos'!$A:$B,2,FALSE)</f>
        <v>2574</v>
      </c>
      <c r="B2133" s="6" t="s">
        <v>3040</v>
      </c>
      <c r="C2133" s="6" t="s">
        <v>13159</v>
      </c>
      <c r="D2133" s="24">
        <v>9.4176263999999996</v>
      </c>
      <c r="E2133" s="6" t="s">
        <v>5887</v>
      </c>
      <c r="F2133" s="6">
        <v>21</v>
      </c>
      <c r="G2133" s="8">
        <f t="shared" si="33"/>
        <v>14644.409051999999</v>
      </c>
    </row>
    <row r="2134" spans="1:7" x14ac:dyDescent="0.3">
      <c r="A2134" s="14" t="str">
        <f>VLOOKUP(B2134,'Relacion codigos'!$A:$B,2,FALSE)</f>
        <v>2014</v>
      </c>
      <c r="B2134" s="6" t="s">
        <v>3041</v>
      </c>
      <c r="C2134" s="6" t="s">
        <v>13160</v>
      </c>
      <c r="D2134" s="24">
        <v>9.4176263999999996</v>
      </c>
      <c r="E2134" s="6" t="s">
        <v>5887</v>
      </c>
      <c r="F2134" s="6">
        <v>21</v>
      </c>
      <c r="G2134" s="8">
        <f t="shared" si="33"/>
        <v>14644.409051999999</v>
      </c>
    </row>
    <row r="2135" spans="1:7" x14ac:dyDescent="0.3">
      <c r="A2135" s="14" t="str">
        <f>VLOOKUP(B2135,'Relacion codigos'!$A:$B,2,FALSE)</f>
        <v>1520</v>
      </c>
      <c r="B2135" s="6" t="s">
        <v>3042</v>
      </c>
      <c r="C2135" s="6" t="s">
        <v>13161</v>
      </c>
      <c r="D2135" s="24">
        <v>9.4176263999999996</v>
      </c>
      <c r="E2135" s="6" t="s">
        <v>5887</v>
      </c>
      <c r="F2135" s="6">
        <v>21</v>
      </c>
      <c r="G2135" s="8">
        <f t="shared" si="33"/>
        <v>14644.409051999999</v>
      </c>
    </row>
    <row r="2136" spans="1:7" x14ac:dyDescent="0.3">
      <c r="A2136" s="14" t="str">
        <f>VLOOKUP(B2136,'Relacion codigos'!$A:$B,2,FALSE)</f>
        <v>2577</v>
      </c>
      <c r="B2136" s="6" t="s">
        <v>3043</v>
      </c>
      <c r="C2136" s="6" t="s">
        <v>13162</v>
      </c>
      <c r="D2136" s="24">
        <v>9.4176263999999996</v>
      </c>
      <c r="E2136" s="6" t="s">
        <v>5887</v>
      </c>
      <c r="F2136" s="6">
        <v>21</v>
      </c>
      <c r="G2136" s="8">
        <f t="shared" si="33"/>
        <v>14644.409051999999</v>
      </c>
    </row>
    <row r="2137" spans="1:7" x14ac:dyDescent="0.3">
      <c r="A2137" s="14" t="str">
        <f>VLOOKUP(B2137,'Relacion codigos'!$A:$B,2,FALSE)</f>
        <v>2578</v>
      </c>
      <c r="B2137" s="6" t="s">
        <v>3044</v>
      </c>
      <c r="C2137" s="6" t="s">
        <v>13163</v>
      </c>
      <c r="D2137" s="24">
        <v>9.4176263999999996</v>
      </c>
      <c r="E2137" s="6" t="s">
        <v>5887</v>
      </c>
      <c r="F2137" s="6">
        <v>21</v>
      </c>
      <c r="G2137" s="8">
        <f t="shared" si="33"/>
        <v>14644.409051999999</v>
      </c>
    </row>
    <row r="2138" spans="1:7" x14ac:dyDescent="0.3">
      <c r="A2138" s="14" t="str">
        <f>VLOOKUP(B2138,'Relacion codigos'!$A:$B,2,FALSE)</f>
        <v>2579</v>
      </c>
      <c r="B2138" s="6" t="s">
        <v>3045</v>
      </c>
      <c r="C2138" s="6" t="s">
        <v>13164</v>
      </c>
      <c r="D2138" s="24">
        <v>9.4176263999999996</v>
      </c>
      <c r="E2138" s="6" t="s">
        <v>5887</v>
      </c>
      <c r="F2138" s="6">
        <v>21</v>
      </c>
      <c r="G2138" s="8">
        <f t="shared" si="33"/>
        <v>14644.409051999999</v>
      </c>
    </row>
    <row r="2139" spans="1:7" x14ac:dyDescent="0.3">
      <c r="A2139" s="14" t="str">
        <f>VLOOKUP(B2139,'Relacion codigos'!$A:$B,2,FALSE)</f>
        <v>2580</v>
      </c>
      <c r="B2139" s="6" t="s">
        <v>3046</v>
      </c>
      <c r="C2139" s="6" t="s">
        <v>13165</v>
      </c>
      <c r="D2139" s="24">
        <v>14.4953328</v>
      </c>
      <c r="E2139" s="6" t="s">
        <v>5887</v>
      </c>
      <c r="F2139" s="6">
        <v>21</v>
      </c>
      <c r="G2139" s="8">
        <f t="shared" si="33"/>
        <v>22540.242504000002</v>
      </c>
    </row>
    <row r="2140" spans="1:7" x14ac:dyDescent="0.3">
      <c r="A2140" s="14" t="str">
        <f>VLOOKUP(B2140,'Relacion codigos'!$A:$B,2,FALSE)</f>
        <v>2581</v>
      </c>
      <c r="B2140" s="6" t="s">
        <v>3047</v>
      </c>
      <c r="C2140" s="6" t="s">
        <v>13166</v>
      </c>
      <c r="D2140" s="24">
        <v>14.4953328</v>
      </c>
      <c r="E2140" s="6" t="s">
        <v>5887</v>
      </c>
      <c r="F2140" s="6">
        <v>21</v>
      </c>
      <c r="G2140" s="8">
        <f t="shared" si="33"/>
        <v>22540.242504000002</v>
      </c>
    </row>
    <row r="2141" spans="1:7" x14ac:dyDescent="0.3">
      <c r="A2141" s="14" t="str">
        <f>VLOOKUP(B2141,'Relacion codigos'!$A:$B,2,FALSE)</f>
        <v>1522</v>
      </c>
      <c r="B2141" s="6" t="s">
        <v>3048</v>
      </c>
      <c r="C2141" s="6" t="s">
        <v>13167</v>
      </c>
      <c r="D2141" s="24">
        <v>14.4953328</v>
      </c>
      <c r="E2141" s="6" t="s">
        <v>5887</v>
      </c>
      <c r="F2141" s="6">
        <v>21</v>
      </c>
      <c r="G2141" s="8">
        <f t="shared" si="33"/>
        <v>22540.242504000002</v>
      </c>
    </row>
    <row r="2142" spans="1:7" x14ac:dyDescent="0.3">
      <c r="A2142" s="14" t="str">
        <f>VLOOKUP(B2142,'Relacion codigos'!$A:$B,2,FALSE)</f>
        <v>2586</v>
      </c>
      <c r="B2142" s="6" t="s">
        <v>3049</v>
      </c>
      <c r="C2142" s="6" t="s">
        <v>13168</v>
      </c>
      <c r="D2142" s="24">
        <v>14.4953328</v>
      </c>
      <c r="E2142" s="6" t="s">
        <v>5887</v>
      </c>
      <c r="F2142" s="6">
        <v>21</v>
      </c>
      <c r="G2142" s="8">
        <f t="shared" si="33"/>
        <v>22540.242504000002</v>
      </c>
    </row>
    <row r="2143" spans="1:7" x14ac:dyDescent="0.3">
      <c r="A2143" s="14" t="str">
        <f>VLOOKUP(B2143,'Relacion codigos'!$A:$B,2,FALSE)</f>
        <v>2582</v>
      </c>
      <c r="B2143" s="6" t="s">
        <v>3050</v>
      </c>
      <c r="C2143" s="6" t="s">
        <v>13169</v>
      </c>
      <c r="D2143" s="24">
        <v>14.4953328</v>
      </c>
      <c r="E2143" s="6" t="s">
        <v>5887</v>
      </c>
      <c r="F2143" s="6">
        <v>21</v>
      </c>
      <c r="G2143" s="8">
        <f t="shared" si="33"/>
        <v>22540.242504000002</v>
      </c>
    </row>
    <row r="2144" spans="1:7" x14ac:dyDescent="0.3">
      <c r="A2144" s="14" t="str">
        <f>VLOOKUP(B2144,'Relacion codigos'!$A:$B,2,FALSE)</f>
        <v>2588</v>
      </c>
      <c r="B2144" s="6" t="s">
        <v>3051</v>
      </c>
      <c r="C2144" s="6" t="s">
        <v>13170</v>
      </c>
      <c r="D2144" s="24">
        <v>29.468056799999999</v>
      </c>
      <c r="E2144" s="6" t="s">
        <v>5887</v>
      </c>
      <c r="F2144" s="6">
        <v>21</v>
      </c>
      <c r="G2144" s="8">
        <f t="shared" si="33"/>
        <v>45822.828324000002</v>
      </c>
    </row>
    <row r="2145" spans="1:7" x14ac:dyDescent="0.3">
      <c r="A2145" s="14" t="str">
        <f>VLOOKUP(B2145,'Relacion codigos'!$A:$B,2,FALSE)</f>
        <v>8044</v>
      </c>
      <c r="B2145" s="6" t="s">
        <v>3237</v>
      </c>
      <c r="C2145" s="6" t="s">
        <v>10666</v>
      </c>
      <c r="D2145" s="24">
        <v>184129.67097817501</v>
      </c>
      <c r="E2145" s="6" t="s">
        <v>5889</v>
      </c>
      <c r="F2145" s="6">
        <v>21</v>
      </c>
      <c r="G2145" s="8">
        <f t="shared" si="33"/>
        <v>184129.67097817501</v>
      </c>
    </row>
    <row r="2146" spans="1:7" x14ac:dyDescent="0.3">
      <c r="A2146" s="14" t="str">
        <f>VLOOKUP(B2146,'Relacion codigos'!$A:$B,2,FALSE)</f>
        <v>8045</v>
      </c>
      <c r="B2146" s="6" t="s">
        <v>3238</v>
      </c>
      <c r="C2146" s="6" t="s">
        <v>941</v>
      </c>
      <c r="D2146" s="24">
        <v>231273.118284</v>
      </c>
      <c r="E2146" s="6" t="s">
        <v>5889</v>
      </c>
      <c r="F2146" s="6">
        <v>21</v>
      </c>
      <c r="G2146" s="8">
        <f t="shared" si="33"/>
        <v>231273.118284</v>
      </c>
    </row>
    <row r="2147" spans="1:7" x14ac:dyDescent="0.3">
      <c r="A2147" s="14" t="str">
        <f>VLOOKUP(B2147,'Relacion codigos'!$A:$B,2,FALSE)</f>
        <v>8046</v>
      </c>
      <c r="B2147" s="6" t="s">
        <v>3239</v>
      </c>
      <c r="C2147" s="6" t="s">
        <v>10667</v>
      </c>
      <c r="D2147" s="24">
        <v>255424.62327330001</v>
      </c>
      <c r="E2147" s="6" t="s">
        <v>5889</v>
      </c>
      <c r="F2147" s="6">
        <v>21</v>
      </c>
      <c r="G2147" s="8">
        <f t="shared" si="33"/>
        <v>255424.62327330001</v>
      </c>
    </row>
    <row r="2148" spans="1:7" x14ac:dyDescent="0.3">
      <c r="A2148" s="14" t="e">
        <f>VLOOKUP(B2148,'Relacion codigos'!$A:$B,2,FALSE)</f>
        <v>#N/A</v>
      </c>
      <c r="B2148" s="6" t="s">
        <v>13760</v>
      </c>
      <c r="C2148" s="6" t="s">
        <v>13761</v>
      </c>
      <c r="D2148" s="24">
        <v>73676.743686000002</v>
      </c>
      <c r="E2148" s="6" t="s">
        <v>5889</v>
      </c>
      <c r="F2148" s="6">
        <v>21</v>
      </c>
      <c r="G2148" s="8">
        <f t="shared" si="33"/>
        <v>73676.743686000002</v>
      </c>
    </row>
    <row r="2149" spans="1:7" x14ac:dyDescent="0.3">
      <c r="A2149" s="14" t="e">
        <f>VLOOKUP(B2149,'Relacion codigos'!$A:$B,2,FALSE)</f>
        <v>#N/A</v>
      </c>
      <c r="B2149" s="6" t="s">
        <v>9007</v>
      </c>
      <c r="C2149" s="6" t="s">
        <v>9018</v>
      </c>
      <c r="D2149" s="24">
        <v>61164.485507766403</v>
      </c>
      <c r="E2149" s="6" t="s">
        <v>5889</v>
      </c>
      <c r="F2149" s="6">
        <v>21</v>
      </c>
      <c r="G2149" s="8">
        <f t="shared" si="33"/>
        <v>61164.485507766403</v>
      </c>
    </row>
    <row r="2150" spans="1:7" x14ac:dyDescent="0.3">
      <c r="A2150" s="14" t="str">
        <f>VLOOKUP(B2150,'Relacion codigos'!$A:$B,2,FALSE)</f>
        <v>169</v>
      </c>
      <c r="B2150" s="6" t="s">
        <v>3137</v>
      </c>
      <c r="C2150" s="6" t="s">
        <v>1260</v>
      </c>
      <c r="D2150" s="24">
        <v>303468.53259069601</v>
      </c>
      <c r="E2150" s="6" t="s">
        <v>5889</v>
      </c>
      <c r="F2150" s="6">
        <v>21</v>
      </c>
      <c r="G2150" s="8">
        <f t="shared" si="33"/>
        <v>303468.53259069601</v>
      </c>
    </row>
    <row r="2151" spans="1:7" x14ac:dyDescent="0.3">
      <c r="A2151" s="14" t="str">
        <f>VLOOKUP(B2151,'Relacion codigos'!$A:$B,2,FALSE)</f>
        <v>8623</v>
      </c>
      <c r="B2151" s="6" t="s">
        <v>3166</v>
      </c>
      <c r="C2151" s="6" t="s">
        <v>1100</v>
      </c>
      <c r="D2151" s="24">
        <v>413186.059824689</v>
      </c>
      <c r="E2151" s="6" t="s">
        <v>5889</v>
      </c>
      <c r="F2151" s="6">
        <v>21</v>
      </c>
      <c r="G2151" s="8">
        <f t="shared" si="33"/>
        <v>413186.059824689</v>
      </c>
    </row>
    <row r="2152" spans="1:7" x14ac:dyDescent="0.3">
      <c r="A2152" s="14" t="str">
        <f>VLOOKUP(B2152,'Relacion codigos'!$A:$B,2,FALSE)</f>
        <v>6737</v>
      </c>
      <c r="B2152" s="6" t="s">
        <v>3138</v>
      </c>
      <c r="C2152" s="6" t="s">
        <v>13041</v>
      </c>
      <c r="D2152" s="24">
        <v>291981.705288</v>
      </c>
      <c r="E2152" s="6" t="s">
        <v>5889</v>
      </c>
      <c r="F2152" s="6">
        <v>21</v>
      </c>
      <c r="G2152" s="8">
        <f t="shared" si="33"/>
        <v>291981.705288</v>
      </c>
    </row>
    <row r="2153" spans="1:7" x14ac:dyDescent="0.3">
      <c r="A2153" s="14" t="str">
        <f>VLOOKUP(B2153,'Relacion codigos'!$A:$B,2,FALSE)</f>
        <v>2853</v>
      </c>
      <c r="B2153" s="6" t="s">
        <v>3139</v>
      </c>
      <c r="C2153" s="6" t="s">
        <v>1060</v>
      </c>
      <c r="D2153" s="24">
        <v>73504.877545943993</v>
      </c>
      <c r="E2153" s="6" t="s">
        <v>5889</v>
      </c>
      <c r="F2153" s="6">
        <v>21</v>
      </c>
      <c r="G2153" s="8">
        <f t="shared" si="33"/>
        <v>73504.877545943993</v>
      </c>
    </row>
    <row r="2154" spans="1:7" x14ac:dyDescent="0.3">
      <c r="A2154" s="14" t="e">
        <f>VLOOKUP(B2154,'Relacion codigos'!$A:$B,2,FALSE)</f>
        <v>#N/A</v>
      </c>
      <c r="B2154" s="6" t="s">
        <v>9008</v>
      </c>
      <c r="C2154" s="6" t="s">
        <v>9158</v>
      </c>
      <c r="D2154" s="24">
        <v>85036.677940908703</v>
      </c>
      <c r="E2154" s="6" t="s">
        <v>5889</v>
      </c>
      <c r="F2154" s="6">
        <v>21</v>
      </c>
      <c r="G2154" s="8">
        <f t="shared" si="33"/>
        <v>85036.677940908703</v>
      </c>
    </row>
    <row r="2155" spans="1:7" x14ac:dyDescent="0.3">
      <c r="A2155" s="14" t="e">
        <f>VLOOKUP(B2155,'Relacion codigos'!$A:$B,2,FALSE)</f>
        <v>#N/A</v>
      </c>
      <c r="B2155" s="6" t="s">
        <v>12919</v>
      </c>
      <c r="C2155" s="6" t="s">
        <v>12920</v>
      </c>
      <c r="D2155" s="24">
        <v>101313.037098</v>
      </c>
      <c r="E2155" s="6" t="s">
        <v>5889</v>
      </c>
      <c r="F2155" s="6">
        <v>21</v>
      </c>
      <c r="G2155" s="8">
        <f t="shared" si="33"/>
        <v>101313.037098</v>
      </c>
    </row>
    <row r="2156" spans="1:7" x14ac:dyDescent="0.3">
      <c r="A2156" s="14" t="e">
        <f>VLOOKUP(B2156,'Relacion codigos'!$A:$B,2,FALSE)</f>
        <v>#N/A</v>
      </c>
      <c r="B2156" s="6" t="s">
        <v>9262</v>
      </c>
      <c r="C2156" s="6" t="s">
        <v>9263</v>
      </c>
      <c r="D2156" s="24">
        <v>108509.742437083</v>
      </c>
      <c r="E2156" s="6" t="s">
        <v>5889</v>
      </c>
      <c r="F2156" s="6">
        <v>21</v>
      </c>
      <c r="G2156" s="8">
        <f t="shared" si="33"/>
        <v>108509.742437083</v>
      </c>
    </row>
    <row r="2157" spans="1:7" x14ac:dyDescent="0.3">
      <c r="A2157" s="14" t="str">
        <f>VLOOKUP(B2157,'Relacion codigos'!$A:$B,2,FALSE)</f>
        <v>2855</v>
      </c>
      <c r="B2157" s="6" t="s">
        <v>3142</v>
      </c>
      <c r="C2157" s="6" t="s">
        <v>9264</v>
      </c>
      <c r="D2157" s="24">
        <v>130782.18920701</v>
      </c>
      <c r="E2157" s="6" t="s">
        <v>5889</v>
      </c>
      <c r="F2157" s="6">
        <v>21</v>
      </c>
      <c r="G2157" s="8">
        <f t="shared" si="33"/>
        <v>130782.18920701</v>
      </c>
    </row>
    <row r="2158" spans="1:7" x14ac:dyDescent="0.3">
      <c r="A2158" s="14" t="str">
        <f>VLOOKUP(B2158,'Relacion codigos'!$A:$B,2,FALSE)</f>
        <v>8158</v>
      </c>
      <c r="B2158" s="6" t="s">
        <v>3143</v>
      </c>
      <c r="C2158" s="6" t="s">
        <v>942</v>
      </c>
      <c r="D2158" s="24">
        <v>176018.58295996999</v>
      </c>
      <c r="E2158" s="6" t="s">
        <v>5889</v>
      </c>
      <c r="F2158" s="6">
        <v>21</v>
      </c>
      <c r="G2158" s="8">
        <f t="shared" si="33"/>
        <v>176018.58295996999</v>
      </c>
    </row>
    <row r="2159" spans="1:7" x14ac:dyDescent="0.3">
      <c r="A2159" s="14" t="str">
        <f>VLOOKUP(B2159,'Relacion codigos'!$A:$B,2,FALSE)</f>
        <v>2856</v>
      </c>
      <c r="B2159" s="6" t="s">
        <v>3146</v>
      </c>
      <c r="C2159" s="6" t="s">
        <v>13857</v>
      </c>
      <c r="D2159" s="24">
        <v>140711.12018599999</v>
      </c>
      <c r="E2159" s="6" t="s">
        <v>5889</v>
      </c>
      <c r="F2159" s="6">
        <v>21</v>
      </c>
      <c r="G2159" s="8">
        <f t="shared" si="33"/>
        <v>140711.12018599999</v>
      </c>
    </row>
    <row r="2160" spans="1:7" x14ac:dyDescent="0.3">
      <c r="A2160" s="14" t="e">
        <f>VLOOKUP(B2160,'Relacion codigos'!$A:$B,2,FALSE)</f>
        <v>#N/A</v>
      </c>
      <c r="B2160" s="6" t="s">
        <v>9531</v>
      </c>
      <c r="C2160" s="6" t="s">
        <v>9532</v>
      </c>
      <c r="D2160" s="24">
        <v>140284.60353998799</v>
      </c>
      <c r="E2160" s="6" t="s">
        <v>5889</v>
      </c>
      <c r="F2160" s="6">
        <v>21</v>
      </c>
      <c r="G2160" s="8">
        <f t="shared" si="33"/>
        <v>140284.60353998799</v>
      </c>
    </row>
    <row r="2161" spans="1:7" x14ac:dyDescent="0.3">
      <c r="A2161" s="14" t="e">
        <f>VLOOKUP(B2161,'Relacion codigos'!$A:$B,2,FALSE)</f>
        <v>#N/A</v>
      </c>
      <c r="B2161" s="6" t="s">
        <v>12921</v>
      </c>
      <c r="C2161" s="6" t="s">
        <v>12922</v>
      </c>
      <c r="D2161" s="24">
        <v>178881.114412</v>
      </c>
      <c r="E2161" s="6" t="s">
        <v>5889</v>
      </c>
      <c r="F2161" s="6">
        <v>21</v>
      </c>
      <c r="G2161" s="8">
        <f t="shared" si="33"/>
        <v>178881.114412</v>
      </c>
    </row>
    <row r="2162" spans="1:7" x14ac:dyDescent="0.3">
      <c r="A2162" s="14" t="e">
        <f>VLOOKUP(B2162,'Relacion codigos'!$A:$B,2,FALSE)</f>
        <v>#N/A</v>
      </c>
      <c r="B2162" s="6" t="s">
        <v>9009</v>
      </c>
      <c r="C2162" s="6" t="s">
        <v>9157</v>
      </c>
      <c r="D2162" s="24">
        <v>53988.819865236401</v>
      </c>
      <c r="E2162" s="6" t="s">
        <v>5889</v>
      </c>
      <c r="F2162" s="6">
        <v>21</v>
      </c>
      <c r="G2162" s="8">
        <f t="shared" si="33"/>
        <v>53988.819865236401</v>
      </c>
    </row>
    <row r="2163" spans="1:7" x14ac:dyDescent="0.3">
      <c r="A2163" s="14" t="e">
        <f>VLOOKUP(B2163,'Relacion codigos'!$A:$B,2,FALSE)</f>
        <v>#N/A</v>
      </c>
      <c r="B2163" s="6" t="s">
        <v>9265</v>
      </c>
      <c r="C2163" s="6" t="s">
        <v>9266</v>
      </c>
      <c r="D2163" s="24">
        <v>187787.513826718</v>
      </c>
      <c r="E2163" s="6" t="s">
        <v>5889</v>
      </c>
      <c r="F2163" s="6">
        <v>21</v>
      </c>
      <c r="G2163" s="8">
        <f t="shared" si="33"/>
        <v>187787.513826718</v>
      </c>
    </row>
    <row r="2164" spans="1:7" x14ac:dyDescent="0.3">
      <c r="A2164" s="14" t="e">
        <f>VLOOKUP(B2164,'Relacion codigos'!$A:$B,2,FALSE)</f>
        <v>#N/A</v>
      </c>
      <c r="B2164" s="6" t="s">
        <v>12923</v>
      </c>
      <c r="C2164" s="6" t="s">
        <v>12924</v>
      </c>
      <c r="D2164" s="24">
        <v>225757.46666199999</v>
      </c>
      <c r="E2164" s="6" t="s">
        <v>5889</v>
      </c>
      <c r="F2164" s="6">
        <v>21</v>
      </c>
      <c r="G2164" s="8">
        <f t="shared" si="33"/>
        <v>225757.46666199999</v>
      </c>
    </row>
    <row r="2165" spans="1:7" x14ac:dyDescent="0.3">
      <c r="A2165" s="14" t="e">
        <f>VLOOKUP(B2165,'Relacion codigos'!$A:$B,2,FALSE)</f>
        <v>#N/A</v>
      </c>
      <c r="B2165" s="6" t="s">
        <v>9778</v>
      </c>
      <c r="C2165" s="6" t="s">
        <v>9779</v>
      </c>
      <c r="D2165" s="24">
        <v>40789.8423114904</v>
      </c>
      <c r="E2165" s="6" t="s">
        <v>5889</v>
      </c>
      <c r="F2165" s="6">
        <v>21</v>
      </c>
      <c r="G2165" s="8">
        <f t="shared" si="33"/>
        <v>40789.8423114904</v>
      </c>
    </row>
    <row r="2166" spans="1:7" x14ac:dyDescent="0.3">
      <c r="A2166" s="14" t="str">
        <f>VLOOKUP(B2166,'Relacion codigos'!$A:$B,2,FALSE)</f>
        <v>2213</v>
      </c>
      <c r="B2166" s="6" t="s">
        <v>3150</v>
      </c>
      <c r="C2166" s="6" t="s">
        <v>9722</v>
      </c>
      <c r="D2166" s="24">
        <v>47237.894042653003</v>
      </c>
      <c r="E2166" s="6" t="s">
        <v>5889</v>
      </c>
      <c r="F2166" s="6">
        <v>21</v>
      </c>
      <c r="G2166" s="8">
        <f t="shared" si="33"/>
        <v>47237.894042653003</v>
      </c>
    </row>
    <row r="2167" spans="1:7" x14ac:dyDescent="0.3">
      <c r="A2167" s="14" t="e">
        <f>VLOOKUP(B2167,'Relacion codigos'!$A:$B,2,FALSE)</f>
        <v>#N/A</v>
      </c>
      <c r="B2167" s="6" t="s">
        <v>9780</v>
      </c>
      <c r="C2167" s="6" t="s">
        <v>9781</v>
      </c>
      <c r="D2167" s="24">
        <v>52841.274018315104</v>
      </c>
      <c r="E2167" s="6" t="s">
        <v>5889</v>
      </c>
      <c r="F2167" s="6">
        <v>21</v>
      </c>
      <c r="G2167" s="8">
        <f t="shared" si="33"/>
        <v>52841.274018315104</v>
      </c>
    </row>
    <row r="2168" spans="1:7" x14ac:dyDescent="0.3">
      <c r="A2168" s="14" t="str">
        <f>VLOOKUP(B2168,'Relacion codigos'!$A:$B,2,FALSE)</f>
        <v>2214</v>
      </c>
      <c r="B2168" s="6" t="s">
        <v>3151</v>
      </c>
      <c r="C2168" s="6" t="s">
        <v>9533</v>
      </c>
      <c r="D2168" s="24">
        <v>58200.317309124897</v>
      </c>
      <c r="E2168" s="6" t="s">
        <v>5889</v>
      </c>
      <c r="F2168" s="6">
        <v>21</v>
      </c>
      <c r="G2168" s="8">
        <f t="shared" si="33"/>
        <v>58200.317309124897</v>
      </c>
    </row>
    <row r="2169" spans="1:7" x14ac:dyDescent="0.3">
      <c r="A2169" s="14" t="e">
        <f>VLOOKUP(B2169,'Relacion codigos'!$A:$B,2,FALSE)</f>
        <v>#N/A</v>
      </c>
      <c r="B2169" s="6" t="s">
        <v>9605</v>
      </c>
      <c r="C2169" s="6" t="s">
        <v>9606</v>
      </c>
      <c r="D2169" s="24">
        <v>76754.1864040988</v>
      </c>
      <c r="E2169" s="6" t="s">
        <v>5889</v>
      </c>
      <c r="F2169" s="6">
        <v>21</v>
      </c>
      <c r="G2169" s="8">
        <f t="shared" si="33"/>
        <v>76754.1864040988</v>
      </c>
    </row>
    <row r="2170" spans="1:7" x14ac:dyDescent="0.3">
      <c r="A2170" s="14" t="e">
        <f>VLOOKUP(B2170,'Relacion codigos'!$A:$B,2,FALSE)</f>
        <v>#N/A</v>
      </c>
      <c r="B2170" s="6" t="s">
        <v>9690</v>
      </c>
      <c r="C2170" s="6" t="s">
        <v>9691</v>
      </c>
      <c r="D2170" s="24">
        <v>59533.006299518704</v>
      </c>
      <c r="E2170" s="6" t="s">
        <v>5889</v>
      </c>
      <c r="F2170" s="6">
        <v>21</v>
      </c>
      <c r="G2170" s="8">
        <f t="shared" si="33"/>
        <v>59533.006299518704</v>
      </c>
    </row>
    <row r="2171" spans="1:7" x14ac:dyDescent="0.3">
      <c r="A2171" s="14" t="e">
        <f>VLOOKUP(B2171,'Relacion codigos'!$A:$B,2,FALSE)</f>
        <v>#N/A</v>
      </c>
      <c r="B2171" s="6" t="s">
        <v>12925</v>
      </c>
      <c r="C2171" s="6" t="s">
        <v>12926</v>
      </c>
      <c r="D2171" s="24">
        <v>72212.961001999996</v>
      </c>
      <c r="E2171" s="6" t="s">
        <v>5889</v>
      </c>
      <c r="F2171" s="6">
        <v>21</v>
      </c>
      <c r="G2171" s="8">
        <f t="shared" si="33"/>
        <v>72212.961001999996</v>
      </c>
    </row>
    <row r="2172" spans="1:7" x14ac:dyDescent="0.3">
      <c r="A2172" s="14" t="str">
        <f>VLOOKUP(B2172,'Relacion codigos'!$A:$B,2,FALSE)</f>
        <v>2215</v>
      </c>
      <c r="B2172" s="6" t="s">
        <v>3152</v>
      </c>
      <c r="C2172" s="6" t="s">
        <v>12100</v>
      </c>
      <c r="D2172" s="24">
        <v>62873.015305662899</v>
      </c>
      <c r="E2172" s="6" t="s">
        <v>5889</v>
      </c>
      <c r="F2172" s="6">
        <v>21</v>
      </c>
      <c r="G2172" s="8">
        <f t="shared" si="33"/>
        <v>62873.015305662899</v>
      </c>
    </row>
    <row r="2173" spans="1:7" x14ac:dyDescent="0.3">
      <c r="A2173" s="14" t="e">
        <f>VLOOKUP(B2173,'Relacion codigos'!$A:$B,2,FALSE)</f>
        <v>#N/A</v>
      </c>
      <c r="B2173" s="6" t="s">
        <v>9267</v>
      </c>
      <c r="C2173" s="6" t="s">
        <v>9268</v>
      </c>
      <c r="D2173" s="24">
        <v>90361.3476864759</v>
      </c>
      <c r="E2173" s="6" t="s">
        <v>5889</v>
      </c>
      <c r="F2173" s="6">
        <v>21</v>
      </c>
      <c r="G2173" s="8">
        <f t="shared" si="33"/>
        <v>90361.3476864759</v>
      </c>
    </row>
    <row r="2174" spans="1:7" x14ac:dyDescent="0.3">
      <c r="A2174" s="14" t="str">
        <f>VLOOKUP(B2174,'Relacion codigos'!$A:$B,2,FALSE)</f>
        <v>8613</v>
      </c>
      <c r="B2174" s="6" t="s">
        <v>3117</v>
      </c>
      <c r="C2174" s="6" t="s">
        <v>1102</v>
      </c>
      <c r="D2174" s="24">
        <v>117320.178248</v>
      </c>
      <c r="E2174" s="6" t="s">
        <v>5889</v>
      </c>
      <c r="F2174" s="6">
        <v>21</v>
      </c>
      <c r="G2174" s="8">
        <f t="shared" si="33"/>
        <v>117320.178248</v>
      </c>
    </row>
    <row r="2175" spans="1:7" x14ac:dyDescent="0.3">
      <c r="A2175" s="14" t="str">
        <f>VLOOKUP(B2175,'Relacion codigos'!$A:$B,2,FALSE)</f>
        <v>8614</v>
      </c>
      <c r="B2175" s="6" t="s">
        <v>3118</v>
      </c>
      <c r="C2175" s="6" t="s">
        <v>1103</v>
      </c>
      <c r="D2175" s="24">
        <v>107638.65081332999</v>
      </c>
      <c r="E2175" s="6" t="s">
        <v>5889</v>
      </c>
      <c r="F2175" s="6">
        <v>21</v>
      </c>
      <c r="G2175" s="8">
        <f t="shared" si="33"/>
        <v>107638.65081332999</v>
      </c>
    </row>
    <row r="2176" spans="1:7" x14ac:dyDescent="0.3">
      <c r="A2176" s="14" t="e">
        <f>VLOOKUP(B2176,'Relacion codigos'!$A:$B,2,FALSE)</f>
        <v>#N/A</v>
      </c>
      <c r="B2176" s="6" t="s">
        <v>11974</v>
      </c>
      <c r="C2176" s="6" t="s">
        <v>11975</v>
      </c>
      <c r="D2176" s="24">
        <v>75845.507566490996</v>
      </c>
      <c r="E2176" s="6" t="s">
        <v>5889</v>
      </c>
      <c r="F2176" s="6">
        <v>21</v>
      </c>
      <c r="G2176" s="8">
        <f t="shared" si="33"/>
        <v>75845.507566490996</v>
      </c>
    </row>
    <row r="2177" spans="1:7" x14ac:dyDescent="0.3">
      <c r="A2177" s="14" t="e">
        <f>VLOOKUP(B2177,'Relacion codigos'!$A:$B,2,FALSE)</f>
        <v>#N/A</v>
      </c>
      <c r="B2177" s="6" t="s">
        <v>9010</v>
      </c>
      <c r="C2177" s="6" t="s">
        <v>9019</v>
      </c>
      <c r="D2177" s="24">
        <v>82475.976087858595</v>
      </c>
      <c r="E2177" s="6" t="s">
        <v>5889</v>
      </c>
      <c r="F2177" s="6">
        <v>21</v>
      </c>
      <c r="G2177" s="8">
        <f t="shared" si="33"/>
        <v>82475.976087858595</v>
      </c>
    </row>
    <row r="2178" spans="1:7" x14ac:dyDescent="0.3">
      <c r="A2178" s="14" t="e">
        <f>VLOOKUP(B2178,'Relacion codigos'!$A:$B,2,FALSE)</f>
        <v>#N/A</v>
      </c>
      <c r="B2178" s="6" t="s">
        <v>9269</v>
      </c>
      <c r="C2178" s="6" t="s">
        <v>9270</v>
      </c>
      <c r="D2178" s="24">
        <v>108171.058091436</v>
      </c>
      <c r="E2178" s="6" t="s">
        <v>5889</v>
      </c>
      <c r="F2178" s="6">
        <v>21</v>
      </c>
      <c r="G2178" s="8">
        <f t="shared" ref="G2178:G2241" si="34">IF(E2178="Dolares",D2178*$G$1,D2178)</f>
        <v>108171.058091436</v>
      </c>
    </row>
    <row r="2179" spans="1:7" x14ac:dyDescent="0.3">
      <c r="A2179" s="14" t="e">
        <f>VLOOKUP(B2179,'Relacion codigos'!$A:$B,2,FALSE)</f>
        <v>#N/A</v>
      </c>
      <c r="B2179" s="6" t="s">
        <v>12927</v>
      </c>
      <c r="C2179" s="6" t="s">
        <v>12928</v>
      </c>
      <c r="D2179" s="24">
        <v>93469.299377999996</v>
      </c>
      <c r="E2179" s="6" t="s">
        <v>5889</v>
      </c>
      <c r="F2179" s="6">
        <v>21</v>
      </c>
      <c r="G2179" s="8">
        <f t="shared" si="34"/>
        <v>93469.299377999996</v>
      </c>
    </row>
    <row r="2180" spans="1:7" x14ac:dyDescent="0.3">
      <c r="A2180" s="14" t="e">
        <f>VLOOKUP(B2180,'Relacion codigos'!$A:$B,2,FALSE)</f>
        <v>#N/A</v>
      </c>
      <c r="B2180" s="6" t="s">
        <v>13907</v>
      </c>
      <c r="C2180" s="6" t="s">
        <v>13930</v>
      </c>
      <c r="D2180" s="24">
        <v>100816.839578</v>
      </c>
      <c r="E2180" s="6" t="s">
        <v>5889</v>
      </c>
      <c r="F2180" s="6">
        <v>21</v>
      </c>
      <c r="G2180" s="8">
        <f t="shared" si="34"/>
        <v>100816.839578</v>
      </c>
    </row>
    <row r="2181" spans="1:7" x14ac:dyDescent="0.3">
      <c r="A2181" s="14" t="e">
        <f>VLOOKUP(B2181,'Relacion codigos'!$A:$B,2,FALSE)</f>
        <v>#N/A</v>
      </c>
      <c r="B2181" s="6" t="s">
        <v>9782</v>
      </c>
      <c r="C2181" s="6" t="s">
        <v>9783</v>
      </c>
      <c r="D2181" s="24">
        <v>117853.113462379</v>
      </c>
      <c r="E2181" s="6" t="s">
        <v>5889</v>
      </c>
      <c r="F2181" s="6">
        <v>21</v>
      </c>
      <c r="G2181" s="8">
        <f t="shared" si="34"/>
        <v>117853.113462379</v>
      </c>
    </row>
    <row r="2182" spans="1:7" x14ac:dyDescent="0.3">
      <c r="A2182" s="14" t="e">
        <f>VLOOKUP(B2182,'Relacion codigos'!$A:$B,2,FALSE)</f>
        <v>#N/A</v>
      </c>
      <c r="B2182" s="6" t="s">
        <v>9784</v>
      </c>
      <c r="C2182" s="6" t="s">
        <v>9785</v>
      </c>
      <c r="D2182" s="24">
        <v>111681.792244208</v>
      </c>
      <c r="E2182" s="6" t="s">
        <v>5889</v>
      </c>
      <c r="F2182" s="6">
        <v>21</v>
      </c>
      <c r="G2182" s="8">
        <f t="shared" si="34"/>
        <v>111681.792244208</v>
      </c>
    </row>
    <row r="2183" spans="1:7" x14ac:dyDescent="0.3">
      <c r="A2183" s="14" t="e">
        <f>VLOOKUP(B2183,'Relacion codigos'!$A:$B,2,FALSE)</f>
        <v>#N/A</v>
      </c>
      <c r="B2183" s="6" t="s">
        <v>12929</v>
      </c>
      <c r="C2183" s="6" t="s">
        <v>12930</v>
      </c>
      <c r="D2183" s="24">
        <v>141301.78607999999</v>
      </c>
      <c r="E2183" s="6" t="s">
        <v>5889</v>
      </c>
      <c r="F2183" s="6">
        <v>21</v>
      </c>
      <c r="G2183" s="8">
        <f t="shared" si="34"/>
        <v>141301.78607999999</v>
      </c>
    </row>
    <row r="2184" spans="1:7" x14ac:dyDescent="0.3">
      <c r="A2184" s="14" t="e">
        <f>VLOOKUP(B2184,'Relacion codigos'!$A:$B,2,FALSE)</f>
        <v>#N/A</v>
      </c>
      <c r="B2184" s="6" t="s">
        <v>9271</v>
      </c>
      <c r="C2184" s="6" t="s">
        <v>9272</v>
      </c>
      <c r="D2184" s="24">
        <v>119620.865083328</v>
      </c>
      <c r="E2184" s="6" t="s">
        <v>5889</v>
      </c>
      <c r="F2184" s="6">
        <v>21</v>
      </c>
      <c r="G2184" s="8">
        <f t="shared" si="34"/>
        <v>119620.865083328</v>
      </c>
    </row>
    <row r="2185" spans="1:7" x14ac:dyDescent="0.3">
      <c r="A2185" s="14" t="e">
        <f>VLOOKUP(B2185,'Relacion codigos'!$A:$B,2,FALSE)</f>
        <v>#N/A</v>
      </c>
      <c r="B2185" s="6" t="s">
        <v>12931</v>
      </c>
      <c r="C2185" s="6" t="s">
        <v>12932</v>
      </c>
      <c r="D2185" s="24">
        <v>145100.559786</v>
      </c>
      <c r="E2185" s="6" t="s">
        <v>5889</v>
      </c>
      <c r="F2185" s="6">
        <v>21</v>
      </c>
      <c r="G2185" s="8">
        <f t="shared" si="34"/>
        <v>145100.559786</v>
      </c>
    </row>
    <row r="2186" spans="1:7" x14ac:dyDescent="0.3">
      <c r="A2186" s="14" t="e">
        <f>VLOOKUP(B2186,'Relacion codigos'!$A:$B,2,FALSE)</f>
        <v>#N/A</v>
      </c>
      <c r="B2186" s="6" t="s">
        <v>12933</v>
      </c>
      <c r="C2186" s="6" t="s">
        <v>12934</v>
      </c>
      <c r="D2186" s="24">
        <v>159480.74560600001</v>
      </c>
      <c r="E2186" s="6" t="s">
        <v>5889</v>
      </c>
      <c r="F2186" s="6">
        <v>21</v>
      </c>
      <c r="G2186" s="8">
        <f t="shared" si="34"/>
        <v>159480.74560600001</v>
      </c>
    </row>
    <row r="2187" spans="1:7" x14ac:dyDescent="0.3">
      <c r="A2187" s="14" t="e">
        <f>VLOOKUP(B2187,'Relacion codigos'!$A:$B,2,FALSE)</f>
        <v>#N/A</v>
      </c>
      <c r="B2187" s="6" t="s">
        <v>9512</v>
      </c>
      <c r="C2187" s="6" t="s">
        <v>9513</v>
      </c>
      <c r="D2187" s="24">
        <v>143207.440901853</v>
      </c>
      <c r="E2187" s="6" t="s">
        <v>5889</v>
      </c>
      <c r="F2187" s="6">
        <v>21</v>
      </c>
      <c r="G2187" s="8">
        <f t="shared" si="34"/>
        <v>143207.440901853</v>
      </c>
    </row>
    <row r="2188" spans="1:7" x14ac:dyDescent="0.3">
      <c r="A2188" s="14" t="e">
        <f>VLOOKUP(B2188,'Relacion codigos'!$A:$B,2,FALSE)</f>
        <v>#N/A</v>
      </c>
      <c r="B2188" s="6" t="s">
        <v>13043</v>
      </c>
      <c r="C2188" s="6" t="s">
        <v>13044</v>
      </c>
      <c r="D2188" s="24">
        <v>183175.13141199999</v>
      </c>
      <c r="E2188" s="6" t="s">
        <v>5889</v>
      </c>
      <c r="F2188" s="6">
        <v>21</v>
      </c>
      <c r="G2188" s="8">
        <f t="shared" si="34"/>
        <v>183175.13141199999</v>
      </c>
    </row>
    <row r="2189" spans="1:7" x14ac:dyDescent="0.3">
      <c r="A2189" s="14" t="e">
        <f>VLOOKUP(B2189,'Relacion codigos'!$A:$B,2,FALSE)</f>
        <v>#N/A</v>
      </c>
      <c r="B2189" s="6" t="s">
        <v>8999</v>
      </c>
      <c r="C2189" s="6" t="s">
        <v>9020</v>
      </c>
      <c r="D2189" s="24">
        <v>142910.05345497499</v>
      </c>
      <c r="E2189" s="6" t="s">
        <v>5889</v>
      </c>
      <c r="F2189" s="6">
        <v>21</v>
      </c>
      <c r="G2189" s="8">
        <f t="shared" si="34"/>
        <v>142910.05345497499</v>
      </c>
    </row>
    <row r="2190" spans="1:7" x14ac:dyDescent="0.3">
      <c r="A2190" s="14" t="e">
        <f>VLOOKUP(B2190,'Relacion codigos'!$A:$B,2,FALSE)</f>
        <v>#N/A</v>
      </c>
      <c r="B2190" s="6" t="s">
        <v>9273</v>
      </c>
      <c r="C2190" s="6" t="s">
        <v>9274</v>
      </c>
      <c r="D2190" s="24">
        <v>170087.93225603001</v>
      </c>
      <c r="E2190" s="6" t="s">
        <v>5889</v>
      </c>
      <c r="F2190" s="6">
        <v>21</v>
      </c>
      <c r="G2190" s="8">
        <f t="shared" si="34"/>
        <v>170087.93225603001</v>
      </c>
    </row>
    <row r="2191" spans="1:7" x14ac:dyDescent="0.3">
      <c r="A2191" s="14" t="str">
        <f>VLOOKUP(B2191,'Relacion codigos'!$A:$B,2,FALSE)</f>
        <v>8617</v>
      </c>
      <c r="B2191" s="6" t="s">
        <v>3128</v>
      </c>
      <c r="C2191" s="6" t="s">
        <v>1104</v>
      </c>
      <c r="D2191" s="24">
        <v>220963.43324441899</v>
      </c>
      <c r="E2191" s="6" t="s">
        <v>5889</v>
      </c>
      <c r="F2191" s="6">
        <v>21</v>
      </c>
      <c r="G2191" s="8">
        <f t="shared" si="34"/>
        <v>220963.43324441899</v>
      </c>
    </row>
    <row r="2192" spans="1:7" x14ac:dyDescent="0.3">
      <c r="A2192" s="14" t="e">
        <f>VLOOKUP(B2192,'Relacion codigos'!$A:$B,2,FALSE)</f>
        <v>#N/A</v>
      </c>
      <c r="B2192" s="6" t="s">
        <v>12935</v>
      </c>
      <c r="C2192" s="6" t="s">
        <v>12936</v>
      </c>
      <c r="D2192" s="24">
        <v>138816.02734999999</v>
      </c>
      <c r="E2192" s="6" t="s">
        <v>5889</v>
      </c>
      <c r="F2192" s="6">
        <v>21</v>
      </c>
      <c r="G2192" s="8">
        <f t="shared" si="34"/>
        <v>138816.02734999999</v>
      </c>
    </row>
    <row r="2193" spans="1:7" x14ac:dyDescent="0.3">
      <c r="A2193" s="14" t="e">
        <f>VLOOKUP(B2193,'Relacion codigos'!$A:$B,2,FALSE)</f>
        <v>#N/A</v>
      </c>
      <c r="B2193" s="6" t="s">
        <v>12937</v>
      </c>
      <c r="C2193" s="6" t="s">
        <v>12938</v>
      </c>
      <c r="D2193" s="24">
        <v>144896.35542199999</v>
      </c>
      <c r="E2193" s="6" t="s">
        <v>5889</v>
      </c>
      <c r="F2193" s="6">
        <v>21</v>
      </c>
      <c r="G2193" s="8">
        <f t="shared" si="34"/>
        <v>144896.35542199999</v>
      </c>
    </row>
    <row r="2194" spans="1:7" x14ac:dyDescent="0.3">
      <c r="A2194" s="14" t="str">
        <f>VLOOKUP(B2194,'Relacion codigos'!$A:$B,2,FALSE)</f>
        <v>3556</v>
      </c>
      <c r="B2194" s="6" t="s">
        <v>3129</v>
      </c>
      <c r="C2194" s="6" t="s">
        <v>344</v>
      </c>
      <c r="D2194" s="24">
        <v>24525.515406620299</v>
      </c>
      <c r="E2194" s="6" t="s">
        <v>5889</v>
      </c>
      <c r="F2194" s="6">
        <v>21</v>
      </c>
      <c r="G2194" s="8">
        <f t="shared" si="34"/>
        <v>24525.515406620299</v>
      </c>
    </row>
    <row r="2195" spans="1:7" x14ac:dyDescent="0.3">
      <c r="A2195" s="14" t="e">
        <f>VLOOKUP(B2195,'Relacion codigos'!$A:$B,2,FALSE)</f>
        <v>#N/A</v>
      </c>
      <c r="B2195" s="6" t="s">
        <v>9661</v>
      </c>
      <c r="C2195" s="6" t="s">
        <v>9662</v>
      </c>
      <c r="D2195" s="24">
        <v>153475.984636393</v>
      </c>
      <c r="E2195" s="6" t="s">
        <v>5889</v>
      </c>
      <c r="F2195" s="6">
        <v>21</v>
      </c>
      <c r="G2195" s="8">
        <f t="shared" si="34"/>
        <v>153475.984636393</v>
      </c>
    </row>
    <row r="2196" spans="1:7" x14ac:dyDescent="0.3">
      <c r="A2196" s="14" t="e">
        <f>VLOOKUP(B2196,'Relacion codigos'!$A:$B,2,FALSE)</f>
        <v>#N/A</v>
      </c>
      <c r="B2196" s="6" t="s">
        <v>11976</v>
      </c>
      <c r="C2196" s="6" t="s">
        <v>11977</v>
      </c>
      <c r="D2196" s="24">
        <v>401781.66290009301</v>
      </c>
      <c r="E2196" s="6" t="s">
        <v>5889</v>
      </c>
      <c r="F2196" s="6">
        <v>21</v>
      </c>
      <c r="G2196" s="8">
        <f t="shared" si="34"/>
        <v>401781.66290009301</v>
      </c>
    </row>
    <row r="2197" spans="1:7" x14ac:dyDescent="0.3">
      <c r="A2197" s="14" t="str">
        <f>VLOOKUP(B2197,'Relacion codigos'!$A:$B,2,FALSE)</f>
        <v>2227</v>
      </c>
      <c r="B2197" s="6" t="s">
        <v>3130</v>
      </c>
      <c r="C2197" s="6" t="s">
        <v>10984</v>
      </c>
      <c r="D2197" s="24">
        <v>450793.43437404401</v>
      </c>
      <c r="E2197" s="6" t="s">
        <v>5889</v>
      </c>
      <c r="F2197" s="6">
        <v>21</v>
      </c>
      <c r="G2197" s="8">
        <f t="shared" si="34"/>
        <v>450793.43437404401</v>
      </c>
    </row>
    <row r="2198" spans="1:7" x14ac:dyDescent="0.3">
      <c r="A2198" s="14" t="e">
        <f>VLOOKUP(B2198,'Relacion codigos'!$A:$B,2,FALSE)</f>
        <v>#N/A</v>
      </c>
      <c r="B2198" s="6" t="s">
        <v>13675</v>
      </c>
      <c r="C2198" s="6" t="s">
        <v>13676</v>
      </c>
      <c r="D2198" s="24">
        <v>173855.20606999999</v>
      </c>
      <c r="E2198" s="6" t="s">
        <v>5889</v>
      </c>
      <c r="F2198" s="6">
        <v>21</v>
      </c>
      <c r="G2198" s="8">
        <f t="shared" si="34"/>
        <v>173855.20606999999</v>
      </c>
    </row>
    <row r="2199" spans="1:7" x14ac:dyDescent="0.3">
      <c r="A2199" s="14" t="e">
        <f>VLOOKUP(B2199,'Relacion codigos'!$A:$B,2,FALSE)</f>
        <v>#N/A</v>
      </c>
      <c r="B2199" s="6" t="s">
        <v>13409</v>
      </c>
      <c r="C2199" s="6" t="s">
        <v>13410</v>
      </c>
      <c r="D2199" s="24">
        <v>232314.90773400001</v>
      </c>
      <c r="E2199" s="6" t="s">
        <v>5889</v>
      </c>
      <c r="F2199" s="6">
        <v>21</v>
      </c>
      <c r="G2199" s="8">
        <f t="shared" si="34"/>
        <v>232314.90773400001</v>
      </c>
    </row>
    <row r="2200" spans="1:7" x14ac:dyDescent="0.3">
      <c r="A2200" s="14" t="e">
        <f>VLOOKUP(B2200,'Relacion codigos'!$A:$B,2,FALSE)</f>
        <v>#N/A</v>
      </c>
      <c r="B2200" s="6" t="s">
        <v>9880</v>
      </c>
      <c r="C2200" s="6" t="s">
        <v>9881</v>
      </c>
      <c r="D2200" s="24">
        <v>184954.821469054</v>
      </c>
      <c r="E2200" s="6" t="s">
        <v>5889</v>
      </c>
      <c r="F2200" s="6">
        <v>21</v>
      </c>
      <c r="G2200" s="8">
        <f t="shared" si="34"/>
        <v>184954.821469054</v>
      </c>
    </row>
    <row r="2201" spans="1:7" x14ac:dyDescent="0.3">
      <c r="A2201" s="14" t="str">
        <f>VLOOKUP(B2201,'Relacion codigos'!$A:$B,2,FALSE)</f>
        <v>8616</v>
      </c>
      <c r="B2201" s="6" t="s">
        <v>3127</v>
      </c>
      <c r="C2201" s="6" t="s">
        <v>13045</v>
      </c>
      <c r="D2201" s="24">
        <v>234461.916234</v>
      </c>
      <c r="E2201" s="6" t="s">
        <v>5889</v>
      </c>
      <c r="F2201" s="6">
        <v>21</v>
      </c>
      <c r="G2201" s="8">
        <f t="shared" si="34"/>
        <v>234461.916234</v>
      </c>
    </row>
    <row r="2202" spans="1:7" x14ac:dyDescent="0.3">
      <c r="A2202" s="14" t="e">
        <f>VLOOKUP(B2202,'Relacion codigos'!$A:$B,2,FALSE)</f>
        <v>#N/A</v>
      </c>
      <c r="B2202" s="6" t="s">
        <v>9882</v>
      </c>
      <c r="C2202" s="6" t="s">
        <v>9883</v>
      </c>
      <c r="D2202" s="24">
        <v>209941.583318516</v>
      </c>
      <c r="E2202" s="6" t="s">
        <v>5889</v>
      </c>
      <c r="F2202" s="6">
        <v>21</v>
      </c>
      <c r="G2202" s="8">
        <f t="shared" si="34"/>
        <v>209941.583318516</v>
      </c>
    </row>
    <row r="2203" spans="1:7" x14ac:dyDescent="0.3">
      <c r="A2203" s="14" t="str">
        <f>VLOOKUP(B2203,'Relacion codigos'!$A:$B,2,FALSE)</f>
        <v>5408</v>
      </c>
      <c r="B2203" s="6" t="s">
        <v>3134</v>
      </c>
      <c r="C2203" s="6" t="s">
        <v>13046</v>
      </c>
      <c r="D2203" s="24">
        <v>260333.845772</v>
      </c>
      <c r="E2203" s="6" t="s">
        <v>5889</v>
      </c>
      <c r="F2203" s="6">
        <v>21</v>
      </c>
      <c r="G2203" s="8">
        <f t="shared" si="34"/>
        <v>260333.845772</v>
      </c>
    </row>
    <row r="2204" spans="1:7" x14ac:dyDescent="0.3">
      <c r="A2204" s="14" t="str">
        <f>VLOOKUP(B2204,'Relacion codigos'!$A:$B,2,FALSE)</f>
        <v>2212</v>
      </c>
      <c r="B2204" s="6" t="s">
        <v>3133</v>
      </c>
      <c r="C2204" s="6" t="s">
        <v>9275</v>
      </c>
      <c r="D2204" s="24">
        <v>245937.33138071201</v>
      </c>
      <c r="E2204" s="6" t="s">
        <v>5889</v>
      </c>
      <c r="F2204" s="6">
        <v>21</v>
      </c>
      <c r="G2204" s="8">
        <f t="shared" si="34"/>
        <v>245937.33138071201</v>
      </c>
    </row>
    <row r="2205" spans="1:7" x14ac:dyDescent="0.3">
      <c r="A2205" s="14" t="e">
        <f>VLOOKUP(B2205,'Relacion codigos'!$A:$B,2,FALSE)</f>
        <v>#N/A</v>
      </c>
      <c r="B2205" s="6" t="s">
        <v>9276</v>
      </c>
      <c r="C2205" s="6" t="s">
        <v>9277</v>
      </c>
      <c r="D2205" s="24">
        <v>273190.38852467103</v>
      </c>
      <c r="E2205" s="6" t="s">
        <v>5889</v>
      </c>
      <c r="F2205" s="6">
        <v>21</v>
      </c>
      <c r="G2205" s="8">
        <f t="shared" si="34"/>
        <v>273190.38852467103</v>
      </c>
    </row>
    <row r="2206" spans="1:7" x14ac:dyDescent="0.3">
      <c r="A2206" s="14" t="e">
        <f>VLOOKUP(B2206,'Relacion codigos'!$A:$B,2,FALSE)</f>
        <v>#N/A</v>
      </c>
      <c r="B2206" s="6" t="s">
        <v>9613</v>
      </c>
      <c r="C2206" s="6" t="s">
        <v>10985</v>
      </c>
      <c r="D2206" s="24">
        <v>328532.040778547</v>
      </c>
      <c r="E2206" s="6" t="s">
        <v>5889</v>
      </c>
      <c r="F2206" s="6">
        <v>21</v>
      </c>
      <c r="G2206" s="8">
        <f t="shared" si="34"/>
        <v>328532.040778547</v>
      </c>
    </row>
    <row r="2207" spans="1:7" x14ac:dyDescent="0.3">
      <c r="A2207" s="14" t="str">
        <f>VLOOKUP(B2207,'Relacion codigos'!$A:$B,2,FALSE)</f>
        <v>6182</v>
      </c>
      <c r="B2207" s="6" t="s">
        <v>3135</v>
      </c>
      <c r="C2207" s="6" t="s">
        <v>9723</v>
      </c>
      <c r="D2207" s="24">
        <v>284687.02996688499</v>
      </c>
      <c r="E2207" s="6" t="s">
        <v>5889</v>
      </c>
      <c r="F2207" s="6">
        <v>21</v>
      </c>
      <c r="G2207" s="8">
        <f t="shared" si="34"/>
        <v>284687.02996688499</v>
      </c>
    </row>
    <row r="2208" spans="1:7" x14ac:dyDescent="0.3">
      <c r="A2208" s="14" t="str">
        <f>VLOOKUP(B2208,'Relacion codigos'!$A:$B,2,FALSE)</f>
        <v>2226</v>
      </c>
      <c r="B2208" s="6" t="s">
        <v>3136</v>
      </c>
      <c r="C2208" s="6" t="s">
        <v>10986</v>
      </c>
      <c r="D2208" s="24">
        <v>359714.28086036298</v>
      </c>
      <c r="E2208" s="6" t="s">
        <v>5889</v>
      </c>
      <c r="F2208" s="6">
        <v>21</v>
      </c>
      <c r="G2208" s="8">
        <f t="shared" si="34"/>
        <v>359714.28086036298</v>
      </c>
    </row>
    <row r="2209" spans="1:7" x14ac:dyDescent="0.3">
      <c r="A2209" s="14" t="e">
        <f>VLOOKUP(B2209,'Relacion codigos'!$A:$B,2,FALSE)</f>
        <v>#N/A</v>
      </c>
      <c r="B2209" s="6" t="s">
        <v>9614</v>
      </c>
      <c r="C2209" s="6" t="s">
        <v>10987</v>
      </c>
      <c r="D2209" s="24">
        <v>723760.09224073798</v>
      </c>
      <c r="E2209" s="6" t="s">
        <v>5889</v>
      </c>
      <c r="F2209" s="6">
        <v>21</v>
      </c>
      <c r="G2209" s="8">
        <f t="shared" si="34"/>
        <v>723760.09224073798</v>
      </c>
    </row>
    <row r="2210" spans="1:7" x14ac:dyDescent="0.3">
      <c r="A2210" s="14" t="e">
        <f>VLOOKUP(B2210,'Relacion codigos'!$A:$B,2,FALSE)</f>
        <v>#N/A</v>
      </c>
      <c r="B2210" s="6" t="s">
        <v>12597</v>
      </c>
      <c r="C2210" s="6" t="s">
        <v>13214</v>
      </c>
      <c r="D2210" s="24">
        <v>37532.328265879201</v>
      </c>
      <c r="E2210" s="6" t="s">
        <v>5889</v>
      </c>
      <c r="F2210" s="6">
        <v>21</v>
      </c>
      <c r="G2210" s="8">
        <f t="shared" si="34"/>
        <v>37532.328265879201</v>
      </c>
    </row>
    <row r="2211" spans="1:7" x14ac:dyDescent="0.3">
      <c r="A2211" s="14" t="e">
        <f>VLOOKUP(B2211,'Relacion codigos'!$A:$B,2,FALSE)</f>
        <v>#N/A</v>
      </c>
      <c r="B2211" s="6" t="s">
        <v>12609</v>
      </c>
      <c r="C2211" s="6" t="s">
        <v>13215</v>
      </c>
      <c r="D2211" s="24">
        <v>31381.4395144224</v>
      </c>
      <c r="E2211" s="6" t="s">
        <v>5889</v>
      </c>
      <c r="F2211" s="6">
        <v>21</v>
      </c>
      <c r="G2211" s="8">
        <f t="shared" si="34"/>
        <v>31381.4395144224</v>
      </c>
    </row>
    <row r="2212" spans="1:7" x14ac:dyDescent="0.3">
      <c r="A2212" s="14" t="e">
        <f>VLOOKUP(B2212,'Relacion codigos'!$A:$B,2,FALSE)</f>
        <v>#N/A</v>
      </c>
      <c r="B2212" s="6" t="s">
        <v>12598</v>
      </c>
      <c r="C2212" s="6" t="s">
        <v>13216</v>
      </c>
      <c r="D2212" s="24">
        <v>35397.044099819999</v>
      </c>
      <c r="E2212" s="6" t="s">
        <v>5889</v>
      </c>
      <c r="F2212" s="6">
        <v>21</v>
      </c>
      <c r="G2212" s="8">
        <f t="shared" si="34"/>
        <v>35397.044099819999</v>
      </c>
    </row>
    <row r="2213" spans="1:7" x14ac:dyDescent="0.3">
      <c r="A2213" s="14" t="e">
        <f>VLOOKUP(B2213,'Relacion codigos'!$A:$B,2,FALSE)</f>
        <v>#N/A</v>
      </c>
      <c r="B2213" s="6" t="s">
        <v>13826</v>
      </c>
      <c r="C2213" s="6" t="s">
        <v>13827</v>
      </c>
      <c r="D2213" s="24">
        <v>69600.297947403596</v>
      </c>
      <c r="E2213" s="6" t="s">
        <v>5889</v>
      </c>
      <c r="F2213" s="6">
        <v>21</v>
      </c>
      <c r="G2213" s="8">
        <f t="shared" si="34"/>
        <v>69600.297947403596</v>
      </c>
    </row>
    <row r="2214" spans="1:7" x14ac:dyDescent="0.3">
      <c r="A2214" s="14" t="e">
        <f>VLOOKUP(B2214,'Relacion codigos'!$A:$B,2,FALSE)</f>
        <v>#N/A</v>
      </c>
      <c r="B2214" s="6" t="s">
        <v>12610</v>
      </c>
      <c r="C2214" s="6" t="s">
        <v>12986</v>
      </c>
      <c r="D2214" s="24">
        <v>49133.0894311296</v>
      </c>
      <c r="E2214" s="6" t="s">
        <v>5889</v>
      </c>
      <c r="F2214" s="6">
        <v>21</v>
      </c>
      <c r="G2214" s="8">
        <f t="shared" si="34"/>
        <v>49133.0894311296</v>
      </c>
    </row>
    <row r="2215" spans="1:7" x14ac:dyDescent="0.3">
      <c r="A2215" s="14" t="e">
        <f>VLOOKUP(B2215,'Relacion codigos'!$A:$B,2,FALSE)</f>
        <v>#N/A</v>
      </c>
      <c r="B2215" s="6" t="s">
        <v>12987</v>
      </c>
      <c r="C2215" s="6" t="s">
        <v>12988</v>
      </c>
      <c r="D2215" s="24">
        <v>89986.984075404005</v>
      </c>
      <c r="E2215" s="6" t="s">
        <v>5889</v>
      </c>
      <c r="F2215" s="6">
        <v>21</v>
      </c>
      <c r="G2215" s="8">
        <f t="shared" si="34"/>
        <v>89986.984075404005</v>
      </c>
    </row>
    <row r="2216" spans="1:7" x14ac:dyDescent="0.3">
      <c r="A2216" s="14" t="e">
        <f>VLOOKUP(B2216,'Relacion codigos'!$A:$B,2,FALSE)</f>
        <v>#N/A</v>
      </c>
      <c r="B2216" s="6" t="s">
        <v>12599</v>
      </c>
      <c r="C2216" s="6" t="s">
        <v>13672</v>
      </c>
      <c r="D2216" s="24">
        <v>31616.6537224044</v>
      </c>
      <c r="E2216" s="6" t="s">
        <v>5889</v>
      </c>
      <c r="F2216" s="6">
        <v>21</v>
      </c>
      <c r="G2216" s="8">
        <f t="shared" si="34"/>
        <v>31616.6537224044</v>
      </c>
    </row>
    <row r="2217" spans="1:7" x14ac:dyDescent="0.3">
      <c r="A2217" s="14" t="e">
        <f>VLOOKUP(B2217,'Relacion codigos'!$A:$B,2,FALSE)</f>
        <v>#N/A</v>
      </c>
      <c r="B2217" s="6" t="s">
        <v>13673</v>
      </c>
      <c r="C2217" s="6" t="s">
        <v>13674</v>
      </c>
      <c r="D2217" s="24">
        <v>144576.39414174799</v>
      </c>
      <c r="E2217" s="6" t="s">
        <v>5889</v>
      </c>
      <c r="F2217" s="6">
        <v>21</v>
      </c>
      <c r="G2217" s="8">
        <f t="shared" si="34"/>
        <v>144576.39414174799</v>
      </c>
    </row>
    <row r="2218" spans="1:7" x14ac:dyDescent="0.3">
      <c r="A2218" s="14" t="str">
        <f>VLOOKUP(B2218,'Relacion codigos'!$A:$B,2,FALSE)</f>
        <v>6129</v>
      </c>
      <c r="B2218" s="6" t="s">
        <v>3250</v>
      </c>
      <c r="C2218" s="6" t="s">
        <v>9156</v>
      </c>
      <c r="D2218" s="24">
        <v>4173.3660681123802</v>
      </c>
      <c r="E2218" s="6" t="s">
        <v>5889</v>
      </c>
      <c r="F2218" s="6">
        <v>21</v>
      </c>
      <c r="G2218" s="8">
        <f t="shared" si="34"/>
        <v>4173.3660681123802</v>
      </c>
    </row>
    <row r="2219" spans="1:7" x14ac:dyDescent="0.3">
      <c r="A2219" s="14" t="e">
        <f>VLOOKUP(B2219,'Relacion codigos'!$A:$B,2,FALSE)</f>
        <v>#N/A</v>
      </c>
      <c r="B2219" s="6" t="s">
        <v>9402</v>
      </c>
      <c r="C2219" s="6" t="s">
        <v>9534</v>
      </c>
      <c r="D2219" s="24">
        <v>5073.7306892912602</v>
      </c>
      <c r="E2219" s="6" t="s">
        <v>5889</v>
      </c>
      <c r="F2219" s="6">
        <v>21</v>
      </c>
      <c r="G2219" s="8">
        <f t="shared" si="34"/>
        <v>5073.7306892912602</v>
      </c>
    </row>
    <row r="2220" spans="1:7" x14ac:dyDescent="0.3">
      <c r="A2220" s="14" t="str">
        <f>VLOOKUP(B2220,'Relacion codigos'!$A:$B,2,FALSE)</f>
        <v>6130</v>
      </c>
      <c r="B2220" s="6" t="s">
        <v>3249</v>
      </c>
      <c r="C2220" s="6" t="s">
        <v>9535</v>
      </c>
      <c r="D2220" s="24">
        <v>9057.8441380078093</v>
      </c>
      <c r="E2220" s="6" t="s">
        <v>5889</v>
      </c>
      <c r="F2220" s="6">
        <v>21</v>
      </c>
      <c r="G2220" s="8">
        <f t="shared" si="34"/>
        <v>9057.8441380078093</v>
      </c>
    </row>
    <row r="2221" spans="1:7" x14ac:dyDescent="0.3">
      <c r="A2221" s="14" t="e">
        <f>VLOOKUP(B2221,'Relacion codigos'!$A:$B,2,FALSE)</f>
        <v>#N/A</v>
      </c>
      <c r="B2221" s="6" t="s">
        <v>9536</v>
      </c>
      <c r="C2221" s="6" t="s">
        <v>9537</v>
      </c>
      <c r="D2221" s="24">
        <v>10274.656743711401</v>
      </c>
      <c r="E2221" s="6" t="s">
        <v>5889</v>
      </c>
      <c r="F2221" s="6">
        <v>21</v>
      </c>
      <c r="G2221" s="8">
        <f t="shared" si="34"/>
        <v>10274.656743711401</v>
      </c>
    </row>
    <row r="2222" spans="1:7" x14ac:dyDescent="0.3">
      <c r="A2222" s="14" t="str">
        <f>VLOOKUP(B2222,'Relacion codigos'!$A:$B,2,FALSE)</f>
        <v>6128</v>
      </c>
      <c r="B2222" s="6" t="s">
        <v>3252</v>
      </c>
      <c r="C2222" s="6" t="s">
        <v>9505</v>
      </c>
      <c r="D2222" s="24">
        <v>10274.7198332391</v>
      </c>
      <c r="E2222" s="6" t="s">
        <v>5889</v>
      </c>
      <c r="F2222" s="6">
        <v>21</v>
      </c>
      <c r="G2222" s="8">
        <f t="shared" si="34"/>
        <v>10274.7198332391</v>
      </c>
    </row>
    <row r="2223" spans="1:7" x14ac:dyDescent="0.3">
      <c r="A2223" s="14" t="str">
        <f>VLOOKUP(B2223,'Relacion codigos'!$A:$B,2,FALSE)</f>
        <v>2221</v>
      </c>
      <c r="B2223" s="6" t="s">
        <v>3164</v>
      </c>
      <c r="C2223" s="6" t="s">
        <v>345</v>
      </c>
      <c r="D2223" s="24">
        <v>23991.623722897501</v>
      </c>
      <c r="E2223" s="6" t="s">
        <v>5889</v>
      </c>
      <c r="F2223" s="6">
        <v>21</v>
      </c>
      <c r="G2223" s="8">
        <f t="shared" si="34"/>
        <v>23991.623722897501</v>
      </c>
    </row>
    <row r="2224" spans="1:7" x14ac:dyDescent="0.3">
      <c r="A2224" s="14" t="e">
        <f>VLOOKUP(B2224,'Relacion codigos'!$A:$B,2,FALSE)</f>
        <v>#N/A</v>
      </c>
      <c r="B2224" s="6" t="s">
        <v>9059</v>
      </c>
      <c r="C2224" s="6" t="s">
        <v>9278</v>
      </c>
      <c r="D2224" s="24">
        <v>406106.82487711002</v>
      </c>
      <c r="E2224" s="6" t="s">
        <v>5889</v>
      </c>
      <c r="F2224" s="6">
        <v>21</v>
      </c>
      <c r="G2224" s="8">
        <f t="shared" si="34"/>
        <v>406106.82487711002</v>
      </c>
    </row>
    <row r="2225" spans="1:7" x14ac:dyDescent="0.3">
      <c r="A2225" s="14" t="e">
        <f>VLOOKUP(B2225,'Relacion codigos'!$A:$B,2,FALSE)</f>
        <v>#N/A</v>
      </c>
      <c r="B2225" s="6" t="s">
        <v>12939</v>
      </c>
      <c r="C2225" s="6" t="s">
        <v>12940</v>
      </c>
      <c r="D2225" s="24">
        <v>392426.30006890401</v>
      </c>
      <c r="E2225" s="6" t="s">
        <v>5889</v>
      </c>
      <c r="F2225" s="6">
        <v>21</v>
      </c>
      <c r="G2225" s="8">
        <f t="shared" si="34"/>
        <v>392426.30006890401</v>
      </c>
    </row>
    <row r="2226" spans="1:7" x14ac:dyDescent="0.3">
      <c r="A2226" s="14" t="e">
        <f>VLOOKUP(B2226,'Relacion codigos'!$A:$B,2,FALSE)</f>
        <v>#N/A</v>
      </c>
      <c r="B2226" s="6" t="s">
        <v>9279</v>
      </c>
      <c r="C2226" s="6" t="s">
        <v>9280</v>
      </c>
      <c r="D2226" s="24">
        <v>215122.10852215599</v>
      </c>
      <c r="E2226" s="6" t="s">
        <v>5889</v>
      </c>
      <c r="F2226" s="6">
        <v>21</v>
      </c>
      <c r="G2226" s="8">
        <f t="shared" si="34"/>
        <v>215122.10852215599</v>
      </c>
    </row>
    <row r="2227" spans="1:7" x14ac:dyDescent="0.3">
      <c r="A2227" s="14" t="e">
        <f>VLOOKUP(B2227,'Relacion codigos'!$A:$B,2,FALSE)</f>
        <v>#N/A</v>
      </c>
      <c r="B2227" s="6" t="s">
        <v>12941</v>
      </c>
      <c r="C2227" s="6" t="s">
        <v>12942</v>
      </c>
      <c r="D2227" s="24">
        <v>206001.68341283899</v>
      </c>
      <c r="E2227" s="6" t="s">
        <v>5889</v>
      </c>
      <c r="F2227" s="6">
        <v>21</v>
      </c>
      <c r="G2227" s="8">
        <f t="shared" si="34"/>
        <v>206001.68341283899</v>
      </c>
    </row>
    <row r="2228" spans="1:7" x14ac:dyDescent="0.3">
      <c r="A2228" s="14" t="e">
        <f>VLOOKUP(B2228,'Relacion codigos'!$A:$B,2,FALSE)</f>
        <v>#N/A</v>
      </c>
      <c r="B2228" s="6" t="s">
        <v>9281</v>
      </c>
      <c r="C2228" s="6" t="s">
        <v>9282</v>
      </c>
      <c r="D2228" s="24">
        <v>1281259.5904775599</v>
      </c>
      <c r="E2228" s="6" t="s">
        <v>5889</v>
      </c>
      <c r="F2228" s="6">
        <v>21</v>
      </c>
      <c r="G2228" s="8">
        <f t="shared" si="34"/>
        <v>1281259.5904775599</v>
      </c>
    </row>
    <row r="2229" spans="1:7" x14ac:dyDescent="0.3">
      <c r="A2229" s="14" t="str">
        <f>VLOOKUP(B2229,'Relacion codigos'!$A:$B,2,FALSE)</f>
        <v>8380</v>
      </c>
      <c r="B2229" s="6" t="s">
        <v>3256</v>
      </c>
      <c r="C2229" s="6" t="s">
        <v>9283</v>
      </c>
      <c r="D2229" s="24">
        <v>376313.886655649</v>
      </c>
      <c r="E2229" s="6" t="s">
        <v>5889</v>
      </c>
      <c r="F2229" s="6">
        <v>21</v>
      </c>
      <c r="G2229" s="8">
        <f t="shared" si="34"/>
        <v>376313.886655649</v>
      </c>
    </row>
    <row r="2230" spans="1:7" x14ac:dyDescent="0.3">
      <c r="A2230" s="14" t="str">
        <f>VLOOKUP(B2230,'Relacion codigos'!$A:$B,2,FALSE)</f>
        <v>511</v>
      </c>
      <c r="B2230" s="6" t="s">
        <v>3257</v>
      </c>
      <c r="C2230" s="6" t="s">
        <v>9284</v>
      </c>
      <c r="D2230" s="24">
        <v>376313.88665564999</v>
      </c>
      <c r="E2230" s="6" t="s">
        <v>5889</v>
      </c>
      <c r="F2230" s="6">
        <v>21</v>
      </c>
      <c r="G2230" s="8">
        <f t="shared" si="34"/>
        <v>376313.88665564999</v>
      </c>
    </row>
    <row r="2231" spans="1:7" x14ac:dyDescent="0.3">
      <c r="A2231" s="14" t="e">
        <f>VLOOKUP(B2231,'Relacion codigos'!$A:$B,2,FALSE)</f>
        <v>#N/A</v>
      </c>
      <c r="B2231" s="6" t="s">
        <v>12943</v>
      </c>
      <c r="C2231" s="6" t="s">
        <v>12944</v>
      </c>
      <c r="D2231" s="24">
        <v>342784.41240621702</v>
      </c>
      <c r="E2231" s="6" t="s">
        <v>5889</v>
      </c>
      <c r="F2231" s="6">
        <v>21</v>
      </c>
      <c r="G2231" s="8">
        <f t="shared" si="34"/>
        <v>342784.41240621702</v>
      </c>
    </row>
    <row r="2232" spans="1:7" x14ac:dyDescent="0.3">
      <c r="A2232" s="14" t="str">
        <f>VLOOKUP(B2232,'Relacion codigos'!$A:$B,2,FALSE)</f>
        <v>8381</v>
      </c>
      <c r="B2232" s="6" t="s">
        <v>3258</v>
      </c>
      <c r="C2232" s="6" t="s">
        <v>9285</v>
      </c>
      <c r="D2232" s="24">
        <v>731147.39916803595</v>
      </c>
      <c r="E2232" s="6" t="s">
        <v>5889</v>
      </c>
      <c r="F2232" s="6">
        <v>21</v>
      </c>
      <c r="G2232" s="8">
        <f t="shared" si="34"/>
        <v>731147.39916803595</v>
      </c>
    </row>
    <row r="2233" spans="1:7" x14ac:dyDescent="0.3">
      <c r="A2233" s="14" t="str">
        <f>VLOOKUP(B2233,'Relacion codigos'!$A:$B,2,FALSE)</f>
        <v>1356</v>
      </c>
      <c r="B2233" s="6" t="s">
        <v>3259</v>
      </c>
      <c r="C2233" s="6" t="s">
        <v>9286</v>
      </c>
      <c r="D2233" s="24">
        <v>674863.46081579197</v>
      </c>
      <c r="E2233" s="6" t="s">
        <v>5889</v>
      </c>
      <c r="F2233" s="6">
        <v>21</v>
      </c>
      <c r="G2233" s="8">
        <f t="shared" si="34"/>
        <v>674863.46081579197</v>
      </c>
    </row>
    <row r="2234" spans="1:7" x14ac:dyDescent="0.3">
      <c r="A2234" s="14" t="e">
        <f>VLOOKUP(B2234,'Relacion codigos'!$A:$B,2,FALSE)</f>
        <v>#N/A</v>
      </c>
      <c r="B2234" s="6" t="s">
        <v>12945</v>
      </c>
      <c r="C2234" s="6" t="s">
        <v>12946</v>
      </c>
      <c r="D2234" s="24">
        <v>647502.14261877898</v>
      </c>
      <c r="E2234" s="6" t="s">
        <v>5889</v>
      </c>
      <c r="F2234" s="6">
        <v>21</v>
      </c>
      <c r="G2234" s="8">
        <f t="shared" si="34"/>
        <v>647502.14261877898</v>
      </c>
    </row>
    <row r="2235" spans="1:7" x14ac:dyDescent="0.3">
      <c r="A2235" s="14" t="str">
        <f>VLOOKUP(B2235,'Relacion codigos'!$A:$B,2,FALSE)</f>
        <v>884</v>
      </c>
      <c r="B2235" s="6" t="s">
        <v>3260</v>
      </c>
      <c r="C2235" s="6" t="s">
        <v>346</v>
      </c>
      <c r="D2235" s="24">
        <v>323137.696573733</v>
      </c>
      <c r="E2235" s="6" t="s">
        <v>5889</v>
      </c>
      <c r="F2235" s="6">
        <v>21</v>
      </c>
      <c r="G2235" s="8">
        <f t="shared" si="34"/>
        <v>323137.696573733</v>
      </c>
    </row>
    <row r="2236" spans="1:7" x14ac:dyDescent="0.3">
      <c r="A2236" s="14" t="str">
        <f>VLOOKUP(B2236,'Relacion codigos'!$A:$B,2,FALSE)</f>
        <v>8907</v>
      </c>
      <c r="B2236" s="6" t="s">
        <v>3255</v>
      </c>
      <c r="C2236" s="6" t="s">
        <v>9287</v>
      </c>
      <c r="D2236" s="24">
        <v>992718.19539883197</v>
      </c>
      <c r="E2236" s="6" t="s">
        <v>5889</v>
      </c>
      <c r="F2236" s="6">
        <v>21</v>
      </c>
      <c r="G2236" s="8">
        <f t="shared" si="34"/>
        <v>992718.19539883197</v>
      </c>
    </row>
    <row r="2237" spans="1:7" x14ac:dyDescent="0.3">
      <c r="A2237" s="14" t="e">
        <f>VLOOKUP(B2237,'Relacion codigos'!$A:$B,2,FALSE)</f>
        <v>#N/A</v>
      </c>
      <c r="B2237" s="6" t="s">
        <v>12947</v>
      </c>
      <c r="C2237" s="6" t="s">
        <v>12948</v>
      </c>
      <c r="D2237" s="24">
        <v>951676.32527597004</v>
      </c>
      <c r="E2237" s="6" t="s">
        <v>5889</v>
      </c>
      <c r="F2237" s="6">
        <v>21</v>
      </c>
      <c r="G2237" s="8">
        <f t="shared" si="34"/>
        <v>951676.32527597004</v>
      </c>
    </row>
    <row r="2238" spans="1:7" x14ac:dyDescent="0.3">
      <c r="A2238" s="14" t="str">
        <f>VLOOKUP(B2238,'Relacion codigos'!$A:$B,2,FALSE)</f>
        <v>8908</v>
      </c>
      <c r="B2238" s="6" t="s">
        <v>3261</v>
      </c>
      <c r="C2238" s="6" t="s">
        <v>1136</v>
      </c>
      <c r="D2238" s="24">
        <v>951676.32527597004</v>
      </c>
      <c r="E2238" s="6" t="s">
        <v>5889</v>
      </c>
      <c r="F2238" s="6">
        <v>21</v>
      </c>
      <c r="G2238" s="8">
        <f t="shared" si="34"/>
        <v>951676.32527597004</v>
      </c>
    </row>
    <row r="2239" spans="1:7" x14ac:dyDescent="0.3">
      <c r="A2239" s="14" t="e">
        <f>VLOOKUP(B2239,'Relacion codigos'!$A:$B,2,FALSE)</f>
        <v>#N/A</v>
      </c>
      <c r="B2239" s="6" t="s">
        <v>13234</v>
      </c>
      <c r="C2239" s="6" t="s">
        <v>13235</v>
      </c>
      <c r="D2239" s="24">
        <v>34021.974515594899</v>
      </c>
      <c r="E2239" s="6" t="s">
        <v>5889</v>
      </c>
      <c r="F2239" s="6">
        <v>21</v>
      </c>
      <c r="G2239" s="8">
        <f t="shared" si="34"/>
        <v>34021.974515594899</v>
      </c>
    </row>
    <row r="2240" spans="1:7" x14ac:dyDescent="0.3">
      <c r="A2240" s="14" t="str">
        <f>VLOOKUP(B2240,'Relacion codigos'!$A:$B,2,FALSE)</f>
        <v>2325</v>
      </c>
      <c r="B2240" s="6" t="s">
        <v>3242</v>
      </c>
      <c r="C2240" s="6" t="s">
        <v>347</v>
      </c>
      <c r="D2240" s="24">
        <v>28931.645283606002</v>
      </c>
      <c r="E2240" s="6" t="s">
        <v>5889</v>
      </c>
      <c r="F2240" s="6">
        <v>21</v>
      </c>
      <c r="G2240" s="8">
        <f t="shared" si="34"/>
        <v>28931.645283606002</v>
      </c>
    </row>
    <row r="2241" spans="1:7" x14ac:dyDescent="0.3">
      <c r="A2241" s="14" t="str">
        <f>VLOOKUP(B2241,'Relacion codigos'!$A:$B,2,FALSE)</f>
        <v>2327</v>
      </c>
      <c r="B2241" s="6" t="s">
        <v>3243</v>
      </c>
      <c r="C2241" s="6" t="s">
        <v>348</v>
      </c>
      <c r="D2241" s="24">
        <v>28931.645283606002</v>
      </c>
      <c r="E2241" s="6" t="s">
        <v>5889</v>
      </c>
      <c r="F2241" s="6">
        <v>21</v>
      </c>
      <c r="G2241" s="8">
        <f t="shared" si="34"/>
        <v>28931.645283606002</v>
      </c>
    </row>
    <row r="2242" spans="1:7" x14ac:dyDescent="0.3">
      <c r="A2242" s="14" t="str">
        <f>VLOOKUP(B2242,'Relacion codigos'!$A:$B,2,FALSE)</f>
        <v>2332</v>
      </c>
      <c r="B2242" s="6" t="s">
        <v>3245</v>
      </c>
      <c r="C2242" s="6" t="s">
        <v>349</v>
      </c>
      <c r="D2242" s="24">
        <v>62971.651361174401</v>
      </c>
      <c r="E2242" s="6" t="s">
        <v>5889</v>
      </c>
      <c r="F2242" s="6">
        <v>21</v>
      </c>
      <c r="G2242" s="8">
        <f t="shared" ref="G2242:G2305" si="35">IF(E2242="Dolares",D2242*$G$1,D2242)</f>
        <v>62971.651361174401</v>
      </c>
    </row>
    <row r="2243" spans="1:7" x14ac:dyDescent="0.3">
      <c r="A2243" s="14" t="str">
        <f>VLOOKUP(B2243,'Relacion codigos'!$A:$B,2,FALSE)</f>
        <v>2326</v>
      </c>
      <c r="B2243" s="6" t="s">
        <v>3246</v>
      </c>
      <c r="C2243" s="6" t="s">
        <v>350</v>
      </c>
      <c r="D2243" s="24">
        <v>44758.843463177996</v>
      </c>
      <c r="E2243" s="6" t="s">
        <v>5889</v>
      </c>
      <c r="F2243" s="6">
        <v>21</v>
      </c>
      <c r="G2243" s="8">
        <f t="shared" si="35"/>
        <v>44758.843463177996</v>
      </c>
    </row>
    <row r="2244" spans="1:7" x14ac:dyDescent="0.3">
      <c r="A2244" s="14" t="str">
        <f>VLOOKUP(B2244,'Relacion codigos'!$A:$B,2,FALSE)</f>
        <v>2328</v>
      </c>
      <c r="B2244" s="6" t="s">
        <v>3247</v>
      </c>
      <c r="C2244" s="6" t="s">
        <v>351</v>
      </c>
      <c r="D2244" s="24">
        <v>44758.843463177996</v>
      </c>
      <c r="E2244" s="6" t="s">
        <v>5889</v>
      </c>
      <c r="F2244" s="6">
        <v>21</v>
      </c>
      <c r="G2244" s="8">
        <f t="shared" si="35"/>
        <v>44758.843463177996</v>
      </c>
    </row>
    <row r="2245" spans="1:7" x14ac:dyDescent="0.3">
      <c r="A2245" s="14" t="str">
        <f>VLOOKUP(B2245,'Relacion codigos'!$A:$B,2,FALSE)</f>
        <v>8410</v>
      </c>
      <c r="B2245" s="6" t="s">
        <v>3203</v>
      </c>
      <c r="C2245" s="6" t="s">
        <v>10622</v>
      </c>
      <c r="D2245" s="24">
        <v>40085.778273128002</v>
      </c>
      <c r="E2245" s="6" t="s">
        <v>5889</v>
      </c>
      <c r="F2245" s="6">
        <v>21</v>
      </c>
      <c r="G2245" s="8">
        <f t="shared" si="35"/>
        <v>40085.778273128002</v>
      </c>
    </row>
    <row r="2246" spans="1:7" x14ac:dyDescent="0.3">
      <c r="A2246" s="14" t="str">
        <f>VLOOKUP(B2246,'Relacion codigos'!$A:$B,2,FALSE)</f>
        <v>8422</v>
      </c>
      <c r="B2246" s="6" t="s">
        <v>3204</v>
      </c>
      <c r="C2246" s="6" t="s">
        <v>10623</v>
      </c>
      <c r="D2246" s="24">
        <v>82153.297994039996</v>
      </c>
      <c r="E2246" s="6" t="s">
        <v>5889</v>
      </c>
      <c r="F2246" s="6">
        <v>21</v>
      </c>
      <c r="G2246" s="8">
        <f t="shared" si="35"/>
        <v>82153.297994039996</v>
      </c>
    </row>
    <row r="2247" spans="1:7" x14ac:dyDescent="0.3">
      <c r="A2247" s="14" t="str">
        <f>VLOOKUP(B2247,'Relacion codigos'!$A:$B,2,FALSE)</f>
        <v>2217</v>
      </c>
      <c r="B2247" s="6" t="s">
        <v>3251</v>
      </c>
      <c r="C2247" s="6" t="s">
        <v>9401</v>
      </c>
      <c r="D2247" s="24">
        <v>5073.7306892912602</v>
      </c>
      <c r="E2247" s="6" t="s">
        <v>5889</v>
      </c>
      <c r="F2247" s="6">
        <v>21</v>
      </c>
      <c r="G2247" s="8">
        <f t="shared" si="35"/>
        <v>5073.7306892912602</v>
      </c>
    </row>
    <row r="2248" spans="1:7" x14ac:dyDescent="0.3">
      <c r="A2248" s="14" t="str">
        <f>VLOOKUP(B2248,'Relacion codigos'!$A:$B,2,FALSE)</f>
        <v>1062</v>
      </c>
      <c r="B2248" s="6" t="s">
        <v>3454</v>
      </c>
      <c r="C2248" s="6" t="s">
        <v>943</v>
      </c>
      <c r="D2248" s="24">
        <v>6443.1120000000001</v>
      </c>
      <c r="E2248" s="6" t="s">
        <v>5889</v>
      </c>
      <c r="F2248" s="6">
        <v>21</v>
      </c>
      <c r="G2248" s="8">
        <f t="shared" si="35"/>
        <v>6443.1120000000001</v>
      </c>
    </row>
    <row r="2249" spans="1:7" x14ac:dyDescent="0.3">
      <c r="A2249" s="14" t="str">
        <f>VLOOKUP(B2249,'Relacion codigos'!$A:$B,2,FALSE)</f>
        <v>8260</v>
      </c>
      <c r="B2249" s="6" t="s">
        <v>3455</v>
      </c>
      <c r="C2249" s="6" t="s">
        <v>944</v>
      </c>
      <c r="D2249" s="24">
        <v>6443.1120000000001</v>
      </c>
      <c r="E2249" s="6" t="s">
        <v>5889</v>
      </c>
      <c r="F2249" s="6">
        <v>21</v>
      </c>
      <c r="G2249" s="8">
        <f t="shared" si="35"/>
        <v>6443.1120000000001</v>
      </c>
    </row>
    <row r="2250" spans="1:7" x14ac:dyDescent="0.3">
      <c r="A2250" s="14" t="str">
        <f>VLOOKUP(B2250,'Relacion codigos'!$A:$B,2,FALSE)</f>
        <v>5340</v>
      </c>
      <c r="B2250" s="6" t="s">
        <v>3456</v>
      </c>
      <c r="C2250" s="6" t="s">
        <v>352</v>
      </c>
      <c r="D2250" s="24">
        <v>498.68929654375103</v>
      </c>
      <c r="E2250" s="6" t="s">
        <v>5889</v>
      </c>
      <c r="F2250" s="6">
        <v>21</v>
      </c>
      <c r="G2250" s="8">
        <f t="shared" si="35"/>
        <v>498.68929654375103</v>
      </c>
    </row>
    <row r="2251" spans="1:7" x14ac:dyDescent="0.3">
      <c r="A2251" s="14" t="str">
        <f>VLOOKUP(B2251,'Relacion codigos'!$A:$B,2,FALSE)</f>
        <v>1086</v>
      </c>
      <c r="B2251" s="6" t="s">
        <v>3457</v>
      </c>
      <c r="C2251" s="6" t="s">
        <v>353</v>
      </c>
      <c r="D2251" s="24">
        <v>379.77680129999999</v>
      </c>
      <c r="E2251" s="6" t="s">
        <v>5889</v>
      </c>
      <c r="F2251" s="6">
        <v>21</v>
      </c>
      <c r="G2251" s="8">
        <f t="shared" si="35"/>
        <v>379.77680129999999</v>
      </c>
    </row>
    <row r="2252" spans="1:7" x14ac:dyDescent="0.3">
      <c r="A2252" s="14" t="str">
        <f>VLOOKUP(B2252,'Relacion codigos'!$A:$B,2,FALSE)</f>
        <v>1088</v>
      </c>
      <c r="B2252" s="6" t="s">
        <v>3458</v>
      </c>
      <c r="C2252" s="6" t="s">
        <v>945</v>
      </c>
      <c r="D2252" s="24">
        <v>191.33238384000001</v>
      </c>
      <c r="E2252" s="6" t="s">
        <v>5889</v>
      </c>
      <c r="F2252" s="6">
        <v>21</v>
      </c>
      <c r="G2252" s="8">
        <f t="shared" si="35"/>
        <v>191.33238384000001</v>
      </c>
    </row>
    <row r="2253" spans="1:7" x14ac:dyDescent="0.3">
      <c r="A2253" s="14" t="str">
        <f>VLOOKUP(B2253,'Relacion codigos'!$A:$B,2,FALSE)</f>
        <v>1087</v>
      </c>
      <c r="B2253" s="6" t="s">
        <v>3459</v>
      </c>
      <c r="C2253" s="6" t="s">
        <v>946</v>
      </c>
      <c r="D2253" s="24">
        <v>147.21208944</v>
      </c>
      <c r="E2253" s="6" t="s">
        <v>5889</v>
      </c>
      <c r="F2253" s="6">
        <v>21</v>
      </c>
      <c r="G2253" s="8">
        <f t="shared" si="35"/>
        <v>147.21208944</v>
      </c>
    </row>
    <row r="2254" spans="1:7" x14ac:dyDescent="0.3">
      <c r="A2254" s="14" t="str">
        <f>VLOOKUP(B2254,'Relacion codigos'!$A:$B,2,FALSE)</f>
        <v>9156</v>
      </c>
      <c r="B2254" s="6" t="s">
        <v>5786</v>
      </c>
      <c r="C2254" s="6" t="s">
        <v>8916</v>
      </c>
      <c r="D2254" s="24">
        <v>20865</v>
      </c>
      <c r="E2254" s="6" t="s">
        <v>5889</v>
      </c>
      <c r="F2254" s="6">
        <v>21</v>
      </c>
      <c r="G2254" s="8">
        <f t="shared" si="35"/>
        <v>20865</v>
      </c>
    </row>
    <row r="2255" spans="1:7" x14ac:dyDescent="0.3">
      <c r="A2255" s="14" t="str">
        <f>VLOOKUP(B2255,'Relacion codigos'!$A:$B,2,FALSE)</f>
        <v>569</v>
      </c>
      <c r="B2255" s="6" t="s">
        <v>5787</v>
      </c>
      <c r="C2255" s="6" t="s">
        <v>1187</v>
      </c>
      <c r="D2255" s="24">
        <v>18.662824440000001</v>
      </c>
      <c r="E2255" s="6" t="s">
        <v>5887</v>
      </c>
      <c r="F2255" s="6">
        <v>21</v>
      </c>
      <c r="G2255" s="8">
        <f t="shared" si="35"/>
        <v>29020.692004200002</v>
      </c>
    </row>
    <row r="2256" spans="1:7" x14ac:dyDescent="0.3">
      <c r="A2256" s="14" t="str">
        <f>VLOOKUP(B2256,'Relacion codigos'!$A:$B,2,FALSE)</f>
        <v>9074</v>
      </c>
      <c r="B2256" s="6" t="s">
        <v>2311</v>
      </c>
      <c r="C2256" s="6" t="s">
        <v>1157</v>
      </c>
      <c r="D2256" s="24">
        <v>583.89589700000101</v>
      </c>
      <c r="E2256" s="6" t="s">
        <v>5889</v>
      </c>
      <c r="F2256" s="6">
        <v>21</v>
      </c>
      <c r="G2256" s="8">
        <f t="shared" si="35"/>
        <v>583.89589700000101</v>
      </c>
    </row>
    <row r="2257" spans="1:7" x14ac:dyDescent="0.3">
      <c r="A2257" s="14" t="str">
        <f>VLOOKUP(B2257,'Relacion codigos'!$A:$B,2,FALSE)</f>
        <v>9072</v>
      </c>
      <c r="B2257" s="6" t="s">
        <v>2312</v>
      </c>
      <c r="C2257" s="6" t="s">
        <v>1158</v>
      </c>
      <c r="D2257" s="24">
        <v>530.0732385</v>
      </c>
      <c r="E2257" s="6" t="s">
        <v>5889</v>
      </c>
      <c r="F2257" s="6">
        <v>21</v>
      </c>
      <c r="G2257" s="8">
        <f t="shared" si="35"/>
        <v>530.0732385</v>
      </c>
    </row>
    <row r="2258" spans="1:7" x14ac:dyDescent="0.3">
      <c r="A2258" s="14" t="str">
        <f>VLOOKUP(B2258,'Relacion codigos'!$A:$B,2,FALSE)</f>
        <v>9073</v>
      </c>
      <c r="B2258" s="6" t="s">
        <v>2313</v>
      </c>
      <c r="C2258" s="6" t="s">
        <v>1159</v>
      </c>
      <c r="D2258" s="24">
        <v>569.34673250000003</v>
      </c>
      <c r="E2258" s="6" t="s">
        <v>5889</v>
      </c>
      <c r="F2258" s="6">
        <v>21</v>
      </c>
      <c r="G2258" s="8">
        <f t="shared" si="35"/>
        <v>569.34673250000003</v>
      </c>
    </row>
    <row r="2259" spans="1:7" x14ac:dyDescent="0.3">
      <c r="A2259" s="14" t="str">
        <f>VLOOKUP(B2259,'Relacion codigos'!$A:$B,2,FALSE)</f>
        <v>2384</v>
      </c>
      <c r="B2259" s="6" t="s">
        <v>2369</v>
      </c>
      <c r="C2259" s="6" t="s">
        <v>12709</v>
      </c>
      <c r="D2259" s="24">
        <v>461.44377503639998</v>
      </c>
      <c r="E2259" s="6" t="s">
        <v>5889</v>
      </c>
      <c r="F2259" s="6">
        <v>21</v>
      </c>
      <c r="G2259" s="8">
        <f t="shared" si="35"/>
        <v>461.44377503639998</v>
      </c>
    </row>
    <row r="2260" spans="1:7" x14ac:dyDescent="0.3">
      <c r="A2260" s="14" t="str">
        <f>VLOOKUP(B2260,'Relacion codigos'!$A:$B,2,FALSE)</f>
        <v>2383</v>
      </c>
      <c r="B2260" s="6" t="s">
        <v>2370</v>
      </c>
      <c r="C2260" s="6" t="s">
        <v>12710</v>
      </c>
      <c r="D2260" s="24">
        <v>388.10790869760001</v>
      </c>
      <c r="E2260" s="6" t="s">
        <v>5889</v>
      </c>
      <c r="F2260" s="6">
        <v>21</v>
      </c>
      <c r="G2260" s="8">
        <f t="shared" si="35"/>
        <v>388.10790869760001</v>
      </c>
    </row>
    <row r="2261" spans="1:7" x14ac:dyDescent="0.3">
      <c r="A2261" s="14" t="str">
        <f>VLOOKUP(B2261,'Relacion codigos'!$A:$B,2,FALSE)</f>
        <v>2382</v>
      </c>
      <c r="B2261" s="6" t="s">
        <v>2371</v>
      </c>
      <c r="C2261" s="6" t="s">
        <v>12711</v>
      </c>
      <c r="D2261" s="24">
        <v>175.56071729039999</v>
      </c>
      <c r="E2261" s="6" t="s">
        <v>5889</v>
      </c>
      <c r="F2261" s="6">
        <v>21</v>
      </c>
      <c r="G2261" s="8">
        <f t="shared" si="35"/>
        <v>175.56071729039999</v>
      </c>
    </row>
    <row r="2262" spans="1:7" x14ac:dyDescent="0.3">
      <c r="A2262" s="14" t="str">
        <f>VLOOKUP(B2262,'Relacion codigos'!$A:$B,2,FALSE)</f>
        <v>2385</v>
      </c>
      <c r="B2262" s="6" t="s">
        <v>2372</v>
      </c>
      <c r="C2262" s="6" t="s">
        <v>12712</v>
      </c>
      <c r="D2262" s="24">
        <v>579.94100746920003</v>
      </c>
      <c r="E2262" s="6" t="s">
        <v>5889</v>
      </c>
      <c r="F2262" s="6">
        <v>21</v>
      </c>
      <c r="G2262" s="8">
        <f t="shared" si="35"/>
        <v>579.94100746920003</v>
      </c>
    </row>
    <row r="2263" spans="1:7" x14ac:dyDescent="0.3">
      <c r="A2263" s="14" t="str">
        <f>VLOOKUP(B2263,'Relacion codigos'!$A:$B,2,FALSE)</f>
        <v>2380</v>
      </c>
      <c r="B2263" s="6" t="s">
        <v>2373</v>
      </c>
      <c r="C2263" s="6" t="s">
        <v>12713</v>
      </c>
      <c r="D2263" s="24">
        <v>145.1534533956</v>
      </c>
      <c r="E2263" s="6" t="s">
        <v>5889</v>
      </c>
      <c r="F2263" s="6">
        <v>21</v>
      </c>
      <c r="G2263" s="8">
        <f t="shared" si="35"/>
        <v>145.1534533956</v>
      </c>
    </row>
    <row r="2264" spans="1:7" x14ac:dyDescent="0.3">
      <c r="A2264" s="14" t="e">
        <f>VLOOKUP(B2264,'Relacion codigos'!$A:$B,2,FALSE)</f>
        <v>#N/A</v>
      </c>
      <c r="B2264" s="6" t="s">
        <v>13623</v>
      </c>
      <c r="C2264" s="6" t="s">
        <v>13624</v>
      </c>
      <c r="D2264" s="24">
        <v>159.66939413879999</v>
      </c>
      <c r="E2264" s="6" t="s">
        <v>5889</v>
      </c>
      <c r="F2264" s="6">
        <v>21</v>
      </c>
      <c r="G2264" s="8">
        <f t="shared" si="35"/>
        <v>159.66939413879999</v>
      </c>
    </row>
    <row r="2265" spans="1:7" x14ac:dyDescent="0.3">
      <c r="A2265" s="14" t="str">
        <f>VLOOKUP(B2265,'Relacion codigos'!$A:$B,2,FALSE)</f>
        <v>2401</v>
      </c>
      <c r="B2265" s="6" t="s">
        <v>2374</v>
      </c>
      <c r="C2265" s="6" t="s">
        <v>12714</v>
      </c>
      <c r="D2265" s="24">
        <v>141.37859431800001</v>
      </c>
      <c r="E2265" s="6" t="s">
        <v>5889</v>
      </c>
      <c r="F2265" s="6">
        <v>21</v>
      </c>
      <c r="G2265" s="8">
        <f t="shared" si="35"/>
        <v>141.37859431800001</v>
      </c>
    </row>
    <row r="2266" spans="1:7" x14ac:dyDescent="0.3">
      <c r="A2266" s="14" t="str">
        <f>VLOOKUP(B2266,'Relacion codigos'!$A:$B,2,FALSE)</f>
        <v>2381</v>
      </c>
      <c r="B2266" s="6" t="s">
        <v>2375</v>
      </c>
      <c r="C2266" s="6" t="s">
        <v>12715</v>
      </c>
      <c r="D2266" s="24">
        <v>157.04366408640001</v>
      </c>
      <c r="E2266" s="6" t="s">
        <v>5889</v>
      </c>
      <c r="F2266" s="6">
        <v>21</v>
      </c>
      <c r="G2266" s="8">
        <f t="shared" si="35"/>
        <v>157.04366408640001</v>
      </c>
    </row>
    <row r="2267" spans="1:7" x14ac:dyDescent="0.3">
      <c r="A2267" s="14" t="str">
        <f>VLOOKUP(B2267,'Relacion codigos'!$A:$B,2,FALSE)</f>
        <v>2419</v>
      </c>
      <c r="B2267" s="6" t="s">
        <v>2471</v>
      </c>
      <c r="C2267" s="6" t="s">
        <v>354</v>
      </c>
      <c r="D2267" s="24">
        <v>800.03011164375005</v>
      </c>
      <c r="E2267" s="6" t="s">
        <v>5889</v>
      </c>
      <c r="F2267" s="6">
        <v>21</v>
      </c>
      <c r="G2267" s="8">
        <f t="shared" si="35"/>
        <v>800.03011164375005</v>
      </c>
    </row>
    <row r="2268" spans="1:7" x14ac:dyDescent="0.3">
      <c r="A2268" s="14" t="str">
        <f>VLOOKUP(B2268,'Relacion codigos'!$A:$B,2,FALSE)</f>
        <v>2417</v>
      </c>
      <c r="B2268" s="6" t="s">
        <v>2472</v>
      </c>
      <c r="C2268" s="6" t="s">
        <v>355</v>
      </c>
      <c r="D2268" s="24">
        <v>583.35509358750005</v>
      </c>
      <c r="E2268" s="6" t="s">
        <v>5889</v>
      </c>
      <c r="F2268" s="6">
        <v>21</v>
      </c>
      <c r="G2268" s="8">
        <f t="shared" si="35"/>
        <v>583.35509358750005</v>
      </c>
    </row>
    <row r="2269" spans="1:7" x14ac:dyDescent="0.3">
      <c r="A2269" s="14" t="str">
        <f>VLOOKUP(B2269,'Relacion codigos'!$A:$B,2,FALSE)</f>
        <v>2416</v>
      </c>
      <c r="B2269" s="6" t="s">
        <v>2473</v>
      </c>
      <c r="C2269" s="6" t="s">
        <v>356</v>
      </c>
      <c r="D2269" s="24">
        <v>583.35509358750005</v>
      </c>
      <c r="E2269" s="6" t="s">
        <v>5889</v>
      </c>
      <c r="F2269" s="6">
        <v>21</v>
      </c>
      <c r="G2269" s="8">
        <f t="shared" si="35"/>
        <v>583.35509358750005</v>
      </c>
    </row>
    <row r="2270" spans="1:7" x14ac:dyDescent="0.3">
      <c r="A2270" s="14" t="str">
        <f>VLOOKUP(B2270,'Relacion codigos'!$A:$B,2,FALSE)</f>
        <v>2418</v>
      </c>
      <c r="B2270" s="6" t="s">
        <v>2474</v>
      </c>
      <c r="C2270" s="6" t="s">
        <v>357</v>
      </c>
      <c r="D2270" s="24">
        <v>700.02673999374997</v>
      </c>
      <c r="E2270" s="6" t="s">
        <v>5889</v>
      </c>
      <c r="F2270" s="6">
        <v>21</v>
      </c>
      <c r="G2270" s="8">
        <f t="shared" si="35"/>
        <v>700.02673999374997</v>
      </c>
    </row>
    <row r="2271" spans="1:7" x14ac:dyDescent="0.3">
      <c r="A2271" s="14" t="e">
        <f>VLOOKUP(B2271,'Relacion codigos'!$A:$B,2,FALSE)</f>
        <v>#N/A</v>
      </c>
      <c r="B2271" s="6" t="s">
        <v>8859</v>
      </c>
      <c r="C2271" s="6" t="s">
        <v>8865</v>
      </c>
      <c r="D2271" s="24">
        <v>123.057648807795</v>
      </c>
      <c r="E2271" s="6" t="s">
        <v>5889</v>
      </c>
      <c r="F2271" s="6">
        <v>21</v>
      </c>
      <c r="G2271" s="8">
        <f t="shared" si="35"/>
        <v>123.057648807795</v>
      </c>
    </row>
    <row r="2272" spans="1:7" x14ac:dyDescent="0.3">
      <c r="A2272" s="14" t="e">
        <f>VLOOKUP(B2272,'Relacion codigos'!$A:$B,2,FALSE)</f>
        <v>#N/A</v>
      </c>
      <c r="B2272" s="6" t="s">
        <v>10194</v>
      </c>
      <c r="C2272" s="6" t="s">
        <v>10195</v>
      </c>
      <c r="D2272" s="24">
        <v>124.35007249781999</v>
      </c>
      <c r="E2272" s="6" t="s">
        <v>5889</v>
      </c>
      <c r="F2272" s="6">
        <v>21</v>
      </c>
      <c r="G2272" s="8">
        <f t="shared" si="35"/>
        <v>124.35007249781999</v>
      </c>
    </row>
    <row r="2273" spans="1:7" x14ac:dyDescent="0.3">
      <c r="A2273" s="14" t="e">
        <f>VLOOKUP(B2273,'Relacion codigos'!$A:$B,2,FALSE)</f>
        <v>#N/A</v>
      </c>
      <c r="B2273" s="6" t="s">
        <v>10196</v>
      </c>
      <c r="C2273" s="6" t="s">
        <v>10197</v>
      </c>
      <c r="D2273" s="24">
        <v>162.033364595466</v>
      </c>
      <c r="E2273" s="6" t="s">
        <v>5889</v>
      </c>
      <c r="F2273" s="6">
        <v>21</v>
      </c>
      <c r="G2273" s="8">
        <f t="shared" si="35"/>
        <v>162.033364595466</v>
      </c>
    </row>
    <row r="2274" spans="1:7" x14ac:dyDescent="0.3">
      <c r="A2274" s="14" t="e">
        <f>VLOOKUP(B2274,'Relacion codigos'!$A:$B,2,FALSE)</f>
        <v>#N/A</v>
      </c>
      <c r="B2274" s="6" t="s">
        <v>8860</v>
      </c>
      <c r="C2274" s="6" t="s">
        <v>8866</v>
      </c>
      <c r="D2274" s="24">
        <v>190.29899577239399</v>
      </c>
      <c r="E2274" s="6" t="s">
        <v>5889</v>
      </c>
      <c r="F2274" s="6">
        <v>21</v>
      </c>
      <c r="G2274" s="8">
        <f t="shared" si="35"/>
        <v>190.29899577239399</v>
      </c>
    </row>
    <row r="2275" spans="1:7" x14ac:dyDescent="0.3">
      <c r="A2275" s="14" t="e">
        <f>VLOOKUP(B2275,'Relacion codigos'!$A:$B,2,FALSE)</f>
        <v>#N/A</v>
      </c>
      <c r="B2275" s="6" t="s">
        <v>11593</v>
      </c>
      <c r="C2275" s="6" t="s">
        <v>11594</v>
      </c>
      <c r="D2275" s="24">
        <v>523.75312425617994</v>
      </c>
      <c r="E2275" s="6" t="s">
        <v>5889</v>
      </c>
      <c r="F2275" s="6">
        <v>21</v>
      </c>
      <c r="G2275" s="8">
        <f t="shared" si="35"/>
        <v>523.75312425617994</v>
      </c>
    </row>
    <row r="2276" spans="1:7" x14ac:dyDescent="0.3">
      <c r="A2276" s="14" t="e">
        <f>VLOOKUP(B2276,'Relacion codigos'!$A:$B,2,FALSE)</f>
        <v>#N/A</v>
      </c>
      <c r="B2276" s="6" t="s">
        <v>11595</v>
      </c>
      <c r="C2276" s="6" t="s">
        <v>11596</v>
      </c>
      <c r="D2276" s="24">
        <v>556.83286621501497</v>
      </c>
      <c r="E2276" s="6" t="s">
        <v>5889</v>
      </c>
      <c r="F2276" s="6">
        <v>21</v>
      </c>
      <c r="G2276" s="8">
        <f t="shared" si="35"/>
        <v>556.83286621501497</v>
      </c>
    </row>
    <row r="2277" spans="1:7" x14ac:dyDescent="0.3">
      <c r="A2277" s="14" t="str">
        <f>VLOOKUP(B2277,'Relacion codigos'!$A:$B,2,FALSE)</f>
        <v>2172</v>
      </c>
      <c r="B2277" s="6" t="s">
        <v>2376</v>
      </c>
      <c r="C2277" s="6" t="s">
        <v>10988</v>
      </c>
      <c r="D2277" s="24">
        <v>175.56071729039999</v>
      </c>
      <c r="E2277" s="6" t="s">
        <v>5889</v>
      </c>
      <c r="F2277" s="6">
        <v>21</v>
      </c>
      <c r="G2277" s="8">
        <f t="shared" si="35"/>
        <v>175.56071729039999</v>
      </c>
    </row>
    <row r="2278" spans="1:7" x14ac:dyDescent="0.3">
      <c r="A2278" s="14" t="str">
        <f>VLOOKUP(B2278,'Relacion codigos'!$A:$B,2,FALSE)</f>
        <v>2169</v>
      </c>
      <c r="B2278" s="6" t="s">
        <v>2378</v>
      </c>
      <c r="C2278" s="6" t="s">
        <v>10989</v>
      </c>
      <c r="D2278" s="24">
        <v>141.37859431800001</v>
      </c>
      <c r="E2278" s="6" t="s">
        <v>5889</v>
      </c>
      <c r="F2278" s="6">
        <v>21</v>
      </c>
      <c r="G2278" s="8">
        <f t="shared" si="35"/>
        <v>141.37859431800001</v>
      </c>
    </row>
    <row r="2279" spans="1:7" x14ac:dyDescent="0.3">
      <c r="A2279" s="14" t="str">
        <f>VLOOKUP(B2279,'Relacion codigos'!$A:$B,2,FALSE)</f>
        <v>2171</v>
      </c>
      <c r="B2279" s="6" t="s">
        <v>2379</v>
      </c>
      <c r="C2279" s="6" t="s">
        <v>10990</v>
      </c>
      <c r="D2279" s="24">
        <v>157.04366408640001</v>
      </c>
      <c r="E2279" s="6" t="s">
        <v>5889</v>
      </c>
      <c r="F2279" s="6">
        <v>21</v>
      </c>
      <c r="G2279" s="8">
        <f t="shared" si="35"/>
        <v>157.04366408640001</v>
      </c>
    </row>
    <row r="2280" spans="1:7" x14ac:dyDescent="0.3">
      <c r="A2280" s="14" t="e">
        <f>VLOOKUP(B2280,'Relacion codigos'!$A:$B,2,FALSE)</f>
        <v>#N/A</v>
      </c>
      <c r="B2280" s="6" t="s">
        <v>10184</v>
      </c>
      <c r="C2280" s="6" t="s">
        <v>10185</v>
      </c>
      <c r="D2280" s="24">
        <v>3970.1052451125001</v>
      </c>
      <c r="E2280" s="6" t="s">
        <v>5889</v>
      </c>
      <c r="F2280" s="6">
        <v>21</v>
      </c>
      <c r="G2280" s="8">
        <f t="shared" si="35"/>
        <v>3970.1052451125001</v>
      </c>
    </row>
    <row r="2281" spans="1:7" x14ac:dyDescent="0.3">
      <c r="A2281" s="14" t="e">
        <f>VLOOKUP(B2281,'Relacion codigos'!$A:$B,2,FALSE)</f>
        <v>#N/A</v>
      </c>
      <c r="B2281" s="6" t="s">
        <v>10130</v>
      </c>
      <c r="C2281" s="6" t="s">
        <v>10186</v>
      </c>
      <c r="D2281" s="24">
        <v>3409.4282156999998</v>
      </c>
      <c r="E2281" s="6" t="s">
        <v>5889</v>
      </c>
      <c r="F2281" s="6">
        <v>21</v>
      </c>
      <c r="G2281" s="8">
        <f t="shared" si="35"/>
        <v>3409.4282156999998</v>
      </c>
    </row>
    <row r="2282" spans="1:7" x14ac:dyDescent="0.3">
      <c r="A2282" s="14" t="str">
        <f>VLOOKUP(B2282,'Relacion codigos'!$A:$B,2,FALSE)</f>
        <v>9108</v>
      </c>
      <c r="B2282" s="6" t="s">
        <v>2293</v>
      </c>
      <c r="C2282" s="6" t="s">
        <v>8799</v>
      </c>
      <c r="D2282" s="24">
        <v>1993.8371266125</v>
      </c>
      <c r="E2282" s="6" t="s">
        <v>5889</v>
      </c>
      <c r="F2282" s="6">
        <v>21</v>
      </c>
      <c r="G2282" s="8">
        <f t="shared" si="35"/>
        <v>1993.8371266125</v>
      </c>
    </row>
    <row r="2283" spans="1:7" x14ac:dyDescent="0.3">
      <c r="A2283" s="14" t="e">
        <f>VLOOKUP(B2283,'Relacion codigos'!$A:$B,2,FALSE)</f>
        <v>#N/A</v>
      </c>
      <c r="B2283" s="6" t="s">
        <v>12101</v>
      </c>
      <c r="C2283" s="6" t="s">
        <v>12102</v>
      </c>
      <c r="D2283" s="24">
        <v>5151.5060103551896</v>
      </c>
      <c r="E2283" s="6" t="s">
        <v>5889</v>
      </c>
      <c r="F2283" s="6">
        <v>21</v>
      </c>
      <c r="G2283" s="8">
        <f t="shared" si="35"/>
        <v>5151.5060103551896</v>
      </c>
    </row>
    <row r="2284" spans="1:7" x14ac:dyDescent="0.3">
      <c r="A2284" s="14" t="str">
        <f>VLOOKUP(B2284,'Relacion codigos'!$A:$B,2,FALSE)</f>
        <v>8172</v>
      </c>
      <c r="B2284" s="6" t="s">
        <v>2294</v>
      </c>
      <c r="C2284" s="6" t="s">
        <v>8800</v>
      </c>
      <c r="D2284" s="24">
        <v>1712.8757134125001</v>
      </c>
      <c r="E2284" s="6" t="s">
        <v>5889</v>
      </c>
      <c r="F2284" s="6">
        <v>21</v>
      </c>
      <c r="G2284" s="8">
        <f t="shared" si="35"/>
        <v>1712.8757134125001</v>
      </c>
    </row>
    <row r="2285" spans="1:7" x14ac:dyDescent="0.3">
      <c r="A2285" s="14" t="str">
        <f>VLOOKUP(B2285,'Relacion codigos'!$A:$B,2,FALSE)</f>
        <v>9107</v>
      </c>
      <c r="B2285" s="6" t="s">
        <v>2295</v>
      </c>
      <c r="C2285" s="6" t="s">
        <v>8801</v>
      </c>
      <c r="D2285" s="24">
        <v>1902.5787806999999</v>
      </c>
      <c r="E2285" s="6" t="s">
        <v>5889</v>
      </c>
      <c r="F2285" s="6">
        <v>21</v>
      </c>
      <c r="G2285" s="8">
        <f t="shared" si="35"/>
        <v>1902.5787806999999</v>
      </c>
    </row>
    <row r="2286" spans="1:7" x14ac:dyDescent="0.3">
      <c r="A2286" s="14" t="str">
        <f>VLOOKUP(B2286,'Relacion codigos'!$A:$B,2,FALSE)</f>
        <v>1802</v>
      </c>
      <c r="B2286" s="6" t="s">
        <v>1731</v>
      </c>
      <c r="C2286" s="6" t="s">
        <v>358</v>
      </c>
      <c r="D2286" s="24">
        <v>2062.1321435268901</v>
      </c>
      <c r="E2286" s="6" t="s">
        <v>5889</v>
      </c>
      <c r="F2286" s="6">
        <v>21</v>
      </c>
      <c r="G2286" s="8">
        <f t="shared" si="35"/>
        <v>2062.1321435268901</v>
      </c>
    </row>
    <row r="2287" spans="1:7" x14ac:dyDescent="0.3">
      <c r="A2287" s="14" t="str">
        <f>VLOOKUP(B2287,'Relacion codigos'!$A:$B,2,FALSE)</f>
        <v>1819</v>
      </c>
      <c r="B2287" s="6" t="s">
        <v>1732</v>
      </c>
      <c r="C2287" s="6" t="s">
        <v>359</v>
      </c>
      <c r="D2287" s="24">
        <v>3245.4483796332001</v>
      </c>
      <c r="E2287" s="6" t="s">
        <v>5889</v>
      </c>
      <c r="F2287" s="6">
        <v>21</v>
      </c>
      <c r="G2287" s="8">
        <f t="shared" si="35"/>
        <v>3245.4483796332001</v>
      </c>
    </row>
    <row r="2288" spans="1:7" x14ac:dyDescent="0.3">
      <c r="A2288" s="14" t="str">
        <f>VLOOKUP(B2288,'Relacion codigos'!$A:$B,2,FALSE)</f>
        <v>1850</v>
      </c>
      <c r="B2288" s="6" t="s">
        <v>1737</v>
      </c>
      <c r="C2288" s="6" t="s">
        <v>9560</v>
      </c>
      <c r="D2288" s="24">
        <v>2449.234736676</v>
      </c>
      <c r="E2288" s="6" t="s">
        <v>5889</v>
      </c>
      <c r="F2288" s="6">
        <v>21</v>
      </c>
      <c r="G2288" s="8">
        <f t="shared" si="35"/>
        <v>2449.234736676</v>
      </c>
    </row>
    <row r="2289" spans="1:7" x14ac:dyDescent="0.3">
      <c r="A2289" s="14" t="str">
        <f>VLOOKUP(B2289,'Relacion codigos'!$A:$B,2,FALSE)</f>
        <v>1828</v>
      </c>
      <c r="B2289" s="6" t="s">
        <v>1734</v>
      </c>
      <c r="C2289" s="6" t="s">
        <v>360</v>
      </c>
      <c r="D2289" s="24">
        <v>2527.7681713284001</v>
      </c>
      <c r="E2289" s="6" t="s">
        <v>5889</v>
      </c>
      <c r="F2289" s="6">
        <v>21</v>
      </c>
      <c r="G2289" s="8">
        <f t="shared" si="35"/>
        <v>2527.7681713284001</v>
      </c>
    </row>
    <row r="2290" spans="1:7" x14ac:dyDescent="0.3">
      <c r="A2290" s="14" t="str">
        <f>VLOOKUP(B2290,'Relacion codigos'!$A:$B,2,FALSE)</f>
        <v>1834</v>
      </c>
      <c r="B2290" s="6" t="s">
        <v>1735</v>
      </c>
      <c r="C2290" s="6" t="s">
        <v>361</v>
      </c>
      <c r="D2290" s="24">
        <v>3115.4608334303998</v>
      </c>
      <c r="E2290" s="6" t="s">
        <v>5889</v>
      </c>
      <c r="F2290" s="6">
        <v>21</v>
      </c>
      <c r="G2290" s="8">
        <f t="shared" si="35"/>
        <v>3115.4608334303998</v>
      </c>
    </row>
    <row r="2291" spans="1:7" x14ac:dyDescent="0.3">
      <c r="A2291" s="14" t="str">
        <f>VLOOKUP(B2291,'Relacion codigos'!$A:$B,2,FALSE)</f>
        <v>1855</v>
      </c>
      <c r="B2291" s="6" t="s">
        <v>2380</v>
      </c>
      <c r="C2291" s="6" t="s">
        <v>1175</v>
      </c>
      <c r="D2291" s="24">
        <v>3287.4434152091999</v>
      </c>
      <c r="E2291" s="6" t="s">
        <v>5889</v>
      </c>
      <c r="F2291" s="6">
        <v>21</v>
      </c>
      <c r="G2291" s="8">
        <f t="shared" si="35"/>
        <v>3287.4434152091999</v>
      </c>
    </row>
    <row r="2292" spans="1:7" x14ac:dyDescent="0.3">
      <c r="A2292" s="14" t="str">
        <f>VLOOKUP(B2292,'Relacion codigos'!$A:$B,2,FALSE)</f>
        <v>1817</v>
      </c>
      <c r="B2292" s="6" t="s">
        <v>1736</v>
      </c>
      <c r="C2292" s="6" t="s">
        <v>362</v>
      </c>
      <c r="D2292" s="24">
        <v>4653.2470059036004</v>
      </c>
      <c r="E2292" s="6" t="s">
        <v>5889</v>
      </c>
      <c r="F2292" s="6">
        <v>21</v>
      </c>
      <c r="G2292" s="8">
        <f t="shared" si="35"/>
        <v>4653.2470059036004</v>
      </c>
    </row>
    <row r="2293" spans="1:7" x14ac:dyDescent="0.3">
      <c r="A2293" s="14" t="str">
        <f>VLOOKUP(B2293,'Relacion codigos'!$A:$B,2,FALSE)</f>
        <v>176</v>
      </c>
      <c r="B2293" s="6" t="s">
        <v>1738</v>
      </c>
      <c r="C2293" s="6" t="s">
        <v>1188</v>
      </c>
      <c r="D2293" s="24">
        <v>4434.0098161320002</v>
      </c>
      <c r="E2293" s="6" t="s">
        <v>5889</v>
      </c>
      <c r="F2293" s="6">
        <v>21</v>
      </c>
      <c r="G2293" s="8">
        <f t="shared" si="35"/>
        <v>4434.0098161320002</v>
      </c>
    </row>
    <row r="2294" spans="1:7" x14ac:dyDescent="0.3">
      <c r="A2294" s="14" t="str">
        <f>VLOOKUP(B2294,'Relacion codigos'!$A:$B,2,FALSE)</f>
        <v>1833</v>
      </c>
      <c r="B2294" s="6" t="s">
        <v>1741</v>
      </c>
      <c r="C2294" s="6" t="s">
        <v>1177</v>
      </c>
      <c r="D2294" s="24">
        <v>2650.0566276755999</v>
      </c>
      <c r="E2294" s="6" t="s">
        <v>5889</v>
      </c>
      <c r="F2294" s="6">
        <v>21</v>
      </c>
      <c r="G2294" s="8">
        <f t="shared" si="35"/>
        <v>2650.0566276755999</v>
      </c>
    </row>
    <row r="2295" spans="1:7" x14ac:dyDescent="0.3">
      <c r="A2295" s="14" t="str">
        <f>VLOOKUP(B2295,'Relacion codigos'!$A:$B,2,FALSE)</f>
        <v>1379</v>
      </c>
      <c r="B2295" s="6" t="s">
        <v>1742</v>
      </c>
      <c r="C2295" s="6" t="s">
        <v>1178</v>
      </c>
      <c r="D2295" s="24">
        <v>2354.8619347077602</v>
      </c>
      <c r="E2295" s="6" t="s">
        <v>5889</v>
      </c>
      <c r="F2295" s="6">
        <v>21</v>
      </c>
      <c r="G2295" s="8">
        <f t="shared" si="35"/>
        <v>2354.8619347077602</v>
      </c>
    </row>
    <row r="2296" spans="1:7" x14ac:dyDescent="0.3">
      <c r="A2296" s="14" t="str">
        <f>VLOOKUP(B2296,'Relacion codigos'!$A:$B,2,FALSE)</f>
        <v>6775</v>
      </c>
      <c r="B2296" s="6" t="s">
        <v>1744</v>
      </c>
      <c r="C2296" s="6" t="s">
        <v>365</v>
      </c>
      <c r="D2296" s="24">
        <v>4434.0098161320002</v>
      </c>
      <c r="E2296" s="6" t="s">
        <v>5889</v>
      </c>
      <c r="F2296" s="6">
        <v>21</v>
      </c>
      <c r="G2296" s="8">
        <f t="shared" si="35"/>
        <v>4434.0098161320002</v>
      </c>
    </row>
    <row r="2297" spans="1:7" x14ac:dyDescent="0.3">
      <c r="A2297" s="14" t="e">
        <f>VLOOKUP(B2297,'Relacion codigos'!$A:$B,2,FALSE)</f>
        <v>#N/A</v>
      </c>
      <c r="B2297" s="6" t="s">
        <v>11871</v>
      </c>
      <c r="C2297" s="6" t="s">
        <v>11872</v>
      </c>
      <c r="D2297" s="24">
        <v>1544.6693339999999</v>
      </c>
      <c r="E2297" s="6" t="s">
        <v>5889</v>
      </c>
      <c r="F2297" s="6">
        <v>21</v>
      </c>
      <c r="G2297" s="8">
        <f t="shared" si="35"/>
        <v>1544.6693339999999</v>
      </c>
    </row>
    <row r="2298" spans="1:7" x14ac:dyDescent="0.3">
      <c r="A2298" s="14" t="str">
        <f>VLOOKUP(B2298,'Relacion codigos'!$A:$B,2,FALSE)</f>
        <v>602</v>
      </c>
      <c r="B2298" s="6" t="s">
        <v>1609</v>
      </c>
      <c r="C2298" s="6" t="s">
        <v>366</v>
      </c>
      <c r="D2298" s="24">
        <v>618.25957830000004</v>
      </c>
      <c r="E2298" s="6" t="s">
        <v>5889</v>
      </c>
      <c r="F2298" s="6">
        <v>21</v>
      </c>
      <c r="G2298" s="8">
        <f t="shared" si="35"/>
        <v>618.25957830000004</v>
      </c>
    </row>
    <row r="2299" spans="1:7" x14ac:dyDescent="0.3">
      <c r="A2299" s="14" t="str">
        <f>VLOOKUP(B2299,'Relacion codigos'!$A:$B,2,FALSE)</f>
        <v>9307</v>
      </c>
      <c r="B2299" s="6" t="s">
        <v>3072</v>
      </c>
      <c r="C2299" s="6" t="s">
        <v>10624</v>
      </c>
      <c r="D2299" s="24">
        <v>31.084673174750002</v>
      </c>
      <c r="E2299" s="6" t="s">
        <v>5887</v>
      </c>
      <c r="F2299" s="6">
        <v>21</v>
      </c>
      <c r="G2299" s="8">
        <f t="shared" si="35"/>
        <v>48336.666786736256</v>
      </c>
    </row>
    <row r="2300" spans="1:7" x14ac:dyDescent="0.3">
      <c r="A2300" s="14" t="e">
        <f>VLOOKUP(B2300,'Relacion codigos'!$A:$B,2,FALSE)</f>
        <v>#N/A</v>
      </c>
      <c r="B2300" s="6" t="s">
        <v>10301</v>
      </c>
      <c r="C2300" s="6" t="s">
        <v>10888</v>
      </c>
      <c r="D2300" s="24">
        <v>36.902774999999998</v>
      </c>
      <c r="E2300" s="6" t="s">
        <v>5887</v>
      </c>
      <c r="F2300" s="6">
        <v>21</v>
      </c>
      <c r="G2300" s="8">
        <f t="shared" si="35"/>
        <v>57383.815125000001</v>
      </c>
    </row>
    <row r="2301" spans="1:7" x14ac:dyDescent="0.3">
      <c r="A2301" s="14" t="e">
        <f>VLOOKUP(B2301,'Relacion codigos'!$A:$B,2,FALSE)</f>
        <v>#N/A</v>
      </c>
      <c r="B2301" s="6" t="s">
        <v>11531</v>
      </c>
      <c r="C2301" s="6" t="s">
        <v>11532</v>
      </c>
      <c r="D2301" s="24">
        <v>32.719050000000003</v>
      </c>
      <c r="E2301" s="6" t="s">
        <v>5887</v>
      </c>
      <c r="F2301" s="6">
        <v>21</v>
      </c>
      <c r="G2301" s="8">
        <f t="shared" si="35"/>
        <v>50878.122750000002</v>
      </c>
    </row>
    <row r="2302" spans="1:7" x14ac:dyDescent="0.3">
      <c r="A2302" s="14" t="e">
        <f>VLOOKUP(B2302,'Relacion codigos'!$A:$B,2,FALSE)</f>
        <v>#N/A</v>
      </c>
      <c r="B2302" s="6" t="s">
        <v>10293</v>
      </c>
      <c r="C2302" s="6" t="s">
        <v>10294</v>
      </c>
      <c r="D2302" s="24">
        <v>32.719050000000003</v>
      </c>
      <c r="E2302" s="6" t="s">
        <v>5887</v>
      </c>
      <c r="F2302" s="6">
        <v>21</v>
      </c>
      <c r="G2302" s="8">
        <f t="shared" si="35"/>
        <v>50878.122750000002</v>
      </c>
    </row>
    <row r="2303" spans="1:7" x14ac:dyDescent="0.3">
      <c r="A2303" s="14" t="e">
        <f>VLOOKUP(B2303,'Relacion codigos'!$A:$B,2,FALSE)</f>
        <v>#N/A</v>
      </c>
      <c r="B2303" s="6" t="s">
        <v>10889</v>
      </c>
      <c r="C2303" s="6" t="s">
        <v>10890</v>
      </c>
      <c r="D2303" s="24">
        <v>36.902774999999998</v>
      </c>
      <c r="E2303" s="6" t="s">
        <v>5887</v>
      </c>
      <c r="F2303" s="6">
        <v>21</v>
      </c>
      <c r="G2303" s="8">
        <f t="shared" si="35"/>
        <v>57383.815125000001</v>
      </c>
    </row>
    <row r="2304" spans="1:7" x14ac:dyDescent="0.3">
      <c r="A2304" s="14" t="e">
        <f>VLOOKUP(B2304,'Relacion codigos'!$A:$B,2,FALSE)</f>
        <v>#N/A</v>
      </c>
      <c r="B2304" s="6" t="s">
        <v>10891</v>
      </c>
      <c r="C2304" s="6" t="s">
        <v>10892</v>
      </c>
      <c r="D2304" s="24">
        <v>36.902774999999998</v>
      </c>
      <c r="E2304" s="6" t="s">
        <v>5887</v>
      </c>
      <c r="F2304" s="6">
        <v>21</v>
      </c>
      <c r="G2304" s="8">
        <f t="shared" si="35"/>
        <v>57383.815125000001</v>
      </c>
    </row>
    <row r="2305" spans="1:7" x14ac:dyDescent="0.3">
      <c r="A2305" s="14" t="e">
        <f>VLOOKUP(B2305,'Relacion codigos'!$A:$B,2,FALSE)</f>
        <v>#N/A</v>
      </c>
      <c r="B2305" s="6" t="s">
        <v>10295</v>
      </c>
      <c r="C2305" s="6" t="s">
        <v>10296</v>
      </c>
      <c r="D2305" s="24">
        <v>32.719050000000003</v>
      </c>
      <c r="E2305" s="6" t="s">
        <v>5887</v>
      </c>
      <c r="F2305" s="6">
        <v>21</v>
      </c>
      <c r="G2305" s="8">
        <f t="shared" si="35"/>
        <v>50878.122750000002</v>
      </c>
    </row>
    <row r="2306" spans="1:7" x14ac:dyDescent="0.3">
      <c r="A2306" s="14" t="e">
        <f>VLOOKUP(B2306,'Relacion codigos'!$A:$B,2,FALSE)</f>
        <v>#N/A</v>
      </c>
      <c r="B2306" s="6" t="s">
        <v>10893</v>
      </c>
      <c r="C2306" s="6" t="s">
        <v>10894</v>
      </c>
      <c r="D2306" s="24">
        <v>36.902774999999998</v>
      </c>
      <c r="E2306" s="6" t="s">
        <v>5887</v>
      </c>
      <c r="F2306" s="6">
        <v>21</v>
      </c>
      <c r="G2306" s="8">
        <f t="shared" ref="G2306:G2369" si="36">IF(E2306="Dolares",D2306*$G$1,D2306)</f>
        <v>57383.815125000001</v>
      </c>
    </row>
    <row r="2307" spans="1:7" x14ac:dyDescent="0.3">
      <c r="A2307" s="14" t="e">
        <f>VLOOKUP(B2307,'Relacion codigos'!$A:$B,2,FALSE)</f>
        <v>#N/A</v>
      </c>
      <c r="B2307" s="6" t="s">
        <v>11496</v>
      </c>
      <c r="C2307" s="6" t="s">
        <v>11497</v>
      </c>
      <c r="D2307" s="24">
        <v>38.2207960841491</v>
      </c>
      <c r="E2307" s="6" t="s">
        <v>5887</v>
      </c>
      <c r="F2307" s="6">
        <v>21</v>
      </c>
      <c r="G2307" s="8">
        <f t="shared" si="36"/>
        <v>59433.337910851849</v>
      </c>
    </row>
    <row r="2308" spans="1:7" x14ac:dyDescent="0.3">
      <c r="A2308" s="14" t="e">
        <f>VLOOKUP(B2308,'Relacion codigos'!$A:$B,2,FALSE)</f>
        <v>#N/A</v>
      </c>
      <c r="B2308" s="6" t="s">
        <v>11498</v>
      </c>
      <c r="C2308" s="6" t="s">
        <v>11499</v>
      </c>
      <c r="D2308" s="24">
        <v>146.1369</v>
      </c>
      <c r="E2308" s="6" t="s">
        <v>5887</v>
      </c>
      <c r="F2308" s="6">
        <v>21</v>
      </c>
      <c r="G2308" s="8">
        <f t="shared" si="36"/>
        <v>227242.87950000001</v>
      </c>
    </row>
    <row r="2309" spans="1:7" x14ac:dyDescent="0.3">
      <c r="A2309" s="14" t="e">
        <f>VLOOKUP(B2309,'Relacion codigos'!$A:$B,2,FALSE)</f>
        <v>#N/A</v>
      </c>
      <c r="B2309" s="6" t="s">
        <v>10895</v>
      </c>
      <c r="C2309" s="6" t="s">
        <v>12200</v>
      </c>
      <c r="D2309" s="24">
        <v>146.1369</v>
      </c>
      <c r="E2309" s="6" t="s">
        <v>5887</v>
      </c>
      <c r="F2309" s="6">
        <v>21</v>
      </c>
      <c r="G2309" s="8">
        <f t="shared" si="36"/>
        <v>227242.87950000001</v>
      </c>
    </row>
    <row r="2310" spans="1:7" x14ac:dyDescent="0.3">
      <c r="A2310" s="14" t="e">
        <f>VLOOKUP(B2310,'Relacion codigos'!$A:$B,2,FALSE)</f>
        <v>#N/A</v>
      </c>
      <c r="B2310" s="6" t="s">
        <v>10297</v>
      </c>
      <c r="C2310" s="6" t="s">
        <v>10298</v>
      </c>
      <c r="D2310" s="24">
        <v>32.719050000000003</v>
      </c>
      <c r="E2310" s="6" t="s">
        <v>5887</v>
      </c>
      <c r="F2310" s="6">
        <v>21</v>
      </c>
      <c r="G2310" s="8">
        <f t="shared" si="36"/>
        <v>50878.122750000002</v>
      </c>
    </row>
    <row r="2311" spans="1:7" x14ac:dyDescent="0.3">
      <c r="A2311" s="14" t="e">
        <f>VLOOKUP(B2311,'Relacion codigos'!$A:$B,2,FALSE)</f>
        <v>#N/A</v>
      </c>
      <c r="B2311" s="6" t="s">
        <v>10299</v>
      </c>
      <c r="C2311" s="6" t="s">
        <v>10300</v>
      </c>
      <c r="D2311" s="24">
        <v>32.719050000000003</v>
      </c>
      <c r="E2311" s="6" t="s">
        <v>5887</v>
      </c>
      <c r="F2311" s="6">
        <v>21</v>
      </c>
      <c r="G2311" s="8">
        <f t="shared" si="36"/>
        <v>50878.122750000002</v>
      </c>
    </row>
    <row r="2312" spans="1:7" x14ac:dyDescent="0.3">
      <c r="A2312" s="14" t="e">
        <f>VLOOKUP(B2312,'Relacion codigos'!$A:$B,2,FALSE)</f>
        <v>#N/A</v>
      </c>
      <c r="B2312" s="6" t="s">
        <v>10896</v>
      </c>
      <c r="C2312" s="6" t="s">
        <v>12201</v>
      </c>
      <c r="D2312" s="24">
        <v>146.1369</v>
      </c>
      <c r="E2312" s="6" t="s">
        <v>5887</v>
      </c>
      <c r="F2312" s="6">
        <v>21</v>
      </c>
      <c r="G2312" s="8">
        <f t="shared" si="36"/>
        <v>227242.87950000001</v>
      </c>
    </row>
    <row r="2313" spans="1:7" x14ac:dyDescent="0.3">
      <c r="A2313" s="14" t="e">
        <f>VLOOKUP(B2313,'Relacion codigos'!$A:$B,2,FALSE)</f>
        <v>#N/A</v>
      </c>
      <c r="B2313" s="6" t="s">
        <v>12600</v>
      </c>
      <c r="C2313" s="6" t="s">
        <v>12601</v>
      </c>
      <c r="D2313" s="24">
        <v>98.184013199999995</v>
      </c>
      <c r="E2313" s="6" t="s">
        <v>5887</v>
      </c>
      <c r="F2313" s="6">
        <v>21</v>
      </c>
      <c r="G2313" s="8">
        <f t="shared" si="36"/>
        <v>152676.140526</v>
      </c>
    </row>
    <row r="2314" spans="1:7" x14ac:dyDescent="0.3">
      <c r="A2314" s="14" t="str">
        <f>VLOOKUP(B2314,'Relacion codigos'!$A:$B,2,FALSE)</f>
        <v>8843</v>
      </c>
      <c r="B2314" s="6" t="s">
        <v>3073</v>
      </c>
      <c r="C2314" s="6" t="s">
        <v>9634</v>
      </c>
      <c r="D2314" s="24">
        <v>99.991756800000005</v>
      </c>
      <c r="E2314" s="6" t="s">
        <v>5887</v>
      </c>
      <c r="F2314" s="6">
        <v>21</v>
      </c>
      <c r="G2314" s="8">
        <f t="shared" si="36"/>
        <v>155487.181824</v>
      </c>
    </row>
    <row r="2315" spans="1:7" x14ac:dyDescent="0.3">
      <c r="A2315" s="14" t="str">
        <f>VLOOKUP(B2315,'Relacion codigos'!$A:$B,2,FALSE)</f>
        <v>7887</v>
      </c>
      <c r="B2315" s="6" t="s">
        <v>3074</v>
      </c>
      <c r="C2315" s="6" t="s">
        <v>947</v>
      </c>
      <c r="D2315" s="24">
        <v>158.15002319999999</v>
      </c>
      <c r="E2315" s="6" t="s">
        <v>5887</v>
      </c>
      <c r="F2315" s="6">
        <v>21</v>
      </c>
      <c r="G2315" s="8">
        <f t="shared" si="36"/>
        <v>245923.28607599999</v>
      </c>
    </row>
    <row r="2316" spans="1:7" x14ac:dyDescent="0.3">
      <c r="A2316" s="14" t="str">
        <f>VLOOKUP(B2316,'Relacion codigos'!$A:$B,2,FALSE)</f>
        <v>7450</v>
      </c>
      <c r="B2316" s="6" t="s">
        <v>3075</v>
      </c>
      <c r="C2316" s="6" t="s">
        <v>948</v>
      </c>
      <c r="D2316" s="24">
        <v>111.1336668</v>
      </c>
      <c r="E2316" s="6" t="s">
        <v>5887</v>
      </c>
      <c r="F2316" s="6">
        <v>21</v>
      </c>
      <c r="G2316" s="8">
        <f t="shared" si="36"/>
        <v>172812.85187400001</v>
      </c>
    </row>
    <row r="2317" spans="1:7" x14ac:dyDescent="0.3">
      <c r="A2317" s="14" t="str">
        <f>VLOOKUP(B2317,'Relacion codigos'!$A:$B,2,FALSE)</f>
        <v>7451</v>
      </c>
      <c r="B2317" s="6" t="s">
        <v>3076</v>
      </c>
      <c r="C2317" s="6" t="s">
        <v>949</v>
      </c>
      <c r="D2317" s="24">
        <v>125.039772</v>
      </c>
      <c r="E2317" s="6" t="s">
        <v>5887</v>
      </c>
      <c r="F2317" s="6">
        <v>21</v>
      </c>
      <c r="G2317" s="8">
        <f t="shared" si="36"/>
        <v>194436.84546000001</v>
      </c>
    </row>
    <row r="2318" spans="1:7" x14ac:dyDescent="0.3">
      <c r="A2318" s="14" t="str">
        <f>VLOOKUP(B2318,'Relacion codigos'!$A:$B,2,FALSE)</f>
        <v>8061</v>
      </c>
      <c r="B2318" s="6" t="s">
        <v>3077</v>
      </c>
      <c r="C2318" s="6" t="s">
        <v>950</v>
      </c>
      <c r="D2318" s="24">
        <v>147.8393748</v>
      </c>
      <c r="E2318" s="6" t="s">
        <v>5887</v>
      </c>
      <c r="F2318" s="6">
        <v>21</v>
      </c>
      <c r="G2318" s="8">
        <f t="shared" si="36"/>
        <v>229890.22781400001</v>
      </c>
    </row>
    <row r="2319" spans="1:7" x14ac:dyDescent="0.3">
      <c r="A2319" s="14" t="e">
        <f>VLOOKUP(B2319,'Relacion codigos'!$A:$B,2,FALSE)</f>
        <v>#N/A</v>
      </c>
      <c r="B2319" s="6" t="s">
        <v>9635</v>
      </c>
      <c r="C2319" s="6" t="s">
        <v>9636</v>
      </c>
      <c r="D2319" s="24">
        <v>99.991756800000005</v>
      </c>
      <c r="E2319" s="6" t="s">
        <v>5887</v>
      </c>
      <c r="F2319" s="6">
        <v>21</v>
      </c>
      <c r="G2319" s="8">
        <f t="shared" si="36"/>
        <v>155487.181824</v>
      </c>
    </row>
    <row r="2320" spans="1:7" x14ac:dyDescent="0.3">
      <c r="A2320" s="14" t="str">
        <f>VLOOKUP(B2320,'Relacion codigos'!$A:$B,2,FALSE)</f>
        <v>7452</v>
      </c>
      <c r="B2320" s="6" t="s">
        <v>3078</v>
      </c>
      <c r="C2320" s="6" t="s">
        <v>951</v>
      </c>
      <c r="D2320" s="24">
        <v>201.1753224</v>
      </c>
      <c r="E2320" s="6" t="s">
        <v>5887</v>
      </c>
      <c r="F2320" s="6">
        <v>21</v>
      </c>
      <c r="G2320" s="8">
        <f t="shared" si="36"/>
        <v>312827.62633200001</v>
      </c>
    </row>
    <row r="2321" spans="1:7" x14ac:dyDescent="0.3">
      <c r="A2321" s="14" t="e">
        <f>VLOOKUP(B2321,'Relacion codigos'!$A:$B,2,FALSE)</f>
        <v>#N/A</v>
      </c>
      <c r="B2321" s="6" t="s">
        <v>12611</v>
      </c>
      <c r="C2321" s="6" t="s">
        <v>12612</v>
      </c>
      <c r="D2321" s="24">
        <v>260.30005560000001</v>
      </c>
      <c r="E2321" s="6" t="s">
        <v>5887</v>
      </c>
      <c r="F2321" s="6">
        <v>21</v>
      </c>
      <c r="G2321" s="8">
        <f t="shared" si="36"/>
        <v>404766.58645800001</v>
      </c>
    </row>
    <row r="2322" spans="1:7" x14ac:dyDescent="0.3">
      <c r="A2322" s="14" t="str">
        <f>VLOOKUP(B2322,'Relacion codigos'!$A:$B,2,FALSE)</f>
        <v>8240</v>
      </c>
      <c r="B2322" s="6" t="s">
        <v>3079</v>
      </c>
      <c r="C2322" s="6" t="s">
        <v>952</v>
      </c>
      <c r="D2322" s="24">
        <v>275.1876504</v>
      </c>
      <c r="E2322" s="6" t="s">
        <v>5887</v>
      </c>
      <c r="F2322" s="6">
        <v>21</v>
      </c>
      <c r="G2322" s="8">
        <f t="shared" si="36"/>
        <v>427916.79637200001</v>
      </c>
    </row>
    <row r="2323" spans="1:7" x14ac:dyDescent="0.3">
      <c r="A2323" s="14" t="e">
        <f>VLOOKUP(B2323,'Relacion codigos'!$A:$B,2,FALSE)</f>
        <v>#N/A</v>
      </c>
      <c r="B2323" s="6" t="s">
        <v>9011</v>
      </c>
      <c r="C2323" s="6" t="s">
        <v>9021</v>
      </c>
      <c r="D2323" s="24">
        <v>320.40127080000002</v>
      </c>
      <c r="E2323" s="6" t="s">
        <v>5887</v>
      </c>
      <c r="F2323" s="6">
        <v>21</v>
      </c>
      <c r="G2323" s="8">
        <f t="shared" si="36"/>
        <v>498223.97609400004</v>
      </c>
    </row>
    <row r="2324" spans="1:7" x14ac:dyDescent="0.3">
      <c r="A2324" s="14" t="str">
        <f>VLOOKUP(B2324,'Relacion codigos'!$A:$B,2,FALSE)</f>
        <v>7921</v>
      </c>
      <c r="B2324" s="6" t="s">
        <v>3080</v>
      </c>
      <c r="C2324" s="6" t="s">
        <v>953</v>
      </c>
      <c r="D2324" s="24">
        <v>99.991756800000005</v>
      </c>
      <c r="E2324" s="6" t="s">
        <v>5887</v>
      </c>
      <c r="F2324" s="6">
        <v>21</v>
      </c>
      <c r="G2324" s="8">
        <f t="shared" si="36"/>
        <v>155487.181824</v>
      </c>
    </row>
    <row r="2325" spans="1:7" x14ac:dyDescent="0.3">
      <c r="A2325" s="14" t="str">
        <f>VLOOKUP(B2325,'Relacion codigos'!$A:$B,2,FALSE)</f>
        <v>8063</v>
      </c>
      <c r="B2325" s="6" t="s">
        <v>3081</v>
      </c>
      <c r="C2325" s="6" t="s">
        <v>954</v>
      </c>
      <c r="D2325" s="24">
        <v>108.02394719999999</v>
      </c>
      <c r="E2325" s="6" t="s">
        <v>5887</v>
      </c>
      <c r="F2325" s="6">
        <v>21</v>
      </c>
      <c r="G2325" s="8">
        <f t="shared" si="36"/>
        <v>167977.23789600001</v>
      </c>
    </row>
    <row r="2326" spans="1:7" x14ac:dyDescent="0.3">
      <c r="A2326" s="14" t="str">
        <f>VLOOKUP(B2326,'Relacion codigos'!$A:$B,2,FALSE)</f>
        <v>8064</v>
      </c>
      <c r="B2326" s="6" t="s">
        <v>3082</v>
      </c>
      <c r="C2326" s="6" t="s">
        <v>955</v>
      </c>
      <c r="D2326" s="24">
        <v>108.02394719999999</v>
      </c>
      <c r="E2326" s="6" t="s">
        <v>5887</v>
      </c>
      <c r="F2326" s="6">
        <v>21</v>
      </c>
      <c r="G2326" s="8">
        <f t="shared" si="36"/>
        <v>167977.23789600001</v>
      </c>
    </row>
    <row r="2327" spans="1:7" x14ac:dyDescent="0.3">
      <c r="A2327" s="14" t="str">
        <f>VLOOKUP(B2327,'Relacion codigos'!$A:$B,2,FALSE)</f>
        <v>7391</v>
      </c>
      <c r="B2327" s="6" t="s">
        <v>3618</v>
      </c>
      <c r="C2327" s="6" t="s">
        <v>367</v>
      </c>
      <c r="D2327" s="24">
        <v>15648.75</v>
      </c>
      <c r="E2327" s="6" t="s">
        <v>5889</v>
      </c>
      <c r="F2327" s="6">
        <v>21</v>
      </c>
      <c r="G2327" s="8">
        <f t="shared" si="36"/>
        <v>15648.75</v>
      </c>
    </row>
    <row r="2328" spans="1:7" x14ac:dyDescent="0.3">
      <c r="A2328" s="14" t="str">
        <f>VLOOKUP(B2328,'Relacion codigos'!$A:$B,2,FALSE)</f>
        <v>9000</v>
      </c>
      <c r="B2328" s="6" t="s">
        <v>3620</v>
      </c>
      <c r="C2328" s="6" t="s">
        <v>13514</v>
      </c>
      <c r="D2328" s="24">
        <v>25.7703615</v>
      </c>
      <c r="E2328" s="6" t="s">
        <v>5887</v>
      </c>
      <c r="F2328" s="6">
        <v>21</v>
      </c>
      <c r="G2328" s="8">
        <f t="shared" si="36"/>
        <v>40072.912132500001</v>
      </c>
    </row>
    <row r="2329" spans="1:7" x14ac:dyDescent="0.3">
      <c r="A2329" s="14" t="str">
        <f>VLOOKUP(B2329,'Relacion codigos'!$A:$B,2,FALSE)</f>
        <v>7392</v>
      </c>
      <c r="B2329" s="6" t="s">
        <v>3619</v>
      </c>
      <c r="C2329" s="6" t="s">
        <v>368</v>
      </c>
      <c r="D2329" s="24">
        <v>23577.45</v>
      </c>
      <c r="E2329" s="6" t="s">
        <v>5889</v>
      </c>
      <c r="F2329" s="6">
        <v>21</v>
      </c>
      <c r="G2329" s="8">
        <f t="shared" si="36"/>
        <v>23577.45</v>
      </c>
    </row>
    <row r="2330" spans="1:7" x14ac:dyDescent="0.3">
      <c r="A2330" s="14" t="str">
        <f>VLOOKUP(B2330,'Relacion codigos'!$A:$B,2,FALSE)</f>
        <v>7390</v>
      </c>
      <c r="B2330" s="6" t="s">
        <v>3621</v>
      </c>
      <c r="C2330" s="6" t="s">
        <v>11294</v>
      </c>
      <c r="D2330" s="24">
        <v>8137.35</v>
      </c>
      <c r="E2330" s="6" t="s">
        <v>5889</v>
      </c>
      <c r="F2330" s="6">
        <v>21</v>
      </c>
      <c r="G2330" s="8">
        <f t="shared" si="36"/>
        <v>8137.35</v>
      </c>
    </row>
    <row r="2331" spans="1:7" x14ac:dyDescent="0.3">
      <c r="A2331" s="14" t="str">
        <f>VLOOKUP(B2331,'Relacion codigos'!$A:$B,2,FALSE)</f>
        <v>8350</v>
      </c>
      <c r="B2331" s="6" t="s">
        <v>3623</v>
      </c>
      <c r="C2331" s="6" t="s">
        <v>13515</v>
      </c>
      <c r="D2331" s="24">
        <v>14.252881500000001</v>
      </c>
      <c r="E2331" s="6" t="s">
        <v>5887</v>
      </c>
      <c r="F2331" s="6">
        <v>21</v>
      </c>
      <c r="G2331" s="8">
        <f t="shared" si="36"/>
        <v>22163.2307325</v>
      </c>
    </row>
    <row r="2332" spans="1:7" x14ac:dyDescent="0.3">
      <c r="A2332" s="14" t="e">
        <f>VLOOKUP(B2332,'Relacion codigos'!$A:$B,2,FALSE)</f>
        <v>#N/A</v>
      </c>
      <c r="B2332" s="6" t="s">
        <v>12546</v>
      </c>
      <c r="C2332" s="6" t="s">
        <v>12547</v>
      </c>
      <c r="D2332" s="24">
        <v>1512.7125000000001</v>
      </c>
      <c r="E2332" s="6" t="s">
        <v>5889</v>
      </c>
      <c r="F2332" s="6">
        <v>21</v>
      </c>
      <c r="G2332" s="8">
        <f t="shared" si="36"/>
        <v>1512.7125000000001</v>
      </c>
    </row>
    <row r="2333" spans="1:7" x14ac:dyDescent="0.3">
      <c r="A2333" s="14" t="e">
        <f>VLOOKUP(B2333,'Relacion codigos'!$A:$B,2,FALSE)</f>
        <v>#N/A</v>
      </c>
      <c r="B2333" s="6" t="s">
        <v>9307</v>
      </c>
      <c r="C2333" s="6" t="s">
        <v>9308</v>
      </c>
      <c r="D2333" s="24">
        <v>18.5181048</v>
      </c>
      <c r="E2333" s="6" t="s">
        <v>5887</v>
      </c>
      <c r="F2333" s="6">
        <v>21</v>
      </c>
      <c r="G2333" s="8">
        <f t="shared" si="36"/>
        <v>28795.652964000001</v>
      </c>
    </row>
    <row r="2334" spans="1:7" x14ac:dyDescent="0.3">
      <c r="A2334" s="14" t="e">
        <f>VLOOKUP(B2334,'Relacion codigos'!$A:$B,2,FALSE)</f>
        <v>#N/A</v>
      </c>
      <c r="B2334" s="6" t="s">
        <v>13688</v>
      </c>
      <c r="C2334" s="6" t="s">
        <v>13828</v>
      </c>
      <c r="D2334" s="24">
        <v>50.362935479999997</v>
      </c>
      <c r="E2334" s="6" t="s">
        <v>5887</v>
      </c>
      <c r="F2334" s="6">
        <v>21</v>
      </c>
      <c r="G2334" s="8">
        <f t="shared" si="36"/>
        <v>78314.364671399991</v>
      </c>
    </row>
    <row r="2335" spans="1:7" x14ac:dyDescent="0.3">
      <c r="A2335" s="14" t="e">
        <f>VLOOKUP(B2335,'Relacion codigos'!$A:$B,2,FALSE)</f>
        <v>#N/A</v>
      </c>
      <c r="B2335" s="6" t="s">
        <v>9744</v>
      </c>
      <c r="C2335" s="6" t="s">
        <v>9745</v>
      </c>
      <c r="D2335" s="24">
        <v>1.2484848168</v>
      </c>
      <c r="E2335" s="6" t="s">
        <v>5887</v>
      </c>
      <c r="F2335" s="6">
        <v>21</v>
      </c>
      <c r="G2335" s="8">
        <f t="shared" si="36"/>
        <v>1941.3938901240001</v>
      </c>
    </row>
    <row r="2336" spans="1:7" x14ac:dyDescent="0.3">
      <c r="A2336" s="14" t="str">
        <f>VLOOKUP(B2336,'Relacion codigos'!$A:$B,2,FALSE)</f>
        <v>6510</v>
      </c>
      <c r="B2336" s="6" t="s">
        <v>3827</v>
      </c>
      <c r="C2336" s="6" t="s">
        <v>11482</v>
      </c>
      <c r="D2336" s="24">
        <v>10614.063474299999</v>
      </c>
      <c r="E2336" s="6" t="s">
        <v>5889</v>
      </c>
      <c r="F2336" s="6">
        <v>21</v>
      </c>
      <c r="G2336" s="8">
        <f t="shared" si="36"/>
        <v>10614.063474299999</v>
      </c>
    </row>
    <row r="2337" spans="1:7" x14ac:dyDescent="0.3">
      <c r="A2337" s="14" t="str">
        <f>VLOOKUP(B2337,'Relacion codigos'!$A:$B,2,FALSE)</f>
        <v>6512</v>
      </c>
      <c r="B2337" s="6" t="s">
        <v>3828</v>
      </c>
      <c r="C2337" s="6" t="s">
        <v>11483</v>
      </c>
      <c r="D2337" s="24">
        <v>10614.063474299999</v>
      </c>
      <c r="E2337" s="6" t="s">
        <v>5889</v>
      </c>
      <c r="F2337" s="6">
        <v>21</v>
      </c>
      <c r="G2337" s="8">
        <f t="shared" si="36"/>
        <v>10614.063474299999</v>
      </c>
    </row>
    <row r="2338" spans="1:7" x14ac:dyDescent="0.3">
      <c r="A2338" s="14" t="str">
        <f>VLOOKUP(B2338,'Relacion codigos'!$A:$B,2,FALSE)</f>
        <v>6511</v>
      </c>
      <c r="B2338" s="6" t="s">
        <v>3829</v>
      </c>
      <c r="C2338" s="6" t="s">
        <v>11484</v>
      </c>
      <c r="D2338" s="24">
        <v>3971.8416964849998</v>
      </c>
      <c r="E2338" s="6" t="s">
        <v>5889</v>
      </c>
      <c r="F2338" s="6">
        <v>21</v>
      </c>
      <c r="G2338" s="8">
        <f t="shared" si="36"/>
        <v>3971.8416964849998</v>
      </c>
    </row>
    <row r="2339" spans="1:7" x14ac:dyDescent="0.3">
      <c r="A2339" s="14" t="str">
        <f>VLOOKUP(B2339,'Relacion codigos'!$A:$B,2,FALSE)</f>
        <v>6509</v>
      </c>
      <c r="B2339" s="6" t="s">
        <v>3830</v>
      </c>
      <c r="C2339" s="6" t="s">
        <v>11485</v>
      </c>
      <c r="D2339" s="24">
        <v>9208.2058555500007</v>
      </c>
      <c r="E2339" s="6" t="s">
        <v>5889</v>
      </c>
      <c r="F2339" s="6">
        <v>21</v>
      </c>
      <c r="G2339" s="8">
        <f t="shared" si="36"/>
        <v>9208.2058555500007</v>
      </c>
    </row>
    <row r="2340" spans="1:7" x14ac:dyDescent="0.3">
      <c r="A2340" s="14" t="str">
        <f>VLOOKUP(B2340,'Relacion codigos'!$A:$B,2,FALSE)</f>
        <v>6794</v>
      </c>
      <c r="B2340" s="6" t="s">
        <v>3826</v>
      </c>
      <c r="C2340" s="6" t="s">
        <v>11486</v>
      </c>
      <c r="D2340" s="24">
        <v>5488.6711183199996</v>
      </c>
      <c r="E2340" s="6" t="s">
        <v>5889</v>
      </c>
      <c r="F2340" s="6">
        <v>21</v>
      </c>
      <c r="G2340" s="8">
        <f t="shared" si="36"/>
        <v>5488.6711183199996</v>
      </c>
    </row>
    <row r="2341" spans="1:7" x14ac:dyDescent="0.3">
      <c r="A2341" s="14" t="str">
        <f>VLOOKUP(B2341,'Relacion codigos'!$A:$B,2,FALSE)</f>
        <v>6791</v>
      </c>
      <c r="B2341" s="6" t="s">
        <v>3831</v>
      </c>
      <c r="C2341" s="6" t="s">
        <v>12103</v>
      </c>
      <c r="D2341" s="24">
        <v>26587.309710000001</v>
      </c>
      <c r="E2341" s="6" t="s">
        <v>5889</v>
      </c>
      <c r="F2341" s="6">
        <v>21</v>
      </c>
      <c r="G2341" s="8">
        <f t="shared" si="36"/>
        <v>26587.309710000001</v>
      </c>
    </row>
    <row r="2342" spans="1:7" x14ac:dyDescent="0.3">
      <c r="A2342" s="14" t="str">
        <f>VLOOKUP(B2342,'Relacion codigos'!$A:$B,2,FALSE)</f>
        <v>6793</v>
      </c>
      <c r="B2342" s="6" t="s">
        <v>3832</v>
      </c>
      <c r="C2342" s="6" t="s">
        <v>12104</v>
      </c>
      <c r="D2342" s="24">
        <v>26587.309710000001</v>
      </c>
      <c r="E2342" s="6" t="s">
        <v>5889</v>
      </c>
      <c r="F2342" s="6">
        <v>21</v>
      </c>
      <c r="G2342" s="8">
        <f t="shared" si="36"/>
        <v>26587.309710000001</v>
      </c>
    </row>
    <row r="2343" spans="1:7" x14ac:dyDescent="0.3">
      <c r="A2343" s="14" t="str">
        <f>VLOOKUP(B2343,'Relacion codigos'!$A:$B,2,FALSE)</f>
        <v>6071</v>
      </c>
      <c r="B2343" s="6" t="s">
        <v>2884</v>
      </c>
      <c r="C2343" s="6" t="s">
        <v>369</v>
      </c>
      <c r="D2343" s="24">
        <v>4.49337929300001</v>
      </c>
      <c r="E2343" s="6" t="s">
        <v>5887</v>
      </c>
      <c r="F2343" s="6">
        <v>21</v>
      </c>
      <c r="G2343" s="8">
        <f t="shared" si="36"/>
        <v>6987.2048006150153</v>
      </c>
    </row>
    <row r="2344" spans="1:7" x14ac:dyDescent="0.3">
      <c r="A2344" s="14" t="str">
        <f>VLOOKUP(B2344,'Relacion codigos'!$A:$B,2,FALSE)</f>
        <v>6070</v>
      </c>
      <c r="B2344" s="6" t="s">
        <v>2885</v>
      </c>
      <c r="C2344" s="6" t="s">
        <v>11631</v>
      </c>
      <c r="D2344" s="24">
        <v>4.4933792930000003</v>
      </c>
      <c r="E2344" s="6" t="s">
        <v>5887</v>
      </c>
      <c r="F2344" s="6">
        <v>21</v>
      </c>
      <c r="G2344" s="8">
        <f t="shared" si="36"/>
        <v>6987.2048006150007</v>
      </c>
    </row>
    <row r="2345" spans="1:7" x14ac:dyDescent="0.3">
      <c r="A2345" s="14" t="str">
        <f>VLOOKUP(B2345,'Relacion codigos'!$A:$B,2,FALSE)</f>
        <v>5157</v>
      </c>
      <c r="B2345" s="6" t="s">
        <v>4985</v>
      </c>
      <c r="C2345" s="6" t="s">
        <v>370</v>
      </c>
      <c r="D2345" s="24">
        <v>4474.4654312627099</v>
      </c>
      <c r="E2345" s="6" t="s">
        <v>5889</v>
      </c>
      <c r="F2345" s="6">
        <v>21</v>
      </c>
      <c r="G2345" s="8">
        <f t="shared" si="36"/>
        <v>4474.4654312627099</v>
      </c>
    </row>
    <row r="2346" spans="1:7" x14ac:dyDescent="0.3">
      <c r="A2346" s="14" t="str">
        <f>VLOOKUP(B2346,'Relacion codigos'!$A:$B,2,FALSE)</f>
        <v>5120</v>
      </c>
      <c r="B2346" s="6" t="s">
        <v>4723</v>
      </c>
      <c r="C2346" s="6" t="s">
        <v>371</v>
      </c>
      <c r="D2346" s="24">
        <v>810.49581724799998</v>
      </c>
      <c r="E2346" s="6" t="s">
        <v>5889</v>
      </c>
      <c r="F2346" s="6">
        <v>21</v>
      </c>
      <c r="G2346" s="8">
        <f t="shared" si="36"/>
        <v>810.49581724799998</v>
      </c>
    </row>
    <row r="2347" spans="1:7" x14ac:dyDescent="0.3">
      <c r="A2347" s="14" t="str">
        <f>VLOOKUP(B2347,'Relacion codigos'!$A:$B,2,FALSE)</f>
        <v>6658</v>
      </c>
      <c r="B2347" s="6" t="s">
        <v>1353</v>
      </c>
      <c r="C2347" s="6" t="s">
        <v>372</v>
      </c>
      <c r="D2347" s="24">
        <v>90.415000000000006</v>
      </c>
      <c r="E2347" s="6" t="s">
        <v>5887</v>
      </c>
      <c r="F2347" s="6">
        <v>21</v>
      </c>
      <c r="G2347" s="8">
        <f t="shared" si="36"/>
        <v>140595.32500000001</v>
      </c>
    </row>
    <row r="2348" spans="1:7" x14ac:dyDescent="0.3">
      <c r="A2348" s="14" t="str">
        <f>VLOOKUP(B2348,'Relacion codigos'!$A:$B,2,FALSE)</f>
        <v>8598</v>
      </c>
      <c r="B2348" s="6" t="s">
        <v>3070</v>
      </c>
      <c r="C2348" s="6" t="s">
        <v>9060</v>
      </c>
      <c r="D2348" s="24">
        <v>10.682880000000001</v>
      </c>
      <c r="E2348" s="6" t="s">
        <v>5887</v>
      </c>
      <c r="F2348" s="6">
        <v>21</v>
      </c>
      <c r="G2348" s="8">
        <f t="shared" si="36"/>
        <v>16611.878400000001</v>
      </c>
    </row>
    <row r="2349" spans="1:7" x14ac:dyDescent="0.3">
      <c r="A2349" s="14" t="str">
        <f>VLOOKUP(B2349,'Relacion codigos'!$A:$B,2,FALSE)</f>
        <v>8597</v>
      </c>
      <c r="B2349" s="6" t="s">
        <v>3083</v>
      </c>
      <c r="C2349" s="6" t="s">
        <v>9061</v>
      </c>
      <c r="D2349" s="24">
        <v>10.23776</v>
      </c>
      <c r="E2349" s="6" t="s">
        <v>5887</v>
      </c>
      <c r="F2349" s="6">
        <v>21</v>
      </c>
      <c r="G2349" s="8">
        <f t="shared" si="36"/>
        <v>15919.7168</v>
      </c>
    </row>
    <row r="2350" spans="1:7" x14ac:dyDescent="0.3">
      <c r="A2350" s="14" t="str">
        <f>VLOOKUP(B2350,'Relacion codigos'!$A:$B,2,FALSE)</f>
        <v>2363</v>
      </c>
      <c r="B2350" s="6" t="s">
        <v>3085</v>
      </c>
      <c r="C2350" s="6" t="s">
        <v>1105</v>
      </c>
      <c r="D2350" s="24">
        <v>10.23776</v>
      </c>
      <c r="E2350" s="6" t="s">
        <v>5887</v>
      </c>
      <c r="F2350" s="6">
        <v>21</v>
      </c>
      <c r="G2350" s="8">
        <f t="shared" si="36"/>
        <v>15919.7168</v>
      </c>
    </row>
    <row r="2351" spans="1:7" x14ac:dyDescent="0.3">
      <c r="A2351" s="14" t="str">
        <f>VLOOKUP(B2351,'Relacion codigos'!$A:$B,2,FALSE)</f>
        <v>8599</v>
      </c>
      <c r="B2351" s="6" t="s">
        <v>3071</v>
      </c>
      <c r="C2351" s="6" t="s">
        <v>9062</v>
      </c>
      <c r="D2351" s="24">
        <v>17.290130000000001</v>
      </c>
      <c r="E2351" s="6" t="s">
        <v>5887</v>
      </c>
      <c r="F2351" s="6">
        <v>21</v>
      </c>
      <c r="G2351" s="8">
        <f t="shared" si="36"/>
        <v>26886.152150000002</v>
      </c>
    </row>
    <row r="2352" spans="1:7" x14ac:dyDescent="0.3">
      <c r="A2352" s="14" t="str">
        <f>VLOOKUP(B2352,'Relacion codigos'!$A:$B,2,FALSE)</f>
        <v>2366</v>
      </c>
      <c r="B2352" s="6" t="s">
        <v>3086</v>
      </c>
      <c r="C2352" s="6" t="s">
        <v>9063</v>
      </c>
      <c r="D2352" s="24">
        <v>16.664180000000002</v>
      </c>
      <c r="E2352" s="6" t="s">
        <v>5887</v>
      </c>
      <c r="F2352" s="6">
        <v>21</v>
      </c>
      <c r="G2352" s="8">
        <f t="shared" si="36"/>
        <v>25912.799900000002</v>
      </c>
    </row>
    <row r="2353" spans="1:7" x14ac:dyDescent="0.3">
      <c r="A2353" s="14" t="str">
        <f>VLOOKUP(B2353,'Relacion codigos'!$A:$B,2,FALSE)</f>
        <v>2364</v>
      </c>
      <c r="B2353" s="6" t="s">
        <v>3087</v>
      </c>
      <c r="C2353" s="6" t="s">
        <v>1106</v>
      </c>
      <c r="D2353" s="24">
        <v>16.664180000000002</v>
      </c>
      <c r="E2353" s="6" t="s">
        <v>5887</v>
      </c>
      <c r="F2353" s="6">
        <v>21</v>
      </c>
      <c r="G2353" s="8">
        <f t="shared" si="36"/>
        <v>25912.799900000002</v>
      </c>
    </row>
    <row r="2354" spans="1:7" x14ac:dyDescent="0.3">
      <c r="A2354" s="14" t="str">
        <f>VLOOKUP(B2354,'Relacion codigos'!$A:$B,2,FALSE)</f>
        <v>2365</v>
      </c>
      <c r="B2354" s="6" t="s">
        <v>3088</v>
      </c>
      <c r="C2354" s="6" t="s">
        <v>1107</v>
      </c>
      <c r="D2354" s="24">
        <v>79.073446724999997</v>
      </c>
      <c r="E2354" s="6" t="s">
        <v>5887</v>
      </c>
      <c r="F2354" s="6">
        <v>21</v>
      </c>
      <c r="G2354" s="8">
        <f t="shared" si="36"/>
        <v>122959.20965737499</v>
      </c>
    </row>
    <row r="2355" spans="1:7" x14ac:dyDescent="0.3">
      <c r="A2355" s="14" t="str">
        <f>VLOOKUP(B2355,'Relacion codigos'!$A:$B,2,FALSE)</f>
        <v>2367</v>
      </c>
      <c r="B2355" s="6" t="s">
        <v>3089</v>
      </c>
      <c r="C2355" s="6" t="s">
        <v>9064</v>
      </c>
      <c r="D2355" s="24">
        <v>79.073446724999997</v>
      </c>
      <c r="E2355" s="6" t="s">
        <v>5887</v>
      </c>
      <c r="F2355" s="6">
        <v>21</v>
      </c>
      <c r="G2355" s="8">
        <f t="shared" si="36"/>
        <v>122959.20965737499</v>
      </c>
    </row>
    <row r="2356" spans="1:7" x14ac:dyDescent="0.3">
      <c r="A2356" s="14" t="str">
        <f>VLOOKUP(B2356,'Relacion codigos'!$A:$B,2,FALSE)</f>
        <v>2371</v>
      </c>
      <c r="B2356" s="6" t="s">
        <v>2879</v>
      </c>
      <c r="C2356" s="6" t="s">
        <v>12105</v>
      </c>
      <c r="D2356" s="24">
        <v>1.9891300000000001</v>
      </c>
      <c r="E2356" s="6" t="s">
        <v>5887</v>
      </c>
      <c r="F2356" s="6">
        <v>21</v>
      </c>
      <c r="G2356" s="8">
        <f t="shared" si="36"/>
        <v>3093.0971500000001</v>
      </c>
    </row>
    <row r="2357" spans="1:7" x14ac:dyDescent="0.3">
      <c r="A2357" s="14" t="str">
        <f>VLOOKUP(B2357,'Relacion codigos'!$A:$B,2,FALSE)</f>
        <v>2370</v>
      </c>
      <c r="B2357" s="6" t="s">
        <v>2880</v>
      </c>
      <c r="C2357" s="6" t="s">
        <v>12106</v>
      </c>
      <c r="D2357" s="24">
        <v>1.9891300000000001</v>
      </c>
      <c r="E2357" s="6" t="s">
        <v>5887</v>
      </c>
      <c r="F2357" s="6">
        <v>21</v>
      </c>
      <c r="G2357" s="8">
        <f t="shared" si="36"/>
        <v>3093.0971500000001</v>
      </c>
    </row>
    <row r="2358" spans="1:7" x14ac:dyDescent="0.3">
      <c r="A2358" s="14" t="str">
        <f>VLOOKUP(B2358,'Relacion codigos'!$A:$B,2,FALSE)</f>
        <v>2368</v>
      </c>
      <c r="B2358" s="6" t="s">
        <v>3084</v>
      </c>
      <c r="C2358" s="6" t="s">
        <v>12107</v>
      </c>
      <c r="D2358" s="24">
        <v>1.6135600000000001</v>
      </c>
      <c r="E2358" s="6" t="s">
        <v>5887</v>
      </c>
      <c r="F2358" s="6">
        <v>21</v>
      </c>
      <c r="G2358" s="8">
        <f t="shared" si="36"/>
        <v>2509.0858000000003</v>
      </c>
    </row>
    <row r="2359" spans="1:7" x14ac:dyDescent="0.3">
      <c r="A2359" s="14" t="e">
        <f>VLOOKUP(B2359,'Relacion codigos'!$A:$B,2,FALSE)</f>
        <v>#N/A</v>
      </c>
      <c r="B2359" s="6" t="s">
        <v>11560</v>
      </c>
      <c r="C2359" s="6" t="s">
        <v>11561</v>
      </c>
      <c r="D2359" s="24">
        <v>162.6534</v>
      </c>
      <c r="E2359" s="6" t="s">
        <v>5887</v>
      </c>
      <c r="F2359" s="6">
        <v>21</v>
      </c>
      <c r="G2359" s="8">
        <f t="shared" si="36"/>
        <v>252926.03700000001</v>
      </c>
    </row>
    <row r="2360" spans="1:7" x14ac:dyDescent="0.3">
      <c r="A2360" s="14" t="e">
        <f>VLOOKUP(B2360,'Relacion codigos'!$A:$B,2,FALSE)</f>
        <v>#N/A</v>
      </c>
      <c r="B2360" s="6" t="s">
        <v>12628</v>
      </c>
      <c r="C2360" s="6" t="s">
        <v>12629</v>
      </c>
      <c r="D2360" s="24">
        <v>203.60476499999999</v>
      </c>
      <c r="E2360" s="6" t="s">
        <v>5887</v>
      </c>
      <c r="F2360" s="6">
        <v>21</v>
      </c>
      <c r="G2360" s="8">
        <f t="shared" si="36"/>
        <v>316605.409575</v>
      </c>
    </row>
    <row r="2361" spans="1:7" x14ac:dyDescent="0.3">
      <c r="A2361" s="14" t="e">
        <f>VLOOKUP(B2361,'Relacion codigos'!$A:$B,2,FALSE)</f>
        <v>#N/A</v>
      </c>
      <c r="B2361" s="6" t="s">
        <v>11873</v>
      </c>
      <c r="C2361" s="6" t="s">
        <v>11874</v>
      </c>
      <c r="D2361" s="24">
        <v>162.6534</v>
      </c>
      <c r="E2361" s="6" t="s">
        <v>5887</v>
      </c>
      <c r="F2361" s="6">
        <v>21</v>
      </c>
      <c r="G2361" s="8">
        <f t="shared" si="36"/>
        <v>252926.03700000001</v>
      </c>
    </row>
    <row r="2362" spans="1:7" x14ac:dyDescent="0.3">
      <c r="A2362" s="14" t="e">
        <f>VLOOKUP(B2362,'Relacion codigos'!$A:$B,2,FALSE)</f>
        <v>#N/A</v>
      </c>
      <c r="B2362" s="6" t="s">
        <v>12997</v>
      </c>
      <c r="C2362" s="6" t="s">
        <v>12998</v>
      </c>
      <c r="D2362" s="24">
        <v>213.68392499999999</v>
      </c>
      <c r="E2362" s="6" t="s">
        <v>5887</v>
      </c>
      <c r="F2362" s="6">
        <v>21</v>
      </c>
      <c r="G2362" s="8">
        <f t="shared" si="36"/>
        <v>332278.50337499997</v>
      </c>
    </row>
    <row r="2363" spans="1:7" x14ac:dyDescent="0.3">
      <c r="A2363" s="14" t="e">
        <f>VLOOKUP(B2363,'Relacion codigos'!$A:$B,2,FALSE)</f>
        <v>#N/A</v>
      </c>
      <c r="B2363" s="6" t="s">
        <v>12999</v>
      </c>
      <c r="C2363" s="6" t="s">
        <v>13000</v>
      </c>
      <c r="D2363" s="24">
        <v>213.68392499999999</v>
      </c>
      <c r="E2363" s="6" t="s">
        <v>5887</v>
      </c>
      <c r="F2363" s="6">
        <v>21</v>
      </c>
      <c r="G2363" s="8">
        <f t="shared" si="36"/>
        <v>332278.50337499997</v>
      </c>
    </row>
    <row r="2364" spans="1:7" x14ac:dyDescent="0.3">
      <c r="A2364" s="14" t="e">
        <f>VLOOKUP(B2364,'Relacion codigos'!$A:$B,2,FALSE)</f>
        <v>#N/A</v>
      </c>
      <c r="B2364" s="6" t="s">
        <v>13101</v>
      </c>
      <c r="C2364" s="6" t="s">
        <v>13102</v>
      </c>
      <c r="D2364" s="24">
        <v>158.47050960000001</v>
      </c>
      <c r="E2364" s="6" t="s">
        <v>5887</v>
      </c>
      <c r="F2364" s="6">
        <v>21</v>
      </c>
      <c r="G2364" s="8">
        <f t="shared" si="36"/>
        <v>246421.64242800002</v>
      </c>
    </row>
    <row r="2365" spans="1:7" x14ac:dyDescent="0.3">
      <c r="A2365" s="14" t="str">
        <f>VLOOKUP(B2365,'Relacion codigos'!$A:$B,2,FALSE)</f>
        <v>9306</v>
      </c>
      <c r="B2365" s="6" t="s">
        <v>3064</v>
      </c>
      <c r="C2365" s="6" t="s">
        <v>1261</v>
      </c>
      <c r="D2365" s="24">
        <v>193.8792492</v>
      </c>
      <c r="E2365" s="6" t="s">
        <v>5887</v>
      </c>
      <c r="F2365" s="6">
        <v>21</v>
      </c>
      <c r="G2365" s="8">
        <f t="shared" si="36"/>
        <v>301482.23250600003</v>
      </c>
    </row>
    <row r="2366" spans="1:7" x14ac:dyDescent="0.3">
      <c r="A2366" s="14" t="str">
        <f>VLOOKUP(B2366,'Relacion codigos'!$A:$B,2,FALSE)</f>
        <v>9305</v>
      </c>
      <c r="B2366" s="6" t="s">
        <v>3065</v>
      </c>
      <c r="C2366" s="6" t="s">
        <v>1262</v>
      </c>
      <c r="D2366" s="24">
        <v>293.02472160000002</v>
      </c>
      <c r="E2366" s="6" t="s">
        <v>5887</v>
      </c>
      <c r="F2366" s="6">
        <v>21</v>
      </c>
      <c r="G2366" s="8">
        <f t="shared" si="36"/>
        <v>455653.44208800001</v>
      </c>
    </row>
    <row r="2367" spans="1:7" x14ac:dyDescent="0.3">
      <c r="A2367" s="14" t="e">
        <f>VLOOKUP(B2367,'Relacion codigos'!$A:$B,2,FALSE)</f>
        <v>#N/A</v>
      </c>
      <c r="B2367" s="6" t="s">
        <v>12630</v>
      </c>
      <c r="C2367" s="6" t="s">
        <v>12631</v>
      </c>
      <c r="D2367" s="24">
        <v>203.65117499999999</v>
      </c>
      <c r="E2367" s="6" t="s">
        <v>5887</v>
      </c>
      <c r="F2367" s="6">
        <v>21</v>
      </c>
      <c r="G2367" s="8">
        <f t="shared" si="36"/>
        <v>316677.57712500001</v>
      </c>
    </row>
    <row r="2368" spans="1:7" x14ac:dyDescent="0.3">
      <c r="A2368" s="14" t="str">
        <f>VLOOKUP(B2368,'Relacion codigos'!$A:$B,2,FALSE)</f>
        <v>9304</v>
      </c>
      <c r="B2368" s="6" t="s">
        <v>3066</v>
      </c>
      <c r="C2368" s="6" t="s">
        <v>9584</v>
      </c>
      <c r="D2368" s="24">
        <v>308.57331959999999</v>
      </c>
      <c r="E2368" s="6" t="s">
        <v>5887</v>
      </c>
      <c r="F2368" s="6">
        <v>21</v>
      </c>
      <c r="G2368" s="8">
        <f t="shared" si="36"/>
        <v>479831.51197799999</v>
      </c>
    </row>
    <row r="2369" spans="1:7" x14ac:dyDescent="0.3">
      <c r="A2369" s="14" t="e">
        <f>VLOOKUP(B2369,'Relacion codigos'!$A:$B,2,FALSE)</f>
        <v>#N/A</v>
      </c>
      <c r="B2369" s="6" t="s">
        <v>11875</v>
      </c>
      <c r="C2369" s="6" t="s">
        <v>11876</v>
      </c>
      <c r="D2369" s="24">
        <v>203.65117499999999</v>
      </c>
      <c r="E2369" s="6" t="s">
        <v>5887</v>
      </c>
      <c r="F2369" s="6">
        <v>21</v>
      </c>
      <c r="G2369" s="8">
        <f t="shared" si="36"/>
        <v>316677.57712500001</v>
      </c>
    </row>
    <row r="2370" spans="1:7" x14ac:dyDescent="0.3">
      <c r="A2370" s="14" t="e">
        <f>VLOOKUP(B2370,'Relacion codigos'!$A:$B,2,FALSE)</f>
        <v>#N/A</v>
      </c>
      <c r="B2370" s="6" t="s">
        <v>13001</v>
      </c>
      <c r="C2370" s="6" t="s">
        <v>13002</v>
      </c>
      <c r="D2370" s="24">
        <v>266.56402500000002</v>
      </c>
      <c r="E2370" s="6" t="s">
        <v>5887</v>
      </c>
      <c r="F2370" s="6">
        <v>21</v>
      </c>
      <c r="G2370" s="8">
        <f t="shared" ref="G2370:G2433" si="37">IF(E2370="Dolares",D2370*$G$1,D2370)</f>
        <v>414507.05887500005</v>
      </c>
    </row>
    <row r="2371" spans="1:7" x14ac:dyDescent="0.3">
      <c r="A2371" s="14" t="e">
        <f>VLOOKUP(B2371,'Relacion codigos'!$A:$B,2,FALSE)</f>
        <v>#N/A</v>
      </c>
      <c r="B2371" s="6" t="s">
        <v>9615</v>
      </c>
      <c r="C2371" s="6" t="s">
        <v>9616</v>
      </c>
      <c r="D2371" s="24">
        <v>694.6342416</v>
      </c>
      <c r="E2371" s="6" t="s">
        <v>5887</v>
      </c>
      <c r="F2371" s="6">
        <v>21</v>
      </c>
      <c r="G2371" s="8">
        <f t="shared" si="37"/>
        <v>1080156.245688</v>
      </c>
    </row>
    <row r="2372" spans="1:7" x14ac:dyDescent="0.3">
      <c r="A2372" s="14" t="e">
        <f>VLOOKUP(B2372,'Relacion codigos'!$A:$B,2,FALSE)</f>
        <v>#N/A</v>
      </c>
      <c r="B2372" s="6" t="s">
        <v>13003</v>
      </c>
      <c r="C2372" s="6" t="s">
        <v>13004</v>
      </c>
      <c r="D2372" s="24">
        <v>266.56402500000002</v>
      </c>
      <c r="E2372" s="6" t="s">
        <v>5887</v>
      </c>
      <c r="F2372" s="6">
        <v>21</v>
      </c>
      <c r="G2372" s="8">
        <f t="shared" si="37"/>
        <v>414507.05887500005</v>
      </c>
    </row>
    <row r="2373" spans="1:7" x14ac:dyDescent="0.3">
      <c r="A2373" s="14" t="e">
        <f>VLOOKUP(B2373,'Relacion codigos'!$A:$B,2,FALSE)</f>
        <v>#N/A</v>
      </c>
      <c r="B2373" s="6" t="s">
        <v>9617</v>
      </c>
      <c r="C2373" s="6" t="s">
        <v>9618</v>
      </c>
      <c r="D2373" s="24">
        <v>766.57342319999998</v>
      </c>
      <c r="E2373" s="6" t="s">
        <v>5887</v>
      </c>
      <c r="F2373" s="6">
        <v>21</v>
      </c>
      <c r="G2373" s="8">
        <f t="shared" si="37"/>
        <v>1192021.6730760001</v>
      </c>
    </row>
    <row r="2374" spans="1:7" x14ac:dyDescent="0.3">
      <c r="A2374" s="14" t="str">
        <f>VLOOKUP(B2374,'Relacion codigos'!$A:$B,2,FALSE)</f>
        <v>7939</v>
      </c>
      <c r="B2374" s="6" t="s">
        <v>3067</v>
      </c>
      <c r="C2374" s="6" t="s">
        <v>9619</v>
      </c>
      <c r="D2374" s="24">
        <v>1300.023036</v>
      </c>
      <c r="E2374" s="6" t="s">
        <v>5887</v>
      </c>
      <c r="F2374" s="6">
        <v>21</v>
      </c>
      <c r="G2374" s="8">
        <f t="shared" si="37"/>
        <v>2021535.8209800001</v>
      </c>
    </row>
    <row r="2375" spans="1:7" x14ac:dyDescent="0.3">
      <c r="A2375" s="14" t="e">
        <f>VLOOKUP(B2375,'Relacion codigos'!$A:$B,2,FALSE)</f>
        <v>#N/A</v>
      </c>
      <c r="B2375" s="6" t="s">
        <v>13545</v>
      </c>
      <c r="C2375" s="6" t="s">
        <v>13546</v>
      </c>
      <c r="D2375" s="24">
        <v>257.66422499999999</v>
      </c>
      <c r="E2375" s="6" t="s">
        <v>5887</v>
      </c>
      <c r="F2375" s="6">
        <v>21</v>
      </c>
      <c r="G2375" s="8">
        <f t="shared" si="37"/>
        <v>400667.86987499997</v>
      </c>
    </row>
    <row r="2376" spans="1:7" x14ac:dyDescent="0.3">
      <c r="A2376" s="14" t="str">
        <f>VLOOKUP(B2376,'Relacion codigos'!$A:$B,2,FALSE)</f>
        <v>9303</v>
      </c>
      <c r="B2376" s="6" t="s">
        <v>3068</v>
      </c>
      <c r="C2376" s="6" t="s">
        <v>1263</v>
      </c>
      <c r="D2376" s="24">
        <v>1922.7130884000001</v>
      </c>
      <c r="E2376" s="6" t="s">
        <v>5887</v>
      </c>
      <c r="F2376" s="6">
        <v>21</v>
      </c>
      <c r="G2376" s="8">
        <f t="shared" si="37"/>
        <v>2989818.8524620002</v>
      </c>
    </row>
    <row r="2377" spans="1:7" x14ac:dyDescent="0.3">
      <c r="A2377" s="14" t="str">
        <f>VLOOKUP(B2377,'Relacion codigos'!$A:$B,2,FALSE)</f>
        <v>NUEVO</v>
      </c>
      <c r="B2377" s="6" t="s">
        <v>3342</v>
      </c>
      <c r="C2377" s="6" t="s">
        <v>3343</v>
      </c>
      <c r="D2377" s="24">
        <v>180.75432960000001</v>
      </c>
      <c r="E2377" s="6" t="s">
        <v>5887</v>
      </c>
      <c r="F2377" s="6">
        <v>21</v>
      </c>
      <c r="G2377" s="8">
        <f t="shared" si="37"/>
        <v>281072.98252800002</v>
      </c>
    </row>
    <row r="2378" spans="1:7" x14ac:dyDescent="0.3">
      <c r="A2378" s="14" t="str">
        <f>VLOOKUP(B2378,'Relacion codigos'!$A:$B,2,FALSE)</f>
        <v>8041</v>
      </c>
      <c r="B2378" s="6" t="s">
        <v>3069</v>
      </c>
      <c r="C2378" s="6" t="s">
        <v>1264</v>
      </c>
      <c r="D2378" s="24">
        <v>183.58362360000001</v>
      </c>
      <c r="E2378" s="6" t="s">
        <v>5887</v>
      </c>
      <c r="F2378" s="6">
        <v>21</v>
      </c>
      <c r="G2378" s="8">
        <f t="shared" si="37"/>
        <v>285472.534698</v>
      </c>
    </row>
    <row r="2379" spans="1:7" x14ac:dyDescent="0.3">
      <c r="A2379" s="14" t="e">
        <f>VLOOKUP(B2379,'Relacion codigos'!$A:$B,2,FALSE)</f>
        <v>#N/A</v>
      </c>
      <c r="B2379" s="6" t="s">
        <v>10302</v>
      </c>
      <c r="C2379" s="6" t="s">
        <v>13005</v>
      </c>
      <c r="D2379" s="24">
        <v>133.1694</v>
      </c>
      <c r="E2379" s="6" t="s">
        <v>5887</v>
      </c>
      <c r="F2379" s="6">
        <v>21</v>
      </c>
      <c r="G2379" s="8">
        <f t="shared" si="37"/>
        <v>207078.41699999999</v>
      </c>
    </row>
    <row r="2380" spans="1:7" x14ac:dyDescent="0.3">
      <c r="A2380" s="14" t="e">
        <f>VLOOKUP(B2380,'Relacion codigos'!$A:$B,2,FALSE)</f>
        <v>#N/A</v>
      </c>
      <c r="B2380" s="6" t="s">
        <v>12879</v>
      </c>
      <c r="C2380" s="6" t="s">
        <v>13006</v>
      </c>
      <c r="D2380" s="24">
        <v>133.1694</v>
      </c>
      <c r="E2380" s="6" t="s">
        <v>5887</v>
      </c>
      <c r="F2380" s="6">
        <v>21</v>
      </c>
      <c r="G2380" s="8">
        <f t="shared" si="37"/>
        <v>207078.41699999999</v>
      </c>
    </row>
    <row r="2381" spans="1:7" x14ac:dyDescent="0.3">
      <c r="A2381" s="14" t="e">
        <f>VLOOKUP(B2381,'Relacion codigos'!$A:$B,2,FALSE)</f>
        <v>#N/A</v>
      </c>
      <c r="B2381" s="6" t="s">
        <v>13743</v>
      </c>
      <c r="C2381" s="6" t="s">
        <v>13744</v>
      </c>
      <c r="D2381" s="24">
        <v>74.387249999999995</v>
      </c>
      <c r="E2381" s="6" t="s">
        <v>5887</v>
      </c>
      <c r="F2381" s="6">
        <v>21</v>
      </c>
      <c r="G2381" s="8">
        <f t="shared" si="37"/>
        <v>115672.17374999999</v>
      </c>
    </row>
    <row r="2382" spans="1:7" x14ac:dyDescent="0.3">
      <c r="A2382" s="14" t="e">
        <f>VLOOKUP(B2382,'Relacion codigos'!$A:$B,2,FALSE)</f>
        <v>#N/A</v>
      </c>
      <c r="B2382" s="6" t="s">
        <v>10303</v>
      </c>
      <c r="C2382" s="6" t="s">
        <v>13007</v>
      </c>
      <c r="D2382" s="24">
        <v>165.93622500000001</v>
      </c>
      <c r="E2382" s="6" t="s">
        <v>5887</v>
      </c>
      <c r="F2382" s="6">
        <v>21</v>
      </c>
      <c r="G2382" s="8">
        <f t="shared" si="37"/>
        <v>258030.82987500002</v>
      </c>
    </row>
    <row r="2383" spans="1:7" x14ac:dyDescent="0.3">
      <c r="A2383" s="14" t="e">
        <f>VLOOKUP(B2383,'Relacion codigos'!$A:$B,2,FALSE)</f>
        <v>#N/A</v>
      </c>
      <c r="B2383" s="6" t="s">
        <v>13745</v>
      </c>
      <c r="C2383" s="6" t="s">
        <v>13746</v>
      </c>
      <c r="D2383" s="24">
        <v>165.12405000000001</v>
      </c>
      <c r="E2383" s="6" t="s">
        <v>5887</v>
      </c>
      <c r="F2383" s="6">
        <v>21</v>
      </c>
      <c r="G2383" s="8">
        <f t="shared" si="37"/>
        <v>256767.89775</v>
      </c>
    </row>
    <row r="2384" spans="1:7" x14ac:dyDescent="0.3">
      <c r="A2384" s="14" t="e">
        <f>VLOOKUP(B2384,'Relacion codigos'!$A:$B,2,FALSE)</f>
        <v>#N/A</v>
      </c>
      <c r="B2384" s="6" t="s">
        <v>13008</v>
      </c>
      <c r="C2384" s="6" t="s">
        <v>13009</v>
      </c>
      <c r="D2384" s="24">
        <v>165.12405000000001</v>
      </c>
      <c r="E2384" s="6" t="s">
        <v>5887</v>
      </c>
      <c r="F2384" s="6">
        <v>21</v>
      </c>
      <c r="G2384" s="8">
        <f t="shared" si="37"/>
        <v>256767.89775</v>
      </c>
    </row>
    <row r="2385" spans="1:7" x14ac:dyDescent="0.3">
      <c r="A2385" s="14" t="e">
        <f>VLOOKUP(B2385,'Relacion codigos'!$A:$B,2,FALSE)</f>
        <v>#N/A</v>
      </c>
      <c r="B2385" s="6" t="s">
        <v>13747</v>
      </c>
      <c r="C2385" s="6" t="s">
        <v>13748</v>
      </c>
      <c r="D2385" s="24">
        <v>257.66422499999999</v>
      </c>
      <c r="E2385" s="6" t="s">
        <v>5887</v>
      </c>
      <c r="F2385" s="6">
        <v>21</v>
      </c>
      <c r="G2385" s="8">
        <f t="shared" si="37"/>
        <v>400667.86987499997</v>
      </c>
    </row>
    <row r="2386" spans="1:7" x14ac:dyDescent="0.3">
      <c r="A2386" s="14" t="str">
        <f>VLOOKUP(B2386,'Relacion codigos'!$A:$B,2,FALSE)</f>
        <v>2373</v>
      </c>
      <c r="B2386" s="6" t="s">
        <v>2877</v>
      </c>
      <c r="C2386" s="6" t="s">
        <v>12108</v>
      </c>
      <c r="D2386" s="24">
        <v>1.9891300000000001</v>
      </c>
      <c r="E2386" s="6" t="s">
        <v>5887</v>
      </c>
      <c r="F2386" s="6">
        <v>21</v>
      </c>
      <c r="G2386" s="8">
        <f t="shared" si="37"/>
        <v>3093.0971500000001</v>
      </c>
    </row>
    <row r="2387" spans="1:7" x14ac:dyDescent="0.3">
      <c r="A2387" s="14" t="str">
        <f>VLOOKUP(B2387,'Relacion codigos'!$A:$B,2,FALSE)</f>
        <v>8602</v>
      </c>
      <c r="B2387" s="6" t="s">
        <v>4724</v>
      </c>
      <c r="C2387" s="6" t="s">
        <v>1108</v>
      </c>
      <c r="D2387" s="24">
        <v>798.55147516624902</v>
      </c>
      <c r="E2387" s="6" t="s">
        <v>5889</v>
      </c>
      <c r="F2387" s="6">
        <v>10.5</v>
      </c>
      <c r="G2387" s="8">
        <f t="shared" si="37"/>
        <v>798.55147516624902</v>
      </c>
    </row>
    <row r="2388" spans="1:7" x14ac:dyDescent="0.3">
      <c r="A2388" s="14" t="str">
        <f>VLOOKUP(B2388,'Relacion codigos'!$A:$B,2,FALSE)</f>
        <v>8601</v>
      </c>
      <c r="B2388" s="6" t="s">
        <v>4725</v>
      </c>
      <c r="C2388" s="6" t="s">
        <v>1109</v>
      </c>
      <c r="D2388" s="24">
        <v>798.55147516624902</v>
      </c>
      <c r="E2388" s="6" t="s">
        <v>5889</v>
      </c>
      <c r="F2388" s="6">
        <v>10.5</v>
      </c>
      <c r="G2388" s="8">
        <f t="shared" si="37"/>
        <v>798.55147516624902</v>
      </c>
    </row>
    <row r="2389" spans="1:7" x14ac:dyDescent="0.3">
      <c r="A2389" s="14" t="str">
        <f>VLOOKUP(B2389,'Relacion codigos'!$A:$B,2,FALSE)</f>
        <v>3156</v>
      </c>
      <c r="B2389" s="6" t="s">
        <v>3090</v>
      </c>
      <c r="C2389" s="6" t="s">
        <v>11457</v>
      </c>
      <c r="D2389" s="24">
        <v>8.7981678492499995</v>
      </c>
      <c r="E2389" s="6" t="s">
        <v>5887</v>
      </c>
      <c r="F2389" s="6">
        <v>10.5</v>
      </c>
      <c r="G2389" s="8">
        <f t="shared" si="37"/>
        <v>13681.15100558375</v>
      </c>
    </row>
    <row r="2390" spans="1:7" x14ac:dyDescent="0.3">
      <c r="A2390" s="14" t="str">
        <f>VLOOKUP(B2390,'Relacion codigos'!$A:$B,2,FALSE)</f>
        <v>8536</v>
      </c>
      <c r="B2390" s="6" t="s">
        <v>3091</v>
      </c>
      <c r="C2390" s="6" t="s">
        <v>10668</v>
      </c>
      <c r="D2390" s="24">
        <v>17.3011501975</v>
      </c>
      <c r="E2390" s="6" t="s">
        <v>5887</v>
      </c>
      <c r="F2390" s="6">
        <v>21</v>
      </c>
      <c r="G2390" s="8">
        <f t="shared" si="37"/>
        <v>26903.288557112501</v>
      </c>
    </row>
    <row r="2391" spans="1:7" x14ac:dyDescent="0.3">
      <c r="A2391" s="14" t="e">
        <f>VLOOKUP(B2391,'Relacion codigos'!$A:$B,2,FALSE)</f>
        <v>#N/A</v>
      </c>
      <c r="B2391" s="6" t="s">
        <v>8816</v>
      </c>
      <c r="C2391" s="6" t="s">
        <v>8817</v>
      </c>
      <c r="D2391" s="24">
        <v>9.5033332127500003</v>
      </c>
      <c r="E2391" s="6" t="s">
        <v>5887</v>
      </c>
      <c r="F2391" s="6">
        <v>21</v>
      </c>
      <c r="G2391" s="8">
        <f t="shared" si="37"/>
        <v>14777.683145826251</v>
      </c>
    </row>
    <row r="2392" spans="1:7" x14ac:dyDescent="0.3">
      <c r="A2392" s="14" t="e">
        <f>VLOOKUP(B2392,'Relacion codigos'!$A:$B,2,FALSE)</f>
        <v>#N/A</v>
      </c>
      <c r="B2392" s="6" t="s">
        <v>8917</v>
      </c>
      <c r="C2392" s="6" t="s">
        <v>8918</v>
      </c>
      <c r="D2392" s="24">
        <v>25.4679490585</v>
      </c>
      <c r="E2392" s="6" t="s">
        <v>5887</v>
      </c>
      <c r="F2392" s="6">
        <v>21</v>
      </c>
      <c r="G2392" s="8">
        <f t="shared" si="37"/>
        <v>39602.660785967499</v>
      </c>
    </row>
    <row r="2393" spans="1:7" x14ac:dyDescent="0.3">
      <c r="A2393" s="14" t="str">
        <f>VLOOKUP(B2393,'Relacion codigos'!$A:$B,2,FALSE)</f>
        <v>2372</v>
      </c>
      <c r="B2393" s="6" t="s">
        <v>2878</v>
      </c>
      <c r="C2393" s="6" t="s">
        <v>12109</v>
      </c>
      <c r="D2393" s="24">
        <v>1.6135600000000001</v>
      </c>
      <c r="E2393" s="6" t="s">
        <v>5887</v>
      </c>
      <c r="F2393" s="6">
        <v>21</v>
      </c>
      <c r="G2393" s="8">
        <f t="shared" si="37"/>
        <v>2509.0858000000003</v>
      </c>
    </row>
    <row r="2394" spans="1:7" x14ac:dyDescent="0.3">
      <c r="A2394" s="14" t="str">
        <f>VLOOKUP(B2394,'Relacion codigos'!$A:$B,2,FALSE)</f>
        <v>1807</v>
      </c>
      <c r="B2394" s="6" t="s">
        <v>5772</v>
      </c>
      <c r="C2394" s="6" t="s">
        <v>374</v>
      </c>
      <c r="D2394" s="24">
        <v>13723.75031625</v>
      </c>
      <c r="E2394" s="6" t="s">
        <v>5889</v>
      </c>
      <c r="F2394" s="6">
        <v>21</v>
      </c>
      <c r="G2394" s="8">
        <f t="shared" si="37"/>
        <v>13723.75031625</v>
      </c>
    </row>
    <row r="2395" spans="1:7" x14ac:dyDescent="0.3">
      <c r="A2395" s="14" t="str">
        <f>VLOOKUP(B2395,'Relacion codigos'!$A:$B,2,FALSE)</f>
        <v>762</v>
      </c>
      <c r="B2395" s="6" t="s">
        <v>5773</v>
      </c>
      <c r="C2395" s="6" t="s">
        <v>375</v>
      </c>
      <c r="D2395" s="24">
        <v>6008.1810750000004</v>
      </c>
      <c r="E2395" s="6" t="s">
        <v>5889</v>
      </c>
      <c r="F2395" s="6">
        <v>21</v>
      </c>
      <c r="G2395" s="8">
        <f t="shared" si="37"/>
        <v>6008.1810750000004</v>
      </c>
    </row>
    <row r="2396" spans="1:7" x14ac:dyDescent="0.3">
      <c r="A2396" s="14" t="str">
        <f>VLOOKUP(B2396,'Relacion codigos'!$A:$B,2,FALSE)</f>
        <v>763</v>
      </c>
      <c r="B2396" s="6" t="s">
        <v>5774</v>
      </c>
      <c r="C2396" s="6" t="s">
        <v>376</v>
      </c>
      <c r="D2396" s="24">
        <v>8251.7423624999992</v>
      </c>
      <c r="E2396" s="6" t="s">
        <v>5889</v>
      </c>
      <c r="F2396" s="6">
        <v>21</v>
      </c>
      <c r="G2396" s="8">
        <f t="shared" si="37"/>
        <v>8251.7423624999992</v>
      </c>
    </row>
    <row r="2397" spans="1:7" x14ac:dyDescent="0.3">
      <c r="A2397" s="14" t="str">
        <f>VLOOKUP(B2397,'Relacion codigos'!$A:$B,2,FALSE)</f>
        <v>2413</v>
      </c>
      <c r="B2397" s="6" t="s">
        <v>5776</v>
      </c>
      <c r="C2397" s="6" t="s">
        <v>378</v>
      </c>
      <c r="D2397" s="24">
        <v>15400.717312500001</v>
      </c>
      <c r="E2397" s="6" t="s">
        <v>5889</v>
      </c>
      <c r="F2397" s="6">
        <v>21</v>
      </c>
      <c r="G2397" s="8">
        <f t="shared" si="37"/>
        <v>15400.717312500001</v>
      </c>
    </row>
    <row r="2398" spans="1:7" x14ac:dyDescent="0.3">
      <c r="A2398" s="14" t="str">
        <f>VLOOKUP(B2398,'Relacion codigos'!$A:$B,2,FALSE)</f>
        <v>2414</v>
      </c>
      <c r="B2398" s="6" t="s">
        <v>5777</v>
      </c>
      <c r="C2398" s="6" t="s">
        <v>379</v>
      </c>
      <c r="D2398" s="24">
        <v>24641.147700000001</v>
      </c>
      <c r="E2398" s="6" t="s">
        <v>5889</v>
      </c>
      <c r="F2398" s="6">
        <v>21</v>
      </c>
      <c r="G2398" s="8">
        <f t="shared" si="37"/>
        <v>24641.147700000001</v>
      </c>
    </row>
    <row r="2399" spans="1:7" x14ac:dyDescent="0.3">
      <c r="A2399" s="14" t="str">
        <f>VLOOKUP(B2399,'Relacion codigos'!$A:$B,2,FALSE)</f>
        <v>2415</v>
      </c>
      <c r="B2399" s="6" t="s">
        <v>5778</v>
      </c>
      <c r="C2399" s="6" t="s">
        <v>380</v>
      </c>
      <c r="D2399" s="24">
        <v>18959.994202499998</v>
      </c>
      <c r="E2399" s="6" t="s">
        <v>5889</v>
      </c>
      <c r="F2399" s="6">
        <v>21</v>
      </c>
      <c r="G2399" s="8">
        <f t="shared" si="37"/>
        <v>18959.994202499998</v>
      </c>
    </row>
    <row r="2400" spans="1:7" x14ac:dyDescent="0.3">
      <c r="A2400" s="14" t="str">
        <f>VLOOKUP(B2400,'Relacion codigos'!$A:$B,2,FALSE)</f>
        <v>1805</v>
      </c>
      <c r="B2400" s="6" t="s">
        <v>5775</v>
      </c>
      <c r="C2400" s="6" t="s">
        <v>13749</v>
      </c>
      <c r="D2400" s="24">
        <v>11122.74028125</v>
      </c>
      <c r="E2400" s="6" t="s">
        <v>5889</v>
      </c>
      <c r="F2400" s="6">
        <v>21</v>
      </c>
      <c r="G2400" s="8">
        <f t="shared" si="37"/>
        <v>11122.74028125</v>
      </c>
    </row>
    <row r="2401" spans="1:7" x14ac:dyDescent="0.3">
      <c r="A2401" s="14" t="e">
        <f>VLOOKUP(B2401,'Relacion codigos'!$A:$B,2,FALSE)</f>
        <v>#N/A</v>
      </c>
      <c r="B2401" s="6" t="s">
        <v>11443</v>
      </c>
      <c r="C2401" s="6" t="s">
        <v>11444</v>
      </c>
      <c r="D2401" s="24">
        <v>19659.681112499999</v>
      </c>
      <c r="E2401" s="6" t="s">
        <v>5889</v>
      </c>
      <c r="F2401" s="6">
        <v>21</v>
      </c>
      <c r="G2401" s="8">
        <f t="shared" si="37"/>
        <v>19659.681112499999</v>
      </c>
    </row>
    <row r="2402" spans="1:7" x14ac:dyDescent="0.3">
      <c r="A2402" s="14" t="str">
        <f>VLOOKUP(B2402,'Relacion codigos'!$A:$B,2,FALSE)</f>
        <v>5349</v>
      </c>
      <c r="B2402" s="6" t="s">
        <v>5780</v>
      </c>
      <c r="C2402" s="6" t="s">
        <v>10422</v>
      </c>
      <c r="D2402" s="24">
        <v>4156.1988343200001</v>
      </c>
      <c r="E2402" s="6" t="s">
        <v>5889</v>
      </c>
      <c r="F2402" s="6">
        <v>21</v>
      </c>
      <c r="G2402" s="8">
        <f t="shared" si="37"/>
        <v>4156.1988343200001</v>
      </c>
    </row>
    <row r="2403" spans="1:7" x14ac:dyDescent="0.3">
      <c r="A2403" s="14" t="str">
        <f>VLOOKUP(B2403,'Relacion codigos'!$A:$B,2,FALSE)</f>
        <v>9085</v>
      </c>
      <c r="B2403" s="6" t="s">
        <v>2323</v>
      </c>
      <c r="C2403" s="6" t="s">
        <v>13254</v>
      </c>
      <c r="D2403" s="24">
        <v>489.856902882496</v>
      </c>
      <c r="E2403" s="6" t="s">
        <v>5889</v>
      </c>
      <c r="F2403" s="6">
        <v>21</v>
      </c>
      <c r="G2403" s="8">
        <f t="shared" si="37"/>
        <v>489.856902882496</v>
      </c>
    </row>
    <row r="2404" spans="1:7" x14ac:dyDescent="0.3">
      <c r="A2404" s="14" t="str">
        <f>VLOOKUP(B2404,'Relacion codigos'!$A:$B,2,FALSE)</f>
        <v>946</v>
      </c>
      <c r="B2404" s="6" t="s">
        <v>3263</v>
      </c>
      <c r="C2404" s="6" t="s">
        <v>381</v>
      </c>
      <c r="D2404" s="24">
        <v>23360.399837798399</v>
      </c>
      <c r="E2404" s="6" t="s">
        <v>5889</v>
      </c>
      <c r="F2404" s="6">
        <v>21</v>
      </c>
      <c r="G2404" s="8">
        <f t="shared" si="37"/>
        <v>23360.399837798399</v>
      </c>
    </row>
    <row r="2405" spans="1:7" x14ac:dyDescent="0.3">
      <c r="A2405" s="14" t="str">
        <f>VLOOKUP(B2405,'Relacion codigos'!$A:$B,2,FALSE)</f>
        <v>8411</v>
      </c>
      <c r="B2405" s="6" t="s">
        <v>4384</v>
      </c>
      <c r="C2405" s="6" t="s">
        <v>956</v>
      </c>
      <c r="D2405" s="24">
        <v>3.3317926551508901</v>
      </c>
      <c r="E2405" s="6" t="s">
        <v>5887</v>
      </c>
      <c r="F2405" s="6">
        <v>21</v>
      </c>
      <c r="G2405" s="8">
        <f t="shared" si="37"/>
        <v>5180.9375787596337</v>
      </c>
    </row>
    <row r="2406" spans="1:7" x14ac:dyDescent="0.3">
      <c r="A2406" s="14" t="e">
        <f>VLOOKUP(B2406,'Relacion codigos'!$A:$B,2,FALSE)</f>
        <v>#N/A</v>
      </c>
      <c r="B2406" s="6" t="s">
        <v>12244</v>
      </c>
      <c r="C2406" s="6" t="s">
        <v>12245</v>
      </c>
      <c r="D2406" s="24">
        <v>10.228023</v>
      </c>
      <c r="E2406" s="6" t="s">
        <v>5887</v>
      </c>
      <c r="F2406" s="6">
        <v>21</v>
      </c>
      <c r="G2406" s="8">
        <f t="shared" si="37"/>
        <v>15904.575765</v>
      </c>
    </row>
    <row r="2407" spans="1:7" x14ac:dyDescent="0.3">
      <c r="A2407" s="14" t="str">
        <f>VLOOKUP(B2407,'Relacion codigos'!$A:$B,2,FALSE)</f>
        <v>8160</v>
      </c>
      <c r="B2407" s="6" t="s">
        <v>5288</v>
      </c>
      <c r="C2407" s="6" t="s">
        <v>9607</v>
      </c>
      <c r="D2407" s="24">
        <v>42.397680000000001</v>
      </c>
      <c r="E2407" s="6" t="s">
        <v>5887</v>
      </c>
      <c r="F2407" s="6">
        <v>21</v>
      </c>
      <c r="G2407" s="8">
        <f t="shared" si="37"/>
        <v>65928.392399999997</v>
      </c>
    </row>
    <row r="2408" spans="1:7" x14ac:dyDescent="0.3">
      <c r="A2408" s="14" t="str">
        <f>VLOOKUP(B2408,'Relacion codigos'!$A:$B,2,FALSE)</f>
        <v>8162</v>
      </c>
      <c r="B2408" s="6" t="s">
        <v>5290</v>
      </c>
      <c r="C2408" s="6" t="s">
        <v>9608</v>
      </c>
      <c r="D2408" s="24">
        <v>81.011840000000007</v>
      </c>
      <c r="E2408" s="6" t="s">
        <v>5887</v>
      </c>
      <c r="F2408" s="6">
        <v>21</v>
      </c>
      <c r="G2408" s="8">
        <f t="shared" si="37"/>
        <v>125973.41120000002</v>
      </c>
    </row>
    <row r="2409" spans="1:7" x14ac:dyDescent="0.3">
      <c r="A2409" s="14" t="str">
        <f>VLOOKUP(B2409,'Relacion codigos'!$A:$B,2,FALSE)</f>
        <v>8163</v>
      </c>
      <c r="B2409" s="6" t="s">
        <v>5291</v>
      </c>
      <c r="C2409" s="6" t="s">
        <v>9609</v>
      </c>
      <c r="D2409" s="24">
        <v>99.706879999999998</v>
      </c>
      <c r="E2409" s="6" t="s">
        <v>5887</v>
      </c>
      <c r="F2409" s="6">
        <v>21</v>
      </c>
      <c r="G2409" s="8">
        <f t="shared" si="37"/>
        <v>155044.19839999999</v>
      </c>
    </row>
    <row r="2410" spans="1:7" x14ac:dyDescent="0.3">
      <c r="A2410" s="14" t="str">
        <f>VLOOKUP(B2410,'Relacion codigos'!$A:$B,2,FALSE)</f>
        <v>6271</v>
      </c>
      <c r="B2410" s="6" t="s">
        <v>4385</v>
      </c>
      <c r="C2410" s="6" t="s">
        <v>13010</v>
      </c>
      <c r="D2410" s="24">
        <v>13.91</v>
      </c>
      <c r="E2410" s="6" t="s">
        <v>5887</v>
      </c>
      <c r="F2410" s="6">
        <v>21</v>
      </c>
      <c r="G2410" s="8">
        <f t="shared" si="37"/>
        <v>21630.05</v>
      </c>
    </row>
    <row r="2411" spans="1:7" x14ac:dyDescent="0.3">
      <c r="A2411" s="14" t="str">
        <f>VLOOKUP(B2411,'Relacion codigos'!$A:$B,2,FALSE)</f>
        <v>8161</v>
      </c>
      <c r="B2411" s="6" t="s">
        <v>5289</v>
      </c>
      <c r="C2411" s="6" t="s">
        <v>9610</v>
      </c>
      <c r="D2411" s="24">
        <v>56.085120000000003</v>
      </c>
      <c r="E2411" s="6" t="s">
        <v>5887</v>
      </c>
      <c r="F2411" s="6">
        <v>21</v>
      </c>
      <c r="G2411" s="8">
        <f t="shared" si="37"/>
        <v>87212.361600000004</v>
      </c>
    </row>
    <row r="2412" spans="1:7" x14ac:dyDescent="0.3">
      <c r="A2412" s="14" t="e">
        <f>VLOOKUP(B2412,'Relacion codigos'!$A:$B,2,FALSE)</f>
        <v>#N/A</v>
      </c>
      <c r="B2412" s="6" t="s">
        <v>10060</v>
      </c>
      <c r="C2412" s="6" t="s">
        <v>10061</v>
      </c>
      <c r="D2412" s="24">
        <v>47.3070452911305</v>
      </c>
      <c r="E2412" s="6" t="s">
        <v>5887</v>
      </c>
      <c r="F2412" s="6">
        <v>21</v>
      </c>
      <c r="G2412" s="8">
        <f t="shared" si="37"/>
        <v>73562.45542770793</v>
      </c>
    </row>
    <row r="2413" spans="1:7" x14ac:dyDescent="0.3">
      <c r="A2413" s="14" t="e">
        <f>VLOOKUP(B2413,'Relacion codigos'!$A:$B,2,FALSE)</f>
        <v>#N/A</v>
      </c>
      <c r="B2413" s="6" t="s">
        <v>9591</v>
      </c>
      <c r="C2413" s="6" t="s">
        <v>10740</v>
      </c>
      <c r="D2413" s="24">
        <v>3102.6978319999998</v>
      </c>
      <c r="E2413" s="6" t="s">
        <v>5889</v>
      </c>
      <c r="F2413" s="6">
        <v>21</v>
      </c>
      <c r="G2413" s="8">
        <f t="shared" si="37"/>
        <v>3102.6978319999998</v>
      </c>
    </row>
    <row r="2414" spans="1:7" x14ac:dyDescent="0.3">
      <c r="A2414" s="14" t="e">
        <f>VLOOKUP(B2414,'Relacion codigos'!$A:$B,2,FALSE)</f>
        <v>#N/A</v>
      </c>
      <c r="B2414" s="6" t="s">
        <v>10741</v>
      </c>
      <c r="C2414" s="6" t="s">
        <v>10742</v>
      </c>
      <c r="D2414" s="24">
        <v>1.4469000000000001</v>
      </c>
      <c r="E2414" s="6" t="s">
        <v>5887</v>
      </c>
      <c r="F2414" s="6">
        <v>21</v>
      </c>
      <c r="G2414" s="8">
        <f t="shared" si="37"/>
        <v>2249.9295000000002</v>
      </c>
    </row>
    <row r="2415" spans="1:7" x14ac:dyDescent="0.3">
      <c r="A2415" s="14" t="e">
        <f>VLOOKUP(B2415,'Relacion codigos'!$A:$B,2,FALSE)</f>
        <v>#N/A</v>
      </c>
      <c r="B2415" s="6" t="s">
        <v>10743</v>
      </c>
      <c r="C2415" s="6" t="s">
        <v>10744</v>
      </c>
      <c r="D2415" s="24">
        <v>2.4774750000000001</v>
      </c>
      <c r="E2415" s="6" t="s">
        <v>5887</v>
      </c>
      <c r="F2415" s="6">
        <v>21</v>
      </c>
      <c r="G2415" s="8">
        <f t="shared" si="37"/>
        <v>3852.4736250000001</v>
      </c>
    </row>
    <row r="2416" spans="1:7" x14ac:dyDescent="0.3">
      <c r="A2416" s="14" t="e">
        <f>VLOOKUP(B2416,'Relacion codigos'!$A:$B,2,FALSE)</f>
        <v>#N/A</v>
      </c>
      <c r="B2416" s="6" t="s">
        <v>13011</v>
      </c>
      <c r="C2416" s="6" t="s">
        <v>13012</v>
      </c>
      <c r="D2416" s="24">
        <v>352355.10879999999</v>
      </c>
      <c r="E2416" s="6" t="s">
        <v>5889</v>
      </c>
      <c r="F2416" s="6">
        <v>21</v>
      </c>
      <c r="G2416" s="8">
        <f t="shared" si="37"/>
        <v>352355.10879999999</v>
      </c>
    </row>
    <row r="2417" spans="1:7" x14ac:dyDescent="0.3">
      <c r="A2417" s="14" t="e">
        <f>VLOOKUP(B2417,'Relacion codigos'!$A:$B,2,FALSE)</f>
        <v>#N/A</v>
      </c>
      <c r="B2417" s="6" t="s">
        <v>13013</v>
      </c>
      <c r="C2417" s="6" t="s">
        <v>13014</v>
      </c>
      <c r="D2417" s="24">
        <v>391212.15879999998</v>
      </c>
      <c r="E2417" s="6" t="s">
        <v>5889</v>
      </c>
      <c r="F2417" s="6">
        <v>21</v>
      </c>
      <c r="G2417" s="8">
        <f t="shared" si="37"/>
        <v>391212.15879999998</v>
      </c>
    </row>
    <row r="2418" spans="1:7" x14ac:dyDescent="0.3">
      <c r="A2418" s="14" t="e">
        <f>VLOOKUP(B2418,'Relacion codigos'!$A:$B,2,FALSE)</f>
        <v>#N/A</v>
      </c>
      <c r="B2418" s="6" t="s">
        <v>13015</v>
      </c>
      <c r="C2418" s="6" t="s">
        <v>13016</v>
      </c>
      <c r="D2418" s="24">
        <v>482154.89350000001</v>
      </c>
      <c r="E2418" s="6" t="s">
        <v>5889</v>
      </c>
      <c r="F2418" s="6">
        <v>21</v>
      </c>
      <c r="G2418" s="8">
        <f t="shared" si="37"/>
        <v>482154.89350000001</v>
      </c>
    </row>
    <row r="2419" spans="1:7" x14ac:dyDescent="0.3">
      <c r="A2419" s="14" t="e">
        <f>VLOOKUP(B2419,'Relacion codigos'!$A:$B,2,FALSE)</f>
        <v>#N/A</v>
      </c>
      <c r="B2419" s="6" t="s">
        <v>13017</v>
      </c>
      <c r="C2419" s="6" t="s">
        <v>13018</v>
      </c>
      <c r="D2419" s="24">
        <v>465968.12549476803</v>
      </c>
      <c r="E2419" s="6" t="s">
        <v>5889</v>
      </c>
      <c r="F2419" s="6">
        <v>21</v>
      </c>
      <c r="G2419" s="8">
        <f t="shared" si="37"/>
        <v>465968.12549476803</v>
      </c>
    </row>
    <row r="2420" spans="1:7" x14ac:dyDescent="0.3">
      <c r="A2420" s="14" t="str">
        <f>VLOOKUP(B2420,'Relacion codigos'!$A:$B,2,FALSE)</f>
        <v>8473</v>
      </c>
      <c r="B2420" s="6" t="s">
        <v>2619</v>
      </c>
      <c r="C2420" s="6" t="s">
        <v>8851</v>
      </c>
      <c r="D2420" s="24">
        <v>776.94816387239996</v>
      </c>
      <c r="E2420" s="6" t="s">
        <v>5889</v>
      </c>
      <c r="F2420" s="6">
        <v>21</v>
      </c>
      <c r="G2420" s="8">
        <f t="shared" si="37"/>
        <v>776.94816387239996</v>
      </c>
    </row>
    <row r="2421" spans="1:7" x14ac:dyDescent="0.3">
      <c r="A2421" s="14" t="str">
        <f>VLOOKUP(B2421,'Relacion codigos'!$A:$B,2,FALSE)</f>
        <v>8811</v>
      </c>
      <c r="B2421" s="6" t="s">
        <v>1563</v>
      </c>
      <c r="C2421" s="6" t="s">
        <v>13796</v>
      </c>
      <c r="D2421" s="24">
        <v>53.072000000000003</v>
      </c>
      <c r="E2421" s="6" t="s">
        <v>5889</v>
      </c>
      <c r="F2421" s="6">
        <v>21</v>
      </c>
      <c r="G2421" s="8">
        <f t="shared" si="37"/>
        <v>53.072000000000003</v>
      </c>
    </row>
    <row r="2422" spans="1:7" x14ac:dyDescent="0.3">
      <c r="A2422" s="14" t="str">
        <f>VLOOKUP(B2422,'Relacion codigos'!$A:$B,2,FALSE)</f>
        <v>8812</v>
      </c>
      <c r="B2422" s="6" t="s">
        <v>1564</v>
      </c>
      <c r="C2422" s="6" t="s">
        <v>13829</v>
      </c>
      <c r="D2422" s="24">
        <v>82.176000000000002</v>
      </c>
      <c r="E2422" s="6" t="s">
        <v>5889</v>
      </c>
      <c r="F2422" s="6">
        <v>21</v>
      </c>
      <c r="G2422" s="8">
        <f t="shared" si="37"/>
        <v>82.176000000000002</v>
      </c>
    </row>
    <row r="2423" spans="1:7" x14ac:dyDescent="0.3">
      <c r="A2423" s="14" t="str">
        <f>VLOOKUP(B2423,'Relacion codigos'!$A:$B,2,FALSE)</f>
        <v>5535</v>
      </c>
      <c r="B2423" s="6" t="s">
        <v>4387</v>
      </c>
      <c r="C2423" s="6" t="s">
        <v>10423</v>
      </c>
      <c r="D2423" s="24">
        <v>13444.805087999999</v>
      </c>
      <c r="E2423" s="6" t="s">
        <v>5889</v>
      </c>
      <c r="F2423" s="6">
        <v>21</v>
      </c>
      <c r="G2423" s="8">
        <f t="shared" si="37"/>
        <v>13444.805087999999</v>
      </c>
    </row>
    <row r="2424" spans="1:7" x14ac:dyDescent="0.3">
      <c r="A2424" s="14" t="e">
        <f>VLOOKUP(B2424,'Relacion codigos'!$A:$B,2,FALSE)</f>
        <v>#N/A</v>
      </c>
      <c r="B2424" s="6" t="s">
        <v>12246</v>
      </c>
      <c r="C2424" s="6" t="s">
        <v>12247</v>
      </c>
      <c r="D2424" s="24">
        <v>6.5474370000000004</v>
      </c>
      <c r="E2424" s="6" t="s">
        <v>5887</v>
      </c>
      <c r="F2424" s="6">
        <v>21</v>
      </c>
      <c r="G2424" s="8">
        <f t="shared" si="37"/>
        <v>10181.264535</v>
      </c>
    </row>
    <row r="2425" spans="1:7" x14ac:dyDescent="0.3">
      <c r="A2425" s="14" t="str">
        <f>VLOOKUP(B2425,'Relacion codigos'!$A:$B,2,FALSE)</f>
        <v>8143</v>
      </c>
      <c r="B2425" s="6" t="s">
        <v>5583</v>
      </c>
      <c r="C2425" s="6" t="s">
        <v>10424</v>
      </c>
      <c r="D2425" s="24">
        <v>60.091200000000001</v>
      </c>
      <c r="E2425" s="6" t="s">
        <v>5887</v>
      </c>
      <c r="F2425" s="6">
        <v>21</v>
      </c>
      <c r="G2425" s="8">
        <f t="shared" si="37"/>
        <v>93441.816000000006</v>
      </c>
    </row>
    <row r="2426" spans="1:7" x14ac:dyDescent="0.3">
      <c r="A2426" s="14" t="str">
        <f>VLOOKUP(B2426,'Relacion codigos'!$A:$B,2,FALSE)</f>
        <v>1090</v>
      </c>
      <c r="B2426" s="6" t="s">
        <v>5584</v>
      </c>
      <c r="C2426" s="6" t="s">
        <v>382</v>
      </c>
      <c r="D2426" s="24">
        <v>0.32008579795360498</v>
      </c>
      <c r="E2426" s="6" t="s">
        <v>5887</v>
      </c>
      <c r="F2426" s="6">
        <v>21</v>
      </c>
      <c r="G2426" s="8">
        <f t="shared" si="37"/>
        <v>497.73341581785576</v>
      </c>
    </row>
    <row r="2427" spans="1:7" x14ac:dyDescent="0.3">
      <c r="A2427" s="14" t="str">
        <f>VLOOKUP(B2427,'Relacion codigos'!$A:$B,2,FALSE)</f>
        <v>5419</v>
      </c>
      <c r="B2427" s="6" t="s">
        <v>5575</v>
      </c>
      <c r="C2427" s="6" t="s">
        <v>10062</v>
      </c>
      <c r="D2427" s="24">
        <v>37.308121888390097</v>
      </c>
      <c r="E2427" s="6" t="s">
        <v>5887</v>
      </c>
      <c r="F2427" s="6">
        <v>10.5</v>
      </c>
      <c r="G2427" s="8">
        <f t="shared" si="37"/>
        <v>58014.129536446599</v>
      </c>
    </row>
    <row r="2428" spans="1:7" x14ac:dyDescent="0.3">
      <c r="A2428" s="14" t="str">
        <f>VLOOKUP(B2428,'Relacion codigos'!$A:$B,2,FALSE)</f>
        <v>1091</v>
      </c>
      <c r="B2428" s="6" t="s">
        <v>5586</v>
      </c>
      <c r="C2428" s="6" t="s">
        <v>383</v>
      </c>
      <c r="D2428" s="24">
        <v>0.32008579795360498</v>
      </c>
      <c r="E2428" s="6" t="s">
        <v>5887</v>
      </c>
      <c r="F2428" s="6">
        <v>21</v>
      </c>
      <c r="G2428" s="8">
        <f t="shared" si="37"/>
        <v>497.73341581785576</v>
      </c>
    </row>
    <row r="2429" spans="1:7" x14ac:dyDescent="0.3">
      <c r="A2429" s="14" t="str">
        <f>VLOOKUP(B2429,'Relacion codigos'!$A:$B,2,FALSE)</f>
        <v>948</v>
      </c>
      <c r="B2429" s="6" t="s">
        <v>5535</v>
      </c>
      <c r="C2429" s="6" t="s">
        <v>10063</v>
      </c>
      <c r="D2429" s="24">
        <v>7.8014484259810404</v>
      </c>
      <c r="E2429" s="6" t="s">
        <v>5887</v>
      </c>
      <c r="F2429" s="6">
        <v>21</v>
      </c>
      <c r="G2429" s="8">
        <f t="shared" si="37"/>
        <v>12131.252302400519</v>
      </c>
    </row>
    <row r="2430" spans="1:7" x14ac:dyDescent="0.3">
      <c r="A2430" s="14" t="str">
        <f>VLOOKUP(B2430,'Relacion codigos'!$A:$B,2,FALSE)</f>
        <v>538</v>
      </c>
      <c r="B2430" s="6" t="s">
        <v>5537</v>
      </c>
      <c r="C2430" s="6" t="s">
        <v>385</v>
      </c>
      <c r="D2430" s="24">
        <v>32.283284430698998</v>
      </c>
      <c r="E2430" s="6" t="s">
        <v>5887</v>
      </c>
      <c r="F2430" s="6">
        <v>21</v>
      </c>
      <c r="G2430" s="8">
        <f t="shared" si="37"/>
        <v>50200.507289736939</v>
      </c>
    </row>
    <row r="2431" spans="1:7" x14ac:dyDescent="0.3">
      <c r="A2431" s="14" t="str">
        <f>VLOOKUP(B2431,'Relacion codigos'!$A:$B,2,FALSE)</f>
        <v>3540</v>
      </c>
      <c r="B2431" s="6" t="s">
        <v>5538</v>
      </c>
      <c r="C2431" s="6" t="s">
        <v>386</v>
      </c>
      <c r="D2431" s="24">
        <v>4.3306843401584603</v>
      </c>
      <c r="E2431" s="6" t="s">
        <v>5887</v>
      </c>
      <c r="F2431" s="6">
        <v>21</v>
      </c>
      <c r="G2431" s="8">
        <f t="shared" si="37"/>
        <v>6734.2141489464057</v>
      </c>
    </row>
    <row r="2432" spans="1:7" x14ac:dyDescent="0.3">
      <c r="A2432" s="14" t="str">
        <f>VLOOKUP(B2432,'Relacion codigos'!$A:$B,2,FALSE)</f>
        <v>5294</v>
      </c>
      <c r="B2432" s="6" t="s">
        <v>5539</v>
      </c>
      <c r="C2432" s="6" t="s">
        <v>387</v>
      </c>
      <c r="D2432" s="24">
        <v>2.9807128619749799</v>
      </c>
      <c r="E2432" s="6" t="s">
        <v>5887</v>
      </c>
      <c r="F2432" s="6">
        <v>10.5</v>
      </c>
      <c r="G2432" s="8">
        <f t="shared" si="37"/>
        <v>4635.0085003710938</v>
      </c>
    </row>
    <row r="2433" spans="1:7" x14ac:dyDescent="0.3">
      <c r="A2433" s="14" t="str">
        <f>VLOOKUP(B2433,'Relacion codigos'!$A:$B,2,FALSE)</f>
        <v>2647</v>
      </c>
      <c r="B2433" s="6" t="s">
        <v>5533</v>
      </c>
      <c r="C2433" s="6" t="s">
        <v>11533</v>
      </c>
      <c r="D2433" s="24">
        <v>2.97346030408506</v>
      </c>
      <c r="E2433" s="6" t="s">
        <v>5887</v>
      </c>
      <c r="F2433" s="6">
        <v>21</v>
      </c>
      <c r="G2433" s="8">
        <f t="shared" si="37"/>
        <v>4623.7307728522683</v>
      </c>
    </row>
    <row r="2434" spans="1:7" x14ac:dyDescent="0.3">
      <c r="A2434" s="14" t="str">
        <f>VLOOKUP(B2434,'Relacion codigos'!$A:$B,2,FALSE)</f>
        <v>2835</v>
      </c>
      <c r="B2434" s="6" t="s">
        <v>5587</v>
      </c>
      <c r="C2434" s="6" t="s">
        <v>388</v>
      </c>
      <c r="D2434" s="24">
        <v>0.986497214326857</v>
      </c>
      <c r="E2434" s="6" t="s">
        <v>5887</v>
      </c>
      <c r="F2434" s="6">
        <v>21</v>
      </c>
      <c r="G2434" s="8">
        <f t="shared" ref="G2434:G2497" si="38">IF(E2434="Dolares",D2434*$G$1,D2434)</f>
        <v>1534.0031682782626</v>
      </c>
    </row>
    <row r="2435" spans="1:7" x14ac:dyDescent="0.3">
      <c r="A2435" s="14" t="str">
        <f>VLOOKUP(B2435,'Relacion codigos'!$A:$B,2,FALSE)</f>
        <v>2861</v>
      </c>
      <c r="B2435" s="6" t="s">
        <v>5540</v>
      </c>
      <c r="C2435" s="6" t="s">
        <v>389</v>
      </c>
      <c r="D2435" s="24">
        <v>291.62871094360298</v>
      </c>
      <c r="E2435" s="6" t="s">
        <v>5889</v>
      </c>
      <c r="F2435" s="6">
        <v>21</v>
      </c>
      <c r="G2435" s="8">
        <f t="shared" si="38"/>
        <v>291.62871094360298</v>
      </c>
    </row>
    <row r="2436" spans="1:7" x14ac:dyDescent="0.3">
      <c r="A2436" s="14" t="str">
        <f>VLOOKUP(B2436,'Relacion codigos'!$A:$B,2,FALSE)</f>
        <v>2862</v>
      </c>
      <c r="B2436" s="6" t="s">
        <v>5541</v>
      </c>
      <c r="C2436" s="6" t="s">
        <v>10064</v>
      </c>
      <c r="D2436" s="24">
        <v>291.621759</v>
      </c>
      <c r="E2436" s="6" t="s">
        <v>5889</v>
      </c>
      <c r="F2436" s="6">
        <v>21</v>
      </c>
      <c r="G2436" s="8">
        <f t="shared" si="38"/>
        <v>291.621759</v>
      </c>
    </row>
    <row r="2437" spans="1:7" x14ac:dyDescent="0.3">
      <c r="A2437" s="14" t="str">
        <f>VLOOKUP(B2437,'Relacion codigos'!$A:$B,2,FALSE)</f>
        <v>6091</v>
      </c>
      <c r="B2437" s="6" t="s">
        <v>5531</v>
      </c>
      <c r="C2437" s="6" t="s">
        <v>9143</v>
      </c>
      <c r="D2437" s="24">
        <v>4.4989011893686897</v>
      </c>
      <c r="E2437" s="6" t="s">
        <v>5887</v>
      </c>
      <c r="F2437" s="6">
        <v>10.5</v>
      </c>
      <c r="G2437" s="8">
        <f t="shared" si="38"/>
        <v>6995.7913494683125</v>
      </c>
    </row>
    <row r="2438" spans="1:7" x14ac:dyDescent="0.3">
      <c r="A2438" s="14" t="str">
        <f>VLOOKUP(B2438,'Relacion codigos'!$A:$B,2,FALSE)</f>
        <v>6090</v>
      </c>
      <c r="B2438" s="6" t="s">
        <v>5532</v>
      </c>
      <c r="C2438" s="6" t="s">
        <v>9144</v>
      </c>
      <c r="D2438" s="24">
        <v>4.3410450072855804</v>
      </c>
      <c r="E2438" s="6" t="s">
        <v>5887</v>
      </c>
      <c r="F2438" s="6">
        <v>10.5</v>
      </c>
      <c r="G2438" s="8">
        <f t="shared" si="38"/>
        <v>6750.3249863290775</v>
      </c>
    </row>
    <row r="2439" spans="1:7" x14ac:dyDescent="0.3">
      <c r="A2439" s="14" t="str">
        <f>VLOOKUP(B2439,'Relacion codigos'!$A:$B,2,FALSE)</f>
        <v>1097</v>
      </c>
      <c r="B2439" s="6" t="s">
        <v>5588</v>
      </c>
      <c r="C2439" s="6" t="s">
        <v>390</v>
      </c>
      <c r="D2439" s="24">
        <v>0.27922378371262602</v>
      </c>
      <c r="E2439" s="6" t="s">
        <v>5887</v>
      </c>
      <c r="F2439" s="6">
        <v>21</v>
      </c>
      <c r="G2439" s="8">
        <f t="shared" si="38"/>
        <v>434.19298367313348</v>
      </c>
    </row>
    <row r="2440" spans="1:7" x14ac:dyDescent="0.3">
      <c r="A2440" s="14" t="str">
        <f>VLOOKUP(B2440,'Relacion codigos'!$A:$B,2,FALSE)</f>
        <v>1093</v>
      </c>
      <c r="B2440" s="6" t="s">
        <v>5589</v>
      </c>
      <c r="C2440" s="6" t="s">
        <v>391</v>
      </c>
      <c r="D2440" s="24">
        <v>0.32008579795360498</v>
      </c>
      <c r="E2440" s="6" t="s">
        <v>5887</v>
      </c>
      <c r="F2440" s="6">
        <v>21</v>
      </c>
      <c r="G2440" s="8">
        <f t="shared" si="38"/>
        <v>497.73341581785576</v>
      </c>
    </row>
    <row r="2441" spans="1:7" x14ac:dyDescent="0.3">
      <c r="A2441" s="14" t="str">
        <f>VLOOKUP(B2441,'Relacion codigos'!$A:$B,2,FALSE)</f>
        <v>5066</v>
      </c>
      <c r="B2441" s="6" t="s">
        <v>5543</v>
      </c>
      <c r="C2441" s="6" t="s">
        <v>10065</v>
      </c>
      <c r="D2441" s="24">
        <v>9.7751690399999998</v>
      </c>
      <c r="E2441" s="6" t="s">
        <v>5887</v>
      </c>
      <c r="F2441" s="6">
        <v>10.5</v>
      </c>
      <c r="G2441" s="8">
        <f t="shared" si="38"/>
        <v>15200.387857199999</v>
      </c>
    </row>
    <row r="2442" spans="1:7" x14ac:dyDescent="0.3">
      <c r="A2442" s="14" t="str">
        <f>VLOOKUP(B2442,'Relacion codigos'!$A:$B,2,FALSE)</f>
        <v>1098</v>
      </c>
      <c r="B2442" s="6" t="s">
        <v>5590</v>
      </c>
      <c r="C2442" s="6" t="s">
        <v>392</v>
      </c>
      <c r="D2442" s="24">
        <v>0.27922378371262602</v>
      </c>
      <c r="E2442" s="6" t="s">
        <v>5887</v>
      </c>
      <c r="F2442" s="6">
        <v>21</v>
      </c>
      <c r="G2442" s="8">
        <f t="shared" si="38"/>
        <v>434.19298367313348</v>
      </c>
    </row>
    <row r="2443" spans="1:7" x14ac:dyDescent="0.3">
      <c r="A2443" s="14" t="str">
        <f>VLOOKUP(B2443,'Relacion codigos'!$A:$B,2,FALSE)</f>
        <v>1094</v>
      </c>
      <c r="B2443" s="6" t="s">
        <v>5591</v>
      </c>
      <c r="C2443" s="6" t="s">
        <v>393</v>
      </c>
      <c r="D2443" s="24">
        <v>0.32008579795360498</v>
      </c>
      <c r="E2443" s="6" t="s">
        <v>5887</v>
      </c>
      <c r="F2443" s="6">
        <v>21</v>
      </c>
      <c r="G2443" s="8">
        <f t="shared" si="38"/>
        <v>497.73341581785576</v>
      </c>
    </row>
    <row r="2444" spans="1:7" x14ac:dyDescent="0.3">
      <c r="A2444" s="14" t="str">
        <f>VLOOKUP(B2444,'Relacion codigos'!$A:$B,2,FALSE)</f>
        <v>929</v>
      </c>
      <c r="B2444" s="6" t="s">
        <v>5592</v>
      </c>
      <c r="C2444" s="6" t="s">
        <v>394</v>
      </c>
      <c r="D2444" s="24">
        <v>1.1010043524742099</v>
      </c>
      <c r="E2444" s="6" t="s">
        <v>5887</v>
      </c>
      <c r="F2444" s="6">
        <v>21</v>
      </c>
      <c r="G2444" s="8">
        <f t="shared" si="38"/>
        <v>1712.0617680973965</v>
      </c>
    </row>
    <row r="2445" spans="1:7" x14ac:dyDescent="0.3">
      <c r="A2445" s="14" t="str">
        <f>VLOOKUP(B2445,'Relacion codigos'!$A:$B,2,FALSE)</f>
        <v>1095</v>
      </c>
      <c r="B2445" s="6" t="s">
        <v>5593</v>
      </c>
      <c r="C2445" s="6" t="s">
        <v>395</v>
      </c>
      <c r="D2445" s="24">
        <v>0.349824261148453</v>
      </c>
      <c r="E2445" s="6" t="s">
        <v>5887</v>
      </c>
      <c r="F2445" s="6">
        <v>21</v>
      </c>
      <c r="G2445" s="8">
        <f t="shared" si="38"/>
        <v>543.97672608584446</v>
      </c>
    </row>
    <row r="2446" spans="1:7" x14ac:dyDescent="0.3">
      <c r="A2446" s="14" t="str">
        <f>VLOOKUP(B2446,'Relacion codigos'!$A:$B,2,FALSE)</f>
        <v>5133</v>
      </c>
      <c r="B2446" s="6" t="s">
        <v>5544</v>
      </c>
      <c r="C2446" s="6" t="s">
        <v>10066</v>
      </c>
      <c r="D2446" s="24">
        <v>2.1966671999999998</v>
      </c>
      <c r="E2446" s="6" t="s">
        <v>5887</v>
      </c>
      <c r="F2446" s="6">
        <v>10.5</v>
      </c>
      <c r="G2446" s="8">
        <f t="shared" si="38"/>
        <v>3415.8174959999997</v>
      </c>
    </row>
    <row r="2447" spans="1:7" x14ac:dyDescent="0.3">
      <c r="A2447" s="14" t="str">
        <f>VLOOKUP(B2447,'Relacion codigos'!$A:$B,2,FALSE)</f>
        <v>1100</v>
      </c>
      <c r="B2447" s="6" t="s">
        <v>5594</v>
      </c>
      <c r="C2447" s="6" t="s">
        <v>396</v>
      </c>
      <c r="D2447" s="24">
        <v>0.29511454917526198</v>
      </c>
      <c r="E2447" s="6" t="s">
        <v>5887</v>
      </c>
      <c r="F2447" s="6">
        <v>21</v>
      </c>
      <c r="G2447" s="8">
        <f t="shared" si="38"/>
        <v>458.90312396753239</v>
      </c>
    </row>
    <row r="2448" spans="1:7" x14ac:dyDescent="0.3">
      <c r="A2448" s="14" t="e">
        <f>VLOOKUP(B2448,'Relacion codigos'!$A:$B,2,FALSE)</f>
        <v>#N/A</v>
      </c>
      <c r="B2448" s="6" t="s">
        <v>10304</v>
      </c>
      <c r="C2448" s="6" t="s">
        <v>10305</v>
      </c>
      <c r="D2448" s="24">
        <v>3.57570652173913</v>
      </c>
      <c r="E2448" s="6" t="s">
        <v>5887</v>
      </c>
      <c r="F2448" s="6">
        <v>10.5</v>
      </c>
      <c r="G2448" s="8">
        <f t="shared" si="38"/>
        <v>5560.2236413043474</v>
      </c>
    </row>
    <row r="2449" spans="1:7" x14ac:dyDescent="0.3">
      <c r="A2449" s="14" t="e">
        <f>VLOOKUP(B2449,'Relacion codigos'!$A:$B,2,FALSE)</f>
        <v>#N/A</v>
      </c>
      <c r="B2449" s="6" t="s">
        <v>11501</v>
      </c>
      <c r="C2449" s="6" t="s">
        <v>11502</v>
      </c>
      <c r="D2449" s="24">
        <v>3.57570652173913</v>
      </c>
      <c r="E2449" s="6" t="s">
        <v>5887</v>
      </c>
      <c r="F2449" s="6">
        <v>10.5</v>
      </c>
      <c r="G2449" s="8">
        <f t="shared" si="38"/>
        <v>5560.2236413043474</v>
      </c>
    </row>
    <row r="2450" spans="1:7" x14ac:dyDescent="0.3">
      <c r="A2450" s="14" t="e">
        <f>VLOOKUP(B2450,'Relacion codigos'!$A:$B,2,FALSE)</f>
        <v>#N/A</v>
      </c>
      <c r="B2450" s="6" t="s">
        <v>10308</v>
      </c>
      <c r="C2450" s="6" t="s">
        <v>12515</v>
      </c>
      <c r="D2450" s="24">
        <v>3.7122301192843001</v>
      </c>
      <c r="E2450" s="6" t="s">
        <v>5887</v>
      </c>
      <c r="F2450" s="6">
        <v>10.5</v>
      </c>
      <c r="G2450" s="8">
        <f t="shared" si="38"/>
        <v>5772.5178354870868</v>
      </c>
    </row>
    <row r="2451" spans="1:7" x14ac:dyDescent="0.3">
      <c r="A2451" s="14" t="e">
        <f>VLOOKUP(B2451,'Relacion codigos'!$A:$B,2,FALSE)</f>
        <v>#N/A</v>
      </c>
      <c r="B2451" s="6" t="s">
        <v>10306</v>
      </c>
      <c r="C2451" s="6" t="s">
        <v>10307</v>
      </c>
      <c r="D2451" s="24">
        <v>3.7122301192843001</v>
      </c>
      <c r="E2451" s="6" t="s">
        <v>5887</v>
      </c>
      <c r="F2451" s="6">
        <v>10.5</v>
      </c>
      <c r="G2451" s="8">
        <f t="shared" si="38"/>
        <v>5772.5178354870868</v>
      </c>
    </row>
    <row r="2452" spans="1:7" x14ac:dyDescent="0.3">
      <c r="A2452" s="14" t="str">
        <f>VLOOKUP(B2452,'Relacion codigos'!$A:$B,2,FALSE)</f>
        <v>5518</v>
      </c>
      <c r="B2452" s="6" t="s">
        <v>5305</v>
      </c>
      <c r="C2452" s="6" t="s">
        <v>10425</v>
      </c>
      <c r="D2452" s="24">
        <v>4528.4728320000004</v>
      </c>
      <c r="E2452" s="6" t="s">
        <v>5889</v>
      </c>
      <c r="F2452" s="6">
        <v>10.5</v>
      </c>
      <c r="G2452" s="8">
        <f t="shared" si="38"/>
        <v>4528.4728320000004</v>
      </c>
    </row>
    <row r="2453" spans="1:7" x14ac:dyDescent="0.3">
      <c r="A2453" s="14" t="e">
        <f>VLOOKUP(B2453,'Relacion codigos'!$A:$B,2,FALSE)</f>
        <v>#N/A</v>
      </c>
      <c r="B2453" s="6" t="s">
        <v>11597</v>
      </c>
      <c r="C2453" s="6" t="s">
        <v>11598</v>
      </c>
      <c r="D2453" s="24">
        <v>3.1047120000000001</v>
      </c>
      <c r="E2453" s="6" t="s">
        <v>5887</v>
      </c>
      <c r="F2453" s="6">
        <v>21</v>
      </c>
      <c r="G2453" s="8">
        <f t="shared" si="38"/>
        <v>4827.8271599999998</v>
      </c>
    </row>
    <row r="2454" spans="1:7" x14ac:dyDescent="0.3">
      <c r="A2454" s="14" t="str">
        <f>VLOOKUP(B2454,'Relacion codigos'!$A:$B,2,FALSE)</f>
        <v>6543</v>
      </c>
      <c r="B2454" s="6" t="s">
        <v>5306</v>
      </c>
      <c r="C2454" s="6" t="s">
        <v>10426</v>
      </c>
      <c r="D2454" s="24">
        <v>4528.4728320000004</v>
      </c>
      <c r="E2454" s="6" t="s">
        <v>5889</v>
      </c>
      <c r="F2454" s="6">
        <v>10.5</v>
      </c>
      <c r="G2454" s="8">
        <f t="shared" si="38"/>
        <v>4528.4728320000004</v>
      </c>
    </row>
    <row r="2455" spans="1:7" x14ac:dyDescent="0.3">
      <c r="A2455" s="14" t="e">
        <f>VLOOKUP(B2455,'Relacion codigos'!$A:$B,2,FALSE)</f>
        <v>#N/A</v>
      </c>
      <c r="B2455" s="6" t="s">
        <v>11599</v>
      </c>
      <c r="C2455" s="6" t="s">
        <v>11600</v>
      </c>
      <c r="D2455" s="24">
        <v>3.1047120000000001</v>
      </c>
      <c r="E2455" s="6" t="s">
        <v>5887</v>
      </c>
      <c r="F2455" s="6">
        <v>21</v>
      </c>
      <c r="G2455" s="8">
        <f t="shared" si="38"/>
        <v>4827.8271599999998</v>
      </c>
    </row>
    <row r="2456" spans="1:7" x14ac:dyDescent="0.3">
      <c r="A2456" s="14" t="str">
        <f>VLOOKUP(B2456,'Relacion codigos'!$A:$B,2,FALSE)</f>
        <v>8710</v>
      </c>
      <c r="B2456" s="6" t="s">
        <v>5307</v>
      </c>
      <c r="C2456" s="6" t="s">
        <v>10427</v>
      </c>
      <c r="D2456" s="24">
        <v>4528.4728320000004</v>
      </c>
      <c r="E2456" s="6" t="s">
        <v>5889</v>
      </c>
      <c r="F2456" s="6">
        <v>10.5</v>
      </c>
      <c r="G2456" s="8">
        <f t="shared" si="38"/>
        <v>4528.4728320000004</v>
      </c>
    </row>
    <row r="2457" spans="1:7" x14ac:dyDescent="0.3">
      <c r="A2457" s="14" t="str">
        <f>VLOOKUP(B2457,'Relacion codigos'!$A:$B,2,FALSE)</f>
        <v>9007</v>
      </c>
      <c r="B2457" s="6" t="s">
        <v>5308</v>
      </c>
      <c r="C2457" s="6" t="s">
        <v>9663</v>
      </c>
      <c r="D2457" s="24">
        <v>5.2149438510000001</v>
      </c>
      <c r="E2457" s="6" t="s">
        <v>5887</v>
      </c>
      <c r="F2457" s="6">
        <v>10.5</v>
      </c>
      <c r="G2457" s="8">
        <f t="shared" si="38"/>
        <v>8109.2376883050001</v>
      </c>
    </row>
    <row r="2458" spans="1:7" x14ac:dyDescent="0.3">
      <c r="A2458" s="14" t="str">
        <f>VLOOKUP(B2458,'Relacion codigos'!$A:$B,2,FALSE)</f>
        <v>6321</v>
      </c>
      <c r="B2458" s="6" t="s">
        <v>5310</v>
      </c>
      <c r="C2458" s="6" t="s">
        <v>10428</v>
      </c>
      <c r="D2458" s="24">
        <v>6147.3297599999996</v>
      </c>
      <c r="E2458" s="6" t="s">
        <v>5889</v>
      </c>
      <c r="F2458" s="6">
        <v>10.5</v>
      </c>
      <c r="G2458" s="8">
        <f t="shared" si="38"/>
        <v>6147.3297599999996</v>
      </c>
    </row>
    <row r="2459" spans="1:7" x14ac:dyDescent="0.3">
      <c r="A2459" s="14" t="e">
        <f>VLOOKUP(B2459,'Relacion codigos'!$A:$B,2,FALSE)</f>
        <v>#N/A</v>
      </c>
      <c r="B2459" s="6" t="s">
        <v>11500</v>
      </c>
      <c r="C2459" s="6" t="s">
        <v>13103</v>
      </c>
      <c r="D2459" s="24">
        <v>3.6581999999999999</v>
      </c>
      <c r="E2459" s="6" t="s">
        <v>5887</v>
      </c>
      <c r="F2459" s="6">
        <v>10.5</v>
      </c>
      <c r="G2459" s="8">
        <f t="shared" si="38"/>
        <v>5688.5010000000002</v>
      </c>
    </row>
    <row r="2460" spans="1:7" x14ac:dyDescent="0.3">
      <c r="A2460" s="14" t="str">
        <f>VLOOKUP(B2460,'Relacion codigos'!$A:$B,2,FALSE)</f>
        <v>6320</v>
      </c>
      <c r="B2460" s="6" t="s">
        <v>5311</v>
      </c>
      <c r="C2460" s="6" t="s">
        <v>10429</v>
      </c>
      <c r="D2460" s="24">
        <v>6147.3297599999996</v>
      </c>
      <c r="E2460" s="6" t="s">
        <v>5889</v>
      </c>
      <c r="F2460" s="6">
        <v>10.5</v>
      </c>
      <c r="G2460" s="8">
        <f t="shared" si="38"/>
        <v>6147.3297599999996</v>
      </c>
    </row>
    <row r="2461" spans="1:7" x14ac:dyDescent="0.3">
      <c r="A2461" s="14" t="e">
        <f>VLOOKUP(B2461,'Relacion codigos'!$A:$B,2,FALSE)</f>
        <v>#N/A</v>
      </c>
      <c r="B2461" s="6" t="s">
        <v>10309</v>
      </c>
      <c r="C2461" s="6" t="s">
        <v>13104</v>
      </c>
      <c r="D2461" s="24">
        <v>3.6581999999999999</v>
      </c>
      <c r="E2461" s="6" t="s">
        <v>5887</v>
      </c>
      <c r="F2461" s="6">
        <v>10.5</v>
      </c>
      <c r="G2461" s="8">
        <f t="shared" si="38"/>
        <v>5688.5010000000002</v>
      </c>
    </row>
    <row r="2462" spans="1:7" x14ac:dyDescent="0.3">
      <c r="A2462" s="14" t="e">
        <f>VLOOKUP(B2462,'Relacion codigos'!$A:$B,2,FALSE)</f>
        <v>#N/A</v>
      </c>
      <c r="B2462" s="6" t="s">
        <v>9437</v>
      </c>
      <c r="C2462" s="6" t="s">
        <v>12293</v>
      </c>
      <c r="D2462" s="24">
        <v>3.6154872</v>
      </c>
      <c r="E2462" s="6" t="s">
        <v>5887</v>
      </c>
      <c r="F2462" s="6">
        <v>10.5</v>
      </c>
      <c r="G2462" s="8">
        <f t="shared" si="38"/>
        <v>5622.0825960000002</v>
      </c>
    </row>
    <row r="2463" spans="1:7" x14ac:dyDescent="0.3">
      <c r="A2463" s="14" t="str">
        <f>VLOOKUP(B2463,'Relacion codigos'!$A:$B,2,FALSE)</f>
        <v>5002</v>
      </c>
      <c r="B2463" s="6" t="s">
        <v>5300</v>
      </c>
      <c r="C2463" s="6" t="s">
        <v>11601</v>
      </c>
      <c r="D2463" s="24">
        <v>8.6768155836662597</v>
      </c>
      <c r="E2463" s="6" t="s">
        <v>5887</v>
      </c>
      <c r="F2463" s="6">
        <v>21</v>
      </c>
      <c r="G2463" s="8">
        <f t="shared" si="38"/>
        <v>13492.448232601035</v>
      </c>
    </row>
    <row r="2464" spans="1:7" x14ac:dyDescent="0.3">
      <c r="A2464" s="14" t="str">
        <f>VLOOKUP(B2464,'Relacion codigos'!$A:$B,2,FALSE)</f>
        <v>6322</v>
      </c>
      <c r="B2464" s="6" t="s">
        <v>5303</v>
      </c>
      <c r="C2464" s="6" t="s">
        <v>10430</v>
      </c>
      <c r="D2464" s="24">
        <v>5222.1881789999998</v>
      </c>
      <c r="E2464" s="6" t="s">
        <v>5889</v>
      </c>
      <c r="F2464" s="6">
        <v>10.5</v>
      </c>
      <c r="G2464" s="8">
        <f t="shared" si="38"/>
        <v>5222.1881789999998</v>
      </c>
    </row>
    <row r="2465" spans="1:7" x14ac:dyDescent="0.3">
      <c r="A2465" s="14" t="str">
        <f>VLOOKUP(B2465,'Relacion codigos'!$A:$B,2,FALSE)</f>
        <v>6323</v>
      </c>
      <c r="B2465" s="6" t="s">
        <v>5304</v>
      </c>
      <c r="C2465" s="6" t="s">
        <v>10431</v>
      </c>
      <c r="D2465" s="24">
        <v>5222.1881789999998</v>
      </c>
      <c r="E2465" s="6" t="s">
        <v>5889</v>
      </c>
      <c r="F2465" s="6">
        <v>10.5</v>
      </c>
      <c r="G2465" s="8">
        <f t="shared" si="38"/>
        <v>5222.1881789999998</v>
      </c>
    </row>
    <row r="2466" spans="1:7" x14ac:dyDescent="0.3">
      <c r="A2466" s="14" t="str">
        <f>VLOOKUP(B2466,'Relacion codigos'!$A:$B,2,FALSE)</f>
        <v>6243</v>
      </c>
      <c r="B2466" s="6" t="s">
        <v>5377</v>
      </c>
      <c r="C2466" s="6" t="s">
        <v>11281</v>
      </c>
      <c r="D2466" s="24">
        <v>8.4816225000000003</v>
      </c>
      <c r="E2466" s="6" t="s">
        <v>5887</v>
      </c>
      <c r="F2466" s="6">
        <v>10.5</v>
      </c>
      <c r="G2466" s="8">
        <f t="shared" si="38"/>
        <v>13188.9229875</v>
      </c>
    </row>
    <row r="2467" spans="1:7" x14ac:dyDescent="0.3">
      <c r="A2467" s="14" t="str">
        <f>VLOOKUP(B2467,'Relacion codigos'!$A:$B,2,FALSE)</f>
        <v>6245</v>
      </c>
      <c r="B2467" s="6" t="s">
        <v>5379</v>
      </c>
      <c r="C2467" s="6" t="s">
        <v>11282</v>
      </c>
      <c r="D2467" s="24">
        <v>7.0523699999999998</v>
      </c>
      <c r="E2467" s="6" t="s">
        <v>5887</v>
      </c>
      <c r="F2467" s="6">
        <v>10.5</v>
      </c>
      <c r="G2467" s="8">
        <f t="shared" si="38"/>
        <v>10966.43535</v>
      </c>
    </row>
    <row r="2468" spans="1:7" x14ac:dyDescent="0.3">
      <c r="A2468" s="14" t="str">
        <f>VLOOKUP(B2468,'Relacion codigos'!$A:$B,2,FALSE)</f>
        <v>3525</v>
      </c>
      <c r="B2468" s="6" t="s">
        <v>5595</v>
      </c>
      <c r="C2468" s="6" t="s">
        <v>10067</v>
      </c>
      <c r="D2468" s="24">
        <v>15.981588479999999</v>
      </c>
      <c r="E2468" s="6" t="s">
        <v>5887</v>
      </c>
      <c r="F2468" s="6">
        <v>21</v>
      </c>
      <c r="G2468" s="8">
        <f t="shared" si="38"/>
        <v>24851.370086399998</v>
      </c>
    </row>
    <row r="2469" spans="1:7" x14ac:dyDescent="0.3">
      <c r="A2469" s="14" t="str">
        <f>VLOOKUP(B2469,'Relacion codigos'!$A:$B,2,FALSE)</f>
        <v>1907</v>
      </c>
      <c r="B2469" s="6" t="s">
        <v>5604</v>
      </c>
      <c r="C2469" s="6" t="s">
        <v>10068</v>
      </c>
      <c r="D2469" s="24">
        <v>1.2485615999999999</v>
      </c>
      <c r="E2469" s="6" t="s">
        <v>5887</v>
      </c>
      <c r="F2469" s="6">
        <v>21</v>
      </c>
      <c r="G2469" s="8">
        <f t="shared" si="38"/>
        <v>1941.5132879999999</v>
      </c>
    </row>
    <row r="2470" spans="1:7" x14ac:dyDescent="0.3">
      <c r="A2470" s="14" t="str">
        <f>VLOOKUP(B2470,'Relacion codigos'!$A:$B,2,FALSE)</f>
        <v>1902</v>
      </c>
      <c r="B2470" s="6" t="s">
        <v>5605</v>
      </c>
      <c r="C2470" s="6" t="s">
        <v>10069</v>
      </c>
      <c r="D2470" s="24">
        <v>1.27126272</v>
      </c>
      <c r="E2470" s="6" t="s">
        <v>5887</v>
      </c>
      <c r="F2470" s="6">
        <v>21</v>
      </c>
      <c r="G2470" s="8">
        <f t="shared" si="38"/>
        <v>1976.8135296</v>
      </c>
    </row>
    <row r="2471" spans="1:7" x14ac:dyDescent="0.3">
      <c r="A2471" s="14" t="str">
        <f>VLOOKUP(B2471,'Relacion codigos'!$A:$B,2,FALSE)</f>
        <v>2730</v>
      </c>
      <c r="B2471" s="6" t="s">
        <v>5607</v>
      </c>
      <c r="C2471" s="6" t="s">
        <v>10070</v>
      </c>
      <c r="D2471" s="24">
        <v>0.71487376014965598</v>
      </c>
      <c r="E2471" s="6" t="s">
        <v>5887</v>
      </c>
      <c r="F2471" s="6">
        <v>21</v>
      </c>
      <c r="G2471" s="8">
        <f t="shared" si="38"/>
        <v>1111.6286970327151</v>
      </c>
    </row>
    <row r="2472" spans="1:7" x14ac:dyDescent="0.3">
      <c r="A2472" s="14" t="str">
        <f>VLOOKUP(B2472,'Relacion codigos'!$A:$B,2,FALSE)</f>
        <v>3776</v>
      </c>
      <c r="B2472" s="6" t="s">
        <v>5596</v>
      </c>
      <c r="C2472" s="6" t="s">
        <v>11534</v>
      </c>
      <c r="D2472" s="24">
        <v>0.84155501824021195</v>
      </c>
      <c r="E2472" s="6" t="s">
        <v>5887</v>
      </c>
      <c r="F2472" s="6">
        <v>21</v>
      </c>
      <c r="G2472" s="8">
        <f t="shared" si="38"/>
        <v>1308.6180533635295</v>
      </c>
    </row>
    <row r="2473" spans="1:7" x14ac:dyDescent="0.3">
      <c r="A2473" s="14" t="str">
        <f>VLOOKUP(B2473,'Relacion codigos'!$A:$B,2,FALSE)</f>
        <v>8115</v>
      </c>
      <c r="B2473" s="6" t="s">
        <v>5466</v>
      </c>
      <c r="C2473" s="6" t="s">
        <v>11877</v>
      </c>
      <c r="D2473" s="24">
        <v>5.3490892620099997</v>
      </c>
      <c r="E2473" s="6" t="s">
        <v>5887</v>
      </c>
      <c r="F2473" s="6">
        <v>10.5</v>
      </c>
      <c r="G2473" s="8">
        <f t="shared" si="38"/>
        <v>8317.8338024255499</v>
      </c>
    </row>
    <row r="2474" spans="1:7" x14ac:dyDescent="0.3">
      <c r="A2474" s="14" t="str">
        <f>VLOOKUP(B2474,'Relacion codigos'!$A:$B,2,FALSE)</f>
        <v>718</v>
      </c>
      <c r="B2474" s="6" t="s">
        <v>5612</v>
      </c>
      <c r="C2474" s="6" t="s">
        <v>397</v>
      </c>
      <c r="D2474" s="24">
        <v>4.22921873610305</v>
      </c>
      <c r="E2474" s="6" t="s">
        <v>5887</v>
      </c>
      <c r="F2474" s="6">
        <v>21</v>
      </c>
      <c r="G2474" s="8">
        <f t="shared" si="38"/>
        <v>6576.4351346402427</v>
      </c>
    </row>
    <row r="2475" spans="1:7" x14ac:dyDescent="0.3">
      <c r="A2475" s="14" t="e">
        <f>VLOOKUP(B2475,'Relacion codigos'!$A:$B,2,FALSE)</f>
        <v>#N/A</v>
      </c>
      <c r="B2475" s="6" t="s">
        <v>9404</v>
      </c>
      <c r="C2475" s="6" t="s">
        <v>9405</v>
      </c>
      <c r="D2475" s="24">
        <v>2.1235228560000001</v>
      </c>
      <c r="E2475" s="6" t="s">
        <v>5887</v>
      </c>
      <c r="F2475" s="6">
        <v>10.5</v>
      </c>
      <c r="G2475" s="8">
        <f t="shared" si="38"/>
        <v>3302.0780410800003</v>
      </c>
    </row>
    <row r="2476" spans="1:7" x14ac:dyDescent="0.3">
      <c r="A2476" s="14" t="e">
        <f>VLOOKUP(B2476,'Relacion codigos'!$A:$B,2,FALSE)</f>
        <v>#N/A</v>
      </c>
      <c r="B2476" s="6" t="s">
        <v>9406</v>
      </c>
      <c r="C2476" s="6" t="s">
        <v>9407</v>
      </c>
      <c r="D2476" s="24">
        <v>2.1235228560000001</v>
      </c>
      <c r="E2476" s="6" t="s">
        <v>5887</v>
      </c>
      <c r="F2476" s="6">
        <v>10.5</v>
      </c>
      <c r="G2476" s="8">
        <f t="shared" si="38"/>
        <v>3302.0780410800003</v>
      </c>
    </row>
    <row r="2477" spans="1:7" x14ac:dyDescent="0.3">
      <c r="A2477" s="14" t="str">
        <f>VLOOKUP(B2477,'Relacion codigos'!$A:$B,2,FALSE)</f>
        <v>8116</v>
      </c>
      <c r="B2477" s="6" t="s">
        <v>5475</v>
      </c>
      <c r="C2477" s="6" t="s">
        <v>11989</v>
      </c>
      <c r="D2477" s="24">
        <v>3.5668248037499999</v>
      </c>
      <c r="E2477" s="6" t="s">
        <v>5887</v>
      </c>
      <c r="F2477" s="6">
        <v>10.5</v>
      </c>
      <c r="G2477" s="8">
        <f t="shared" si="38"/>
        <v>5546.41256983125</v>
      </c>
    </row>
    <row r="2478" spans="1:7" x14ac:dyDescent="0.3">
      <c r="A2478" s="14" t="str">
        <f>VLOOKUP(B2478,'Relacion codigos'!$A:$B,2,FALSE)</f>
        <v>8117</v>
      </c>
      <c r="B2478" s="6" t="s">
        <v>5474</v>
      </c>
      <c r="C2478" s="6" t="s">
        <v>957</v>
      </c>
      <c r="D2478" s="24">
        <v>3.5668248037499999</v>
      </c>
      <c r="E2478" s="6" t="s">
        <v>5887</v>
      </c>
      <c r="F2478" s="6">
        <v>10.5</v>
      </c>
      <c r="G2478" s="8">
        <f t="shared" si="38"/>
        <v>5546.41256983125</v>
      </c>
    </row>
    <row r="2479" spans="1:7" x14ac:dyDescent="0.3">
      <c r="A2479" s="14" t="str">
        <f>VLOOKUP(B2479,'Relacion codigos'!$A:$B,2,FALSE)</f>
        <v>9236</v>
      </c>
      <c r="B2479" s="6" t="s">
        <v>5488</v>
      </c>
      <c r="C2479" s="6" t="s">
        <v>10071</v>
      </c>
      <c r="D2479" s="24">
        <v>0.53831700000000005</v>
      </c>
      <c r="E2479" s="6" t="s">
        <v>5887</v>
      </c>
      <c r="F2479" s="6">
        <v>10.5</v>
      </c>
      <c r="G2479" s="8">
        <f t="shared" si="38"/>
        <v>837.08293500000002</v>
      </c>
    </row>
    <row r="2480" spans="1:7" x14ac:dyDescent="0.3">
      <c r="A2480" s="14" t="str">
        <f>VLOOKUP(B2480,'Relacion codigos'!$A:$B,2,FALSE)</f>
        <v>9058</v>
      </c>
      <c r="B2480" s="6" t="s">
        <v>5490</v>
      </c>
      <c r="C2480" s="6" t="s">
        <v>10073</v>
      </c>
      <c r="D2480" s="24">
        <v>0.53831700000000005</v>
      </c>
      <c r="E2480" s="6" t="s">
        <v>5887</v>
      </c>
      <c r="F2480" s="6">
        <v>10.5</v>
      </c>
      <c r="G2480" s="8">
        <f t="shared" si="38"/>
        <v>837.08293500000002</v>
      </c>
    </row>
    <row r="2481" spans="1:7" x14ac:dyDescent="0.3">
      <c r="A2481" s="14" t="str">
        <f>VLOOKUP(B2481,'Relacion codigos'!$A:$B,2,FALSE)</f>
        <v>7963</v>
      </c>
      <c r="B2481" s="6" t="s">
        <v>5554</v>
      </c>
      <c r="C2481" s="6" t="s">
        <v>13958</v>
      </c>
      <c r="D2481" s="24">
        <v>6.1496979375</v>
      </c>
      <c r="E2481" s="6" t="s">
        <v>5887</v>
      </c>
      <c r="F2481" s="6">
        <v>10.5</v>
      </c>
      <c r="G2481" s="8">
        <f t="shared" si="38"/>
        <v>9562.7802928125002</v>
      </c>
    </row>
    <row r="2482" spans="1:7" x14ac:dyDescent="0.3">
      <c r="A2482" s="14" t="str">
        <f>VLOOKUP(B2482,'Relacion codigos'!$A:$B,2,FALSE)</f>
        <v>9234</v>
      </c>
      <c r="B2482" s="6" t="s">
        <v>5477</v>
      </c>
      <c r="C2482" s="6" t="s">
        <v>10074</v>
      </c>
      <c r="D2482" s="24">
        <v>0.70732349999999999</v>
      </c>
      <c r="E2482" s="6" t="s">
        <v>5887</v>
      </c>
      <c r="F2482" s="6">
        <v>10.5</v>
      </c>
      <c r="G2482" s="8">
        <f t="shared" si="38"/>
        <v>1099.8880425</v>
      </c>
    </row>
    <row r="2483" spans="1:7" x14ac:dyDescent="0.3">
      <c r="A2483" s="14" t="str">
        <f>VLOOKUP(B2483,'Relacion codigos'!$A:$B,2,FALSE)</f>
        <v>9056</v>
      </c>
      <c r="B2483" s="6" t="s">
        <v>5478</v>
      </c>
      <c r="C2483" s="6" t="s">
        <v>11990</v>
      </c>
      <c r="D2483" s="24">
        <v>0.70732349999999999</v>
      </c>
      <c r="E2483" s="6" t="s">
        <v>5887</v>
      </c>
      <c r="F2483" s="6">
        <v>10.5</v>
      </c>
      <c r="G2483" s="8">
        <f t="shared" si="38"/>
        <v>1099.8880425</v>
      </c>
    </row>
    <row r="2484" spans="1:7" x14ac:dyDescent="0.3">
      <c r="A2484" s="14" t="str">
        <f>VLOOKUP(B2484,'Relacion codigos'!$A:$B,2,FALSE)</f>
        <v>8805</v>
      </c>
      <c r="B2484" s="6" t="s">
        <v>5480</v>
      </c>
      <c r="C2484" s="6" t="s">
        <v>12849</v>
      </c>
      <c r="D2484" s="24">
        <v>0.74392499999999995</v>
      </c>
      <c r="E2484" s="6" t="s">
        <v>5887</v>
      </c>
      <c r="F2484" s="6">
        <v>10.5</v>
      </c>
      <c r="G2484" s="8">
        <f t="shared" si="38"/>
        <v>1156.803375</v>
      </c>
    </row>
    <row r="2485" spans="1:7" x14ac:dyDescent="0.3">
      <c r="A2485" s="14" t="str">
        <f>VLOOKUP(B2485,'Relacion codigos'!$A:$B,2,FALSE)</f>
        <v>8804</v>
      </c>
      <c r="B2485" s="6" t="s">
        <v>5479</v>
      </c>
      <c r="C2485" s="6" t="s">
        <v>10075</v>
      </c>
      <c r="D2485" s="24">
        <v>2.6776749999999998</v>
      </c>
      <c r="E2485" s="6" t="s">
        <v>5887</v>
      </c>
      <c r="F2485" s="6">
        <v>10.5</v>
      </c>
      <c r="G2485" s="8">
        <f t="shared" si="38"/>
        <v>4163.7846249999993</v>
      </c>
    </row>
    <row r="2486" spans="1:7" x14ac:dyDescent="0.3">
      <c r="A2486" s="14" t="str">
        <f>VLOOKUP(B2486,'Relacion codigos'!$A:$B,2,FALSE)</f>
        <v>7964</v>
      </c>
      <c r="B2486" s="6" t="s">
        <v>5555</v>
      </c>
      <c r="C2486" s="6" t="s">
        <v>13959</v>
      </c>
      <c r="D2486" s="24">
        <v>3.6204947999999999</v>
      </c>
      <c r="E2486" s="6" t="s">
        <v>5887</v>
      </c>
      <c r="F2486" s="6">
        <v>10.5</v>
      </c>
      <c r="G2486" s="8">
        <f t="shared" si="38"/>
        <v>5629.8694139999998</v>
      </c>
    </row>
    <row r="2487" spans="1:7" x14ac:dyDescent="0.3">
      <c r="A2487" s="14" t="str">
        <f>VLOOKUP(B2487,'Relacion codigos'!$A:$B,2,FALSE)</f>
        <v>6917</v>
      </c>
      <c r="B2487" s="6" t="s">
        <v>5483</v>
      </c>
      <c r="C2487" s="6" t="s">
        <v>10076</v>
      </c>
      <c r="D2487" s="24">
        <v>0.82625400000000004</v>
      </c>
      <c r="E2487" s="6" t="s">
        <v>5887</v>
      </c>
      <c r="F2487" s="6">
        <v>10.5</v>
      </c>
      <c r="G2487" s="8">
        <f t="shared" si="38"/>
        <v>1284.8249700000001</v>
      </c>
    </row>
    <row r="2488" spans="1:7" x14ac:dyDescent="0.3">
      <c r="A2488" s="14" t="str">
        <f>VLOOKUP(B2488,'Relacion codigos'!$A:$B,2,FALSE)</f>
        <v>8345</v>
      </c>
      <c r="B2488" s="6" t="s">
        <v>5484</v>
      </c>
      <c r="C2488" s="6" t="s">
        <v>11991</v>
      </c>
      <c r="D2488" s="24">
        <v>0.82625400000000004</v>
      </c>
      <c r="E2488" s="6" t="s">
        <v>5887</v>
      </c>
      <c r="F2488" s="6">
        <v>10.5</v>
      </c>
      <c r="G2488" s="8">
        <f t="shared" si="38"/>
        <v>1284.8249700000001</v>
      </c>
    </row>
    <row r="2489" spans="1:7" x14ac:dyDescent="0.3">
      <c r="A2489" s="14" t="str">
        <f>VLOOKUP(B2489,'Relacion codigos'!$A:$B,2,FALSE)</f>
        <v>8967</v>
      </c>
      <c r="B2489" s="6" t="s">
        <v>5481</v>
      </c>
      <c r="C2489" s="6" t="s">
        <v>12850</v>
      </c>
      <c r="D2489" s="24">
        <v>0.84630000000000005</v>
      </c>
      <c r="E2489" s="6" t="s">
        <v>5887</v>
      </c>
      <c r="F2489" s="6">
        <v>10.5</v>
      </c>
      <c r="G2489" s="8">
        <f t="shared" si="38"/>
        <v>1315.9965</v>
      </c>
    </row>
    <row r="2490" spans="1:7" x14ac:dyDescent="0.3">
      <c r="A2490" s="14" t="e">
        <f>VLOOKUP(B2490,'Relacion codigos'!$A:$B,2,FALSE)</f>
        <v>#N/A</v>
      </c>
      <c r="B2490" s="6" t="s">
        <v>9076</v>
      </c>
      <c r="C2490" s="6" t="s">
        <v>13858</v>
      </c>
      <c r="D2490" s="24">
        <v>1.1705265</v>
      </c>
      <c r="E2490" s="6" t="s">
        <v>5887</v>
      </c>
      <c r="F2490" s="6">
        <v>10.5</v>
      </c>
      <c r="G2490" s="8">
        <f t="shared" si="38"/>
        <v>1820.1687075</v>
      </c>
    </row>
    <row r="2491" spans="1:7" x14ac:dyDescent="0.3">
      <c r="A2491" s="14" t="e">
        <f>VLOOKUP(B2491,'Relacion codigos'!$A:$B,2,FALSE)</f>
        <v>#N/A</v>
      </c>
      <c r="B2491" s="6" t="s">
        <v>9077</v>
      </c>
      <c r="C2491" s="6" t="s">
        <v>13859</v>
      </c>
      <c r="D2491" s="24">
        <v>1.1705265</v>
      </c>
      <c r="E2491" s="6" t="s">
        <v>5887</v>
      </c>
      <c r="F2491" s="6">
        <v>10.5</v>
      </c>
      <c r="G2491" s="8">
        <f t="shared" si="38"/>
        <v>1820.1687075</v>
      </c>
    </row>
    <row r="2492" spans="1:7" x14ac:dyDescent="0.3">
      <c r="A2492" s="14" t="e">
        <f>VLOOKUP(B2492,'Relacion codigos'!$A:$B,2,FALSE)</f>
        <v>#N/A</v>
      </c>
      <c r="B2492" s="6" t="s">
        <v>9830</v>
      </c>
      <c r="C2492" s="6" t="s">
        <v>9885</v>
      </c>
      <c r="D2492" s="24">
        <v>0.51377976000000003</v>
      </c>
      <c r="E2492" s="6" t="s">
        <v>5887</v>
      </c>
      <c r="F2492" s="6">
        <v>10.5</v>
      </c>
      <c r="G2492" s="8">
        <f t="shared" si="38"/>
        <v>798.92752680000001</v>
      </c>
    </row>
    <row r="2493" spans="1:7" x14ac:dyDescent="0.3">
      <c r="A2493" s="14" t="str">
        <f>VLOOKUP(B2493,'Relacion codigos'!$A:$B,2,FALSE)</f>
        <v>9235</v>
      </c>
      <c r="B2493" s="6" t="s">
        <v>5486</v>
      </c>
      <c r="C2493" s="6" t="s">
        <v>11992</v>
      </c>
      <c r="D2493" s="24">
        <v>0.48824099999999998</v>
      </c>
      <c r="E2493" s="6" t="s">
        <v>5887</v>
      </c>
      <c r="F2493" s="6">
        <v>10.5</v>
      </c>
      <c r="G2493" s="8">
        <f t="shared" si="38"/>
        <v>759.21475499999997</v>
      </c>
    </row>
    <row r="2494" spans="1:7" x14ac:dyDescent="0.3">
      <c r="A2494" s="14" t="str">
        <f>VLOOKUP(B2494,'Relacion codigos'!$A:$B,2,FALSE)</f>
        <v>6183</v>
      </c>
      <c r="B2494" s="6" t="s">
        <v>5485</v>
      </c>
      <c r="C2494" s="6" t="s">
        <v>11993</v>
      </c>
      <c r="D2494" s="24">
        <v>2739.6945154800001</v>
      </c>
      <c r="E2494" s="6" t="s">
        <v>5889</v>
      </c>
      <c r="F2494" s="6">
        <v>10.5</v>
      </c>
      <c r="G2494" s="8">
        <f t="shared" si="38"/>
        <v>2739.6945154800001</v>
      </c>
    </row>
    <row r="2495" spans="1:7" x14ac:dyDescent="0.3">
      <c r="A2495" s="14" t="str">
        <f>VLOOKUP(B2495,'Relacion codigos'!$A:$B,2,FALSE)</f>
        <v>9057</v>
      </c>
      <c r="B2495" s="6" t="s">
        <v>5487</v>
      </c>
      <c r="C2495" s="6" t="s">
        <v>11984</v>
      </c>
      <c r="D2495" s="24">
        <v>0.48824099999999998</v>
      </c>
      <c r="E2495" s="6" t="s">
        <v>5887</v>
      </c>
      <c r="F2495" s="6">
        <v>10.5</v>
      </c>
      <c r="G2495" s="8">
        <f t="shared" si="38"/>
        <v>759.21475499999997</v>
      </c>
    </row>
    <row r="2496" spans="1:7" x14ac:dyDescent="0.3">
      <c r="A2496" s="14" t="e">
        <f>VLOOKUP(B2496,'Relacion codigos'!$A:$B,2,FALSE)</f>
        <v>#N/A</v>
      </c>
      <c r="B2496" s="6" t="s">
        <v>9078</v>
      </c>
      <c r="C2496" s="6" t="s">
        <v>10079</v>
      </c>
      <c r="D2496" s="24">
        <v>0.600912</v>
      </c>
      <c r="E2496" s="6" t="s">
        <v>5887</v>
      </c>
      <c r="F2496" s="6">
        <v>10.5</v>
      </c>
      <c r="G2496" s="8">
        <f t="shared" si="38"/>
        <v>934.41816000000006</v>
      </c>
    </row>
    <row r="2497" spans="1:7" x14ac:dyDescent="0.3">
      <c r="A2497" s="14" t="str">
        <f>VLOOKUP(B2497,'Relacion codigos'!$A:$B,2,FALSE)</f>
        <v>8802</v>
      </c>
      <c r="B2497" s="6" t="s">
        <v>5489</v>
      </c>
      <c r="C2497" s="6" t="s">
        <v>10080</v>
      </c>
      <c r="D2497" s="24">
        <v>1.7596149999999999</v>
      </c>
      <c r="E2497" s="6" t="s">
        <v>5887</v>
      </c>
      <c r="F2497" s="6">
        <v>10.5</v>
      </c>
      <c r="G2497" s="8">
        <f t="shared" si="38"/>
        <v>2736.201325</v>
      </c>
    </row>
    <row r="2498" spans="1:7" x14ac:dyDescent="0.3">
      <c r="A2498" s="14" t="str">
        <f>VLOOKUP(B2498,'Relacion codigos'!$A:$B,2,FALSE)</f>
        <v>8803</v>
      </c>
      <c r="B2498" s="6" t="s">
        <v>5491</v>
      </c>
      <c r="C2498" s="6" t="s">
        <v>10081</v>
      </c>
      <c r="D2498" s="24">
        <v>1.7596149999999999</v>
      </c>
      <c r="E2498" s="6" t="s">
        <v>5887</v>
      </c>
      <c r="F2498" s="6">
        <v>10.5</v>
      </c>
      <c r="G2498" s="8">
        <f t="shared" ref="G2498:G2561" si="39">IF(E2498="Dolares",D2498*$G$1,D2498)</f>
        <v>2736.201325</v>
      </c>
    </row>
    <row r="2499" spans="1:7" x14ac:dyDescent="0.3">
      <c r="A2499" s="14" t="e">
        <f>VLOOKUP(B2499,'Relacion codigos'!$A:$B,2,FALSE)</f>
        <v>#N/A</v>
      </c>
      <c r="B2499" s="6" t="s">
        <v>9408</v>
      </c>
      <c r="C2499" s="6" t="s">
        <v>9409</v>
      </c>
      <c r="D2499" s="24">
        <v>2.1253456223999998</v>
      </c>
      <c r="E2499" s="6" t="s">
        <v>5887</v>
      </c>
      <c r="F2499" s="6">
        <v>10.5</v>
      </c>
      <c r="G2499" s="8">
        <f t="shared" si="39"/>
        <v>3304.9124428319997</v>
      </c>
    </row>
    <row r="2500" spans="1:7" x14ac:dyDescent="0.3">
      <c r="A2500" s="14" t="e">
        <f>VLOOKUP(B2500,'Relacion codigos'!$A:$B,2,FALSE)</f>
        <v>#N/A</v>
      </c>
      <c r="B2500" s="6" t="s">
        <v>9410</v>
      </c>
      <c r="C2500" s="6" t="s">
        <v>9411</v>
      </c>
      <c r="D2500" s="24">
        <v>2.1235228560000001</v>
      </c>
      <c r="E2500" s="6" t="s">
        <v>5887</v>
      </c>
      <c r="F2500" s="6">
        <v>10.5</v>
      </c>
      <c r="G2500" s="8">
        <f t="shared" si="39"/>
        <v>3302.0780410800003</v>
      </c>
    </row>
    <row r="2501" spans="1:7" x14ac:dyDescent="0.3">
      <c r="A2501" s="14" t="e">
        <f>VLOOKUP(B2501,'Relacion codigos'!$A:$B,2,FALSE)</f>
        <v>#N/A</v>
      </c>
      <c r="B2501" s="6" t="s">
        <v>9692</v>
      </c>
      <c r="C2501" s="6" t="s">
        <v>9693</v>
      </c>
      <c r="D2501" s="24">
        <v>44501.984799999998</v>
      </c>
      <c r="E2501" s="6" t="s">
        <v>5889</v>
      </c>
      <c r="F2501" s="6">
        <v>21</v>
      </c>
      <c r="G2501" s="8">
        <f t="shared" si="39"/>
        <v>44501.984799999998</v>
      </c>
    </row>
    <row r="2502" spans="1:7" x14ac:dyDescent="0.3">
      <c r="A2502" s="14" t="e">
        <f>VLOOKUP(B2502,'Relacion codigos'!$A:$B,2,FALSE)</f>
        <v>#N/A</v>
      </c>
      <c r="B2502" s="6" t="s">
        <v>9412</v>
      </c>
      <c r="C2502" s="6" t="s">
        <v>9798</v>
      </c>
      <c r="D2502" s="24">
        <v>44501.984799999998</v>
      </c>
      <c r="E2502" s="6" t="s">
        <v>5889</v>
      </c>
      <c r="F2502" s="6">
        <v>21</v>
      </c>
      <c r="G2502" s="8">
        <f t="shared" si="39"/>
        <v>44501.984799999998</v>
      </c>
    </row>
    <row r="2503" spans="1:7" x14ac:dyDescent="0.3">
      <c r="A2503" s="14" t="e">
        <f>VLOOKUP(B2503,'Relacion codigos'!$A:$B,2,FALSE)</f>
        <v>#N/A</v>
      </c>
      <c r="B2503" s="6" t="s">
        <v>9413</v>
      </c>
      <c r="C2503" s="6" t="s">
        <v>9799</v>
      </c>
      <c r="D2503" s="24">
        <v>112620.924</v>
      </c>
      <c r="E2503" s="6" t="s">
        <v>5889</v>
      </c>
      <c r="F2503" s="6">
        <v>21</v>
      </c>
      <c r="G2503" s="8">
        <f t="shared" si="39"/>
        <v>112620.924</v>
      </c>
    </row>
    <row r="2504" spans="1:7" x14ac:dyDescent="0.3">
      <c r="A2504" s="14" t="e">
        <f>VLOOKUP(B2504,'Relacion codigos'!$A:$B,2,FALSE)</f>
        <v>#N/A</v>
      </c>
      <c r="B2504" s="6" t="s">
        <v>9069</v>
      </c>
      <c r="C2504" s="6" t="s">
        <v>9070</v>
      </c>
      <c r="D2504" s="24">
        <v>9234.20308037012</v>
      </c>
      <c r="E2504" s="6" t="s">
        <v>5889</v>
      </c>
      <c r="F2504" s="6">
        <v>21</v>
      </c>
      <c r="G2504" s="8">
        <f t="shared" si="39"/>
        <v>9234.20308037012</v>
      </c>
    </row>
    <row r="2505" spans="1:7" x14ac:dyDescent="0.3">
      <c r="A2505" s="14" t="e">
        <f>VLOOKUP(B2505,'Relacion codigos'!$A:$B,2,FALSE)</f>
        <v>#N/A</v>
      </c>
      <c r="B2505" s="6" t="s">
        <v>9071</v>
      </c>
      <c r="C2505" s="6" t="s">
        <v>9072</v>
      </c>
      <c r="D2505" s="24">
        <v>5048.0415123124703</v>
      </c>
      <c r="E2505" s="6" t="s">
        <v>5889</v>
      </c>
      <c r="F2505" s="6">
        <v>21</v>
      </c>
      <c r="G2505" s="8">
        <f t="shared" si="39"/>
        <v>5048.0415123124703</v>
      </c>
    </row>
    <row r="2506" spans="1:7" x14ac:dyDescent="0.3">
      <c r="A2506" s="14" t="str">
        <f>VLOOKUP(B2506,'Relacion codigos'!$A:$B,2,FALSE)</f>
        <v>9039</v>
      </c>
      <c r="B2506" s="6" t="s">
        <v>4299</v>
      </c>
      <c r="C2506" s="6" t="s">
        <v>10671</v>
      </c>
      <c r="D2506" s="24">
        <v>33091.472699999998</v>
      </c>
      <c r="E2506" s="6" t="s">
        <v>5889</v>
      </c>
      <c r="F2506" s="6">
        <v>21</v>
      </c>
      <c r="G2506" s="8">
        <f t="shared" si="39"/>
        <v>33091.472699999998</v>
      </c>
    </row>
    <row r="2507" spans="1:7" x14ac:dyDescent="0.3">
      <c r="A2507" s="14" t="str">
        <f>VLOOKUP(B2507,'Relacion codigos'!$A:$B,2,FALSE)</f>
        <v>8882</v>
      </c>
      <c r="B2507" s="6" t="s">
        <v>4292</v>
      </c>
      <c r="C2507" s="6" t="s">
        <v>10672</v>
      </c>
      <c r="D2507" s="24">
        <v>71720.049024000007</v>
      </c>
      <c r="E2507" s="6" t="s">
        <v>5889</v>
      </c>
      <c r="F2507" s="6">
        <v>21</v>
      </c>
      <c r="G2507" s="8">
        <f t="shared" si="39"/>
        <v>71720.049024000007</v>
      </c>
    </row>
    <row r="2508" spans="1:7" x14ac:dyDescent="0.3">
      <c r="A2508" s="14" t="e">
        <f>VLOOKUP(B2508,'Relacion codigos'!$A:$B,2,FALSE)</f>
        <v>#N/A</v>
      </c>
      <c r="B2508" s="6" t="s">
        <v>10310</v>
      </c>
      <c r="C2508" s="6" t="s">
        <v>11310</v>
      </c>
      <c r="D2508" s="24">
        <v>2.4501750000000002</v>
      </c>
      <c r="E2508" s="6" t="s">
        <v>5887</v>
      </c>
      <c r="F2508" s="6">
        <v>10.5</v>
      </c>
      <c r="G2508" s="8">
        <f t="shared" si="39"/>
        <v>3810.0221250000004</v>
      </c>
    </row>
    <row r="2509" spans="1:7" x14ac:dyDescent="0.3">
      <c r="A2509" s="14" t="str">
        <f>VLOOKUP(B2509,'Relacion codigos'!$A:$B,2,FALSE)</f>
        <v>NUEVO</v>
      </c>
      <c r="B2509" s="6" t="s">
        <v>5882</v>
      </c>
      <c r="C2509" s="6" t="s">
        <v>13723</v>
      </c>
      <c r="D2509" s="24">
        <v>2039.65112</v>
      </c>
      <c r="E2509" s="6" t="s">
        <v>5889</v>
      </c>
      <c r="F2509" s="6">
        <v>21</v>
      </c>
      <c r="G2509" s="8">
        <f t="shared" si="39"/>
        <v>2039.65112</v>
      </c>
    </row>
    <row r="2510" spans="1:7" x14ac:dyDescent="0.3">
      <c r="A2510" s="14" t="e">
        <f>VLOOKUP(B2510,'Relacion codigos'!$A:$B,2,FALSE)</f>
        <v>#N/A</v>
      </c>
      <c r="B2510" s="6" t="s">
        <v>12650</v>
      </c>
      <c r="C2510" s="6" t="s">
        <v>13724</v>
      </c>
      <c r="D2510" s="24">
        <v>6.8416335000000004</v>
      </c>
      <c r="E2510" s="6" t="s">
        <v>5887</v>
      </c>
      <c r="F2510" s="6">
        <v>10.5</v>
      </c>
      <c r="G2510" s="8">
        <f t="shared" si="39"/>
        <v>10638.7400925</v>
      </c>
    </row>
    <row r="2511" spans="1:7" x14ac:dyDescent="0.3">
      <c r="A2511" s="14" t="e">
        <f>VLOOKUP(B2511,'Relacion codigos'!$A:$B,2,FALSE)</f>
        <v>#N/A</v>
      </c>
      <c r="B2511" s="6" t="s">
        <v>12652</v>
      </c>
      <c r="C2511" s="6" t="s">
        <v>13725</v>
      </c>
      <c r="D2511" s="24">
        <v>4.4317260000000003</v>
      </c>
      <c r="E2511" s="6" t="s">
        <v>5887</v>
      </c>
      <c r="F2511" s="6">
        <v>10.5</v>
      </c>
      <c r="G2511" s="8">
        <f t="shared" si="39"/>
        <v>6891.3339300000007</v>
      </c>
    </row>
    <row r="2512" spans="1:7" x14ac:dyDescent="0.3">
      <c r="A2512" s="14" t="e">
        <f>VLOOKUP(B2512,'Relacion codigos'!$A:$B,2,FALSE)</f>
        <v>#N/A</v>
      </c>
      <c r="B2512" s="6" t="s">
        <v>10857</v>
      </c>
      <c r="C2512" s="6" t="s">
        <v>11314</v>
      </c>
      <c r="D2512" s="24">
        <v>6.8416335000000004</v>
      </c>
      <c r="E2512" s="6" t="s">
        <v>5887</v>
      </c>
      <c r="F2512" s="6">
        <v>10.5</v>
      </c>
      <c r="G2512" s="8">
        <f t="shared" si="39"/>
        <v>10638.7400925</v>
      </c>
    </row>
    <row r="2513" spans="1:7" x14ac:dyDescent="0.3">
      <c r="A2513" s="14" t="e">
        <f>VLOOKUP(B2513,'Relacion codigos'!$A:$B,2,FALSE)</f>
        <v>#N/A</v>
      </c>
      <c r="B2513" s="6" t="s">
        <v>9990</v>
      </c>
      <c r="C2513" s="6" t="s">
        <v>13726</v>
      </c>
      <c r="D2513" s="24">
        <v>4.415775</v>
      </c>
      <c r="E2513" s="6" t="s">
        <v>5887</v>
      </c>
      <c r="F2513" s="6">
        <v>10.5</v>
      </c>
      <c r="G2513" s="8">
        <f t="shared" si="39"/>
        <v>6866.5301250000002</v>
      </c>
    </row>
    <row r="2514" spans="1:7" x14ac:dyDescent="0.3">
      <c r="A2514" s="14" t="e">
        <f>VLOOKUP(B2514,'Relacion codigos'!$A:$B,2,FALSE)</f>
        <v>#N/A</v>
      </c>
      <c r="B2514" s="6" t="s">
        <v>10311</v>
      </c>
      <c r="C2514" s="6" t="s">
        <v>11319</v>
      </c>
      <c r="D2514" s="24">
        <v>1.4742</v>
      </c>
      <c r="E2514" s="6" t="s">
        <v>5887</v>
      </c>
      <c r="F2514" s="6">
        <v>10.5</v>
      </c>
      <c r="G2514" s="8">
        <f t="shared" si="39"/>
        <v>2292.3809999999999</v>
      </c>
    </row>
    <row r="2515" spans="1:7" x14ac:dyDescent="0.3">
      <c r="A2515" s="14" t="str">
        <f>VLOOKUP(B2515,'Relacion codigos'!$A:$B,2,FALSE)</f>
        <v>NUEVO</v>
      </c>
      <c r="B2515" s="6" t="s">
        <v>5883</v>
      </c>
      <c r="C2515" s="6" t="s">
        <v>13727</v>
      </c>
      <c r="D2515" s="24">
        <v>1732.551704</v>
      </c>
      <c r="E2515" s="6" t="s">
        <v>5889</v>
      </c>
      <c r="F2515" s="6">
        <v>21</v>
      </c>
      <c r="G2515" s="8">
        <f t="shared" si="39"/>
        <v>1732.551704</v>
      </c>
    </row>
    <row r="2516" spans="1:7" x14ac:dyDescent="0.3">
      <c r="A2516" s="14" t="e">
        <f>VLOOKUP(B2516,'Relacion codigos'!$A:$B,2,FALSE)</f>
        <v>#N/A</v>
      </c>
      <c r="B2516" s="6" t="s">
        <v>9418</v>
      </c>
      <c r="C2516" s="6" t="s">
        <v>11322</v>
      </c>
      <c r="D2516" s="24">
        <v>4.7552169600000003</v>
      </c>
      <c r="E2516" s="6" t="s">
        <v>5887</v>
      </c>
      <c r="F2516" s="6">
        <v>10.5</v>
      </c>
      <c r="G2516" s="8">
        <f t="shared" si="39"/>
        <v>7394.3623728000002</v>
      </c>
    </row>
    <row r="2517" spans="1:7" x14ac:dyDescent="0.3">
      <c r="A2517" s="14" t="str">
        <f>VLOOKUP(B2517,'Relacion codigos'!$A:$B,2,FALSE)</f>
        <v>9010</v>
      </c>
      <c r="B2517" s="6" t="s">
        <v>5467</v>
      </c>
      <c r="C2517" s="6" t="s">
        <v>12024</v>
      </c>
      <c r="D2517" s="24">
        <v>2.2932000000000001</v>
      </c>
      <c r="E2517" s="6" t="s">
        <v>5887</v>
      </c>
      <c r="F2517" s="6">
        <v>10.5</v>
      </c>
      <c r="G2517" s="8">
        <f t="shared" si="39"/>
        <v>3565.9260000000004</v>
      </c>
    </row>
    <row r="2518" spans="1:7" x14ac:dyDescent="0.3">
      <c r="A2518" s="14" t="str">
        <f>VLOOKUP(B2518,'Relacion codigos'!$A:$B,2,FALSE)</f>
        <v>9009</v>
      </c>
      <c r="B2518" s="6" t="s">
        <v>5468</v>
      </c>
      <c r="C2518" s="6" t="s">
        <v>12025</v>
      </c>
      <c r="D2518" s="24">
        <v>2.2932000000000001</v>
      </c>
      <c r="E2518" s="6" t="s">
        <v>5887</v>
      </c>
      <c r="F2518" s="6">
        <v>10.5</v>
      </c>
      <c r="G2518" s="8">
        <f t="shared" si="39"/>
        <v>3565.9260000000004</v>
      </c>
    </row>
    <row r="2519" spans="1:7" x14ac:dyDescent="0.3">
      <c r="A2519" s="14" t="str">
        <f>VLOOKUP(B2519,'Relacion codigos'!$A:$B,2,FALSE)</f>
        <v>7211</v>
      </c>
      <c r="B2519" s="6" t="s">
        <v>5454</v>
      </c>
      <c r="C2519" s="6" t="s">
        <v>11535</v>
      </c>
      <c r="D2519" s="24">
        <v>3.6680670000000002</v>
      </c>
      <c r="E2519" s="6" t="s">
        <v>5887</v>
      </c>
      <c r="F2519" s="6">
        <v>10.5</v>
      </c>
      <c r="G2519" s="8">
        <f t="shared" si="39"/>
        <v>5703.8441849999999</v>
      </c>
    </row>
    <row r="2520" spans="1:7" x14ac:dyDescent="0.3">
      <c r="A2520" s="14" t="str">
        <f>VLOOKUP(B2520,'Relacion codigos'!$A:$B,2,FALSE)</f>
        <v>7210</v>
      </c>
      <c r="B2520" s="6" t="s">
        <v>5453</v>
      </c>
      <c r="C2520" s="6" t="s">
        <v>13088</v>
      </c>
      <c r="D2520" s="24">
        <v>3.6680670000000002</v>
      </c>
      <c r="E2520" s="6" t="s">
        <v>5887</v>
      </c>
      <c r="F2520" s="6">
        <v>10.5</v>
      </c>
      <c r="G2520" s="8">
        <f t="shared" si="39"/>
        <v>5703.8441849999999</v>
      </c>
    </row>
    <row r="2521" spans="1:7" x14ac:dyDescent="0.3">
      <c r="A2521" s="14" t="str">
        <f>VLOOKUP(B2521,'Relacion codigos'!$A:$B,2,FALSE)</f>
        <v>3696</v>
      </c>
      <c r="B2521" s="6" t="s">
        <v>5470</v>
      </c>
      <c r="C2521" s="6" t="s">
        <v>13105</v>
      </c>
      <c r="D2521" s="24">
        <v>4.0498964999999902</v>
      </c>
      <c r="E2521" s="6" t="s">
        <v>5887</v>
      </c>
      <c r="F2521" s="6">
        <v>10.5</v>
      </c>
      <c r="G2521" s="8">
        <f t="shared" si="39"/>
        <v>6297.5890574999848</v>
      </c>
    </row>
    <row r="2522" spans="1:7" x14ac:dyDescent="0.3">
      <c r="A2522" s="14" t="str">
        <f>VLOOKUP(B2522,'Relacion codigos'!$A:$B,2,FALSE)</f>
        <v>1709</v>
      </c>
      <c r="B2522" s="6" t="s">
        <v>5469</v>
      </c>
      <c r="C2522" s="6" t="s">
        <v>13089</v>
      </c>
      <c r="D2522" s="24">
        <v>4.0498964999999902</v>
      </c>
      <c r="E2522" s="6" t="s">
        <v>5887</v>
      </c>
      <c r="F2522" s="6">
        <v>10.5</v>
      </c>
      <c r="G2522" s="8">
        <f t="shared" si="39"/>
        <v>6297.5890574999848</v>
      </c>
    </row>
    <row r="2523" spans="1:7" x14ac:dyDescent="0.3">
      <c r="A2523" s="14" t="str">
        <f>VLOOKUP(B2523,'Relacion codigos'!$A:$B,2,FALSE)</f>
        <v>7206</v>
      </c>
      <c r="B2523" s="6" t="s">
        <v>5458</v>
      </c>
      <c r="C2523" s="6" t="s">
        <v>11536</v>
      </c>
      <c r="D2523" s="24">
        <v>1.8715904999999999</v>
      </c>
      <c r="E2523" s="6" t="s">
        <v>5887</v>
      </c>
      <c r="F2523" s="6">
        <v>10.5</v>
      </c>
      <c r="G2523" s="8">
        <f t="shared" si="39"/>
        <v>2910.3232275</v>
      </c>
    </row>
    <row r="2524" spans="1:7" x14ac:dyDescent="0.3">
      <c r="A2524" s="14" t="str">
        <f>VLOOKUP(B2524,'Relacion codigos'!$A:$B,2,FALSE)</f>
        <v>1014</v>
      </c>
      <c r="B2524" s="6" t="s">
        <v>5608</v>
      </c>
      <c r="C2524" s="6" t="s">
        <v>11537</v>
      </c>
      <c r="D2524" s="24">
        <v>1.8715904999999999</v>
      </c>
      <c r="E2524" s="6" t="s">
        <v>5887</v>
      </c>
      <c r="F2524" s="6">
        <v>10.5</v>
      </c>
      <c r="G2524" s="8">
        <f t="shared" si="39"/>
        <v>2910.3232275</v>
      </c>
    </row>
    <row r="2525" spans="1:7" x14ac:dyDescent="0.3">
      <c r="A2525" s="14" t="str">
        <f>VLOOKUP(B2525,'Relacion codigos'!$A:$B,2,FALSE)</f>
        <v>6379</v>
      </c>
      <c r="B2525" s="6" t="s">
        <v>5452</v>
      </c>
      <c r="C2525" s="6" t="s">
        <v>11538</v>
      </c>
      <c r="D2525" s="24">
        <v>2.2847175000000002</v>
      </c>
      <c r="E2525" s="6" t="s">
        <v>5887</v>
      </c>
      <c r="F2525" s="6">
        <v>10.5</v>
      </c>
      <c r="G2525" s="8">
        <f t="shared" si="39"/>
        <v>3552.7357125000003</v>
      </c>
    </row>
    <row r="2526" spans="1:7" x14ac:dyDescent="0.3">
      <c r="A2526" s="14" t="str">
        <f>VLOOKUP(B2526,'Relacion codigos'!$A:$B,2,FALSE)</f>
        <v>6380</v>
      </c>
      <c r="B2526" s="6" t="s">
        <v>5461</v>
      </c>
      <c r="C2526" s="6" t="s">
        <v>13090</v>
      </c>
      <c r="D2526" s="24">
        <v>2.2847175000000002</v>
      </c>
      <c r="E2526" s="6" t="s">
        <v>5887</v>
      </c>
      <c r="F2526" s="6">
        <v>10.5</v>
      </c>
      <c r="G2526" s="8">
        <f t="shared" si="39"/>
        <v>3552.7357125000003</v>
      </c>
    </row>
    <row r="2527" spans="1:7" x14ac:dyDescent="0.3">
      <c r="A2527" s="14" t="str">
        <f>VLOOKUP(B2527,'Relacion codigos'!$A:$B,2,FALSE)</f>
        <v>7209</v>
      </c>
      <c r="B2527" s="6" t="s">
        <v>5459</v>
      </c>
      <c r="C2527" s="6" t="s">
        <v>10991</v>
      </c>
      <c r="D2527" s="24">
        <v>3.292497</v>
      </c>
      <c r="E2527" s="6" t="s">
        <v>5887</v>
      </c>
      <c r="F2527" s="6">
        <v>10.5</v>
      </c>
      <c r="G2527" s="8">
        <f t="shared" si="39"/>
        <v>5119.8328350000002</v>
      </c>
    </row>
    <row r="2528" spans="1:7" x14ac:dyDescent="0.3">
      <c r="A2528" s="14" t="str">
        <f>VLOOKUP(B2528,'Relacion codigos'!$A:$B,2,FALSE)</f>
        <v>5192</v>
      </c>
      <c r="B2528" s="6" t="s">
        <v>5465</v>
      </c>
      <c r="C2528" s="6" t="s">
        <v>11539</v>
      </c>
      <c r="D2528" s="24">
        <v>2.31914475</v>
      </c>
      <c r="E2528" s="6" t="s">
        <v>5887</v>
      </c>
      <c r="F2528" s="6">
        <v>10.5</v>
      </c>
      <c r="G2528" s="8">
        <f t="shared" si="39"/>
        <v>3606.2700862500001</v>
      </c>
    </row>
    <row r="2529" spans="1:7" x14ac:dyDescent="0.3">
      <c r="A2529" s="14" t="str">
        <f>VLOOKUP(B2529,'Relacion codigos'!$A:$B,2,FALSE)</f>
        <v>8712</v>
      </c>
      <c r="B2529" s="6" t="s">
        <v>5562</v>
      </c>
      <c r="C2529" s="6" t="s">
        <v>5888</v>
      </c>
      <c r="D2529" s="24">
        <v>5420.8271519999998</v>
      </c>
      <c r="E2529" s="6" t="s">
        <v>5889</v>
      </c>
      <c r="F2529" s="6">
        <v>10.5</v>
      </c>
      <c r="G2529" s="8">
        <f t="shared" si="39"/>
        <v>5420.8271519999998</v>
      </c>
    </row>
    <row r="2530" spans="1:7" x14ac:dyDescent="0.3">
      <c r="A2530" s="14" t="str">
        <f>VLOOKUP(B2530,'Relacion codigos'!$A:$B,2,FALSE)</f>
        <v>6915</v>
      </c>
      <c r="B2530" s="6" t="s">
        <v>5565</v>
      </c>
      <c r="C2530" s="6" t="s">
        <v>11540</v>
      </c>
      <c r="D2530" s="24">
        <v>4.8807407999999999</v>
      </c>
      <c r="E2530" s="6" t="s">
        <v>5887</v>
      </c>
      <c r="F2530" s="6">
        <v>10.5</v>
      </c>
      <c r="G2530" s="8">
        <f t="shared" si="39"/>
        <v>7589.5519439999998</v>
      </c>
    </row>
    <row r="2531" spans="1:7" x14ac:dyDescent="0.3">
      <c r="A2531" s="14" t="str">
        <f>VLOOKUP(B2531,'Relacion codigos'!$A:$B,2,FALSE)</f>
        <v>5959</v>
      </c>
      <c r="B2531" s="6" t="s">
        <v>5563</v>
      </c>
      <c r="C2531" s="6" t="s">
        <v>10432</v>
      </c>
      <c r="D2531" s="24">
        <v>4.081194</v>
      </c>
      <c r="E2531" s="6" t="s">
        <v>5887</v>
      </c>
      <c r="F2531" s="6">
        <v>10.5</v>
      </c>
      <c r="G2531" s="8">
        <f t="shared" si="39"/>
        <v>6346.2566699999998</v>
      </c>
    </row>
    <row r="2532" spans="1:7" x14ac:dyDescent="0.3">
      <c r="A2532" s="14" t="str">
        <f>VLOOKUP(B2532,'Relacion codigos'!$A:$B,2,FALSE)</f>
        <v>5958</v>
      </c>
      <c r="B2532" s="6" t="s">
        <v>5564</v>
      </c>
      <c r="C2532" s="6" t="s">
        <v>10433</v>
      </c>
      <c r="D2532" s="24">
        <v>4.081194</v>
      </c>
      <c r="E2532" s="6" t="s">
        <v>5887</v>
      </c>
      <c r="F2532" s="6">
        <v>10.5</v>
      </c>
      <c r="G2532" s="8">
        <f t="shared" si="39"/>
        <v>6346.2566699999998</v>
      </c>
    </row>
    <row r="2533" spans="1:7" x14ac:dyDescent="0.3">
      <c r="A2533" s="14" t="e">
        <f>VLOOKUP(B2533,'Relacion codigos'!$A:$B,2,FALSE)</f>
        <v>#N/A</v>
      </c>
      <c r="B2533" s="6" t="s">
        <v>9414</v>
      </c>
      <c r="C2533" s="6" t="s">
        <v>10434</v>
      </c>
      <c r="D2533" s="24">
        <v>6.1563434399999997</v>
      </c>
      <c r="E2533" s="6" t="s">
        <v>5887</v>
      </c>
      <c r="F2533" s="6">
        <v>10.5</v>
      </c>
      <c r="G2533" s="8">
        <f t="shared" si="39"/>
        <v>9573.1140491999995</v>
      </c>
    </row>
    <row r="2534" spans="1:7" x14ac:dyDescent="0.3">
      <c r="A2534" s="14" t="e">
        <f>VLOOKUP(B2534,'Relacion codigos'!$A:$B,2,FALSE)</f>
        <v>#N/A</v>
      </c>
      <c r="B2534" s="6" t="s">
        <v>9415</v>
      </c>
      <c r="C2534" s="6" t="s">
        <v>10435</v>
      </c>
      <c r="D2534" s="24">
        <v>6.1563434399999997</v>
      </c>
      <c r="E2534" s="6" t="s">
        <v>5887</v>
      </c>
      <c r="F2534" s="6">
        <v>10.5</v>
      </c>
      <c r="G2534" s="8">
        <f t="shared" si="39"/>
        <v>9573.1140491999995</v>
      </c>
    </row>
    <row r="2535" spans="1:7" x14ac:dyDescent="0.3">
      <c r="A2535" s="14" t="str">
        <f>VLOOKUP(B2535,'Relacion codigos'!$A:$B,2,FALSE)</f>
        <v>7338</v>
      </c>
      <c r="B2535" s="6" t="s">
        <v>5567</v>
      </c>
      <c r="C2535" s="6" t="s">
        <v>9416</v>
      </c>
      <c r="D2535" s="24">
        <v>1.2719304</v>
      </c>
      <c r="E2535" s="6" t="s">
        <v>5887</v>
      </c>
      <c r="F2535" s="6">
        <v>10.5</v>
      </c>
      <c r="G2535" s="8">
        <f t="shared" si="39"/>
        <v>1977.851772</v>
      </c>
    </row>
    <row r="2536" spans="1:7" x14ac:dyDescent="0.3">
      <c r="A2536" s="14" t="str">
        <f>VLOOKUP(B2536,'Relacion codigos'!$A:$B,2,FALSE)</f>
        <v>7341</v>
      </c>
      <c r="B2536" s="6" t="s">
        <v>5568</v>
      </c>
      <c r="C2536" s="6" t="s">
        <v>9522</v>
      </c>
      <c r="D2536" s="24">
        <v>1.2719304</v>
      </c>
      <c r="E2536" s="6" t="s">
        <v>5887</v>
      </c>
      <c r="F2536" s="6">
        <v>10.5</v>
      </c>
      <c r="G2536" s="8">
        <f t="shared" si="39"/>
        <v>1977.851772</v>
      </c>
    </row>
    <row r="2537" spans="1:7" x14ac:dyDescent="0.3">
      <c r="A2537" s="14" t="str">
        <f>VLOOKUP(B2537,'Relacion codigos'!$A:$B,2,FALSE)</f>
        <v>7340</v>
      </c>
      <c r="B2537" s="6" t="s">
        <v>5569</v>
      </c>
      <c r="C2537" s="6" t="s">
        <v>9523</v>
      </c>
      <c r="D2537" s="24">
        <v>1.2719304</v>
      </c>
      <c r="E2537" s="6" t="s">
        <v>5887</v>
      </c>
      <c r="F2537" s="6">
        <v>10.5</v>
      </c>
      <c r="G2537" s="8">
        <f t="shared" si="39"/>
        <v>1977.851772</v>
      </c>
    </row>
    <row r="2538" spans="1:7" x14ac:dyDescent="0.3">
      <c r="A2538" s="14" t="str">
        <f>VLOOKUP(B2538,'Relacion codigos'!$A:$B,2,FALSE)</f>
        <v>7339</v>
      </c>
      <c r="B2538" s="6" t="s">
        <v>5570</v>
      </c>
      <c r="C2538" s="6" t="s">
        <v>9524</v>
      </c>
      <c r="D2538" s="24">
        <v>1.2719304</v>
      </c>
      <c r="E2538" s="6" t="s">
        <v>5887</v>
      </c>
      <c r="F2538" s="6">
        <v>10.5</v>
      </c>
      <c r="G2538" s="8">
        <f t="shared" si="39"/>
        <v>1977.851772</v>
      </c>
    </row>
    <row r="2539" spans="1:7" x14ac:dyDescent="0.3">
      <c r="A2539" s="14" t="e">
        <f>VLOOKUP(B2539,'Relacion codigos'!$A:$B,2,FALSE)</f>
        <v>#N/A</v>
      </c>
      <c r="B2539" s="6" t="s">
        <v>9417</v>
      </c>
      <c r="C2539" s="6" t="s">
        <v>13269</v>
      </c>
      <c r="D2539" s="24">
        <v>0.52579799999999999</v>
      </c>
      <c r="E2539" s="6" t="s">
        <v>5887</v>
      </c>
      <c r="F2539" s="6">
        <v>10.5</v>
      </c>
      <c r="G2539" s="8">
        <f t="shared" si="39"/>
        <v>817.61589000000004</v>
      </c>
    </row>
    <row r="2540" spans="1:7" x14ac:dyDescent="0.3">
      <c r="A2540" s="14" t="str">
        <f>VLOOKUP(B2540,'Relacion codigos'!$A:$B,2,FALSE)</f>
        <v>6166</v>
      </c>
      <c r="B2540" s="6" t="s">
        <v>5571</v>
      </c>
      <c r="C2540" s="6" t="s">
        <v>10436</v>
      </c>
      <c r="D2540" s="24">
        <v>0.52579799999999999</v>
      </c>
      <c r="E2540" s="6" t="s">
        <v>5887</v>
      </c>
      <c r="F2540" s="6">
        <v>10.5</v>
      </c>
      <c r="G2540" s="8">
        <f t="shared" si="39"/>
        <v>817.61589000000004</v>
      </c>
    </row>
    <row r="2541" spans="1:7" x14ac:dyDescent="0.3">
      <c r="A2541" s="14" t="e">
        <f>VLOOKUP(B2541,'Relacion codigos'!$A:$B,2,FALSE)</f>
        <v>#N/A</v>
      </c>
      <c r="B2541" s="6" t="s">
        <v>10858</v>
      </c>
      <c r="C2541" s="6" t="s">
        <v>13106</v>
      </c>
      <c r="D2541" s="24">
        <v>0.52579799999999999</v>
      </c>
      <c r="E2541" s="6" t="s">
        <v>5887</v>
      </c>
      <c r="F2541" s="6">
        <v>10.5</v>
      </c>
      <c r="G2541" s="8">
        <f t="shared" si="39"/>
        <v>817.61589000000004</v>
      </c>
    </row>
    <row r="2542" spans="1:7" x14ac:dyDescent="0.3">
      <c r="A2542" s="14" t="str">
        <f>VLOOKUP(B2542,'Relacion codigos'!$A:$B,2,FALSE)</f>
        <v>6167</v>
      </c>
      <c r="B2542" s="6" t="s">
        <v>5573</v>
      </c>
      <c r="C2542" s="6" t="s">
        <v>10437</v>
      </c>
      <c r="D2542" s="24">
        <v>0.52579799999999999</v>
      </c>
      <c r="E2542" s="6" t="s">
        <v>5887</v>
      </c>
      <c r="F2542" s="6">
        <v>10.5</v>
      </c>
      <c r="G2542" s="8">
        <f t="shared" si="39"/>
        <v>817.61589000000004</v>
      </c>
    </row>
    <row r="2543" spans="1:7" x14ac:dyDescent="0.3">
      <c r="A2543" s="14" t="str">
        <f>VLOOKUP(B2543,'Relacion codigos'!$A:$B,2,FALSE)</f>
        <v>6169</v>
      </c>
      <c r="B2543" s="6" t="s">
        <v>5439</v>
      </c>
      <c r="C2543" s="6" t="s">
        <v>11602</v>
      </c>
      <c r="D2543" s="24">
        <v>13.814716499999999</v>
      </c>
      <c r="E2543" s="6" t="s">
        <v>5887</v>
      </c>
      <c r="F2543" s="6">
        <v>10.5</v>
      </c>
      <c r="G2543" s="8">
        <f t="shared" si="39"/>
        <v>21481.884157500001</v>
      </c>
    </row>
    <row r="2544" spans="1:7" x14ac:dyDescent="0.3">
      <c r="A2544" s="14" t="str">
        <f>VLOOKUP(B2544,'Relacion codigos'!$A:$B,2,FALSE)</f>
        <v>8609</v>
      </c>
      <c r="B2544" s="6" t="s">
        <v>5436</v>
      </c>
      <c r="C2544" s="6" t="s">
        <v>11603</v>
      </c>
      <c r="D2544" s="24">
        <v>35.481850559999998</v>
      </c>
      <c r="E2544" s="6" t="s">
        <v>5887</v>
      </c>
      <c r="F2544" s="6">
        <v>10.5</v>
      </c>
      <c r="G2544" s="8">
        <f t="shared" si="39"/>
        <v>55174.2776208</v>
      </c>
    </row>
    <row r="2545" spans="1:7" x14ac:dyDescent="0.3">
      <c r="A2545" s="14" t="e">
        <f>VLOOKUP(B2545,'Relacion codigos'!$A:$B,2,FALSE)</f>
        <v>#N/A</v>
      </c>
      <c r="B2545" s="6" t="s">
        <v>11503</v>
      </c>
      <c r="C2545" s="6" t="s">
        <v>11504</v>
      </c>
      <c r="D2545" s="24">
        <v>1.5219750000000001</v>
      </c>
      <c r="E2545" s="6" t="s">
        <v>5887</v>
      </c>
      <c r="F2545" s="6">
        <v>10.5</v>
      </c>
      <c r="G2545" s="8">
        <f t="shared" si="39"/>
        <v>2366.6711250000003</v>
      </c>
    </row>
    <row r="2546" spans="1:7" x14ac:dyDescent="0.3">
      <c r="A2546" s="14" t="str">
        <f>VLOOKUP(B2546,'Relacion codigos'!$A:$B,2,FALSE)</f>
        <v>6220</v>
      </c>
      <c r="B2546" s="6" t="s">
        <v>5407</v>
      </c>
      <c r="C2546" s="6" t="s">
        <v>9998</v>
      </c>
      <c r="D2546" s="24">
        <v>1.1893050000000001</v>
      </c>
      <c r="E2546" s="6" t="s">
        <v>5887</v>
      </c>
      <c r="F2546" s="6">
        <v>10.5</v>
      </c>
      <c r="G2546" s="8">
        <f t="shared" si="39"/>
        <v>1849.369275</v>
      </c>
    </row>
    <row r="2547" spans="1:7" x14ac:dyDescent="0.3">
      <c r="A2547" s="14" t="str">
        <f>VLOOKUP(B2547,'Relacion codigos'!$A:$B,2,FALSE)</f>
        <v>9163</v>
      </c>
      <c r="B2547" s="6" t="s">
        <v>5408</v>
      </c>
      <c r="C2547" s="6" t="s">
        <v>12571</v>
      </c>
      <c r="D2547" s="24">
        <v>1.1893050000000001</v>
      </c>
      <c r="E2547" s="6" t="s">
        <v>5887</v>
      </c>
      <c r="F2547" s="6">
        <v>10.5</v>
      </c>
      <c r="G2547" s="8">
        <f t="shared" si="39"/>
        <v>1849.369275</v>
      </c>
    </row>
    <row r="2548" spans="1:7" x14ac:dyDescent="0.3">
      <c r="A2548" s="14" t="e">
        <f>VLOOKUP(B2548,'Relacion codigos'!$A:$B,2,FALSE)</f>
        <v>#N/A</v>
      </c>
      <c r="B2548" s="6" t="s">
        <v>11505</v>
      </c>
      <c r="C2548" s="6" t="s">
        <v>11506</v>
      </c>
      <c r="D2548" s="24">
        <v>2.5730249999999999</v>
      </c>
      <c r="E2548" s="6" t="s">
        <v>5887</v>
      </c>
      <c r="F2548" s="6">
        <v>10.5</v>
      </c>
      <c r="G2548" s="8">
        <f t="shared" si="39"/>
        <v>4001.0538750000001</v>
      </c>
    </row>
    <row r="2549" spans="1:7" x14ac:dyDescent="0.3">
      <c r="A2549" s="14" t="str">
        <f>VLOOKUP(B2549,'Relacion codigos'!$A:$B,2,FALSE)</f>
        <v>6222</v>
      </c>
      <c r="B2549" s="6" t="s">
        <v>5412</v>
      </c>
      <c r="C2549" s="6" t="s">
        <v>9999</v>
      </c>
      <c r="D2549" s="24">
        <v>1.840293</v>
      </c>
      <c r="E2549" s="6" t="s">
        <v>5887</v>
      </c>
      <c r="F2549" s="6">
        <v>10.5</v>
      </c>
      <c r="G2549" s="8">
        <f t="shared" si="39"/>
        <v>2861.6556150000001</v>
      </c>
    </row>
    <row r="2550" spans="1:7" x14ac:dyDescent="0.3">
      <c r="A2550" s="14" t="e">
        <f>VLOOKUP(B2550,'Relacion codigos'!$A:$B,2,FALSE)</f>
        <v>#N/A</v>
      </c>
      <c r="B2550" s="6" t="s">
        <v>10198</v>
      </c>
      <c r="C2550" s="6" t="s">
        <v>12989</v>
      </c>
      <c r="D2550" s="24">
        <v>1.840293</v>
      </c>
      <c r="E2550" s="6" t="s">
        <v>5887</v>
      </c>
      <c r="F2550" s="6">
        <v>10.5</v>
      </c>
      <c r="G2550" s="8">
        <f t="shared" si="39"/>
        <v>2861.6556150000001</v>
      </c>
    </row>
    <row r="2551" spans="1:7" x14ac:dyDescent="0.3">
      <c r="A2551" s="14" t="str">
        <f>VLOOKUP(B2551,'Relacion codigos'!$A:$B,2,FALSE)</f>
        <v>7106</v>
      </c>
      <c r="B2551" s="6" t="s">
        <v>5437</v>
      </c>
      <c r="C2551" s="6" t="s">
        <v>11604</v>
      </c>
      <c r="D2551" s="24">
        <v>1511.965499616</v>
      </c>
      <c r="E2551" s="6" t="s">
        <v>5889</v>
      </c>
      <c r="F2551" s="6">
        <v>10.5</v>
      </c>
      <c r="G2551" s="8">
        <f t="shared" si="39"/>
        <v>1511.965499616</v>
      </c>
    </row>
    <row r="2552" spans="1:7" x14ac:dyDescent="0.3">
      <c r="A2552" s="14" t="e">
        <f>VLOOKUP(B2552,'Relacion codigos'!$A:$B,2,FALSE)</f>
        <v>#N/A</v>
      </c>
      <c r="B2552" s="6" t="s">
        <v>10312</v>
      </c>
      <c r="C2552" s="6" t="s">
        <v>10313</v>
      </c>
      <c r="D2552" s="24">
        <v>3.7332749999999999</v>
      </c>
      <c r="E2552" s="6" t="s">
        <v>5887</v>
      </c>
      <c r="F2552" s="6">
        <v>10.5</v>
      </c>
      <c r="G2552" s="8">
        <f t="shared" si="39"/>
        <v>5805.2426249999999</v>
      </c>
    </row>
    <row r="2553" spans="1:7" x14ac:dyDescent="0.3">
      <c r="A2553" s="14" t="str">
        <f>VLOOKUP(B2553,'Relacion codigos'!$A:$B,2,FALSE)</f>
        <v>6224</v>
      </c>
      <c r="B2553" s="6" t="s">
        <v>5418</v>
      </c>
      <c r="C2553" s="6" t="s">
        <v>10000</v>
      </c>
      <c r="D2553" s="24">
        <v>2.729142</v>
      </c>
      <c r="E2553" s="6" t="s">
        <v>5887</v>
      </c>
      <c r="F2553" s="6">
        <v>10.5</v>
      </c>
      <c r="G2553" s="8">
        <f t="shared" si="39"/>
        <v>4243.8158100000001</v>
      </c>
    </row>
    <row r="2554" spans="1:7" x14ac:dyDescent="0.3">
      <c r="A2554" s="14" t="e">
        <f>VLOOKUP(B2554,'Relacion codigos'!$A:$B,2,FALSE)</f>
        <v>#N/A</v>
      </c>
      <c r="B2554" s="6" t="s">
        <v>11605</v>
      </c>
      <c r="C2554" s="6" t="s">
        <v>13116</v>
      </c>
      <c r="D2554" s="24">
        <v>2.729142</v>
      </c>
      <c r="E2554" s="6" t="s">
        <v>5887</v>
      </c>
      <c r="F2554" s="6">
        <v>10.5</v>
      </c>
      <c r="G2554" s="8">
        <f t="shared" si="39"/>
        <v>4243.8158100000001</v>
      </c>
    </row>
    <row r="2555" spans="1:7" x14ac:dyDescent="0.3">
      <c r="A2555" s="14" t="e">
        <f>VLOOKUP(B2555,'Relacion codigos'!$A:$B,2,FALSE)</f>
        <v>#N/A</v>
      </c>
      <c r="B2555" s="6" t="s">
        <v>9829</v>
      </c>
      <c r="C2555" s="6" t="s">
        <v>11606</v>
      </c>
      <c r="D2555" s="24">
        <v>22.924792799999999</v>
      </c>
      <c r="E2555" s="6" t="s">
        <v>5887</v>
      </c>
      <c r="F2555" s="6">
        <v>10.5</v>
      </c>
      <c r="G2555" s="8">
        <f t="shared" si="39"/>
        <v>35648.052803999999</v>
      </c>
    </row>
    <row r="2556" spans="1:7" x14ac:dyDescent="0.3">
      <c r="A2556" s="14" t="str">
        <f>VLOOKUP(B2556,'Relacion codigos'!$A:$B,2,FALSE)</f>
        <v>8347</v>
      </c>
      <c r="B2556" s="6" t="s">
        <v>5432</v>
      </c>
      <c r="C2556" s="6" t="s">
        <v>11607</v>
      </c>
      <c r="D2556" s="24">
        <v>4.1653216799999999</v>
      </c>
      <c r="E2556" s="6" t="s">
        <v>5887</v>
      </c>
      <c r="F2556" s="6">
        <v>10.5</v>
      </c>
      <c r="G2556" s="8">
        <f t="shared" si="39"/>
        <v>6477.0752124000001</v>
      </c>
    </row>
    <row r="2557" spans="1:7" x14ac:dyDescent="0.3">
      <c r="A2557" s="14" t="e">
        <f>VLOOKUP(B2557,'Relacion codigos'!$A:$B,2,FALSE)</f>
        <v>#N/A</v>
      </c>
      <c r="B2557" s="6" t="s">
        <v>10314</v>
      </c>
      <c r="C2557" s="6" t="s">
        <v>13714</v>
      </c>
      <c r="D2557" s="24">
        <v>5.0095499999999999</v>
      </c>
      <c r="E2557" s="6" t="s">
        <v>5887</v>
      </c>
      <c r="F2557" s="6">
        <v>10.5</v>
      </c>
      <c r="G2557" s="8">
        <f t="shared" si="39"/>
        <v>7789.8502499999995</v>
      </c>
    </row>
    <row r="2558" spans="1:7" x14ac:dyDescent="0.3">
      <c r="A2558" s="14" t="str">
        <f>VLOOKUP(B2558,'Relacion codigos'!$A:$B,2,FALSE)</f>
        <v>7092</v>
      </c>
      <c r="B2558" s="6" t="s">
        <v>5415</v>
      </c>
      <c r="C2558" s="6" t="s">
        <v>11608</v>
      </c>
      <c r="D2558" s="24">
        <v>3.5992125000000001</v>
      </c>
      <c r="E2558" s="6" t="s">
        <v>5887</v>
      </c>
      <c r="F2558" s="6">
        <v>10.5</v>
      </c>
      <c r="G2558" s="8">
        <f t="shared" si="39"/>
        <v>5596.7754375000004</v>
      </c>
    </row>
    <row r="2559" spans="1:7" x14ac:dyDescent="0.3">
      <c r="A2559" s="14" t="e">
        <f>VLOOKUP(B2559,'Relacion codigos'!$A:$B,2,FALSE)</f>
        <v>#N/A</v>
      </c>
      <c r="B2559" s="6" t="s">
        <v>10745</v>
      </c>
      <c r="C2559" s="6" t="s">
        <v>10746</v>
      </c>
      <c r="D2559" s="24">
        <v>3.3989085000000001</v>
      </c>
      <c r="E2559" s="6" t="s">
        <v>5887</v>
      </c>
      <c r="F2559" s="6">
        <v>10.5</v>
      </c>
      <c r="G2559" s="8">
        <f t="shared" si="39"/>
        <v>5285.3027174999997</v>
      </c>
    </row>
    <row r="2560" spans="1:7" x14ac:dyDescent="0.3">
      <c r="A2560" s="14" t="str">
        <f>VLOOKUP(B2560,'Relacion codigos'!$A:$B,2,FALSE)</f>
        <v>6225</v>
      </c>
      <c r="B2560" s="6" t="s">
        <v>5426</v>
      </c>
      <c r="C2560" s="6" t="s">
        <v>10199</v>
      </c>
      <c r="D2560" s="24">
        <v>3.3989085000000001</v>
      </c>
      <c r="E2560" s="6" t="s">
        <v>5887</v>
      </c>
      <c r="F2560" s="6">
        <v>10.5</v>
      </c>
      <c r="G2560" s="8">
        <f t="shared" si="39"/>
        <v>5285.3027174999997</v>
      </c>
    </row>
    <row r="2561" spans="1:7" x14ac:dyDescent="0.3">
      <c r="A2561" s="14" t="str">
        <f>VLOOKUP(B2561,'Relacion codigos'!$A:$B,2,FALSE)</f>
        <v>8348</v>
      </c>
      <c r="B2561" s="6" t="s">
        <v>5438</v>
      </c>
      <c r="C2561" s="6" t="s">
        <v>11609</v>
      </c>
      <c r="D2561" s="24">
        <v>6.0291503999999998</v>
      </c>
      <c r="E2561" s="6" t="s">
        <v>5887</v>
      </c>
      <c r="F2561" s="6">
        <v>10.5</v>
      </c>
      <c r="G2561" s="8">
        <f t="shared" si="39"/>
        <v>9375.328872</v>
      </c>
    </row>
    <row r="2562" spans="1:7" x14ac:dyDescent="0.3">
      <c r="A2562" s="14" t="e">
        <f>VLOOKUP(B2562,'Relacion codigos'!$A:$B,2,FALSE)</f>
        <v>#N/A</v>
      </c>
      <c r="B2562" s="6" t="s">
        <v>13762</v>
      </c>
      <c r="C2562" s="6" t="s">
        <v>13763</v>
      </c>
      <c r="D2562" s="24">
        <v>6.6543749999999999</v>
      </c>
      <c r="E2562" s="6" t="s">
        <v>5887</v>
      </c>
      <c r="F2562" s="6">
        <v>10.5</v>
      </c>
      <c r="G2562" s="8">
        <f t="shared" ref="G2562:G2625" si="40">IF(E2562="Dolares",D2562*$G$1,D2562)</f>
        <v>10347.553125</v>
      </c>
    </row>
    <row r="2563" spans="1:7" x14ac:dyDescent="0.3">
      <c r="A2563" s="14" t="e">
        <f>VLOOKUP(B2563,'Relacion codigos'!$A:$B,2,FALSE)</f>
        <v>#N/A</v>
      </c>
      <c r="B2563" s="6" t="s">
        <v>13697</v>
      </c>
      <c r="C2563" s="6" t="s">
        <v>13698</v>
      </c>
      <c r="D2563" s="24">
        <v>6.3472499999999998</v>
      </c>
      <c r="E2563" s="6" t="s">
        <v>5887</v>
      </c>
      <c r="F2563" s="6">
        <v>10.5</v>
      </c>
      <c r="G2563" s="8">
        <f t="shared" si="40"/>
        <v>9869.9737499999992</v>
      </c>
    </row>
    <row r="2564" spans="1:7" x14ac:dyDescent="0.3">
      <c r="A2564" s="14" t="e">
        <f>VLOOKUP(B2564,'Relacion codigos'!$A:$B,2,FALSE)</f>
        <v>#N/A</v>
      </c>
      <c r="B2564" s="6" t="s">
        <v>9538</v>
      </c>
      <c r="C2564" s="6" t="s">
        <v>10001</v>
      </c>
      <c r="D2564" s="24">
        <v>6.1405694999999998</v>
      </c>
      <c r="E2564" s="6" t="s">
        <v>5887</v>
      </c>
      <c r="F2564" s="6">
        <v>10.5</v>
      </c>
      <c r="G2564" s="8">
        <f t="shared" si="40"/>
        <v>9548.5855725000001</v>
      </c>
    </row>
    <row r="2565" spans="1:7" x14ac:dyDescent="0.3">
      <c r="A2565" s="14" t="str">
        <f>VLOOKUP(B2565,'Relacion codigos'!$A:$B,2,FALSE)</f>
        <v>8349</v>
      </c>
      <c r="B2565" s="6" t="s">
        <v>5440</v>
      </c>
      <c r="C2565" s="6" t="s">
        <v>11610</v>
      </c>
      <c r="D2565" s="24">
        <v>11.9581488</v>
      </c>
      <c r="E2565" s="6" t="s">
        <v>5887</v>
      </c>
      <c r="F2565" s="6">
        <v>10.5</v>
      </c>
      <c r="G2565" s="8">
        <f t="shared" si="40"/>
        <v>18594.921384000001</v>
      </c>
    </row>
    <row r="2566" spans="1:7" x14ac:dyDescent="0.3">
      <c r="A2566" s="14" t="str">
        <f>VLOOKUP(B2566,'Relacion codigos'!$A:$B,2,FALSE)</f>
        <v>7086</v>
      </c>
      <c r="B2566" s="6" t="s">
        <v>5441</v>
      </c>
      <c r="C2566" s="6" t="s">
        <v>11611</v>
      </c>
      <c r="D2566" s="24">
        <v>46.637080775999998</v>
      </c>
      <c r="E2566" s="6" t="s">
        <v>5887</v>
      </c>
      <c r="F2566" s="6">
        <v>10.5</v>
      </c>
      <c r="G2566" s="8">
        <f t="shared" si="40"/>
        <v>72520.660606680001</v>
      </c>
    </row>
    <row r="2567" spans="1:7" x14ac:dyDescent="0.3">
      <c r="A2567" s="14" t="str">
        <f>VLOOKUP(B2567,'Relacion codigos'!$A:$B,2,FALSE)</f>
        <v>6168</v>
      </c>
      <c r="B2567" s="6" t="s">
        <v>5429</v>
      </c>
      <c r="C2567" s="6" t="s">
        <v>11541</v>
      </c>
      <c r="D2567" s="24">
        <v>26.733907200000001</v>
      </c>
      <c r="E2567" s="6" t="s">
        <v>5887</v>
      </c>
      <c r="F2567" s="6">
        <v>10.5</v>
      </c>
      <c r="G2567" s="8">
        <f t="shared" si="40"/>
        <v>41571.225696000001</v>
      </c>
    </row>
    <row r="2568" spans="1:7" x14ac:dyDescent="0.3">
      <c r="A2568" s="14" t="e">
        <f>VLOOKUP(B2568,'Relacion codigos'!$A:$B,2,FALSE)</f>
        <v>#N/A</v>
      </c>
      <c r="B2568" s="6" t="s">
        <v>9539</v>
      </c>
      <c r="C2568" s="6" t="s">
        <v>10316</v>
      </c>
      <c r="D2568" s="24">
        <v>10.841454000000001</v>
      </c>
      <c r="E2568" s="6" t="s">
        <v>5887</v>
      </c>
      <c r="F2568" s="6">
        <v>10.5</v>
      </c>
      <c r="G2568" s="8">
        <f t="shared" si="40"/>
        <v>16858.46097</v>
      </c>
    </row>
    <row r="2569" spans="1:7" x14ac:dyDescent="0.3">
      <c r="A2569" s="14" t="str">
        <f>VLOOKUP(B2569,'Relacion codigos'!$A:$B,2,FALSE)</f>
        <v>8651</v>
      </c>
      <c r="B2569" s="6" t="s">
        <v>5430</v>
      </c>
      <c r="C2569" s="6" t="s">
        <v>12294</v>
      </c>
      <c r="D2569" s="24">
        <v>14.9677164</v>
      </c>
      <c r="E2569" s="6" t="s">
        <v>5887</v>
      </c>
      <c r="F2569" s="6">
        <v>10.5</v>
      </c>
      <c r="G2569" s="8">
        <f t="shared" si="40"/>
        <v>23274.799002</v>
      </c>
    </row>
    <row r="2570" spans="1:7" x14ac:dyDescent="0.3">
      <c r="A2570" s="14" t="str">
        <f>VLOOKUP(B2570,'Relacion codigos'!$A:$B,2,FALSE)</f>
        <v>528</v>
      </c>
      <c r="B2570" s="6" t="s">
        <v>5613</v>
      </c>
      <c r="C2570" s="6" t="s">
        <v>398</v>
      </c>
      <c r="D2570" s="24">
        <v>2.4153991918144202</v>
      </c>
      <c r="E2570" s="6" t="s">
        <v>5887</v>
      </c>
      <c r="F2570" s="6">
        <v>21</v>
      </c>
      <c r="G2570" s="8">
        <f t="shared" si="40"/>
        <v>3755.9457432714235</v>
      </c>
    </row>
    <row r="2571" spans="1:7" x14ac:dyDescent="0.3">
      <c r="A2571" s="14" t="str">
        <f>VLOOKUP(B2571,'Relacion codigos'!$A:$B,2,FALSE)</f>
        <v>530</v>
      </c>
      <c r="B2571" s="6" t="s">
        <v>5614</v>
      </c>
      <c r="C2571" s="6" t="s">
        <v>399</v>
      </c>
      <c r="D2571" s="24">
        <v>2.4153991918144202</v>
      </c>
      <c r="E2571" s="6" t="s">
        <v>5887</v>
      </c>
      <c r="F2571" s="6">
        <v>21</v>
      </c>
      <c r="G2571" s="8">
        <f t="shared" si="40"/>
        <v>3755.9457432714235</v>
      </c>
    </row>
    <row r="2572" spans="1:7" x14ac:dyDescent="0.3">
      <c r="A2572" s="14" t="e">
        <f>VLOOKUP(B2572,'Relacion codigos'!$A:$B,2,FALSE)</f>
        <v>#N/A</v>
      </c>
      <c r="B2572" s="6" t="s">
        <v>10013</v>
      </c>
      <c r="C2572" s="6" t="s">
        <v>10014</v>
      </c>
      <c r="D2572" s="24">
        <v>0.44372899999999998</v>
      </c>
      <c r="E2572" s="6" t="s">
        <v>5887</v>
      </c>
      <c r="F2572" s="6">
        <v>21</v>
      </c>
      <c r="G2572" s="8">
        <f t="shared" si="40"/>
        <v>689.99859500000002</v>
      </c>
    </row>
    <row r="2573" spans="1:7" x14ac:dyDescent="0.3">
      <c r="A2573" s="14" t="e">
        <f>VLOOKUP(B2573,'Relacion codigos'!$A:$B,2,FALSE)</f>
        <v>#N/A</v>
      </c>
      <c r="B2573" s="6" t="s">
        <v>10015</v>
      </c>
      <c r="C2573" s="6" t="s">
        <v>10016</v>
      </c>
      <c r="D2573" s="24">
        <v>0.44372899999999998</v>
      </c>
      <c r="E2573" s="6" t="s">
        <v>5887</v>
      </c>
      <c r="F2573" s="6">
        <v>21</v>
      </c>
      <c r="G2573" s="8">
        <f t="shared" si="40"/>
        <v>689.99859500000002</v>
      </c>
    </row>
    <row r="2574" spans="1:7" x14ac:dyDescent="0.3">
      <c r="A2574" s="14" t="str">
        <f>VLOOKUP(B2574,'Relacion codigos'!$A:$B,2,FALSE)</f>
        <v>8114</v>
      </c>
      <c r="B2574" s="6" t="s">
        <v>5556</v>
      </c>
      <c r="C2574" s="6" t="s">
        <v>958</v>
      </c>
      <c r="D2574" s="24">
        <v>3.7800143322499999</v>
      </c>
      <c r="E2574" s="6" t="s">
        <v>5887</v>
      </c>
      <c r="F2574" s="6">
        <v>10.5</v>
      </c>
      <c r="G2574" s="8">
        <f t="shared" si="40"/>
        <v>5877.9222866487498</v>
      </c>
    </row>
    <row r="2575" spans="1:7" x14ac:dyDescent="0.3">
      <c r="A2575" s="14" t="str">
        <f>VLOOKUP(B2575,'Relacion codigos'!$A:$B,2,FALSE)</f>
        <v>3097</v>
      </c>
      <c r="B2575" s="6" t="s">
        <v>5610</v>
      </c>
      <c r="C2575" s="6" t="s">
        <v>12608</v>
      </c>
      <c r="D2575" s="24">
        <v>3.292497</v>
      </c>
      <c r="E2575" s="6" t="s">
        <v>5887</v>
      </c>
      <c r="F2575" s="6">
        <v>10.5</v>
      </c>
      <c r="G2575" s="8">
        <f t="shared" si="40"/>
        <v>5119.8328350000002</v>
      </c>
    </row>
    <row r="2576" spans="1:7" x14ac:dyDescent="0.3">
      <c r="A2576" s="14" t="str">
        <f>VLOOKUP(B2576,'Relacion codigos'!$A:$B,2,FALSE)</f>
        <v>5428</v>
      </c>
      <c r="B2576" s="6" t="s">
        <v>5557</v>
      </c>
      <c r="C2576" s="6" t="s">
        <v>10438</v>
      </c>
      <c r="D2576" s="24">
        <v>6197.1844240800001</v>
      </c>
      <c r="E2576" s="6" t="s">
        <v>5889</v>
      </c>
      <c r="F2576" s="6">
        <v>10.5</v>
      </c>
      <c r="G2576" s="8">
        <f t="shared" si="40"/>
        <v>6197.1844240800001</v>
      </c>
    </row>
    <row r="2577" spans="1:7" x14ac:dyDescent="0.3">
      <c r="A2577" s="14" t="str">
        <f>VLOOKUP(B2577,'Relacion codigos'!$A:$B,2,FALSE)</f>
        <v>5427</v>
      </c>
      <c r="B2577" s="6" t="s">
        <v>5558</v>
      </c>
      <c r="C2577" s="6" t="s">
        <v>10439</v>
      </c>
      <c r="D2577" s="24">
        <v>6197.1844240800001</v>
      </c>
      <c r="E2577" s="6" t="s">
        <v>5889</v>
      </c>
      <c r="F2577" s="6">
        <v>10.5</v>
      </c>
      <c r="G2577" s="8">
        <f t="shared" si="40"/>
        <v>6197.1844240800001</v>
      </c>
    </row>
    <row r="2578" spans="1:7" x14ac:dyDescent="0.3">
      <c r="A2578" s="14" t="e">
        <f>VLOOKUP(B2578,'Relacion codigos'!$A:$B,2,FALSE)</f>
        <v>#N/A</v>
      </c>
      <c r="B2578" s="6" t="s">
        <v>9592</v>
      </c>
      <c r="C2578" s="6" t="s">
        <v>10992</v>
      </c>
      <c r="D2578" s="24">
        <v>4.8807407999999999</v>
      </c>
      <c r="E2578" s="6" t="s">
        <v>5887</v>
      </c>
      <c r="F2578" s="6">
        <v>10.5</v>
      </c>
      <c r="G2578" s="8">
        <f t="shared" si="40"/>
        <v>7589.5519439999998</v>
      </c>
    </row>
    <row r="2579" spans="1:7" x14ac:dyDescent="0.3">
      <c r="A2579" s="14" t="str">
        <f>VLOOKUP(B2579,'Relacion codigos'!$A:$B,2,FALSE)</f>
        <v>6934</v>
      </c>
      <c r="B2579" s="6" t="s">
        <v>5446</v>
      </c>
      <c r="C2579" s="6" t="s">
        <v>10440</v>
      </c>
      <c r="D2579" s="24">
        <v>758.41892216999997</v>
      </c>
      <c r="E2579" s="6" t="s">
        <v>5889</v>
      </c>
      <c r="F2579" s="6">
        <v>10.5</v>
      </c>
      <c r="G2579" s="8">
        <f t="shared" si="40"/>
        <v>758.41892216999997</v>
      </c>
    </row>
    <row r="2580" spans="1:7" x14ac:dyDescent="0.3">
      <c r="A2580" s="14" t="str">
        <f>VLOOKUP(B2580,'Relacion codigos'!$A:$B,2,FALSE)</f>
        <v>6093</v>
      </c>
      <c r="B2580" s="6" t="s">
        <v>5530</v>
      </c>
      <c r="C2580" s="6" t="s">
        <v>9142</v>
      </c>
      <c r="D2580" s="24">
        <v>7.5912246799133003</v>
      </c>
      <c r="E2580" s="6" t="s">
        <v>5887</v>
      </c>
      <c r="F2580" s="6">
        <v>10.5</v>
      </c>
      <c r="G2580" s="8">
        <f t="shared" si="40"/>
        <v>11804.354377265183</v>
      </c>
    </row>
    <row r="2581" spans="1:7" x14ac:dyDescent="0.3">
      <c r="A2581" s="14" t="str">
        <f>VLOOKUP(B2581,'Relacion codigos'!$A:$B,2,FALSE)</f>
        <v>7220</v>
      </c>
      <c r="B2581" s="6" t="s">
        <v>5312</v>
      </c>
      <c r="C2581" s="6" t="s">
        <v>10443</v>
      </c>
      <c r="D2581" s="24">
        <v>8961.0626429999993</v>
      </c>
      <c r="E2581" s="6" t="s">
        <v>5889</v>
      </c>
      <c r="F2581" s="6">
        <v>10.5</v>
      </c>
      <c r="G2581" s="8">
        <f t="shared" si="40"/>
        <v>8961.0626429999993</v>
      </c>
    </row>
    <row r="2582" spans="1:7" x14ac:dyDescent="0.3">
      <c r="A2582" s="14" t="str">
        <f>VLOOKUP(B2582,'Relacion codigos'!$A:$B,2,FALSE)</f>
        <v>6939</v>
      </c>
      <c r="B2582" s="6" t="s">
        <v>5314</v>
      </c>
      <c r="C2582" s="6" t="s">
        <v>10444</v>
      </c>
      <c r="D2582" s="24">
        <v>3934.9614388499999</v>
      </c>
      <c r="E2582" s="6" t="s">
        <v>5889</v>
      </c>
      <c r="F2582" s="6">
        <v>10.5</v>
      </c>
      <c r="G2582" s="8">
        <f t="shared" si="40"/>
        <v>3934.9614388499999</v>
      </c>
    </row>
    <row r="2583" spans="1:7" x14ac:dyDescent="0.3">
      <c r="A2583" s="14" t="str">
        <f>VLOOKUP(B2583,'Relacion codigos'!$A:$B,2,FALSE)</f>
        <v>7426</v>
      </c>
      <c r="B2583" s="6" t="s">
        <v>5319</v>
      </c>
      <c r="C2583" s="6" t="s">
        <v>10445</v>
      </c>
      <c r="D2583" s="24">
        <v>5839.6252590000004</v>
      </c>
      <c r="E2583" s="6" t="s">
        <v>5889</v>
      </c>
      <c r="F2583" s="6">
        <v>10.5</v>
      </c>
      <c r="G2583" s="8">
        <f t="shared" si="40"/>
        <v>5839.6252590000004</v>
      </c>
    </row>
    <row r="2584" spans="1:7" x14ac:dyDescent="0.3">
      <c r="A2584" s="14" t="str">
        <f>VLOOKUP(B2584,'Relacion codigos'!$A:$B,2,FALSE)</f>
        <v>7475</v>
      </c>
      <c r="B2584" s="6" t="s">
        <v>5548</v>
      </c>
      <c r="C2584" s="6" t="s">
        <v>10446</v>
      </c>
      <c r="D2584" s="24">
        <v>0.79120080000000004</v>
      </c>
      <c r="E2584" s="6" t="s">
        <v>5887</v>
      </c>
      <c r="F2584" s="6">
        <v>10.5</v>
      </c>
      <c r="G2584" s="8">
        <f t="shared" si="40"/>
        <v>1230.3172440000001</v>
      </c>
    </row>
    <row r="2585" spans="1:7" x14ac:dyDescent="0.3">
      <c r="A2585" s="14" t="str">
        <f>VLOOKUP(B2585,'Relacion codigos'!$A:$B,2,FALSE)</f>
        <v>7477</v>
      </c>
      <c r="B2585" s="6" t="s">
        <v>5550</v>
      </c>
      <c r="C2585" s="6" t="s">
        <v>10447</v>
      </c>
      <c r="D2585" s="24">
        <v>1.1166948000000001</v>
      </c>
      <c r="E2585" s="6" t="s">
        <v>5887</v>
      </c>
      <c r="F2585" s="6">
        <v>10.5</v>
      </c>
      <c r="G2585" s="8">
        <f t="shared" si="40"/>
        <v>1736.4604140000001</v>
      </c>
    </row>
    <row r="2586" spans="1:7" x14ac:dyDescent="0.3">
      <c r="A2586" s="14" t="str">
        <f>VLOOKUP(B2586,'Relacion codigos'!$A:$B,2,FALSE)</f>
        <v>7474</v>
      </c>
      <c r="B2586" s="6" t="s">
        <v>5552</v>
      </c>
      <c r="C2586" s="6" t="s">
        <v>10448</v>
      </c>
      <c r="D2586" s="24">
        <v>0.5858892</v>
      </c>
      <c r="E2586" s="6" t="s">
        <v>5887</v>
      </c>
      <c r="F2586" s="6">
        <v>10.5</v>
      </c>
      <c r="G2586" s="8">
        <f t="shared" si="40"/>
        <v>911.05770600000005</v>
      </c>
    </row>
    <row r="2587" spans="1:7" x14ac:dyDescent="0.3">
      <c r="A2587" s="14" t="str">
        <f>VLOOKUP(B2587,'Relacion codigos'!$A:$B,2,FALSE)</f>
        <v>2592</v>
      </c>
      <c r="B2587" s="6" t="s">
        <v>5600</v>
      </c>
      <c r="C2587" s="6" t="s">
        <v>13047</v>
      </c>
      <c r="D2587" s="24">
        <v>12.99194</v>
      </c>
      <c r="E2587" s="6" t="s">
        <v>5887</v>
      </c>
      <c r="F2587" s="6">
        <v>21</v>
      </c>
      <c r="G2587" s="8">
        <f t="shared" si="40"/>
        <v>20202.466700000001</v>
      </c>
    </row>
    <row r="2588" spans="1:7" x14ac:dyDescent="0.3">
      <c r="A2588" s="14" t="str">
        <f>VLOOKUP(B2588,'Relacion codigos'!$A:$B,2,FALSE)</f>
        <v>7140</v>
      </c>
      <c r="B2588" s="6" t="s">
        <v>5444</v>
      </c>
      <c r="C2588" s="6" t="s">
        <v>10449</v>
      </c>
      <c r="D2588" s="24">
        <v>13.858533</v>
      </c>
      <c r="E2588" s="6" t="s">
        <v>5887</v>
      </c>
      <c r="F2588" s="6">
        <v>10.5</v>
      </c>
      <c r="G2588" s="8">
        <f t="shared" si="40"/>
        <v>21550.018814999999</v>
      </c>
    </row>
    <row r="2589" spans="1:7" x14ac:dyDescent="0.3">
      <c r="A2589" s="14" t="str">
        <f>VLOOKUP(B2589,'Relacion codigos'!$A:$B,2,FALSE)</f>
        <v>7139</v>
      </c>
      <c r="B2589" s="6" t="s">
        <v>5443</v>
      </c>
      <c r="C2589" s="6" t="s">
        <v>10450</v>
      </c>
      <c r="D2589" s="24">
        <v>13.858533</v>
      </c>
      <c r="E2589" s="6" t="s">
        <v>5887</v>
      </c>
      <c r="F2589" s="6">
        <v>10.5</v>
      </c>
      <c r="G2589" s="8">
        <f t="shared" si="40"/>
        <v>21550.018814999999</v>
      </c>
    </row>
    <row r="2590" spans="1:7" x14ac:dyDescent="0.3">
      <c r="A2590" s="14" t="str">
        <f>VLOOKUP(B2590,'Relacion codigos'!$A:$B,2,FALSE)</f>
        <v>1125</v>
      </c>
      <c r="B2590" s="6" t="s">
        <v>5617</v>
      </c>
      <c r="C2590" s="6" t="s">
        <v>400</v>
      </c>
      <c r="D2590" s="24">
        <v>27.5546183995055</v>
      </c>
      <c r="E2590" s="6" t="s">
        <v>5887</v>
      </c>
      <c r="F2590" s="6">
        <v>21</v>
      </c>
      <c r="G2590" s="8">
        <f t="shared" si="40"/>
        <v>42847.431611231055</v>
      </c>
    </row>
    <row r="2591" spans="1:7" x14ac:dyDescent="0.3">
      <c r="A2591" s="14" t="str">
        <f>VLOOKUP(B2591,'Relacion codigos'!$A:$B,2,FALSE)</f>
        <v>1199</v>
      </c>
      <c r="B2591" s="6" t="s">
        <v>5618</v>
      </c>
      <c r="C2591" s="6" t="s">
        <v>400</v>
      </c>
      <c r="D2591" s="24">
        <v>71991.812853089999</v>
      </c>
      <c r="E2591" s="6" t="s">
        <v>5889</v>
      </c>
      <c r="F2591" s="6">
        <v>21</v>
      </c>
      <c r="G2591" s="8">
        <f t="shared" si="40"/>
        <v>71991.812853089999</v>
      </c>
    </row>
    <row r="2592" spans="1:7" x14ac:dyDescent="0.3">
      <c r="A2592" s="14" t="str">
        <f>VLOOKUP(B2592,'Relacion codigos'!$A:$B,2,FALSE)</f>
        <v>867</v>
      </c>
      <c r="B2592" s="6" t="s">
        <v>5616</v>
      </c>
      <c r="C2592" s="6" t="s">
        <v>12393</v>
      </c>
      <c r="D2592" s="24">
        <v>15.9441984764099</v>
      </c>
      <c r="E2592" s="6" t="s">
        <v>5887</v>
      </c>
      <c r="F2592" s="6">
        <v>21</v>
      </c>
      <c r="G2592" s="8">
        <f t="shared" si="40"/>
        <v>24793.228630817393</v>
      </c>
    </row>
    <row r="2593" spans="1:7" x14ac:dyDescent="0.3">
      <c r="A2593" s="14" t="str">
        <f>VLOOKUP(B2593,'Relacion codigos'!$A:$B,2,FALSE)</f>
        <v>288</v>
      </c>
      <c r="B2593" s="6" t="s">
        <v>5621</v>
      </c>
      <c r="C2593" s="6" t="s">
        <v>9957</v>
      </c>
      <c r="D2593" s="24">
        <v>67627.540741279998</v>
      </c>
      <c r="E2593" s="6" t="s">
        <v>5889</v>
      </c>
      <c r="F2593" s="6">
        <v>21</v>
      </c>
      <c r="G2593" s="8">
        <f t="shared" si="40"/>
        <v>67627.540741279998</v>
      </c>
    </row>
    <row r="2594" spans="1:7" x14ac:dyDescent="0.3">
      <c r="A2594" s="14" t="str">
        <f>VLOOKUP(B2594,'Relacion codigos'!$A:$B,2,FALSE)</f>
        <v>1126</v>
      </c>
      <c r="B2594" s="6" t="s">
        <v>5619</v>
      </c>
      <c r="C2594" s="6" t="s">
        <v>401</v>
      </c>
      <c r="D2594" s="24">
        <v>27.5546183995055</v>
      </c>
      <c r="E2594" s="6" t="s">
        <v>5887</v>
      </c>
      <c r="F2594" s="6">
        <v>21</v>
      </c>
      <c r="G2594" s="8">
        <f t="shared" si="40"/>
        <v>42847.431611231055</v>
      </c>
    </row>
    <row r="2595" spans="1:7" x14ac:dyDescent="0.3">
      <c r="A2595" s="14" t="str">
        <f>VLOOKUP(B2595,'Relacion codigos'!$A:$B,2,FALSE)</f>
        <v>1839</v>
      </c>
      <c r="B2595" s="6" t="s">
        <v>5620</v>
      </c>
      <c r="C2595" s="6" t="s">
        <v>402</v>
      </c>
      <c r="D2595" s="24">
        <v>24.742551523590102</v>
      </c>
      <c r="E2595" s="6" t="s">
        <v>5887</v>
      </c>
      <c r="F2595" s="6">
        <v>21</v>
      </c>
      <c r="G2595" s="8">
        <f t="shared" si="40"/>
        <v>38474.667619182605</v>
      </c>
    </row>
    <row r="2596" spans="1:7" x14ac:dyDescent="0.3">
      <c r="A2596" s="14" t="str">
        <f>VLOOKUP(B2596,'Relacion codigos'!$A:$B,2,FALSE)</f>
        <v>291</v>
      </c>
      <c r="B2596" s="6" t="s">
        <v>5625</v>
      </c>
      <c r="C2596" s="6" t="s">
        <v>9958</v>
      </c>
      <c r="D2596" s="24">
        <v>20308.848780349999</v>
      </c>
      <c r="E2596" s="6" t="s">
        <v>5889</v>
      </c>
      <c r="F2596" s="6">
        <v>21</v>
      </c>
      <c r="G2596" s="8">
        <f t="shared" si="40"/>
        <v>20308.848780349999</v>
      </c>
    </row>
    <row r="2597" spans="1:7" x14ac:dyDescent="0.3">
      <c r="A2597" s="14" t="str">
        <f>VLOOKUP(B2597,'Relacion codigos'!$A:$B,2,FALSE)</f>
        <v>1124</v>
      </c>
      <c r="B2597" s="6" t="s">
        <v>5623</v>
      </c>
      <c r="C2597" s="6" t="s">
        <v>403</v>
      </c>
      <c r="D2597" s="24">
        <v>27.5546183995055</v>
      </c>
      <c r="E2597" s="6" t="s">
        <v>5887</v>
      </c>
      <c r="F2597" s="6">
        <v>21</v>
      </c>
      <c r="G2597" s="8">
        <f t="shared" si="40"/>
        <v>42847.431611231055</v>
      </c>
    </row>
    <row r="2598" spans="1:7" x14ac:dyDescent="0.3">
      <c r="A2598" s="14" t="str">
        <f>VLOOKUP(B2598,'Relacion codigos'!$A:$B,2,FALSE)</f>
        <v>1722</v>
      </c>
      <c r="B2598" s="6" t="s">
        <v>5624</v>
      </c>
      <c r="C2598" s="6" t="s">
        <v>404</v>
      </c>
      <c r="D2598" s="24">
        <v>15.9441984764099</v>
      </c>
      <c r="E2598" s="6" t="s">
        <v>5887</v>
      </c>
      <c r="F2598" s="6">
        <v>21</v>
      </c>
      <c r="G2598" s="8">
        <f t="shared" si="40"/>
        <v>24793.228630817393</v>
      </c>
    </row>
    <row r="2599" spans="1:7" x14ac:dyDescent="0.3">
      <c r="A2599" s="14" t="str">
        <f>VLOOKUP(B2599,'Relacion codigos'!$A:$B,2,FALSE)</f>
        <v>490</v>
      </c>
      <c r="B2599" s="6" t="s">
        <v>5626</v>
      </c>
      <c r="C2599" s="6" t="s">
        <v>405</v>
      </c>
      <c r="D2599" s="24">
        <v>7.9885242492370603</v>
      </c>
      <c r="E2599" s="6" t="s">
        <v>5887</v>
      </c>
      <c r="F2599" s="6">
        <v>21</v>
      </c>
      <c r="G2599" s="8">
        <f t="shared" si="40"/>
        <v>12422.155207563628</v>
      </c>
    </row>
    <row r="2600" spans="1:7" x14ac:dyDescent="0.3">
      <c r="A2600" s="14" t="str">
        <f>VLOOKUP(B2600,'Relacion codigos'!$A:$B,2,FALSE)</f>
        <v>474</v>
      </c>
      <c r="B2600" s="6" t="s">
        <v>5627</v>
      </c>
      <c r="C2600" s="6" t="s">
        <v>406</v>
      </c>
      <c r="D2600" s="24">
        <v>4.2764903808975099</v>
      </c>
      <c r="E2600" s="6" t="s">
        <v>5887</v>
      </c>
      <c r="F2600" s="6">
        <v>21</v>
      </c>
      <c r="G2600" s="8">
        <f t="shared" si="40"/>
        <v>6649.9425422956283</v>
      </c>
    </row>
    <row r="2601" spans="1:7" x14ac:dyDescent="0.3">
      <c r="A2601" s="14" t="str">
        <f>VLOOKUP(B2601,'Relacion codigos'!$A:$B,2,FALSE)</f>
        <v>7455</v>
      </c>
      <c r="B2601" s="6" t="s">
        <v>2848</v>
      </c>
      <c r="C2601" s="6" t="s">
        <v>9082</v>
      </c>
      <c r="D2601" s="24">
        <v>2.9044080000000001</v>
      </c>
      <c r="E2601" s="6" t="s">
        <v>5887</v>
      </c>
      <c r="F2601" s="6">
        <v>21</v>
      </c>
      <c r="G2601" s="8">
        <f t="shared" si="40"/>
        <v>4516.3544400000001</v>
      </c>
    </row>
    <row r="2602" spans="1:7" x14ac:dyDescent="0.3">
      <c r="A2602" s="14" t="str">
        <f>VLOOKUP(B2602,'Relacion codigos'!$A:$B,2,FALSE)</f>
        <v>1176</v>
      </c>
      <c r="B2602" s="6" t="s">
        <v>4726</v>
      </c>
      <c r="C2602" s="6" t="s">
        <v>9092</v>
      </c>
      <c r="D2602" s="24">
        <v>420.39447423999798</v>
      </c>
      <c r="E2602" s="6" t="s">
        <v>5889</v>
      </c>
      <c r="F2602" s="6">
        <v>21</v>
      </c>
      <c r="G2602" s="8">
        <f t="shared" si="40"/>
        <v>420.39447423999798</v>
      </c>
    </row>
    <row r="2603" spans="1:7" x14ac:dyDescent="0.3">
      <c r="A2603" s="14" t="e">
        <f>VLOOKUP(B2603,'Relacion codigos'!$A:$B,2,FALSE)</f>
        <v>#N/A</v>
      </c>
      <c r="B2603" s="6" t="s">
        <v>9438</v>
      </c>
      <c r="C2603" s="6" t="s">
        <v>10451</v>
      </c>
      <c r="D2603" s="24">
        <v>34775</v>
      </c>
      <c r="E2603" s="6" t="s">
        <v>5889</v>
      </c>
      <c r="F2603" s="6">
        <v>10.5</v>
      </c>
      <c r="G2603" s="8">
        <f t="shared" si="40"/>
        <v>34775</v>
      </c>
    </row>
    <row r="2604" spans="1:7" x14ac:dyDescent="0.3">
      <c r="A2604" s="14" t="e">
        <f>VLOOKUP(B2604,'Relacion codigos'!$A:$B,2,FALSE)</f>
        <v>#N/A</v>
      </c>
      <c r="B2604" s="6" t="s">
        <v>9439</v>
      </c>
      <c r="C2604" s="6" t="s">
        <v>10452</v>
      </c>
      <c r="D2604" s="24">
        <v>34775</v>
      </c>
      <c r="E2604" s="6" t="s">
        <v>5889</v>
      </c>
      <c r="F2604" s="6">
        <v>10.5</v>
      </c>
      <c r="G2604" s="8">
        <f t="shared" si="40"/>
        <v>34775</v>
      </c>
    </row>
    <row r="2605" spans="1:7" x14ac:dyDescent="0.3">
      <c r="A2605" s="14" t="e">
        <f>VLOOKUP(B2605,'Relacion codigos'!$A:$B,2,FALSE)</f>
        <v>#N/A</v>
      </c>
      <c r="B2605" s="6" t="s">
        <v>9440</v>
      </c>
      <c r="C2605" s="6" t="s">
        <v>10453</v>
      </c>
      <c r="D2605" s="24">
        <v>34775</v>
      </c>
      <c r="E2605" s="6" t="s">
        <v>5889</v>
      </c>
      <c r="F2605" s="6">
        <v>10.5</v>
      </c>
      <c r="G2605" s="8">
        <f t="shared" si="40"/>
        <v>34775</v>
      </c>
    </row>
    <row r="2606" spans="1:7" x14ac:dyDescent="0.3">
      <c r="A2606" s="14" t="str">
        <f>VLOOKUP(B2606,'Relacion codigos'!$A:$B,2,FALSE)</f>
        <v>1714</v>
      </c>
      <c r="B2606" s="6" t="s">
        <v>5628</v>
      </c>
      <c r="C2606" s="6" t="s">
        <v>407</v>
      </c>
      <c r="D2606" s="24">
        <v>0.484068</v>
      </c>
      <c r="E2606" s="6" t="s">
        <v>5887</v>
      </c>
      <c r="F2606" s="6">
        <v>21</v>
      </c>
      <c r="G2606" s="8">
        <f t="shared" si="40"/>
        <v>752.72573999999997</v>
      </c>
    </row>
    <row r="2607" spans="1:7" x14ac:dyDescent="0.3">
      <c r="A2607" s="14" t="e">
        <f>VLOOKUP(B2607,'Relacion codigos'!$A:$B,2,FALSE)</f>
        <v>#N/A</v>
      </c>
      <c r="B2607" s="6" t="s">
        <v>9637</v>
      </c>
      <c r="C2607" s="6" t="s">
        <v>9638</v>
      </c>
      <c r="D2607" s="24">
        <v>25.6990032</v>
      </c>
      <c r="E2607" s="6" t="s">
        <v>5887</v>
      </c>
      <c r="F2607" s="6">
        <v>10.5</v>
      </c>
      <c r="G2607" s="8">
        <f t="shared" si="40"/>
        <v>39961.949976000004</v>
      </c>
    </row>
    <row r="2608" spans="1:7" x14ac:dyDescent="0.3">
      <c r="A2608" s="14" t="e">
        <f>VLOOKUP(B2608,'Relacion codigos'!$A:$B,2,FALSE)</f>
        <v>#N/A</v>
      </c>
      <c r="B2608" s="6" t="s">
        <v>9639</v>
      </c>
      <c r="C2608" s="6" t="s">
        <v>9640</v>
      </c>
      <c r="D2608" s="24">
        <v>25.6990032</v>
      </c>
      <c r="E2608" s="6" t="s">
        <v>5887</v>
      </c>
      <c r="F2608" s="6">
        <v>10.5</v>
      </c>
      <c r="G2608" s="8">
        <f t="shared" si="40"/>
        <v>39961.949976000004</v>
      </c>
    </row>
    <row r="2609" spans="1:7" x14ac:dyDescent="0.3">
      <c r="A2609" s="14" t="str">
        <f>VLOOKUP(B2609,'Relacion codigos'!$A:$B,2,FALSE)</f>
        <v>7342</v>
      </c>
      <c r="B2609" s="6" t="s">
        <v>5449</v>
      </c>
      <c r="C2609" s="6" t="s">
        <v>10454</v>
      </c>
      <c r="D2609" s="24">
        <v>24.431078880000001</v>
      </c>
      <c r="E2609" s="6" t="s">
        <v>5887</v>
      </c>
      <c r="F2609" s="6">
        <v>10.5</v>
      </c>
      <c r="G2609" s="8">
        <f t="shared" si="40"/>
        <v>37990.327658400005</v>
      </c>
    </row>
    <row r="2610" spans="1:7" x14ac:dyDescent="0.3">
      <c r="A2610" s="14" t="str">
        <f>VLOOKUP(B2610,'Relacion codigos'!$A:$B,2,FALSE)</f>
        <v>7344</v>
      </c>
      <c r="B2610" s="6" t="s">
        <v>5445</v>
      </c>
      <c r="C2610" s="6" t="s">
        <v>9786</v>
      </c>
      <c r="D2610" s="24">
        <v>25.768108080000001</v>
      </c>
      <c r="E2610" s="6" t="s">
        <v>5887</v>
      </c>
      <c r="F2610" s="6">
        <v>10.5</v>
      </c>
      <c r="G2610" s="8">
        <f t="shared" si="40"/>
        <v>40069.408064399999</v>
      </c>
    </row>
    <row r="2611" spans="1:7" x14ac:dyDescent="0.3">
      <c r="A2611" s="14" t="str">
        <f>VLOOKUP(B2611,'Relacion codigos'!$A:$B,2,FALSE)</f>
        <v>7345</v>
      </c>
      <c r="B2611" s="6" t="s">
        <v>5450</v>
      </c>
      <c r="C2611" s="6" t="s">
        <v>959</v>
      </c>
      <c r="D2611" s="24">
        <v>24.21374904</v>
      </c>
      <c r="E2611" s="6" t="s">
        <v>5887</v>
      </c>
      <c r="F2611" s="6">
        <v>10.5</v>
      </c>
      <c r="G2611" s="8">
        <f t="shared" si="40"/>
        <v>37652.379757199997</v>
      </c>
    </row>
    <row r="2612" spans="1:7" x14ac:dyDescent="0.3">
      <c r="A2612" s="14" t="str">
        <f>VLOOKUP(B2612,'Relacion codigos'!$A:$B,2,FALSE)</f>
        <v>7343</v>
      </c>
      <c r="B2612" s="6" t="s">
        <v>5451</v>
      </c>
      <c r="C2612" s="6" t="s">
        <v>960</v>
      </c>
      <c r="D2612" s="24">
        <v>31.743176399999999</v>
      </c>
      <c r="E2612" s="6" t="s">
        <v>5887</v>
      </c>
      <c r="F2612" s="6">
        <v>10.5</v>
      </c>
      <c r="G2612" s="8">
        <f t="shared" si="40"/>
        <v>49360.639301999996</v>
      </c>
    </row>
    <row r="2613" spans="1:7" x14ac:dyDescent="0.3">
      <c r="A2613" s="14" t="str">
        <f>VLOOKUP(B2613,'Relacion codigos'!$A:$B,2,FALSE)</f>
        <v>6319</v>
      </c>
      <c r="B2613" s="6" t="s">
        <v>5559</v>
      </c>
      <c r="C2613" s="6" t="s">
        <v>10455</v>
      </c>
      <c r="D2613" s="24">
        <v>1643.3065349999999</v>
      </c>
      <c r="E2613" s="6" t="s">
        <v>5889</v>
      </c>
      <c r="F2613" s="6">
        <v>10.5</v>
      </c>
      <c r="G2613" s="8">
        <f t="shared" si="40"/>
        <v>1643.3065349999999</v>
      </c>
    </row>
    <row r="2614" spans="1:7" x14ac:dyDescent="0.3">
      <c r="A2614" s="14" t="str">
        <f>VLOOKUP(B2614,'Relacion codigos'!$A:$B,2,FALSE)</f>
        <v>6933</v>
      </c>
      <c r="B2614" s="6" t="s">
        <v>5560</v>
      </c>
      <c r="C2614" s="6" t="s">
        <v>10456</v>
      </c>
      <c r="D2614" s="24">
        <v>1643.3065349999999</v>
      </c>
      <c r="E2614" s="6" t="s">
        <v>5889</v>
      </c>
      <c r="F2614" s="6">
        <v>10.5</v>
      </c>
      <c r="G2614" s="8">
        <f t="shared" si="40"/>
        <v>1643.3065349999999</v>
      </c>
    </row>
    <row r="2615" spans="1:7" x14ac:dyDescent="0.3">
      <c r="A2615" s="14" t="str">
        <f>VLOOKUP(B2615,'Relacion codigos'!$A:$B,2,FALSE)</f>
        <v>8355</v>
      </c>
      <c r="B2615" s="6" t="s">
        <v>4283</v>
      </c>
      <c r="C2615" s="6" t="s">
        <v>10457</v>
      </c>
      <c r="D2615" s="24">
        <v>147617.37119999999</v>
      </c>
      <c r="E2615" s="6" t="s">
        <v>5889</v>
      </c>
      <c r="F2615" s="6">
        <v>21</v>
      </c>
      <c r="G2615" s="8">
        <f t="shared" si="40"/>
        <v>147617.37119999999</v>
      </c>
    </row>
    <row r="2616" spans="1:7" x14ac:dyDescent="0.3">
      <c r="A2616" s="14" t="str">
        <f>VLOOKUP(B2616,'Relacion codigos'!$A:$B,2,FALSE)</f>
        <v>5156</v>
      </c>
      <c r="B2616" s="6" t="s">
        <v>4986</v>
      </c>
      <c r="C2616" s="6" t="s">
        <v>9096</v>
      </c>
      <c r="D2616" s="24">
        <v>1307.74513123319</v>
      </c>
      <c r="E2616" s="6" t="s">
        <v>5889</v>
      </c>
      <c r="F2616" s="6">
        <v>21</v>
      </c>
      <c r="G2616" s="8">
        <f t="shared" si="40"/>
        <v>1307.74513123319</v>
      </c>
    </row>
    <row r="2617" spans="1:7" x14ac:dyDescent="0.3">
      <c r="A2617" s="14" t="str">
        <f>VLOOKUP(B2617,'Relacion codigos'!$A:$B,2,FALSE)</f>
        <v>1039</v>
      </c>
      <c r="B2617" s="6" t="s">
        <v>5629</v>
      </c>
      <c r="C2617" s="6" t="s">
        <v>408</v>
      </c>
      <c r="D2617" s="24">
        <v>15.2823936982268</v>
      </c>
      <c r="E2617" s="6" t="s">
        <v>5887</v>
      </c>
      <c r="F2617" s="6">
        <v>21</v>
      </c>
      <c r="G2617" s="8">
        <f t="shared" si="40"/>
        <v>23764.122200742673</v>
      </c>
    </row>
    <row r="2618" spans="1:7" x14ac:dyDescent="0.3">
      <c r="A2618" s="14" t="e">
        <f>VLOOKUP(B2618,'Relacion codigos'!$A:$B,2,FALSE)</f>
        <v>#N/A</v>
      </c>
      <c r="B2618" s="6" t="s">
        <v>10859</v>
      </c>
      <c r="C2618" s="6" t="s">
        <v>13566</v>
      </c>
      <c r="D2618" s="24">
        <v>0.55083599999999999</v>
      </c>
      <c r="E2618" s="6" t="s">
        <v>5887</v>
      </c>
      <c r="F2618" s="6">
        <v>10.5</v>
      </c>
      <c r="G2618" s="8">
        <f t="shared" si="40"/>
        <v>856.54998000000001</v>
      </c>
    </row>
    <row r="2619" spans="1:7" x14ac:dyDescent="0.3">
      <c r="A2619" s="14" t="e">
        <f>VLOOKUP(B2619,'Relacion codigos'!$A:$B,2,FALSE)</f>
        <v>#N/A</v>
      </c>
      <c r="B2619" s="6" t="s">
        <v>9419</v>
      </c>
      <c r="C2619" s="6" t="s">
        <v>13567</v>
      </c>
      <c r="D2619" s="24">
        <v>0.53205749999999996</v>
      </c>
      <c r="E2619" s="6" t="s">
        <v>5887</v>
      </c>
      <c r="F2619" s="6">
        <v>10.5</v>
      </c>
      <c r="G2619" s="8">
        <f t="shared" si="40"/>
        <v>827.34941249999997</v>
      </c>
    </row>
    <row r="2620" spans="1:7" x14ac:dyDescent="0.3">
      <c r="A2620" s="14" t="str">
        <f>VLOOKUP(B2620,'Relacion codigos'!$A:$B,2,FALSE)</f>
        <v>7103</v>
      </c>
      <c r="B2620" s="6" t="s">
        <v>5337</v>
      </c>
      <c r="C2620" s="6" t="s">
        <v>10458</v>
      </c>
      <c r="D2620" s="24">
        <v>1744.5977640000001</v>
      </c>
      <c r="E2620" s="6" t="s">
        <v>5889</v>
      </c>
      <c r="F2620" s="6">
        <v>10.5</v>
      </c>
      <c r="G2620" s="8">
        <f t="shared" si="40"/>
        <v>1744.5977640000001</v>
      </c>
    </row>
    <row r="2621" spans="1:7" x14ac:dyDescent="0.3">
      <c r="A2621" s="14" t="str">
        <f>VLOOKUP(B2621,'Relacion codigos'!$A:$B,2,FALSE)</f>
        <v>7101</v>
      </c>
      <c r="B2621" s="6" t="s">
        <v>5339</v>
      </c>
      <c r="C2621" s="6" t="s">
        <v>10459</v>
      </c>
      <c r="D2621" s="24">
        <v>1616.8288500000001</v>
      </c>
      <c r="E2621" s="6" t="s">
        <v>5889</v>
      </c>
      <c r="F2621" s="6">
        <v>10.5</v>
      </c>
      <c r="G2621" s="8">
        <f t="shared" si="40"/>
        <v>1616.8288500000001</v>
      </c>
    </row>
    <row r="2622" spans="1:7" x14ac:dyDescent="0.3">
      <c r="A2622" s="14" t="str">
        <f>VLOOKUP(B2622,'Relacion codigos'!$A:$B,2,FALSE)</f>
        <v>7102</v>
      </c>
      <c r="B2622" s="6" t="s">
        <v>5338</v>
      </c>
      <c r="C2622" s="6" t="s">
        <v>10462</v>
      </c>
      <c r="D2622" s="24">
        <v>1652.7708990000001</v>
      </c>
      <c r="E2622" s="6" t="s">
        <v>5889</v>
      </c>
      <c r="F2622" s="6">
        <v>10.5</v>
      </c>
      <c r="G2622" s="8">
        <f t="shared" si="40"/>
        <v>1652.7708990000001</v>
      </c>
    </row>
    <row r="2623" spans="1:7" x14ac:dyDescent="0.3">
      <c r="A2623" s="14" t="e">
        <f>VLOOKUP(B2623,'Relacion codigos'!$A:$B,2,FALSE)</f>
        <v>#N/A</v>
      </c>
      <c r="B2623" s="6" t="s">
        <v>10861</v>
      </c>
      <c r="C2623" s="6" t="s">
        <v>13568</v>
      </c>
      <c r="D2623" s="24">
        <v>0.55083599999999999</v>
      </c>
      <c r="E2623" s="6" t="s">
        <v>5887</v>
      </c>
      <c r="F2623" s="6">
        <v>10.5</v>
      </c>
      <c r="G2623" s="8">
        <f t="shared" si="40"/>
        <v>856.54998000000001</v>
      </c>
    </row>
    <row r="2624" spans="1:7" x14ac:dyDescent="0.3">
      <c r="A2624" s="14" t="str">
        <f>VLOOKUP(B2624,'Relacion codigos'!$A:$B,2,FALSE)</f>
        <v>6285</v>
      </c>
      <c r="B2624" s="6" t="s">
        <v>5340</v>
      </c>
      <c r="C2624" s="6" t="s">
        <v>13578</v>
      </c>
      <c r="D2624" s="24">
        <v>0.55083599999999999</v>
      </c>
      <c r="E2624" s="6" t="s">
        <v>5887</v>
      </c>
      <c r="F2624" s="6">
        <v>10.5</v>
      </c>
      <c r="G2624" s="8">
        <f t="shared" si="40"/>
        <v>856.54998000000001</v>
      </c>
    </row>
    <row r="2625" spans="1:7" x14ac:dyDescent="0.3">
      <c r="A2625" s="14" t="e">
        <f>VLOOKUP(B2625,'Relacion codigos'!$A:$B,2,FALSE)</f>
        <v>#N/A</v>
      </c>
      <c r="B2625" s="6" t="s">
        <v>9306</v>
      </c>
      <c r="C2625" s="6" t="s">
        <v>9332</v>
      </c>
      <c r="D2625" s="24">
        <v>3714.69422414172</v>
      </c>
      <c r="E2625" s="6" t="s">
        <v>5889</v>
      </c>
      <c r="F2625" s="6">
        <v>21</v>
      </c>
      <c r="G2625" s="8">
        <f t="shared" si="40"/>
        <v>3714.69422414172</v>
      </c>
    </row>
    <row r="2626" spans="1:7" x14ac:dyDescent="0.3">
      <c r="A2626" s="14" t="e">
        <f>VLOOKUP(B2626,'Relacion codigos'!$A:$B,2,FALSE)</f>
        <v>#N/A</v>
      </c>
      <c r="B2626" s="6" t="s">
        <v>9023</v>
      </c>
      <c r="C2626" s="6" t="s">
        <v>9024</v>
      </c>
      <c r="D2626" s="24">
        <v>22034.112736284998</v>
      </c>
      <c r="E2626" s="6" t="s">
        <v>5889</v>
      </c>
      <c r="F2626" s="6">
        <v>21</v>
      </c>
      <c r="G2626" s="8">
        <f t="shared" ref="G2626:G2689" si="41">IF(E2626="Dolares",D2626*$G$1,D2626)</f>
        <v>22034.112736284998</v>
      </c>
    </row>
    <row r="2627" spans="1:7" x14ac:dyDescent="0.3">
      <c r="A2627" s="14" t="e">
        <f>VLOOKUP(B2627,'Relacion codigos'!$A:$B,2,FALSE)</f>
        <v>#N/A</v>
      </c>
      <c r="B2627" s="6" t="s">
        <v>9025</v>
      </c>
      <c r="C2627" s="6" t="s">
        <v>9026</v>
      </c>
      <c r="D2627" s="24">
        <v>38055.706995280001</v>
      </c>
      <c r="E2627" s="6" t="s">
        <v>5889</v>
      </c>
      <c r="F2627" s="6">
        <v>21</v>
      </c>
      <c r="G2627" s="8">
        <f t="shared" si="41"/>
        <v>38055.706995280001</v>
      </c>
    </row>
    <row r="2628" spans="1:7" x14ac:dyDescent="0.3">
      <c r="A2628" s="14" t="str">
        <f>VLOOKUP(B2628,'Relacion codigos'!$A:$B,2,FALSE)</f>
        <v>9144</v>
      </c>
      <c r="B2628" s="6" t="s">
        <v>3317</v>
      </c>
      <c r="C2628" s="6" t="s">
        <v>9027</v>
      </c>
      <c r="D2628" s="24">
        <v>19635.378506379999</v>
      </c>
      <c r="E2628" s="6" t="s">
        <v>5889</v>
      </c>
      <c r="F2628" s="6">
        <v>21</v>
      </c>
      <c r="G2628" s="8">
        <f t="shared" si="41"/>
        <v>19635.378506379999</v>
      </c>
    </row>
    <row r="2629" spans="1:7" x14ac:dyDescent="0.3">
      <c r="A2629" s="14" t="str">
        <f>VLOOKUP(B2629,'Relacion codigos'!$A:$B,2,FALSE)</f>
        <v>NUEVO</v>
      </c>
      <c r="B2629" s="6" t="s">
        <v>5849</v>
      </c>
      <c r="C2629" s="6" t="s">
        <v>1265</v>
      </c>
      <c r="D2629" s="24">
        <v>24498.720000000001</v>
      </c>
      <c r="E2629" s="6" t="s">
        <v>5889</v>
      </c>
      <c r="F2629" s="6">
        <v>21</v>
      </c>
      <c r="G2629" s="8">
        <f t="shared" si="41"/>
        <v>24498.720000000001</v>
      </c>
    </row>
    <row r="2630" spans="1:7" x14ac:dyDescent="0.3">
      <c r="A2630" s="14" t="str">
        <f>VLOOKUP(B2630,'Relacion codigos'!$A:$B,2,FALSE)</f>
        <v>5979</v>
      </c>
      <c r="B2630" s="6" t="s">
        <v>3318</v>
      </c>
      <c r="C2630" s="6" t="s">
        <v>409</v>
      </c>
      <c r="D2630" s="24">
        <v>6.4801682400000002</v>
      </c>
      <c r="E2630" s="6" t="s">
        <v>5887</v>
      </c>
      <c r="F2630" s="6">
        <v>21</v>
      </c>
      <c r="G2630" s="8">
        <f t="shared" si="41"/>
        <v>10076.6616132</v>
      </c>
    </row>
    <row r="2631" spans="1:7" x14ac:dyDescent="0.3">
      <c r="A2631" s="14" t="str">
        <f>VLOOKUP(B2631,'Relacion codigos'!$A:$B,2,FALSE)</f>
        <v>745</v>
      </c>
      <c r="B2631" s="6" t="s">
        <v>3650</v>
      </c>
      <c r="C2631" s="6" t="s">
        <v>410</v>
      </c>
      <c r="D2631" s="24">
        <v>4.5031677600000002</v>
      </c>
      <c r="E2631" s="6" t="s">
        <v>5887</v>
      </c>
      <c r="F2631" s="6">
        <v>21</v>
      </c>
      <c r="G2631" s="8">
        <f t="shared" si="41"/>
        <v>7002.4258668000002</v>
      </c>
    </row>
    <row r="2632" spans="1:7" x14ac:dyDescent="0.3">
      <c r="A2632" s="14" t="e">
        <f>VLOOKUP(B2632,'Relacion codigos'!$A:$B,2,FALSE)</f>
        <v>#N/A</v>
      </c>
      <c r="B2632" s="6" t="s">
        <v>11994</v>
      </c>
      <c r="C2632" s="6" t="s">
        <v>11995</v>
      </c>
      <c r="D2632" s="24">
        <v>7.5962249999999996</v>
      </c>
      <c r="E2632" s="6" t="s">
        <v>5887</v>
      </c>
      <c r="F2632" s="6">
        <v>21</v>
      </c>
      <c r="G2632" s="8">
        <f t="shared" si="41"/>
        <v>11812.129874999999</v>
      </c>
    </row>
    <row r="2633" spans="1:7" x14ac:dyDescent="0.3">
      <c r="A2633" s="14" t="e">
        <f>VLOOKUP(B2633,'Relacion codigos'!$A:$B,2,FALSE)</f>
        <v>#N/A</v>
      </c>
      <c r="B2633" s="6" t="s">
        <v>11507</v>
      </c>
      <c r="C2633" s="6" t="s">
        <v>11508</v>
      </c>
      <c r="D2633" s="24">
        <v>7.5962249999999996</v>
      </c>
      <c r="E2633" s="6" t="s">
        <v>5887</v>
      </c>
      <c r="F2633" s="6">
        <v>21</v>
      </c>
      <c r="G2633" s="8">
        <f t="shared" si="41"/>
        <v>11812.129874999999</v>
      </c>
    </row>
    <row r="2634" spans="1:7" x14ac:dyDescent="0.3">
      <c r="A2634" s="14" t="e">
        <f>VLOOKUP(B2634,'Relacion codigos'!$A:$B,2,FALSE)</f>
        <v>#N/A</v>
      </c>
      <c r="B2634" s="6" t="s">
        <v>11996</v>
      </c>
      <c r="C2634" s="6" t="s">
        <v>11997</v>
      </c>
      <c r="D2634" s="24">
        <v>8.3606250000000006</v>
      </c>
      <c r="E2634" s="6" t="s">
        <v>5887</v>
      </c>
      <c r="F2634" s="6">
        <v>21</v>
      </c>
      <c r="G2634" s="8">
        <f t="shared" si="41"/>
        <v>13000.771875</v>
      </c>
    </row>
    <row r="2635" spans="1:7" x14ac:dyDescent="0.3">
      <c r="A2635" s="14" t="e">
        <f>VLOOKUP(B2635,'Relacion codigos'!$A:$B,2,FALSE)</f>
        <v>#N/A</v>
      </c>
      <c r="B2635" s="6" t="s">
        <v>11509</v>
      </c>
      <c r="C2635" s="6" t="s">
        <v>11510</v>
      </c>
      <c r="D2635" s="24">
        <v>8.3606250000000006</v>
      </c>
      <c r="E2635" s="6" t="s">
        <v>5887</v>
      </c>
      <c r="F2635" s="6">
        <v>21</v>
      </c>
      <c r="G2635" s="8">
        <f t="shared" si="41"/>
        <v>13000.771875</v>
      </c>
    </row>
    <row r="2636" spans="1:7" x14ac:dyDescent="0.3">
      <c r="A2636" s="14" t="e">
        <f>VLOOKUP(B2636,'Relacion codigos'!$A:$B,2,FALSE)</f>
        <v>#N/A</v>
      </c>
      <c r="B2636" s="6" t="s">
        <v>11998</v>
      </c>
      <c r="C2636" s="6" t="s">
        <v>11999</v>
      </c>
      <c r="D2636" s="24">
        <v>5.9172750000000001</v>
      </c>
      <c r="E2636" s="6" t="s">
        <v>5887</v>
      </c>
      <c r="F2636" s="6">
        <v>21</v>
      </c>
      <c r="G2636" s="8">
        <f t="shared" si="41"/>
        <v>9201.3626249999998</v>
      </c>
    </row>
    <row r="2637" spans="1:7" x14ac:dyDescent="0.3">
      <c r="A2637" s="14" t="e">
        <f>VLOOKUP(B2637,'Relacion codigos'!$A:$B,2,FALSE)</f>
        <v>#N/A</v>
      </c>
      <c r="B2637" s="6" t="s">
        <v>11511</v>
      </c>
      <c r="C2637" s="6" t="s">
        <v>11512</v>
      </c>
      <c r="D2637" s="24">
        <v>5.9172750000000001</v>
      </c>
      <c r="E2637" s="6" t="s">
        <v>5887</v>
      </c>
      <c r="F2637" s="6">
        <v>21</v>
      </c>
      <c r="G2637" s="8">
        <f t="shared" si="41"/>
        <v>9201.3626249999998</v>
      </c>
    </row>
    <row r="2638" spans="1:7" x14ac:dyDescent="0.3">
      <c r="A2638" s="14" t="e">
        <f>VLOOKUP(B2638,'Relacion codigos'!$A:$B,2,FALSE)</f>
        <v>#N/A</v>
      </c>
      <c r="B2638" s="6" t="s">
        <v>11632</v>
      </c>
      <c r="C2638" s="6" t="s">
        <v>11633</v>
      </c>
      <c r="D2638" s="24">
        <v>6.7226249999999999</v>
      </c>
      <c r="E2638" s="6" t="s">
        <v>5887</v>
      </c>
      <c r="F2638" s="6">
        <v>21</v>
      </c>
      <c r="G2638" s="8">
        <f t="shared" si="41"/>
        <v>10453.681875</v>
      </c>
    </row>
    <row r="2639" spans="1:7" x14ac:dyDescent="0.3">
      <c r="A2639" s="14" t="e">
        <f>VLOOKUP(B2639,'Relacion codigos'!$A:$B,2,FALSE)</f>
        <v>#N/A</v>
      </c>
      <c r="B2639" s="6" t="s">
        <v>11513</v>
      </c>
      <c r="C2639" s="6" t="s">
        <v>11514</v>
      </c>
      <c r="D2639" s="24">
        <v>6.7226249999999999</v>
      </c>
      <c r="E2639" s="6" t="s">
        <v>5887</v>
      </c>
      <c r="F2639" s="6">
        <v>21</v>
      </c>
      <c r="G2639" s="8">
        <f t="shared" si="41"/>
        <v>10453.681875</v>
      </c>
    </row>
    <row r="2640" spans="1:7" x14ac:dyDescent="0.3">
      <c r="A2640" s="14" t="str">
        <f>VLOOKUP(B2640,'Relacion codigos'!$A:$B,2,FALSE)</f>
        <v>6375</v>
      </c>
      <c r="B2640" s="6" t="s">
        <v>3639</v>
      </c>
      <c r="C2640" s="6" t="s">
        <v>10464</v>
      </c>
      <c r="D2640" s="24">
        <v>12745.005507</v>
      </c>
      <c r="E2640" s="6" t="s">
        <v>5889</v>
      </c>
      <c r="F2640" s="6">
        <v>21</v>
      </c>
      <c r="G2640" s="8">
        <f t="shared" si="41"/>
        <v>12745.005507</v>
      </c>
    </row>
    <row r="2641" spans="1:7" x14ac:dyDescent="0.3">
      <c r="A2641" s="14" t="str">
        <f>VLOOKUP(B2641,'Relacion codigos'!$A:$B,2,FALSE)</f>
        <v>6368</v>
      </c>
      <c r="B2641" s="6" t="s">
        <v>3640</v>
      </c>
      <c r="C2641" s="6" t="s">
        <v>10465</v>
      </c>
      <c r="D2641" s="24">
        <v>12745.005507</v>
      </c>
      <c r="E2641" s="6" t="s">
        <v>5889</v>
      </c>
      <c r="F2641" s="6">
        <v>21</v>
      </c>
      <c r="G2641" s="8">
        <f t="shared" si="41"/>
        <v>12745.005507</v>
      </c>
    </row>
    <row r="2642" spans="1:7" x14ac:dyDescent="0.3">
      <c r="A2642" s="14" t="str">
        <f>VLOOKUP(B2642,'Relacion codigos'!$A:$B,2,FALSE)</f>
        <v>6376</v>
      </c>
      <c r="B2642" s="6" t="s">
        <v>3641</v>
      </c>
      <c r="C2642" s="6" t="s">
        <v>10466</v>
      </c>
      <c r="D2642" s="24">
        <v>24180.999336000001</v>
      </c>
      <c r="E2642" s="6" t="s">
        <v>5889</v>
      </c>
      <c r="F2642" s="6">
        <v>21</v>
      </c>
      <c r="G2642" s="8">
        <f t="shared" si="41"/>
        <v>24180.999336000001</v>
      </c>
    </row>
    <row r="2643" spans="1:7" x14ac:dyDescent="0.3">
      <c r="A2643" s="14" t="str">
        <f>VLOOKUP(B2643,'Relacion codigos'!$A:$B,2,FALSE)</f>
        <v>6369</v>
      </c>
      <c r="B2643" s="6" t="s">
        <v>3642</v>
      </c>
      <c r="C2643" s="6" t="s">
        <v>10467</v>
      </c>
      <c r="D2643" s="24">
        <v>24180.999336000001</v>
      </c>
      <c r="E2643" s="6" t="s">
        <v>5889</v>
      </c>
      <c r="F2643" s="6">
        <v>21</v>
      </c>
      <c r="G2643" s="8">
        <f t="shared" si="41"/>
        <v>24180.999336000001</v>
      </c>
    </row>
    <row r="2644" spans="1:7" x14ac:dyDescent="0.3">
      <c r="A2644" s="14" t="str">
        <f>VLOOKUP(B2644,'Relacion codigos'!$A:$B,2,FALSE)</f>
        <v>6371</v>
      </c>
      <c r="B2644" s="6" t="s">
        <v>3654</v>
      </c>
      <c r="C2644" s="6" t="s">
        <v>10673</v>
      </c>
      <c r="D2644" s="24">
        <v>42969.789954</v>
      </c>
      <c r="E2644" s="6" t="s">
        <v>5889</v>
      </c>
      <c r="F2644" s="6">
        <v>21</v>
      </c>
      <c r="G2644" s="8">
        <f t="shared" si="41"/>
        <v>42969.789954</v>
      </c>
    </row>
    <row r="2645" spans="1:7" x14ac:dyDescent="0.3">
      <c r="A2645" s="14" t="str">
        <f>VLOOKUP(B2645,'Relacion codigos'!$A:$B,2,FALSE)</f>
        <v>7081</v>
      </c>
      <c r="B2645" s="6" t="s">
        <v>3655</v>
      </c>
      <c r="C2645" s="6" t="s">
        <v>12000</v>
      </c>
      <c r="D2645" s="24">
        <v>2.3410530000000001</v>
      </c>
      <c r="E2645" s="6" t="s">
        <v>5887</v>
      </c>
      <c r="F2645" s="6">
        <v>21</v>
      </c>
      <c r="G2645" s="8">
        <f t="shared" si="41"/>
        <v>3640.337415</v>
      </c>
    </row>
    <row r="2646" spans="1:7" x14ac:dyDescent="0.3">
      <c r="A2646" s="14" t="str">
        <f>VLOOKUP(B2646,'Relacion codigos'!$A:$B,2,FALSE)</f>
        <v>7080</v>
      </c>
      <c r="B2646" s="6" t="s">
        <v>3657</v>
      </c>
      <c r="C2646" s="6" t="s">
        <v>12606</v>
      </c>
      <c r="D2646" s="24">
        <v>1.940445</v>
      </c>
      <c r="E2646" s="6" t="s">
        <v>5887</v>
      </c>
      <c r="F2646" s="6">
        <v>21</v>
      </c>
      <c r="G2646" s="8">
        <f t="shared" si="41"/>
        <v>3017.391975</v>
      </c>
    </row>
    <row r="2647" spans="1:7" x14ac:dyDescent="0.3">
      <c r="A2647" s="14" t="str">
        <f>VLOOKUP(B2647,'Relacion codigos'!$A:$B,2,FALSE)</f>
        <v>7082</v>
      </c>
      <c r="B2647" s="6" t="s">
        <v>3656</v>
      </c>
      <c r="C2647" s="6" t="s">
        <v>12001</v>
      </c>
      <c r="D2647" s="24">
        <v>3.7682190000000002</v>
      </c>
      <c r="E2647" s="6" t="s">
        <v>5887</v>
      </c>
      <c r="F2647" s="6">
        <v>21</v>
      </c>
      <c r="G2647" s="8">
        <f t="shared" si="41"/>
        <v>5859.5805450000007</v>
      </c>
    </row>
    <row r="2648" spans="1:7" x14ac:dyDescent="0.3">
      <c r="A2648" s="14" t="str">
        <f>VLOOKUP(B2648,'Relacion codigos'!$A:$B,2,FALSE)</f>
        <v>6378</v>
      </c>
      <c r="B2648" s="6" t="s">
        <v>3658</v>
      </c>
      <c r="C2648" s="6" t="s">
        <v>10468</v>
      </c>
      <c r="D2648" s="24">
        <v>46512.24957054</v>
      </c>
      <c r="E2648" s="6" t="s">
        <v>5889</v>
      </c>
      <c r="F2648" s="6">
        <v>21</v>
      </c>
      <c r="G2648" s="8">
        <f t="shared" si="41"/>
        <v>46512.24957054</v>
      </c>
    </row>
    <row r="2649" spans="1:7" x14ac:dyDescent="0.3">
      <c r="A2649" s="14" t="str">
        <f>VLOOKUP(B2649,'Relacion codigos'!$A:$B,2,FALSE)</f>
        <v>6297</v>
      </c>
      <c r="B2649" s="6" t="s">
        <v>3659</v>
      </c>
      <c r="C2649" s="6" t="s">
        <v>13656</v>
      </c>
      <c r="D2649" s="24">
        <v>8.4519941999999997</v>
      </c>
      <c r="E2649" s="6" t="s">
        <v>5887</v>
      </c>
      <c r="F2649" s="6">
        <v>21</v>
      </c>
      <c r="G2649" s="8">
        <f t="shared" si="41"/>
        <v>13142.850981</v>
      </c>
    </row>
    <row r="2650" spans="1:7" x14ac:dyDescent="0.3">
      <c r="A2650" s="14" t="str">
        <f>VLOOKUP(B2650,'Relacion codigos'!$A:$B,2,FALSE)</f>
        <v>6229</v>
      </c>
      <c r="B2650" s="6" t="s">
        <v>3660</v>
      </c>
      <c r="C2650" s="6" t="s">
        <v>12297</v>
      </c>
      <c r="D2650" s="24">
        <v>8.2775628000000001</v>
      </c>
      <c r="E2650" s="6" t="s">
        <v>5887</v>
      </c>
      <c r="F2650" s="6">
        <v>21</v>
      </c>
      <c r="G2650" s="8">
        <f t="shared" si="41"/>
        <v>12871.610154</v>
      </c>
    </row>
    <row r="2651" spans="1:7" x14ac:dyDescent="0.3">
      <c r="A2651" s="14" t="str">
        <f>VLOOKUP(B2651,'Relacion codigos'!$A:$B,2,FALSE)</f>
        <v>7068</v>
      </c>
      <c r="B2651" s="6" t="s">
        <v>3643</v>
      </c>
      <c r="C2651" s="6" t="s">
        <v>10469</v>
      </c>
      <c r="D2651" s="24">
        <v>33321.208869000002</v>
      </c>
      <c r="E2651" s="6" t="s">
        <v>5889</v>
      </c>
      <c r="F2651" s="6">
        <v>21</v>
      </c>
      <c r="G2651" s="8">
        <f t="shared" si="41"/>
        <v>33321.208869000002</v>
      </c>
    </row>
    <row r="2652" spans="1:7" x14ac:dyDescent="0.3">
      <c r="A2652" s="14" t="str">
        <f>VLOOKUP(B2652,'Relacion codigos'!$A:$B,2,FALSE)</f>
        <v>7066</v>
      </c>
      <c r="B2652" s="6" t="s">
        <v>3644</v>
      </c>
      <c r="C2652" s="6" t="s">
        <v>10470</v>
      </c>
      <c r="D2652" s="24">
        <v>33321.208869000002</v>
      </c>
      <c r="E2652" s="6" t="s">
        <v>5889</v>
      </c>
      <c r="F2652" s="6">
        <v>21</v>
      </c>
      <c r="G2652" s="8">
        <f t="shared" si="41"/>
        <v>33321.208869000002</v>
      </c>
    </row>
    <row r="2653" spans="1:7" x14ac:dyDescent="0.3">
      <c r="A2653" s="14" t="str">
        <f>VLOOKUP(B2653,'Relacion codigos'!$A:$B,2,FALSE)</f>
        <v>9158</v>
      </c>
      <c r="B2653" s="6" t="s">
        <v>3645</v>
      </c>
      <c r="C2653" s="6" t="s">
        <v>10471</v>
      </c>
      <c r="D2653" s="24">
        <v>11782.2181179406</v>
      </c>
      <c r="E2653" s="6" t="s">
        <v>5889</v>
      </c>
      <c r="F2653" s="6">
        <v>21</v>
      </c>
      <c r="G2653" s="8">
        <f t="shared" si="41"/>
        <v>11782.2181179406</v>
      </c>
    </row>
    <row r="2654" spans="1:7" x14ac:dyDescent="0.3">
      <c r="A2654" s="14" t="str">
        <f>VLOOKUP(B2654,'Relacion codigos'!$A:$B,2,FALSE)</f>
        <v>9159</v>
      </c>
      <c r="B2654" s="6" t="s">
        <v>3646</v>
      </c>
      <c r="C2654" s="6" t="s">
        <v>10472</v>
      </c>
      <c r="D2654" s="24">
        <v>11782.2181179406</v>
      </c>
      <c r="E2654" s="6" t="s">
        <v>5889</v>
      </c>
      <c r="F2654" s="6">
        <v>21</v>
      </c>
      <c r="G2654" s="8">
        <f t="shared" si="41"/>
        <v>11782.2181179406</v>
      </c>
    </row>
    <row r="2655" spans="1:7" x14ac:dyDescent="0.3">
      <c r="A2655" s="14" t="str">
        <f>VLOOKUP(B2655,'Relacion codigos'!$A:$B,2,FALSE)</f>
        <v>7067</v>
      </c>
      <c r="B2655" s="6" t="s">
        <v>3647</v>
      </c>
      <c r="C2655" s="6" t="s">
        <v>10473</v>
      </c>
      <c r="D2655" s="24">
        <v>22434.260823000001</v>
      </c>
      <c r="E2655" s="6" t="s">
        <v>5889</v>
      </c>
      <c r="F2655" s="6">
        <v>21</v>
      </c>
      <c r="G2655" s="8">
        <f t="shared" si="41"/>
        <v>22434.260823000001</v>
      </c>
    </row>
    <row r="2656" spans="1:7" x14ac:dyDescent="0.3">
      <c r="A2656" s="14" t="str">
        <f>VLOOKUP(B2656,'Relacion codigos'!$A:$B,2,FALSE)</f>
        <v>7065</v>
      </c>
      <c r="B2656" s="6" t="s">
        <v>3648</v>
      </c>
      <c r="C2656" s="6" t="s">
        <v>10474</v>
      </c>
      <c r="D2656" s="24">
        <v>22434.260823000001</v>
      </c>
      <c r="E2656" s="6" t="s">
        <v>5889</v>
      </c>
      <c r="F2656" s="6">
        <v>21</v>
      </c>
      <c r="G2656" s="8">
        <f t="shared" si="41"/>
        <v>22434.260823000001</v>
      </c>
    </row>
    <row r="2657" spans="1:7" x14ac:dyDescent="0.3">
      <c r="A2657" s="14" t="str">
        <f>VLOOKUP(B2657,'Relacion codigos'!$A:$B,2,FALSE)</f>
        <v>6270</v>
      </c>
      <c r="B2657" s="6" t="s">
        <v>3662</v>
      </c>
      <c r="C2657" s="6" t="s">
        <v>13184</v>
      </c>
      <c r="D2657" s="24">
        <v>1.665027</v>
      </c>
      <c r="E2657" s="6" t="s">
        <v>5887</v>
      </c>
      <c r="F2657" s="6">
        <v>21</v>
      </c>
      <c r="G2657" s="8">
        <f t="shared" si="41"/>
        <v>2589.1169850000001</v>
      </c>
    </row>
    <row r="2658" spans="1:7" x14ac:dyDescent="0.3">
      <c r="A2658" s="14" t="str">
        <f>VLOOKUP(B2658,'Relacion codigos'!$A:$B,2,FALSE)</f>
        <v>6269</v>
      </c>
      <c r="B2658" s="6" t="s">
        <v>3664</v>
      </c>
      <c r="C2658" s="6" t="s">
        <v>12622</v>
      </c>
      <c r="D2658" s="24">
        <v>1.402128</v>
      </c>
      <c r="E2658" s="6" t="s">
        <v>5887</v>
      </c>
      <c r="F2658" s="6">
        <v>21</v>
      </c>
      <c r="G2658" s="8">
        <f t="shared" si="41"/>
        <v>2180.3090400000001</v>
      </c>
    </row>
    <row r="2659" spans="1:7" x14ac:dyDescent="0.3">
      <c r="A2659" s="14" t="str">
        <f>VLOOKUP(B2659,'Relacion codigos'!$A:$B,2,FALSE)</f>
        <v>7079</v>
      </c>
      <c r="B2659" s="6" t="s">
        <v>3661</v>
      </c>
      <c r="C2659" s="6" t="s">
        <v>12002</v>
      </c>
      <c r="D2659" s="24">
        <v>3.292497</v>
      </c>
      <c r="E2659" s="6" t="s">
        <v>5887</v>
      </c>
      <c r="F2659" s="6">
        <v>10.5</v>
      </c>
      <c r="G2659" s="8">
        <f t="shared" si="41"/>
        <v>5119.8328350000002</v>
      </c>
    </row>
    <row r="2660" spans="1:7" x14ac:dyDescent="0.3">
      <c r="A2660" s="14" t="e">
        <f>VLOOKUP(B2660,'Relacion codigos'!$A:$B,2,FALSE)</f>
        <v>#N/A</v>
      </c>
      <c r="B2660" s="6" t="s">
        <v>13334</v>
      </c>
      <c r="C2660" s="6" t="s">
        <v>13764</v>
      </c>
      <c r="D2660" s="24">
        <v>3051.3404958045498</v>
      </c>
      <c r="E2660" s="6" t="s">
        <v>5889</v>
      </c>
      <c r="F2660" s="6">
        <v>21</v>
      </c>
      <c r="G2660" s="8">
        <f t="shared" si="41"/>
        <v>3051.3404958045498</v>
      </c>
    </row>
    <row r="2661" spans="1:7" x14ac:dyDescent="0.3">
      <c r="A2661" s="14" t="e">
        <f>VLOOKUP(B2661,'Relacion codigos'!$A:$B,2,FALSE)</f>
        <v>#N/A</v>
      </c>
      <c r="B2661" s="6" t="s">
        <v>13908</v>
      </c>
      <c r="C2661" s="6" t="s">
        <v>13931</v>
      </c>
      <c r="D2661" s="24">
        <v>3617.2917696846198</v>
      </c>
      <c r="E2661" s="6" t="s">
        <v>5889</v>
      </c>
      <c r="F2661" s="6">
        <v>21</v>
      </c>
      <c r="G2661" s="8">
        <f t="shared" si="41"/>
        <v>3617.2917696846198</v>
      </c>
    </row>
    <row r="2662" spans="1:7" x14ac:dyDescent="0.3">
      <c r="A2662" s="14" t="e">
        <f>VLOOKUP(B2662,'Relacion codigos'!$A:$B,2,FALSE)</f>
        <v>#N/A</v>
      </c>
      <c r="B2662" s="6" t="s">
        <v>13338</v>
      </c>
      <c r="C2662" s="6" t="s">
        <v>13765</v>
      </c>
      <c r="D2662" s="24">
        <v>2532.6142227672599</v>
      </c>
      <c r="E2662" s="6" t="s">
        <v>5889</v>
      </c>
      <c r="F2662" s="6">
        <v>21</v>
      </c>
      <c r="G2662" s="8">
        <f t="shared" si="41"/>
        <v>2532.6142227672599</v>
      </c>
    </row>
    <row r="2663" spans="1:7" x14ac:dyDescent="0.3">
      <c r="A2663" s="14" t="e">
        <f>VLOOKUP(B2663,'Relacion codigos'!$A:$B,2,FALSE)</f>
        <v>#N/A</v>
      </c>
      <c r="B2663" s="6" t="s">
        <v>13766</v>
      </c>
      <c r="C2663" s="6" t="s">
        <v>13767</v>
      </c>
      <c r="D2663" s="24">
        <v>4767.4965994377199</v>
      </c>
      <c r="E2663" s="6" t="s">
        <v>5889</v>
      </c>
      <c r="F2663" s="6">
        <v>21</v>
      </c>
      <c r="G2663" s="8">
        <f t="shared" si="41"/>
        <v>4767.4965994377199</v>
      </c>
    </row>
    <row r="2664" spans="1:7" x14ac:dyDescent="0.3">
      <c r="A2664" s="14" t="e">
        <f>VLOOKUP(B2664,'Relacion codigos'!$A:$B,2,FALSE)</f>
        <v>#N/A</v>
      </c>
      <c r="B2664" s="6" t="s">
        <v>13768</v>
      </c>
      <c r="C2664" s="6" t="s">
        <v>13769</v>
      </c>
      <c r="D2664" s="24">
        <v>3730.0522806659901</v>
      </c>
      <c r="E2664" s="6" t="s">
        <v>5889</v>
      </c>
      <c r="F2664" s="6">
        <v>21</v>
      </c>
      <c r="G2664" s="8">
        <f t="shared" si="41"/>
        <v>3730.0522806659901</v>
      </c>
    </row>
    <row r="2665" spans="1:7" x14ac:dyDescent="0.3">
      <c r="A2665" s="14" t="e">
        <f>VLOOKUP(B2665,'Relacion codigos'!$A:$B,2,FALSE)</f>
        <v>#N/A</v>
      </c>
      <c r="B2665" s="6" t="s">
        <v>13048</v>
      </c>
      <c r="C2665" s="6" t="s">
        <v>13049</v>
      </c>
      <c r="D2665" s="24">
        <v>32989.782786108699</v>
      </c>
      <c r="E2665" s="6" t="s">
        <v>5889</v>
      </c>
      <c r="F2665" s="6">
        <v>10.5</v>
      </c>
      <c r="G2665" s="8">
        <f t="shared" si="41"/>
        <v>32989.782786108699</v>
      </c>
    </row>
    <row r="2666" spans="1:7" x14ac:dyDescent="0.3">
      <c r="A2666" s="14" t="e">
        <f>VLOOKUP(B2666,'Relacion codigos'!$A:$B,2,FALSE)</f>
        <v>#N/A</v>
      </c>
      <c r="B2666" s="6" t="s">
        <v>13050</v>
      </c>
      <c r="C2666" s="6" t="s">
        <v>13051</v>
      </c>
      <c r="D2666" s="24">
        <v>32989.782786108699</v>
      </c>
      <c r="E2666" s="6" t="s">
        <v>5889</v>
      </c>
      <c r="F2666" s="6">
        <v>10.5</v>
      </c>
      <c r="G2666" s="8">
        <f t="shared" si="41"/>
        <v>32989.782786108699</v>
      </c>
    </row>
    <row r="2667" spans="1:7" x14ac:dyDescent="0.3">
      <c r="A2667" s="14" t="e">
        <f>VLOOKUP(B2667,'Relacion codigos'!$A:$B,2,FALSE)</f>
        <v>#N/A</v>
      </c>
      <c r="B2667" s="6" t="s">
        <v>13052</v>
      </c>
      <c r="C2667" s="6" t="s">
        <v>13053</v>
      </c>
      <c r="D2667" s="24">
        <v>29172.188748239001</v>
      </c>
      <c r="E2667" s="6" t="s">
        <v>5889</v>
      </c>
      <c r="F2667" s="6">
        <v>10.5</v>
      </c>
      <c r="G2667" s="8">
        <f t="shared" si="41"/>
        <v>29172.188748239001</v>
      </c>
    </row>
    <row r="2668" spans="1:7" x14ac:dyDescent="0.3">
      <c r="A2668" s="14" t="e">
        <f>VLOOKUP(B2668,'Relacion codigos'!$A:$B,2,FALSE)</f>
        <v>#N/A</v>
      </c>
      <c r="B2668" s="6" t="s">
        <v>13054</v>
      </c>
      <c r="C2668" s="6" t="s">
        <v>13055</v>
      </c>
      <c r="D2668" s="24">
        <v>29172.188748239001</v>
      </c>
      <c r="E2668" s="6" t="s">
        <v>5889</v>
      </c>
      <c r="F2668" s="6">
        <v>10.5</v>
      </c>
      <c r="G2668" s="8">
        <f t="shared" si="41"/>
        <v>29172.188748239001</v>
      </c>
    </row>
    <row r="2669" spans="1:7" x14ac:dyDescent="0.3">
      <c r="A2669" s="14" t="e">
        <f>VLOOKUP(B2669,'Relacion codigos'!$A:$B,2,FALSE)</f>
        <v>#N/A</v>
      </c>
      <c r="B2669" s="6" t="s">
        <v>13056</v>
      </c>
      <c r="C2669" s="6" t="s">
        <v>13057</v>
      </c>
      <c r="D2669" s="24">
        <v>39881.3347791864</v>
      </c>
      <c r="E2669" s="6" t="s">
        <v>5889</v>
      </c>
      <c r="F2669" s="6">
        <v>10.5</v>
      </c>
      <c r="G2669" s="8">
        <f t="shared" si="41"/>
        <v>39881.3347791864</v>
      </c>
    </row>
    <row r="2670" spans="1:7" x14ac:dyDescent="0.3">
      <c r="A2670" s="14" t="e">
        <f>VLOOKUP(B2670,'Relacion codigos'!$A:$B,2,FALSE)</f>
        <v>#N/A</v>
      </c>
      <c r="B2670" s="6" t="s">
        <v>13058</v>
      </c>
      <c r="C2670" s="6" t="s">
        <v>13059</v>
      </c>
      <c r="D2670" s="24">
        <v>39881.3347791864</v>
      </c>
      <c r="E2670" s="6" t="s">
        <v>5889</v>
      </c>
      <c r="F2670" s="6">
        <v>10.5</v>
      </c>
      <c r="G2670" s="8">
        <f t="shared" si="41"/>
        <v>39881.3347791864</v>
      </c>
    </row>
    <row r="2671" spans="1:7" x14ac:dyDescent="0.3">
      <c r="A2671" s="14" t="e">
        <f>VLOOKUP(B2671,'Relacion codigos'!$A:$B,2,FALSE)</f>
        <v>#N/A</v>
      </c>
      <c r="B2671" s="6" t="s">
        <v>13060</v>
      </c>
      <c r="C2671" s="6" t="s">
        <v>13061</v>
      </c>
      <c r="D2671" s="24">
        <v>46507.5833286794</v>
      </c>
      <c r="E2671" s="6" t="s">
        <v>5889</v>
      </c>
      <c r="F2671" s="6">
        <v>10.5</v>
      </c>
      <c r="G2671" s="8">
        <f t="shared" si="41"/>
        <v>46507.5833286794</v>
      </c>
    </row>
    <row r="2672" spans="1:7" x14ac:dyDescent="0.3">
      <c r="A2672" s="14" t="e">
        <f>VLOOKUP(B2672,'Relacion codigos'!$A:$B,2,FALSE)</f>
        <v>#N/A</v>
      </c>
      <c r="B2672" s="6" t="s">
        <v>13062</v>
      </c>
      <c r="C2672" s="6" t="s">
        <v>13063</v>
      </c>
      <c r="D2672" s="24">
        <v>46507.5833286794</v>
      </c>
      <c r="E2672" s="6" t="s">
        <v>5889</v>
      </c>
      <c r="F2672" s="6">
        <v>10.5</v>
      </c>
      <c r="G2672" s="8">
        <f t="shared" si="41"/>
        <v>46507.5833286794</v>
      </c>
    </row>
    <row r="2673" spans="1:7" x14ac:dyDescent="0.3">
      <c r="A2673" s="14" t="e">
        <f>VLOOKUP(B2673,'Relacion codigos'!$A:$B,2,FALSE)</f>
        <v>#N/A</v>
      </c>
      <c r="B2673" s="6" t="s">
        <v>9441</v>
      </c>
      <c r="C2673" s="6" t="s">
        <v>9442</v>
      </c>
      <c r="D2673" s="24">
        <v>2452.2634499999999</v>
      </c>
      <c r="E2673" s="6" t="s">
        <v>5889</v>
      </c>
      <c r="F2673" s="6">
        <v>10.5</v>
      </c>
      <c r="G2673" s="8">
        <f t="shared" si="41"/>
        <v>2452.2634499999999</v>
      </c>
    </row>
    <row r="2674" spans="1:7" x14ac:dyDescent="0.3">
      <c r="A2674" s="14" t="e">
        <f>VLOOKUP(B2674,'Relacion codigos'!$A:$B,2,FALSE)</f>
        <v>#N/A</v>
      </c>
      <c r="B2674" s="6" t="s">
        <v>9443</v>
      </c>
      <c r="C2674" s="6" t="s">
        <v>9444</v>
      </c>
      <c r="D2674" s="24">
        <v>1725.40226032335</v>
      </c>
      <c r="E2674" s="6" t="s">
        <v>5889</v>
      </c>
      <c r="F2674" s="6">
        <v>10.5</v>
      </c>
      <c r="G2674" s="8">
        <f t="shared" si="41"/>
        <v>1725.40226032335</v>
      </c>
    </row>
    <row r="2675" spans="1:7" x14ac:dyDescent="0.3">
      <c r="A2675" s="14" t="e">
        <f>VLOOKUP(B2675,'Relacion codigos'!$A:$B,2,FALSE)</f>
        <v>#N/A</v>
      </c>
      <c r="B2675" s="6" t="s">
        <v>9445</v>
      </c>
      <c r="C2675" s="6" t="s">
        <v>9446</v>
      </c>
      <c r="D2675" s="24">
        <v>3758.9688500000002</v>
      </c>
      <c r="E2675" s="6" t="s">
        <v>5889</v>
      </c>
      <c r="F2675" s="6">
        <v>21</v>
      </c>
      <c r="G2675" s="8">
        <f t="shared" si="41"/>
        <v>3758.9688500000002</v>
      </c>
    </row>
    <row r="2676" spans="1:7" x14ac:dyDescent="0.3">
      <c r="A2676" s="14" t="str">
        <f>VLOOKUP(B2676,'Relacion codigos'!$A:$B,2,FALSE)</f>
        <v>8352</v>
      </c>
      <c r="B2676" s="6" t="s">
        <v>4717</v>
      </c>
      <c r="C2676" s="6" t="s">
        <v>10475</v>
      </c>
      <c r="D2676" s="24">
        <v>2051.3501919202499</v>
      </c>
      <c r="E2676" s="6" t="s">
        <v>5889</v>
      </c>
      <c r="F2676" s="6">
        <v>21</v>
      </c>
      <c r="G2676" s="8">
        <f t="shared" si="41"/>
        <v>2051.3501919202499</v>
      </c>
    </row>
    <row r="2677" spans="1:7" x14ac:dyDescent="0.3">
      <c r="A2677" s="14" t="str">
        <f>VLOOKUP(B2677,'Relacion codigos'!$A:$B,2,FALSE)</f>
        <v>8276</v>
      </c>
      <c r="B2677" s="6" t="s">
        <v>4719</v>
      </c>
      <c r="C2677" s="6" t="s">
        <v>10476</v>
      </c>
      <c r="D2677" s="24">
        <v>1995.7773653967399</v>
      </c>
      <c r="E2677" s="6" t="s">
        <v>5889</v>
      </c>
      <c r="F2677" s="6">
        <v>21</v>
      </c>
      <c r="G2677" s="8">
        <f t="shared" si="41"/>
        <v>1995.7773653967399</v>
      </c>
    </row>
    <row r="2678" spans="1:7" x14ac:dyDescent="0.3">
      <c r="A2678" s="14" t="e">
        <f>VLOOKUP(B2678,'Relacion codigos'!$A:$B,2,FALSE)</f>
        <v>#N/A</v>
      </c>
      <c r="B2678" s="6" t="s">
        <v>13255</v>
      </c>
      <c r="C2678" s="6" t="s">
        <v>13256</v>
      </c>
      <c r="D2678" s="24">
        <v>2257.9877929244999</v>
      </c>
      <c r="E2678" s="6" t="s">
        <v>5889</v>
      </c>
      <c r="F2678" s="6">
        <v>21</v>
      </c>
      <c r="G2678" s="8">
        <f t="shared" si="41"/>
        <v>2257.9877929244999</v>
      </c>
    </row>
    <row r="2679" spans="1:7" x14ac:dyDescent="0.3">
      <c r="A2679" s="14" t="str">
        <f>VLOOKUP(B2679,'Relacion codigos'!$A:$B,2,FALSE)</f>
        <v>8340</v>
      </c>
      <c r="B2679" s="6" t="s">
        <v>4720</v>
      </c>
      <c r="C2679" s="6" t="s">
        <v>10477</v>
      </c>
      <c r="D2679" s="24">
        <v>1373.179138123</v>
      </c>
      <c r="E2679" s="6" t="s">
        <v>5889</v>
      </c>
      <c r="F2679" s="6">
        <v>21</v>
      </c>
      <c r="G2679" s="8">
        <f t="shared" si="41"/>
        <v>1373.179138123</v>
      </c>
    </row>
    <row r="2680" spans="1:7" x14ac:dyDescent="0.3">
      <c r="A2680" s="14" t="str">
        <f>VLOOKUP(B2680,'Relacion codigos'!$A:$B,2,FALSE)</f>
        <v>8342</v>
      </c>
      <c r="B2680" s="6" t="s">
        <v>4721</v>
      </c>
      <c r="C2680" s="6" t="s">
        <v>10478</v>
      </c>
      <c r="D2680" s="24">
        <v>1984.93424045803</v>
      </c>
      <c r="E2680" s="6" t="s">
        <v>5889</v>
      </c>
      <c r="F2680" s="6">
        <v>21</v>
      </c>
      <c r="G2680" s="8">
        <f t="shared" si="41"/>
        <v>1984.93424045803</v>
      </c>
    </row>
    <row r="2681" spans="1:7" x14ac:dyDescent="0.3">
      <c r="A2681" s="14" t="str">
        <f>VLOOKUP(B2681,'Relacion codigos'!$A:$B,2,FALSE)</f>
        <v>8341</v>
      </c>
      <c r="B2681" s="6" t="s">
        <v>4722</v>
      </c>
      <c r="C2681" s="6" t="s">
        <v>10479</v>
      </c>
      <c r="D2681" s="24">
        <v>1379.3131108054899</v>
      </c>
      <c r="E2681" s="6" t="s">
        <v>5889</v>
      </c>
      <c r="F2681" s="6">
        <v>21</v>
      </c>
      <c r="G2681" s="8">
        <f t="shared" si="41"/>
        <v>1379.3131108054899</v>
      </c>
    </row>
    <row r="2682" spans="1:7" x14ac:dyDescent="0.3">
      <c r="A2682" s="14" t="str">
        <f>VLOOKUP(B2682,'Relacion codigos'!$A:$B,2,FALSE)</f>
        <v>6522</v>
      </c>
      <c r="B2682" s="6" t="s">
        <v>5019</v>
      </c>
      <c r="C2682" s="6" t="s">
        <v>411</v>
      </c>
      <c r="D2682" s="24">
        <v>9565.1938923400103</v>
      </c>
      <c r="E2682" s="6" t="s">
        <v>5889</v>
      </c>
      <c r="F2682" s="6">
        <v>21</v>
      </c>
      <c r="G2682" s="8">
        <f t="shared" si="41"/>
        <v>9565.1938923400103</v>
      </c>
    </row>
    <row r="2683" spans="1:7" x14ac:dyDescent="0.3">
      <c r="A2683" s="14" t="str">
        <f>VLOOKUP(B2683,'Relacion codigos'!$A:$B,2,FALSE)</f>
        <v>6523</v>
      </c>
      <c r="B2683" s="6" t="s">
        <v>5020</v>
      </c>
      <c r="C2683" s="6" t="s">
        <v>412</v>
      </c>
      <c r="D2683" s="24">
        <v>9565.1938923400103</v>
      </c>
      <c r="E2683" s="6" t="s">
        <v>5889</v>
      </c>
      <c r="F2683" s="6">
        <v>21</v>
      </c>
      <c r="G2683" s="8">
        <f t="shared" si="41"/>
        <v>9565.1938923400103</v>
      </c>
    </row>
    <row r="2684" spans="1:7" x14ac:dyDescent="0.3">
      <c r="A2684" s="14" t="str">
        <f>VLOOKUP(B2684,'Relacion codigos'!$A:$B,2,FALSE)</f>
        <v>6519</v>
      </c>
      <c r="B2684" s="6" t="s">
        <v>5021</v>
      </c>
      <c r="C2684" s="6" t="s">
        <v>413</v>
      </c>
      <c r="D2684" s="24">
        <v>9565.1938923400103</v>
      </c>
      <c r="E2684" s="6" t="s">
        <v>5889</v>
      </c>
      <c r="F2684" s="6">
        <v>21</v>
      </c>
      <c r="G2684" s="8">
        <f t="shared" si="41"/>
        <v>9565.1938923400103</v>
      </c>
    </row>
    <row r="2685" spans="1:7" x14ac:dyDescent="0.3">
      <c r="A2685" s="14" t="str">
        <f>VLOOKUP(B2685,'Relacion codigos'!$A:$B,2,FALSE)</f>
        <v>6524</v>
      </c>
      <c r="B2685" s="6" t="s">
        <v>5022</v>
      </c>
      <c r="C2685" s="6" t="s">
        <v>414</v>
      </c>
      <c r="D2685" s="24">
        <v>9565.1938923400103</v>
      </c>
      <c r="E2685" s="6" t="s">
        <v>5889</v>
      </c>
      <c r="F2685" s="6">
        <v>21</v>
      </c>
      <c r="G2685" s="8">
        <f t="shared" si="41"/>
        <v>9565.1938923400103</v>
      </c>
    </row>
    <row r="2686" spans="1:7" x14ac:dyDescent="0.3">
      <c r="A2686" s="14" t="str">
        <f>VLOOKUP(B2686,'Relacion codigos'!$A:$B,2,FALSE)</f>
        <v>6520</v>
      </c>
      <c r="B2686" s="6" t="s">
        <v>5023</v>
      </c>
      <c r="C2686" s="6" t="s">
        <v>415</v>
      </c>
      <c r="D2686" s="24">
        <v>9565.1938923400103</v>
      </c>
      <c r="E2686" s="6" t="s">
        <v>5889</v>
      </c>
      <c r="F2686" s="6">
        <v>21</v>
      </c>
      <c r="G2686" s="8">
        <f t="shared" si="41"/>
        <v>9565.1938923400103</v>
      </c>
    </row>
    <row r="2687" spans="1:7" x14ac:dyDescent="0.3">
      <c r="A2687" s="14" t="str">
        <f>VLOOKUP(B2687,'Relacion codigos'!$A:$B,2,FALSE)</f>
        <v>6526</v>
      </c>
      <c r="B2687" s="6" t="s">
        <v>5024</v>
      </c>
      <c r="C2687" s="6" t="s">
        <v>416</v>
      </c>
      <c r="D2687" s="24">
        <v>9565.1938923400103</v>
      </c>
      <c r="E2687" s="6" t="s">
        <v>5889</v>
      </c>
      <c r="F2687" s="6">
        <v>21</v>
      </c>
      <c r="G2687" s="8">
        <f t="shared" si="41"/>
        <v>9565.1938923400103</v>
      </c>
    </row>
    <row r="2688" spans="1:7" x14ac:dyDescent="0.3">
      <c r="A2688" s="14" t="str">
        <f>VLOOKUP(B2688,'Relacion codigos'!$A:$B,2,FALSE)</f>
        <v>6525</v>
      </c>
      <c r="B2688" s="6" t="s">
        <v>5025</v>
      </c>
      <c r="C2688" s="6" t="s">
        <v>417</v>
      </c>
      <c r="D2688" s="24">
        <v>9565.1938923400103</v>
      </c>
      <c r="E2688" s="6" t="s">
        <v>5889</v>
      </c>
      <c r="F2688" s="6">
        <v>21</v>
      </c>
      <c r="G2688" s="8">
        <f t="shared" si="41"/>
        <v>9565.1938923400103</v>
      </c>
    </row>
    <row r="2689" spans="1:7" x14ac:dyDescent="0.3">
      <c r="A2689" s="14" t="str">
        <f>VLOOKUP(B2689,'Relacion codigos'!$A:$B,2,FALSE)</f>
        <v>6521</v>
      </c>
      <c r="B2689" s="6" t="s">
        <v>5018</v>
      </c>
      <c r="C2689" s="6" t="s">
        <v>10480</v>
      </c>
      <c r="D2689" s="24">
        <v>9565.1938923400103</v>
      </c>
      <c r="E2689" s="6" t="s">
        <v>5889</v>
      </c>
      <c r="F2689" s="6">
        <v>21</v>
      </c>
      <c r="G2689" s="8">
        <f t="shared" si="41"/>
        <v>9565.1938923400103</v>
      </c>
    </row>
    <row r="2690" spans="1:7" x14ac:dyDescent="0.3">
      <c r="A2690" s="14" t="str">
        <f>VLOOKUP(B2690,'Relacion codigos'!$A:$B,2,FALSE)</f>
        <v>6518</v>
      </c>
      <c r="B2690" s="6" t="s">
        <v>5026</v>
      </c>
      <c r="C2690" s="6" t="s">
        <v>418</v>
      </c>
      <c r="D2690" s="24">
        <v>9565.1938923400103</v>
      </c>
      <c r="E2690" s="6" t="s">
        <v>5889</v>
      </c>
      <c r="F2690" s="6">
        <v>21</v>
      </c>
      <c r="G2690" s="8">
        <f t="shared" ref="G2690:G2753" si="42">IF(E2690="Dolares",D2690*$G$1,D2690)</f>
        <v>9565.1938923400103</v>
      </c>
    </row>
    <row r="2691" spans="1:7" x14ac:dyDescent="0.3">
      <c r="A2691" s="14" t="str">
        <f>VLOOKUP(B2691,'Relacion codigos'!$A:$B,2,FALSE)</f>
        <v>2437</v>
      </c>
      <c r="B2691" s="6" t="s">
        <v>4851</v>
      </c>
      <c r="C2691" s="6" t="s">
        <v>419</v>
      </c>
      <c r="D2691" s="24">
        <v>1324.3265879999999</v>
      </c>
      <c r="E2691" s="6" t="s">
        <v>5889</v>
      </c>
      <c r="F2691" s="6">
        <v>10.5</v>
      </c>
      <c r="G2691" s="8">
        <f t="shared" si="42"/>
        <v>1324.3265879999999</v>
      </c>
    </row>
    <row r="2692" spans="1:7" x14ac:dyDescent="0.3">
      <c r="A2692" s="14" t="str">
        <f>VLOOKUP(B2692,'Relacion codigos'!$A:$B,2,FALSE)</f>
        <v>2438</v>
      </c>
      <c r="B2692" s="6" t="s">
        <v>4852</v>
      </c>
      <c r="C2692" s="6" t="s">
        <v>420</v>
      </c>
      <c r="D2692" s="24">
        <v>1225.647657</v>
      </c>
      <c r="E2692" s="6" t="s">
        <v>5889</v>
      </c>
      <c r="F2692" s="6">
        <v>21</v>
      </c>
      <c r="G2692" s="8">
        <f t="shared" si="42"/>
        <v>1225.647657</v>
      </c>
    </row>
    <row r="2693" spans="1:7" x14ac:dyDescent="0.3">
      <c r="A2693" s="14" t="str">
        <f>VLOOKUP(B2693,'Relacion codigos'!$A:$B,2,FALSE)</f>
        <v>2320</v>
      </c>
      <c r="B2693" s="6" t="s">
        <v>4853</v>
      </c>
      <c r="C2693" s="6" t="s">
        <v>421</v>
      </c>
      <c r="D2693" s="24">
        <v>1180.4582399999999</v>
      </c>
      <c r="E2693" s="6" t="s">
        <v>5889</v>
      </c>
      <c r="F2693" s="6">
        <v>10.5</v>
      </c>
      <c r="G2693" s="8">
        <f t="shared" si="42"/>
        <v>1180.4582399999999</v>
      </c>
    </row>
    <row r="2694" spans="1:7" x14ac:dyDescent="0.3">
      <c r="A2694" s="14" t="str">
        <f>VLOOKUP(B2694,'Relacion codigos'!$A:$B,2,FALSE)</f>
        <v>2470</v>
      </c>
      <c r="B2694" s="6" t="s">
        <v>4854</v>
      </c>
      <c r="C2694" s="6" t="s">
        <v>422</v>
      </c>
      <c r="D2694" s="24">
        <v>1845.3882329999999</v>
      </c>
      <c r="E2694" s="6" t="s">
        <v>5889</v>
      </c>
      <c r="F2694" s="6">
        <v>21</v>
      </c>
      <c r="G2694" s="8">
        <f t="shared" si="42"/>
        <v>1845.3882329999999</v>
      </c>
    </row>
    <row r="2695" spans="1:7" x14ac:dyDescent="0.3">
      <c r="A2695" s="14" t="str">
        <f>VLOOKUP(B2695,'Relacion codigos'!$A:$B,2,FALSE)</f>
        <v>2322</v>
      </c>
      <c r="B2695" s="6" t="s">
        <v>4855</v>
      </c>
      <c r="C2695" s="6" t="s">
        <v>423</v>
      </c>
      <c r="D2695" s="24">
        <v>1705.208817</v>
      </c>
      <c r="E2695" s="6" t="s">
        <v>5889</v>
      </c>
      <c r="F2695" s="6">
        <v>10.5</v>
      </c>
      <c r="G2695" s="8">
        <f t="shared" si="42"/>
        <v>1705.208817</v>
      </c>
    </row>
    <row r="2696" spans="1:7" x14ac:dyDescent="0.3">
      <c r="A2696" s="14" t="str">
        <f>VLOOKUP(B2696,'Relacion codigos'!$A:$B,2,FALSE)</f>
        <v>2444</v>
      </c>
      <c r="B2696" s="6" t="s">
        <v>4856</v>
      </c>
      <c r="C2696" s="6" t="s">
        <v>424</v>
      </c>
      <c r="D2696" s="24">
        <v>1705.208817</v>
      </c>
      <c r="E2696" s="6" t="s">
        <v>5889</v>
      </c>
      <c r="F2696" s="6">
        <v>21</v>
      </c>
      <c r="G2696" s="8">
        <f t="shared" si="42"/>
        <v>1705.208817</v>
      </c>
    </row>
    <row r="2697" spans="1:7" x14ac:dyDescent="0.3">
      <c r="A2697" s="14" t="str">
        <f>VLOOKUP(B2697,'Relacion codigos'!$A:$B,2,FALSE)</f>
        <v>2446</v>
      </c>
      <c r="B2697" s="6" t="s">
        <v>4857</v>
      </c>
      <c r="C2697" s="6" t="s">
        <v>425</v>
      </c>
      <c r="D2697" s="24">
        <v>2268.6931800000002</v>
      </c>
      <c r="E2697" s="6" t="s">
        <v>5889</v>
      </c>
      <c r="F2697" s="6">
        <v>10.5</v>
      </c>
      <c r="G2697" s="8">
        <f t="shared" si="42"/>
        <v>2268.6931800000002</v>
      </c>
    </row>
    <row r="2698" spans="1:7" x14ac:dyDescent="0.3">
      <c r="A2698" s="14" t="str">
        <f>VLOOKUP(B2698,'Relacion codigos'!$A:$B,2,FALSE)</f>
        <v>7142</v>
      </c>
      <c r="B2698" s="6" t="s">
        <v>4858</v>
      </c>
      <c r="C2698" s="6" t="s">
        <v>961</v>
      </c>
      <c r="D2698" s="24">
        <v>9305.3309700000009</v>
      </c>
      <c r="E2698" s="6" t="s">
        <v>5889</v>
      </c>
      <c r="F2698" s="6">
        <v>21</v>
      </c>
      <c r="G2698" s="8">
        <f t="shared" si="42"/>
        <v>9305.3309700000009</v>
      </c>
    </row>
    <row r="2699" spans="1:7" x14ac:dyDescent="0.3">
      <c r="A2699" s="14" t="str">
        <f>VLOOKUP(B2699,'Relacion codigos'!$A:$B,2,FALSE)</f>
        <v>2445</v>
      </c>
      <c r="B2699" s="6" t="s">
        <v>4859</v>
      </c>
      <c r="C2699" s="6" t="s">
        <v>10993</v>
      </c>
      <c r="D2699" s="24">
        <v>1705.208817</v>
      </c>
      <c r="E2699" s="6" t="s">
        <v>5889</v>
      </c>
      <c r="F2699" s="6">
        <v>21</v>
      </c>
      <c r="G2699" s="8">
        <f t="shared" si="42"/>
        <v>1705.208817</v>
      </c>
    </row>
    <row r="2700" spans="1:7" x14ac:dyDescent="0.3">
      <c r="A2700" s="14" t="str">
        <f>VLOOKUP(B2700,'Relacion codigos'!$A:$B,2,FALSE)</f>
        <v>2443</v>
      </c>
      <c r="B2700" s="6" t="s">
        <v>4860</v>
      </c>
      <c r="C2700" s="6" t="s">
        <v>426</v>
      </c>
      <c r="D2700" s="24">
        <v>1180.4582399999999</v>
      </c>
      <c r="E2700" s="6" t="s">
        <v>5889</v>
      </c>
      <c r="F2700" s="6">
        <v>21</v>
      </c>
      <c r="G2700" s="8">
        <f t="shared" si="42"/>
        <v>1180.4582399999999</v>
      </c>
    </row>
    <row r="2701" spans="1:7" x14ac:dyDescent="0.3">
      <c r="A2701" s="14" t="str">
        <f>VLOOKUP(B2701,'Relacion codigos'!$A:$B,2,FALSE)</f>
        <v>987</v>
      </c>
      <c r="B2701" s="6" t="s">
        <v>5263</v>
      </c>
      <c r="C2701" s="6" t="s">
        <v>427</v>
      </c>
      <c r="D2701" s="24">
        <v>57.865935885238699</v>
      </c>
      <c r="E2701" s="6" t="s">
        <v>5889</v>
      </c>
      <c r="F2701" s="6">
        <v>21</v>
      </c>
      <c r="G2701" s="8">
        <f t="shared" si="42"/>
        <v>57.865935885238699</v>
      </c>
    </row>
    <row r="2702" spans="1:7" x14ac:dyDescent="0.3">
      <c r="A2702" s="14" t="str">
        <f>VLOOKUP(B2702,'Relacion codigos'!$A:$B,2,FALSE)</f>
        <v>988</v>
      </c>
      <c r="B2702" s="6" t="s">
        <v>5264</v>
      </c>
      <c r="C2702" s="6" t="s">
        <v>428</v>
      </c>
      <c r="D2702" s="24">
        <v>12.4550145253181</v>
      </c>
      <c r="E2702" s="6" t="s">
        <v>5889</v>
      </c>
      <c r="F2702" s="6">
        <v>21</v>
      </c>
      <c r="G2702" s="8">
        <f t="shared" si="42"/>
        <v>12.4550145253181</v>
      </c>
    </row>
    <row r="2703" spans="1:7" x14ac:dyDescent="0.3">
      <c r="A2703" s="14" t="str">
        <f>VLOOKUP(B2703,'Relacion codigos'!$A:$B,2,FALSE)</f>
        <v>2439</v>
      </c>
      <c r="B2703" s="6" t="s">
        <v>4861</v>
      </c>
      <c r="C2703" s="6" t="s">
        <v>429</v>
      </c>
      <c r="D2703" s="24">
        <v>1668.319497</v>
      </c>
      <c r="E2703" s="6" t="s">
        <v>5889</v>
      </c>
      <c r="F2703" s="6">
        <v>21</v>
      </c>
      <c r="G2703" s="8">
        <f t="shared" si="42"/>
        <v>1668.319497</v>
      </c>
    </row>
    <row r="2704" spans="1:7" x14ac:dyDescent="0.3">
      <c r="A2704" s="14" t="e">
        <f>VLOOKUP(B2704,'Relacion codigos'!$A:$B,2,FALSE)</f>
        <v>#N/A</v>
      </c>
      <c r="B2704" s="6" t="s">
        <v>13625</v>
      </c>
      <c r="C2704" s="6" t="s">
        <v>13626</v>
      </c>
      <c r="D2704" s="24">
        <v>1287.20504724486</v>
      </c>
      <c r="E2704" s="6" t="s">
        <v>5889</v>
      </c>
      <c r="F2704" s="6">
        <v>21</v>
      </c>
      <c r="G2704" s="8">
        <f t="shared" si="42"/>
        <v>1287.20504724486</v>
      </c>
    </row>
    <row r="2705" spans="1:7" x14ac:dyDescent="0.3">
      <c r="A2705" s="14" t="e">
        <f>VLOOKUP(B2705,'Relacion codigos'!$A:$B,2,FALSE)</f>
        <v>#N/A</v>
      </c>
      <c r="B2705" s="6" t="s">
        <v>13579</v>
      </c>
      <c r="C2705" s="6" t="s">
        <v>13580</v>
      </c>
      <c r="D2705" s="24">
        <v>1989.32569764665</v>
      </c>
      <c r="E2705" s="6" t="s">
        <v>5889</v>
      </c>
      <c r="F2705" s="6">
        <v>21</v>
      </c>
      <c r="G2705" s="8">
        <f t="shared" si="42"/>
        <v>1989.32569764665</v>
      </c>
    </row>
    <row r="2706" spans="1:7" x14ac:dyDescent="0.3">
      <c r="A2706" s="14" t="e">
        <f>VLOOKUP(B2706,'Relacion codigos'!$A:$B,2,FALSE)</f>
        <v>#N/A</v>
      </c>
      <c r="B2706" s="6" t="s">
        <v>13581</v>
      </c>
      <c r="C2706" s="6" t="s">
        <v>13582</v>
      </c>
      <c r="D2706" s="24">
        <v>8363.4880684339696</v>
      </c>
      <c r="E2706" s="6" t="s">
        <v>5889</v>
      </c>
      <c r="F2706" s="6">
        <v>21</v>
      </c>
      <c r="G2706" s="8">
        <f t="shared" si="42"/>
        <v>8363.4880684339696</v>
      </c>
    </row>
    <row r="2707" spans="1:7" x14ac:dyDescent="0.3">
      <c r="A2707" s="14" t="e">
        <f>VLOOKUP(B2707,'Relacion codigos'!$A:$B,2,FALSE)</f>
        <v>#N/A</v>
      </c>
      <c r="B2707" s="6" t="s">
        <v>13583</v>
      </c>
      <c r="C2707" s="6" t="s">
        <v>13627</v>
      </c>
      <c r="D2707" s="24">
        <v>9042.2036208118097</v>
      </c>
      <c r="E2707" s="6" t="s">
        <v>5889</v>
      </c>
      <c r="F2707" s="6">
        <v>21</v>
      </c>
      <c r="G2707" s="8">
        <f t="shared" si="42"/>
        <v>9042.2036208118097</v>
      </c>
    </row>
    <row r="2708" spans="1:7" x14ac:dyDescent="0.3">
      <c r="A2708" s="14" t="str">
        <f>VLOOKUP(B2708,'Relacion codigos'!$A:$B,2,FALSE)</f>
        <v>572</v>
      </c>
      <c r="B2708" s="6" t="s">
        <v>1616</v>
      </c>
      <c r="C2708" s="6" t="s">
        <v>13561</v>
      </c>
      <c r="D2708" s="24">
        <v>2337.2370084959998</v>
      </c>
      <c r="E2708" s="6" t="s">
        <v>5889</v>
      </c>
      <c r="F2708" s="6">
        <v>21</v>
      </c>
      <c r="G2708" s="8">
        <f t="shared" si="42"/>
        <v>2337.2370084959998</v>
      </c>
    </row>
    <row r="2709" spans="1:7" x14ac:dyDescent="0.3">
      <c r="A2709" s="14" t="e">
        <f>VLOOKUP(B2709,'Relacion codigos'!$A:$B,2,FALSE)</f>
        <v>#N/A</v>
      </c>
      <c r="B2709" s="6" t="s">
        <v>13336</v>
      </c>
      <c r="C2709" s="6" t="s">
        <v>13770</v>
      </c>
      <c r="D2709" s="24">
        <v>4248.7829727043099</v>
      </c>
      <c r="E2709" s="6" t="s">
        <v>5889</v>
      </c>
      <c r="F2709" s="6">
        <v>21</v>
      </c>
      <c r="G2709" s="8">
        <f t="shared" si="42"/>
        <v>4248.7829727043099</v>
      </c>
    </row>
    <row r="2710" spans="1:7" x14ac:dyDescent="0.3">
      <c r="A2710" s="14" t="e">
        <f>VLOOKUP(B2710,'Relacion codigos'!$A:$B,2,FALSE)</f>
        <v>#N/A</v>
      </c>
      <c r="B2710" s="6" t="s">
        <v>12248</v>
      </c>
      <c r="C2710" s="6" t="s">
        <v>12249</v>
      </c>
      <c r="D2710" s="24">
        <v>14.196546</v>
      </c>
      <c r="E2710" s="6" t="s">
        <v>5887</v>
      </c>
      <c r="F2710" s="6">
        <v>21</v>
      </c>
      <c r="G2710" s="8">
        <f t="shared" si="42"/>
        <v>22075.62903</v>
      </c>
    </row>
    <row r="2711" spans="1:7" x14ac:dyDescent="0.3">
      <c r="A2711" s="14" t="str">
        <f>VLOOKUP(B2711,'Relacion codigos'!$A:$B,2,FALSE)</f>
        <v>6513</v>
      </c>
      <c r="B2711" s="6" t="s">
        <v>3909</v>
      </c>
      <c r="C2711" s="6" t="s">
        <v>430</v>
      </c>
      <c r="D2711" s="24">
        <v>8.1071229454410005</v>
      </c>
      <c r="E2711" s="6" t="s">
        <v>5887</v>
      </c>
      <c r="F2711" s="6">
        <v>21</v>
      </c>
      <c r="G2711" s="8">
        <f t="shared" si="42"/>
        <v>12606.576180160755</v>
      </c>
    </row>
    <row r="2712" spans="1:7" x14ac:dyDescent="0.3">
      <c r="A2712" s="14" t="str">
        <f>VLOOKUP(B2712,'Relacion codigos'!$A:$B,2,FALSE)</f>
        <v>5418</v>
      </c>
      <c r="B2712" s="6" t="s">
        <v>3910</v>
      </c>
      <c r="C2712" s="6" t="s">
        <v>431</v>
      </c>
      <c r="D2712" s="24">
        <v>8.1071229454410005</v>
      </c>
      <c r="E2712" s="6" t="s">
        <v>5887</v>
      </c>
      <c r="F2712" s="6">
        <v>21</v>
      </c>
      <c r="G2712" s="8">
        <f t="shared" si="42"/>
        <v>12606.576180160755</v>
      </c>
    </row>
    <row r="2713" spans="1:7" x14ac:dyDescent="0.3">
      <c r="A2713" s="14" t="str">
        <f>VLOOKUP(B2713,'Relacion codigos'!$A:$B,2,FALSE)</f>
        <v>8729</v>
      </c>
      <c r="B2713" s="6" t="s">
        <v>3543</v>
      </c>
      <c r="C2713" s="6" t="s">
        <v>12003</v>
      </c>
      <c r="D2713" s="24">
        <v>10.1591685</v>
      </c>
      <c r="E2713" s="6" t="s">
        <v>5887</v>
      </c>
      <c r="F2713" s="6">
        <v>21</v>
      </c>
      <c r="G2713" s="8">
        <f t="shared" si="42"/>
        <v>15797.5070175</v>
      </c>
    </row>
    <row r="2714" spans="1:7" x14ac:dyDescent="0.3">
      <c r="A2714" s="14" t="str">
        <f>VLOOKUP(B2714,'Relacion codigos'!$A:$B,2,FALSE)</f>
        <v>8730</v>
      </c>
      <c r="B2714" s="6" t="s">
        <v>3544</v>
      </c>
      <c r="C2714" s="6" t="s">
        <v>12004</v>
      </c>
      <c r="D2714" s="24">
        <v>6.9856020000000001</v>
      </c>
      <c r="E2714" s="6" t="s">
        <v>5887</v>
      </c>
      <c r="F2714" s="6">
        <v>21</v>
      </c>
      <c r="G2714" s="8">
        <f t="shared" si="42"/>
        <v>10862.61111</v>
      </c>
    </row>
    <row r="2715" spans="1:7" x14ac:dyDescent="0.3">
      <c r="A2715" s="14" t="str">
        <f>VLOOKUP(B2715,'Relacion codigos'!$A:$B,2,FALSE)</f>
        <v>5962</v>
      </c>
      <c r="B2715" s="6" t="s">
        <v>3545</v>
      </c>
      <c r="C2715" s="6" t="s">
        <v>12633</v>
      </c>
      <c r="D2715" s="24">
        <v>11.279619</v>
      </c>
      <c r="E2715" s="6" t="s">
        <v>5887</v>
      </c>
      <c r="F2715" s="6">
        <v>21</v>
      </c>
      <c r="G2715" s="8">
        <f t="shared" si="42"/>
        <v>17539.807545</v>
      </c>
    </row>
    <row r="2716" spans="1:7" x14ac:dyDescent="0.3">
      <c r="A2716" s="14" t="e">
        <f>VLOOKUP(B2716,'Relacion codigos'!$A:$B,2,FALSE)</f>
        <v>#N/A</v>
      </c>
      <c r="B2716" s="6" t="s">
        <v>9420</v>
      </c>
      <c r="C2716" s="6" t="s">
        <v>12005</v>
      </c>
      <c r="D2716" s="24">
        <v>8.4941414999999996</v>
      </c>
      <c r="E2716" s="6" t="s">
        <v>5887</v>
      </c>
      <c r="F2716" s="6">
        <v>21</v>
      </c>
      <c r="G2716" s="8">
        <f t="shared" si="42"/>
        <v>13208.3900325</v>
      </c>
    </row>
    <row r="2717" spans="1:7" x14ac:dyDescent="0.3">
      <c r="A2717" s="14" t="e">
        <f>VLOOKUP(B2717,'Relacion codigos'!$A:$B,2,FALSE)</f>
        <v>#N/A</v>
      </c>
      <c r="B2717" s="6" t="s">
        <v>10317</v>
      </c>
      <c r="C2717" s="6" t="s">
        <v>10841</v>
      </c>
      <c r="D2717" s="24">
        <v>24.687467999999999</v>
      </c>
      <c r="E2717" s="6" t="s">
        <v>5887</v>
      </c>
      <c r="F2717" s="6">
        <v>21</v>
      </c>
      <c r="G2717" s="8">
        <f t="shared" si="42"/>
        <v>38389.012739999998</v>
      </c>
    </row>
    <row r="2718" spans="1:7" x14ac:dyDescent="0.3">
      <c r="A2718" s="14" t="e">
        <f>VLOOKUP(B2718,'Relacion codigos'!$A:$B,2,FALSE)</f>
        <v>#N/A</v>
      </c>
      <c r="B2718" s="6" t="s">
        <v>8969</v>
      </c>
      <c r="C2718" s="6" t="s">
        <v>9028</v>
      </c>
      <c r="D2718" s="24">
        <v>20.992972000000002</v>
      </c>
      <c r="E2718" s="6" t="s">
        <v>5887</v>
      </c>
      <c r="F2718" s="6">
        <v>21</v>
      </c>
      <c r="G2718" s="8">
        <f t="shared" si="42"/>
        <v>32644.071460000003</v>
      </c>
    </row>
    <row r="2719" spans="1:7" x14ac:dyDescent="0.3">
      <c r="A2719" s="14" t="str">
        <f>VLOOKUP(B2719,'Relacion codigos'!$A:$B,2,FALSE)</f>
        <v>7180</v>
      </c>
      <c r="B2719" s="6" t="s">
        <v>3615</v>
      </c>
      <c r="C2719" s="6" t="s">
        <v>432</v>
      </c>
      <c r="D2719" s="24">
        <v>58.421999999999997</v>
      </c>
      <c r="E2719" s="6" t="s">
        <v>5887</v>
      </c>
      <c r="F2719" s="6">
        <v>21</v>
      </c>
      <c r="G2719" s="8">
        <f t="shared" si="42"/>
        <v>90846.209999999992</v>
      </c>
    </row>
    <row r="2720" spans="1:7" x14ac:dyDescent="0.3">
      <c r="A2720" s="14" t="str">
        <f>VLOOKUP(B2720,'Relacion codigos'!$A:$B,2,FALSE)</f>
        <v>8415</v>
      </c>
      <c r="B2720" s="6" t="s">
        <v>3509</v>
      </c>
      <c r="C2720" s="6" t="s">
        <v>12632</v>
      </c>
      <c r="D2720" s="24">
        <v>36.4615875</v>
      </c>
      <c r="E2720" s="6" t="s">
        <v>5887</v>
      </c>
      <c r="F2720" s="6">
        <v>21</v>
      </c>
      <c r="G2720" s="8">
        <f t="shared" si="42"/>
        <v>56697.768562500001</v>
      </c>
    </row>
    <row r="2721" spans="1:7" x14ac:dyDescent="0.3">
      <c r="A2721" s="14" t="e">
        <f>VLOOKUP(B2721,'Relacion codigos'!$A:$B,2,FALSE)</f>
        <v>#N/A</v>
      </c>
      <c r="B2721" s="6" t="s">
        <v>10768</v>
      </c>
      <c r="C2721" s="6" t="s">
        <v>10769</v>
      </c>
      <c r="D2721" s="24">
        <v>89246.56</v>
      </c>
      <c r="E2721" s="6" t="s">
        <v>5889</v>
      </c>
      <c r="F2721" s="6">
        <v>21</v>
      </c>
      <c r="G2721" s="8">
        <f t="shared" si="42"/>
        <v>89246.56</v>
      </c>
    </row>
    <row r="2722" spans="1:7" x14ac:dyDescent="0.3">
      <c r="A2722" s="14" t="str">
        <f>VLOOKUP(B2722,'Relacion codigos'!$A:$B,2,FALSE)</f>
        <v>7427</v>
      </c>
      <c r="B2722" s="6" t="s">
        <v>3502</v>
      </c>
      <c r="C2722" s="6" t="s">
        <v>10481</v>
      </c>
      <c r="D2722" s="24">
        <v>119626</v>
      </c>
      <c r="E2722" s="6" t="s">
        <v>5889</v>
      </c>
      <c r="F2722" s="6">
        <v>21</v>
      </c>
      <c r="G2722" s="8">
        <f t="shared" si="42"/>
        <v>119626</v>
      </c>
    </row>
    <row r="2723" spans="1:7" x14ac:dyDescent="0.3">
      <c r="A2723" s="14" t="str">
        <f>VLOOKUP(B2723,'Relacion codigos'!$A:$B,2,FALSE)</f>
        <v>7227</v>
      </c>
      <c r="B2723" s="6" t="s">
        <v>3503</v>
      </c>
      <c r="C2723" s="6" t="s">
        <v>10770</v>
      </c>
      <c r="D2723" s="24">
        <v>114062</v>
      </c>
      <c r="E2723" s="6" t="s">
        <v>5889</v>
      </c>
      <c r="F2723" s="6">
        <v>21</v>
      </c>
      <c r="G2723" s="8">
        <f t="shared" si="42"/>
        <v>114062</v>
      </c>
    </row>
    <row r="2724" spans="1:7" x14ac:dyDescent="0.3">
      <c r="A2724" s="14" t="str">
        <f>VLOOKUP(B2724,'Relacion codigos'!$A:$B,2,FALSE)</f>
        <v>6184</v>
      </c>
      <c r="B2724" s="6" t="s">
        <v>3511</v>
      </c>
      <c r="C2724" s="6" t="s">
        <v>10482</v>
      </c>
      <c r="D2724" s="24">
        <v>328.75875489600003</v>
      </c>
      <c r="E2724" s="6" t="s">
        <v>5887</v>
      </c>
      <c r="F2724" s="6">
        <v>21</v>
      </c>
      <c r="G2724" s="8">
        <f t="shared" si="42"/>
        <v>511219.86386328004</v>
      </c>
    </row>
    <row r="2725" spans="1:7" x14ac:dyDescent="0.3">
      <c r="A2725" s="14" t="e">
        <f>VLOOKUP(B2725,'Relacion codigos'!$A:$B,2,FALSE)</f>
        <v>#N/A</v>
      </c>
      <c r="B2725" s="6" t="s">
        <v>10771</v>
      </c>
      <c r="C2725" s="6" t="s">
        <v>13172</v>
      </c>
      <c r="D2725" s="24">
        <v>15.64875</v>
      </c>
      <c r="E2725" s="6" t="s">
        <v>5887</v>
      </c>
      <c r="F2725" s="6">
        <v>21</v>
      </c>
      <c r="G2725" s="8">
        <f t="shared" si="42"/>
        <v>24333.806249999998</v>
      </c>
    </row>
    <row r="2726" spans="1:7" x14ac:dyDescent="0.3">
      <c r="A2726" s="14" t="str">
        <f>VLOOKUP(B2726,'Relacion codigos'!$A:$B,2,FALSE)</f>
        <v>2230</v>
      </c>
      <c r="B2726" s="6" t="s">
        <v>5292</v>
      </c>
      <c r="C2726" s="6" t="s">
        <v>433</v>
      </c>
      <c r="D2726" s="24">
        <v>22.297729628562799</v>
      </c>
      <c r="E2726" s="6" t="s">
        <v>5887</v>
      </c>
      <c r="F2726" s="6">
        <v>21</v>
      </c>
      <c r="G2726" s="8">
        <f t="shared" si="42"/>
        <v>34672.969572415153</v>
      </c>
    </row>
    <row r="2727" spans="1:7" x14ac:dyDescent="0.3">
      <c r="A2727" s="14" t="str">
        <f>VLOOKUP(B2727,'Relacion codigos'!$A:$B,2,FALSE)</f>
        <v>7326</v>
      </c>
      <c r="B2727" s="6" t="s">
        <v>5293</v>
      </c>
      <c r="C2727" s="6" t="s">
        <v>12026</v>
      </c>
      <c r="D2727" s="24">
        <v>8.9197875</v>
      </c>
      <c r="E2727" s="6" t="s">
        <v>5887</v>
      </c>
      <c r="F2727" s="6">
        <v>21</v>
      </c>
      <c r="G2727" s="8">
        <f t="shared" si="42"/>
        <v>13870.2695625</v>
      </c>
    </row>
    <row r="2728" spans="1:7" x14ac:dyDescent="0.3">
      <c r="A2728" s="14" t="str">
        <f>VLOOKUP(B2728,'Relacion codigos'!$A:$B,2,FALSE)</f>
        <v>7018</v>
      </c>
      <c r="B2728" s="6" t="s">
        <v>5297</v>
      </c>
      <c r="C2728" s="6" t="s">
        <v>11957</v>
      </c>
      <c r="D2728" s="24">
        <v>9.9303749999999997</v>
      </c>
      <c r="E2728" s="6" t="s">
        <v>5887</v>
      </c>
      <c r="F2728" s="6">
        <v>21</v>
      </c>
      <c r="G2728" s="8">
        <f t="shared" si="42"/>
        <v>15441.733124999999</v>
      </c>
    </row>
    <row r="2729" spans="1:7" x14ac:dyDescent="0.3">
      <c r="A2729" s="14" t="e">
        <f>VLOOKUP(B2729,'Relacion codigos'!$A:$B,2,FALSE)</f>
        <v>#N/A</v>
      </c>
      <c r="B2729" s="6" t="s">
        <v>13019</v>
      </c>
      <c r="C2729" s="6" t="s">
        <v>13020</v>
      </c>
      <c r="D2729" s="24">
        <v>16.6919997219435</v>
      </c>
      <c r="E2729" s="6" t="s">
        <v>5887</v>
      </c>
      <c r="F2729" s="6">
        <v>21</v>
      </c>
      <c r="G2729" s="8">
        <f t="shared" si="42"/>
        <v>25956.059567622142</v>
      </c>
    </row>
    <row r="2730" spans="1:7" x14ac:dyDescent="0.3">
      <c r="A2730" s="14" t="str">
        <f>VLOOKUP(B2730,'Relacion codigos'!$A:$B,2,FALSE)</f>
        <v>NUEVO</v>
      </c>
      <c r="B2730" s="6" t="s">
        <v>5298</v>
      </c>
      <c r="C2730" s="6" t="s">
        <v>12027</v>
      </c>
      <c r="D2730" s="24">
        <v>10.7976375</v>
      </c>
      <c r="E2730" s="6" t="s">
        <v>5887</v>
      </c>
      <c r="F2730" s="6">
        <v>21</v>
      </c>
      <c r="G2730" s="8">
        <f t="shared" si="42"/>
        <v>16790.326312500001</v>
      </c>
    </row>
    <row r="2731" spans="1:7" x14ac:dyDescent="0.3">
      <c r="A2731" s="14" t="e">
        <f>VLOOKUP(B2731,'Relacion codigos'!$A:$B,2,FALSE)</f>
        <v>#N/A</v>
      </c>
      <c r="B2731" s="6" t="s">
        <v>12880</v>
      </c>
      <c r="C2731" s="6" t="s">
        <v>12881</v>
      </c>
      <c r="D2731" s="24">
        <v>17.51295</v>
      </c>
      <c r="E2731" s="6" t="s">
        <v>5887</v>
      </c>
      <c r="F2731" s="6">
        <v>21</v>
      </c>
      <c r="G2731" s="8">
        <f t="shared" si="42"/>
        <v>27232.63725</v>
      </c>
    </row>
    <row r="2732" spans="1:7" x14ac:dyDescent="0.3">
      <c r="A2732" s="14" t="e">
        <f>VLOOKUP(B2732,'Relacion codigos'!$A:$B,2,FALSE)</f>
        <v>#N/A</v>
      </c>
      <c r="B2732" s="6" t="s">
        <v>11377</v>
      </c>
      <c r="C2732" s="6" t="s">
        <v>11378</v>
      </c>
      <c r="D2732" s="24">
        <v>167.56681499999999</v>
      </c>
      <c r="E2732" s="6" t="s">
        <v>5887</v>
      </c>
      <c r="F2732" s="6">
        <v>21</v>
      </c>
      <c r="G2732" s="8">
        <f t="shared" si="42"/>
        <v>260566.397325</v>
      </c>
    </row>
    <row r="2733" spans="1:7" x14ac:dyDescent="0.3">
      <c r="A2733" s="14" t="e">
        <f>VLOOKUP(B2733,'Relacion codigos'!$A:$B,2,FALSE)</f>
        <v>#N/A</v>
      </c>
      <c r="B2733" s="6" t="s">
        <v>9611</v>
      </c>
      <c r="C2733" s="6" t="s">
        <v>13107</v>
      </c>
      <c r="D2733" s="24">
        <v>205.86799999999999</v>
      </c>
      <c r="E2733" s="6" t="s">
        <v>5887</v>
      </c>
      <c r="F2733" s="6">
        <v>21</v>
      </c>
      <c r="G2733" s="8">
        <f t="shared" si="42"/>
        <v>320124.74</v>
      </c>
    </row>
    <row r="2734" spans="1:7" x14ac:dyDescent="0.3">
      <c r="A2734" s="14" t="e">
        <f>VLOOKUP(B2734,'Relacion codigos'!$A:$B,2,FALSE)</f>
        <v>#N/A</v>
      </c>
      <c r="B2734" s="6" t="s">
        <v>12949</v>
      </c>
      <c r="C2734" s="6" t="s">
        <v>12950</v>
      </c>
      <c r="D2734" s="24">
        <v>20.475000000000001</v>
      </c>
      <c r="E2734" s="6" t="s">
        <v>5887</v>
      </c>
      <c r="F2734" s="6">
        <v>21</v>
      </c>
      <c r="G2734" s="8">
        <f t="shared" si="42"/>
        <v>31838.625000000004</v>
      </c>
    </row>
    <row r="2735" spans="1:7" x14ac:dyDescent="0.3">
      <c r="A2735" s="14" t="e">
        <f>VLOOKUP(B2735,'Relacion codigos'!$A:$B,2,FALSE)</f>
        <v>#N/A</v>
      </c>
      <c r="B2735" s="6" t="s">
        <v>13980</v>
      </c>
      <c r="C2735" s="6" t="s">
        <v>13981</v>
      </c>
      <c r="D2735" s="24">
        <v>64312.701699999998</v>
      </c>
      <c r="E2735" s="6" t="s">
        <v>5889</v>
      </c>
      <c r="F2735" s="6">
        <v>21</v>
      </c>
      <c r="G2735" s="8">
        <f t="shared" si="42"/>
        <v>64312.701699999998</v>
      </c>
    </row>
    <row r="2736" spans="1:7" x14ac:dyDescent="0.3">
      <c r="A2736" s="14" t="str">
        <f>VLOOKUP(B2736,'Relacion codigos'!$A:$B,2,FALSE)</f>
        <v>1231</v>
      </c>
      <c r="B2736" s="6" t="s">
        <v>1687</v>
      </c>
      <c r="C2736" s="6" t="s">
        <v>434</v>
      </c>
      <c r="D2736" s="24">
        <v>824.33219440000005</v>
      </c>
      <c r="E2736" s="6" t="s">
        <v>5889</v>
      </c>
      <c r="F2736" s="6">
        <v>21</v>
      </c>
      <c r="G2736" s="8">
        <f t="shared" si="42"/>
        <v>824.33219440000005</v>
      </c>
    </row>
    <row r="2737" spans="1:7" x14ac:dyDescent="0.3">
      <c r="A2737" s="14" t="str">
        <f>VLOOKUP(B2737,'Relacion codigos'!$A:$B,2,FALSE)</f>
        <v>2477</v>
      </c>
      <c r="B2737" s="6" t="s">
        <v>1688</v>
      </c>
      <c r="C2737" s="6" t="s">
        <v>435</v>
      </c>
      <c r="D2737" s="24">
        <v>7136.1966676000002</v>
      </c>
      <c r="E2737" s="6" t="s">
        <v>5889</v>
      </c>
      <c r="F2737" s="6">
        <v>21</v>
      </c>
      <c r="G2737" s="8">
        <f t="shared" si="42"/>
        <v>7136.1966676000002</v>
      </c>
    </row>
    <row r="2738" spans="1:7" x14ac:dyDescent="0.3">
      <c r="A2738" s="14" t="str">
        <f>VLOOKUP(B2738,'Relacion codigos'!$A:$B,2,FALSE)</f>
        <v>1848</v>
      </c>
      <c r="B2738" s="6" t="s">
        <v>1689</v>
      </c>
      <c r="C2738" s="6" t="s">
        <v>436</v>
      </c>
      <c r="D2738" s="24">
        <v>1027.1806116</v>
      </c>
      <c r="E2738" s="6" t="s">
        <v>5889</v>
      </c>
      <c r="F2738" s="6">
        <v>21</v>
      </c>
      <c r="G2738" s="8">
        <f t="shared" si="42"/>
        <v>1027.1806116</v>
      </c>
    </row>
    <row r="2739" spans="1:7" x14ac:dyDescent="0.3">
      <c r="A2739" s="14" t="str">
        <f>VLOOKUP(B2739,'Relacion codigos'!$A:$B,2,FALSE)</f>
        <v>611</v>
      </c>
      <c r="B2739" s="6" t="s">
        <v>1690</v>
      </c>
      <c r="C2739" s="6" t="s">
        <v>1160</v>
      </c>
      <c r="D2739" s="24">
        <v>456.93070280000001</v>
      </c>
      <c r="E2739" s="6" t="s">
        <v>5889</v>
      </c>
      <c r="F2739" s="6">
        <v>21</v>
      </c>
      <c r="G2739" s="8">
        <f t="shared" si="42"/>
        <v>456.93070280000001</v>
      </c>
    </row>
    <row r="2740" spans="1:7" x14ac:dyDescent="0.3">
      <c r="A2740" s="14" t="str">
        <f>VLOOKUP(B2740,'Relacion codigos'!$A:$B,2,FALSE)</f>
        <v>1256</v>
      </c>
      <c r="B2740" s="6" t="s">
        <v>1691</v>
      </c>
      <c r="C2740" s="6" t="s">
        <v>437</v>
      </c>
      <c r="D2740" s="24">
        <v>1248.0658476000001</v>
      </c>
      <c r="E2740" s="6" t="s">
        <v>5889</v>
      </c>
      <c r="F2740" s="6">
        <v>21</v>
      </c>
      <c r="G2740" s="8">
        <f t="shared" si="42"/>
        <v>1248.0658476000001</v>
      </c>
    </row>
    <row r="2741" spans="1:7" x14ac:dyDescent="0.3">
      <c r="A2741" s="14" t="str">
        <f>VLOOKUP(B2741,'Relacion codigos'!$A:$B,2,FALSE)</f>
        <v>1483</v>
      </c>
      <c r="B2741" s="6" t="s">
        <v>1692</v>
      </c>
      <c r="C2741" s="6" t="s">
        <v>438</v>
      </c>
      <c r="D2741" s="24">
        <v>1775.8340599999999</v>
      </c>
      <c r="E2741" s="6" t="s">
        <v>5889</v>
      </c>
      <c r="F2741" s="6">
        <v>21</v>
      </c>
      <c r="G2741" s="8">
        <f t="shared" si="42"/>
        <v>1775.8340599999999</v>
      </c>
    </row>
    <row r="2742" spans="1:7" x14ac:dyDescent="0.3">
      <c r="A2742" s="14" t="str">
        <f>VLOOKUP(B2742,'Relacion codigos'!$A:$B,2,FALSE)</f>
        <v>801</v>
      </c>
      <c r="B2742" s="6" t="s">
        <v>1693</v>
      </c>
      <c r="C2742" s="6" t="s">
        <v>439</v>
      </c>
      <c r="D2742" s="24">
        <v>497.60688119999998</v>
      </c>
      <c r="E2742" s="6" t="s">
        <v>5889</v>
      </c>
      <c r="F2742" s="6">
        <v>21</v>
      </c>
      <c r="G2742" s="8">
        <f t="shared" si="42"/>
        <v>497.60688119999998</v>
      </c>
    </row>
    <row r="2743" spans="1:7" x14ac:dyDescent="0.3">
      <c r="A2743" s="14" t="str">
        <f>VLOOKUP(B2743,'Relacion codigos'!$A:$B,2,FALSE)</f>
        <v>1416</v>
      </c>
      <c r="B2743" s="6" t="s">
        <v>1694</v>
      </c>
      <c r="C2743" s="6" t="s">
        <v>440</v>
      </c>
      <c r="D2743" s="24">
        <v>2872.1078671999999</v>
      </c>
      <c r="E2743" s="6" t="s">
        <v>5889</v>
      </c>
      <c r="F2743" s="6">
        <v>21</v>
      </c>
      <c r="G2743" s="8">
        <f t="shared" si="42"/>
        <v>2872.1078671999999</v>
      </c>
    </row>
    <row r="2744" spans="1:7" x14ac:dyDescent="0.3">
      <c r="A2744" s="14" t="str">
        <f>VLOOKUP(B2744,'Relacion codigos'!$A:$B,2,FALSE)</f>
        <v>802</v>
      </c>
      <c r="B2744" s="6" t="s">
        <v>1695</v>
      </c>
      <c r="C2744" s="6" t="s">
        <v>441</v>
      </c>
      <c r="D2744" s="24">
        <v>511.26149359999999</v>
      </c>
      <c r="E2744" s="6" t="s">
        <v>5889</v>
      </c>
      <c r="F2744" s="6">
        <v>21</v>
      </c>
      <c r="G2744" s="8">
        <f t="shared" si="42"/>
        <v>511.26149359999999</v>
      </c>
    </row>
    <row r="2745" spans="1:7" x14ac:dyDescent="0.3">
      <c r="A2745" s="14" t="str">
        <f>VLOOKUP(B2745,'Relacion codigos'!$A:$B,2,FALSE)</f>
        <v>2475</v>
      </c>
      <c r="B2745" s="6" t="s">
        <v>1696</v>
      </c>
      <c r="C2745" s="6" t="s">
        <v>442</v>
      </c>
      <c r="D2745" s="24">
        <v>4235.1331879999998</v>
      </c>
      <c r="E2745" s="6" t="s">
        <v>5889</v>
      </c>
      <c r="F2745" s="6">
        <v>21</v>
      </c>
      <c r="G2745" s="8">
        <f t="shared" si="42"/>
        <v>4235.1331879999998</v>
      </c>
    </row>
    <row r="2746" spans="1:7" x14ac:dyDescent="0.3">
      <c r="A2746" s="14" t="str">
        <f>VLOOKUP(B2746,'Relacion codigos'!$A:$B,2,FALSE)</f>
        <v>2476</v>
      </c>
      <c r="B2746" s="6" t="s">
        <v>1697</v>
      </c>
      <c r="C2746" s="6" t="s">
        <v>443</v>
      </c>
      <c r="D2746" s="24">
        <v>5647.4522103999998</v>
      </c>
      <c r="E2746" s="6" t="s">
        <v>5889</v>
      </c>
      <c r="F2746" s="6">
        <v>21</v>
      </c>
      <c r="G2746" s="8">
        <f t="shared" si="42"/>
        <v>5647.4522103999998</v>
      </c>
    </row>
    <row r="2747" spans="1:7" x14ac:dyDescent="0.3">
      <c r="A2747" s="14" t="str">
        <f>VLOOKUP(B2747,'Relacion codigos'!$A:$B,2,FALSE)</f>
        <v>5473</v>
      </c>
      <c r="B2747" s="6" t="s">
        <v>5028</v>
      </c>
      <c r="C2747" s="6" t="s">
        <v>444</v>
      </c>
      <c r="D2747" s="24">
        <v>175.85889514412199</v>
      </c>
      <c r="E2747" s="6" t="s">
        <v>5889</v>
      </c>
      <c r="F2747" s="6">
        <v>21</v>
      </c>
      <c r="G2747" s="8">
        <f t="shared" si="42"/>
        <v>175.85889514412199</v>
      </c>
    </row>
    <row r="2748" spans="1:7" x14ac:dyDescent="0.3">
      <c r="A2748" s="14" t="str">
        <f>VLOOKUP(B2748,'Relacion codigos'!$A:$B,2,FALSE)</f>
        <v>5474</v>
      </c>
      <c r="B2748" s="6" t="s">
        <v>5029</v>
      </c>
      <c r="C2748" s="6" t="s">
        <v>445</v>
      </c>
      <c r="D2748" s="24">
        <v>175.85889514412199</v>
      </c>
      <c r="E2748" s="6" t="s">
        <v>5889</v>
      </c>
      <c r="F2748" s="6">
        <v>21</v>
      </c>
      <c r="G2748" s="8">
        <f t="shared" si="42"/>
        <v>175.85889514412199</v>
      </c>
    </row>
    <row r="2749" spans="1:7" x14ac:dyDescent="0.3">
      <c r="A2749" s="14" t="str">
        <f>VLOOKUP(B2749,'Relacion codigos'!$A:$B,2,FALSE)</f>
        <v>5472</v>
      </c>
      <c r="B2749" s="6" t="s">
        <v>5027</v>
      </c>
      <c r="C2749" s="6" t="s">
        <v>10674</v>
      </c>
      <c r="D2749" s="24">
        <v>175.85889514412199</v>
      </c>
      <c r="E2749" s="6" t="s">
        <v>5889</v>
      </c>
      <c r="F2749" s="6">
        <v>21</v>
      </c>
      <c r="G2749" s="8">
        <f t="shared" si="42"/>
        <v>175.85889514412199</v>
      </c>
    </row>
    <row r="2750" spans="1:7" x14ac:dyDescent="0.3">
      <c r="A2750" s="14" t="str">
        <f>VLOOKUP(B2750,'Relacion codigos'!$A:$B,2,FALSE)</f>
        <v>7424</v>
      </c>
      <c r="B2750" s="6" t="s">
        <v>3465</v>
      </c>
      <c r="C2750" s="6" t="s">
        <v>10082</v>
      </c>
      <c r="D2750" s="24">
        <v>2484.5765559615002</v>
      </c>
      <c r="E2750" s="6" t="s">
        <v>5889</v>
      </c>
      <c r="F2750" s="6">
        <v>21</v>
      </c>
      <c r="G2750" s="8">
        <f t="shared" si="42"/>
        <v>2484.5765559615002</v>
      </c>
    </row>
    <row r="2751" spans="1:7" x14ac:dyDescent="0.3">
      <c r="A2751" s="14" t="str">
        <f>VLOOKUP(B2751,'Relacion codigos'!$A:$B,2,FALSE)</f>
        <v>7303</v>
      </c>
      <c r="B2751" s="6" t="s">
        <v>5156</v>
      </c>
      <c r="C2751" s="6" t="s">
        <v>10994</v>
      </c>
      <c r="D2751" s="24">
        <v>811.51134517440005</v>
      </c>
      <c r="E2751" s="6" t="s">
        <v>5889</v>
      </c>
      <c r="F2751" s="6">
        <v>21</v>
      </c>
      <c r="G2751" s="8">
        <f t="shared" si="42"/>
        <v>811.51134517440005</v>
      </c>
    </row>
    <row r="2752" spans="1:7" x14ac:dyDescent="0.3">
      <c r="A2752" s="14" t="str">
        <f>VLOOKUP(B2752,'Relacion codigos'!$A:$B,2,FALSE)</f>
        <v>7301</v>
      </c>
      <c r="B2752" s="6" t="s">
        <v>5157</v>
      </c>
      <c r="C2752" s="6" t="s">
        <v>10995</v>
      </c>
      <c r="D2752" s="24">
        <v>811.51134517440005</v>
      </c>
      <c r="E2752" s="6" t="s">
        <v>5889</v>
      </c>
      <c r="F2752" s="6">
        <v>21</v>
      </c>
      <c r="G2752" s="8">
        <f t="shared" si="42"/>
        <v>811.51134517440005</v>
      </c>
    </row>
    <row r="2753" spans="1:7" x14ac:dyDescent="0.3">
      <c r="A2753" s="14" t="str">
        <f>VLOOKUP(B2753,'Relacion codigos'!$A:$B,2,FALSE)</f>
        <v>7306</v>
      </c>
      <c r="B2753" s="6" t="s">
        <v>5158</v>
      </c>
      <c r="C2753" s="6" t="s">
        <v>10996</v>
      </c>
      <c r="D2753" s="24">
        <v>2120.3812129500002</v>
      </c>
      <c r="E2753" s="6" t="s">
        <v>5889</v>
      </c>
      <c r="F2753" s="6">
        <v>21</v>
      </c>
      <c r="G2753" s="8">
        <f t="shared" si="42"/>
        <v>2120.3812129500002</v>
      </c>
    </row>
    <row r="2754" spans="1:7" x14ac:dyDescent="0.3">
      <c r="A2754" s="14" t="str">
        <f>VLOOKUP(B2754,'Relacion codigos'!$A:$B,2,FALSE)</f>
        <v>7307</v>
      </c>
      <c r="B2754" s="6" t="s">
        <v>5159</v>
      </c>
      <c r="C2754" s="6" t="s">
        <v>10997</v>
      </c>
      <c r="D2754" s="24">
        <v>2120.3812129500002</v>
      </c>
      <c r="E2754" s="6" t="s">
        <v>5889</v>
      </c>
      <c r="F2754" s="6">
        <v>21</v>
      </c>
      <c r="G2754" s="8">
        <f t="shared" ref="G2754:G2817" si="43">IF(E2754="Dolares",D2754*$G$1,D2754)</f>
        <v>2120.3812129500002</v>
      </c>
    </row>
    <row r="2755" spans="1:7" x14ac:dyDescent="0.3">
      <c r="A2755" s="14" t="str">
        <f>VLOOKUP(B2755,'Relacion codigos'!$A:$B,2,FALSE)</f>
        <v>7302</v>
      </c>
      <c r="B2755" s="6" t="s">
        <v>5160</v>
      </c>
      <c r="C2755" s="6" t="s">
        <v>10998</v>
      </c>
      <c r="D2755" s="24">
        <v>811.51134517440005</v>
      </c>
      <c r="E2755" s="6" t="s">
        <v>5889</v>
      </c>
      <c r="F2755" s="6">
        <v>21</v>
      </c>
      <c r="G2755" s="8">
        <f t="shared" si="43"/>
        <v>811.51134517440005</v>
      </c>
    </row>
    <row r="2756" spans="1:7" x14ac:dyDescent="0.3">
      <c r="A2756" s="14" t="str">
        <f>VLOOKUP(B2756,'Relacion codigos'!$A:$B,2,FALSE)</f>
        <v>7309</v>
      </c>
      <c r="B2756" s="6" t="s">
        <v>5161</v>
      </c>
      <c r="C2756" s="6" t="s">
        <v>446</v>
      </c>
      <c r="D2756" s="24">
        <v>5271.23080131603</v>
      </c>
      <c r="E2756" s="6" t="s">
        <v>5889</v>
      </c>
      <c r="F2756" s="6">
        <v>21</v>
      </c>
      <c r="G2756" s="8">
        <f t="shared" si="43"/>
        <v>5271.23080131603</v>
      </c>
    </row>
    <row r="2757" spans="1:7" x14ac:dyDescent="0.3">
      <c r="A2757" s="14" t="str">
        <f>VLOOKUP(B2757,'Relacion codigos'!$A:$B,2,FALSE)</f>
        <v>7308</v>
      </c>
      <c r="B2757" s="6" t="s">
        <v>5162</v>
      </c>
      <c r="C2757" s="6" t="s">
        <v>447</v>
      </c>
      <c r="D2757" s="24">
        <v>5271.2215516116003</v>
      </c>
      <c r="E2757" s="6" t="s">
        <v>5889</v>
      </c>
      <c r="F2757" s="6">
        <v>21</v>
      </c>
      <c r="G2757" s="8">
        <f t="shared" si="43"/>
        <v>5271.2215516116003</v>
      </c>
    </row>
    <row r="2758" spans="1:7" x14ac:dyDescent="0.3">
      <c r="A2758" s="14" t="str">
        <f>VLOOKUP(B2758,'Relacion codigos'!$A:$B,2,FALSE)</f>
        <v>7305</v>
      </c>
      <c r="B2758" s="6" t="s">
        <v>5163</v>
      </c>
      <c r="C2758" s="6" t="s">
        <v>10999</v>
      </c>
      <c r="D2758" s="24">
        <v>1631.0624714999999</v>
      </c>
      <c r="E2758" s="6" t="s">
        <v>5889</v>
      </c>
      <c r="F2758" s="6">
        <v>21</v>
      </c>
      <c r="G2758" s="8">
        <f t="shared" si="43"/>
        <v>1631.0624714999999</v>
      </c>
    </row>
    <row r="2759" spans="1:7" x14ac:dyDescent="0.3">
      <c r="A2759" s="14" t="str">
        <f>VLOOKUP(B2759,'Relacion codigos'!$A:$B,2,FALSE)</f>
        <v>7304</v>
      </c>
      <c r="B2759" s="6" t="s">
        <v>5164</v>
      </c>
      <c r="C2759" s="6" t="s">
        <v>11000</v>
      </c>
      <c r="D2759" s="24">
        <v>2120.3812129500002</v>
      </c>
      <c r="E2759" s="6" t="s">
        <v>5889</v>
      </c>
      <c r="F2759" s="6">
        <v>21</v>
      </c>
      <c r="G2759" s="8">
        <f t="shared" si="43"/>
        <v>2120.3812129500002</v>
      </c>
    </row>
    <row r="2760" spans="1:7" x14ac:dyDescent="0.3">
      <c r="A2760" s="14" t="str">
        <f>VLOOKUP(B2760,'Relacion codigos'!$A:$B,2,FALSE)</f>
        <v>7932</v>
      </c>
      <c r="B2760" s="6" t="s">
        <v>3464</v>
      </c>
      <c r="C2760" s="6" t="s">
        <v>13887</v>
      </c>
      <c r="D2760" s="24">
        <v>4.7229000000000001</v>
      </c>
      <c r="E2760" s="6" t="s">
        <v>5887</v>
      </c>
      <c r="F2760" s="6">
        <v>21</v>
      </c>
      <c r="G2760" s="8">
        <f t="shared" si="43"/>
        <v>7344.1095000000005</v>
      </c>
    </row>
    <row r="2761" spans="1:7" x14ac:dyDescent="0.3">
      <c r="A2761" s="14" t="e">
        <f>VLOOKUP(B2761,'Relacion codigos'!$A:$B,2,FALSE)</f>
        <v>#N/A</v>
      </c>
      <c r="B2761" s="6" t="s">
        <v>13584</v>
      </c>
      <c r="C2761" s="6" t="s">
        <v>13585</v>
      </c>
      <c r="D2761" s="24">
        <v>9.86219</v>
      </c>
      <c r="E2761" s="6" t="s">
        <v>5887</v>
      </c>
      <c r="F2761" s="6">
        <v>21</v>
      </c>
      <c r="G2761" s="8">
        <f t="shared" si="43"/>
        <v>15335.705449999999</v>
      </c>
    </row>
    <row r="2762" spans="1:7" x14ac:dyDescent="0.3">
      <c r="A2762" s="14" t="str">
        <f>VLOOKUP(B2762,'Relacion codigos'!$A:$B,2,FALSE)</f>
        <v>7083</v>
      </c>
      <c r="B2762" s="6" t="s">
        <v>3463</v>
      </c>
      <c r="C2762" s="6" t="s">
        <v>11958</v>
      </c>
      <c r="D2762" s="24">
        <v>14.312025</v>
      </c>
      <c r="E2762" s="6" t="s">
        <v>5887</v>
      </c>
      <c r="F2762" s="6">
        <v>21</v>
      </c>
      <c r="G2762" s="8">
        <f t="shared" si="43"/>
        <v>22255.198875000002</v>
      </c>
    </row>
    <row r="2763" spans="1:7" x14ac:dyDescent="0.3">
      <c r="A2763" s="14" t="e">
        <f>VLOOKUP(B2763,'Relacion codigos'!$A:$B,2,FALSE)</f>
        <v>#N/A</v>
      </c>
      <c r="B2763" s="6" t="s">
        <v>11959</v>
      </c>
      <c r="C2763" s="6" t="s">
        <v>11960</v>
      </c>
      <c r="D2763" s="24">
        <v>11.199825000000001</v>
      </c>
      <c r="E2763" s="6" t="s">
        <v>5887</v>
      </c>
      <c r="F2763" s="6">
        <v>21</v>
      </c>
      <c r="G2763" s="8">
        <f t="shared" si="43"/>
        <v>17415.727875</v>
      </c>
    </row>
    <row r="2764" spans="1:7" x14ac:dyDescent="0.3">
      <c r="A2764" s="14" t="str">
        <f>VLOOKUP(B2764,'Relacion codigos'!$A:$B,2,FALSE)</f>
        <v>7319</v>
      </c>
      <c r="B2764" s="6" t="s">
        <v>5165</v>
      </c>
      <c r="C2764" s="6" t="s">
        <v>448</v>
      </c>
      <c r="D2764" s="24">
        <v>441.80140895279999</v>
      </c>
      <c r="E2764" s="6" t="s">
        <v>5889</v>
      </c>
      <c r="F2764" s="6">
        <v>21</v>
      </c>
      <c r="G2764" s="8">
        <f t="shared" si="43"/>
        <v>441.80140895279999</v>
      </c>
    </row>
    <row r="2765" spans="1:7" x14ac:dyDescent="0.3">
      <c r="A2765" s="14" t="str">
        <f>VLOOKUP(B2765,'Relacion codigos'!$A:$B,2,FALSE)</f>
        <v>7317</v>
      </c>
      <c r="B2765" s="6" t="s">
        <v>5166</v>
      </c>
      <c r="C2765" s="6" t="s">
        <v>449</v>
      </c>
      <c r="D2765" s="24">
        <v>441.80140895279999</v>
      </c>
      <c r="E2765" s="6" t="s">
        <v>5889</v>
      </c>
      <c r="F2765" s="6">
        <v>21</v>
      </c>
      <c r="G2765" s="8">
        <f t="shared" si="43"/>
        <v>441.80140895279999</v>
      </c>
    </row>
    <row r="2766" spans="1:7" x14ac:dyDescent="0.3">
      <c r="A2766" s="14" t="str">
        <f>VLOOKUP(B2766,'Relacion codigos'!$A:$B,2,FALSE)</f>
        <v>7318</v>
      </c>
      <c r="B2766" s="6" t="s">
        <v>5167</v>
      </c>
      <c r="C2766" s="6" t="s">
        <v>450</v>
      </c>
      <c r="D2766" s="24">
        <v>441.80140895279999</v>
      </c>
      <c r="E2766" s="6" t="s">
        <v>5889</v>
      </c>
      <c r="F2766" s="6">
        <v>21</v>
      </c>
      <c r="G2766" s="8">
        <f t="shared" si="43"/>
        <v>441.80140895279999</v>
      </c>
    </row>
    <row r="2767" spans="1:7" x14ac:dyDescent="0.3">
      <c r="A2767" s="14" t="str">
        <f>VLOOKUP(B2767,'Relacion codigos'!$A:$B,2,FALSE)</f>
        <v>7316</v>
      </c>
      <c r="B2767" s="6" t="s">
        <v>5168</v>
      </c>
      <c r="C2767" s="6" t="s">
        <v>451</v>
      </c>
      <c r="D2767" s="24">
        <v>1530.78275844</v>
      </c>
      <c r="E2767" s="6" t="s">
        <v>5889</v>
      </c>
      <c r="F2767" s="6">
        <v>21</v>
      </c>
      <c r="G2767" s="8">
        <f t="shared" si="43"/>
        <v>1530.78275844</v>
      </c>
    </row>
    <row r="2768" spans="1:7" x14ac:dyDescent="0.3">
      <c r="A2768" s="14" t="str">
        <f>VLOOKUP(B2768,'Relacion codigos'!$A:$B,2,FALSE)</f>
        <v>7312</v>
      </c>
      <c r="B2768" s="6" t="s">
        <v>5169</v>
      </c>
      <c r="C2768" s="6" t="s">
        <v>452</v>
      </c>
      <c r="D2768" s="24">
        <v>462.92633009999997</v>
      </c>
      <c r="E2768" s="6" t="s">
        <v>5889</v>
      </c>
      <c r="F2768" s="6">
        <v>21</v>
      </c>
      <c r="G2768" s="8">
        <f t="shared" si="43"/>
        <v>462.92633009999997</v>
      </c>
    </row>
    <row r="2769" spans="1:7" x14ac:dyDescent="0.3">
      <c r="A2769" s="14" t="str">
        <f>VLOOKUP(B2769,'Relacion codigos'!$A:$B,2,FALSE)</f>
        <v>7310</v>
      </c>
      <c r="B2769" s="6" t="s">
        <v>5170</v>
      </c>
      <c r="C2769" s="6" t="s">
        <v>453</v>
      </c>
      <c r="D2769" s="24">
        <v>462.92633009999997</v>
      </c>
      <c r="E2769" s="6" t="s">
        <v>5889</v>
      </c>
      <c r="F2769" s="6">
        <v>21</v>
      </c>
      <c r="G2769" s="8">
        <f t="shared" si="43"/>
        <v>462.92633009999997</v>
      </c>
    </row>
    <row r="2770" spans="1:7" x14ac:dyDescent="0.3">
      <c r="A2770" s="14" t="str">
        <f>VLOOKUP(B2770,'Relacion codigos'!$A:$B,2,FALSE)</f>
        <v>7314</v>
      </c>
      <c r="B2770" s="6" t="s">
        <v>5171</v>
      </c>
      <c r="C2770" s="6" t="s">
        <v>454</v>
      </c>
      <c r="D2770" s="24">
        <v>2310.4995492384</v>
      </c>
      <c r="E2770" s="6" t="s">
        <v>5889</v>
      </c>
      <c r="F2770" s="6">
        <v>21</v>
      </c>
      <c r="G2770" s="8">
        <f t="shared" si="43"/>
        <v>2310.4995492384</v>
      </c>
    </row>
    <row r="2771" spans="1:7" x14ac:dyDescent="0.3">
      <c r="A2771" s="14" t="str">
        <f>VLOOKUP(B2771,'Relacion codigos'!$A:$B,2,FALSE)</f>
        <v>7313</v>
      </c>
      <c r="B2771" s="6" t="s">
        <v>5172</v>
      </c>
      <c r="C2771" s="6" t="s">
        <v>455</v>
      </c>
      <c r="D2771" s="24">
        <v>1530.78275844</v>
      </c>
      <c r="E2771" s="6" t="s">
        <v>5889</v>
      </c>
      <c r="F2771" s="6">
        <v>21</v>
      </c>
      <c r="G2771" s="8">
        <f t="shared" si="43"/>
        <v>1530.78275844</v>
      </c>
    </row>
    <row r="2772" spans="1:7" x14ac:dyDescent="0.3">
      <c r="A2772" s="14" t="str">
        <f>VLOOKUP(B2772,'Relacion codigos'!$A:$B,2,FALSE)</f>
        <v>7311</v>
      </c>
      <c r="B2772" s="6" t="s">
        <v>5173</v>
      </c>
      <c r="C2772" s="6" t="s">
        <v>456</v>
      </c>
      <c r="D2772" s="24">
        <v>462.92633009999997</v>
      </c>
      <c r="E2772" s="6" t="s">
        <v>5889</v>
      </c>
      <c r="F2772" s="6">
        <v>21</v>
      </c>
      <c r="G2772" s="8">
        <f t="shared" si="43"/>
        <v>462.92633009999997</v>
      </c>
    </row>
    <row r="2773" spans="1:7" x14ac:dyDescent="0.3">
      <c r="A2773" s="14" t="str">
        <f>VLOOKUP(B2773,'Relacion codigos'!$A:$B,2,FALSE)</f>
        <v>7315</v>
      </c>
      <c r="B2773" s="6" t="s">
        <v>5174</v>
      </c>
      <c r="C2773" s="6" t="s">
        <v>457</v>
      </c>
      <c r="D2773" s="24">
        <v>1530.78275844</v>
      </c>
      <c r="E2773" s="6" t="s">
        <v>5889</v>
      </c>
      <c r="F2773" s="6">
        <v>21</v>
      </c>
      <c r="G2773" s="8">
        <f t="shared" si="43"/>
        <v>1530.78275844</v>
      </c>
    </row>
    <row r="2774" spans="1:7" x14ac:dyDescent="0.3">
      <c r="A2774" s="14" t="str">
        <f>VLOOKUP(B2774,'Relacion codigos'!$A:$B,2,FALSE)</f>
        <v>9117</v>
      </c>
      <c r="B2774" s="6" t="s">
        <v>5175</v>
      </c>
      <c r="C2774" s="6" t="s">
        <v>1161</v>
      </c>
      <c r="D2774" s="24">
        <v>2310.4995492384</v>
      </c>
      <c r="E2774" s="6" t="s">
        <v>5889</v>
      </c>
      <c r="F2774" s="6">
        <v>21</v>
      </c>
      <c r="G2774" s="8">
        <f t="shared" si="43"/>
        <v>2310.4995492384</v>
      </c>
    </row>
    <row r="2775" spans="1:7" x14ac:dyDescent="0.3">
      <c r="A2775" s="14" t="e">
        <f>VLOOKUP(B2775,'Relacion codigos'!$A:$B,2,FALSE)</f>
        <v>#N/A</v>
      </c>
      <c r="B2775" s="6" t="s">
        <v>10782</v>
      </c>
      <c r="C2775" s="6" t="s">
        <v>12018</v>
      </c>
      <c r="D2775" s="24">
        <v>29.906500000000001</v>
      </c>
      <c r="E2775" s="6" t="s">
        <v>5887</v>
      </c>
      <c r="F2775" s="6">
        <v>10.5</v>
      </c>
      <c r="G2775" s="8">
        <f t="shared" si="43"/>
        <v>46504.607499999998</v>
      </c>
    </row>
    <row r="2776" spans="1:7" x14ac:dyDescent="0.3">
      <c r="A2776" s="14" t="str">
        <f>VLOOKUP(B2776,'Relacion codigos'!$A:$B,2,FALSE)</f>
        <v>8945</v>
      </c>
      <c r="B2776" s="6" t="s">
        <v>3059</v>
      </c>
      <c r="C2776" s="6" t="s">
        <v>13836</v>
      </c>
      <c r="D2776" s="24">
        <v>16.692</v>
      </c>
      <c r="E2776" s="6" t="s">
        <v>5887</v>
      </c>
      <c r="F2776" s="6">
        <v>10.5</v>
      </c>
      <c r="G2776" s="8">
        <f t="shared" si="43"/>
        <v>25956.06</v>
      </c>
    </row>
    <row r="2777" spans="1:7" x14ac:dyDescent="0.3">
      <c r="A2777" s="14" t="e">
        <f>VLOOKUP(B2777,'Relacion codigos'!$A:$B,2,FALSE)</f>
        <v>#N/A</v>
      </c>
      <c r="B2777" s="6" t="s">
        <v>12328</v>
      </c>
      <c r="C2777" s="6" t="s">
        <v>12548</v>
      </c>
      <c r="D2777" s="24">
        <v>133.61985000000001</v>
      </c>
      <c r="E2777" s="6" t="s">
        <v>5887</v>
      </c>
      <c r="F2777" s="6">
        <v>21</v>
      </c>
      <c r="G2777" s="8">
        <f t="shared" si="43"/>
        <v>207778.86675000002</v>
      </c>
    </row>
    <row r="2778" spans="1:7" x14ac:dyDescent="0.3">
      <c r="A2778" s="14" t="e">
        <f>VLOOKUP(B2778,'Relacion codigos'!$A:$B,2,FALSE)</f>
        <v>#N/A</v>
      </c>
      <c r="B2778" s="6" t="s">
        <v>12329</v>
      </c>
      <c r="C2778" s="6" t="s">
        <v>13236</v>
      </c>
      <c r="D2778" s="24">
        <v>151.89037500000001</v>
      </c>
      <c r="E2778" s="6" t="s">
        <v>5887</v>
      </c>
      <c r="F2778" s="6">
        <v>10.5</v>
      </c>
      <c r="G2778" s="8">
        <f t="shared" si="43"/>
        <v>236189.53312500002</v>
      </c>
    </row>
    <row r="2779" spans="1:7" x14ac:dyDescent="0.3">
      <c r="A2779" s="14" t="str">
        <f>VLOOKUP(B2779,'Relacion codigos'!$A:$B,2,FALSE)</f>
        <v>8285</v>
      </c>
      <c r="B2779" s="6" t="s">
        <v>3060</v>
      </c>
      <c r="C2779" s="6" t="s">
        <v>12202</v>
      </c>
      <c r="D2779" s="24">
        <v>113.89240580249999</v>
      </c>
      <c r="E2779" s="6" t="s">
        <v>5887</v>
      </c>
      <c r="F2779" s="6">
        <v>10.5</v>
      </c>
      <c r="G2779" s="8">
        <f t="shared" si="43"/>
        <v>177102.69102288748</v>
      </c>
    </row>
    <row r="2780" spans="1:7" x14ac:dyDescent="0.3">
      <c r="A2780" s="14" t="str">
        <f>VLOOKUP(B2780,'Relacion codigos'!$A:$B,2,FALSE)</f>
        <v>8431</v>
      </c>
      <c r="B2780" s="6" t="s">
        <v>2849</v>
      </c>
      <c r="C2780" s="6" t="s">
        <v>11634</v>
      </c>
      <c r="D2780" s="24">
        <v>2.4433500000000001</v>
      </c>
      <c r="E2780" s="6" t="s">
        <v>5887</v>
      </c>
      <c r="F2780" s="6">
        <v>21</v>
      </c>
      <c r="G2780" s="8">
        <f t="shared" si="43"/>
        <v>3799.4092500000002</v>
      </c>
    </row>
    <row r="2781" spans="1:7" x14ac:dyDescent="0.3">
      <c r="A2781" s="14" t="str">
        <f>VLOOKUP(B2781,'Relacion codigos'!$A:$B,2,FALSE)</f>
        <v>7468</v>
      </c>
      <c r="B2781" s="6" t="s">
        <v>2861</v>
      </c>
      <c r="C2781" s="6" t="s">
        <v>12620</v>
      </c>
      <c r="D2781" s="24">
        <v>1.8768750000000001</v>
      </c>
      <c r="E2781" s="6" t="s">
        <v>5887</v>
      </c>
      <c r="F2781" s="6">
        <v>21</v>
      </c>
      <c r="G2781" s="8">
        <f t="shared" si="43"/>
        <v>2918.5406250000001</v>
      </c>
    </row>
    <row r="2782" spans="1:7" x14ac:dyDescent="0.3">
      <c r="A2782" s="14" t="str">
        <f>VLOOKUP(B2782,'Relacion codigos'!$A:$B,2,FALSE)</f>
        <v>2632</v>
      </c>
      <c r="B2782" s="6" t="s">
        <v>2478</v>
      </c>
      <c r="C2782" s="6" t="s">
        <v>458</v>
      </c>
      <c r="D2782" s="24">
        <v>3505.1593395</v>
      </c>
      <c r="E2782" s="6" t="s">
        <v>5889</v>
      </c>
      <c r="F2782" s="6">
        <v>21</v>
      </c>
      <c r="G2782" s="8">
        <f t="shared" si="43"/>
        <v>3505.1593395</v>
      </c>
    </row>
    <row r="2783" spans="1:7" x14ac:dyDescent="0.3">
      <c r="A2783" s="14" t="str">
        <f>VLOOKUP(B2783,'Relacion codigos'!$A:$B,2,FALSE)</f>
        <v>2633</v>
      </c>
      <c r="B2783" s="6" t="s">
        <v>2479</v>
      </c>
      <c r="C2783" s="6" t="s">
        <v>459</v>
      </c>
      <c r="D2783" s="24">
        <v>3862.3472744999999</v>
      </c>
      <c r="E2783" s="6" t="s">
        <v>5889</v>
      </c>
      <c r="F2783" s="6">
        <v>21</v>
      </c>
      <c r="G2783" s="8">
        <f t="shared" si="43"/>
        <v>3862.3472744999999</v>
      </c>
    </row>
    <row r="2784" spans="1:7" x14ac:dyDescent="0.3">
      <c r="A2784" s="14" t="str">
        <f>VLOOKUP(B2784,'Relacion codigos'!$A:$B,2,FALSE)</f>
        <v>2634</v>
      </c>
      <c r="B2784" s="6" t="s">
        <v>2480</v>
      </c>
      <c r="C2784" s="6" t="s">
        <v>460</v>
      </c>
      <c r="D2784" s="24">
        <v>4356.3449280000004</v>
      </c>
      <c r="E2784" s="6" t="s">
        <v>5889</v>
      </c>
      <c r="F2784" s="6">
        <v>21</v>
      </c>
      <c r="G2784" s="8">
        <f t="shared" si="43"/>
        <v>4356.3449280000004</v>
      </c>
    </row>
    <row r="2785" spans="1:7" x14ac:dyDescent="0.3">
      <c r="A2785" s="14" t="str">
        <f>VLOOKUP(B2785,'Relacion codigos'!$A:$B,2,FALSE)</f>
        <v>2635</v>
      </c>
      <c r="B2785" s="6" t="s">
        <v>2481</v>
      </c>
      <c r="C2785" s="6" t="s">
        <v>461</v>
      </c>
      <c r="D2785" s="24">
        <v>6219.1137060000001</v>
      </c>
      <c r="E2785" s="6" t="s">
        <v>5889</v>
      </c>
      <c r="F2785" s="6">
        <v>21</v>
      </c>
      <c r="G2785" s="8">
        <f t="shared" si="43"/>
        <v>6219.1137060000001</v>
      </c>
    </row>
    <row r="2786" spans="1:7" x14ac:dyDescent="0.3">
      <c r="A2786" s="14" t="e">
        <f>VLOOKUP(B2786,'Relacion codigos'!$A:$B,2,FALSE)</f>
        <v>#N/A</v>
      </c>
      <c r="B2786" s="6" t="s">
        <v>13860</v>
      </c>
      <c r="C2786" s="6" t="s">
        <v>13861</v>
      </c>
      <c r="D2786" s="24">
        <v>8387.8510170000009</v>
      </c>
      <c r="E2786" s="6" t="s">
        <v>5889</v>
      </c>
      <c r="F2786" s="6">
        <v>21</v>
      </c>
      <c r="G2786" s="8">
        <f t="shared" si="43"/>
        <v>8387.8510170000009</v>
      </c>
    </row>
    <row r="2787" spans="1:7" x14ac:dyDescent="0.3">
      <c r="A2787" s="14" t="str">
        <f>VLOOKUP(B2787,'Relacion codigos'!$A:$B,2,FALSE)</f>
        <v>2631</v>
      </c>
      <c r="B2787" s="6" t="s">
        <v>2482</v>
      </c>
      <c r="C2787" s="6" t="s">
        <v>462</v>
      </c>
      <c r="D2787" s="24">
        <v>3123.0356430000002</v>
      </c>
      <c r="E2787" s="6" t="s">
        <v>5889</v>
      </c>
      <c r="F2787" s="6">
        <v>21</v>
      </c>
      <c r="G2787" s="8">
        <f t="shared" si="43"/>
        <v>3123.0356430000002</v>
      </c>
    </row>
    <row r="2788" spans="1:7" x14ac:dyDescent="0.3">
      <c r="A2788" s="14" t="str">
        <f>VLOOKUP(B2788,'Relacion codigos'!$A:$B,2,FALSE)</f>
        <v>9131</v>
      </c>
      <c r="B2788" s="6" t="s">
        <v>1728</v>
      </c>
      <c r="C2788" s="6" t="s">
        <v>1184</v>
      </c>
      <c r="D2788" s="24">
        <v>8214.1974642000005</v>
      </c>
      <c r="E2788" s="6" t="s">
        <v>5889</v>
      </c>
      <c r="F2788" s="6">
        <v>21</v>
      </c>
      <c r="G2788" s="8">
        <f t="shared" si="43"/>
        <v>8214.1974642000005</v>
      </c>
    </row>
    <row r="2789" spans="1:7" x14ac:dyDescent="0.3">
      <c r="A2789" s="14" t="str">
        <f>VLOOKUP(B2789,'Relacion codigos'!$A:$B,2,FALSE)</f>
        <v>9132</v>
      </c>
      <c r="B2789" s="6" t="s">
        <v>1729</v>
      </c>
      <c r="C2789" s="6" t="s">
        <v>1185</v>
      </c>
      <c r="D2789" s="24">
        <v>8664.2980788000004</v>
      </c>
      <c r="E2789" s="6" t="s">
        <v>5889</v>
      </c>
      <c r="F2789" s="6">
        <v>21</v>
      </c>
      <c r="G2789" s="8">
        <f t="shared" si="43"/>
        <v>8664.2980788000004</v>
      </c>
    </row>
    <row r="2790" spans="1:7" x14ac:dyDescent="0.3">
      <c r="A2790" s="14" t="e">
        <f>VLOOKUP(B2790,'Relacion codigos'!$A:$B,2,FALSE)</f>
        <v>#N/A</v>
      </c>
      <c r="B2790" s="6" t="s">
        <v>10131</v>
      </c>
      <c r="C2790" s="6" t="s">
        <v>10132</v>
      </c>
      <c r="D2790" s="24">
        <v>5096.5234307000001</v>
      </c>
      <c r="E2790" s="6" t="s">
        <v>5889</v>
      </c>
      <c r="F2790" s="6">
        <v>21</v>
      </c>
      <c r="G2790" s="8">
        <f t="shared" si="43"/>
        <v>5096.5234307000001</v>
      </c>
    </row>
    <row r="2791" spans="1:7" x14ac:dyDescent="0.3">
      <c r="A2791" s="14" t="e">
        <f>VLOOKUP(B2791,'Relacion codigos'!$A:$B,2,FALSE)</f>
        <v>#N/A</v>
      </c>
      <c r="B2791" s="6" t="s">
        <v>12110</v>
      </c>
      <c r="C2791" s="6" t="s">
        <v>12111</v>
      </c>
      <c r="D2791" s="24">
        <v>10019.6541211</v>
      </c>
      <c r="E2791" s="6" t="s">
        <v>5889</v>
      </c>
      <c r="F2791" s="6">
        <v>21</v>
      </c>
      <c r="G2791" s="8">
        <f t="shared" si="43"/>
        <v>10019.6541211</v>
      </c>
    </row>
    <row r="2792" spans="1:7" x14ac:dyDescent="0.3">
      <c r="A2792" s="14" t="str">
        <f>VLOOKUP(B2792,'Relacion codigos'!$A:$B,2,FALSE)</f>
        <v>NUEVO</v>
      </c>
      <c r="B2792" s="6" t="s">
        <v>3348</v>
      </c>
      <c r="C2792" s="6" t="s">
        <v>10133</v>
      </c>
      <c r="D2792" s="24">
        <v>7493.5888013999902</v>
      </c>
      <c r="E2792" s="6" t="s">
        <v>5889</v>
      </c>
      <c r="F2792" s="6">
        <v>21</v>
      </c>
      <c r="G2792" s="8">
        <f t="shared" si="43"/>
        <v>7493.5888013999902</v>
      </c>
    </row>
    <row r="2793" spans="1:7" x14ac:dyDescent="0.3">
      <c r="A2793" s="14" t="str">
        <f>VLOOKUP(B2793,'Relacion codigos'!$A:$B,2,FALSE)</f>
        <v>9080</v>
      </c>
      <c r="B2793" s="6" t="s">
        <v>2729</v>
      </c>
      <c r="C2793" s="6" t="s">
        <v>10134</v>
      </c>
      <c r="D2793" s="24">
        <v>3998.7764154000001</v>
      </c>
      <c r="E2793" s="6" t="s">
        <v>5889</v>
      </c>
      <c r="F2793" s="6">
        <v>21</v>
      </c>
      <c r="G2793" s="8">
        <f t="shared" si="43"/>
        <v>3998.7764154000001</v>
      </c>
    </row>
    <row r="2794" spans="1:7" x14ac:dyDescent="0.3">
      <c r="A2794" s="14" t="str">
        <f>VLOOKUP(B2794,'Relacion codigos'!$A:$B,2,FALSE)</f>
        <v>9078</v>
      </c>
      <c r="B2794" s="6" t="s">
        <v>2730</v>
      </c>
      <c r="C2794" s="6" t="s">
        <v>10135</v>
      </c>
      <c r="D2794" s="24">
        <v>2952.5606643000001</v>
      </c>
      <c r="E2794" s="6" t="s">
        <v>5889</v>
      </c>
      <c r="F2794" s="6">
        <v>21</v>
      </c>
      <c r="G2794" s="8">
        <f t="shared" si="43"/>
        <v>2952.5606643000001</v>
      </c>
    </row>
    <row r="2795" spans="1:7" x14ac:dyDescent="0.3">
      <c r="A2795" s="14" t="str">
        <f>VLOOKUP(B2795,'Relacion codigos'!$A:$B,2,FALSE)</f>
        <v>9079</v>
      </c>
      <c r="B2795" s="6" t="s">
        <v>2731</v>
      </c>
      <c r="C2795" s="6" t="s">
        <v>10136</v>
      </c>
      <c r="D2795" s="24">
        <v>3472.0728743999998</v>
      </c>
      <c r="E2795" s="6" t="s">
        <v>5889</v>
      </c>
      <c r="F2795" s="6">
        <v>21</v>
      </c>
      <c r="G2795" s="8">
        <f t="shared" si="43"/>
        <v>3472.0728743999998</v>
      </c>
    </row>
    <row r="2796" spans="1:7" x14ac:dyDescent="0.3">
      <c r="A2796" s="14" t="str">
        <f>VLOOKUP(B2796,'Relacion codigos'!$A:$B,2,FALSE)</f>
        <v>7885</v>
      </c>
      <c r="B2796" s="6" t="s">
        <v>2999</v>
      </c>
      <c r="C2796" s="6" t="s">
        <v>463</v>
      </c>
      <c r="D2796" s="24">
        <v>30.496284764099101</v>
      </c>
      <c r="E2796" s="6" t="s">
        <v>5887</v>
      </c>
      <c r="F2796" s="6">
        <v>21</v>
      </c>
      <c r="G2796" s="8">
        <f t="shared" si="43"/>
        <v>47421.722808174105</v>
      </c>
    </row>
    <row r="2797" spans="1:7" x14ac:dyDescent="0.3">
      <c r="A2797" s="14" t="str">
        <f>VLOOKUP(B2797,'Relacion codigos'!$A:$B,2,FALSE)</f>
        <v>1959</v>
      </c>
      <c r="B2797" s="6" t="s">
        <v>3649</v>
      </c>
      <c r="C2797" s="6" t="s">
        <v>1162</v>
      </c>
      <c r="D2797" s="24">
        <v>33.103017999999999</v>
      </c>
      <c r="E2797" s="6" t="s">
        <v>5887</v>
      </c>
      <c r="F2797" s="6">
        <v>21</v>
      </c>
      <c r="G2797" s="8">
        <f t="shared" si="43"/>
        <v>51475.192989999996</v>
      </c>
    </row>
    <row r="2798" spans="1:7" x14ac:dyDescent="0.3">
      <c r="A2798" s="14" t="e">
        <f>VLOOKUP(B2798,'Relacion codigos'!$A:$B,2,FALSE)</f>
        <v>#N/A</v>
      </c>
      <c r="B2798" s="6" t="s">
        <v>13689</v>
      </c>
      <c r="C2798" s="6" t="s">
        <v>13690</v>
      </c>
      <c r="D2798" s="24">
        <v>9.9713250000000002</v>
      </c>
      <c r="E2798" s="6" t="s">
        <v>5887</v>
      </c>
      <c r="F2798" s="6">
        <v>21</v>
      </c>
      <c r="G2798" s="8">
        <f t="shared" si="43"/>
        <v>15505.410374999999</v>
      </c>
    </row>
    <row r="2799" spans="1:7" x14ac:dyDescent="0.3">
      <c r="A2799" s="14" t="str">
        <f>VLOOKUP(B2799,'Relacion codigos'!$A:$B,2,FALSE)</f>
        <v>9237</v>
      </c>
      <c r="B2799" s="6" t="s">
        <v>2796</v>
      </c>
      <c r="C2799" s="6" t="s">
        <v>1266</v>
      </c>
      <c r="D2799" s="24">
        <v>6.1332987430000001</v>
      </c>
      <c r="E2799" s="6" t="s">
        <v>5887</v>
      </c>
      <c r="F2799" s="6">
        <v>21</v>
      </c>
      <c r="G2799" s="8">
        <f t="shared" si="43"/>
        <v>9537.2795453649996</v>
      </c>
    </row>
    <row r="2800" spans="1:7" x14ac:dyDescent="0.3">
      <c r="A2800" s="14" t="str">
        <f>VLOOKUP(B2800,'Relacion codigos'!$A:$B,2,FALSE)</f>
        <v>8321</v>
      </c>
      <c r="B2800" s="6" t="s">
        <v>2795</v>
      </c>
      <c r="C2800" s="6" t="s">
        <v>13654</v>
      </c>
      <c r="D2800" s="24">
        <v>13.615875000000001</v>
      </c>
      <c r="E2800" s="6" t="s">
        <v>5887</v>
      </c>
      <c r="F2800" s="6">
        <v>21</v>
      </c>
      <c r="G2800" s="8">
        <f t="shared" si="43"/>
        <v>21172.685625000002</v>
      </c>
    </row>
    <row r="2801" spans="1:7" x14ac:dyDescent="0.3">
      <c r="A2801" s="14" t="str">
        <f>VLOOKUP(B2801,'Relacion codigos'!$A:$B,2,FALSE)</f>
        <v>8322</v>
      </c>
      <c r="B2801" s="6" t="s">
        <v>2797</v>
      </c>
      <c r="C2801" s="6" t="s">
        <v>13655</v>
      </c>
      <c r="D2801" s="24">
        <v>13.615875000000001</v>
      </c>
      <c r="E2801" s="6" t="s">
        <v>5887</v>
      </c>
      <c r="F2801" s="6">
        <v>21</v>
      </c>
      <c r="G2801" s="8">
        <f t="shared" si="43"/>
        <v>21172.685625000002</v>
      </c>
    </row>
    <row r="2802" spans="1:7" x14ac:dyDescent="0.3">
      <c r="A2802" s="14" t="e">
        <f>VLOOKUP(B2802,'Relacion codigos'!$A:$B,2,FALSE)</f>
        <v>#N/A</v>
      </c>
      <c r="B2802" s="6" t="s">
        <v>12250</v>
      </c>
      <c r="C2802" s="6" t="s">
        <v>12251</v>
      </c>
      <c r="D2802" s="24">
        <v>12.093354</v>
      </c>
      <c r="E2802" s="6" t="s">
        <v>5887</v>
      </c>
      <c r="F2802" s="6">
        <v>21</v>
      </c>
      <c r="G2802" s="8">
        <f t="shared" si="43"/>
        <v>18805.16547</v>
      </c>
    </row>
    <row r="2803" spans="1:7" x14ac:dyDescent="0.3">
      <c r="A2803" s="14" t="e">
        <f>VLOOKUP(B2803,'Relacion codigos'!$A:$B,2,FALSE)</f>
        <v>#N/A</v>
      </c>
      <c r="B2803" s="6" t="s">
        <v>10318</v>
      </c>
      <c r="C2803" s="6" t="s">
        <v>10319</v>
      </c>
      <c r="D2803" s="24">
        <v>13.793324999999999</v>
      </c>
      <c r="E2803" s="6" t="s">
        <v>5887</v>
      </c>
      <c r="F2803" s="6">
        <v>21</v>
      </c>
      <c r="G2803" s="8">
        <f t="shared" si="43"/>
        <v>21448.620374999999</v>
      </c>
    </row>
    <row r="2804" spans="1:7" x14ac:dyDescent="0.3">
      <c r="A2804" s="14" t="e">
        <f>VLOOKUP(B2804,'Relacion codigos'!$A:$B,2,FALSE)</f>
        <v>#N/A</v>
      </c>
      <c r="B2804" s="6" t="s">
        <v>11515</v>
      </c>
      <c r="C2804" s="6" t="s">
        <v>11516</v>
      </c>
      <c r="D2804" s="24">
        <v>13.793324999999999</v>
      </c>
      <c r="E2804" s="6" t="s">
        <v>5887</v>
      </c>
      <c r="F2804" s="6">
        <v>21</v>
      </c>
      <c r="G2804" s="8">
        <f t="shared" si="43"/>
        <v>21448.620374999999</v>
      </c>
    </row>
    <row r="2805" spans="1:7" x14ac:dyDescent="0.3">
      <c r="A2805" s="14" t="str">
        <f>VLOOKUP(B2805,'Relacion codigos'!$A:$B,2,FALSE)</f>
        <v>8131</v>
      </c>
      <c r="B2805" s="6" t="s">
        <v>3001</v>
      </c>
      <c r="C2805" s="6" t="s">
        <v>1267</v>
      </c>
      <c r="D2805" s="24">
        <v>22.709465999999999</v>
      </c>
      <c r="E2805" s="6" t="s">
        <v>5887</v>
      </c>
      <c r="F2805" s="6">
        <v>21</v>
      </c>
      <c r="G2805" s="8">
        <f t="shared" si="43"/>
        <v>35313.21963</v>
      </c>
    </row>
    <row r="2806" spans="1:7" x14ac:dyDescent="0.3">
      <c r="A2806" s="14" t="str">
        <f>VLOOKUP(B2806,'Relacion codigos'!$A:$B,2,FALSE)</f>
        <v>7982</v>
      </c>
      <c r="B2806" s="6" t="s">
        <v>3004</v>
      </c>
      <c r="C2806" s="6" t="s">
        <v>965</v>
      </c>
      <c r="D2806" s="24">
        <v>20.395954799999998</v>
      </c>
      <c r="E2806" s="6" t="s">
        <v>5887</v>
      </c>
      <c r="F2806" s="6">
        <v>21</v>
      </c>
      <c r="G2806" s="8">
        <f t="shared" si="43"/>
        <v>31715.709713999997</v>
      </c>
    </row>
    <row r="2807" spans="1:7" x14ac:dyDescent="0.3">
      <c r="A2807" s="14" t="str">
        <f>VLOOKUP(B2807,'Relacion codigos'!$A:$B,2,FALSE)</f>
        <v>7942</v>
      </c>
      <c r="B2807" s="6" t="s">
        <v>3005</v>
      </c>
      <c r="C2807" s="6" t="s">
        <v>966</v>
      </c>
      <c r="D2807" s="24">
        <v>11.0694562875</v>
      </c>
      <c r="E2807" s="6" t="s">
        <v>5887</v>
      </c>
      <c r="F2807" s="6">
        <v>21</v>
      </c>
      <c r="G2807" s="8">
        <f t="shared" si="43"/>
        <v>17213.004527062498</v>
      </c>
    </row>
    <row r="2808" spans="1:7" x14ac:dyDescent="0.3">
      <c r="A2808" s="14" t="str">
        <f>VLOOKUP(B2808,'Relacion codigos'!$A:$B,2,FALSE)</f>
        <v>8175</v>
      </c>
      <c r="B2808" s="6" t="s">
        <v>3006</v>
      </c>
      <c r="C2808" s="6" t="s">
        <v>967</v>
      </c>
      <c r="D2808" s="24">
        <v>20.395954799999998</v>
      </c>
      <c r="E2808" s="6" t="s">
        <v>5887</v>
      </c>
      <c r="F2808" s="6">
        <v>21</v>
      </c>
      <c r="G2808" s="8">
        <f t="shared" si="43"/>
        <v>31715.709713999997</v>
      </c>
    </row>
    <row r="2809" spans="1:7" x14ac:dyDescent="0.3">
      <c r="A2809" s="14" t="str">
        <f>VLOOKUP(B2809,'Relacion codigos'!$A:$B,2,FALSE)</f>
        <v>9194</v>
      </c>
      <c r="B2809" s="6" t="s">
        <v>5221</v>
      </c>
      <c r="C2809" s="6" t="s">
        <v>1204</v>
      </c>
      <c r="D2809" s="24">
        <v>20615.973999400001</v>
      </c>
      <c r="E2809" s="6" t="s">
        <v>5889</v>
      </c>
      <c r="F2809" s="6">
        <v>21</v>
      </c>
      <c r="G2809" s="8">
        <f t="shared" si="43"/>
        <v>20615.973999400001</v>
      </c>
    </row>
    <row r="2810" spans="1:7" x14ac:dyDescent="0.3">
      <c r="A2810" s="14" t="str">
        <f>VLOOKUP(B2810,'Relacion codigos'!$A:$B,2,FALSE)</f>
        <v>7407</v>
      </c>
      <c r="B2810" s="6" t="s">
        <v>4810</v>
      </c>
      <c r="C2810" s="6" t="s">
        <v>9231</v>
      </c>
      <c r="D2810" s="24">
        <v>793.20960604274899</v>
      </c>
      <c r="E2810" s="6" t="s">
        <v>5889</v>
      </c>
      <c r="F2810" s="6">
        <v>21</v>
      </c>
      <c r="G2810" s="8">
        <f t="shared" si="43"/>
        <v>793.20960604274899</v>
      </c>
    </row>
    <row r="2811" spans="1:7" x14ac:dyDescent="0.3">
      <c r="A2811" s="14" t="str">
        <f>VLOOKUP(B2811,'Relacion codigos'!$A:$B,2,FALSE)</f>
        <v>7408</v>
      </c>
      <c r="B2811" s="6" t="s">
        <v>4811</v>
      </c>
      <c r="C2811" s="6" t="s">
        <v>9232</v>
      </c>
      <c r="D2811" s="24">
        <v>793.20960604274705</v>
      </c>
      <c r="E2811" s="6" t="s">
        <v>5889</v>
      </c>
      <c r="F2811" s="6">
        <v>21</v>
      </c>
      <c r="G2811" s="8">
        <f t="shared" si="43"/>
        <v>793.20960604274705</v>
      </c>
    </row>
    <row r="2812" spans="1:7" x14ac:dyDescent="0.3">
      <c r="A2812" s="14" t="str">
        <f>VLOOKUP(B2812,'Relacion codigos'!$A:$B,2,FALSE)</f>
        <v>7410</v>
      </c>
      <c r="B2812" s="6" t="s">
        <v>4814</v>
      </c>
      <c r="C2812" s="6" t="s">
        <v>9343</v>
      </c>
      <c r="D2812" s="24">
        <v>1455.5530783592701</v>
      </c>
      <c r="E2812" s="6" t="s">
        <v>5889</v>
      </c>
      <c r="F2812" s="6">
        <v>21</v>
      </c>
      <c r="G2812" s="8">
        <f t="shared" si="43"/>
        <v>1455.5530783592701</v>
      </c>
    </row>
    <row r="2813" spans="1:7" x14ac:dyDescent="0.3">
      <c r="A2813" s="14" t="str">
        <f>VLOOKUP(B2813,'Relacion codigos'!$A:$B,2,FALSE)</f>
        <v>7409</v>
      </c>
      <c r="B2813" s="6" t="s">
        <v>4812</v>
      </c>
      <c r="C2813" s="6" t="s">
        <v>9233</v>
      </c>
      <c r="D2813" s="24">
        <v>1455.5530783592701</v>
      </c>
      <c r="E2813" s="6" t="s">
        <v>5889</v>
      </c>
      <c r="F2813" s="6">
        <v>21</v>
      </c>
      <c r="G2813" s="8">
        <f t="shared" si="43"/>
        <v>1455.5530783592701</v>
      </c>
    </row>
    <row r="2814" spans="1:7" x14ac:dyDescent="0.3">
      <c r="A2814" s="14" t="str">
        <f>VLOOKUP(B2814,'Relacion codigos'!$A:$B,2,FALSE)</f>
        <v>2820</v>
      </c>
      <c r="B2814" s="6" t="s">
        <v>4929</v>
      </c>
      <c r="C2814" s="6" t="s">
        <v>465</v>
      </c>
      <c r="D2814" s="24">
        <v>1397.1829949999999</v>
      </c>
      <c r="E2814" s="6" t="s">
        <v>5889</v>
      </c>
      <c r="F2814" s="6">
        <v>10.5</v>
      </c>
      <c r="G2814" s="8">
        <f t="shared" si="43"/>
        <v>1397.1829949999999</v>
      </c>
    </row>
    <row r="2815" spans="1:7" x14ac:dyDescent="0.3">
      <c r="A2815" s="14" t="str">
        <f>VLOOKUP(B2815,'Relacion codigos'!$A:$B,2,FALSE)</f>
        <v>5031</v>
      </c>
      <c r="B2815" s="6" t="s">
        <v>4930</v>
      </c>
      <c r="C2815" s="6" t="s">
        <v>466</v>
      </c>
      <c r="D2815" s="24">
        <v>1397.1829949999999</v>
      </c>
      <c r="E2815" s="6" t="s">
        <v>5889</v>
      </c>
      <c r="F2815" s="6">
        <v>10.5</v>
      </c>
      <c r="G2815" s="8">
        <f t="shared" si="43"/>
        <v>1397.1829949999999</v>
      </c>
    </row>
    <row r="2816" spans="1:7" x14ac:dyDescent="0.3">
      <c r="A2816" s="14" t="str">
        <f>VLOOKUP(B2816,'Relacion codigos'!$A:$B,2,FALSE)</f>
        <v>7405</v>
      </c>
      <c r="B2816" s="6" t="s">
        <v>4815</v>
      </c>
      <c r="C2816" s="6" t="s">
        <v>9234</v>
      </c>
      <c r="D2816" s="24">
        <v>654.33066863124895</v>
      </c>
      <c r="E2816" s="6" t="s">
        <v>5889</v>
      </c>
      <c r="F2816" s="6">
        <v>21</v>
      </c>
      <c r="G2816" s="8">
        <f t="shared" si="43"/>
        <v>654.33066863124895</v>
      </c>
    </row>
    <row r="2817" spans="1:7" x14ac:dyDescent="0.3">
      <c r="A2817" s="14" t="str">
        <f>VLOOKUP(B2817,'Relacion codigos'!$A:$B,2,FALSE)</f>
        <v>7406</v>
      </c>
      <c r="B2817" s="6" t="s">
        <v>4813</v>
      </c>
      <c r="C2817" s="6" t="s">
        <v>9235</v>
      </c>
      <c r="D2817" s="24">
        <v>654.33066863124895</v>
      </c>
      <c r="E2817" s="6" t="s">
        <v>5889</v>
      </c>
      <c r="F2817" s="6">
        <v>21</v>
      </c>
      <c r="G2817" s="8">
        <f t="shared" si="43"/>
        <v>654.33066863124895</v>
      </c>
    </row>
    <row r="2818" spans="1:7" x14ac:dyDescent="0.3">
      <c r="A2818" s="14" t="str">
        <f>VLOOKUP(B2818,'Relacion codigos'!$A:$B,2,FALSE)</f>
        <v>7236</v>
      </c>
      <c r="B2818" s="6" t="s">
        <v>5193</v>
      </c>
      <c r="C2818" s="6" t="s">
        <v>9831</v>
      </c>
      <c r="D2818" s="24">
        <v>1476.6962917824001</v>
      </c>
      <c r="E2818" s="6" t="s">
        <v>5889</v>
      </c>
      <c r="F2818" s="6">
        <v>10.5</v>
      </c>
      <c r="G2818" s="8">
        <f t="shared" ref="G2818:G2881" si="44">IF(E2818="Dolares",D2818*$G$1,D2818)</f>
        <v>1476.6962917824001</v>
      </c>
    </row>
    <row r="2819" spans="1:7" x14ac:dyDescent="0.3">
      <c r="A2819" s="14" t="str">
        <f>VLOOKUP(B2819,'Relacion codigos'!$A:$B,2,FALSE)</f>
        <v>5527</v>
      </c>
      <c r="B2819" s="6" t="s">
        <v>5109</v>
      </c>
      <c r="C2819" s="6" t="s">
        <v>9832</v>
      </c>
      <c r="D2819" s="24">
        <v>2739.3232867086299</v>
      </c>
      <c r="E2819" s="6" t="s">
        <v>5889</v>
      </c>
      <c r="F2819" s="6">
        <v>10.5</v>
      </c>
      <c r="G2819" s="8">
        <f t="shared" si="44"/>
        <v>2739.3232867086299</v>
      </c>
    </row>
    <row r="2820" spans="1:7" x14ac:dyDescent="0.3">
      <c r="A2820" s="14" t="str">
        <f>VLOOKUP(B2820,'Relacion codigos'!$A:$B,2,FALSE)</f>
        <v>7417</v>
      </c>
      <c r="B2820" s="6" t="s">
        <v>4818</v>
      </c>
      <c r="C2820" s="6" t="s">
        <v>9833</v>
      </c>
      <c r="D2820" s="24">
        <v>1386.50966143301</v>
      </c>
      <c r="E2820" s="6" t="s">
        <v>5889</v>
      </c>
      <c r="F2820" s="6">
        <v>21</v>
      </c>
      <c r="G2820" s="8">
        <f t="shared" si="44"/>
        <v>1386.50966143301</v>
      </c>
    </row>
    <row r="2821" spans="1:7" x14ac:dyDescent="0.3">
      <c r="A2821" s="14" t="str">
        <f>VLOOKUP(B2821,'Relacion codigos'!$A:$B,2,FALSE)</f>
        <v>7234</v>
      </c>
      <c r="B2821" s="6" t="s">
        <v>5194</v>
      </c>
      <c r="C2821" s="6" t="s">
        <v>9834</v>
      </c>
      <c r="D2821" s="24">
        <v>1691.0416021824001</v>
      </c>
      <c r="E2821" s="6" t="s">
        <v>5889</v>
      </c>
      <c r="F2821" s="6">
        <v>10.5</v>
      </c>
      <c r="G2821" s="8">
        <f t="shared" si="44"/>
        <v>1691.0416021824001</v>
      </c>
    </row>
    <row r="2822" spans="1:7" x14ac:dyDescent="0.3">
      <c r="A2822" s="14" t="str">
        <f>VLOOKUP(B2822,'Relacion codigos'!$A:$B,2,FALSE)</f>
        <v>5529</v>
      </c>
      <c r="B2822" s="6" t="s">
        <v>5107</v>
      </c>
      <c r="C2822" s="6" t="s">
        <v>9835</v>
      </c>
      <c r="D2822" s="24">
        <v>3497.0881098270302</v>
      </c>
      <c r="E2822" s="6" t="s">
        <v>5889</v>
      </c>
      <c r="F2822" s="6">
        <v>10.5</v>
      </c>
      <c r="G2822" s="8">
        <f t="shared" si="44"/>
        <v>3497.0881098270302</v>
      </c>
    </row>
    <row r="2823" spans="1:7" x14ac:dyDescent="0.3">
      <c r="A2823" s="14" t="str">
        <f>VLOOKUP(B2823,'Relacion codigos'!$A:$B,2,FALSE)</f>
        <v>7419</v>
      </c>
      <c r="B2823" s="6" t="s">
        <v>4816</v>
      </c>
      <c r="C2823" s="6" t="s">
        <v>9836</v>
      </c>
      <c r="D2823" s="24">
        <v>1661.69802958898</v>
      </c>
      <c r="E2823" s="6" t="s">
        <v>5889</v>
      </c>
      <c r="F2823" s="6">
        <v>21</v>
      </c>
      <c r="G2823" s="8">
        <f t="shared" si="44"/>
        <v>1661.69802958898</v>
      </c>
    </row>
    <row r="2824" spans="1:7" x14ac:dyDescent="0.3">
      <c r="A2824" s="14" t="str">
        <f>VLOOKUP(B2824,'Relacion codigos'!$A:$B,2,FALSE)</f>
        <v>8043</v>
      </c>
      <c r="B2824" s="6" t="s">
        <v>5191</v>
      </c>
      <c r="C2824" s="6" t="s">
        <v>9837</v>
      </c>
      <c r="D2824" s="24">
        <v>1954.1326085891999</v>
      </c>
      <c r="E2824" s="6" t="s">
        <v>5889</v>
      </c>
      <c r="F2824" s="6">
        <v>10.5</v>
      </c>
      <c r="G2824" s="8">
        <f t="shared" si="44"/>
        <v>1954.1326085891999</v>
      </c>
    </row>
    <row r="2825" spans="1:7" x14ac:dyDescent="0.3">
      <c r="A2825" s="14" t="str">
        <f>VLOOKUP(B2825,'Relacion codigos'!$A:$B,2,FALSE)</f>
        <v>7934</v>
      </c>
      <c r="B2825" s="6" t="s">
        <v>5192</v>
      </c>
      <c r="C2825" s="6" t="s">
        <v>9838</v>
      </c>
      <c r="D2825" s="24">
        <v>1954.1326085891999</v>
      </c>
      <c r="E2825" s="6" t="s">
        <v>5889</v>
      </c>
      <c r="F2825" s="6">
        <v>10.5</v>
      </c>
      <c r="G2825" s="8">
        <f t="shared" si="44"/>
        <v>1954.1326085891999</v>
      </c>
    </row>
    <row r="2826" spans="1:7" x14ac:dyDescent="0.3">
      <c r="A2826" s="14" t="str">
        <f>VLOOKUP(B2826,'Relacion codigos'!$A:$B,2,FALSE)</f>
        <v>5465</v>
      </c>
      <c r="B2826" s="6" t="s">
        <v>5106</v>
      </c>
      <c r="C2826" s="6" t="s">
        <v>467</v>
      </c>
      <c r="D2826" s="24">
        <v>3497.0881098270302</v>
      </c>
      <c r="E2826" s="6" t="s">
        <v>5889</v>
      </c>
      <c r="F2826" s="6">
        <v>10.5</v>
      </c>
      <c r="G2826" s="8">
        <f t="shared" si="44"/>
        <v>3497.0881098270302</v>
      </c>
    </row>
    <row r="2827" spans="1:7" x14ac:dyDescent="0.3">
      <c r="A2827" s="14" t="str">
        <f>VLOOKUP(B2827,'Relacion codigos'!$A:$B,2,FALSE)</f>
        <v>5530</v>
      </c>
      <c r="B2827" s="6" t="s">
        <v>5108</v>
      </c>
      <c r="C2827" s="6" t="s">
        <v>9839</v>
      </c>
      <c r="D2827" s="24">
        <v>3497.0881098270302</v>
      </c>
      <c r="E2827" s="6" t="s">
        <v>5889</v>
      </c>
      <c r="F2827" s="6">
        <v>10.5</v>
      </c>
      <c r="G2827" s="8">
        <f t="shared" si="44"/>
        <v>3497.0881098270302</v>
      </c>
    </row>
    <row r="2828" spans="1:7" x14ac:dyDescent="0.3">
      <c r="A2828" s="14" t="str">
        <f>VLOOKUP(B2828,'Relacion codigos'!$A:$B,2,FALSE)</f>
        <v>7420</v>
      </c>
      <c r="B2828" s="6" t="s">
        <v>4817</v>
      </c>
      <c r="C2828" s="6" t="s">
        <v>9840</v>
      </c>
      <c r="D2828" s="24">
        <v>1661.69802958901</v>
      </c>
      <c r="E2828" s="6" t="s">
        <v>5889</v>
      </c>
      <c r="F2828" s="6">
        <v>21</v>
      </c>
      <c r="G2828" s="8">
        <f t="shared" si="44"/>
        <v>1661.69802958901</v>
      </c>
    </row>
    <row r="2829" spans="1:7" x14ac:dyDescent="0.3">
      <c r="A2829" s="14" t="str">
        <f>VLOOKUP(B2829,'Relacion codigos'!$A:$B,2,FALSE)</f>
        <v>7235</v>
      </c>
      <c r="B2829" s="6" t="s">
        <v>5195</v>
      </c>
      <c r="C2829" s="6" t="s">
        <v>9841</v>
      </c>
      <c r="D2829" s="24">
        <v>1691.0416021824001</v>
      </c>
      <c r="E2829" s="6" t="s">
        <v>5889</v>
      </c>
      <c r="F2829" s="6">
        <v>10.5</v>
      </c>
      <c r="G2829" s="8">
        <f t="shared" si="44"/>
        <v>1691.0416021824001</v>
      </c>
    </row>
    <row r="2830" spans="1:7" x14ac:dyDescent="0.3">
      <c r="A2830" s="14" t="str">
        <f>VLOOKUP(B2830,'Relacion codigos'!$A:$B,2,FALSE)</f>
        <v>5463</v>
      </c>
      <c r="B2830" s="6" t="s">
        <v>5110</v>
      </c>
      <c r="C2830" s="6" t="s">
        <v>9842</v>
      </c>
      <c r="D2830" s="24">
        <v>2739.3232867086299</v>
      </c>
      <c r="E2830" s="6" t="s">
        <v>5889</v>
      </c>
      <c r="F2830" s="6">
        <v>10.5</v>
      </c>
      <c r="G2830" s="8">
        <f t="shared" si="44"/>
        <v>2739.3232867086299</v>
      </c>
    </row>
    <row r="2831" spans="1:7" x14ac:dyDescent="0.3">
      <c r="A2831" s="14" t="str">
        <f>VLOOKUP(B2831,'Relacion codigos'!$A:$B,2,FALSE)</f>
        <v>5528</v>
      </c>
      <c r="B2831" s="6" t="s">
        <v>5111</v>
      </c>
      <c r="C2831" s="6" t="s">
        <v>9843</v>
      </c>
      <c r="D2831" s="24">
        <v>2739.3232867086299</v>
      </c>
      <c r="E2831" s="6" t="s">
        <v>5889</v>
      </c>
      <c r="F2831" s="6">
        <v>10.5</v>
      </c>
      <c r="G2831" s="8">
        <f t="shared" si="44"/>
        <v>2739.3232867086299</v>
      </c>
    </row>
    <row r="2832" spans="1:7" x14ac:dyDescent="0.3">
      <c r="A2832" s="14" t="str">
        <f>VLOOKUP(B2832,'Relacion codigos'!$A:$B,2,FALSE)</f>
        <v>7418</v>
      </c>
      <c r="B2832" s="6" t="s">
        <v>4819</v>
      </c>
      <c r="C2832" s="6" t="s">
        <v>9844</v>
      </c>
      <c r="D2832" s="24">
        <v>1386.509661433</v>
      </c>
      <c r="E2832" s="6" t="s">
        <v>5889</v>
      </c>
      <c r="F2832" s="6">
        <v>21</v>
      </c>
      <c r="G2832" s="8">
        <f t="shared" si="44"/>
        <v>1386.509661433</v>
      </c>
    </row>
    <row r="2833" spans="1:7" x14ac:dyDescent="0.3">
      <c r="A2833" s="14" t="str">
        <f>VLOOKUP(B2833,'Relacion codigos'!$A:$B,2,FALSE)</f>
        <v>1994</v>
      </c>
      <c r="B2833" s="6" t="s">
        <v>4826</v>
      </c>
      <c r="C2833" s="6" t="s">
        <v>468</v>
      </c>
      <c r="D2833" s="24">
        <v>1219.143975296</v>
      </c>
      <c r="E2833" s="6" t="s">
        <v>5889</v>
      </c>
      <c r="F2833" s="6">
        <v>10.5</v>
      </c>
      <c r="G2833" s="8">
        <f t="shared" si="44"/>
        <v>1219.143975296</v>
      </c>
    </row>
    <row r="2834" spans="1:7" x14ac:dyDescent="0.3">
      <c r="A2834" s="14" t="str">
        <f>VLOOKUP(B2834,'Relacion codigos'!$A:$B,2,FALSE)</f>
        <v>1996</v>
      </c>
      <c r="B2834" s="6" t="s">
        <v>4827</v>
      </c>
      <c r="C2834" s="6" t="s">
        <v>469</v>
      </c>
      <c r="D2834" s="24">
        <v>1219.143975296</v>
      </c>
      <c r="E2834" s="6" t="s">
        <v>5889</v>
      </c>
      <c r="F2834" s="6">
        <v>10.5</v>
      </c>
      <c r="G2834" s="8">
        <f t="shared" si="44"/>
        <v>1219.143975296</v>
      </c>
    </row>
    <row r="2835" spans="1:7" x14ac:dyDescent="0.3">
      <c r="A2835" s="14" t="str">
        <f>VLOOKUP(B2835,'Relacion codigos'!$A:$B,2,FALSE)</f>
        <v>1995</v>
      </c>
      <c r="B2835" s="6" t="s">
        <v>4828</v>
      </c>
      <c r="C2835" s="6" t="s">
        <v>470</v>
      </c>
      <c r="D2835" s="24">
        <v>1219.143975296</v>
      </c>
      <c r="E2835" s="6" t="s">
        <v>5889</v>
      </c>
      <c r="F2835" s="6">
        <v>21</v>
      </c>
      <c r="G2835" s="8">
        <f t="shared" si="44"/>
        <v>1219.143975296</v>
      </c>
    </row>
    <row r="2836" spans="1:7" x14ac:dyDescent="0.3">
      <c r="A2836" s="14" t="str">
        <f>VLOOKUP(B2836,'Relacion codigos'!$A:$B,2,FALSE)</f>
        <v>7292</v>
      </c>
      <c r="B2836" s="6" t="s">
        <v>5142</v>
      </c>
      <c r="C2836" s="6" t="s">
        <v>14019</v>
      </c>
      <c r="D2836" s="24">
        <v>19938.87709632</v>
      </c>
      <c r="E2836" s="6" t="s">
        <v>5889</v>
      </c>
      <c r="F2836" s="6">
        <v>21</v>
      </c>
      <c r="G2836" s="8">
        <f t="shared" si="44"/>
        <v>19938.87709632</v>
      </c>
    </row>
    <row r="2837" spans="1:7" x14ac:dyDescent="0.3">
      <c r="A2837" s="14" t="str">
        <f>VLOOKUP(B2837,'Relacion codigos'!$A:$B,2,FALSE)</f>
        <v>8605</v>
      </c>
      <c r="B2837" s="6" t="s">
        <v>4736</v>
      </c>
      <c r="C2837" s="6" t="s">
        <v>11435</v>
      </c>
      <c r="D2837" s="24">
        <v>23183.5187999999</v>
      </c>
      <c r="E2837" s="6" t="s">
        <v>5889</v>
      </c>
      <c r="F2837" s="6">
        <v>21</v>
      </c>
      <c r="G2837" s="8">
        <f t="shared" si="44"/>
        <v>23183.5187999999</v>
      </c>
    </row>
    <row r="2838" spans="1:7" x14ac:dyDescent="0.3">
      <c r="A2838" s="14" t="str">
        <f>VLOOKUP(B2838,'Relacion codigos'!$A:$B,2,FALSE)</f>
        <v>8606</v>
      </c>
      <c r="B2838" s="6" t="s">
        <v>4737</v>
      </c>
      <c r="C2838" s="6" t="s">
        <v>11379</v>
      </c>
      <c r="D2838" s="24">
        <v>23183.5187999999</v>
      </c>
      <c r="E2838" s="6" t="s">
        <v>5889</v>
      </c>
      <c r="F2838" s="6">
        <v>21</v>
      </c>
      <c r="G2838" s="8">
        <f t="shared" si="44"/>
        <v>23183.5187999999</v>
      </c>
    </row>
    <row r="2839" spans="1:7" x14ac:dyDescent="0.3">
      <c r="A2839" s="14" t="str">
        <f>VLOOKUP(B2839,'Relacion codigos'!$A:$B,2,FALSE)</f>
        <v>9199</v>
      </c>
      <c r="B2839" s="6" t="s">
        <v>5216</v>
      </c>
      <c r="C2839" s="6" t="s">
        <v>9236</v>
      </c>
      <c r="D2839" s="24">
        <v>9257.7783830999997</v>
      </c>
      <c r="E2839" s="6" t="s">
        <v>5889</v>
      </c>
      <c r="F2839" s="6">
        <v>21</v>
      </c>
      <c r="G2839" s="8">
        <f t="shared" si="44"/>
        <v>9257.7783830999997</v>
      </c>
    </row>
    <row r="2840" spans="1:7" x14ac:dyDescent="0.3">
      <c r="A2840" s="14" t="str">
        <f>VLOOKUP(B2840,'Relacion codigos'!$A:$B,2,FALSE)</f>
        <v>9197</v>
      </c>
      <c r="B2840" s="6" t="s">
        <v>5217</v>
      </c>
      <c r="C2840" s="6" t="s">
        <v>9237</v>
      </c>
      <c r="D2840" s="24">
        <v>2837.8098411000001</v>
      </c>
      <c r="E2840" s="6" t="s">
        <v>5889</v>
      </c>
      <c r="F2840" s="6">
        <v>21</v>
      </c>
      <c r="G2840" s="8">
        <f t="shared" si="44"/>
        <v>2837.8098411000001</v>
      </c>
    </row>
    <row r="2841" spans="1:7" x14ac:dyDescent="0.3">
      <c r="A2841" s="14" t="e">
        <f>VLOOKUP(B2841,'Relacion codigos'!$A:$B,2,FALSE)</f>
        <v>#N/A</v>
      </c>
      <c r="B2841" s="6" t="s">
        <v>8919</v>
      </c>
      <c r="C2841" s="6" t="s">
        <v>9238</v>
      </c>
      <c r="D2841" s="24">
        <v>2837.8098411000001</v>
      </c>
      <c r="E2841" s="6" t="s">
        <v>5889</v>
      </c>
      <c r="F2841" s="6">
        <v>21</v>
      </c>
      <c r="G2841" s="8">
        <f t="shared" si="44"/>
        <v>2837.8098411000001</v>
      </c>
    </row>
    <row r="2842" spans="1:7" x14ac:dyDescent="0.3">
      <c r="A2842" s="14" t="str">
        <f>VLOOKUP(B2842,'Relacion codigos'!$A:$B,2,FALSE)</f>
        <v>7230</v>
      </c>
      <c r="B2842" s="6" t="s">
        <v>5139</v>
      </c>
      <c r="C2842" s="6" t="s">
        <v>9344</v>
      </c>
      <c r="D2842" s="24">
        <v>126.4815952452</v>
      </c>
      <c r="E2842" s="6" t="s">
        <v>5889</v>
      </c>
      <c r="F2842" s="6">
        <v>21</v>
      </c>
      <c r="G2842" s="8">
        <f t="shared" si="44"/>
        <v>126.4815952452</v>
      </c>
    </row>
    <row r="2843" spans="1:7" x14ac:dyDescent="0.3">
      <c r="A2843" s="14" t="e">
        <f>VLOOKUP(B2843,'Relacion codigos'!$A:$B,2,FALSE)</f>
        <v>#N/A</v>
      </c>
      <c r="B2843" s="6" t="s">
        <v>9447</v>
      </c>
      <c r="C2843" s="6" t="s">
        <v>9448</v>
      </c>
      <c r="D2843" s="24">
        <v>133.39689999999999</v>
      </c>
      <c r="E2843" s="6" t="s">
        <v>5889</v>
      </c>
      <c r="F2843" s="6">
        <v>21</v>
      </c>
      <c r="G2843" s="8">
        <f t="shared" si="44"/>
        <v>133.39689999999999</v>
      </c>
    </row>
    <row r="2844" spans="1:7" x14ac:dyDescent="0.3">
      <c r="A2844" s="14" t="str">
        <f>VLOOKUP(B2844,'Relacion codigos'!$A:$B,2,FALSE)</f>
        <v>7228</v>
      </c>
      <c r="B2844" s="6" t="s">
        <v>5140</v>
      </c>
      <c r="C2844" s="6" t="s">
        <v>9239</v>
      </c>
      <c r="D2844" s="24">
        <v>126.4815952452</v>
      </c>
      <c r="E2844" s="6" t="s">
        <v>5889</v>
      </c>
      <c r="F2844" s="6">
        <v>21</v>
      </c>
      <c r="G2844" s="8">
        <f t="shared" si="44"/>
        <v>126.4815952452</v>
      </c>
    </row>
    <row r="2845" spans="1:7" x14ac:dyDescent="0.3">
      <c r="A2845" s="14" t="str">
        <f>VLOOKUP(B2845,'Relacion codigos'!$A:$B,2,FALSE)</f>
        <v>7229</v>
      </c>
      <c r="B2845" s="6" t="s">
        <v>5141</v>
      </c>
      <c r="C2845" s="6" t="s">
        <v>9240</v>
      </c>
      <c r="D2845" s="24">
        <v>126.4815952452</v>
      </c>
      <c r="E2845" s="6" t="s">
        <v>5889</v>
      </c>
      <c r="F2845" s="6">
        <v>21</v>
      </c>
      <c r="G2845" s="8">
        <f t="shared" si="44"/>
        <v>126.4815952452</v>
      </c>
    </row>
    <row r="2846" spans="1:7" x14ac:dyDescent="0.3">
      <c r="A2846" s="14" t="str">
        <f>VLOOKUP(B2846,'Relacion codigos'!$A:$B,2,FALSE)</f>
        <v>7240</v>
      </c>
      <c r="B2846" s="6" t="s">
        <v>5196</v>
      </c>
      <c r="C2846" s="6" t="s">
        <v>9345</v>
      </c>
      <c r="D2846" s="24">
        <v>1739.0489976756</v>
      </c>
      <c r="E2846" s="6" t="s">
        <v>5889</v>
      </c>
      <c r="F2846" s="6">
        <v>10.5</v>
      </c>
      <c r="G2846" s="8">
        <f t="shared" si="44"/>
        <v>1739.0489976756</v>
      </c>
    </row>
    <row r="2847" spans="1:7" x14ac:dyDescent="0.3">
      <c r="A2847" s="14" t="str">
        <f>VLOOKUP(B2847,'Relacion codigos'!$A:$B,2,FALSE)</f>
        <v>7242</v>
      </c>
      <c r="B2847" s="6" t="s">
        <v>5197</v>
      </c>
      <c r="C2847" s="6" t="s">
        <v>9346</v>
      </c>
      <c r="D2847" s="24">
        <v>1739.0489976756</v>
      </c>
      <c r="E2847" s="6" t="s">
        <v>5889</v>
      </c>
      <c r="F2847" s="6">
        <v>10.5</v>
      </c>
      <c r="G2847" s="8">
        <f t="shared" si="44"/>
        <v>1739.0489976756</v>
      </c>
    </row>
    <row r="2848" spans="1:7" x14ac:dyDescent="0.3">
      <c r="A2848" s="14" t="str">
        <f>VLOOKUP(B2848,'Relacion codigos'!$A:$B,2,FALSE)</f>
        <v>9201</v>
      </c>
      <c r="B2848" s="6" t="s">
        <v>5241</v>
      </c>
      <c r="C2848" s="6" t="s">
        <v>1205</v>
      </c>
      <c r="D2848" s="24">
        <v>1542.0628781999999</v>
      </c>
      <c r="E2848" s="6" t="s">
        <v>5889</v>
      </c>
      <c r="F2848" s="6">
        <v>10.5</v>
      </c>
      <c r="G2848" s="8">
        <f t="shared" si="44"/>
        <v>1542.0628781999999</v>
      </c>
    </row>
    <row r="2849" spans="1:7" x14ac:dyDescent="0.3">
      <c r="A2849" s="14" t="str">
        <f>VLOOKUP(B2849,'Relacion codigos'!$A:$B,2,FALSE)</f>
        <v>9214</v>
      </c>
      <c r="B2849" s="6" t="s">
        <v>5242</v>
      </c>
      <c r="C2849" s="6" t="s">
        <v>1268</v>
      </c>
      <c r="D2849" s="24">
        <v>2673.0130635</v>
      </c>
      <c r="E2849" s="6" t="s">
        <v>5889</v>
      </c>
      <c r="F2849" s="6">
        <v>10.5</v>
      </c>
      <c r="G2849" s="8">
        <f t="shared" si="44"/>
        <v>2673.0130635</v>
      </c>
    </row>
    <row r="2850" spans="1:7" x14ac:dyDescent="0.3">
      <c r="A2850" s="14" t="str">
        <f>VLOOKUP(B2850,'Relacion codigos'!$A:$B,2,FALSE)</f>
        <v>1168</v>
      </c>
      <c r="B2850" s="6" t="s">
        <v>4829</v>
      </c>
      <c r="C2850" s="6" t="s">
        <v>968</v>
      </c>
      <c r="D2850" s="24">
        <v>810.49581724800203</v>
      </c>
      <c r="E2850" s="6" t="s">
        <v>5889</v>
      </c>
      <c r="F2850" s="6">
        <v>10.5</v>
      </c>
      <c r="G2850" s="8">
        <f t="shared" si="44"/>
        <v>810.49581724800203</v>
      </c>
    </row>
    <row r="2851" spans="1:7" x14ac:dyDescent="0.3">
      <c r="A2851" s="14" t="str">
        <f>VLOOKUP(B2851,'Relacion codigos'!$A:$B,2,FALSE)</f>
        <v>832</v>
      </c>
      <c r="B2851" s="6" t="s">
        <v>5112</v>
      </c>
      <c r="C2851" s="6" t="s">
        <v>969</v>
      </c>
      <c r="D2851" s="24">
        <v>2897.0035859242998</v>
      </c>
      <c r="E2851" s="6" t="s">
        <v>5889</v>
      </c>
      <c r="F2851" s="6">
        <v>10.5</v>
      </c>
      <c r="G2851" s="8">
        <f t="shared" si="44"/>
        <v>2897.0035859242998</v>
      </c>
    </row>
    <row r="2852" spans="1:7" x14ac:dyDescent="0.3">
      <c r="A2852" s="14" t="str">
        <f>VLOOKUP(B2852,'Relacion codigos'!$A:$B,2,FALSE)</f>
        <v>312</v>
      </c>
      <c r="B2852" s="6" t="s">
        <v>4938</v>
      </c>
      <c r="C2852" s="6" t="s">
        <v>471</v>
      </c>
      <c r="D2852" s="24">
        <v>748.85319600000003</v>
      </c>
      <c r="E2852" s="6" t="s">
        <v>5889</v>
      </c>
      <c r="F2852" s="6">
        <v>10.5</v>
      </c>
      <c r="G2852" s="8">
        <f t="shared" si="44"/>
        <v>748.85319600000003</v>
      </c>
    </row>
    <row r="2853" spans="1:7" x14ac:dyDescent="0.3">
      <c r="A2853" s="14" t="str">
        <f>VLOOKUP(B2853,'Relacion codigos'!$A:$B,2,FALSE)</f>
        <v>3993</v>
      </c>
      <c r="B2853" s="6" t="s">
        <v>4830</v>
      </c>
      <c r="C2853" s="6" t="s">
        <v>1070</v>
      </c>
      <c r="D2853" s="24">
        <v>810.49581724800203</v>
      </c>
      <c r="E2853" s="6" t="s">
        <v>5889</v>
      </c>
      <c r="F2853" s="6">
        <v>10.5</v>
      </c>
      <c r="G2853" s="8">
        <f t="shared" si="44"/>
        <v>810.49581724800203</v>
      </c>
    </row>
    <row r="2854" spans="1:7" x14ac:dyDescent="0.3">
      <c r="A2854" s="14" t="e">
        <f>VLOOKUP(B2854,'Relacion codigos'!$A:$B,2,FALSE)</f>
        <v>#N/A</v>
      </c>
      <c r="B2854" s="6" t="s">
        <v>8921</v>
      </c>
      <c r="C2854" s="6" t="s">
        <v>8922</v>
      </c>
      <c r="D2854" s="24">
        <v>2673.2104463999999</v>
      </c>
      <c r="E2854" s="6" t="s">
        <v>5889</v>
      </c>
      <c r="F2854" s="6">
        <v>21</v>
      </c>
      <c r="G2854" s="8">
        <f t="shared" si="44"/>
        <v>2673.2104463999999</v>
      </c>
    </row>
    <row r="2855" spans="1:7" x14ac:dyDescent="0.3">
      <c r="A2855" s="14" t="str">
        <f>VLOOKUP(B2855,'Relacion codigos'!$A:$B,2,FALSE)</f>
        <v>1169</v>
      </c>
      <c r="B2855" s="6" t="s">
        <v>4831</v>
      </c>
      <c r="C2855" s="6" t="s">
        <v>970</v>
      </c>
      <c r="D2855" s="24">
        <v>810.49581724800203</v>
      </c>
      <c r="E2855" s="6" t="s">
        <v>5889</v>
      </c>
      <c r="F2855" s="6">
        <v>21</v>
      </c>
      <c r="G2855" s="8">
        <f t="shared" si="44"/>
        <v>810.49581724800203</v>
      </c>
    </row>
    <row r="2856" spans="1:7" x14ac:dyDescent="0.3">
      <c r="A2856" s="14" t="str">
        <f>VLOOKUP(B2856,'Relacion codigos'!$A:$B,2,FALSE)</f>
        <v>7241</v>
      </c>
      <c r="B2856" s="6" t="s">
        <v>5198</v>
      </c>
      <c r="C2856" s="6" t="s">
        <v>9347</v>
      </c>
      <c r="D2856" s="24">
        <v>1739.0489976756</v>
      </c>
      <c r="E2856" s="6" t="s">
        <v>5889</v>
      </c>
      <c r="F2856" s="6">
        <v>10.5</v>
      </c>
      <c r="G2856" s="8">
        <f t="shared" si="44"/>
        <v>1739.0489976756</v>
      </c>
    </row>
    <row r="2857" spans="1:7" x14ac:dyDescent="0.3">
      <c r="A2857" s="14" t="str">
        <f>VLOOKUP(B2857,'Relacion codigos'!$A:$B,2,FALSE)</f>
        <v>3538</v>
      </c>
      <c r="B2857" s="6" t="s">
        <v>4945</v>
      </c>
      <c r="C2857" s="6" t="s">
        <v>472</v>
      </c>
      <c r="D2857" s="24">
        <v>699.85000418316702</v>
      </c>
      <c r="E2857" s="6" t="s">
        <v>5889</v>
      </c>
      <c r="F2857" s="6">
        <v>21</v>
      </c>
      <c r="G2857" s="8">
        <f t="shared" si="44"/>
        <v>699.85000418316702</v>
      </c>
    </row>
    <row r="2858" spans="1:7" x14ac:dyDescent="0.3">
      <c r="A2858" s="14" t="str">
        <f>VLOOKUP(B2858,'Relacion codigos'!$A:$B,2,FALSE)</f>
        <v>1992</v>
      </c>
      <c r="B2858" s="6" t="s">
        <v>4832</v>
      </c>
      <c r="C2858" s="6" t="s">
        <v>971</v>
      </c>
      <c r="D2858" s="24">
        <v>810.49581724800203</v>
      </c>
      <c r="E2858" s="6" t="s">
        <v>5889</v>
      </c>
      <c r="F2858" s="6">
        <v>21</v>
      </c>
      <c r="G2858" s="8">
        <f t="shared" si="44"/>
        <v>810.49581724800203</v>
      </c>
    </row>
    <row r="2859" spans="1:7" x14ac:dyDescent="0.3">
      <c r="A2859" s="14" t="str">
        <f>VLOOKUP(B2859,'Relacion codigos'!$A:$B,2,FALSE)</f>
        <v>5460</v>
      </c>
      <c r="B2859" s="6" t="s">
        <v>5113</v>
      </c>
      <c r="C2859" s="6" t="s">
        <v>972</v>
      </c>
      <c r="D2859" s="24">
        <v>2897.0035859242998</v>
      </c>
      <c r="E2859" s="6" t="s">
        <v>5889</v>
      </c>
      <c r="F2859" s="6">
        <v>10.5</v>
      </c>
      <c r="G2859" s="8">
        <f t="shared" si="44"/>
        <v>2897.0035859242998</v>
      </c>
    </row>
    <row r="2860" spans="1:7" x14ac:dyDescent="0.3">
      <c r="A2860" s="14" t="str">
        <f>VLOOKUP(B2860,'Relacion codigos'!$A:$B,2,FALSE)</f>
        <v>5174</v>
      </c>
      <c r="B2860" s="6" t="s">
        <v>5114</v>
      </c>
      <c r="C2860" s="6" t="s">
        <v>973</v>
      </c>
      <c r="D2860" s="24">
        <v>2897.0035859243098</v>
      </c>
      <c r="E2860" s="6" t="s">
        <v>5889</v>
      </c>
      <c r="F2860" s="6">
        <v>10.5</v>
      </c>
      <c r="G2860" s="8">
        <f t="shared" si="44"/>
        <v>2897.0035859243098</v>
      </c>
    </row>
    <row r="2861" spans="1:7" x14ac:dyDescent="0.3">
      <c r="A2861" s="14" t="str">
        <f>VLOOKUP(B2861,'Relacion codigos'!$A:$B,2,FALSE)</f>
        <v>3994</v>
      </c>
      <c r="B2861" s="6" t="s">
        <v>4833</v>
      </c>
      <c r="C2861" s="6" t="s">
        <v>974</v>
      </c>
      <c r="D2861" s="24">
        <v>810.49581724800203</v>
      </c>
      <c r="E2861" s="6" t="s">
        <v>5889</v>
      </c>
      <c r="F2861" s="6">
        <v>10.5</v>
      </c>
      <c r="G2861" s="8">
        <f t="shared" si="44"/>
        <v>810.49581724800203</v>
      </c>
    </row>
    <row r="2862" spans="1:7" x14ac:dyDescent="0.3">
      <c r="A2862" s="14" t="str">
        <f>VLOOKUP(B2862,'Relacion codigos'!$A:$B,2,FALSE)</f>
        <v>5557</v>
      </c>
      <c r="B2862" s="6" t="s">
        <v>5115</v>
      </c>
      <c r="C2862" s="6" t="s">
        <v>10483</v>
      </c>
      <c r="D2862" s="24">
        <v>7820.7964292778897</v>
      </c>
      <c r="E2862" s="6" t="s">
        <v>5889</v>
      </c>
      <c r="F2862" s="6">
        <v>10.5</v>
      </c>
      <c r="G2862" s="8">
        <f t="shared" si="44"/>
        <v>7820.7964292778897</v>
      </c>
    </row>
    <row r="2863" spans="1:7" x14ac:dyDescent="0.3">
      <c r="A2863" s="14" t="e">
        <f>VLOOKUP(B2863,'Relacion codigos'!$A:$B,2,FALSE)</f>
        <v>#N/A</v>
      </c>
      <c r="B2863" s="6" t="s">
        <v>10868</v>
      </c>
      <c r="C2863" s="6" t="s">
        <v>10869</v>
      </c>
      <c r="D2863" s="24">
        <v>7820.7964292778897</v>
      </c>
      <c r="E2863" s="6" t="s">
        <v>5889</v>
      </c>
      <c r="F2863" s="6">
        <v>10.5</v>
      </c>
      <c r="G2863" s="8">
        <f t="shared" si="44"/>
        <v>7820.7964292778897</v>
      </c>
    </row>
    <row r="2864" spans="1:7" x14ac:dyDescent="0.3">
      <c r="A2864" s="14" t="e">
        <f>VLOOKUP(B2864,'Relacion codigos'!$A:$B,2,FALSE)</f>
        <v>#N/A</v>
      </c>
      <c r="B2864" s="6" t="s">
        <v>8970</v>
      </c>
      <c r="C2864" s="6" t="s">
        <v>9029</v>
      </c>
      <c r="D2864" s="24">
        <v>10.502606399999999</v>
      </c>
      <c r="E2864" s="6" t="s">
        <v>5887</v>
      </c>
      <c r="F2864" s="6">
        <v>21</v>
      </c>
      <c r="G2864" s="8">
        <f t="shared" si="44"/>
        <v>16331.552952</v>
      </c>
    </row>
    <row r="2865" spans="1:7" x14ac:dyDescent="0.3">
      <c r="A2865" s="14" t="str">
        <f>VLOOKUP(B2865,'Relacion codigos'!$A:$B,2,FALSE)</f>
        <v>5183</v>
      </c>
      <c r="B2865" s="6" t="s">
        <v>4988</v>
      </c>
      <c r="C2865" s="6" t="s">
        <v>473</v>
      </c>
      <c r="D2865" s="24">
        <v>26889.278159823702</v>
      </c>
      <c r="E2865" s="6" t="s">
        <v>5889</v>
      </c>
      <c r="F2865" s="6">
        <v>10.5</v>
      </c>
      <c r="G2865" s="8">
        <f t="shared" si="44"/>
        <v>26889.278159823702</v>
      </c>
    </row>
    <row r="2866" spans="1:7" x14ac:dyDescent="0.3">
      <c r="A2866" s="14" t="str">
        <f>VLOOKUP(B2866,'Relacion codigos'!$A:$B,2,FALSE)</f>
        <v>5453</v>
      </c>
      <c r="B2866" s="6" t="s">
        <v>4989</v>
      </c>
      <c r="C2866" s="6" t="s">
        <v>474</v>
      </c>
      <c r="D2866" s="24">
        <v>26889.278159823702</v>
      </c>
      <c r="E2866" s="6" t="s">
        <v>5889</v>
      </c>
      <c r="F2866" s="6">
        <v>10.5</v>
      </c>
      <c r="G2866" s="8">
        <f t="shared" si="44"/>
        <v>26889.278159823702</v>
      </c>
    </row>
    <row r="2867" spans="1:7" x14ac:dyDescent="0.3">
      <c r="A2867" s="14" t="str">
        <f>VLOOKUP(B2867,'Relacion codigos'!$A:$B,2,FALSE)</f>
        <v>5184</v>
      </c>
      <c r="B2867" s="6" t="s">
        <v>4990</v>
      </c>
      <c r="C2867" s="6" t="s">
        <v>475</v>
      </c>
      <c r="D2867" s="24">
        <v>26889.278159823702</v>
      </c>
      <c r="E2867" s="6" t="s">
        <v>5889</v>
      </c>
      <c r="F2867" s="6">
        <v>10.5</v>
      </c>
      <c r="G2867" s="8">
        <f t="shared" si="44"/>
        <v>26889.278159823702</v>
      </c>
    </row>
    <row r="2868" spans="1:7" x14ac:dyDescent="0.3">
      <c r="A2868" s="14" t="str">
        <f>VLOOKUP(B2868,'Relacion codigos'!$A:$B,2,FALSE)</f>
        <v>7480</v>
      </c>
      <c r="B2868" s="6" t="s">
        <v>4834</v>
      </c>
      <c r="C2868" s="6" t="s">
        <v>10484</v>
      </c>
      <c r="D2868" s="24">
        <v>1594.43201577073</v>
      </c>
      <c r="E2868" s="6" t="s">
        <v>5889</v>
      </c>
      <c r="F2868" s="6">
        <v>21</v>
      </c>
      <c r="G2868" s="8">
        <f t="shared" si="44"/>
        <v>1594.43201577073</v>
      </c>
    </row>
    <row r="2869" spans="1:7" x14ac:dyDescent="0.3">
      <c r="A2869" s="14" t="str">
        <f>VLOOKUP(B2869,'Relacion codigos'!$A:$B,2,FALSE)</f>
        <v>7479</v>
      </c>
      <c r="B2869" s="6" t="s">
        <v>4835</v>
      </c>
      <c r="C2869" s="6" t="s">
        <v>10485</v>
      </c>
      <c r="D2869" s="24">
        <v>1219.143975296</v>
      </c>
      <c r="E2869" s="6" t="s">
        <v>5889</v>
      </c>
      <c r="F2869" s="6">
        <v>21</v>
      </c>
      <c r="G2869" s="8">
        <f t="shared" si="44"/>
        <v>1219.143975296</v>
      </c>
    </row>
    <row r="2870" spans="1:7" x14ac:dyDescent="0.3">
      <c r="A2870" s="14" t="str">
        <f>VLOOKUP(B2870,'Relacion codigos'!$A:$B,2,FALSE)</f>
        <v>5172</v>
      </c>
      <c r="B2870" s="6" t="s">
        <v>5116</v>
      </c>
      <c r="C2870" s="6" t="s">
        <v>476</v>
      </c>
      <c r="D2870" s="24">
        <v>6164.6225446726103</v>
      </c>
      <c r="E2870" s="6" t="s">
        <v>5889</v>
      </c>
      <c r="F2870" s="6">
        <v>10.5</v>
      </c>
      <c r="G2870" s="8">
        <f t="shared" si="44"/>
        <v>6164.6225446726103</v>
      </c>
    </row>
    <row r="2871" spans="1:7" x14ac:dyDescent="0.3">
      <c r="A2871" s="14" t="str">
        <f>VLOOKUP(B2871,'Relacion codigos'!$A:$B,2,FALSE)</f>
        <v>5459</v>
      </c>
      <c r="B2871" s="6" t="s">
        <v>5117</v>
      </c>
      <c r="C2871" s="6" t="s">
        <v>477</v>
      </c>
      <c r="D2871" s="24">
        <v>6164.6225446726103</v>
      </c>
      <c r="E2871" s="6" t="s">
        <v>5889</v>
      </c>
      <c r="F2871" s="6">
        <v>10.5</v>
      </c>
      <c r="G2871" s="8">
        <f t="shared" si="44"/>
        <v>6164.6225446726103</v>
      </c>
    </row>
    <row r="2872" spans="1:7" x14ac:dyDescent="0.3">
      <c r="A2872" s="14" t="str">
        <f>VLOOKUP(B2872,'Relacion codigos'!$A:$B,2,FALSE)</f>
        <v>5173</v>
      </c>
      <c r="B2872" s="6" t="s">
        <v>5118</v>
      </c>
      <c r="C2872" s="6" t="s">
        <v>478</v>
      </c>
      <c r="D2872" s="24">
        <v>6164.6225446726103</v>
      </c>
      <c r="E2872" s="6" t="s">
        <v>5889</v>
      </c>
      <c r="F2872" s="6">
        <v>10.5</v>
      </c>
      <c r="G2872" s="8">
        <f t="shared" si="44"/>
        <v>6164.6225446726103</v>
      </c>
    </row>
    <row r="2873" spans="1:7" x14ac:dyDescent="0.3">
      <c r="A2873" s="14" t="str">
        <f>VLOOKUP(B2873,'Relacion codigos'!$A:$B,2,FALSE)</f>
        <v>7481</v>
      </c>
      <c r="B2873" s="6" t="s">
        <v>4836</v>
      </c>
      <c r="C2873" s="6" t="s">
        <v>10486</v>
      </c>
      <c r="D2873" s="24">
        <v>1219.143975296</v>
      </c>
      <c r="E2873" s="6" t="s">
        <v>5889</v>
      </c>
      <c r="F2873" s="6">
        <v>21</v>
      </c>
      <c r="G2873" s="8">
        <f t="shared" si="44"/>
        <v>1219.143975296</v>
      </c>
    </row>
    <row r="2874" spans="1:7" x14ac:dyDescent="0.3">
      <c r="A2874" s="14" t="str">
        <f>VLOOKUP(B2874,'Relacion codigos'!$A:$B,2,FALSE)</f>
        <v>8169</v>
      </c>
      <c r="B2874" s="6" t="s">
        <v>4181</v>
      </c>
      <c r="C2874" s="6" t="s">
        <v>10487</v>
      </c>
      <c r="D2874" s="24">
        <v>67.726788479999996</v>
      </c>
      <c r="E2874" s="6" t="s">
        <v>5887</v>
      </c>
      <c r="F2874" s="6">
        <v>21</v>
      </c>
      <c r="G2874" s="8">
        <f t="shared" si="44"/>
        <v>105315.15608639999</v>
      </c>
    </row>
    <row r="2875" spans="1:7" x14ac:dyDescent="0.3">
      <c r="A2875" s="14" t="e">
        <f>VLOOKUP(B2875,'Relacion codigos'!$A:$B,2,FALSE)</f>
        <v>#N/A</v>
      </c>
      <c r="B2875" s="6" t="s">
        <v>8923</v>
      </c>
      <c r="C2875" s="6" t="s">
        <v>8924</v>
      </c>
      <c r="D2875" s="24">
        <v>6682.5416306999996</v>
      </c>
      <c r="E2875" s="6" t="s">
        <v>5889</v>
      </c>
      <c r="F2875" s="6">
        <v>21</v>
      </c>
      <c r="G2875" s="8">
        <f t="shared" si="44"/>
        <v>6682.5416306999996</v>
      </c>
    </row>
    <row r="2876" spans="1:7" x14ac:dyDescent="0.3">
      <c r="A2876" s="14" t="e">
        <f>VLOOKUP(B2876,'Relacion codigos'!$A:$B,2,FALSE)</f>
        <v>#N/A</v>
      </c>
      <c r="B2876" s="6" t="s">
        <v>8925</v>
      </c>
      <c r="C2876" s="6" t="s">
        <v>8926</v>
      </c>
      <c r="D2876" s="24">
        <v>6682.5416306999996</v>
      </c>
      <c r="E2876" s="6" t="s">
        <v>5889</v>
      </c>
      <c r="F2876" s="6">
        <v>21</v>
      </c>
      <c r="G2876" s="8">
        <f t="shared" si="44"/>
        <v>6682.5416306999996</v>
      </c>
    </row>
    <row r="2877" spans="1:7" x14ac:dyDescent="0.3">
      <c r="A2877" s="14" t="str">
        <f>VLOOKUP(B2877,'Relacion codigos'!$A:$B,2,FALSE)</f>
        <v>7233</v>
      </c>
      <c r="B2877" s="6" t="s">
        <v>5199</v>
      </c>
      <c r="C2877" s="6" t="s">
        <v>9348</v>
      </c>
      <c r="D2877" s="24">
        <v>1434.84333356153</v>
      </c>
      <c r="E2877" s="6" t="s">
        <v>5889</v>
      </c>
      <c r="F2877" s="6">
        <v>10.5</v>
      </c>
      <c r="G2877" s="8">
        <f t="shared" si="44"/>
        <v>1434.84333356153</v>
      </c>
    </row>
    <row r="2878" spans="1:7" x14ac:dyDescent="0.3">
      <c r="A2878" s="14" t="str">
        <f>VLOOKUP(B2878,'Relacion codigos'!$A:$B,2,FALSE)</f>
        <v>7412</v>
      </c>
      <c r="B2878" s="6" t="s">
        <v>4820</v>
      </c>
      <c r="C2878" s="6" t="s">
        <v>12783</v>
      </c>
      <c r="D2878" s="24">
        <v>1834.79680672927</v>
      </c>
      <c r="E2878" s="6" t="s">
        <v>5889</v>
      </c>
      <c r="F2878" s="6">
        <v>21</v>
      </c>
      <c r="G2878" s="8">
        <f t="shared" si="44"/>
        <v>1834.79680672927</v>
      </c>
    </row>
    <row r="2879" spans="1:7" x14ac:dyDescent="0.3">
      <c r="A2879" s="14" t="str">
        <f>VLOOKUP(B2879,'Relacion codigos'!$A:$B,2,FALSE)</f>
        <v>100</v>
      </c>
      <c r="B2879" s="6" t="s">
        <v>4946</v>
      </c>
      <c r="C2879" s="6" t="s">
        <v>479</v>
      </c>
      <c r="D2879" s="24">
        <v>614.207178</v>
      </c>
      <c r="E2879" s="6" t="s">
        <v>5889</v>
      </c>
      <c r="F2879" s="6">
        <v>10.5</v>
      </c>
      <c r="G2879" s="8">
        <f t="shared" si="44"/>
        <v>614.207178</v>
      </c>
    </row>
    <row r="2880" spans="1:7" x14ac:dyDescent="0.3">
      <c r="A2880" s="14" t="str">
        <f>VLOOKUP(B2880,'Relacion codigos'!$A:$B,2,FALSE)</f>
        <v>7231</v>
      </c>
      <c r="B2880" s="6" t="s">
        <v>5200</v>
      </c>
      <c r="C2880" s="6" t="s">
        <v>9349</v>
      </c>
      <c r="D2880" s="24">
        <v>1434.8453699268</v>
      </c>
      <c r="E2880" s="6" t="s">
        <v>5889</v>
      </c>
      <c r="F2880" s="6">
        <v>10.5</v>
      </c>
      <c r="G2880" s="8">
        <f t="shared" si="44"/>
        <v>1434.8453699268</v>
      </c>
    </row>
    <row r="2881" spans="1:7" x14ac:dyDescent="0.3">
      <c r="A2881" s="14" t="str">
        <f>VLOOKUP(B2881,'Relacion codigos'!$A:$B,2,FALSE)</f>
        <v>5175</v>
      </c>
      <c r="B2881" s="6" t="s">
        <v>5119</v>
      </c>
      <c r="C2881" s="6" t="s">
        <v>480</v>
      </c>
      <c r="D2881" s="24">
        <v>7901.2497233827298</v>
      </c>
      <c r="E2881" s="6" t="s">
        <v>5889</v>
      </c>
      <c r="F2881" s="6">
        <v>10.5</v>
      </c>
      <c r="G2881" s="8">
        <f t="shared" si="44"/>
        <v>7901.2497233827298</v>
      </c>
    </row>
    <row r="2882" spans="1:7" x14ac:dyDescent="0.3">
      <c r="A2882" s="14" t="str">
        <f>VLOOKUP(B2882,'Relacion codigos'!$A:$B,2,FALSE)</f>
        <v>5461</v>
      </c>
      <c r="B2882" s="6" t="s">
        <v>5120</v>
      </c>
      <c r="C2882" s="6" t="s">
        <v>481</v>
      </c>
      <c r="D2882" s="24">
        <v>7901.2497233827298</v>
      </c>
      <c r="E2882" s="6" t="s">
        <v>5889</v>
      </c>
      <c r="F2882" s="6">
        <v>10.5</v>
      </c>
      <c r="G2882" s="8">
        <f t="shared" ref="G2882:G2945" si="45">IF(E2882="Dolares",D2882*$G$1,D2882)</f>
        <v>7901.2497233827298</v>
      </c>
    </row>
    <row r="2883" spans="1:7" x14ac:dyDescent="0.3">
      <c r="A2883" s="14" t="str">
        <f>VLOOKUP(B2883,'Relacion codigos'!$A:$B,2,FALSE)</f>
        <v>5176</v>
      </c>
      <c r="B2883" s="6" t="s">
        <v>5121</v>
      </c>
      <c r="C2883" s="6" t="s">
        <v>482</v>
      </c>
      <c r="D2883" s="24">
        <v>7901.2497233827298</v>
      </c>
      <c r="E2883" s="6" t="s">
        <v>5889</v>
      </c>
      <c r="F2883" s="6">
        <v>10.5</v>
      </c>
      <c r="G2883" s="8">
        <f t="shared" si="45"/>
        <v>7901.2497233827298</v>
      </c>
    </row>
    <row r="2884" spans="1:7" x14ac:dyDescent="0.3">
      <c r="A2884" s="14" t="str">
        <f>VLOOKUP(B2884,'Relacion codigos'!$A:$B,2,FALSE)</f>
        <v>7232</v>
      </c>
      <c r="B2884" s="6" t="s">
        <v>5201</v>
      </c>
      <c r="C2884" s="6" t="s">
        <v>9350</v>
      </c>
      <c r="D2884" s="24">
        <v>1434.8453699268</v>
      </c>
      <c r="E2884" s="6" t="s">
        <v>5889</v>
      </c>
      <c r="F2884" s="6">
        <v>10.5</v>
      </c>
      <c r="G2884" s="8">
        <f t="shared" si="45"/>
        <v>1434.8453699268</v>
      </c>
    </row>
    <row r="2885" spans="1:7" x14ac:dyDescent="0.3">
      <c r="A2885" s="14" t="str">
        <f>VLOOKUP(B2885,'Relacion codigos'!$A:$B,2,FALSE)</f>
        <v>5558</v>
      </c>
      <c r="B2885" s="6" t="s">
        <v>5122</v>
      </c>
      <c r="C2885" s="6" t="s">
        <v>483</v>
      </c>
      <c r="D2885" s="24">
        <v>12414.2894397495</v>
      </c>
      <c r="E2885" s="6" t="s">
        <v>5889</v>
      </c>
      <c r="F2885" s="6">
        <v>10.5</v>
      </c>
      <c r="G2885" s="8">
        <f t="shared" si="45"/>
        <v>12414.2894397495</v>
      </c>
    </row>
    <row r="2886" spans="1:7" x14ac:dyDescent="0.3">
      <c r="A2886" s="14" t="str">
        <f>VLOOKUP(B2886,'Relacion codigos'!$A:$B,2,FALSE)</f>
        <v>3536</v>
      </c>
      <c r="B2886" s="6" t="s">
        <v>4947</v>
      </c>
      <c r="C2886" s="6" t="s">
        <v>484</v>
      </c>
      <c r="D2886" s="24">
        <v>249.72380748644699</v>
      </c>
      <c r="E2886" s="6" t="s">
        <v>5889</v>
      </c>
      <c r="F2886" s="6">
        <v>10.5</v>
      </c>
      <c r="G2886" s="8">
        <f t="shared" si="45"/>
        <v>249.72380748644699</v>
      </c>
    </row>
    <row r="2887" spans="1:7" x14ac:dyDescent="0.3">
      <c r="A2887" s="14" t="str">
        <f>VLOOKUP(B2887,'Relacion codigos'!$A:$B,2,FALSE)</f>
        <v>6187</v>
      </c>
      <c r="B2887" s="6" t="s">
        <v>4987</v>
      </c>
      <c r="C2887" s="6" t="s">
        <v>9351</v>
      </c>
      <c r="D2887" s="24">
        <v>11791.427420128601</v>
      </c>
      <c r="E2887" s="6" t="s">
        <v>5889</v>
      </c>
      <c r="F2887" s="6">
        <v>21</v>
      </c>
      <c r="G2887" s="8">
        <f t="shared" si="45"/>
        <v>11791.427420128601</v>
      </c>
    </row>
    <row r="2888" spans="1:7" x14ac:dyDescent="0.3">
      <c r="A2888" s="14" t="str">
        <f>VLOOKUP(B2888,'Relacion codigos'!$A:$B,2,FALSE)</f>
        <v>7411</v>
      </c>
      <c r="B2888" s="6" t="s">
        <v>4821</v>
      </c>
      <c r="C2888" s="6" t="s">
        <v>9352</v>
      </c>
      <c r="D2888" s="24">
        <v>1834.79680672927</v>
      </c>
      <c r="E2888" s="6" t="s">
        <v>5889</v>
      </c>
      <c r="F2888" s="6">
        <v>21</v>
      </c>
      <c r="G2888" s="8">
        <f t="shared" si="45"/>
        <v>1834.79680672927</v>
      </c>
    </row>
    <row r="2889" spans="1:7" x14ac:dyDescent="0.3">
      <c r="A2889" s="14" t="str">
        <f>VLOOKUP(B2889,'Relacion codigos'!$A:$B,2,FALSE)</f>
        <v>5508</v>
      </c>
      <c r="B2889" s="6" t="s">
        <v>3552</v>
      </c>
      <c r="C2889" s="6" t="s">
        <v>485</v>
      </c>
      <c r="D2889" s="24">
        <v>45.902999999999999</v>
      </c>
      <c r="E2889" s="6" t="s">
        <v>5887</v>
      </c>
      <c r="F2889" s="6">
        <v>21</v>
      </c>
      <c r="G2889" s="8">
        <f t="shared" si="45"/>
        <v>71379.164999999994</v>
      </c>
    </row>
    <row r="2890" spans="1:7" x14ac:dyDescent="0.3">
      <c r="A2890" s="14" t="str">
        <f>VLOOKUP(B2890,'Relacion codigos'!$A:$B,2,FALSE)</f>
        <v>5506</v>
      </c>
      <c r="B2890" s="6" t="s">
        <v>3553</v>
      </c>
      <c r="C2890" s="6" t="s">
        <v>486</v>
      </c>
      <c r="D2890" s="24">
        <v>45.902999999999999</v>
      </c>
      <c r="E2890" s="6" t="s">
        <v>5887</v>
      </c>
      <c r="F2890" s="6">
        <v>21</v>
      </c>
      <c r="G2890" s="8">
        <f t="shared" si="45"/>
        <v>71379.164999999994</v>
      </c>
    </row>
    <row r="2891" spans="1:7" x14ac:dyDescent="0.3">
      <c r="A2891" s="14" t="str">
        <f>VLOOKUP(B2891,'Relacion codigos'!$A:$B,2,FALSE)</f>
        <v>7924</v>
      </c>
      <c r="B2891" s="6" t="s">
        <v>5211</v>
      </c>
      <c r="C2891" s="6" t="s">
        <v>975</v>
      </c>
      <c r="D2891" s="24">
        <v>1596.5569985508</v>
      </c>
      <c r="E2891" s="6" t="s">
        <v>5889</v>
      </c>
      <c r="F2891" s="6">
        <v>10.5</v>
      </c>
      <c r="G2891" s="8">
        <f t="shared" si="45"/>
        <v>1596.5569985508</v>
      </c>
    </row>
    <row r="2892" spans="1:7" x14ac:dyDescent="0.3">
      <c r="A2892" s="14" t="str">
        <f>VLOOKUP(B2892,'Relacion codigos'!$A:$B,2,FALSE)</f>
        <v>8042</v>
      </c>
      <c r="B2892" s="6" t="s">
        <v>5212</v>
      </c>
      <c r="C2892" s="6" t="s">
        <v>976</v>
      </c>
      <c r="D2892" s="24">
        <v>1596.5569985508</v>
      </c>
      <c r="E2892" s="6" t="s">
        <v>5889</v>
      </c>
      <c r="F2892" s="6">
        <v>10.5</v>
      </c>
      <c r="G2892" s="8">
        <f t="shared" si="45"/>
        <v>1596.5569985508</v>
      </c>
    </row>
    <row r="2893" spans="1:7" x14ac:dyDescent="0.3">
      <c r="A2893" s="14" t="e">
        <f>VLOOKUP(B2893,'Relacion codigos'!$A:$B,2,FALSE)</f>
        <v>#N/A</v>
      </c>
      <c r="B2893" s="6" t="s">
        <v>11063</v>
      </c>
      <c r="C2893" s="6" t="s">
        <v>11060</v>
      </c>
      <c r="D2893" s="24">
        <v>1596.5569985508</v>
      </c>
      <c r="E2893" s="6" t="s">
        <v>5889</v>
      </c>
      <c r="F2893" s="6">
        <v>10.5</v>
      </c>
      <c r="G2893" s="8">
        <f t="shared" si="45"/>
        <v>1596.5569985508</v>
      </c>
    </row>
    <row r="2894" spans="1:7" x14ac:dyDescent="0.3">
      <c r="A2894" s="14" t="str">
        <f>VLOOKUP(B2894,'Relacion codigos'!$A:$B,2,FALSE)</f>
        <v>7935</v>
      </c>
      <c r="B2894" s="6" t="s">
        <v>5213</v>
      </c>
      <c r="C2894" s="6" t="s">
        <v>977</v>
      </c>
      <c r="D2894" s="24">
        <v>1596.5569985508</v>
      </c>
      <c r="E2894" s="6" t="s">
        <v>5889</v>
      </c>
      <c r="F2894" s="6">
        <v>10.5</v>
      </c>
      <c r="G2894" s="8">
        <f t="shared" si="45"/>
        <v>1596.5569985508</v>
      </c>
    </row>
    <row r="2895" spans="1:7" x14ac:dyDescent="0.3">
      <c r="A2895" s="14" t="e">
        <f>VLOOKUP(B2895,'Relacion codigos'!$A:$B,2,FALSE)</f>
        <v>#N/A</v>
      </c>
      <c r="B2895" s="6" t="s">
        <v>13064</v>
      </c>
      <c r="C2895" s="6" t="s">
        <v>13065</v>
      </c>
      <c r="D2895" s="24">
        <v>2312.4910046865998</v>
      </c>
      <c r="E2895" s="6" t="s">
        <v>5889</v>
      </c>
      <c r="F2895" s="6">
        <v>21</v>
      </c>
      <c r="G2895" s="8">
        <f t="shared" si="45"/>
        <v>2312.4910046865998</v>
      </c>
    </row>
    <row r="2896" spans="1:7" x14ac:dyDescent="0.3">
      <c r="A2896" s="14" t="e">
        <f>VLOOKUP(B2896,'Relacion codigos'!$A:$B,2,FALSE)</f>
        <v>#N/A</v>
      </c>
      <c r="B2896" s="6" t="s">
        <v>13173</v>
      </c>
      <c r="C2896" s="6" t="s">
        <v>13174</v>
      </c>
      <c r="D2896" s="24">
        <v>2312.4910046865998</v>
      </c>
      <c r="E2896" s="6" t="s">
        <v>5889</v>
      </c>
      <c r="F2896" s="6">
        <v>21</v>
      </c>
      <c r="G2896" s="8">
        <f t="shared" si="45"/>
        <v>2312.4910046865998</v>
      </c>
    </row>
    <row r="2897" spans="1:7" x14ac:dyDescent="0.3">
      <c r="A2897" s="14" t="str">
        <f>VLOOKUP(B2897,'Relacion codigos'!$A:$B,2,FALSE)</f>
        <v>9198</v>
      </c>
      <c r="B2897" s="6" t="s">
        <v>5218</v>
      </c>
      <c r="C2897" s="6" t="s">
        <v>9241</v>
      </c>
      <c r="D2897" s="24">
        <v>7210.8279905999998</v>
      </c>
      <c r="E2897" s="6" t="s">
        <v>5889</v>
      </c>
      <c r="F2897" s="6">
        <v>21</v>
      </c>
      <c r="G2897" s="8">
        <f t="shared" si="45"/>
        <v>7210.8279905999998</v>
      </c>
    </row>
    <row r="2898" spans="1:7" x14ac:dyDescent="0.3">
      <c r="A2898" s="14" t="e">
        <f>VLOOKUP(B2898,'Relacion codigos'!$A:$B,2,FALSE)</f>
        <v>#N/A</v>
      </c>
      <c r="B2898" s="6" t="s">
        <v>8920</v>
      </c>
      <c r="C2898" s="6" t="s">
        <v>9242</v>
      </c>
      <c r="D2898" s="24">
        <v>7210.8279905999998</v>
      </c>
      <c r="E2898" s="6" t="s">
        <v>5889</v>
      </c>
      <c r="F2898" s="6">
        <v>21</v>
      </c>
      <c r="G2898" s="8">
        <f t="shared" si="45"/>
        <v>7210.8279905999998</v>
      </c>
    </row>
    <row r="2899" spans="1:7" x14ac:dyDescent="0.3">
      <c r="A2899" s="14" t="e">
        <f>VLOOKUP(B2899,'Relacion codigos'!$A:$B,2,FALSE)</f>
        <v>#N/A</v>
      </c>
      <c r="B2899" s="6" t="s">
        <v>13978</v>
      </c>
      <c r="C2899" s="6" t="s">
        <v>13979</v>
      </c>
      <c r="D2899" s="24">
        <v>632.13727928000003</v>
      </c>
      <c r="E2899" s="6" t="s">
        <v>5889</v>
      </c>
      <c r="F2899" s="6">
        <v>21</v>
      </c>
      <c r="G2899" s="8">
        <f t="shared" si="45"/>
        <v>632.13727928000003</v>
      </c>
    </row>
    <row r="2900" spans="1:7" x14ac:dyDescent="0.3">
      <c r="A2900" s="14" t="str">
        <f>VLOOKUP(B2900,'Relacion codigos'!$A:$B,2,FALSE)</f>
        <v>7293</v>
      </c>
      <c r="B2900" s="6" t="s">
        <v>5143</v>
      </c>
      <c r="C2900" s="6" t="s">
        <v>9354</v>
      </c>
      <c r="D2900" s="24">
        <v>19938.87709632</v>
      </c>
      <c r="E2900" s="6" t="s">
        <v>5889</v>
      </c>
      <c r="F2900" s="6">
        <v>21</v>
      </c>
      <c r="G2900" s="8">
        <f t="shared" si="45"/>
        <v>19938.87709632</v>
      </c>
    </row>
    <row r="2901" spans="1:7" x14ac:dyDescent="0.3">
      <c r="A2901" s="14" t="str">
        <f>VLOOKUP(B2901,'Relacion codigos'!$A:$B,2,FALSE)</f>
        <v>7270</v>
      </c>
      <c r="B2901" s="6" t="s">
        <v>5202</v>
      </c>
      <c r="C2901" s="6" t="s">
        <v>9355</v>
      </c>
      <c r="D2901" s="24">
        <v>1434.8453699268</v>
      </c>
      <c r="E2901" s="6" t="s">
        <v>5889</v>
      </c>
      <c r="F2901" s="6">
        <v>10.5</v>
      </c>
      <c r="G2901" s="8">
        <f t="shared" si="45"/>
        <v>1434.8453699268</v>
      </c>
    </row>
    <row r="2902" spans="1:7" x14ac:dyDescent="0.3">
      <c r="A2902" s="14" t="str">
        <f>VLOOKUP(B2902,'Relacion codigos'!$A:$B,2,FALSE)</f>
        <v>9203</v>
      </c>
      <c r="B2902" s="6" t="s">
        <v>5222</v>
      </c>
      <c r="C2902" s="6" t="s">
        <v>1269</v>
      </c>
      <c r="D2902" s="24">
        <v>1941.8529702000001</v>
      </c>
      <c r="E2902" s="6" t="s">
        <v>5889</v>
      </c>
      <c r="F2902" s="6">
        <v>10.5</v>
      </c>
      <c r="G2902" s="8">
        <f t="shared" si="45"/>
        <v>1941.8529702000001</v>
      </c>
    </row>
    <row r="2903" spans="1:7" x14ac:dyDescent="0.3">
      <c r="A2903" s="14" t="str">
        <f>VLOOKUP(B2903,'Relacion codigos'!$A:$B,2,FALSE)</f>
        <v>1166</v>
      </c>
      <c r="B2903" s="6" t="s">
        <v>4837</v>
      </c>
      <c r="C2903" s="6" t="s">
        <v>487</v>
      </c>
      <c r="D2903" s="24">
        <v>708.11643224725105</v>
      </c>
      <c r="E2903" s="6" t="s">
        <v>5889</v>
      </c>
      <c r="F2903" s="6">
        <v>21</v>
      </c>
      <c r="G2903" s="8">
        <f t="shared" si="45"/>
        <v>708.11643224725105</v>
      </c>
    </row>
    <row r="2904" spans="1:7" x14ac:dyDescent="0.3">
      <c r="A2904" s="14" t="str">
        <f>VLOOKUP(B2904,'Relacion codigos'!$A:$B,2,FALSE)</f>
        <v>833</v>
      </c>
      <c r="B2904" s="6" t="s">
        <v>5123</v>
      </c>
      <c r="C2904" s="6" t="s">
        <v>978</v>
      </c>
      <c r="D2904" s="24">
        <v>2402.6179367801601</v>
      </c>
      <c r="E2904" s="6" t="s">
        <v>5889</v>
      </c>
      <c r="F2904" s="6">
        <v>10.5</v>
      </c>
      <c r="G2904" s="8">
        <f t="shared" si="45"/>
        <v>2402.6179367801601</v>
      </c>
    </row>
    <row r="2905" spans="1:7" x14ac:dyDescent="0.3">
      <c r="A2905" s="14" t="str">
        <f>VLOOKUP(B2905,'Relacion codigos'!$A:$B,2,FALSE)</f>
        <v>392</v>
      </c>
      <c r="B2905" s="6" t="s">
        <v>4950</v>
      </c>
      <c r="C2905" s="6" t="s">
        <v>488</v>
      </c>
      <c r="D2905" s="24">
        <v>628.96290599999998</v>
      </c>
      <c r="E2905" s="6" t="s">
        <v>5889</v>
      </c>
      <c r="F2905" s="6">
        <v>21</v>
      </c>
      <c r="G2905" s="8">
        <f t="shared" si="45"/>
        <v>628.96290599999998</v>
      </c>
    </row>
    <row r="2906" spans="1:7" x14ac:dyDescent="0.3">
      <c r="A2906" s="14" t="str">
        <f>VLOOKUP(B2906,'Relacion codigos'!$A:$B,2,FALSE)</f>
        <v>3991</v>
      </c>
      <c r="B2906" s="6" t="s">
        <v>4838</v>
      </c>
      <c r="C2906" s="6" t="s">
        <v>979</v>
      </c>
      <c r="D2906" s="24">
        <v>708.11643224725105</v>
      </c>
      <c r="E2906" s="6" t="s">
        <v>5889</v>
      </c>
      <c r="F2906" s="6">
        <v>21</v>
      </c>
      <c r="G2906" s="8">
        <f t="shared" si="45"/>
        <v>708.11643224725105</v>
      </c>
    </row>
    <row r="2907" spans="1:7" x14ac:dyDescent="0.3">
      <c r="A2907" s="14" t="str">
        <f>VLOOKUP(B2907,'Relacion codigos'!$A:$B,2,FALSE)</f>
        <v>7246</v>
      </c>
      <c r="B2907" s="6" t="s">
        <v>5203</v>
      </c>
      <c r="C2907" s="6" t="s">
        <v>9356</v>
      </c>
      <c r="D2907" s="24">
        <v>1434.8453699268</v>
      </c>
      <c r="E2907" s="6" t="s">
        <v>5889</v>
      </c>
      <c r="F2907" s="6">
        <v>10.5</v>
      </c>
      <c r="G2907" s="8">
        <f t="shared" si="45"/>
        <v>1434.8453699268</v>
      </c>
    </row>
    <row r="2908" spans="1:7" x14ac:dyDescent="0.3">
      <c r="A2908" s="14" t="e">
        <f>VLOOKUP(B2908,'Relacion codigos'!$A:$B,2,FALSE)</f>
        <v>#N/A</v>
      </c>
      <c r="B2908" s="6" t="s">
        <v>8927</v>
      </c>
      <c r="C2908" s="6" t="s">
        <v>8928</v>
      </c>
      <c r="D2908" s="24">
        <v>2673.2104463999999</v>
      </c>
      <c r="E2908" s="6" t="s">
        <v>5889</v>
      </c>
      <c r="F2908" s="6">
        <v>21</v>
      </c>
      <c r="G2908" s="8">
        <f t="shared" si="45"/>
        <v>2673.2104463999999</v>
      </c>
    </row>
    <row r="2909" spans="1:7" x14ac:dyDescent="0.3">
      <c r="A2909" s="14" t="str">
        <f>VLOOKUP(B2909,'Relacion codigos'!$A:$B,2,FALSE)</f>
        <v>1167</v>
      </c>
      <c r="B2909" s="6" t="s">
        <v>4839</v>
      </c>
      <c r="C2909" s="6" t="s">
        <v>489</v>
      </c>
      <c r="D2909" s="24">
        <v>708.11643224725105</v>
      </c>
      <c r="E2909" s="6" t="s">
        <v>5889</v>
      </c>
      <c r="F2909" s="6">
        <v>21</v>
      </c>
      <c r="G2909" s="8">
        <f t="shared" si="45"/>
        <v>708.11643224725105</v>
      </c>
    </row>
    <row r="2910" spans="1:7" x14ac:dyDescent="0.3">
      <c r="A2910" s="14" t="str">
        <f>VLOOKUP(B2910,'Relacion codigos'!$A:$B,2,FALSE)</f>
        <v>7247</v>
      </c>
      <c r="B2910" s="6" t="s">
        <v>5204</v>
      </c>
      <c r="C2910" s="6" t="s">
        <v>9357</v>
      </c>
      <c r="D2910" s="24">
        <v>1434.8453699268</v>
      </c>
      <c r="E2910" s="6" t="s">
        <v>5889</v>
      </c>
      <c r="F2910" s="6">
        <v>10.5</v>
      </c>
      <c r="G2910" s="8">
        <f t="shared" si="45"/>
        <v>1434.8453699268</v>
      </c>
    </row>
    <row r="2911" spans="1:7" x14ac:dyDescent="0.3">
      <c r="A2911" s="14" t="str">
        <f>VLOOKUP(B2911,'Relacion codigos'!$A:$B,2,FALSE)</f>
        <v>1993</v>
      </c>
      <c r="B2911" s="6" t="s">
        <v>4840</v>
      </c>
      <c r="C2911" s="6" t="s">
        <v>490</v>
      </c>
      <c r="D2911" s="24">
        <v>708.11136616700799</v>
      </c>
      <c r="E2911" s="6" t="s">
        <v>5889</v>
      </c>
      <c r="F2911" s="6">
        <v>21</v>
      </c>
      <c r="G2911" s="8">
        <f t="shared" si="45"/>
        <v>708.11136616700799</v>
      </c>
    </row>
    <row r="2912" spans="1:7" x14ac:dyDescent="0.3">
      <c r="A2912" s="14" t="str">
        <f>VLOOKUP(B2912,'Relacion codigos'!$A:$B,2,FALSE)</f>
        <v>5467</v>
      </c>
      <c r="B2912" s="6" t="s">
        <v>5124</v>
      </c>
      <c r="C2912" s="6" t="s">
        <v>980</v>
      </c>
      <c r="D2912" s="24">
        <v>2402.6179367801601</v>
      </c>
      <c r="E2912" s="6" t="s">
        <v>5889</v>
      </c>
      <c r="F2912" s="6">
        <v>10.5</v>
      </c>
      <c r="G2912" s="8">
        <f t="shared" si="45"/>
        <v>2402.6179367801601</v>
      </c>
    </row>
    <row r="2913" spans="1:7" x14ac:dyDescent="0.3">
      <c r="A2913" s="14" t="str">
        <f>VLOOKUP(B2913,'Relacion codigos'!$A:$B,2,FALSE)</f>
        <v>5182</v>
      </c>
      <c r="B2913" s="6" t="s">
        <v>5125</v>
      </c>
      <c r="C2913" s="6" t="s">
        <v>981</v>
      </c>
      <c r="D2913" s="24">
        <v>2402.6179367801601</v>
      </c>
      <c r="E2913" s="6" t="s">
        <v>5889</v>
      </c>
      <c r="F2913" s="6">
        <v>10.5</v>
      </c>
      <c r="G2913" s="8">
        <f t="shared" si="45"/>
        <v>2402.6179367801601</v>
      </c>
    </row>
    <row r="2914" spans="1:7" x14ac:dyDescent="0.3">
      <c r="A2914" s="14" t="str">
        <f>VLOOKUP(B2914,'Relacion codigos'!$A:$B,2,FALSE)</f>
        <v>3992</v>
      </c>
      <c r="B2914" s="6" t="s">
        <v>4841</v>
      </c>
      <c r="C2914" s="6" t="s">
        <v>982</v>
      </c>
      <c r="D2914" s="24">
        <v>708.11643224725105</v>
      </c>
      <c r="E2914" s="6" t="s">
        <v>5889</v>
      </c>
      <c r="F2914" s="6">
        <v>21</v>
      </c>
      <c r="G2914" s="8">
        <f t="shared" si="45"/>
        <v>708.11643224725105</v>
      </c>
    </row>
    <row r="2915" spans="1:7" x14ac:dyDescent="0.3">
      <c r="A2915" s="14" t="e">
        <f>VLOOKUP(B2915,'Relacion codigos'!$A:$B,2,FALSE)</f>
        <v>#N/A</v>
      </c>
      <c r="B2915" s="6" t="s">
        <v>8929</v>
      </c>
      <c r="C2915" s="6" t="s">
        <v>8930</v>
      </c>
      <c r="D2915" s="24">
        <v>6682.5416306999996</v>
      </c>
      <c r="E2915" s="6" t="s">
        <v>5889</v>
      </c>
      <c r="F2915" s="6">
        <v>21</v>
      </c>
      <c r="G2915" s="8">
        <f t="shared" si="45"/>
        <v>6682.5416306999996</v>
      </c>
    </row>
    <row r="2916" spans="1:7" x14ac:dyDescent="0.3">
      <c r="A2916" s="14" t="e">
        <f>VLOOKUP(B2916,'Relacion codigos'!$A:$B,2,FALSE)</f>
        <v>#N/A</v>
      </c>
      <c r="B2916" s="6" t="s">
        <v>8931</v>
      </c>
      <c r="C2916" s="6" t="s">
        <v>8932</v>
      </c>
      <c r="D2916" s="24">
        <v>6682.5416306999996</v>
      </c>
      <c r="E2916" s="6" t="s">
        <v>5889</v>
      </c>
      <c r="F2916" s="6">
        <v>21</v>
      </c>
      <c r="G2916" s="8">
        <f t="shared" si="45"/>
        <v>6682.5416306999996</v>
      </c>
    </row>
    <row r="2917" spans="1:7" x14ac:dyDescent="0.3">
      <c r="A2917" s="14" t="e">
        <f>VLOOKUP(B2917,'Relacion codigos'!$A:$B,2,FALSE)</f>
        <v>#N/A</v>
      </c>
      <c r="B2917" s="6" t="s">
        <v>9945</v>
      </c>
      <c r="C2917" s="6" t="s">
        <v>12784</v>
      </c>
      <c r="D2917" s="24">
        <v>1957.6501367702499</v>
      </c>
      <c r="E2917" s="6" t="s">
        <v>5889</v>
      </c>
      <c r="F2917" s="6">
        <v>21</v>
      </c>
      <c r="G2917" s="8">
        <f t="shared" si="45"/>
        <v>1957.6501367702499</v>
      </c>
    </row>
    <row r="2918" spans="1:7" x14ac:dyDescent="0.3">
      <c r="A2918" s="14" t="e">
        <f>VLOOKUP(B2918,'Relacion codigos'!$A:$B,2,FALSE)</f>
        <v>#N/A</v>
      </c>
      <c r="B2918" s="6" t="s">
        <v>10018</v>
      </c>
      <c r="C2918" s="6" t="s">
        <v>10019</v>
      </c>
      <c r="D2918" s="24">
        <v>1957.6501367702499</v>
      </c>
      <c r="E2918" s="6" t="s">
        <v>5889</v>
      </c>
      <c r="F2918" s="6">
        <v>21</v>
      </c>
      <c r="G2918" s="8">
        <f t="shared" si="45"/>
        <v>1957.6501367702499</v>
      </c>
    </row>
    <row r="2919" spans="1:7" x14ac:dyDescent="0.3">
      <c r="A2919" s="14" t="str">
        <f>VLOOKUP(B2919,'Relacion codigos'!$A:$B,2,FALSE)</f>
        <v>9202</v>
      </c>
      <c r="B2919" s="6" t="s">
        <v>5243</v>
      </c>
      <c r="C2919" s="6" t="s">
        <v>11001</v>
      </c>
      <c r="D2919" s="24">
        <v>1427.8320108</v>
      </c>
      <c r="E2919" s="6" t="s">
        <v>5889</v>
      </c>
      <c r="F2919" s="6">
        <v>10.5</v>
      </c>
      <c r="G2919" s="8">
        <f t="shared" si="45"/>
        <v>1427.8320108</v>
      </c>
    </row>
    <row r="2920" spans="1:7" x14ac:dyDescent="0.3">
      <c r="A2920" s="14" t="str">
        <f>VLOOKUP(B2920,'Relacion codigos'!$A:$B,2,FALSE)</f>
        <v>9184</v>
      </c>
      <c r="B2920" s="6" t="s">
        <v>5244</v>
      </c>
      <c r="C2920" s="6" t="s">
        <v>1206</v>
      </c>
      <c r="D2920" s="24">
        <v>2472.7830647000001</v>
      </c>
      <c r="E2920" s="6" t="s">
        <v>5889</v>
      </c>
      <c r="F2920" s="6">
        <v>10.5</v>
      </c>
      <c r="G2920" s="8">
        <f t="shared" si="45"/>
        <v>2472.7830647000001</v>
      </c>
    </row>
    <row r="2921" spans="1:7" x14ac:dyDescent="0.3">
      <c r="A2921" s="14" t="str">
        <f>VLOOKUP(B2921,'Relacion codigos'!$A:$B,2,FALSE)</f>
        <v>1159</v>
      </c>
      <c r="B2921" s="6" t="s">
        <v>4842</v>
      </c>
      <c r="C2921" s="6" t="s">
        <v>983</v>
      </c>
      <c r="D2921" s="24">
        <v>622.27945389025194</v>
      </c>
      <c r="E2921" s="6" t="s">
        <v>5889</v>
      </c>
      <c r="F2921" s="6">
        <v>10.5</v>
      </c>
      <c r="G2921" s="8">
        <f t="shared" si="45"/>
        <v>622.27945389025194</v>
      </c>
    </row>
    <row r="2922" spans="1:7" x14ac:dyDescent="0.3">
      <c r="A2922" s="14" t="str">
        <f>VLOOKUP(B2922,'Relacion codigos'!$A:$B,2,FALSE)</f>
        <v>831</v>
      </c>
      <c r="B2922" s="6" t="s">
        <v>5126</v>
      </c>
      <c r="C2922" s="6" t="s">
        <v>984</v>
      </c>
      <c r="D2922" s="24">
        <v>1783.5678534260801</v>
      </c>
      <c r="E2922" s="6" t="s">
        <v>5889</v>
      </c>
      <c r="F2922" s="6">
        <v>10.5</v>
      </c>
      <c r="G2922" s="8">
        <f t="shared" si="45"/>
        <v>1783.5678534260801</v>
      </c>
    </row>
    <row r="2923" spans="1:7" x14ac:dyDescent="0.3">
      <c r="A2923" s="14" t="str">
        <f>VLOOKUP(B2923,'Relacion codigos'!$A:$B,2,FALSE)</f>
        <v>3989</v>
      </c>
      <c r="B2923" s="6" t="s">
        <v>4843</v>
      </c>
      <c r="C2923" s="6" t="s">
        <v>985</v>
      </c>
      <c r="D2923" s="24">
        <v>622.27945389025194</v>
      </c>
      <c r="E2923" s="6" t="s">
        <v>5889</v>
      </c>
      <c r="F2923" s="6">
        <v>10.5</v>
      </c>
      <c r="G2923" s="8">
        <f t="shared" si="45"/>
        <v>622.27945389025194</v>
      </c>
    </row>
    <row r="2924" spans="1:7" x14ac:dyDescent="0.3">
      <c r="A2924" s="14" t="e">
        <f>VLOOKUP(B2924,'Relacion codigos'!$A:$B,2,FALSE)</f>
        <v>#N/A</v>
      </c>
      <c r="B2924" s="6" t="s">
        <v>9526</v>
      </c>
      <c r="C2924" s="6" t="s">
        <v>9527</v>
      </c>
      <c r="D2924" s="24">
        <v>860.75080000000003</v>
      </c>
      <c r="E2924" s="6" t="s">
        <v>5889</v>
      </c>
      <c r="F2924" s="6">
        <v>10.5</v>
      </c>
      <c r="G2924" s="8">
        <f t="shared" si="45"/>
        <v>860.75080000000003</v>
      </c>
    </row>
    <row r="2925" spans="1:7" x14ac:dyDescent="0.3">
      <c r="A2925" s="14" t="str">
        <f>VLOOKUP(B2925,'Relacion codigos'!$A:$B,2,FALSE)</f>
        <v>1165</v>
      </c>
      <c r="B2925" s="6" t="s">
        <v>4844</v>
      </c>
      <c r="C2925" s="6" t="s">
        <v>1195</v>
      </c>
      <c r="D2925" s="24">
        <v>622.27945389025194</v>
      </c>
      <c r="E2925" s="6" t="s">
        <v>5889</v>
      </c>
      <c r="F2925" s="6">
        <v>10.5</v>
      </c>
      <c r="G2925" s="8">
        <f t="shared" si="45"/>
        <v>622.27945389025194</v>
      </c>
    </row>
    <row r="2926" spans="1:7" x14ac:dyDescent="0.3">
      <c r="A2926" s="14" t="str">
        <f>VLOOKUP(B2926,'Relacion codigos'!$A:$B,2,FALSE)</f>
        <v>1991</v>
      </c>
      <c r="B2926" s="6" t="s">
        <v>4845</v>
      </c>
      <c r="C2926" s="6" t="s">
        <v>986</v>
      </c>
      <c r="D2926" s="24">
        <v>622.27945389025194</v>
      </c>
      <c r="E2926" s="6" t="s">
        <v>5889</v>
      </c>
      <c r="F2926" s="6">
        <v>21</v>
      </c>
      <c r="G2926" s="8">
        <f t="shared" si="45"/>
        <v>622.27945389025194</v>
      </c>
    </row>
    <row r="2927" spans="1:7" x14ac:dyDescent="0.3">
      <c r="A2927" s="14" t="str">
        <f>VLOOKUP(B2927,'Relacion codigos'!$A:$B,2,FALSE)</f>
        <v>5458</v>
      </c>
      <c r="B2927" s="6" t="s">
        <v>5127</v>
      </c>
      <c r="C2927" s="6" t="s">
        <v>987</v>
      </c>
      <c r="D2927" s="24">
        <v>1938.6598008556</v>
      </c>
      <c r="E2927" s="6" t="s">
        <v>5889</v>
      </c>
      <c r="F2927" s="6">
        <v>10.5</v>
      </c>
      <c r="G2927" s="8">
        <f t="shared" si="45"/>
        <v>1938.6598008556</v>
      </c>
    </row>
    <row r="2928" spans="1:7" x14ac:dyDescent="0.3">
      <c r="A2928" s="14" t="str">
        <f>VLOOKUP(B2928,'Relacion codigos'!$A:$B,2,FALSE)</f>
        <v>5171</v>
      </c>
      <c r="B2928" s="6" t="s">
        <v>5128</v>
      </c>
      <c r="C2928" s="6" t="s">
        <v>988</v>
      </c>
      <c r="D2928" s="24">
        <v>1783.5678534260801</v>
      </c>
      <c r="E2928" s="6" t="s">
        <v>5889</v>
      </c>
      <c r="F2928" s="6">
        <v>10.5</v>
      </c>
      <c r="G2928" s="8">
        <f t="shared" si="45"/>
        <v>1783.5678534260801</v>
      </c>
    </row>
    <row r="2929" spans="1:7" x14ac:dyDescent="0.3">
      <c r="A2929" s="14" t="str">
        <f>VLOOKUP(B2929,'Relacion codigos'!$A:$B,2,FALSE)</f>
        <v>3990</v>
      </c>
      <c r="B2929" s="6" t="s">
        <v>4846</v>
      </c>
      <c r="C2929" s="6" t="s">
        <v>1071</v>
      </c>
      <c r="D2929" s="24">
        <v>622.27945389025194</v>
      </c>
      <c r="E2929" s="6" t="s">
        <v>5889</v>
      </c>
      <c r="F2929" s="6">
        <v>10.5</v>
      </c>
      <c r="G2929" s="8">
        <f t="shared" si="45"/>
        <v>622.27945389025194</v>
      </c>
    </row>
    <row r="2930" spans="1:7" x14ac:dyDescent="0.3">
      <c r="A2930" s="14" t="e">
        <f>VLOOKUP(B2930,'Relacion codigos'!$A:$B,2,FALSE)</f>
        <v>#N/A</v>
      </c>
      <c r="B2930" s="6" t="s">
        <v>13066</v>
      </c>
      <c r="C2930" s="6" t="s">
        <v>13067</v>
      </c>
      <c r="D2930" s="24">
        <v>30445.746719920699</v>
      </c>
      <c r="E2930" s="6" t="s">
        <v>5889</v>
      </c>
      <c r="F2930" s="6">
        <v>10.5</v>
      </c>
      <c r="G2930" s="8">
        <f t="shared" si="45"/>
        <v>30445.746719920699</v>
      </c>
    </row>
    <row r="2931" spans="1:7" x14ac:dyDescent="0.3">
      <c r="A2931" s="14" t="e">
        <f>VLOOKUP(B2931,'Relacion codigos'!$A:$B,2,FALSE)</f>
        <v>#N/A</v>
      </c>
      <c r="B2931" s="6" t="s">
        <v>13068</v>
      </c>
      <c r="C2931" s="6" t="s">
        <v>13069</v>
      </c>
      <c r="D2931" s="24">
        <v>30445.746719920699</v>
      </c>
      <c r="E2931" s="6" t="s">
        <v>5889</v>
      </c>
      <c r="F2931" s="6">
        <v>10.5</v>
      </c>
      <c r="G2931" s="8">
        <f t="shared" si="45"/>
        <v>30445.746719920699</v>
      </c>
    </row>
    <row r="2932" spans="1:7" x14ac:dyDescent="0.3">
      <c r="A2932" s="14" t="str">
        <f>VLOOKUP(B2932,'Relacion codigos'!$A:$B,2,FALSE)</f>
        <v>9195</v>
      </c>
      <c r="B2932" s="6" t="s">
        <v>5219</v>
      </c>
      <c r="C2932" s="6" t="s">
        <v>9243</v>
      </c>
      <c r="D2932" s="24">
        <v>20532.2836498</v>
      </c>
      <c r="E2932" s="6" t="s">
        <v>5889</v>
      </c>
      <c r="F2932" s="6">
        <v>10.5</v>
      </c>
      <c r="G2932" s="8">
        <f t="shared" si="45"/>
        <v>20532.2836498</v>
      </c>
    </row>
    <row r="2933" spans="1:7" x14ac:dyDescent="0.3">
      <c r="A2933" s="14" t="str">
        <f>VLOOKUP(B2933,'Relacion codigos'!$A:$B,2,FALSE)</f>
        <v>8274</v>
      </c>
      <c r="B2933" s="6" t="s">
        <v>4728</v>
      </c>
      <c r="C2933" s="6" t="s">
        <v>11002</v>
      </c>
      <c r="D2933" s="24">
        <v>30911.358399999801</v>
      </c>
      <c r="E2933" s="6" t="s">
        <v>5889</v>
      </c>
      <c r="F2933" s="6">
        <v>10.5</v>
      </c>
      <c r="G2933" s="8">
        <f t="shared" si="45"/>
        <v>30911.358399999801</v>
      </c>
    </row>
    <row r="2934" spans="1:7" x14ac:dyDescent="0.3">
      <c r="A2934" s="14" t="str">
        <f>VLOOKUP(B2934,'Relacion codigos'!$A:$B,2,FALSE)</f>
        <v>8513</v>
      </c>
      <c r="B2934" s="6" t="s">
        <v>4729</v>
      </c>
      <c r="C2934" s="6" t="s">
        <v>9358</v>
      </c>
      <c r="D2934" s="24">
        <v>30911.358400000001</v>
      </c>
      <c r="E2934" s="6" t="s">
        <v>5889</v>
      </c>
      <c r="F2934" s="6">
        <v>21</v>
      </c>
      <c r="G2934" s="8">
        <f t="shared" si="45"/>
        <v>30911.358400000001</v>
      </c>
    </row>
    <row r="2935" spans="1:7" x14ac:dyDescent="0.3">
      <c r="A2935" s="14" t="str">
        <f>VLOOKUP(B2935,'Relacion codigos'!$A:$B,2,FALSE)</f>
        <v>5189</v>
      </c>
      <c r="B2935" s="6" t="s">
        <v>4991</v>
      </c>
      <c r="C2935" s="6" t="s">
        <v>491</v>
      </c>
      <c r="D2935" s="24">
        <v>25069.1700997681</v>
      </c>
      <c r="E2935" s="6" t="s">
        <v>5889</v>
      </c>
      <c r="F2935" s="6">
        <v>10.5</v>
      </c>
      <c r="G2935" s="8">
        <f t="shared" si="45"/>
        <v>25069.1700997681</v>
      </c>
    </row>
    <row r="2936" spans="1:7" x14ac:dyDescent="0.3">
      <c r="A2936" s="14" t="str">
        <f>VLOOKUP(B2936,'Relacion codigos'!$A:$B,2,FALSE)</f>
        <v>5456</v>
      </c>
      <c r="B2936" s="6" t="s">
        <v>4992</v>
      </c>
      <c r="C2936" s="6" t="s">
        <v>492</v>
      </c>
      <c r="D2936" s="24">
        <v>25069.1700997681</v>
      </c>
      <c r="E2936" s="6" t="s">
        <v>5889</v>
      </c>
      <c r="F2936" s="6">
        <v>10.5</v>
      </c>
      <c r="G2936" s="8">
        <f t="shared" si="45"/>
        <v>25069.1700997681</v>
      </c>
    </row>
    <row r="2937" spans="1:7" x14ac:dyDescent="0.3">
      <c r="A2937" s="14" t="str">
        <f>VLOOKUP(B2937,'Relacion codigos'!$A:$B,2,FALSE)</f>
        <v>5190</v>
      </c>
      <c r="B2937" s="6" t="s">
        <v>4993</v>
      </c>
      <c r="C2937" s="6" t="s">
        <v>493</v>
      </c>
      <c r="D2937" s="24">
        <v>25069.1700997681</v>
      </c>
      <c r="E2937" s="6" t="s">
        <v>5889</v>
      </c>
      <c r="F2937" s="6">
        <v>10.5</v>
      </c>
      <c r="G2937" s="8">
        <f t="shared" si="45"/>
        <v>25069.1700997681</v>
      </c>
    </row>
    <row r="2938" spans="1:7" x14ac:dyDescent="0.3">
      <c r="A2938" s="14" t="str">
        <f>VLOOKUP(B2938,'Relacion codigos'!$A:$B,2,FALSE)</f>
        <v>9190</v>
      </c>
      <c r="B2938" s="6" t="s">
        <v>5223</v>
      </c>
      <c r="C2938" s="6" t="s">
        <v>1207</v>
      </c>
      <c r="D2938" s="24">
        <v>192.99860709999999</v>
      </c>
      <c r="E2938" s="6" t="s">
        <v>5889</v>
      </c>
      <c r="F2938" s="6">
        <v>21</v>
      </c>
      <c r="G2938" s="8">
        <f t="shared" si="45"/>
        <v>192.99860709999999</v>
      </c>
    </row>
    <row r="2939" spans="1:7" x14ac:dyDescent="0.3">
      <c r="A2939" s="14" t="str">
        <f>VLOOKUP(B2939,'Relacion codigos'!$A:$B,2,FALSE)</f>
        <v>1180</v>
      </c>
      <c r="B2939" s="6" t="s">
        <v>4740</v>
      </c>
      <c r="C2939" s="6" t="s">
        <v>494</v>
      </c>
      <c r="D2939" s="24">
        <v>71.714351488000005</v>
      </c>
      <c r="E2939" s="6" t="s">
        <v>5889</v>
      </c>
      <c r="F2939" s="6">
        <v>21</v>
      </c>
      <c r="G2939" s="8">
        <f t="shared" si="45"/>
        <v>71.714351488000005</v>
      </c>
    </row>
    <row r="2940" spans="1:7" x14ac:dyDescent="0.3">
      <c r="A2940" s="14" t="str">
        <f>VLOOKUP(B2940,'Relacion codigos'!$A:$B,2,FALSE)</f>
        <v>838</v>
      </c>
      <c r="B2940" s="6" t="s">
        <v>4994</v>
      </c>
      <c r="C2940" s="6" t="s">
        <v>495</v>
      </c>
      <c r="D2940" s="24">
        <v>179.67867490127901</v>
      </c>
      <c r="E2940" s="6" t="s">
        <v>5889</v>
      </c>
      <c r="F2940" s="6">
        <v>21</v>
      </c>
      <c r="G2940" s="8">
        <f t="shared" si="45"/>
        <v>179.67867490127901</v>
      </c>
    </row>
    <row r="2941" spans="1:7" x14ac:dyDescent="0.3">
      <c r="A2941" s="14" t="str">
        <f>VLOOKUP(B2941,'Relacion codigos'!$A:$B,2,FALSE)</f>
        <v>3140</v>
      </c>
      <c r="B2941" s="6" t="s">
        <v>4871</v>
      </c>
      <c r="C2941" s="6" t="s">
        <v>496</v>
      </c>
      <c r="D2941" s="24">
        <v>122.656989</v>
      </c>
      <c r="E2941" s="6" t="s">
        <v>5889</v>
      </c>
      <c r="F2941" s="6">
        <v>21</v>
      </c>
      <c r="G2941" s="8">
        <f t="shared" si="45"/>
        <v>122.656989</v>
      </c>
    </row>
    <row r="2942" spans="1:7" x14ac:dyDescent="0.3">
      <c r="A2942" s="14" t="str">
        <f>VLOOKUP(B2942,'Relacion codigos'!$A:$B,2,FALSE)</f>
        <v>3999</v>
      </c>
      <c r="B2942" s="6" t="s">
        <v>4741</v>
      </c>
      <c r="C2942" s="6" t="s">
        <v>989</v>
      </c>
      <c r="D2942" s="24">
        <v>71.714351488000005</v>
      </c>
      <c r="E2942" s="6" t="s">
        <v>5889</v>
      </c>
      <c r="F2942" s="6">
        <v>21</v>
      </c>
      <c r="G2942" s="8">
        <f t="shared" si="45"/>
        <v>71.714351488000005</v>
      </c>
    </row>
    <row r="2943" spans="1:7" x14ac:dyDescent="0.3">
      <c r="A2943" s="14" t="e">
        <f>VLOOKUP(B2943,'Relacion codigos'!$A:$B,2,FALSE)</f>
        <v>#N/A</v>
      </c>
      <c r="B2943" s="6" t="s">
        <v>8933</v>
      </c>
      <c r="C2943" s="6" t="s">
        <v>8934</v>
      </c>
      <c r="D2943" s="24">
        <v>192.99860709999999</v>
      </c>
      <c r="E2943" s="6" t="s">
        <v>5889</v>
      </c>
      <c r="F2943" s="6">
        <v>21</v>
      </c>
      <c r="G2943" s="8">
        <f t="shared" si="45"/>
        <v>192.99860709999999</v>
      </c>
    </row>
    <row r="2944" spans="1:7" x14ac:dyDescent="0.3">
      <c r="A2944" s="14" t="str">
        <f>VLOOKUP(B2944,'Relacion codigos'!$A:$B,2,FALSE)</f>
        <v>1181</v>
      </c>
      <c r="B2944" s="6" t="s">
        <v>4742</v>
      </c>
      <c r="C2944" s="6" t="s">
        <v>497</v>
      </c>
      <c r="D2944" s="24">
        <v>71.714351488000005</v>
      </c>
      <c r="E2944" s="6" t="s">
        <v>5889</v>
      </c>
      <c r="F2944" s="6">
        <v>21</v>
      </c>
      <c r="G2944" s="8">
        <f t="shared" si="45"/>
        <v>71.714351488000005</v>
      </c>
    </row>
    <row r="2945" spans="1:7" x14ac:dyDescent="0.3">
      <c r="A2945" s="14" t="str">
        <f>VLOOKUP(B2945,'Relacion codigos'!$A:$B,2,FALSE)</f>
        <v>2000</v>
      </c>
      <c r="B2945" s="6" t="s">
        <v>4743</v>
      </c>
      <c r="C2945" s="6" t="s">
        <v>498</v>
      </c>
      <c r="D2945" s="24">
        <v>71.714351488000005</v>
      </c>
      <c r="E2945" s="6" t="s">
        <v>5889</v>
      </c>
      <c r="F2945" s="6">
        <v>21</v>
      </c>
      <c r="G2945" s="8">
        <f t="shared" si="45"/>
        <v>71.714351488000005</v>
      </c>
    </row>
    <row r="2946" spans="1:7" x14ac:dyDescent="0.3">
      <c r="A2946" s="14" t="str">
        <f>VLOOKUP(B2946,'Relacion codigos'!$A:$B,2,FALSE)</f>
        <v>5451</v>
      </c>
      <c r="B2946" s="6" t="s">
        <v>4995</v>
      </c>
      <c r="C2946" s="6" t="s">
        <v>499</v>
      </c>
      <c r="D2946" s="24">
        <v>179.67867490127901</v>
      </c>
      <c r="E2946" s="6" t="s">
        <v>5889</v>
      </c>
      <c r="F2946" s="6">
        <v>21</v>
      </c>
      <c r="G2946" s="8">
        <f t="shared" ref="G2946:G3009" si="46">IF(E2946="Dolares",D2946*$G$1,D2946)</f>
        <v>179.67867490127901</v>
      </c>
    </row>
    <row r="2947" spans="1:7" x14ac:dyDescent="0.3">
      <c r="A2947" s="14" t="str">
        <f>VLOOKUP(B2947,'Relacion codigos'!$A:$B,2,FALSE)</f>
        <v>5165</v>
      </c>
      <c r="B2947" s="6" t="s">
        <v>4996</v>
      </c>
      <c r="C2947" s="6" t="s">
        <v>500</v>
      </c>
      <c r="D2947" s="24">
        <v>179.67867490127901</v>
      </c>
      <c r="E2947" s="6" t="s">
        <v>5889</v>
      </c>
      <c r="F2947" s="6">
        <v>21</v>
      </c>
      <c r="G2947" s="8">
        <f t="shared" si="46"/>
        <v>179.67867490127901</v>
      </c>
    </row>
    <row r="2948" spans="1:7" x14ac:dyDescent="0.3">
      <c r="A2948" s="14" t="str">
        <f>VLOOKUP(B2948,'Relacion codigos'!$A:$B,2,FALSE)</f>
        <v>5008</v>
      </c>
      <c r="B2948" s="6" t="s">
        <v>4744</v>
      </c>
      <c r="C2948" s="6" t="s">
        <v>990</v>
      </c>
      <c r="D2948" s="24">
        <v>71.714351488000005</v>
      </c>
      <c r="E2948" s="6" t="s">
        <v>5889</v>
      </c>
      <c r="F2948" s="6">
        <v>21</v>
      </c>
      <c r="G2948" s="8">
        <f t="shared" si="46"/>
        <v>71.714351488000005</v>
      </c>
    </row>
    <row r="2949" spans="1:7" x14ac:dyDescent="0.3">
      <c r="A2949" s="14" t="str">
        <f>VLOOKUP(B2949,'Relacion codigos'!$A:$B,2,FALSE)</f>
        <v>7239</v>
      </c>
      <c r="B2949" s="6" t="s">
        <v>5208</v>
      </c>
      <c r="C2949" s="6" t="s">
        <v>9845</v>
      </c>
      <c r="D2949" s="24">
        <v>1972.899731322</v>
      </c>
      <c r="E2949" s="6" t="s">
        <v>5889</v>
      </c>
      <c r="F2949" s="6">
        <v>10.5</v>
      </c>
      <c r="G2949" s="8">
        <f t="shared" si="46"/>
        <v>1972.899731322</v>
      </c>
    </row>
    <row r="2950" spans="1:7" x14ac:dyDescent="0.3">
      <c r="A2950" s="14" t="str">
        <f>VLOOKUP(B2950,'Relacion codigos'!$A:$B,2,FALSE)</f>
        <v>5178</v>
      </c>
      <c r="B2950" s="6" t="s">
        <v>5132</v>
      </c>
      <c r="C2950" s="6" t="s">
        <v>9846</v>
      </c>
      <c r="D2950" s="24">
        <v>3016.92009402949</v>
      </c>
      <c r="E2950" s="6" t="s">
        <v>5889</v>
      </c>
      <c r="F2950" s="6">
        <v>10.5</v>
      </c>
      <c r="G2950" s="8">
        <f t="shared" si="46"/>
        <v>3016.92009402949</v>
      </c>
    </row>
    <row r="2951" spans="1:7" x14ac:dyDescent="0.3">
      <c r="A2951" s="14" t="str">
        <f>VLOOKUP(B2951,'Relacion codigos'!$A:$B,2,FALSE)</f>
        <v>7413</v>
      </c>
      <c r="B2951" s="6" t="s">
        <v>4824</v>
      </c>
      <c r="C2951" s="6" t="s">
        <v>9847</v>
      </c>
      <c r="D2951" s="24">
        <v>769.98744804474802</v>
      </c>
      <c r="E2951" s="6" t="s">
        <v>5889</v>
      </c>
      <c r="F2951" s="6">
        <v>21</v>
      </c>
      <c r="G2951" s="8">
        <f t="shared" si="46"/>
        <v>769.98744804474802</v>
      </c>
    </row>
    <row r="2952" spans="1:7" x14ac:dyDescent="0.3">
      <c r="A2952" s="14" t="str">
        <f>VLOOKUP(B2952,'Relacion codigos'!$A:$B,2,FALSE)</f>
        <v>7237</v>
      </c>
      <c r="B2952" s="6" t="s">
        <v>5209</v>
      </c>
      <c r="C2952" s="6" t="s">
        <v>9848</v>
      </c>
      <c r="D2952" s="24">
        <v>1972.899731322</v>
      </c>
      <c r="E2952" s="6" t="s">
        <v>5889</v>
      </c>
      <c r="F2952" s="6">
        <v>10.5</v>
      </c>
      <c r="G2952" s="8">
        <f t="shared" si="46"/>
        <v>1972.899731322</v>
      </c>
    </row>
    <row r="2953" spans="1:7" x14ac:dyDescent="0.3">
      <c r="A2953" s="14" t="str">
        <f>VLOOKUP(B2953,'Relacion codigos'!$A:$B,2,FALSE)</f>
        <v>7245</v>
      </c>
      <c r="B2953" s="6" t="s">
        <v>5205</v>
      </c>
      <c r="C2953" s="6" t="s">
        <v>9849</v>
      </c>
      <c r="D2953" s="24">
        <v>2320.5082844267999</v>
      </c>
      <c r="E2953" s="6" t="s">
        <v>5889</v>
      </c>
      <c r="F2953" s="6">
        <v>10.5</v>
      </c>
      <c r="G2953" s="8">
        <f t="shared" si="46"/>
        <v>2320.5082844267999</v>
      </c>
    </row>
    <row r="2954" spans="1:7" x14ac:dyDescent="0.3">
      <c r="A2954" s="14" t="str">
        <f>VLOOKUP(B2954,'Relacion codigos'!$A:$B,2,FALSE)</f>
        <v>5180</v>
      </c>
      <c r="B2954" s="6" t="s">
        <v>5130</v>
      </c>
      <c r="C2954" s="6" t="s">
        <v>9850</v>
      </c>
      <c r="D2954" s="24">
        <v>4062.7553984640599</v>
      </c>
      <c r="E2954" s="6" t="s">
        <v>5889</v>
      </c>
      <c r="F2954" s="6">
        <v>10.5</v>
      </c>
      <c r="G2954" s="8">
        <f t="shared" si="46"/>
        <v>4062.7553984640599</v>
      </c>
    </row>
    <row r="2955" spans="1:7" x14ac:dyDescent="0.3">
      <c r="A2955" s="14" t="str">
        <f>VLOOKUP(B2955,'Relacion codigos'!$A:$B,2,FALSE)</f>
        <v>7415</v>
      </c>
      <c r="B2955" s="6" t="s">
        <v>4822</v>
      </c>
      <c r="C2955" s="6" t="s">
        <v>9359</v>
      </c>
      <c r="D2955" s="24">
        <v>907.58163212274906</v>
      </c>
      <c r="E2955" s="6" t="s">
        <v>5889</v>
      </c>
      <c r="F2955" s="6">
        <v>21</v>
      </c>
      <c r="G2955" s="8">
        <f t="shared" si="46"/>
        <v>907.58163212274906</v>
      </c>
    </row>
    <row r="2956" spans="1:7" x14ac:dyDescent="0.3">
      <c r="A2956" s="14" t="str">
        <f>VLOOKUP(B2956,'Relacion codigos'!$A:$B,2,FALSE)</f>
        <v>7243</v>
      </c>
      <c r="B2956" s="6" t="s">
        <v>5206</v>
      </c>
      <c r="C2956" s="6" t="s">
        <v>9851</v>
      </c>
      <c r="D2956" s="24">
        <v>2320.5082844267999</v>
      </c>
      <c r="E2956" s="6" t="s">
        <v>5889</v>
      </c>
      <c r="F2956" s="6">
        <v>10.5</v>
      </c>
      <c r="G2956" s="8">
        <f t="shared" si="46"/>
        <v>2320.5082844267999</v>
      </c>
    </row>
    <row r="2957" spans="1:7" x14ac:dyDescent="0.3">
      <c r="A2957" s="14" t="str">
        <f>VLOOKUP(B2957,'Relacion codigos'!$A:$B,2,FALSE)</f>
        <v>7244</v>
      </c>
      <c r="B2957" s="6" t="s">
        <v>5207</v>
      </c>
      <c r="C2957" s="6" t="s">
        <v>9852</v>
      </c>
      <c r="D2957" s="24">
        <v>2320.5153732600102</v>
      </c>
      <c r="E2957" s="6" t="s">
        <v>5889</v>
      </c>
      <c r="F2957" s="6">
        <v>10.5</v>
      </c>
      <c r="G2957" s="8">
        <f t="shared" si="46"/>
        <v>2320.5153732600102</v>
      </c>
    </row>
    <row r="2958" spans="1:7" x14ac:dyDescent="0.3">
      <c r="A2958" s="14" t="str">
        <f>VLOOKUP(B2958,'Relacion codigos'!$A:$B,2,FALSE)</f>
        <v>5466</v>
      </c>
      <c r="B2958" s="6" t="s">
        <v>5129</v>
      </c>
      <c r="C2958" s="6" t="s">
        <v>9853</v>
      </c>
      <c r="D2958" s="24">
        <v>4062.7553984640599</v>
      </c>
      <c r="E2958" s="6" t="s">
        <v>5889</v>
      </c>
      <c r="F2958" s="6">
        <v>10.5</v>
      </c>
      <c r="G2958" s="8">
        <f t="shared" si="46"/>
        <v>4062.7553984640599</v>
      </c>
    </row>
    <row r="2959" spans="1:7" x14ac:dyDescent="0.3">
      <c r="A2959" s="14" t="str">
        <f>VLOOKUP(B2959,'Relacion codigos'!$A:$B,2,FALSE)</f>
        <v>5181</v>
      </c>
      <c r="B2959" s="6" t="s">
        <v>5131</v>
      </c>
      <c r="C2959" s="6" t="s">
        <v>9854</v>
      </c>
      <c r="D2959" s="24">
        <v>4062.7553984640599</v>
      </c>
      <c r="E2959" s="6" t="s">
        <v>5889</v>
      </c>
      <c r="F2959" s="6">
        <v>10.5</v>
      </c>
      <c r="G2959" s="8">
        <f t="shared" si="46"/>
        <v>4062.7553984640599</v>
      </c>
    </row>
    <row r="2960" spans="1:7" x14ac:dyDescent="0.3">
      <c r="A2960" s="14" t="str">
        <f>VLOOKUP(B2960,'Relacion codigos'!$A:$B,2,FALSE)</f>
        <v>7416</v>
      </c>
      <c r="B2960" s="6" t="s">
        <v>4823</v>
      </c>
      <c r="C2960" s="6" t="s">
        <v>9360</v>
      </c>
      <c r="D2960" s="24">
        <v>907.58163212274906</v>
      </c>
      <c r="E2960" s="6" t="s">
        <v>5889</v>
      </c>
      <c r="F2960" s="6">
        <v>21</v>
      </c>
      <c r="G2960" s="8">
        <f t="shared" si="46"/>
        <v>907.58163212274906</v>
      </c>
    </row>
    <row r="2961" spans="1:7" x14ac:dyDescent="0.3">
      <c r="A2961" s="14" t="str">
        <f>VLOOKUP(B2961,'Relacion codigos'!$A:$B,2,FALSE)</f>
        <v>7238</v>
      </c>
      <c r="B2961" s="6" t="s">
        <v>5210</v>
      </c>
      <c r="C2961" s="6" t="s">
        <v>9855</v>
      </c>
      <c r="D2961" s="24">
        <v>1972.899731322</v>
      </c>
      <c r="E2961" s="6" t="s">
        <v>5889</v>
      </c>
      <c r="F2961" s="6">
        <v>10.5</v>
      </c>
      <c r="G2961" s="8">
        <f t="shared" si="46"/>
        <v>1972.899731322</v>
      </c>
    </row>
    <row r="2962" spans="1:7" x14ac:dyDescent="0.3">
      <c r="A2962" s="14" t="str">
        <f>VLOOKUP(B2962,'Relacion codigos'!$A:$B,2,FALSE)</f>
        <v>5464</v>
      </c>
      <c r="B2962" s="6" t="s">
        <v>5133</v>
      </c>
      <c r="C2962" s="6" t="s">
        <v>9856</v>
      </c>
      <c r="D2962" s="24">
        <v>3016.92009402949</v>
      </c>
      <c r="E2962" s="6" t="s">
        <v>5889</v>
      </c>
      <c r="F2962" s="6">
        <v>10.5</v>
      </c>
      <c r="G2962" s="8">
        <f t="shared" si="46"/>
        <v>3016.92009402949</v>
      </c>
    </row>
    <row r="2963" spans="1:7" x14ac:dyDescent="0.3">
      <c r="A2963" s="14" t="str">
        <f>VLOOKUP(B2963,'Relacion codigos'!$A:$B,2,FALSE)</f>
        <v>5191</v>
      </c>
      <c r="B2963" s="6" t="s">
        <v>5134</v>
      </c>
      <c r="C2963" s="6" t="s">
        <v>9857</v>
      </c>
      <c r="D2963" s="24">
        <v>3016.92009402949</v>
      </c>
      <c r="E2963" s="6" t="s">
        <v>5889</v>
      </c>
      <c r="F2963" s="6">
        <v>10.5</v>
      </c>
      <c r="G2963" s="8">
        <f t="shared" si="46"/>
        <v>3016.92009402949</v>
      </c>
    </row>
    <row r="2964" spans="1:7" x14ac:dyDescent="0.3">
      <c r="A2964" s="14" t="str">
        <f>VLOOKUP(B2964,'Relacion codigos'!$A:$B,2,FALSE)</f>
        <v>7414</v>
      </c>
      <c r="B2964" s="6" t="s">
        <v>4825</v>
      </c>
      <c r="C2964" s="6" t="s">
        <v>9858</v>
      </c>
      <c r="D2964" s="24">
        <v>769.98744804474802</v>
      </c>
      <c r="E2964" s="6" t="s">
        <v>5889</v>
      </c>
      <c r="F2964" s="6">
        <v>21</v>
      </c>
      <c r="G2964" s="8">
        <f t="shared" si="46"/>
        <v>769.98744804474802</v>
      </c>
    </row>
    <row r="2965" spans="1:7" x14ac:dyDescent="0.3">
      <c r="A2965" s="14" t="str">
        <f>VLOOKUP(B2965,'Relacion codigos'!$A:$B,2,FALSE)</f>
        <v>5177</v>
      </c>
      <c r="B2965" s="6" t="s">
        <v>5135</v>
      </c>
      <c r="C2965" s="6" t="s">
        <v>13237</v>
      </c>
      <c r="D2965" s="24">
        <v>3332.1290516490999</v>
      </c>
      <c r="E2965" s="6" t="s">
        <v>5889</v>
      </c>
      <c r="F2965" s="6">
        <v>10.5</v>
      </c>
      <c r="G2965" s="8">
        <f t="shared" si="46"/>
        <v>3332.1290516490999</v>
      </c>
    </row>
    <row r="2966" spans="1:7" x14ac:dyDescent="0.3">
      <c r="A2966" s="14" t="str">
        <f>VLOOKUP(B2966,'Relacion codigos'!$A:$B,2,FALSE)</f>
        <v>5462</v>
      </c>
      <c r="B2966" s="6" t="s">
        <v>5136</v>
      </c>
      <c r="C2966" s="6" t="s">
        <v>13238</v>
      </c>
      <c r="D2966" s="24">
        <v>3332.1290516490999</v>
      </c>
      <c r="E2966" s="6" t="s">
        <v>5889</v>
      </c>
      <c r="F2966" s="6">
        <v>10.5</v>
      </c>
      <c r="G2966" s="8">
        <f t="shared" si="46"/>
        <v>3332.1290516490999</v>
      </c>
    </row>
    <row r="2967" spans="1:7" x14ac:dyDescent="0.3">
      <c r="A2967" s="14" t="str">
        <f>VLOOKUP(B2967,'Relacion codigos'!$A:$B,2,FALSE)</f>
        <v>5179</v>
      </c>
      <c r="B2967" s="6" t="s">
        <v>5137</v>
      </c>
      <c r="C2967" s="6" t="s">
        <v>13239</v>
      </c>
      <c r="D2967" s="24">
        <v>3332.1290516490999</v>
      </c>
      <c r="E2967" s="6" t="s">
        <v>5889</v>
      </c>
      <c r="F2967" s="6">
        <v>10.5</v>
      </c>
      <c r="G2967" s="8">
        <f t="shared" si="46"/>
        <v>3332.1290516490999</v>
      </c>
    </row>
    <row r="2968" spans="1:7" x14ac:dyDescent="0.3">
      <c r="A2968" s="14" t="str">
        <f>VLOOKUP(B2968,'Relacion codigos'!$A:$B,2,FALSE)</f>
        <v>7287</v>
      </c>
      <c r="B2968" s="6" t="s">
        <v>5144</v>
      </c>
      <c r="C2968" s="6" t="s">
        <v>9361</v>
      </c>
      <c r="D2968" s="24">
        <v>1926.9107541684</v>
      </c>
      <c r="E2968" s="6" t="s">
        <v>5889</v>
      </c>
      <c r="F2968" s="6">
        <v>21</v>
      </c>
      <c r="G2968" s="8">
        <f t="shared" si="46"/>
        <v>1926.9107541684</v>
      </c>
    </row>
    <row r="2969" spans="1:7" x14ac:dyDescent="0.3">
      <c r="A2969" s="14" t="e">
        <f>VLOOKUP(B2969,'Relacion codigos'!$A:$B,2,FALSE)</f>
        <v>#N/A</v>
      </c>
      <c r="B2969" s="6" t="s">
        <v>8935</v>
      </c>
      <c r="C2969" s="6" t="s">
        <v>12203</v>
      </c>
      <c r="D2969" s="24">
        <v>4326.4955981000003</v>
      </c>
      <c r="E2969" s="6" t="s">
        <v>5889</v>
      </c>
      <c r="F2969" s="6">
        <v>21</v>
      </c>
      <c r="G2969" s="8">
        <f t="shared" si="46"/>
        <v>4326.4955981000003</v>
      </c>
    </row>
    <row r="2970" spans="1:7" x14ac:dyDescent="0.3">
      <c r="A2970" s="14" t="e">
        <f>VLOOKUP(B2970,'Relacion codigos'!$A:$B,2,FALSE)</f>
        <v>#N/A</v>
      </c>
      <c r="B2970" s="6" t="s">
        <v>8936</v>
      </c>
      <c r="C2970" s="6" t="s">
        <v>12204</v>
      </c>
      <c r="D2970" s="24">
        <v>4140.4113737999996</v>
      </c>
      <c r="E2970" s="6" t="s">
        <v>5889</v>
      </c>
      <c r="F2970" s="6">
        <v>21</v>
      </c>
      <c r="G2970" s="8">
        <f t="shared" si="46"/>
        <v>4140.4113737999996</v>
      </c>
    </row>
    <row r="2971" spans="1:7" x14ac:dyDescent="0.3">
      <c r="A2971" s="14" t="str">
        <f>VLOOKUP(B2971,'Relacion codigos'!$A:$B,2,FALSE)</f>
        <v>7288</v>
      </c>
      <c r="B2971" s="6" t="s">
        <v>5145</v>
      </c>
      <c r="C2971" s="6" t="s">
        <v>9362</v>
      </c>
      <c r="D2971" s="24">
        <v>1926.9107541684</v>
      </c>
      <c r="E2971" s="6" t="s">
        <v>5889</v>
      </c>
      <c r="F2971" s="6">
        <v>21</v>
      </c>
      <c r="G2971" s="8">
        <f t="shared" si="46"/>
        <v>1926.9107541684</v>
      </c>
    </row>
    <row r="2972" spans="1:7" x14ac:dyDescent="0.3">
      <c r="A2972" s="14" t="str">
        <f>VLOOKUP(B2972,'Relacion codigos'!$A:$B,2,FALSE)</f>
        <v>7286</v>
      </c>
      <c r="B2972" s="6" t="s">
        <v>5146</v>
      </c>
      <c r="C2972" s="6" t="s">
        <v>9363</v>
      </c>
      <c r="D2972" s="24">
        <v>1926.9107541684</v>
      </c>
      <c r="E2972" s="6" t="s">
        <v>5889</v>
      </c>
      <c r="F2972" s="6">
        <v>21</v>
      </c>
      <c r="G2972" s="8">
        <f t="shared" si="46"/>
        <v>1926.9107541684</v>
      </c>
    </row>
    <row r="2973" spans="1:7" x14ac:dyDescent="0.3">
      <c r="A2973" s="14" t="str">
        <f>VLOOKUP(B2973,'Relacion codigos'!$A:$B,2,FALSE)</f>
        <v>7285</v>
      </c>
      <c r="B2973" s="6" t="s">
        <v>5176</v>
      </c>
      <c r="C2973" s="6" t="s">
        <v>13960</v>
      </c>
      <c r="D2973" s="24">
        <v>2203.6841362224</v>
      </c>
      <c r="E2973" s="6" t="s">
        <v>5889</v>
      </c>
      <c r="F2973" s="6">
        <v>21</v>
      </c>
      <c r="G2973" s="8">
        <f t="shared" si="46"/>
        <v>2203.6841362224</v>
      </c>
    </row>
    <row r="2974" spans="1:7" x14ac:dyDescent="0.3">
      <c r="A2974" s="14" t="str">
        <f>VLOOKUP(B2974,'Relacion codigos'!$A:$B,2,FALSE)</f>
        <v>9204</v>
      </c>
      <c r="B2974" s="6" t="s">
        <v>5238</v>
      </c>
      <c r="C2974" s="6" t="s">
        <v>13961</v>
      </c>
      <c r="D2974" s="24">
        <v>3015.5860397000001</v>
      </c>
      <c r="E2974" s="6" t="s">
        <v>5889</v>
      </c>
      <c r="F2974" s="6">
        <v>21</v>
      </c>
      <c r="G2974" s="8">
        <f t="shared" si="46"/>
        <v>3015.5860397000001</v>
      </c>
    </row>
    <row r="2975" spans="1:7" x14ac:dyDescent="0.3">
      <c r="A2975" s="14" t="str">
        <f>VLOOKUP(B2975,'Relacion codigos'!$A:$B,2,FALSE)</f>
        <v>365</v>
      </c>
      <c r="B2975" s="6" t="s">
        <v>5082</v>
      </c>
      <c r="C2975" s="6" t="s">
        <v>13562</v>
      </c>
      <c r="D2975" s="24">
        <v>3512.61822054399</v>
      </c>
      <c r="E2975" s="6" t="s">
        <v>5889</v>
      </c>
      <c r="F2975" s="6">
        <v>21</v>
      </c>
      <c r="G2975" s="8">
        <f t="shared" si="46"/>
        <v>3512.61822054399</v>
      </c>
    </row>
    <row r="2976" spans="1:7" x14ac:dyDescent="0.3">
      <c r="A2976" s="14" t="str">
        <f>VLOOKUP(B2976,'Relacion codigos'!$A:$B,2,FALSE)</f>
        <v>1275</v>
      </c>
      <c r="B2976" s="6" t="s">
        <v>4793</v>
      </c>
      <c r="C2976" s="6" t="s">
        <v>991</v>
      </c>
      <c r="D2976" s="24">
        <v>1177.92078092975</v>
      </c>
      <c r="E2976" s="6" t="s">
        <v>5889</v>
      </c>
      <c r="F2976" s="6">
        <v>21</v>
      </c>
      <c r="G2976" s="8">
        <f t="shared" si="46"/>
        <v>1177.92078092975</v>
      </c>
    </row>
    <row r="2977" spans="1:7" x14ac:dyDescent="0.3">
      <c r="A2977" s="14" t="e">
        <f>VLOOKUP(B2977,'Relacion codigos'!$A:$B,2,FALSE)</f>
        <v>#N/A</v>
      </c>
      <c r="B2977" s="6" t="s">
        <v>12298</v>
      </c>
      <c r="C2977" s="6" t="s">
        <v>12299</v>
      </c>
      <c r="D2977" s="24">
        <v>1237.9559205</v>
      </c>
      <c r="E2977" s="6" t="s">
        <v>5889</v>
      </c>
      <c r="F2977" s="6">
        <v>21</v>
      </c>
      <c r="G2977" s="8">
        <f t="shared" si="46"/>
        <v>1237.9559205</v>
      </c>
    </row>
    <row r="2978" spans="1:7" x14ac:dyDescent="0.3">
      <c r="A2978" s="14" t="str">
        <f>VLOOKUP(B2978,'Relacion codigos'!$A:$B,2,FALSE)</f>
        <v>5119</v>
      </c>
      <c r="B2978" s="6" t="s">
        <v>4794</v>
      </c>
      <c r="C2978" s="6" t="s">
        <v>993</v>
      </c>
      <c r="D2978" s="24">
        <v>1177.92078092975</v>
      </c>
      <c r="E2978" s="6" t="s">
        <v>5889</v>
      </c>
      <c r="F2978" s="6">
        <v>21</v>
      </c>
      <c r="G2978" s="8">
        <f t="shared" si="46"/>
        <v>1177.92078092975</v>
      </c>
    </row>
    <row r="2979" spans="1:7" x14ac:dyDescent="0.3">
      <c r="A2979" s="14" t="e">
        <f>VLOOKUP(B2979,'Relacion codigos'!$A:$B,2,FALSE)</f>
        <v>#N/A</v>
      </c>
      <c r="B2979" s="6" t="s">
        <v>9449</v>
      </c>
      <c r="C2979" s="6" t="s">
        <v>9450</v>
      </c>
      <c r="D2979" s="24">
        <v>2292.57665</v>
      </c>
      <c r="E2979" s="6" t="s">
        <v>5889</v>
      </c>
      <c r="F2979" s="6">
        <v>21</v>
      </c>
      <c r="G2979" s="8">
        <f t="shared" si="46"/>
        <v>2292.57665</v>
      </c>
    </row>
    <row r="2980" spans="1:7" x14ac:dyDescent="0.3">
      <c r="A2980" s="14" t="str">
        <f>VLOOKUP(B2980,'Relacion codigos'!$A:$B,2,FALSE)</f>
        <v>7283</v>
      </c>
      <c r="B2980" s="6" t="s">
        <v>5177</v>
      </c>
      <c r="C2980" s="6" t="s">
        <v>13962</v>
      </c>
      <c r="D2980" s="24">
        <v>2203.6841362224</v>
      </c>
      <c r="E2980" s="6" t="s">
        <v>5889</v>
      </c>
      <c r="F2980" s="6">
        <v>21</v>
      </c>
      <c r="G2980" s="8">
        <f t="shared" si="46"/>
        <v>2203.6841362224</v>
      </c>
    </row>
    <row r="2981" spans="1:7" x14ac:dyDescent="0.3">
      <c r="A2981" s="14" t="e">
        <f>VLOOKUP(B2981,'Relacion codigos'!$A:$B,2,FALSE)</f>
        <v>#N/A</v>
      </c>
      <c r="B2981" s="6" t="s">
        <v>8937</v>
      </c>
      <c r="C2981" s="6" t="s">
        <v>13963</v>
      </c>
      <c r="D2981" s="24">
        <v>3015.5860397000001</v>
      </c>
      <c r="E2981" s="6" t="s">
        <v>5889</v>
      </c>
      <c r="F2981" s="6">
        <v>21</v>
      </c>
      <c r="G2981" s="8">
        <f t="shared" si="46"/>
        <v>3015.5860397000001</v>
      </c>
    </row>
    <row r="2982" spans="1:7" x14ac:dyDescent="0.3">
      <c r="A2982" s="14" t="str">
        <f>VLOOKUP(B2982,'Relacion codigos'!$A:$B,2,FALSE)</f>
        <v>1999</v>
      </c>
      <c r="B2982" s="6" t="s">
        <v>4795</v>
      </c>
      <c r="C2982" s="6" t="s">
        <v>994</v>
      </c>
      <c r="D2982" s="24">
        <v>1177.92078092975</v>
      </c>
      <c r="E2982" s="6" t="s">
        <v>5889</v>
      </c>
      <c r="F2982" s="6">
        <v>21</v>
      </c>
      <c r="G2982" s="8">
        <f t="shared" si="46"/>
        <v>1177.92078092975</v>
      </c>
    </row>
    <row r="2983" spans="1:7" x14ac:dyDescent="0.3">
      <c r="A2983" s="14" t="str">
        <f>VLOOKUP(B2983,'Relacion codigos'!$A:$B,2,FALSE)</f>
        <v>7284</v>
      </c>
      <c r="B2983" s="6" t="s">
        <v>5178</v>
      </c>
      <c r="C2983" s="6" t="s">
        <v>13964</v>
      </c>
      <c r="D2983" s="24">
        <v>2203.6841362224</v>
      </c>
      <c r="E2983" s="6" t="s">
        <v>5889</v>
      </c>
      <c r="F2983" s="6">
        <v>21</v>
      </c>
      <c r="G2983" s="8">
        <f t="shared" si="46"/>
        <v>2203.6841362224</v>
      </c>
    </row>
    <row r="2984" spans="1:7" x14ac:dyDescent="0.3">
      <c r="A2984" s="14" t="str">
        <f>VLOOKUP(B2984,'Relacion codigos'!$A:$B,2,FALSE)</f>
        <v>1998</v>
      </c>
      <c r="B2984" s="6" t="s">
        <v>4796</v>
      </c>
      <c r="C2984" s="6" t="s">
        <v>995</v>
      </c>
      <c r="D2984" s="24">
        <v>1177.92078092975</v>
      </c>
      <c r="E2984" s="6" t="s">
        <v>5889</v>
      </c>
      <c r="F2984" s="6">
        <v>21</v>
      </c>
      <c r="G2984" s="8">
        <f t="shared" si="46"/>
        <v>1177.92078092975</v>
      </c>
    </row>
    <row r="2985" spans="1:7" x14ac:dyDescent="0.3">
      <c r="A2985" s="14" t="str">
        <f>VLOOKUP(B2985,'Relacion codigos'!$A:$B,2,FALSE)</f>
        <v>5468</v>
      </c>
      <c r="B2985" s="6" t="s">
        <v>5081</v>
      </c>
      <c r="C2985" s="6" t="s">
        <v>11003</v>
      </c>
      <c r="D2985" s="24">
        <v>3512.61822054399</v>
      </c>
      <c r="E2985" s="6" t="s">
        <v>5889</v>
      </c>
      <c r="F2985" s="6">
        <v>21</v>
      </c>
      <c r="G2985" s="8">
        <f t="shared" si="46"/>
        <v>3512.61822054399</v>
      </c>
    </row>
    <row r="2986" spans="1:7" x14ac:dyDescent="0.3">
      <c r="A2986" s="14" t="str">
        <f>VLOOKUP(B2986,'Relacion codigos'!$A:$B,2,FALSE)</f>
        <v>5158</v>
      </c>
      <c r="B2986" s="6" t="s">
        <v>5083</v>
      </c>
      <c r="C2986" s="6" t="s">
        <v>996</v>
      </c>
      <c r="D2986" s="24">
        <v>3512.61822054399</v>
      </c>
      <c r="E2986" s="6" t="s">
        <v>5889</v>
      </c>
      <c r="F2986" s="6">
        <v>21</v>
      </c>
      <c r="G2986" s="8">
        <f t="shared" si="46"/>
        <v>3512.61822054399</v>
      </c>
    </row>
    <row r="2987" spans="1:7" x14ac:dyDescent="0.3">
      <c r="A2987" s="14" t="str">
        <f>VLOOKUP(B2987,'Relacion codigos'!$A:$B,2,FALSE)</f>
        <v>3995</v>
      </c>
      <c r="B2987" s="6" t="s">
        <v>4797</v>
      </c>
      <c r="C2987" s="6" t="s">
        <v>997</v>
      </c>
      <c r="D2987" s="24">
        <v>1177.92078092975</v>
      </c>
      <c r="E2987" s="6" t="s">
        <v>5889</v>
      </c>
      <c r="F2987" s="6">
        <v>21</v>
      </c>
      <c r="G2987" s="8">
        <f t="shared" si="46"/>
        <v>1177.92078092975</v>
      </c>
    </row>
    <row r="2988" spans="1:7" x14ac:dyDescent="0.3">
      <c r="A2988" s="14" t="str">
        <f>VLOOKUP(B2988,'Relacion codigos'!$A:$B,2,FALSE)</f>
        <v>6246</v>
      </c>
      <c r="B2988" s="6" t="s">
        <v>5084</v>
      </c>
      <c r="C2988" s="6" t="s">
        <v>501</v>
      </c>
      <c r="D2988" s="24">
        <v>2109.72109445664</v>
      </c>
      <c r="E2988" s="6" t="s">
        <v>5889</v>
      </c>
      <c r="F2988" s="6">
        <v>21</v>
      </c>
      <c r="G2988" s="8">
        <f t="shared" si="46"/>
        <v>2109.72109445664</v>
      </c>
    </row>
    <row r="2989" spans="1:7" x14ac:dyDescent="0.3">
      <c r="A2989" s="14" t="str">
        <f>VLOOKUP(B2989,'Relacion codigos'!$A:$B,2,FALSE)</f>
        <v>9192</v>
      </c>
      <c r="B2989" s="6" t="s">
        <v>5239</v>
      </c>
      <c r="C2989" s="6" t="s">
        <v>1208</v>
      </c>
      <c r="D2989" s="24">
        <v>1558.4576215</v>
      </c>
      <c r="E2989" s="6" t="s">
        <v>5889</v>
      </c>
      <c r="F2989" s="6">
        <v>21</v>
      </c>
      <c r="G2989" s="8">
        <f t="shared" si="46"/>
        <v>1558.4576215</v>
      </c>
    </row>
    <row r="2990" spans="1:7" x14ac:dyDescent="0.3">
      <c r="A2990" s="14" t="str">
        <f>VLOOKUP(B2990,'Relacion codigos'!$A:$B,2,FALSE)</f>
        <v>3445</v>
      </c>
      <c r="B2990" s="6" t="s">
        <v>4925</v>
      </c>
      <c r="C2990" s="6" t="s">
        <v>13965</v>
      </c>
      <c r="D2990" s="24">
        <v>2053.812891</v>
      </c>
      <c r="E2990" s="6" t="s">
        <v>5889</v>
      </c>
      <c r="F2990" s="6">
        <v>21</v>
      </c>
      <c r="G2990" s="8">
        <f t="shared" si="46"/>
        <v>2053.812891</v>
      </c>
    </row>
    <row r="2991" spans="1:7" x14ac:dyDescent="0.3">
      <c r="A2991" s="14" t="str">
        <f>VLOOKUP(B2991,'Relacion codigos'!$A:$B,2,FALSE)</f>
        <v>7276</v>
      </c>
      <c r="B2991" s="6" t="s">
        <v>5179</v>
      </c>
      <c r="C2991" s="6" t="s">
        <v>11005</v>
      </c>
      <c r="D2991" s="24">
        <v>1492.5161664971999</v>
      </c>
      <c r="E2991" s="6" t="s">
        <v>5889</v>
      </c>
      <c r="F2991" s="6">
        <v>21</v>
      </c>
      <c r="G2991" s="8">
        <f t="shared" si="46"/>
        <v>1492.5161664971999</v>
      </c>
    </row>
    <row r="2992" spans="1:7" x14ac:dyDescent="0.3">
      <c r="A2992" s="14" t="str">
        <f>VLOOKUP(B2992,'Relacion codigos'!$A:$B,2,FALSE)</f>
        <v>1170</v>
      </c>
      <c r="B2992" s="6" t="s">
        <v>4798</v>
      </c>
      <c r="C2992" s="6" t="s">
        <v>13972</v>
      </c>
      <c r="D2992" s="24">
        <v>632.13727927999901</v>
      </c>
      <c r="E2992" s="6" t="s">
        <v>5889</v>
      </c>
      <c r="F2992" s="6">
        <v>21</v>
      </c>
      <c r="G2992" s="8">
        <f t="shared" si="46"/>
        <v>632.13727927999901</v>
      </c>
    </row>
    <row r="2993" spans="1:7" x14ac:dyDescent="0.3">
      <c r="A2993" s="14" t="str">
        <f>VLOOKUP(B2993,'Relacion codigos'!$A:$B,2,FALSE)</f>
        <v>834</v>
      </c>
      <c r="B2993" s="6" t="s">
        <v>5085</v>
      </c>
      <c r="C2993" s="6" t="s">
        <v>502</v>
      </c>
      <c r="D2993" s="24">
        <v>1298.7721783745201</v>
      </c>
      <c r="E2993" s="6" t="s">
        <v>5889</v>
      </c>
      <c r="F2993" s="6">
        <v>21</v>
      </c>
      <c r="G2993" s="8">
        <f t="shared" si="46"/>
        <v>1298.7721783745201</v>
      </c>
    </row>
    <row r="2994" spans="1:7" x14ac:dyDescent="0.3">
      <c r="A2994" s="14" t="str">
        <f>VLOOKUP(B2994,'Relacion codigos'!$A:$B,2,FALSE)</f>
        <v>5118</v>
      </c>
      <c r="B2994" s="6" t="s">
        <v>4803</v>
      </c>
      <c r="C2994" s="6" t="s">
        <v>13973</v>
      </c>
      <c r="D2994" s="24">
        <v>632.13727928000003</v>
      </c>
      <c r="E2994" s="6" t="s">
        <v>5889</v>
      </c>
      <c r="F2994" s="6">
        <v>21</v>
      </c>
      <c r="G2994" s="8">
        <f t="shared" si="46"/>
        <v>632.13727928000003</v>
      </c>
    </row>
    <row r="2995" spans="1:7" x14ac:dyDescent="0.3">
      <c r="A2995" s="14" t="e">
        <f>VLOOKUP(B2995,'Relacion codigos'!$A:$B,2,FALSE)</f>
        <v>#N/A</v>
      </c>
      <c r="B2995" s="6" t="s">
        <v>9451</v>
      </c>
      <c r="C2995" s="6" t="s">
        <v>9452</v>
      </c>
      <c r="D2995" s="24">
        <v>780.90740000000005</v>
      </c>
      <c r="E2995" s="6" t="s">
        <v>5889</v>
      </c>
      <c r="F2995" s="6">
        <v>21</v>
      </c>
      <c r="G2995" s="8">
        <f t="shared" si="46"/>
        <v>780.90740000000005</v>
      </c>
    </row>
    <row r="2996" spans="1:7" x14ac:dyDescent="0.3">
      <c r="A2996" s="14" t="str">
        <f>VLOOKUP(B2996,'Relacion codigos'!$A:$B,2,FALSE)</f>
        <v>7274</v>
      </c>
      <c r="B2996" s="6" t="s">
        <v>5180</v>
      </c>
      <c r="C2996" s="6" t="s">
        <v>11007</v>
      </c>
      <c r="D2996" s="24">
        <v>1492.5161664971999</v>
      </c>
      <c r="E2996" s="6" t="s">
        <v>5889</v>
      </c>
      <c r="F2996" s="6">
        <v>21</v>
      </c>
      <c r="G2996" s="8">
        <f t="shared" si="46"/>
        <v>1492.5161664971999</v>
      </c>
    </row>
    <row r="2997" spans="1:7" x14ac:dyDescent="0.3">
      <c r="A2997" s="14" t="str">
        <f>VLOOKUP(B2997,'Relacion codigos'!$A:$B,2,FALSE)</f>
        <v>394</v>
      </c>
      <c r="B2997" s="6" t="s">
        <v>4921</v>
      </c>
      <c r="C2997" s="6" t="s">
        <v>11562</v>
      </c>
      <c r="D2997" s="24">
        <v>98.634256948499996</v>
      </c>
      <c r="E2997" s="6" t="s">
        <v>5889</v>
      </c>
      <c r="F2997" s="6">
        <v>21</v>
      </c>
      <c r="G2997" s="8">
        <f t="shared" si="46"/>
        <v>98.634256948499996</v>
      </c>
    </row>
    <row r="2998" spans="1:7" x14ac:dyDescent="0.3">
      <c r="A2998" s="14" t="str">
        <f>VLOOKUP(B2998,'Relacion codigos'!$A:$B,2,FALSE)</f>
        <v>4070</v>
      </c>
      <c r="B2998" s="6" t="s">
        <v>4926</v>
      </c>
      <c r="C2998" s="6" t="s">
        <v>11008</v>
      </c>
      <c r="D2998" s="24">
        <v>1694.1420210000001</v>
      </c>
      <c r="E2998" s="6" t="s">
        <v>5889</v>
      </c>
      <c r="F2998" s="6">
        <v>21</v>
      </c>
      <c r="G2998" s="8">
        <f t="shared" si="46"/>
        <v>1694.1420210000001</v>
      </c>
    </row>
    <row r="2999" spans="1:7" x14ac:dyDescent="0.3">
      <c r="A2999" s="14" t="str">
        <f>VLOOKUP(B2999,'Relacion codigos'!$A:$B,2,FALSE)</f>
        <v>1171</v>
      </c>
      <c r="B2999" s="6" t="s">
        <v>4799</v>
      </c>
      <c r="C2999" s="6" t="s">
        <v>999</v>
      </c>
      <c r="D2999" s="24">
        <v>632.13727927999901</v>
      </c>
      <c r="E2999" s="6" t="s">
        <v>5889</v>
      </c>
      <c r="F2999" s="6">
        <v>21</v>
      </c>
      <c r="G2999" s="8">
        <f t="shared" si="46"/>
        <v>632.13727927999901</v>
      </c>
    </row>
    <row r="3000" spans="1:7" x14ac:dyDescent="0.3">
      <c r="A3000" s="14" t="str">
        <f>VLOOKUP(B3000,'Relacion codigos'!$A:$B,2,FALSE)</f>
        <v>7275</v>
      </c>
      <c r="B3000" s="6" t="s">
        <v>5181</v>
      </c>
      <c r="C3000" s="6" t="s">
        <v>11009</v>
      </c>
      <c r="D3000" s="24">
        <v>1492.5161664971999</v>
      </c>
      <c r="E3000" s="6" t="s">
        <v>5889</v>
      </c>
      <c r="F3000" s="6">
        <v>21</v>
      </c>
      <c r="G3000" s="8">
        <f t="shared" si="46"/>
        <v>1492.5161664971999</v>
      </c>
    </row>
    <row r="3001" spans="1:7" x14ac:dyDescent="0.3">
      <c r="A3001" s="14" t="str">
        <f>VLOOKUP(B3001,'Relacion codigos'!$A:$B,2,FALSE)</f>
        <v>562</v>
      </c>
      <c r="B3001" s="6" t="s">
        <v>4922</v>
      </c>
      <c r="C3001" s="6" t="s">
        <v>503</v>
      </c>
      <c r="D3001" s="24">
        <v>286.83359914487698</v>
      </c>
      <c r="E3001" s="6" t="s">
        <v>5889</v>
      </c>
      <c r="F3001" s="6">
        <v>21</v>
      </c>
      <c r="G3001" s="8">
        <f t="shared" si="46"/>
        <v>286.83359914487698</v>
      </c>
    </row>
    <row r="3002" spans="1:7" x14ac:dyDescent="0.3">
      <c r="A3002" s="14" t="str">
        <f>VLOOKUP(B3002,'Relacion codigos'!$A:$B,2,FALSE)</f>
        <v>1997</v>
      </c>
      <c r="B3002" s="6" t="s">
        <v>4800</v>
      </c>
      <c r="C3002" s="6" t="s">
        <v>1000</v>
      </c>
      <c r="D3002" s="24">
        <v>632.13727927999901</v>
      </c>
      <c r="E3002" s="6" t="s">
        <v>5889</v>
      </c>
      <c r="F3002" s="6">
        <v>21</v>
      </c>
      <c r="G3002" s="8">
        <f t="shared" si="46"/>
        <v>632.13727927999901</v>
      </c>
    </row>
    <row r="3003" spans="1:7" x14ac:dyDescent="0.3">
      <c r="A3003" s="14" t="str">
        <f>VLOOKUP(B3003,'Relacion codigos'!$A:$B,2,FALSE)</f>
        <v>5457</v>
      </c>
      <c r="B3003" s="6" t="s">
        <v>5088</v>
      </c>
      <c r="C3003" s="6" t="s">
        <v>11010</v>
      </c>
      <c r="D3003" s="24">
        <v>843.35952508938999</v>
      </c>
      <c r="E3003" s="6" t="s">
        <v>5889</v>
      </c>
      <c r="F3003" s="6">
        <v>21</v>
      </c>
      <c r="G3003" s="8">
        <f t="shared" si="46"/>
        <v>843.35952508938999</v>
      </c>
    </row>
    <row r="3004" spans="1:7" x14ac:dyDescent="0.3">
      <c r="A3004" s="14" t="str">
        <f>VLOOKUP(B3004,'Relacion codigos'!$A:$B,2,FALSE)</f>
        <v>5155</v>
      </c>
      <c r="B3004" s="6" t="s">
        <v>5086</v>
      </c>
      <c r="C3004" s="6" t="s">
        <v>504</v>
      </c>
      <c r="D3004" s="24">
        <v>1298.7721783745201</v>
      </c>
      <c r="E3004" s="6" t="s">
        <v>5889</v>
      </c>
      <c r="F3004" s="6">
        <v>21</v>
      </c>
      <c r="G3004" s="8">
        <f t="shared" si="46"/>
        <v>1298.7721783745201</v>
      </c>
    </row>
    <row r="3005" spans="1:7" x14ac:dyDescent="0.3">
      <c r="A3005" s="14" t="str">
        <f>VLOOKUP(B3005,'Relacion codigos'!$A:$B,2,FALSE)</f>
        <v>8367</v>
      </c>
      <c r="B3005" s="6" t="s">
        <v>4806</v>
      </c>
      <c r="C3005" s="6" t="s">
        <v>11011</v>
      </c>
      <c r="D3005" s="24">
        <v>764.12877964800305</v>
      </c>
      <c r="E3005" s="6" t="s">
        <v>5889</v>
      </c>
      <c r="F3005" s="6">
        <v>21</v>
      </c>
      <c r="G3005" s="8">
        <f t="shared" si="46"/>
        <v>764.12877964800305</v>
      </c>
    </row>
    <row r="3006" spans="1:7" x14ac:dyDescent="0.3">
      <c r="A3006" s="14" t="str">
        <f>VLOOKUP(B3006,'Relacion codigos'!$A:$B,2,FALSE)</f>
        <v>6966</v>
      </c>
      <c r="B3006" s="6" t="s">
        <v>4997</v>
      </c>
      <c r="C3006" s="6" t="s">
        <v>505</v>
      </c>
      <c r="D3006" s="24">
        <v>4692.5562924693804</v>
      </c>
      <c r="E3006" s="6" t="s">
        <v>5889</v>
      </c>
      <c r="F3006" s="6">
        <v>21</v>
      </c>
      <c r="G3006" s="8">
        <f t="shared" si="46"/>
        <v>4692.5562924693804</v>
      </c>
    </row>
    <row r="3007" spans="1:7" x14ac:dyDescent="0.3">
      <c r="A3007" s="14" t="e">
        <f>VLOOKUP(B3007,'Relacion codigos'!$A:$B,2,FALSE)</f>
        <v>#N/A</v>
      </c>
      <c r="B3007" s="6" t="s">
        <v>8939</v>
      </c>
      <c r="C3007" s="6" t="s">
        <v>8940</v>
      </c>
      <c r="D3007" s="24">
        <v>1558.4576215</v>
      </c>
      <c r="E3007" s="6" t="s">
        <v>5889</v>
      </c>
      <c r="F3007" s="6">
        <v>21</v>
      </c>
      <c r="G3007" s="8">
        <f t="shared" si="46"/>
        <v>1558.4576215</v>
      </c>
    </row>
    <row r="3008" spans="1:7" x14ac:dyDescent="0.3">
      <c r="A3008" s="14" t="str">
        <f>VLOOKUP(B3008,'Relacion codigos'!$A:$B,2,FALSE)</f>
        <v>1455</v>
      </c>
      <c r="B3008" s="6" t="s">
        <v>4745</v>
      </c>
      <c r="C3008" s="6" t="s">
        <v>506</v>
      </c>
      <c r="D3008" s="24">
        <v>7260.4598609919803</v>
      </c>
      <c r="E3008" s="6" t="s">
        <v>5889</v>
      </c>
      <c r="F3008" s="6">
        <v>21</v>
      </c>
      <c r="G3008" s="8">
        <f t="shared" si="46"/>
        <v>7260.4598609919803</v>
      </c>
    </row>
    <row r="3009" spans="1:7" x14ac:dyDescent="0.3">
      <c r="A3009" s="14" t="str">
        <f>VLOOKUP(B3009,'Relacion codigos'!$A:$B,2,FALSE)</f>
        <v>5169</v>
      </c>
      <c r="B3009" s="6" t="s">
        <v>4998</v>
      </c>
      <c r="C3009" s="6" t="s">
        <v>507</v>
      </c>
      <c r="D3009" s="24">
        <v>6307.3113195025098</v>
      </c>
      <c r="E3009" s="6" t="s">
        <v>5889</v>
      </c>
      <c r="F3009" s="6">
        <v>21</v>
      </c>
      <c r="G3009" s="8">
        <f t="shared" si="46"/>
        <v>6307.3113195025098</v>
      </c>
    </row>
    <row r="3010" spans="1:7" x14ac:dyDescent="0.3">
      <c r="A3010" s="14" t="str">
        <f>VLOOKUP(B3010,'Relacion codigos'!$A:$B,2,FALSE)</f>
        <v>492</v>
      </c>
      <c r="B3010" s="6" t="s">
        <v>4872</v>
      </c>
      <c r="C3010" s="6" t="s">
        <v>508</v>
      </c>
      <c r="D3010" s="24">
        <v>7421.2089509999996</v>
      </c>
      <c r="E3010" s="6" t="s">
        <v>5889</v>
      </c>
      <c r="F3010" s="6">
        <v>21</v>
      </c>
      <c r="G3010" s="8">
        <f t="shared" ref="G3010:G3073" si="47">IF(E3010="Dolares",D3010*$G$1,D3010)</f>
        <v>7421.2089509999996</v>
      </c>
    </row>
    <row r="3011" spans="1:7" x14ac:dyDescent="0.3">
      <c r="A3011" s="14" t="str">
        <f>VLOOKUP(B3011,'Relacion codigos'!$A:$B,2,FALSE)</f>
        <v>5452</v>
      </c>
      <c r="B3011" s="6" t="s">
        <v>4999</v>
      </c>
      <c r="C3011" s="6" t="s">
        <v>509</v>
      </c>
      <c r="D3011" s="24">
        <v>6307.3113195025098</v>
      </c>
      <c r="E3011" s="6" t="s">
        <v>5889</v>
      </c>
      <c r="F3011" s="6">
        <v>21</v>
      </c>
      <c r="G3011" s="8">
        <f t="shared" si="47"/>
        <v>6307.3113195025098</v>
      </c>
    </row>
    <row r="3012" spans="1:7" x14ac:dyDescent="0.3">
      <c r="A3012" s="14" t="str">
        <f>VLOOKUP(B3012,'Relacion codigos'!$A:$B,2,FALSE)</f>
        <v>5170</v>
      </c>
      <c r="B3012" s="6" t="s">
        <v>5000</v>
      </c>
      <c r="C3012" s="6" t="s">
        <v>510</v>
      </c>
      <c r="D3012" s="24">
        <v>6307.3113195025098</v>
      </c>
      <c r="E3012" s="6" t="s">
        <v>5889</v>
      </c>
      <c r="F3012" s="6">
        <v>21</v>
      </c>
      <c r="G3012" s="8">
        <f t="shared" si="47"/>
        <v>6307.3113195025098</v>
      </c>
    </row>
    <row r="3013" spans="1:7" x14ac:dyDescent="0.3">
      <c r="A3013" s="14" t="str">
        <f>VLOOKUP(B3013,'Relacion codigos'!$A:$B,2,FALSE)</f>
        <v>5323</v>
      </c>
      <c r="B3013" s="6" t="s">
        <v>5089</v>
      </c>
      <c r="C3013" s="6" t="s">
        <v>511</v>
      </c>
      <c r="D3013" s="24">
        <v>3611.8069983859</v>
      </c>
      <c r="E3013" s="6" t="s">
        <v>5889</v>
      </c>
      <c r="F3013" s="6">
        <v>21</v>
      </c>
      <c r="G3013" s="8">
        <f t="shared" si="47"/>
        <v>3611.8069983859</v>
      </c>
    </row>
    <row r="3014" spans="1:7" x14ac:dyDescent="0.3">
      <c r="A3014" s="14" t="str">
        <f>VLOOKUP(B3014,'Relacion codigos'!$A:$B,2,FALSE)</f>
        <v>7483</v>
      </c>
      <c r="B3014" s="6" t="s">
        <v>4807</v>
      </c>
      <c r="C3014" s="6" t="s">
        <v>11635</v>
      </c>
      <c r="D3014" s="24">
        <v>1672.11129345001</v>
      </c>
      <c r="E3014" s="6" t="s">
        <v>5889</v>
      </c>
      <c r="F3014" s="6">
        <v>21</v>
      </c>
      <c r="G3014" s="8">
        <f t="shared" si="47"/>
        <v>1672.11129345001</v>
      </c>
    </row>
    <row r="3015" spans="1:7" x14ac:dyDescent="0.3">
      <c r="A3015" s="14" t="str">
        <f>VLOOKUP(B3015,'Relacion codigos'!$A:$B,2,FALSE)</f>
        <v>7279</v>
      </c>
      <c r="B3015" s="6" t="s">
        <v>5182</v>
      </c>
      <c r="C3015" s="6" t="s">
        <v>11013</v>
      </c>
      <c r="D3015" s="24">
        <v>3847.885334046</v>
      </c>
      <c r="E3015" s="6" t="s">
        <v>5889</v>
      </c>
      <c r="F3015" s="6">
        <v>21</v>
      </c>
      <c r="G3015" s="8">
        <f t="shared" si="47"/>
        <v>3847.885334046</v>
      </c>
    </row>
    <row r="3016" spans="1:7" x14ac:dyDescent="0.3">
      <c r="A3016" s="14" t="str">
        <f>VLOOKUP(B3016,'Relacion codigos'!$A:$B,2,FALSE)</f>
        <v>7277</v>
      </c>
      <c r="B3016" s="6" t="s">
        <v>5183</v>
      </c>
      <c r="C3016" s="6" t="s">
        <v>11014</v>
      </c>
      <c r="D3016" s="24">
        <v>3847.885334046</v>
      </c>
      <c r="E3016" s="6" t="s">
        <v>5889</v>
      </c>
      <c r="F3016" s="6">
        <v>21</v>
      </c>
      <c r="G3016" s="8">
        <f t="shared" si="47"/>
        <v>3847.885334046</v>
      </c>
    </row>
    <row r="3017" spans="1:7" x14ac:dyDescent="0.3">
      <c r="A3017" s="14" t="str">
        <f>VLOOKUP(B3017,'Relacion codigos'!$A:$B,2,FALSE)</f>
        <v>7278</v>
      </c>
      <c r="B3017" s="6" t="s">
        <v>5184</v>
      </c>
      <c r="C3017" s="6" t="s">
        <v>11015</v>
      </c>
      <c r="D3017" s="24">
        <v>3847.885334046</v>
      </c>
      <c r="E3017" s="6" t="s">
        <v>5889</v>
      </c>
      <c r="F3017" s="6">
        <v>21</v>
      </c>
      <c r="G3017" s="8">
        <f t="shared" si="47"/>
        <v>3847.885334046</v>
      </c>
    </row>
    <row r="3018" spans="1:7" x14ac:dyDescent="0.3">
      <c r="A3018" s="14" t="str">
        <f>VLOOKUP(B3018,'Relacion codigos'!$A:$B,2,FALSE)</f>
        <v>9193</v>
      </c>
      <c r="B3018" s="6" t="s">
        <v>5240</v>
      </c>
      <c r="C3018" s="6" t="s">
        <v>8941</v>
      </c>
      <c r="D3018" s="24">
        <v>4613.8432314000001</v>
      </c>
      <c r="E3018" s="6" t="s">
        <v>5889</v>
      </c>
      <c r="F3018" s="6">
        <v>21</v>
      </c>
      <c r="G3018" s="8">
        <f t="shared" si="47"/>
        <v>4613.8432314000001</v>
      </c>
    </row>
    <row r="3019" spans="1:7" x14ac:dyDescent="0.3">
      <c r="A3019" s="14" t="e">
        <f>VLOOKUP(B3019,'Relacion codigos'!$A:$B,2,FALSE)</f>
        <v>#N/A</v>
      </c>
      <c r="B3019" s="6" t="s">
        <v>8942</v>
      </c>
      <c r="C3019" s="6" t="s">
        <v>8943</v>
      </c>
      <c r="D3019" s="24">
        <v>3861.5739341399999</v>
      </c>
      <c r="E3019" s="6" t="s">
        <v>5889</v>
      </c>
      <c r="F3019" s="6">
        <v>21</v>
      </c>
      <c r="G3019" s="8">
        <f t="shared" si="47"/>
        <v>3861.5739341399999</v>
      </c>
    </row>
    <row r="3020" spans="1:7" x14ac:dyDescent="0.3">
      <c r="A3020" s="14" t="str">
        <f>VLOOKUP(B3020,'Relacion codigos'!$A:$B,2,FALSE)</f>
        <v>7282</v>
      </c>
      <c r="B3020" s="6" t="s">
        <v>5185</v>
      </c>
      <c r="C3020" s="6" t="s">
        <v>9367</v>
      </c>
      <c r="D3020" s="24">
        <v>3847.885334046</v>
      </c>
      <c r="E3020" s="6" t="s">
        <v>5889</v>
      </c>
      <c r="F3020" s="6">
        <v>21</v>
      </c>
      <c r="G3020" s="8">
        <f t="shared" si="47"/>
        <v>3847.885334046</v>
      </c>
    </row>
    <row r="3021" spans="1:7" x14ac:dyDescent="0.3">
      <c r="A3021" s="14" t="str">
        <f>VLOOKUP(B3021,'Relacion codigos'!$A:$B,2,FALSE)</f>
        <v>7280</v>
      </c>
      <c r="B3021" s="6" t="s">
        <v>5186</v>
      </c>
      <c r="C3021" s="6" t="s">
        <v>9368</v>
      </c>
      <c r="D3021" s="24">
        <v>3847.885334046</v>
      </c>
      <c r="E3021" s="6" t="s">
        <v>5889</v>
      </c>
      <c r="F3021" s="6">
        <v>21</v>
      </c>
      <c r="G3021" s="8">
        <f t="shared" si="47"/>
        <v>3847.885334046</v>
      </c>
    </row>
    <row r="3022" spans="1:7" x14ac:dyDescent="0.3">
      <c r="A3022" s="14" t="str">
        <f>VLOOKUP(B3022,'Relacion codigos'!$A:$B,2,FALSE)</f>
        <v>7281</v>
      </c>
      <c r="B3022" s="6" t="s">
        <v>5187</v>
      </c>
      <c r="C3022" s="6" t="s">
        <v>9369</v>
      </c>
      <c r="D3022" s="24">
        <v>3847.8748468016001</v>
      </c>
      <c r="E3022" s="6" t="s">
        <v>5889</v>
      </c>
      <c r="F3022" s="6">
        <v>21</v>
      </c>
      <c r="G3022" s="8">
        <f t="shared" si="47"/>
        <v>3847.8748468016001</v>
      </c>
    </row>
    <row r="3023" spans="1:7" x14ac:dyDescent="0.3">
      <c r="A3023" s="14" t="str">
        <f>VLOOKUP(B3023,'Relacion codigos'!$A:$B,2,FALSE)</f>
        <v>5471</v>
      </c>
      <c r="B3023" s="6" t="s">
        <v>5090</v>
      </c>
      <c r="C3023" s="6" t="s">
        <v>512</v>
      </c>
      <c r="D3023" s="24">
        <v>3611.8069983859</v>
      </c>
      <c r="E3023" s="6" t="s">
        <v>5889</v>
      </c>
      <c r="F3023" s="6">
        <v>21</v>
      </c>
      <c r="G3023" s="8">
        <f t="shared" si="47"/>
        <v>3611.8069983859</v>
      </c>
    </row>
    <row r="3024" spans="1:7" x14ac:dyDescent="0.3">
      <c r="A3024" s="14" t="str">
        <f>VLOOKUP(B3024,'Relacion codigos'!$A:$B,2,FALSE)</f>
        <v>5161</v>
      </c>
      <c r="B3024" s="6" t="s">
        <v>5091</v>
      </c>
      <c r="C3024" s="6" t="s">
        <v>513</v>
      </c>
      <c r="D3024" s="24">
        <v>3611.8069983859</v>
      </c>
      <c r="E3024" s="6" t="s">
        <v>5889</v>
      </c>
      <c r="F3024" s="6">
        <v>21</v>
      </c>
      <c r="G3024" s="8">
        <f t="shared" si="47"/>
        <v>3611.8069983859</v>
      </c>
    </row>
    <row r="3025" spans="1:7" x14ac:dyDescent="0.3">
      <c r="A3025" s="14" t="str">
        <f>VLOOKUP(B3025,'Relacion codigos'!$A:$B,2,FALSE)</f>
        <v>7484</v>
      </c>
      <c r="B3025" s="6" t="s">
        <v>4808</v>
      </c>
      <c r="C3025" s="6" t="s">
        <v>10489</v>
      </c>
      <c r="D3025" s="24">
        <v>1672.11129345001</v>
      </c>
      <c r="E3025" s="6" t="s">
        <v>5889</v>
      </c>
      <c r="F3025" s="6">
        <v>21</v>
      </c>
      <c r="G3025" s="8">
        <f t="shared" si="47"/>
        <v>1672.11129345001</v>
      </c>
    </row>
    <row r="3026" spans="1:7" x14ac:dyDescent="0.3">
      <c r="A3026" s="14" t="str">
        <f>VLOOKUP(B3026,'Relacion codigos'!$A:$B,2,FALSE)</f>
        <v>3998</v>
      </c>
      <c r="B3026" s="6" t="s">
        <v>4802</v>
      </c>
      <c r="C3026" s="6" t="s">
        <v>13108</v>
      </c>
      <c r="D3026" s="24">
        <v>1672.11129345001</v>
      </c>
      <c r="E3026" s="6" t="s">
        <v>5889</v>
      </c>
      <c r="F3026" s="6">
        <v>21</v>
      </c>
      <c r="G3026" s="8">
        <f t="shared" si="47"/>
        <v>1672.11129345001</v>
      </c>
    </row>
    <row r="3027" spans="1:7" x14ac:dyDescent="0.3">
      <c r="A3027" s="14" t="str">
        <f>VLOOKUP(B3027,'Relacion codigos'!$A:$B,2,FALSE)</f>
        <v>6212</v>
      </c>
      <c r="B3027" s="6" t="s">
        <v>5092</v>
      </c>
      <c r="C3027" s="6" t="s">
        <v>514</v>
      </c>
      <c r="D3027" s="24">
        <v>2070.8853596771701</v>
      </c>
      <c r="E3027" s="6" t="s">
        <v>5889</v>
      </c>
      <c r="F3027" s="6">
        <v>21</v>
      </c>
      <c r="G3027" s="8">
        <f t="shared" si="47"/>
        <v>2070.8853596771701</v>
      </c>
    </row>
    <row r="3028" spans="1:7" x14ac:dyDescent="0.3">
      <c r="A3028" s="14" t="str">
        <f>VLOOKUP(B3028,'Relacion codigos'!$A:$B,2,FALSE)</f>
        <v>6214</v>
      </c>
      <c r="B3028" s="6" t="s">
        <v>5093</v>
      </c>
      <c r="C3028" s="6" t="s">
        <v>515</v>
      </c>
      <c r="D3028" s="24">
        <v>2070.8853596771701</v>
      </c>
      <c r="E3028" s="6" t="s">
        <v>5889</v>
      </c>
      <c r="F3028" s="6">
        <v>21</v>
      </c>
      <c r="G3028" s="8">
        <f t="shared" si="47"/>
        <v>2070.8853596771701</v>
      </c>
    </row>
    <row r="3029" spans="1:7" x14ac:dyDescent="0.3">
      <c r="A3029" s="14" t="str">
        <f>VLOOKUP(B3029,'Relacion codigos'!$A:$B,2,FALSE)</f>
        <v>6210</v>
      </c>
      <c r="B3029" s="6" t="s">
        <v>5095</v>
      </c>
      <c r="C3029" s="6" t="s">
        <v>516</v>
      </c>
      <c r="D3029" s="24">
        <v>1605.1859689146099</v>
      </c>
      <c r="E3029" s="6" t="s">
        <v>5889</v>
      </c>
      <c r="F3029" s="6">
        <v>21</v>
      </c>
      <c r="G3029" s="8">
        <f t="shared" si="47"/>
        <v>1605.1859689146099</v>
      </c>
    </row>
    <row r="3030" spans="1:7" x14ac:dyDescent="0.3">
      <c r="A3030" s="14" t="str">
        <f>VLOOKUP(B3030,'Relacion codigos'!$A:$B,2,FALSE)</f>
        <v>6213</v>
      </c>
      <c r="B3030" s="6" t="s">
        <v>5094</v>
      </c>
      <c r="C3030" s="6" t="s">
        <v>11301</v>
      </c>
      <c r="D3030" s="24">
        <v>2070.8853596771701</v>
      </c>
      <c r="E3030" s="6" t="s">
        <v>5889</v>
      </c>
      <c r="F3030" s="6">
        <v>21</v>
      </c>
      <c r="G3030" s="8">
        <f t="shared" si="47"/>
        <v>2070.8853596771701</v>
      </c>
    </row>
    <row r="3031" spans="1:7" x14ac:dyDescent="0.3">
      <c r="A3031" s="14" t="str">
        <f>VLOOKUP(B3031,'Relacion codigos'!$A:$B,2,FALSE)</f>
        <v>6211</v>
      </c>
      <c r="B3031" s="6" t="s">
        <v>5096</v>
      </c>
      <c r="C3031" s="6" t="s">
        <v>517</v>
      </c>
      <c r="D3031" s="24">
        <v>1605.1859689146099</v>
      </c>
      <c r="E3031" s="6" t="s">
        <v>5889</v>
      </c>
      <c r="F3031" s="6">
        <v>21</v>
      </c>
      <c r="G3031" s="8">
        <f t="shared" si="47"/>
        <v>1605.1859689146099</v>
      </c>
    </row>
    <row r="3032" spans="1:7" x14ac:dyDescent="0.3">
      <c r="A3032" s="14" t="str">
        <f>VLOOKUP(B3032,'Relacion codigos'!$A:$B,2,FALSE)</f>
        <v>7482</v>
      </c>
      <c r="B3032" s="6" t="s">
        <v>4809</v>
      </c>
      <c r="C3032" s="6" t="s">
        <v>10490</v>
      </c>
      <c r="D3032" s="24">
        <v>764.12877964800305</v>
      </c>
      <c r="E3032" s="6" t="s">
        <v>5889</v>
      </c>
      <c r="F3032" s="6">
        <v>21</v>
      </c>
      <c r="G3032" s="8">
        <f t="shared" si="47"/>
        <v>764.12877964800305</v>
      </c>
    </row>
    <row r="3033" spans="1:7" x14ac:dyDescent="0.3">
      <c r="A3033" s="14" t="str">
        <f>VLOOKUP(B3033,'Relacion codigos'!$A:$B,2,FALSE)</f>
        <v>7273</v>
      </c>
      <c r="B3033" s="6" t="s">
        <v>5188</v>
      </c>
      <c r="C3033" s="6" t="s">
        <v>9370</v>
      </c>
      <c r="D3033" s="24">
        <v>1492.5050499692099</v>
      </c>
      <c r="E3033" s="6" t="s">
        <v>5889</v>
      </c>
      <c r="F3033" s="6">
        <v>21</v>
      </c>
      <c r="G3033" s="8">
        <f t="shared" si="47"/>
        <v>1492.5050499692099</v>
      </c>
    </row>
    <row r="3034" spans="1:7" x14ac:dyDescent="0.3">
      <c r="A3034" s="14" t="str">
        <f>VLOOKUP(B3034,'Relacion codigos'!$A:$B,2,FALSE)</f>
        <v>7271</v>
      </c>
      <c r="B3034" s="6" t="s">
        <v>5189</v>
      </c>
      <c r="C3034" s="6" t="s">
        <v>9371</v>
      </c>
      <c r="D3034" s="24">
        <v>1492.5050499692099</v>
      </c>
      <c r="E3034" s="6" t="s">
        <v>5889</v>
      </c>
      <c r="F3034" s="6">
        <v>21</v>
      </c>
      <c r="G3034" s="8">
        <f t="shared" si="47"/>
        <v>1492.5050499692099</v>
      </c>
    </row>
    <row r="3035" spans="1:7" x14ac:dyDescent="0.3">
      <c r="A3035" s="14" t="str">
        <f>VLOOKUP(B3035,'Relacion codigos'!$A:$B,2,FALSE)</f>
        <v>7272</v>
      </c>
      <c r="B3035" s="6" t="s">
        <v>5190</v>
      </c>
      <c r="C3035" s="6" t="s">
        <v>9372</v>
      </c>
      <c r="D3035" s="24">
        <v>1492.5050499692099</v>
      </c>
      <c r="E3035" s="6" t="s">
        <v>5889</v>
      </c>
      <c r="F3035" s="6">
        <v>21</v>
      </c>
      <c r="G3035" s="8">
        <f t="shared" si="47"/>
        <v>1492.5050499692099</v>
      </c>
    </row>
    <row r="3036" spans="1:7" x14ac:dyDescent="0.3">
      <c r="A3036" s="14" t="str">
        <f>VLOOKUP(B3036,'Relacion codigos'!$A:$B,2,FALSE)</f>
        <v>5469</v>
      </c>
      <c r="B3036" s="6" t="s">
        <v>5097</v>
      </c>
      <c r="C3036" s="6" t="s">
        <v>518</v>
      </c>
      <c r="D3036" s="24">
        <v>1605.1859689146099</v>
      </c>
      <c r="E3036" s="6" t="s">
        <v>5889</v>
      </c>
      <c r="F3036" s="6">
        <v>21</v>
      </c>
      <c r="G3036" s="8">
        <f t="shared" si="47"/>
        <v>1605.1859689146099</v>
      </c>
    </row>
    <row r="3037" spans="1:7" x14ac:dyDescent="0.3">
      <c r="A3037" s="14" t="str">
        <f>VLOOKUP(B3037,'Relacion codigos'!$A:$B,2,FALSE)</f>
        <v>6347</v>
      </c>
      <c r="B3037" s="6" t="s">
        <v>5098</v>
      </c>
      <c r="C3037" s="6" t="s">
        <v>10491</v>
      </c>
      <c r="D3037" s="24">
        <v>2109.72109445664</v>
      </c>
      <c r="E3037" s="6" t="s">
        <v>5889</v>
      </c>
      <c r="F3037" s="6">
        <v>21</v>
      </c>
      <c r="G3037" s="8">
        <f t="shared" si="47"/>
        <v>2109.72109445664</v>
      </c>
    </row>
    <row r="3038" spans="1:7" x14ac:dyDescent="0.3">
      <c r="A3038" s="14" t="str">
        <f>VLOOKUP(B3038,'Relacion codigos'!$A:$B,2,FALSE)</f>
        <v>6346</v>
      </c>
      <c r="B3038" s="6" t="s">
        <v>5099</v>
      </c>
      <c r="C3038" s="6" t="s">
        <v>519</v>
      </c>
      <c r="D3038" s="24">
        <v>2109.72109445664</v>
      </c>
      <c r="E3038" s="6" t="s">
        <v>5889</v>
      </c>
      <c r="F3038" s="6">
        <v>21</v>
      </c>
      <c r="G3038" s="8">
        <f t="shared" si="47"/>
        <v>2109.72109445664</v>
      </c>
    </row>
    <row r="3039" spans="1:7" x14ac:dyDescent="0.3">
      <c r="A3039" s="14" t="str">
        <f>VLOOKUP(B3039,'Relacion codigos'!$A:$B,2,FALSE)</f>
        <v>5531</v>
      </c>
      <c r="B3039" s="6" t="s">
        <v>5100</v>
      </c>
      <c r="C3039" s="6" t="s">
        <v>520</v>
      </c>
      <c r="D3039" s="24">
        <v>1988.3979870979799</v>
      </c>
      <c r="E3039" s="6" t="s">
        <v>5889</v>
      </c>
      <c r="F3039" s="6">
        <v>21</v>
      </c>
      <c r="G3039" s="8">
        <f t="shared" si="47"/>
        <v>1988.3979870979799</v>
      </c>
    </row>
    <row r="3040" spans="1:7" x14ac:dyDescent="0.3">
      <c r="A3040" s="14" t="str">
        <f>VLOOKUP(B3040,'Relacion codigos'!$A:$B,2,FALSE)</f>
        <v>5125</v>
      </c>
      <c r="B3040" s="6" t="s">
        <v>4746</v>
      </c>
      <c r="C3040" s="6" t="s">
        <v>521</v>
      </c>
      <c r="D3040" s="24">
        <v>7260.4598609919803</v>
      </c>
      <c r="E3040" s="6" t="s">
        <v>5889</v>
      </c>
      <c r="F3040" s="6">
        <v>21</v>
      </c>
      <c r="G3040" s="8">
        <f t="shared" si="47"/>
        <v>7260.4598609919803</v>
      </c>
    </row>
    <row r="3041" spans="1:7" x14ac:dyDescent="0.3">
      <c r="A3041" s="14" t="str">
        <f>VLOOKUP(B3041,'Relacion codigos'!$A:$B,2,FALSE)</f>
        <v>5126</v>
      </c>
      <c r="B3041" s="6" t="s">
        <v>4747</v>
      </c>
      <c r="C3041" s="6" t="s">
        <v>522</v>
      </c>
      <c r="D3041" s="24">
        <v>7260.4598609919803</v>
      </c>
      <c r="E3041" s="6" t="s">
        <v>5889</v>
      </c>
      <c r="F3041" s="6">
        <v>21</v>
      </c>
      <c r="G3041" s="8">
        <f t="shared" si="47"/>
        <v>7260.4598609919803</v>
      </c>
    </row>
    <row r="3042" spans="1:7" x14ac:dyDescent="0.3">
      <c r="A3042" s="14" t="e">
        <f>VLOOKUP(B3042,'Relacion codigos'!$A:$B,2,FALSE)</f>
        <v>#N/A</v>
      </c>
      <c r="B3042" s="6" t="s">
        <v>11858</v>
      </c>
      <c r="C3042" s="6" t="s">
        <v>11859</v>
      </c>
      <c r="D3042" s="24">
        <v>1647.2500199999999</v>
      </c>
      <c r="E3042" s="6" t="s">
        <v>5889</v>
      </c>
      <c r="F3042" s="6">
        <v>10.5</v>
      </c>
      <c r="G3042" s="8">
        <f t="shared" si="47"/>
        <v>1647.2500199999999</v>
      </c>
    </row>
    <row r="3043" spans="1:7" x14ac:dyDescent="0.3">
      <c r="A3043" s="14" t="str">
        <f>VLOOKUP(B3043,'Relacion codigos'!$A:$B,2,FALSE)</f>
        <v>6343</v>
      </c>
      <c r="B3043" s="6" t="s">
        <v>5101</v>
      </c>
      <c r="C3043" s="6" t="s">
        <v>523</v>
      </c>
      <c r="D3043" s="24">
        <v>4622.2054138207804</v>
      </c>
      <c r="E3043" s="6" t="s">
        <v>5889</v>
      </c>
      <c r="F3043" s="6">
        <v>21</v>
      </c>
      <c r="G3043" s="8">
        <f t="shared" si="47"/>
        <v>4622.2054138207804</v>
      </c>
    </row>
    <row r="3044" spans="1:7" x14ac:dyDescent="0.3">
      <c r="A3044" s="14" t="str">
        <f>VLOOKUP(B3044,'Relacion codigos'!$A:$B,2,FALSE)</f>
        <v>6345</v>
      </c>
      <c r="B3044" s="6" t="s">
        <v>5102</v>
      </c>
      <c r="C3044" s="6" t="s">
        <v>524</v>
      </c>
      <c r="D3044" s="24">
        <v>4622.2054138207804</v>
      </c>
      <c r="E3044" s="6" t="s">
        <v>5889</v>
      </c>
      <c r="F3044" s="6">
        <v>21</v>
      </c>
      <c r="G3044" s="8">
        <f t="shared" si="47"/>
        <v>4622.2054138207804</v>
      </c>
    </row>
    <row r="3045" spans="1:7" x14ac:dyDescent="0.3">
      <c r="A3045" s="14" t="str">
        <f>VLOOKUP(B3045,'Relacion codigos'!$A:$B,2,FALSE)</f>
        <v>6344</v>
      </c>
      <c r="B3045" s="6" t="s">
        <v>5103</v>
      </c>
      <c r="C3045" s="6" t="s">
        <v>525</v>
      </c>
      <c r="D3045" s="24">
        <v>4622.2054138207804</v>
      </c>
      <c r="E3045" s="6" t="s">
        <v>5889</v>
      </c>
      <c r="F3045" s="6">
        <v>21</v>
      </c>
      <c r="G3045" s="8">
        <f t="shared" si="47"/>
        <v>4622.2054138207804</v>
      </c>
    </row>
    <row r="3046" spans="1:7" x14ac:dyDescent="0.3">
      <c r="A3046" s="14" t="str">
        <f>VLOOKUP(B3046,'Relacion codigos'!$A:$B,2,FALSE)</f>
        <v>5159</v>
      </c>
      <c r="B3046" s="6" t="s">
        <v>5104</v>
      </c>
      <c r="C3046" s="6" t="s">
        <v>526</v>
      </c>
      <c r="D3046" s="24">
        <v>2201.7409221998801</v>
      </c>
      <c r="E3046" s="6" t="s">
        <v>5889</v>
      </c>
      <c r="F3046" s="6">
        <v>21</v>
      </c>
      <c r="G3046" s="8">
        <f t="shared" si="47"/>
        <v>2201.7409221998801</v>
      </c>
    </row>
    <row r="3047" spans="1:7" x14ac:dyDescent="0.3">
      <c r="A3047" s="14" t="str">
        <f>VLOOKUP(B3047,'Relacion codigos'!$A:$B,2,FALSE)</f>
        <v>5160</v>
      </c>
      <c r="B3047" s="6" t="s">
        <v>5105</v>
      </c>
      <c r="C3047" s="6" t="s">
        <v>527</v>
      </c>
      <c r="D3047" s="24">
        <v>2201.7409221998801</v>
      </c>
      <c r="E3047" s="6" t="s">
        <v>5889</v>
      </c>
      <c r="F3047" s="6">
        <v>21</v>
      </c>
      <c r="G3047" s="8">
        <f t="shared" si="47"/>
        <v>2201.7409221998801</v>
      </c>
    </row>
    <row r="3048" spans="1:7" x14ac:dyDescent="0.3">
      <c r="A3048" s="14" t="str">
        <f>VLOOKUP(B3048,'Relacion codigos'!$A:$B,2,FALSE)</f>
        <v>9018</v>
      </c>
      <c r="B3048" s="6" t="s">
        <v>4749</v>
      </c>
      <c r="C3048" s="6" t="s">
        <v>1153</v>
      </c>
      <c r="D3048" s="24">
        <v>2279.7126819999999</v>
      </c>
      <c r="E3048" s="6" t="s">
        <v>5889</v>
      </c>
      <c r="F3048" s="6">
        <v>21</v>
      </c>
      <c r="G3048" s="8">
        <f t="shared" si="47"/>
        <v>2279.7126819999999</v>
      </c>
    </row>
    <row r="3049" spans="1:7" x14ac:dyDescent="0.3">
      <c r="A3049" s="14" t="str">
        <f>VLOOKUP(B3049,'Relacion codigos'!$A:$B,2,FALSE)</f>
        <v>5124</v>
      </c>
      <c r="B3049" s="6" t="s">
        <v>4750</v>
      </c>
      <c r="C3049" s="6" t="s">
        <v>1154</v>
      </c>
      <c r="D3049" s="24">
        <v>2279.7126819999999</v>
      </c>
      <c r="E3049" s="6" t="s">
        <v>5889</v>
      </c>
      <c r="F3049" s="6">
        <v>21</v>
      </c>
      <c r="G3049" s="8">
        <f t="shared" si="47"/>
        <v>2279.7126819999999</v>
      </c>
    </row>
    <row r="3050" spans="1:7" x14ac:dyDescent="0.3">
      <c r="A3050" s="14" t="str">
        <f>VLOOKUP(B3050,'Relacion codigos'!$A:$B,2,FALSE)</f>
        <v>1173</v>
      </c>
      <c r="B3050" s="6" t="s">
        <v>4748</v>
      </c>
      <c r="C3050" s="6" t="s">
        <v>11016</v>
      </c>
      <c r="D3050" s="24">
        <v>2279.7126819999999</v>
      </c>
      <c r="E3050" s="6" t="s">
        <v>5889</v>
      </c>
      <c r="F3050" s="6">
        <v>21</v>
      </c>
      <c r="G3050" s="8">
        <f t="shared" si="47"/>
        <v>2279.7126819999999</v>
      </c>
    </row>
    <row r="3051" spans="1:7" x14ac:dyDescent="0.3">
      <c r="A3051" s="14" t="str">
        <f>VLOOKUP(B3051,'Relacion codigos'!$A:$B,2,FALSE)</f>
        <v>491</v>
      </c>
      <c r="B3051" s="6" t="s">
        <v>4875</v>
      </c>
      <c r="C3051" s="6" t="s">
        <v>12205</v>
      </c>
      <c r="D3051" s="24">
        <v>3551.5192830000001</v>
      </c>
      <c r="E3051" s="6" t="s">
        <v>5889</v>
      </c>
      <c r="F3051" s="6">
        <v>21</v>
      </c>
      <c r="G3051" s="8">
        <f t="shared" si="47"/>
        <v>3551.5192830000001</v>
      </c>
    </row>
    <row r="3052" spans="1:7" x14ac:dyDescent="0.3">
      <c r="A3052" s="14" t="str">
        <f>VLOOKUP(B3052,'Relacion codigos'!$A:$B,2,FALSE)</f>
        <v>5163</v>
      </c>
      <c r="B3052" s="6" t="s">
        <v>5001</v>
      </c>
      <c r="C3052" s="6" t="s">
        <v>12206</v>
      </c>
      <c r="D3052" s="24">
        <v>2673.0719389698402</v>
      </c>
      <c r="E3052" s="6" t="s">
        <v>5889</v>
      </c>
      <c r="F3052" s="6">
        <v>21</v>
      </c>
      <c r="G3052" s="8">
        <f t="shared" si="47"/>
        <v>2673.0719389698402</v>
      </c>
    </row>
    <row r="3053" spans="1:7" x14ac:dyDescent="0.3">
      <c r="A3053" s="14" t="str">
        <f>VLOOKUP(B3053,'Relacion codigos'!$A:$B,2,FALSE)</f>
        <v>5450</v>
      </c>
      <c r="B3053" s="6" t="s">
        <v>5002</v>
      </c>
      <c r="C3053" s="6" t="s">
        <v>12207</v>
      </c>
      <c r="D3053" s="24">
        <v>2673.0719389698402</v>
      </c>
      <c r="E3053" s="6" t="s">
        <v>5889</v>
      </c>
      <c r="F3053" s="6">
        <v>21</v>
      </c>
      <c r="G3053" s="8">
        <f t="shared" si="47"/>
        <v>2673.0719389698402</v>
      </c>
    </row>
    <row r="3054" spans="1:7" x14ac:dyDescent="0.3">
      <c r="A3054" s="14" t="str">
        <f>VLOOKUP(B3054,'Relacion codigos'!$A:$B,2,FALSE)</f>
        <v>5164</v>
      </c>
      <c r="B3054" s="6" t="s">
        <v>5003</v>
      </c>
      <c r="C3054" s="6" t="s">
        <v>12208</v>
      </c>
      <c r="D3054" s="24">
        <v>2673.0719389698402</v>
      </c>
      <c r="E3054" s="6" t="s">
        <v>5889</v>
      </c>
      <c r="F3054" s="6">
        <v>21</v>
      </c>
      <c r="G3054" s="8">
        <f t="shared" si="47"/>
        <v>2673.0719389698402</v>
      </c>
    </row>
    <row r="3055" spans="1:7" x14ac:dyDescent="0.3">
      <c r="A3055" s="14" t="str">
        <f>VLOOKUP(B3055,'Relacion codigos'!$A:$B,2,FALSE)</f>
        <v>836</v>
      </c>
      <c r="B3055" s="6" t="s">
        <v>5004</v>
      </c>
      <c r="C3055" s="6" t="s">
        <v>528</v>
      </c>
      <c r="D3055" s="24">
        <v>1845.10264902116</v>
      </c>
      <c r="E3055" s="6" t="s">
        <v>5889</v>
      </c>
      <c r="F3055" s="6">
        <v>21</v>
      </c>
      <c r="G3055" s="8">
        <f t="shared" si="47"/>
        <v>1845.10264902116</v>
      </c>
    </row>
    <row r="3056" spans="1:7" x14ac:dyDescent="0.3">
      <c r="A3056" s="14" t="str">
        <f>VLOOKUP(B3056,'Relacion codigos'!$A:$B,2,FALSE)</f>
        <v>5589</v>
      </c>
      <c r="B3056" s="6" t="s">
        <v>4876</v>
      </c>
      <c r="C3056" s="6" t="s">
        <v>529</v>
      </c>
      <c r="D3056" s="24">
        <v>799.50744589233204</v>
      </c>
      <c r="E3056" s="6" t="s">
        <v>5889</v>
      </c>
      <c r="F3056" s="6">
        <v>21</v>
      </c>
      <c r="G3056" s="8">
        <f t="shared" si="47"/>
        <v>799.50744589233204</v>
      </c>
    </row>
    <row r="3057" spans="1:7" x14ac:dyDescent="0.3">
      <c r="A3057" s="14" t="str">
        <f>VLOOKUP(B3057,'Relacion codigos'!$A:$B,2,FALSE)</f>
        <v>5449</v>
      </c>
      <c r="B3057" s="6" t="s">
        <v>5005</v>
      </c>
      <c r="C3057" s="6" t="s">
        <v>530</v>
      </c>
      <c r="D3057" s="24">
        <v>1845.10264902116</v>
      </c>
      <c r="E3057" s="6" t="s">
        <v>5889</v>
      </c>
      <c r="F3057" s="6">
        <v>21</v>
      </c>
      <c r="G3057" s="8">
        <f t="shared" si="47"/>
        <v>1845.10264902116</v>
      </c>
    </row>
    <row r="3058" spans="1:7" x14ac:dyDescent="0.3">
      <c r="A3058" s="14" t="str">
        <f>VLOOKUP(B3058,'Relacion codigos'!$A:$B,2,FALSE)</f>
        <v>7291</v>
      </c>
      <c r="B3058" s="6" t="s">
        <v>5147</v>
      </c>
      <c r="C3058" s="6" t="s">
        <v>9373</v>
      </c>
      <c r="D3058" s="24">
        <v>3858.6502318572002</v>
      </c>
      <c r="E3058" s="6" t="s">
        <v>5889</v>
      </c>
      <c r="F3058" s="6">
        <v>21</v>
      </c>
      <c r="G3058" s="8">
        <f t="shared" si="47"/>
        <v>3858.6502318572002</v>
      </c>
    </row>
    <row r="3059" spans="1:7" x14ac:dyDescent="0.3">
      <c r="A3059" s="14" t="str">
        <f>VLOOKUP(B3059,'Relacion codigos'!$A:$B,2,FALSE)</f>
        <v>1021</v>
      </c>
      <c r="B3059" s="6" t="s">
        <v>4879</v>
      </c>
      <c r="C3059" s="6" t="s">
        <v>531</v>
      </c>
      <c r="D3059" s="24">
        <v>678.67467108015296</v>
      </c>
      <c r="E3059" s="6" t="s">
        <v>5889</v>
      </c>
      <c r="F3059" s="6">
        <v>21</v>
      </c>
      <c r="G3059" s="8">
        <f t="shared" si="47"/>
        <v>678.67467108015296</v>
      </c>
    </row>
    <row r="3060" spans="1:7" x14ac:dyDescent="0.3">
      <c r="A3060" s="14" t="str">
        <f>VLOOKUP(B3060,'Relacion codigos'!$A:$B,2,FALSE)</f>
        <v>7289</v>
      </c>
      <c r="B3060" s="6" t="s">
        <v>5148</v>
      </c>
      <c r="C3060" s="6" t="s">
        <v>13966</v>
      </c>
      <c r="D3060" s="24">
        <v>3858.6502318572002</v>
      </c>
      <c r="E3060" s="6" t="s">
        <v>5889</v>
      </c>
      <c r="F3060" s="6">
        <v>21</v>
      </c>
      <c r="G3060" s="8">
        <f t="shared" si="47"/>
        <v>3858.6502318572002</v>
      </c>
    </row>
    <row r="3061" spans="1:7" x14ac:dyDescent="0.3">
      <c r="A3061" s="14" t="str">
        <f>VLOOKUP(B3061,'Relacion codigos'!$A:$B,2,FALSE)</f>
        <v>7290</v>
      </c>
      <c r="B3061" s="6" t="s">
        <v>5149</v>
      </c>
      <c r="C3061" s="6" t="s">
        <v>9374</v>
      </c>
      <c r="D3061" s="24">
        <v>3858.6502318572002</v>
      </c>
      <c r="E3061" s="6" t="s">
        <v>5889</v>
      </c>
      <c r="F3061" s="6">
        <v>21</v>
      </c>
      <c r="G3061" s="8">
        <f t="shared" si="47"/>
        <v>3858.6502318572002</v>
      </c>
    </row>
    <row r="3062" spans="1:7" x14ac:dyDescent="0.3">
      <c r="A3062" s="14" t="str">
        <f>VLOOKUP(B3062,'Relacion codigos'!$A:$B,2,FALSE)</f>
        <v>5162</v>
      </c>
      <c r="B3062" s="6" t="s">
        <v>5006</v>
      </c>
      <c r="C3062" s="6" t="s">
        <v>532</v>
      </c>
      <c r="D3062" s="24">
        <v>1845.10264902116</v>
      </c>
      <c r="E3062" s="6" t="s">
        <v>5889</v>
      </c>
      <c r="F3062" s="6">
        <v>21</v>
      </c>
      <c r="G3062" s="8">
        <f t="shared" si="47"/>
        <v>1845.10264902116</v>
      </c>
    </row>
    <row r="3063" spans="1:7" x14ac:dyDescent="0.3">
      <c r="A3063" s="14" t="e">
        <f>VLOOKUP(B3063,'Relacion codigos'!$A:$B,2,FALSE)</f>
        <v>#N/A</v>
      </c>
      <c r="B3063" s="6" t="s">
        <v>12549</v>
      </c>
      <c r="C3063" s="6" t="s">
        <v>12550</v>
      </c>
      <c r="D3063" s="24">
        <v>35561.5220598983</v>
      </c>
      <c r="E3063" s="6" t="s">
        <v>5889</v>
      </c>
      <c r="F3063" s="6">
        <v>10.5</v>
      </c>
      <c r="G3063" s="8">
        <f t="shared" si="47"/>
        <v>35561.5220598983</v>
      </c>
    </row>
    <row r="3064" spans="1:7" x14ac:dyDescent="0.3">
      <c r="A3064" s="14" t="e">
        <f>VLOOKUP(B3064,'Relacion codigos'!$A:$B,2,FALSE)</f>
        <v>#N/A</v>
      </c>
      <c r="B3064" s="6" t="s">
        <v>12551</v>
      </c>
      <c r="C3064" s="6" t="s">
        <v>12552</v>
      </c>
      <c r="D3064" s="24">
        <v>35561.5220598983</v>
      </c>
      <c r="E3064" s="6" t="s">
        <v>5889</v>
      </c>
      <c r="F3064" s="6">
        <v>10.5</v>
      </c>
      <c r="G3064" s="8">
        <f t="shared" si="47"/>
        <v>35561.5220598983</v>
      </c>
    </row>
    <row r="3065" spans="1:7" x14ac:dyDescent="0.3">
      <c r="A3065" s="14" t="e">
        <f>VLOOKUP(B3065,'Relacion codigos'!$A:$B,2,FALSE)</f>
        <v>#N/A</v>
      </c>
      <c r="B3065" s="6" t="s">
        <v>10772</v>
      </c>
      <c r="C3065" s="6" t="s">
        <v>11380</v>
      </c>
      <c r="D3065" s="24">
        <v>23183.518800000002</v>
      </c>
      <c r="E3065" s="6" t="s">
        <v>5889</v>
      </c>
      <c r="F3065" s="6">
        <v>21</v>
      </c>
      <c r="G3065" s="8">
        <f t="shared" si="47"/>
        <v>23183.518800000002</v>
      </c>
    </row>
    <row r="3066" spans="1:7" x14ac:dyDescent="0.3">
      <c r="A3066" s="14" t="e">
        <f>VLOOKUP(B3066,'Relacion codigos'!$A:$B,2,FALSE)</f>
        <v>#N/A</v>
      </c>
      <c r="B3066" s="6" t="s">
        <v>10773</v>
      </c>
      <c r="C3066" s="6" t="s">
        <v>11381</v>
      </c>
      <c r="D3066" s="24">
        <v>23183.518800000002</v>
      </c>
      <c r="E3066" s="6" t="s">
        <v>5889</v>
      </c>
      <c r="F3066" s="6">
        <v>21</v>
      </c>
      <c r="G3066" s="8">
        <f t="shared" si="47"/>
        <v>23183.518800000002</v>
      </c>
    </row>
    <row r="3067" spans="1:7" x14ac:dyDescent="0.3">
      <c r="A3067" s="14" t="str">
        <f>VLOOKUP(B3067,'Relacion codigos'!$A:$B,2,FALSE)</f>
        <v>6862</v>
      </c>
      <c r="B3067" s="6" t="s">
        <v>5007</v>
      </c>
      <c r="C3067" s="6" t="s">
        <v>533</v>
      </c>
      <c r="D3067" s="24">
        <v>18639.882048718599</v>
      </c>
      <c r="E3067" s="6" t="s">
        <v>5889</v>
      </c>
      <c r="F3067" s="6">
        <v>10.5</v>
      </c>
      <c r="G3067" s="8">
        <f t="shared" si="47"/>
        <v>18639.882048718599</v>
      </c>
    </row>
    <row r="3068" spans="1:7" x14ac:dyDescent="0.3">
      <c r="A3068" s="14" t="str">
        <f>VLOOKUP(B3068,'Relacion codigos'!$A:$B,2,FALSE)</f>
        <v>6890</v>
      </c>
      <c r="B3068" s="6" t="s">
        <v>5008</v>
      </c>
      <c r="C3068" s="6" t="s">
        <v>534</v>
      </c>
      <c r="D3068" s="24">
        <v>18639.882048718599</v>
      </c>
      <c r="E3068" s="6" t="s">
        <v>5889</v>
      </c>
      <c r="F3068" s="6">
        <v>10.5</v>
      </c>
      <c r="G3068" s="8">
        <f t="shared" si="47"/>
        <v>18639.882048718599</v>
      </c>
    </row>
    <row r="3069" spans="1:7" x14ac:dyDescent="0.3">
      <c r="A3069" s="14" t="str">
        <f>VLOOKUP(B3069,'Relacion codigos'!$A:$B,2,FALSE)</f>
        <v>6889</v>
      </c>
      <c r="B3069" s="6" t="s">
        <v>5009</v>
      </c>
      <c r="C3069" s="6" t="s">
        <v>1270</v>
      </c>
      <c r="D3069" s="24">
        <v>18639.882048718599</v>
      </c>
      <c r="E3069" s="6" t="s">
        <v>5889</v>
      </c>
      <c r="F3069" s="6">
        <v>10.5</v>
      </c>
      <c r="G3069" s="8">
        <f t="shared" si="47"/>
        <v>18639.882048718599</v>
      </c>
    </row>
    <row r="3070" spans="1:7" x14ac:dyDescent="0.3">
      <c r="A3070" s="14" t="str">
        <f>VLOOKUP(B3070,'Relacion codigos'!$A:$B,2,FALSE)</f>
        <v>1172</v>
      </c>
      <c r="B3070" s="6" t="s">
        <v>4751</v>
      </c>
      <c r="C3070" s="6" t="s">
        <v>13021</v>
      </c>
      <c r="D3070" s="24">
        <v>2320.2065615040101</v>
      </c>
      <c r="E3070" s="6" t="s">
        <v>5889</v>
      </c>
      <c r="F3070" s="6">
        <v>21</v>
      </c>
      <c r="G3070" s="8">
        <f t="shared" si="47"/>
        <v>2320.2065615040101</v>
      </c>
    </row>
    <row r="3071" spans="1:7" x14ac:dyDescent="0.3">
      <c r="A3071" s="14" t="str">
        <f>VLOOKUP(B3071,'Relacion codigos'!$A:$B,2,FALSE)</f>
        <v>5009</v>
      </c>
      <c r="B3071" s="6" t="s">
        <v>4752</v>
      </c>
      <c r="C3071" s="6" t="s">
        <v>535</v>
      </c>
      <c r="D3071" s="24">
        <v>1098.589677536</v>
      </c>
      <c r="E3071" s="6" t="s">
        <v>5889</v>
      </c>
      <c r="F3071" s="6">
        <v>21</v>
      </c>
      <c r="G3071" s="8">
        <f t="shared" si="47"/>
        <v>1098.589677536</v>
      </c>
    </row>
    <row r="3072" spans="1:7" x14ac:dyDescent="0.3">
      <c r="A3072" s="14" t="str">
        <f>VLOOKUP(B3072,'Relacion codigos'!$A:$B,2,FALSE)</f>
        <v>5010</v>
      </c>
      <c r="B3072" s="6" t="s">
        <v>4753</v>
      </c>
      <c r="C3072" s="6" t="s">
        <v>536</v>
      </c>
      <c r="D3072" s="24">
        <v>1098.589677536</v>
      </c>
      <c r="E3072" s="6" t="s">
        <v>5889</v>
      </c>
      <c r="F3072" s="6">
        <v>21</v>
      </c>
      <c r="G3072" s="8">
        <f t="shared" si="47"/>
        <v>1098.589677536</v>
      </c>
    </row>
    <row r="3073" spans="1:7" x14ac:dyDescent="0.3">
      <c r="A3073" s="14" t="str">
        <f>VLOOKUP(B3073,'Relacion codigos'!$A:$B,2,FALSE)</f>
        <v>5011</v>
      </c>
      <c r="B3073" s="6" t="s">
        <v>4754</v>
      </c>
      <c r="C3073" s="6" t="s">
        <v>537</v>
      </c>
      <c r="D3073" s="24">
        <v>2132.2655024320102</v>
      </c>
      <c r="E3073" s="6" t="s">
        <v>5889</v>
      </c>
      <c r="F3073" s="6">
        <v>21</v>
      </c>
      <c r="G3073" s="8">
        <f t="shared" si="47"/>
        <v>2132.2655024320102</v>
      </c>
    </row>
    <row r="3074" spans="1:7" x14ac:dyDescent="0.3">
      <c r="A3074" s="14" t="str">
        <f>VLOOKUP(B3074,'Relacion codigos'!$A:$B,2,FALSE)</f>
        <v>5012</v>
      </c>
      <c r="B3074" s="6" t="s">
        <v>4755</v>
      </c>
      <c r="C3074" s="6" t="s">
        <v>538</v>
      </c>
      <c r="D3074" s="24">
        <v>2132.2655024320102</v>
      </c>
      <c r="E3074" s="6" t="s">
        <v>5889</v>
      </c>
      <c r="F3074" s="6">
        <v>21</v>
      </c>
      <c r="G3074" s="8">
        <f t="shared" ref="G3074:G3137" si="48">IF(E3074="Dolares",D3074*$G$1,D3074)</f>
        <v>2132.2655024320102</v>
      </c>
    </row>
    <row r="3075" spans="1:7" x14ac:dyDescent="0.3">
      <c r="A3075" s="14" t="str">
        <f>VLOOKUP(B3075,'Relacion codigos'!$A:$B,2,FALSE)</f>
        <v>7169</v>
      </c>
      <c r="B3075" s="6" t="s">
        <v>4730</v>
      </c>
      <c r="C3075" s="6" t="s">
        <v>9375</v>
      </c>
      <c r="D3075" s="24">
        <v>12364.5433599999</v>
      </c>
      <c r="E3075" s="6" t="s">
        <v>5889</v>
      </c>
      <c r="F3075" s="6">
        <v>21</v>
      </c>
      <c r="G3075" s="8">
        <f t="shared" si="48"/>
        <v>12364.5433599999</v>
      </c>
    </row>
    <row r="3076" spans="1:7" x14ac:dyDescent="0.3">
      <c r="A3076" s="14" t="str">
        <f>VLOOKUP(B3076,'Relacion codigos'!$A:$B,2,FALSE)</f>
        <v>9019</v>
      </c>
      <c r="B3076" s="6" t="s">
        <v>4731</v>
      </c>
      <c r="C3076" s="6" t="s">
        <v>9376</v>
      </c>
      <c r="D3076" s="24">
        <v>12364.5433599999</v>
      </c>
      <c r="E3076" s="6" t="s">
        <v>5889</v>
      </c>
      <c r="F3076" s="6">
        <v>21</v>
      </c>
      <c r="G3076" s="8">
        <f t="shared" si="48"/>
        <v>12364.5433599999</v>
      </c>
    </row>
    <row r="3077" spans="1:7" x14ac:dyDescent="0.3">
      <c r="A3077" s="14" t="str">
        <f>VLOOKUP(B3077,'Relacion codigos'!$A:$B,2,FALSE)</f>
        <v>8607</v>
      </c>
      <c r="B3077" s="6" t="s">
        <v>4732</v>
      </c>
      <c r="C3077" s="6" t="s">
        <v>9377</v>
      </c>
      <c r="D3077" s="24">
        <v>12364.5433599999</v>
      </c>
      <c r="E3077" s="6" t="s">
        <v>5889</v>
      </c>
      <c r="F3077" s="6">
        <v>21</v>
      </c>
      <c r="G3077" s="8">
        <f t="shared" si="48"/>
        <v>12364.5433599999</v>
      </c>
    </row>
    <row r="3078" spans="1:7" x14ac:dyDescent="0.3">
      <c r="A3078" s="14" t="str">
        <f>VLOOKUP(B3078,'Relacion codigos'!$A:$B,2,FALSE)</f>
        <v>8514</v>
      </c>
      <c r="B3078" s="6" t="s">
        <v>4733</v>
      </c>
      <c r="C3078" s="6" t="s">
        <v>9378</v>
      </c>
      <c r="D3078" s="24">
        <v>12364.5433599999</v>
      </c>
      <c r="E3078" s="6" t="s">
        <v>5889</v>
      </c>
      <c r="F3078" s="6">
        <v>21</v>
      </c>
      <c r="G3078" s="8">
        <f t="shared" si="48"/>
        <v>12364.5433599999</v>
      </c>
    </row>
    <row r="3079" spans="1:7" x14ac:dyDescent="0.3">
      <c r="A3079" s="14" t="str">
        <f>VLOOKUP(B3079,'Relacion codigos'!$A:$B,2,FALSE)</f>
        <v>8516</v>
      </c>
      <c r="B3079" s="6" t="s">
        <v>4727</v>
      </c>
      <c r="C3079" s="6" t="s">
        <v>9379</v>
      </c>
      <c r="D3079" s="24">
        <v>23183.5187999999</v>
      </c>
      <c r="E3079" s="6" t="s">
        <v>5889</v>
      </c>
      <c r="F3079" s="6">
        <v>21</v>
      </c>
      <c r="G3079" s="8">
        <f t="shared" si="48"/>
        <v>23183.5187999999</v>
      </c>
    </row>
    <row r="3080" spans="1:7" x14ac:dyDescent="0.3">
      <c r="A3080" s="14" t="str">
        <f>VLOOKUP(B3080,'Relacion codigos'!$A:$B,2,FALSE)</f>
        <v>8515</v>
      </c>
      <c r="B3080" s="6" t="s">
        <v>4735</v>
      </c>
      <c r="C3080" s="6" t="s">
        <v>9380</v>
      </c>
      <c r="D3080" s="24">
        <v>23183.5187999999</v>
      </c>
      <c r="E3080" s="6" t="s">
        <v>5889</v>
      </c>
      <c r="F3080" s="6">
        <v>21</v>
      </c>
      <c r="G3080" s="8">
        <f t="shared" si="48"/>
        <v>23183.5187999999</v>
      </c>
    </row>
    <row r="3081" spans="1:7" x14ac:dyDescent="0.3">
      <c r="A3081" s="14" t="str">
        <f>VLOOKUP(B3081,'Relacion codigos'!$A:$B,2,FALSE)</f>
        <v>5185</v>
      </c>
      <c r="B3081" s="6" t="s">
        <v>5010</v>
      </c>
      <c r="C3081" s="6" t="s">
        <v>1110</v>
      </c>
      <c r="D3081" s="24">
        <v>20659.379213251799</v>
      </c>
      <c r="E3081" s="6" t="s">
        <v>5889</v>
      </c>
      <c r="F3081" s="6">
        <v>10.5</v>
      </c>
      <c r="G3081" s="8">
        <f t="shared" si="48"/>
        <v>20659.379213251799</v>
      </c>
    </row>
    <row r="3082" spans="1:7" x14ac:dyDescent="0.3">
      <c r="A3082" s="14" t="str">
        <f>VLOOKUP(B3082,'Relacion codigos'!$A:$B,2,FALSE)</f>
        <v>5455</v>
      </c>
      <c r="B3082" s="6" t="s">
        <v>5011</v>
      </c>
      <c r="C3082" s="6" t="s">
        <v>5012</v>
      </c>
      <c r="D3082" s="24">
        <v>20659.379213251799</v>
      </c>
      <c r="E3082" s="6" t="s">
        <v>5889</v>
      </c>
      <c r="F3082" s="6">
        <v>10.5</v>
      </c>
      <c r="G3082" s="8">
        <f t="shared" si="48"/>
        <v>20659.379213251799</v>
      </c>
    </row>
    <row r="3083" spans="1:7" x14ac:dyDescent="0.3">
      <c r="A3083" s="14" t="str">
        <f>VLOOKUP(B3083,'Relacion codigos'!$A:$B,2,FALSE)</f>
        <v>5186</v>
      </c>
      <c r="B3083" s="6" t="s">
        <v>5013</v>
      </c>
      <c r="C3083" s="6" t="s">
        <v>5014</v>
      </c>
      <c r="D3083" s="24">
        <v>20659.379213251901</v>
      </c>
      <c r="E3083" s="6" t="s">
        <v>5889</v>
      </c>
      <c r="F3083" s="6">
        <v>10.5</v>
      </c>
      <c r="G3083" s="8">
        <f t="shared" si="48"/>
        <v>20659.379213251901</v>
      </c>
    </row>
    <row r="3084" spans="1:7" x14ac:dyDescent="0.3">
      <c r="A3084" s="14" t="e">
        <f>VLOOKUP(B3084,'Relacion codigos'!$A:$B,2,FALSE)</f>
        <v>#N/A</v>
      </c>
      <c r="B3084" s="6" t="s">
        <v>12851</v>
      </c>
      <c r="C3084" s="6" t="s">
        <v>12852</v>
      </c>
      <c r="D3084" s="24">
        <v>30652.129864664701</v>
      </c>
      <c r="E3084" s="6" t="s">
        <v>5889</v>
      </c>
      <c r="F3084" s="6">
        <v>10.5</v>
      </c>
      <c r="G3084" s="8">
        <f t="shared" si="48"/>
        <v>30652.129864664701</v>
      </c>
    </row>
    <row r="3085" spans="1:7" x14ac:dyDescent="0.3">
      <c r="A3085" s="14" t="e">
        <f>VLOOKUP(B3085,'Relacion codigos'!$A:$B,2,FALSE)</f>
        <v>#N/A</v>
      </c>
      <c r="B3085" s="6" t="s">
        <v>12853</v>
      </c>
      <c r="C3085" s="6" t="s">
        <v>12854</v>
      </c>
      <c r="D3085" s="24">
        <v>30652.129864664701</v>
      </c>
      <c r="E3085" s="6" t="s">
        <v>5889</v>
      </c>
      <c r="F3085" s="6">
        <v>10.5</v>
      </c>
      <c r="G3085" s="8">
        <f t="shared" si="48"/>
        <v>30652.129864664701</v>
      </c>
    </row>
    <row r="3086" spans="1:7" x14ac:dyDescent="0.3">
      <c r="A3086" s="14" t="e">
        <f>VLOOKUP(B3086,'Relacion codigos'!$A:$B,2,FALSE)</f>
        <v>#N/A</v>
      </c>
      <c r="B3086" s="6" t="s">
        <v>13201</v>
      </c>
      <c r="C3086" s="6" t="s">
        <v>13202</v>
      </c>
      <c r="D3086" s="24">
        <v>26305.126379138299</v>
      </c>
      <c r="E3086" s="6" t="s">
        <v>5889</v>
      </c>
      <c r="F3086" s="6">
        <v>10.5</v>
      </c>
      <c r="G3086" s="8">
        <f t="shared" si="48"/>
        <v>26305.126379138299</v>
      </c>
    </row>
    <row r="3087" spans="1:7" x14ac:dyDescent="0.3">
      <c r="A3087" s="14" t="e">
        <f>VLOOKUP(B3087,'Relacion codigos'!$A:$B,2,FALSE)</f>
        <v>#N/A</v>
      </c>
      <c r="B3087" s="6" t="s">
        <v>13203</v>
      </c>
      <c r="C3087" s="6" t="s">
        <v>13204</v>
      </c>
      <c r="D3087" s="24">
        <v>26305.126379138299</v>
      </c>
      <c r="E3087" s="6" t="s">
        <v>5889</v>
      </c>
      <c r="F3087" s="6">
        <v>10.5</v>
      </c>
      <c r="G3087" s="8">
        <f t="shared" si="48"/>
        <v>26305.126379138299</v>
      </c>
    </row>
    <row r="3088" spans="1:7" x14ac:dyDescent="0.3">
      <c r="A3088" s="14" t="e">
        <f>VLOOKUP(B3088,'Relacion codigos'!$A:$B,2,FALSE)</f>
        <v>#N/A</v>
      </c>
      <c r="B3088" s="6" t="s">
        <v>13070</v>
      </c>
      <c r="C3088" s="6" t="s">
        <v>13071</v>
      </c>
      <c r="D3088" s="24">
        <v>36534.893972307902</v>
      </c>
      <c r="E3088" s="6" t="s">
        <v>5889</v>
      </c>
      <c r="F3088" s="6">
        <v>10.5</v>
      </c>
      <c r="G3088" s="8">
        <f t="shared" si="48"/>
        <v>36534.893972307902</v>
      </c>
    </row>
    <row r="3089" spans="1:7" x14ac:dyDescent="0.3">
      <c r="A3089" s="14" t="e">
        <f>VLOOKUP(B3089,'Relacion codigos'!$A:$B,2,FALSE)</f>
        <v>#N/A</v>
      </c>
      <c r="B3089" s="6" t="s">
        <v>13072</v>
      </c>
      <c r="C3089" s="6" t="s">
        <v>13073</v>
      </c>
      <c r="D3089" s="24">
        <v>36534.893972307902</v>
      </c>
      <c r="E3089" s="6" t="s">
        <v>5889</v>
      </c>
      <c r="F3089" s="6">
        <v>10.5</v>
      </c>
      <c r="G3089" s="8">
        <f t="shared" si="48"/>
        <v>36534.893972307902</v>
      </c>
    </row>
    <row r="3090" spans="1:7" x14ac:dyDescent="0.3">
      <c r="A3090" s="14" t="str">
        <f>VLOOKUP(B3090,'Relacion codigos'!$A:$B,2,FALSE)</f>
        <v>7296</v>
      </c>
      <c r="B3090" s="6" t="s">
        <v>5150</v>
      </c>
      <c r="C3090" s="6" t="s">
        <v>9381</v>
      </c>
      <c r="D3090" s="24">
        <v>15217.6894273404</v>
      </c>
      <c r="E3090" s="6" t="s">
        <v>5889</v>
      </c>
      <c r="F3090" s="6">
        <v>21</v>
      </c>
      <c r="G3090" s="8">
        <f t="shared" si="48"/>
        <v>15217.6894273404</v>
      </c>
    </row>
    <row r="3091" spans="1:7" x14ac:dyDescent="0.3">
      <c r="A3091" s="14" t="str">
        <f>VLOOKUP(B3091,'Relacion codigos'!$A:$B,2,FALSE)</f>
        <v>7294</v>
      </c>
      <c r="B3091" s="6" t="s">
        <v>5151</v>
      </c>
      <c r="C3091" s="6" t="s">
        <v>9382</v>
      </c>
      <c r="D3091" s="24">
        <v>15217.6894273404</v>
      </c>
      <c r="E3091" s="6" t="s">
        <v>5889</v>
      </c>
      <c r="F3091" s="6">
        <v>21</v>
      </c>
      <c r="G3091" s="8">
        <f t="shared" si="48"/>
        <v>15217.6894273404</v>
      </c>
    </row>
    <row r="3092" spans="1:7" x14ac:dyDescent="0.3">
      <c r="A3092" s="14" t="str">
        <f>VLOOKUP(B3092,'Relacion codigos'!$A:$B,2,FALSE)</f>
        <v>7295</v>
      </c>
      <c r="B3092" s="6" t="s">
        <v>5152</v>
      </c>
      <c r="C3092" s="6" t="s">
        <v>9383</v>
      </c>
      <c r="D3092" s="24">
        <v>15217.6894273404</v>
      </c>
      <c r="E3092" s="6" t="s">
        <v>5889</v>
      </c>
      <c r="F3092" s="6">
        <v>21</v>
      </c>
      <c r="G3092" s="8">
        <f t="shared" si="48"/>
        <v>15217.6894273404</v>
      </c>
    </row>
    <row r="3093" spans="1:7" x14ac:dyDescent="0.3">
      <c r="A3093" s="14" t="str">
        <f>VLOOKUP(B3093,'Relacion codigos'!$A:$B,2,FALSE)</f>
        <v>5014</v>
      </c>
      <c r="B3093" s="6" t="s">
        <v>4757</v>
      </c>
      <c r="C3093" s="6" t="s">
        <v>9907</v>
      </c>
      <c r="D3093" s="24">
        <v>17387.639099999898</v>
      </c>
      <c r="E3093" s="6" t="s">
        <v>5889</v>
      </c>
      <c r="F3093" s="6">
        <v>21</v>
      </c>
      <c r="G3093" s="8">
        <f t="shared" si="48"/>
        <v>17387.639099999898</v>
      </c>
    </row>
    <row r="3094" spans="1:7" x14ac:dyDescent="0.3">
      <c r="A3094" s="14" t="str">
        <f>VLOOKUP(B3094,'Relacion codigos'!$A:$B,2,FALSE)</f>
        <v>5015</v>
      </c>
      <c r="B3094" s="6" t="s">
        <v>4758</v>
      </c>
      <c r="C3094" s="6" t="s">
        <v>9908</v>
      </c>
      <c r="D3094" s="24">
        <v>17387.639099999898</v>
      </c>
      <c r="E3094" s="6" t="s">
        <v>5889</v>
      </c>
      <c r="F3094" s="6">
        <v>21</v>
      </c>
      <c r="G3094" s="8">
        <f t="shared" si="48"/>
        <v>17387.639099999898</v>
      </c>
    </row>
    <row r="3095" spans="1:7" x14ac:dyDescent="0.3">
      <c r="A3095" s="14" t="str">
        <f>VLOOKUP(B3095,'Relacion codigos'!$A:$B,2,FALSE)</f>
        <v>1175</v>
      </c>
      <c r="B3095" s="6" t="s">
        <v>4767</v>
      </c>
      <c r="C3095" s="6" t="s">
        <v>9909</v>
      </c>
      <c r="D3095" s="24">
        <v>17387.639099999898</v>
      </c>
      <c r="E3095" s="6" t="s">
        <v>5889</v>
      </c>
      <c r="F3095" s="6">
        <v>21</v>
      </c>
      <c r="G3095" s="8">
        <f t="shared" si="48"/>
        <v>17387.639099999898</v>
      </c>
    </row>
    <row r="3096" spans="1:7" x14ac:dyDescent="0.3">
      <c r="A3096" s="14" t="str">
        <f>VLOOKUP(B3096,'Relacion codigos'!$A:$B,2,FALSE)</f>
        <v>9196</v>
      </c>
      <c r="B3096" s="6" t="s">
        <v>5220</v>
      </c>
      <c r="C3096" s="6" t="s">
        <v>9910</v>
      </c>
      <c r="D3096" s="24">
        <v>11313.4255858</v>
      </c>
      <c r="E3096" s="6" t="s">
        <v>5889</v>
      </c>
      <c r="F3096" s="6">
        <v>10.5</v>
      </c>
      <c r="G3096" s="8">
        <f t="shared" si="48"/>
        <v>11313.4255858</v>
      </c>
    </row>
    <row r="3097" spans="1:7" x14ac:dyDescent="0.3">
      <c r="A3097" s="14" t="str">
        <f>VLOOKUP(B3097,'Relacion codigos'!$A:$B,2,FALSE)</f>
        <v>7299</v>
      </c>
      <c r="B3097" s="6" t="s">
        <v>5153</v>
      </c>
      <c r="C3097" s="6" t="s">
        <v>9911</v>
      </c>
      <c r="D3097" s="24">
        <v>17701.749137638799</v>
      </c>
      <c r="E3097" s="6" t="s">
        <v>5889</v>
      </c>
      <c r="F3097" s="6">
        <v>21</v>
      </c>
      <c r="G3097" s="8">
        <f t="shared" si="48"/>
        <v>17701.749137638799</v>
      </c>
    </row>
    <row r="3098" spans="1:7" x14ac:dyDescent="0.3">
      <c r="A3098" s="14" t="str">
        <f>VLOOKUP(B3098,'Relacion codigos'!$A:$B,2,FALSE)</f>
        <v>5187</v>
      </c>
      <c r="B3098" s="6" t="s">
        <v>5015</v>
      </c>
      <c r="C3098" s="6" t="s">
        <v>9912</v>
      </c>
      <c r="D3098" s="24">
        <v>30652.302421450098</v>
      </c>
      <c r="E3098" s="6" t="s">
        <v>5889</v>
      </c>
      <c r="F3098" s="6">
        <v>10.5</v>
      </c>
      <c r="G3098" s="8">
        <f t="shared" si="48"/>
        <v>30652.302421450098</v>
      </c>
    </row>
    <row r="3099" spans="1:7" x14ac:dyDescent="0.3">
      <c r="A3099" s="14" t="str">
        <f>VLOOKUP(B3099,'Relacion codigos'!$A:$B,2,FALSE)</f>
        <v>7297</v>
      </c>
      <c r="B3099" s="6" t="s">
        <v>5154</v>
      </c>
      <c r="C3099" s="6" t="s">
        <v>9913</v>
      </c>
      <c r="D3099" s="24">
        <v>17701.749137638799</v>
      </c>
      <c r="E3099" s="6" t="s">
        <v>5889</v>
      </c>
      <c r="F3099" s="6">
        <v>21</v>
      </c>
      <c r="G3099" s="8">
        <f t="shared" si="48"/>
        <v>17701.749137638799</v>
      </c>
    </row>
    <row r="3100" spans="1:7" x14ac:dyDescent="0.3">
      <c r="A3100" s="14" t="str">
        <f>VLOOKUP(B3100,'Relacion codigos'!$A:$B,2,FALSE)</f>
        <v>7298</v>
      </c>
      <c r="B3100" s="6" t="s">
        <v>5155</v>
      </c>
      <c r="C3100" s="6" t="s">
        <v>9914</v>
      </c>
      <c r="D3100" s="24">
        <v>17701.749137638799</v>
      </c>
      <c r="E3100" s="6" t="s">
        <v>5889</v>
      </c>
      <c r="F3100" s="6">
        <v>21</v>
      </c>
      <c r="G3100" s="8">
        <f t="shared" si="48"/>
        <v>17701.749137638799</v>
      </c>
    </row>
    <row r="3101" spans="1:7" x14ac:dyDescent="0.3">
      <c r="A3101" s="14" t="str">
        <f>VLOOKUP(B3101,'Relacion codigos'!$A:$B,2,FALSE)</f>
        <v>5454</v>
      </c>
      <c r="B3101" s="6" t="s">
        <v>5016</v>
      </c>
      <c r="C3101" s="6" t="s">
        <v>9915</v>
      </c>
      <c r="D3101" s="24">
        <v>30652.302421450098</v>
      </c>
      <c r="E3101" s="6" t="s">
        <v>5889</v>
      </c>
      <c r="F3101" s="6">
        <v>10.5</v>
      </c>
      <c r="G3101" s="8">
        <f t="shared" si="48"/>
        <v>30652.302421450098</v>
      </c>
    </row>
    <row r="3102" spans="1:7" x14ac:dyDescent="0.3">
      <c r="A3102" s="14" t="str">
        <f>VLOOKUP(B3102,'Relacion codigos'!$A:$B,2,FALSE)</f>
        <v>5188</v>
      </c>
      <c r="B3102" s="6" t="s">
        <v>5017</v>
      </c>
      <c r="C3102" s="6" t="s">
        <v>9916</v>
      </c>
      <c r="D3102" s="24">
        <v>30652.302421450098</v>
      </c>
      <c r="E3102" s="6" t="s">
        <v>5889</v>
      </c>
      <c r="F3102" s="6">
        <v>10.5</v>
      </c>
      <c r="G3102" s="8">
        <f t="shared" si="48"/>
        <v>30652.302421450098</v>
      </c>
    </row>
    <row r="3103" spans="1:7" x14ac:dyDescent="0.3">
      <c r="A3103" s="14" t="str">
        <f>VLOOKUP(B3103,'Relacion codigos'!$A:$B,2,FALSE)</f>
        <v>5013</v>
      </c>
      <c r="B3103" s="6" t="s">
        <v>4756</v>
      </c>
      <c r="C3103" s="6" t="s">
        <v>9886</v>
      </c>
      <c r="D3103" s="24">
        <v>17387.639099999898</v>
      </c>
      <c r="E3103" s="6" t="s">
        <v>5889</v>
      </c>
      <c r="F3103" s="6">
        <v>21</v>
      </c>
      <c r="G3103" s="8">
        <f t="shared" si="48"/>
        <v>17387.639099999898</v>
      </c>
    </row>
    <row r="3104" spans="1:7" x14ac:dyDescent="0.3">
      <c r="A3104" s="14" t="str">
        <f>VLOOKUP(B3104,'Relacion codigos'!$A:$B,2,FALSE)</f>
        <v>1174</v>
      </c>
      <c r="B3104" s="6" t="s">
        <v>4766</v>
      </c>
      <c r="C3104" s="6" t="s">
        <v>9887</v>
      </c>
      <c r="D3104" s="24">
        <v>17387.639099999898</v>
      </c>
      <c r="E3104" s="6" t="s">
        <v>5889</v>
      </c>
      <c r="F3104" s="6">
        <v>21</v>
      </c>
      <c r="G3104" s="8">
        <f t="shared" si="48"/>
        <v>17387.639099999898</v>
      </c>
    </row>
    <row r="3105" spans="1:7" x14ac:dyDescent="0.3">
      <c r="A3105" s="14" t="str">
        <f>VLOOKUP(B3105,'Relacion codigos'!$A:$B,2,FALSE)</f>
        <v>5127</v>
      </c>
      <c r="B3105" s="6" t="s">
        <v>4738</v>
      </c>
      <c r="C3105" s="6" t="s">
        <v>9888</v>
      </c>
      <c r="D3105" s="24">
        <v>17387.639099999898</v>
      </c>
      <c r="E3105" s="6" t="s">
        <v>5889</v>
      </c>
      <c r="F3105" s="6">
        <v>21</v>
      </c>
      <c r="G3105" s="8">
        <f t="shared" si="48"/>
        <v>17387.639099999898</v>
      </c>
    </row>
    <row r="3106" spans="1:7" x14ac:dyDescent="0.3">
      <c r="A3106" s="14" t="e">
        <f>VLOOKUP(B3106,'Relacion codigos'!$A:$B,2,FALSE)</f>
        <v>#N/A</v>
      </c>
      <c r="B3106" s="6" t="s">
        <v>8797</v>
      </c>
      <c r="C3106" s="6" t="s">
        <v>10492</v>
      </c>
      <c r="D3106" s="24">
        <v>20865.166920000102</v>
      </c>
      <c r="E3106" s="6" t="s">
        <v>5889</v>
      </c>
      <c r="F3106" s="6">
        <v>21</v>
      </c>
      <c r="G3106" s="8">
        <f t="shared" si="48"/>
        <v>20865.166920000102</v>
      </c>
    </row>
    <row r="3107" spans="1:7" x14ac:dyDescent="0.3">
      <c r="A3107" s="14" t="e">
        <f>VLOOKUP(B3107,'Relacion codigos'!$A:$B,2,FALSE)</f>
        <v>#N/A</v>
      </c>
      <c r="B3107" s="6" t="s">
        <v>8798</v>
      </c>
      <c r="C3107" s="6" t="s">
        <v>9889</v>
      </c>
      <c r="D3107" s="24">
        <v>20865.166920000102</v>
      </c>
      <c r="E3107" s="6" t="s">
        <v>5889</v>
      </c>
      <c r="F3107" s="6">
        <v>21</v>
      </c>
      <c r="G3107" s="8">
        <f t="shared" si="48"/>
        <v>20865.166920000102</v>
      </c>
    </row>
    <row r="3108" spans="1:7" x14ac:dyDescent="0.3">
      <c r="A3108" s="14" t="e">
        <f>VLOOKUP(B3108,'Relacion codigos'!$A:$B,2,FALSE)</f>
        <v>#N/A</v>
      </c>
      <c r="B3108" s="6" t="s">
        <v>13976</v>
      </c>
      <c r="C3108" s="6" t="s">
        <v>13977</v>
      </c>
      <c r="D3108" s="24">
        <v>632.13727927999901</v>
      </c>
      <c r="E3108" s="6" t="s">
        <v>5889</v>
      </c>
      <c r="F3108" s="6">
        <v>21</v>
      </c>
      <c r="G3108" s="8">
        <f t="shared" si="48"/>
        <v>632.13727927999901</v>
      </c>
    </row>
    <row r="3109" spans="1:7" x14ac:dyDescent="0.3">
      <c r="A3109" s="14" t="e">
        <f>VLOOKUP(B3109,'Relacion codigos'!$A:$B,2,FALSE)</f>
        <v>#N/A</v>
      </c>
      <c r="B3109" s="6" t="s">
        <v>8944</v>
      </c>
      <c r="C3109" s="6" t="s">
        <v>8945</v>
      </c>
      <c r="D3109" s="24">
        <v>277.22129239999998</v>
      </c>
      <c r="E3109" s="6" t="s">
        <v>5889</v>
      </c>
      <c r="F3109" s="6">
        <v>21</v>
      </c>
      <c r="G3109" s="8">
        <f t="shared" si="48"/>
        <v>277.22129239999998</v>
      </c>
    </row>
    <row r="3110" spans="1:7" x14ac:dyDescent="0.3">
      <c r="A3110" s="14" t="e">
        <f>VLOOKUP(B3110,'Relacion codigos'!$A:$B,2,FALSE)</f>
        <v>#N/A</v>
      </c>
      <c r="B3110" s="6" t="s">
        <v>8946</v>
      </c>
      <c r="C3110" s="6" t="s">
        <v>8947</v>
      </c>
      <c r="D3110" s="24">
        <v>277.22129239999998</v>
      </c>
      <c r="E3110" s="6" t="s">
        <v>5889</v>
      </c>
      <c r="F3110" s="6">
        <v>21</v>
      </c>
      <c r="G3110" s="8">
        <f t="shared" si="48"/>
        <v>277.22129239999998</v>
      </c>
    </row>
    <row r="3111" spans="1:7" x14ac:dyDescent="0.3">
      <c r="A3111" s="14" t="str">
        <f>VLOOKUP(B3111,'Relacion codigos'!$A:$B,2,FALSE)</f>
        <v>8964</v>
      </c>
      <c r="B3111" s="6" t="s">
        <v>1730</v>
      </c>
      <c r="C3111" s="6" t="s">
        <v>13750</v>
      </c>
      <c r="D3111" s="24">
        <v>2826.8291479999998</v>
      </c>
      <c r="E3111" s="6" t="s">
        <v>5889</v>
      </c>
      <c r="F3111" s="6">
        <v>21</v>
      </c>
      <c r="G3111" s="8">
        <f t="shared" si="48"/>
        <v>2826.8291479999998</v>
      </c>
    </row>
    <row r="3112" spans="1:7" x14ac:dyDescent="0.3">
      <c r="A3112" s="14" t="str">
        <f>VLOOKUP(B3112,'Relacion codigos'!$A:$B,2,FALSE)</f>
        <v>1113</v>
      </c>
      <c r="B3112" s="6" t="s">
        <v>1747</v>
      </c>
      <c r="C3112" s="6" t="s">
        <v>9746</v>
      </c>
      <c r="D3112" s="24">
        <v>4192.6514915999996</v>
      </c>
      <c r="E3112" s="6" t="s">
        <v>5889</v>
      </c>
      <c r="F3112" s="6">
        <v>21</v>
      </c>
      <c r="G3112" s="8">
        <f t="shared" si="48"/>
        <v>4192.6514915999996</v>
      </c>
    </row>
    <row r="3113" spans="1:7" x14ac:dyDescent="0.3">
      <c r="A3113" s="14" t="str">
        <f>VLOOKUP(B3113,'Relacion codigos'!$A:$B,2,FALSE)</f>
        <v>9130</v>
      </c>
      <c r="B3113" s="6" t="s">
        <v>1746</v>
      </c>
      <c r="C3113" s="6" t="s">
        <v>8867</v>
      </c>
      <c r="D3113" s="24">
        <v>4973.865468</v>
      </c>
      <c r="E3113" s="6" t="s">
        <v>5889</v>
      </c>
      <c r="F3113" s="6">
        <v>21</v>
      </c>
      <c r="G3113" s="8">
        <f t="shared" si="48"/>
        <v>4973.865468</v>
      </c>
    </row>
    <row r="3114" spans="1:7" x14ac:dyDescent="0.3">
      <c r="A3114" s="14" t="e">
        <f>VLOOKUP(B3114,'Relacion codigos'!$A:$B,2,FALSE)</f>
        <v>#N/A</v>
      </c>
      <c r="B3114" s="6" t="s">
        <v>9664</v>
      </c>
      <c r="C3114" s="6" t="s">
        <v>9665</v>
      </c>
      <c r="D3114" s="24">
        <v>6753.4023699999998</v>
      </c>
      <c r="E3114" s="6" t="s">
        <v>5889</v>
      </c>
      <c r="F3114" s="6">
        <v>21</v>
      </c>
      <c r="G3114" s="8">
        <f t="shared" si="48"/>
        <v>6753.4023699999998</v>
      </c>
    </row>
    <row r="3115" spans="1:7" x14ac:dyDescent="0.3">
      <c r="A3115" s="14" t="e">
        <f>VLOOKUP(B3115,'Relacion codigos'!$A:$B,2,FALSE)</f>
        <v>#N/A</v>
      </c>
      <c r="B3115" s="6" t="s">
        <v>9666</v>
      </c>
      <c r="C3115" s="6" t="s">
        <v>11636</v>
      </c>
      <c r="D3115" s="24">
        <v>5908.2975379999998</v>
      </c>
      <c r="E3115" s="6" t="s">
        <v>5889</v>
      </c>
      <c r="F3115" s="6">
        <v>21</v>
      </c>
      <c r="G3115" s="8">
        <f t="shared" si="48"/>
        <v>5908.2975379999998</v>
      </c>
    </row>
    <row r="3116" spans="1:7" x14ac:dyDescent="0.3">
      <c r="A3116" s="14" t="str">
        <f>VLOOKUP(B3116,'Relacion codigos'!$A:$B,2,FALSE)</f>
        <v>8164</v>
      </c>
      <c r="B3116" s="6" t="s">
        <v>1748</v>
      </c>
      <c r="C3116" s="6" t="s">
        <v>13730</v>
      </c>
      <c r="D3116" s="24">
        <v>4679.7190440000004</v>
      </c>
      <c r="E3116" s="6" t="s">
        <v>5889</v>
      </c>
      <c r="F3116" s="6">
        <v>21</v>
      </c>
      <c r="G3116" s="8">
        <f t="shared" si="48"/>
        <v>4679.7190440000004</v>
      </c>
    </row>
    <row r="3117" spans="1:7" x14ac:dyDescent="0.3">
      <c r="A3117" s="14" t="str">
        <f>VLOOKUP(B3117,'Relacion codigos'!$A:$B,2,FALSE)</f>
        <v>650</v>
      </c>
      <c r="B3117" s="6" t="s">
        <v>1749</v>
      </c>
      <c r="C3117" s="6" t="s">
        <v>1150</v>
      </c>
      <c r="D3117" s="24">
        <v>4353.5506871999996</v>
      </c>
      <c r="E3117" s="6" t="s">
        <v>5889</v>
      </c>
      <c r="F3117" s="6">
        <v>21</v>
      </c>
      <c r="G3117" s="8">
        <f t="shared" si="48"/>
        <v>4353.5506871999996</v>
      </c>
    </row>
    <row r="3118" spans="1:7" x14ac:dyDescent="0.3">
      <c r="A3118" s="14" t="e">
        <f>VLOOKUP(B3118,'Relacion codigos'!$A:$B,2,FALSE)</f>
        <v>#N/A</v>
      </c>
      <c r="B3118" s="6" t="s">
        <v>11836</v>
      </c>
      <c r="C3118" s="6" t="s">
        <v>11837</v>
      </c>
      <c r="D3118" s="24">
        <v>2776.4215336000002</v>
      </c>
      <c r="E3118" s="6" t="s">
        <v>5889</v>
      </c>
      <c r="F3118" s="6">
        <v>21</v>
      </c>
      <c r="G3118" s="8">
        <f t="shared" si="48"/>
        <v>2776.4215336000002</v>
      </c>
    </row>
    <row r="3119" spans="1:7" x14ac:dyDescent="0.3">
      <c r="A3119" s="14" t="str">
        <f>VLOOKUP(B3119,'Relacion codigos'!$A:$B,2,FALSE)</f>
        <v>615</v>
      </c>
      <c r="B3119" s="6" t="s">
        <v>1517</v>
      </c>
      <c r="C3119" s="6" t="s">
        <v>8819</v>
      </c>
      <c r="D3119" s="24">
        <v>1533.1187482</v>
      </c>
      <c r="E3119" s="6" t="s">
        <v>5889</v>
      </c>
      <c r="F3119" s="6">
        <v>21</v>
      </c>
      <c r="G3119" s="8">
        <f t="shared" si="48"/>
        <v>1533.1187482</v>
      </c>
    </row>
    <row r="3120" spans="1:7" x14ac:dyDescent="0.3">
      <c r="A3120" s="14" t="str">
        <f>VLOOKUP(B3120,'Relacion codigos'!$A:$B,2,FALSE)</f>
        <v>8801</v>
      </c>
      <c r="B3120" s="6" t="s">
        <v>1594</v>
      </c>
      <c r="C3120" s="6" t="s">
        <v>13628</v>
      </c>
      <c r="D3120" s="24">
        <v>2764.6125000000002</v>
      </c>
      <c r="E3120" s="6" t="s">
        <v>5889</v>
      </c>
      <c r="F3120" s="6">
        <v>21</v>
      </c>
      <c r="G3120" s="8">
        <f t="shared" si="48"/>
        <v>2764.6125000000002</v>
      </c>
    </row>
    <row r="3121" spans="1:7" x14ac:dyDescent="0.3">
      <c r="A3121" s="14" t="str">
        <f>VLOOKUP(B3121,'Relacion codigos'!$A:$B,2,FALSE)</f>
        <v>616</v>
      </c>
      <c r="B3121" s="6" t="s">
        <v>1516</v>
      </c>
      <c r="C3121" s="6" t="s">
        <v>8820</v>
      </c>
      <c r="D3121" s="24">
        <v>1533.1187482</v>
      </c>
      <c r="E3121" s="6" t="s">
        <v>5889</v>
      </c>
      <c r="F3121" s="6">
        <v>21</v>
      </c>
      <c r="G3121" s="8">
        <f t="shared" si="48"/>
        <v>1533.1187482</v>
      </c>
    </row>
    <row r="3122" spans="1:7" x14ac:dyDescent="0.3">
      <c r="A3122" s="14" t="e">
        <f>VLOOKUP(B3122,'Relacion codigos'!$A:$B,2,FALSE)</f>
        <v>#N/A</v>
      </c>
      <c r="B3122" s="6" t="s">
        <v>8822</v>
      </c>
      <c r="C3122" s="6" t="s">
        <v>9574</v>
      </c>
      <c r="D3122" s="24">
        <v>14.070508881</v>
      </c>
      <c r="E3122" s="6" t="s">
        <v>5887</v>
      </c>
      <c r="F3122" s="6">
        <v>10.5</v>
      </c>
      <c r="G3122" s="8">
        <f t="shared" si="48"/>
        <v>21879.641309955001</v>
      </c>
    </row>
    <row r="3123" spans="1:7" x14ac:dyDescent="0.3">
      <c r="A3123" s="14" t="e">
        <f>VLOOKUP(B3123,'Relacion codigos'!$A:$B,2,FALSE)</f>
        <v>#N/A</v>
      </c>
      <c r="B3123" s="6" t="s">
        <v>8821</v>
      </c>
      <c r="C3123" s="6" t="s">
        <v>9296</v>
      </c>
      <c r="D3123" s="24">
        <v>6.1414983402500001</v>
      </c>
      <c r="E3123" s="6" t="s">
        <v>5887</v>
      </c>
      <c r="F3123" s="6">
        <v>10.5</v>
      </c>
      <c r="G3123" s="8">
        <f t="shared" si="48"/>
        <v>9550.0299190887508</v>
      </c>
    </row>
    <row r="3124" spans="1:7" x14ac:dyDescent="0.3">
      <c r="A3124" s="14" t="e">
        <f>VLOOKUP(B3124,'Relacion codigos'!$A:$B,2,FALSE)</f>
        <v>#N/A</v>
      </c>
      <c r="B3124" s="6" t="s">
        <v>8818</v>
      </c>
      <c r="C3124" s="6" t="s">
        <v>9297</v>
      </c>
      <c r="D3124" s="24">
        <v>63.136898825000003</v>
      </c>
      <c r="E3124" s="6" t="s">
        <v>5887</v>
      </c>
      <c r="F3124" s="6">
        <v>10.5</v>
      </c>
      <c r="G3124" s="8">
        <f t="shared" si="48"/>
        <v>98177.877672875009</v>
      </c>
    </row>
    <row r="3125" spans="1:7" x14ac:dyDescent="0.3">
      <c r="A3125" s="14" t="e">
        <f>VLOOKUP(B3125,'Relacion codigos'!$A:$B,2,FALSE)</f>
        <v>#N/A</v>
      </c>
      <c r="B3125" s="6" t="s">
        <v>10200</v>
      </c>
      <c r="C3125" s="6" t="s">
        <v>10201</v>
      </c>
      <c r="D3125" s="24">
        <v>3.3523100000000001</v>
      </c>
      <c r="E3125" s="6" t="s">
        <v>5887</v>
      </c>
      <c r="F3125" s="6">
        <v>21</v>
      </c>
      <c r="G3125" s="8">
        <f t="shared" si="48"/>
        <v>5212.8420500000002</v>
      </c>
    </row>
    <row r="3126" spans="1:7" x14ac:dyDescent="0.3">
      <c r="A3126" s="14" t="str">
        <f>VLOOKUP(B3126,'Relacion codigos'!$A:$B,2,FALSE)</f>
        <v>8388</v>
      </c>
      <c r="B3126" s="6" t="s">
        <v>2483</v>
      </c>
      <c r="C3126" s="6" t="s">
        <v>1001</v>
      </c>
      <c r="D3126" s="24">
        <v>477.14916599999998</v>
      </c>
      <c r="E3126" s="6" t="s">
        <v>5889</v>
      </c>
      <c r="F3126" s="6">
        <v>21</v>
      </c>
      <c r="G3126" s="8">
        <f t="shared" si="48"/>
        <v>477.14916599999998</v>
      </c>
    </row>
    <row r="3127" spans="1:7" x14ac:dyDescent="0.3">
      <c r="A3127" s="14" t="str">
        <f>VLOOKUP(B3127,'Relacion codigos'!$A:$B,2,FALSE)</f>
        <v>8390</v>
      </c>
      <c r="B3127" s="6" t="s">
        <v>2484</v>
      </c>
      <c r="C3127" s="6" t="s">
        <v>1002</v>
      </c>
      <c r="D3127" s="24">
        <v>850.51164900000003</v>
      </c>
      <c r="E3127" s="6" t="s">
        <v>5889</v>
      </c>
      <c r="F3127" s="6">
        <v>21</v>
      </c>
      <c r="G3127" s="8">
        <f t="shared" si="48"/>
        <v>850.51164900000003</v>
      </c>
    </row>
    <row r="3128" spans="1:7" x14ac:dyDescent="0.3">
      <c r="A3128" s="14" t="str">
        <f>VLOOKUP(B3128,'Relacion codigos'!$A:$B,2,FALSE)</f>
        <v>8389</v>
      </c>
      <c r="B3128" s="6" t="s">
        <v>2485</v>
      </c>
      <c r="C3128" s="6" t="s">
        <v>1003</v>
      </c>
      <c r="D3128" s="24">
        <v>709.65829350000001</v>
      </c>
      <c r="E3128" s="6" t="s">
        <v>5889</v>
      </c>
      <c r="F3128" s="6">
        <v>21</v>
      </c>
      <c r="G3128" s="8">
        <f t="shared" si="48"/>
        <v>709.65829350000001</v>
      </c>
    </row>
    <row r="3129" spans="1:7" x14ac:dyDescent="0.3">
      <c r="A3129" s="14" t="str">
        <f>VLOOKUP(B3129,'Relacion codigos'!$A:$B,2,FALSE)</f>
        <v>1238</v>
      </c>
      <c r="B3129" s="6" t="s">
        <v>3460</v>
      </c>
      <c r="C3129" s="6" t="s">
        <v>539</v>
      </c>
      <c r="D3129" s="24">
        <v>681.03359999999998</v>
      </c>
      <c r="E3129" s="6" t="s">
        <v>5889</v>
      </c>
      <c r="F3129" s="6">
        <v>21</v>
      </c>
      <c r="G3129" s="8">
        <f t="shared" si="48"/>
        <v>681.03359999999998</v>
      </c>
    </row>
    <row r="3130" spans="1:7" x14ac:dyDescent="0.3">
      <c r="A3130" s="14" t="str">
        <f>VLOOKUP(B3130,'Relacion codigos'!$A:$B,2,FALSE)</f>
        <v>NUEVO</v>
      </c>
      <c r="B3130" s="6" t="s">
        <v>4319</v>
      </c>
      <c r="C3130" s="6" t="s">
        <v>12962</v>
      </c>
      <c r="D3130" s="24">
        <v>9.5140499999999992</v>
      </c>
      <c r="E3130" s="6" t="s">
        <v>5887</v>
      </c>
      <c r="F3130" s="6">
        <v>21</v>
      </c>
      <c r="G3130" s="8">
        <f t="shared" si="48"/>
        <v>14794.347749999999</v>
      </c>
    </row>
    <row r="3131" spans="1:7" x14ac:dyDescent="0.3">
      <c r="A3131" s="14" t="str">
        <f>VLOOKUP(B3131,'Relacion codigos'!$A:$B,2,FALSE)</f>
        <v>2971</v>
      </c>
      <c r="B3131" s="6" t="s">
        <v>4311</v>
      </c>
      <c r="C3131" s="6" t="s">
        <v>13205</v>
      </c>
      <c r="D3131" s="24">
        <v>2.5163190000000002</v>
      </c>
      <c r="E3131" s="6" t="s">
        <v>5887</v>
      </c>
      <c r="F3131" s="6">
        <v>21</v>
      </c>
      <c r="G3131" s="8">
        <f t="shared" si="48"/>
        <v>3912.8760450000004</v>
      </c>
    </row>
    <row r="3132" spans="1:7" x14ac:dyDescent="0.3">
      <c r="A3132" s="14" t="e">
        <f>VLOOKUP(B3132,'Relacion codigos'!$A:$B,2,FALSE)</f>
        <v>#N/A</v>
      </c>
      <c r="B3132" s="6" t="s">
        <v>10320</v>
      </c>
      <c r="C3132" s="6" t="s">
        <v>12112</v>
      </c>
      <c r="D3132" s="24">
        <v>4.7706749999999998</v>
      </c>
      <c r="E3132" s="6" t="s">
        <v>5887</v>
      </c>
      <c r="F3132" s="6">
        <v>21</v>
      </c>
      <c r="G3132" s="8">
        <f t="shared" si="48"/>
        <v>7418.399625</v>
      </c>
    </row>
    <row r="3133" spans="1:7" x14ac:dyDescent="0.3">
      <c r="A3133" s="14" t="str">
        <f>VLOOKUP(B3133,'Relacion codigos'!$A:$B,2,FALSE)</f>
        <v>2972</v>
      </c>
      <c r="B3133" s="6" t="s">
        <v>4312</v>
      </c>
      <c r="C3133" s="6" t="s">
        <v>12623</v>
      </c>
      <c r="D3133" s="24">
        <v>2.5163190000000002</v>
      </c>
      <c r="E3133" s="6" t="s">
        <v>5887</v>
      </c>
      <c r="F3133" s="6">
        <v>21</v>
      </c>
      <c r="G3133" s="8">
        <f t="shared" si="48"/>
        <v>3912.8760450000004</v>
      </c>
    </row>
    <row r="3134" spans="1:7" x14ac:dyDescent="0.3">
      <c r="A3134" s="14" t="e">
        <f>VLOOKUP(B3134,'Relacion codigos'!$A:$B,2,FALSE)</f>
        <v>#N/A</v>
      </c>
      <c r="B3134" s="6" t="s">
        <v>10321</v>
      </c>
      <c r="C3134" s="6" t="s">
        <v>12113</v>
      </c>
      <c r="D3134" s="24">
        <v>4.7706749999999998</v>
      </c>
      <c r="E3134" s="6" t="s">
        <v>5887</v>
      </c>
      <c r="F3134" s="6">
        <v>21</v>
      </c>
      <c r="G3134" s="8">
        <f t="shared" si="48"/>
        <v>7418.399625</v>
      </c>
    </row>
    <row r="3135" spans="1:7" x14ac:dyDescent="0.3">
      <c r="A3135" s="14" t="str">
        <f>VLOOKUP(B3135,'Relacion codigos'!$A:$B,2,FALSE)</f>
        <v>NUEVO</v>
      </c>
      <c r="B3135" s="6" t="s">
        <v>4313</v>
      </c>
      <c r="C3135" s="6" t="s">
        <v>12114</v>
      </c>
      <c r="D3135" s="24">
        <v>2.5163190000000002</v>
      </c>
      <c r="E3135" s="6" t="s">
        <v>5887</v>
      </c>
      <c r="F3135" s="6">
        <v>21</v>
      </c>
      <c r="G3135" s="8">
        <f t="shared" si="48"/>
        <v>3912.8760450000004</v>
      </c>
    </row>
    <row r="3136" spans="1:7" x14ac:dyDescent="0.3">
      <c r="A3136" s="14" t="e">
        <f>VLOOKUP(B3136,'Relacion codigos'!$A:$B,2,FALSE)</f>
        <v>#N/A</v>
      </c>
      <c r="B3136" s="6" t="s">
        <v>12716</v>
      </c>
      <c r="C3136" s="6" t="s">
        <v>12717</v>
      </c>
      <c r="D3136" s="24">
        <v>4.7706749999999998</v>
      </c>
      <c r="E3136" s="6" t="s">
        <v>5887</v>
      </c>
      <c r="F3136" s="6">
        <v>21</v>
      </c>
      <c r="G3136" s="8">
        <f t="shared" si="48"/>
        <v>7418.399625</v>
      </c>
    </row>
    <row r="3137" spans="1:7" x14ac:dyDescent="0.3">
      <c r="A3137" s="14" t="str">
        <f>VLOOKUP(B3137,'Relacion codigos'!$A:$B,2,FALSE)</f>
        <v>NUEVO</v>
      </c>
      <c r="B3137" s="6" t="s">
        <v>4323</v>
      </c>
      <c r="C3137" s="6" t="s">
        <v>12115</v>
      </c>
      <c r="D3137" s="24">
        <v>9.4483674999999998</v>
      </c>
      <c r="E3137" s="6" t="s">
        <v>5887</v>
      </c>
      <c r="F3137" s="6">
        <v>21</v>
      </c>
      <c r="G3137" s="8">
        <f t="shared" si="48"/>
        <v>14692.211462499999</v>
      </c>
    </row>
    <row r="3138" spans="1:7" x14ac:dyDescent="0.3">
      <c r="A3138" s="14" t="str">
        <f>VLOOKUP(B3138,'Relacion codigos'!$A:$B,2,FALSE)</f>
        <v>3001</v>
      </c>
      <c r="B3138" s="6" t="s">
        <v>4341</v>
      </c>
      <c r="C3138" s="6" t="s">
        <v>13185</v>
      </c>
      <c r="D3138" s="24">
        <v>2.7604394999999999</v>
      </c>
      <c r="E3138" s="6" t="s">
        <v>5887</v>
      </c>
      <c r="F3138" s="6">
        <v>21</v>
      </c>
      <c r="G3138" s="8">
        <f t="shared" ref="G3138:G3201" si="49">IF(E3138="Dolares",D3138*$G$1,D3138)</f>
        <v>4292.4834224999995</v>
      </c>
    </row>
    <row r="3139" spans="1:7" x14ac:dyDescent="0.3">
      <c r="A3139" s="14" t="e">
        <f>VLOOKUP(B3139,'Relacion codigos'!$A:$B,2,FALSE)</f>
        <v>#N/A</v>
      </c>
      <c r="B3139" s="6" t="s">
        <v>10327</v>
      </c>
      <c r="C3139" s="6" t="s">
        <v>12116</v>
      </c>
      <c r="D3139" s="24">
        <v>5.2006500000000004</v>
      </c>
      <c r="E3139" s="6" t="s">
        <v>5887</v>
      </c>
      <c r="F3139" s="6">
        <v>21</v>
      </c>
      <c r="G3139" s="8">
        <f t="shared" si="49"/>
        <v>8087.0107500000004</v>
      </c>
    </row>
    <row r="3140" spans="1:7" x14ac:dyDescent="0.3">
      <c r="A3140" s="14" t="str">
        <f>VLOOKUP(B3140,'Relacion codigos'!$A:$B,2,FALSE)</f>
        <v>3002</v>
      </c>
      <c r="B3140" s="6" t="s">
        <v>4342</v>
      </c>
      <c r="C3140" s="6" t="s">
        <v>13240</v>
      </c>
      <c r="D3140" s="24">
        <v>2.7604394999999999</v>
      </c>
      <c r="E3140" s="6" t="s">
        <v>5887</v>
      </c>
      <c r="F3140" s="6">
        <v>21</v>
      </c>
      <c r="G3140" s="8">
        <f t="shared" si="49"/>
        <v>4292.4834224999995</v>
      </c>
    </row>
    <row r="3141" spans="1:7" x14ac:dyDescent="0.3">
      <c r="A3141" s="14" t="e">
        <f>VLOOKUP(B3141,'Relacion codigos'!$A:$B,2,FALSE)</f>
        <v>#N/A</v>
      </c>
      <c r="B3141" s="6" t="s">
        <v>10328</v>
      </c>
      <c r="C3141" s="6" t="s">
        <v>12117</v>
      </c>
      <c r="D3141" s="24">
        <v>5.2006500000000004</v>
      </c>
      <c r="E3141" s="6" t="s">
        <v>5887</v>
      </c>
      <c r="F3141" s="6">
        <v>21</v>
      </c>
      <c r="G3141" s="8">
        <f t="shared" si="49"/>
        <v>8087.0107500000004</v>
      </c>
    </row>
    <row r="3142" spans="1:7" x14ac:dyDescent="0.3">
      <c r="A3142" s="14" t="e">
        <f>VLOOKUP(B3142,'Relacion codigos'!$A:$B,2,FALSE)</f>
        <v>#N/A</v>
      </c>
      <c r="B3142" s="6" t="s">
        <v>11066</v>
      </c>
      <c r="C3142" s="6" t="s">
        <v>12118</v>
      </c>
      <c r="D3142" s="24">
        <v>3.7003242900000002</v>
      </c>
      <c r="E3142" s="6" t="s">
        <v>5887</v>
      </c>
      <c r="F3142" s="6">
        <v>21</v>
      </c>
      <c r="G3142" s="8">
        <f t="shared" si="49"/>
        <v>5754.0042709500003</v>
      </c>
    </row>
    <row r="3143" spans="1:7" x14ac:dyDescent="0.3">
      <c r="A3143" s="14" t="str">
        <f>VLOOKUP(B3143,'Relacion codigos'!$A:$B,2,FALSE)</f>
        <v>NUEVO</v>
      </c>
      <c r="B3143" s="6" t="s">
        <v>4343</v>
      </c>
      <c r="C3143" s="6" t="s">
        <v>12119</v>
      </c>
      <c r="D3143" s="24">
        <v>2.7604394999999999</v>
      </c>
      <c r="E3143" s="6" t="s">
        <v>5887</v>
      </c>
      <c r="F3143" s="6">
        <v>21</v>
      </c>
      <c r="G3143" s="8">
        <f t="shared" si="49"/>
        <v>4292.4834224999995</v>
      </c>
    </row>
    <row r="3144" spans="1:7" x14ac:dyDescent="0.3">
      <c r="A3144" s="14" t="str">
        <f>VLOOKUP(B3144,'Relacion codigos'!$A:$B,2,FALSE)</f>
        <v>NUEVO</v>
      </c>
      <c r="B3144" s="6" t="s">
        <v>4353</v>
      </c>
      <c r="C3144" s="6" t="s">
        <v>12120</v>
      </c>
      <c r="D3144" s="24">
        <v>9.4483674999999998</v>
      </c>
      <c r="E3144" s="6" t="s">
        <v>5887</v>
      </c>
      <c r="F3144" s="6">
        <v>21</v>
      </c>
      <c r="G3144" s="8">
        <f t="shared" si="49"/>
        <v>14692.211462499999</v>
      </c>
    </row>
    <row r="3145" spans="1:7" x14ac:dyDescent="0.3">
      <c r="A3145" s="14" t="str">
        <f>VLOOKUP(B3145,'Relacion codigos'!$A:$B,2,FALSE)</f>
        <v>NUEVO</v>
      </c>
      <c r="B3145" s="6" t="s">
        <v>4314</v>
      </c>
      <c r="C3145" s="6" t="s">
        <v>12602</v>
      </c>
      <c r="D3145" s="24">
        <v>3.092193</v>
      </c>
      <c r="E3145" s="6" t="s">
        <v>5887</v>
      </c>
      <c r="F3145" s="6">
        <v>21</v>
      </c>
      <c r="G3145" s="8">
        <f t="shared" si="49"/>
        <v>4808.3601150000004</v>
      </c>
    </row>
    <row r="3146" spans="1:7" x14ac:dyDescent="0.3">
      <c r="A3146" s="14" t="e">
        <f>VLOOKUP(B3146,'Relacion codigos'!$A:$B,2,FALSE)</f>
        <v>#N/A</v>
      </c>
      <c r="B3146" s="6" t="s">
        <v>10322</v>
      </c>
      <c r="C3146" s="6" t="s">
        <v>12121</v>
      </c>
      <c r="D3146" s="24">
        <v>6.2244000000000002</v>
      </c>
      <c r="E3146" s="6" t="s">
        <v>5887</v>
      </c>
      <c r="F3146" s="6">
        <v>21</v>
      </c>
      <c r="G3146" s="8">
        <f t="shared" si="49"/>
        <v>9678.9420000000009</v>
      </c>
    </row>
    <row r="3147" spans="1:7" x14ac:dyDescent="0.3">
      <c r="A3147" s="14" t="str">
        <f>VLOOKUP(B3147,'Relacion codigos'!$A:$B,2,FALSE)</f>
        <v>2975</v>
      </c>
      <c r="B3147" s="6" t="s">
        <v>4315</v>
      </c>
      <c r="C3147" s="6" t="s">
        <v>12607</v>
      </c>
      <c r="D3147" s="24">
        <v>3.092193</v>
      </c>
      <c r="E3147" s="6" t="s">
        <v>5887</v>
      </c>
      <c r="F3147" s="6">
        <v>21</v>
      </c>
      <c r="G3147" s="8">
        <f t="shared" si="49"/>
        <v>4808.3601150000004</v>
      </c>
    </row>
    <row r="3148" spans="1:7" x14ac:dyDescent="0.3">
      <c r="A3148" s="14" t="e">
        <f>VLOOKUP(B3148,'Relacion codigos'!$A:$B,2,FALSE)</f>
        <v>#N/A</v>
      </c>
      <c r="B3148" s="6" t="s">
        <v>10323</v>
      </c>
      <c r="C3148" s="6" t="s">
        <v>12122</v>
      </c>
      <c r="D3148" s="24">
        <v>6.2244000000000002</v>
      </c>
      <c r="E3148" s="6" t="s">
        <v>5887</v>
      </c>
      <c r="F3148" s="6">
        <v>21</v>
      </c>
      <c r="G3148" s="8">
        <f t="shared" si="49"/>
        <v>9678.9420000000009</v>
      </c>
    </row>
    <row r="3149" spans="1:7" x14ac:dyDescent="0.3">
      <c r="A3149" s="14" t="str">
        <f>VLOOKUP(B3149,'Relacion codigos'!$A:$B,2,FALSE)</f>
        <v>NUEVO</v>
      </c>
      <c r="B3149" s="6" t="s">
        <v>4316</v>
      </c>
      <c r="C3149" s="6" t="s">
        <v>12123</v>
      </c>
      <c r="D3149" s="24">
        <v>3.092193</v>
      </c>
      <c r="E3149" s="6" t="s">
        <v>5887</v>
      </c>
      <c r="F3149" s="6">
        <v>21</v>
      </c>
      <c r="G3149" s="8">
        <f t="shared" si="49"/>
        <v>4808.3601150000004</v>
      </c>
    </row>
    <row r="3150" spans="1:7" x14ac:dyDescent="0.3">
      <c r="A3150" s="14" t="e">
        <f>VLOOKUP(B3150,'Relacion codigos'!$A:$B,2,FALSE)</f>
        <v>#N/A</v>
      </c>
      <c r="B3150" s="6" t="s">
        <v>10324</v>
      </c>
      <c r="C3150" s="6" t="s">
        <v>12124</v>
      </c>
      <c r="D3150" s="24">
        <v>6.2244000000000002</v>
      </c>
      <c r="E3150" s="6" t="s">
        <v>5887</v>
      </c>
      <c r="F3150" s="6">
        <v>21</v>
      </c>
      <c r="G3150" s="8">
        <f t="shared" si="49"/>
        <v>9678.9420000000009</v>
      </c>
    </row>
    <row r="3151" spans="1:7" x14ac:dyDescent="0.3">
      <c r="A3151" s="14" t="str">
        <f>VLOOKUP(B3151,'Relacion codigos'!$A:$B,2,FALSE)</f>
        <v>NUEVO</v>
      </c>
      <c r="B3151" s="6" t="s">
        <v>4344</v>
      </c>
      <c r="C3151" s="6" t="s">
        <v>12884</v>
      </c>
      <c r="D3151" s="24">
        <v>3.5804339999999999</v>
      </c>
      <c r="E3151" s="6" t="s">
        <v>5887</v>
      </c>
      <c r="F3151" s="6">
        <v>21</v>
      </c>
      <c r="G3151" s="8">
        <f t="shared" si="49"/>
        <v>5567.5748699999995</v>
      </c>
    </row>
    <row r="3152" spans="1:7" x14ac:dyDescent="0.3">
      <c r="A3152" s="14" t="e">
        <f>VLOOKUP(B3152,'Relacion codigos'!$A:$B,2,FALSE)</f>
        <v>#N/A</v>
      </c>
      <c r="B3152" s="6" t="s">
        <v>10329</v>
      </c>
      <c r="C3152" s="6" t="s">
        <v>12125</v>
      </c>
      <c r="D3152" s="24">
        <v>7.1935500000000001</v>
      </c>
      <c r="E3152" s="6" t="s">
        <v>5887</v>
      </c>
      <c r="F3152" s="6">
        <v>21</v>
      </c>
      <c r="G3152" s="8">
        <f t="shared" si="49"/>
        <v>11185.97025</v>
      </c>
    </row>
    <row r="3153" spans="1:7" x14ac:dyDescent="0.3">
      <c r="A3153" s="14" t="str">
        <f>VLOOKUP(B3153,'Relacion codigos'!$A:$B,2,FALSE)</f>
        <v>NUEVO</v>
      </c>
      <c r="B3153" s="6" t="s">
        <v>4345</v>
      </c>
      <c r="C3153" s="6" t="s">
        <v>12718</v>
      </c>
      <c r="D3153" s="24">
        <v>3.5804339999999999</v>
      </c>
      <c r="E3153" s="6" t="s">
        <v>5887</v>
      </c>
      <c r="F3153" s="6">
        <v>21</v>
      </c>
      <c r="G3153" s="8">
        <f t="shared" si="49"/>
        <v>5567.5748699999995</v>
      </c>
    </row>
    <row r="3154" spans="1:7" x14ac:dyDescent="0.3">
      <c r="A3154" s="14" t="e">
        <f>VLOOKUP(B3154,'Relacion codigos'!$A:$B,2,FALSE)</f>
        <v>#N/A</v>
      </c>
      <c r="B3154" s="6" t="s">
        <v>10330</v>
      </c>
      <c r="C3154" s="6" t="s">
        <v>12126</v>
      </c>
      <c r="D3154" s="24">
        <v>7.1935500000000001</v>
      </c>
      <c r="E3154" s="6" t="s">
        <v>5887</v>
      </c>
      <c r="F3154" s="6">
        <v>21</v>
      </c>
      <c r="G3154" s="8">
        <f t="shared" si="49"/>
        <v>11185.97025</v>
      </c>
    </row>
    <row r="3155" spans="1:7" x14ac:dyDescent="0.3">
      <c r="A3155" s="14" t="e">
        <f>VLOOKUP(B3155,'Relacion codigos'!$A:$B,2,FALSE)</f>
        <v>#N/A</v>
      </c>
      <c r="B3155" s="6" t="s">
        <v>11067</v>
      </c>
      <c r="C3155" s="6" t="s">
        <v>12127</v>
      </c>
      <c r="D3155" s="24">
        <v>4.8856649399999998</v>
      </c>
      <c r="E3155" s="6" t="s">
        <v>5887</v>
      </c>
      <c r="F3155" s="6">
        <v>21</v>
      </c>
      <c r="G3155" s="8">
        <f t="shared" si="49"/>
        <v>7597.2089816999996</v>
      </c>
    </row>
    <row r="3156" spans="1:7" x14ac:dyDescent="0.3">
      <c r="A3156" s="14" t="e">
        <f>VLOOKUP(B3156,'Relacion codigos'!$A:$B,2,FALSE)</f>
        <v>#N/A</v>
      </c>
      <c r="B3156" s="6" t="s">
        <v>13830</v>
      </c>
      <c r="C3156" s="6" t="s">
        <v>13831</v>
      </c>
      <c r="D3156" s="24">
        <v>7.1983275000000004</v>
      </c>
      <c r="E3156" s="6" t="s">
        <v>5887</v>
      </c>
      <c r="F3156" s="6">
        <v>21</v>
      </c>
      <c r="G3156" s="8">
        <f t="shared" si="49"/>
        <v>11193.399262500001</v>
      </c>
    </row>
    <row r="3157" spans="1:7" x14ac:dyDescent="0.3">
      <c r="A3157" s="14" t="str">
        <f>VLOOKUP(B3157,'Relacion codigos'!$A:$B,2,FALSE)</f>
        <v>NUEVO</v>
      </c>
      <c r="B3157" s="6" t="s">
        <v>4355</v>
      </c>
      <c r="C3157" s="6" t="s">
        <v>12128</v>
      </c>
      <c r="D3157" s="24">
        <v>12.0342365</v>
      </c>
      <c r="E3157" s="6" t="s">
        <v>5887</v>
      </c>
      <c r="F3157" s="6">
        <v>21</v>
      </c>
      <c r="G3157" s="8">
        <f t="shared" si="49"/>
        <v>18713.237757499999</v>
      </c>
    </row>
    <row r="3158" spans="1:7" x14ac:dyDescent="0.3">
      <c r="A3158" s="14" t="str">
        <f>VLOOKUP(B3158,'Relacion codigos'!$A:$B,2,FALSE)</f>
        <v>NUEVO</v>
      </c>
      <c r="B3158" s="6" t="s">
        <v>4354</v>
      </c>
      <c r="C3158" s="6" t="s">
        <v>12129</v>
      </c>
      <c r="D3158" s="24">
        <v>12.0342365</v>
      </c>
      <c r="E3158" s="6" t="s">
        <v>5887</v>
      </c>
      <c r="F3158" s="6">
        <v>21</v>
      </c>
      <c r="G3158" s="8">
        <f t="shared" si="49"/>
        <v>18713.237757499999</v>
      </c>
    </row>
    <row r="3159" spans="1:7" x14ac:dyDescent="0.3">
      <c r="A3159" s="14" t="str">
        <f>VLOOKUP(B3159,'Relacion codigos'!$A:$B,2,FALSE)</f>
        <v>8957</v>
      </c>
      <c r="B3159" s="6" t="s">
        <v>4394</v>
      </c>
      <c r="C3159" s="6" t="s">
        <v>12130</v>
      </c>
      <c r="D3159" s="24">
        <v>16.314760799999998</v>
      </c>
      <c r="E3159" s="6" t="s">
        <v>5887</v>
      </c>
      <c r="F3159" s="6">
        <v>21</v>
      </c>
      <c r="G3159" s="8">
        <f t="shared" si="49"/>
        <v>25369.453043999998</v>
      </c>
    </row>
    <row r="3160" spans="1:7" x14ac:dyDescent="0.3">
      <c r="A3160" s="14" t="str">
        <f>VLOOKUP(B3160,'Relacion codigos'!$A:$B,2,FALSE)</f>
        <v>NUEVO</v>
      </c>
      <c r="B3160" s="6" t="s">
        <v>4317</v>
      </c>
      <c r="C3160" s="6" t="s">
        <v>12131</v>
      </c>
      <c r="D3160" s="24">
        <v>5.7462210000000002</v>
      </c>
      <c r="E3160" s="6" t="s">
        <v>5887</v>
      </c>
      <c r="F3160" s="6">
        <v>21</v>
      </c>
      <c r="G3160" s="8">
        <f t="shared" si="49"/>
        <v>8935.3736550000012</v>
      </c>
    </row>
    <row r="3161" spans="1:7" x14ac:dyDescent="0.3">
      <c r="A3161" s="14" t="e">
        <f>VLOOKUP(B3161,'Relacion codigos'!$A:$B,2,FALSE)</f>
        <v>#N/A</v>
      </c>
      <c r="B3161" s="6" t="s">
        <v>10325</v>
      </c>
      <c r="C3161" s="6" t="s">
        <v>12132</v>
      </c>
      <c r="D3161" s="24">
        <v>9.5140499999999992</v>
      </c>
      <c r="E3161" s="6" t="s">
        <v>5887</v>
      </c>
      <c r="F3161" s="6">
        <v>21</v>
      </c>
      <c r="G3161" s="8">
        <f t="shared" si="49"/>
        <v>14794.347749999999</v>
      </c>
    </row>
    <row r="3162" spans="1:7" x14ac:dyDescent="0.3">
      <c r="A3162" s="14" t="str">
        <f>VLOOKUP(B3162,'Relacion codigos'!$A:$B,2,FALSE)</f>
        <v>2978</v>
      </c>
      <c r="B3162" s="6" t="s">
        <v>4318</v>
      </c>
      <c r="C3162" s="6" t="s">
        <v>12330</v>
      </c>
      <c r="D3162" s="24">
        <v>5.7462210000000002</v>
      </c>
      <c r="E3162" s="6" t="s">
        <v>5887</v>
      </c>
      <c r="F3162" s="6">
        <v>21</v>
      </c>
      <c r="G3162" s="8">
        <f t="shared" si="49"/>
        <v>8935.3736550000012</v>
      </c>
    </row>
    <row r="3163" spans="1:7" x14ac:dyDescent="0.3">
      <c r="A3163" s="14" t="e">
        <f>VLOOKUP(B3163,'Relacion codigos'!$A:$B,2,FALSE)</f>
        <v>#N/A</v>
      </c>
      <c r="B3163" s="6" t="s">
        <v>10326</v>
      </c>
      <c r="C3163" s="6" t="s">
        <v>12133</v>
      </c>
      <c r="D3163" s="24">
        <v>9.5140499999999992</v>
      </c>
      <c r="E3163" s="6" t="s">
        <v>5887</v>
      </c>
      <c r="F3163" s="6">
        <v>21</v>
      </c>
      <c r="G3163" s="8">
        <f t="shared" si="49"/>
        <v>14794.347749999999</v>
      </c>
    </row>
    <row r="3164" spans="1:7" x14ac:dyDescent="0.3">
      <c r="A3164" s="14" t="str">
        <f>VLOOKUP(B3164,'Relacion codigos'!$A:$B,2,FALSE)</f>
        <v>6132</v>
      </c>
      <c r="B3164" s="6" t="s">
        <v>4395</v>
      </c>
      <c r="C3164" s="6" t="s">
        <v>12134</v>
      </c>
      <c r="D3164" s="24">
        <v>14.832511200000001</v>
      </c>
      <c r="E3164" s="6" t="s">
        <v>5887</v>
      </c>
      <c r="F3164" s="6">
        <v>21</v>
      </c>
      <c r="G3164" s="8">
        <f t="shared" si="49"/>
        <v>23064.554916000001</v>
      </c>
    </row>
    <row r="3165" spans="1:7" x14ac:dyDescent="0.3">
      <c r="A3165" s="14" t="str">
        <f>VLOOKUP(B3165,'Relacion codigos'!$A:$B,2,FALSE)</f>
        <v>NUEVO</v>
      </c>
      <c r="B3165" s="6" t="s">
        <v>4347</v>
      </c>
      <c r="C3165" s="6" t="s">
        <v>13186</v>
      </c>
      <c r="D3165" s="24">
        <v>6.1030125000000002</v>
      </c>
      <c r="E3165" s="6" t="s">
        <v>5887</v>
      </c>
      <c r="F3165" s="6">
        <v>21</v>
      </c>
      <c r="G3165" s="8">
        <f t="shared" si="49"/>
        <v>9490.1844375000001</v>
      </c>
    </row>
    <row r="3166" spans="1:7" x14ac:dyDescent="0.3">
      <c r="A3166" s="14" t="e">
        <f>VLOOKUP(B3166,'Relacion codigos'!$A:$B,2,FALSE)</f>
        <v>#N/A</v>
      </c>
      <c r="B3166" s="6" t="s">
        <v>10331</v>
      </c>
      <c r="C3166" s="6" t="s">
        <v>12135</v>
      </c>
      <c r="D3166" s="24">
        <v>11.418225</v>
      </c>
      <c r="E3166" s="6" t="s">
        <v>5887</v>
      </c>
      <c r="F3166" s="6">
        <v>21</v>
      </c>
      <c r="G3166" s="8">
        <f t="shared" si="49"/>
        <v>17755.339874999998</v>
      </c>
    </row>
    <row r="3167" spans="1:7" x14ac:dyDescent="0.3">
      <c r="A3167" s="14" t="str">
        <f>VLOOKUP(B3167,'Relacion codigos'!$A:$B,2,FALSE)</f>
        <v>NUEVO</v>
      </c>
      <c r="B3167" s="6" t="s">
        <v>4348</v>
      </c>
      <c r="C3167" s="6" t="s">
        <v>12331</v>
      </c>
      <c r="D3167" s="24">
        <v>6.1030125000000002</v>
      </c>
      <c r="E3167" s="6" t="s">
        <v>5887</v>
      </c>
      <c r="F3167" s="6">
        <v>21</v>
      </c>
      <c r="G3167" s="8">
        <f t="shared" si="49"/>
        <v>9490.1844375000001</v>
      </c>
    </row>
    <row r="3168" spans="1:7" x14ac:dyDescent="0.3">
      <c r="A3168" s="14" t="e">
        <f>VLOOKUP(B3168,'Relacion codigos'!$A:$B,2,FALSE)</f>
        <v>#N/A</v>
      </c>
      <c r="B3168" s="6" t="s">
        <v>10332</v>
      </c>
      <c r="C3168" s="6" t="s">
        <v>12136</v>
      </c>
      <c r="D3168" s="24">
        <v>11.418225</v>
      </c>
      <c r="E3168" s="6" t="s">
        <v>5887</v>
      </c>
      <c r="F3168" s="6">
        <v>21</v>
      </c>
      <c r="G3168" s="8">
        <f t="shared" si="49"/>
        <v>17755.339874999998</v>
      </c>
    </row>
    <row r="3169" spans="1:7" x14ac:dyDescent="0.3">
      <c r="A3169" s="14" t="e">
        <f>VLOOKUP(B3169,'Relacion codigos'!$A:$B,2,FALSE)</f>
        <v>#N/A</v>
      </c>
      <c r="B3169" s="6" t="s">
        <v>13832</v>
      </c>
      <c r="C3169" s="6" t="s">
        <v>13833</v>
      </c>
      <c r="D3169" s="24">
        <v>11.418225</v>
      </c>
      <c r="E3169" s="6" t="s">
        <v>5887</v>
      </c>
      <c r="F3169" s="6">
        <v>21</v>
      </c>
      <c r="G3169" s="8">
        <f t="shared" si="49"/>
        <v>17755.339874999998</v>
      </c>
    </row>
    <row r="3170" spans="1:7" x14ac:dyDescent="0.3">
      <c r="A3170" s="14" t="str">
        <f>VLOOKUP(B3170,'Relacion codigos'!$A:$B,2,FALSE)</f>
        <v>6745</v>
      </c>
      <c r="B3170" s="6" t="s">
        <v>4356</v>
      </c>
      <c r="C3170" s="6" t="s">
        <v>10085</v>
      </c>
      <c r="D3170" s="24">
        <v>8.3061920142499996</v>
      </c>
      <c r="E3170" s="6" t="s">
        <v>5887</v>
      </c>
      <c r="F3170" s="6">
        <v>21</v>
      </c>
      <c r="G3170" s="8">
        <f t="shared" si="49"/>
        <v>12916.12858215875</v>
      </c>
    </row>
    <row r="3171" spans="1:7" x14ac:dyDescent="0.3">
      <c r="A3171" s="14" t="str">
        <f>VLOOKUP(B3171,'Relacion codigos'!$A:$B,2,FALSE)</f>
        <v>NUEVO</v>
      </c>
      <c r="B3171" s="6" t="s">
        <v>4379</v>
      </c>
      <c r="C3171" s="6" t="s">
        <v>9596</v>
      </c>
      <c r="D3171" s="24">
        <v>8624.312121555</v>
      </c>
      <c r="E3171" s="6" t="s">
        <v>5889</v>
      </c>
      <c r="F3171" s="6">
        <v>21</v>
      </c>
      <c r="G3171" s="8">
        <f t="shared" si="49"/>
        <v>8624.312121555</v>
      </c>
    </row>
    <row r="3172" spans="1:7" x14ac:dyDescent="0.3">
      <c r="A3172" s="14" t="e">
        <f>VLOOKUP(B3172,'Relacion codigos'!$A:$B,2,FALSE)</f>
        <v>#N/A</v>
      </c>
      <c r="B3172" s="6" t="s">
        <v>13888</v>
      </c>
      <c r="C3172" s="6" t="s">
        <v>13889</v>
      </c>
      <c r="D3172" s="24">
        <v>19.096350000000001</v>
      </c>
      <c r="E3172" s="6" t="s">
        <v>5887</v>
      </c>
      <c r="F3172" s="6">
        <v>21</v>
      </c>
      <c r="G3172" s="8">
        <f t="shared" si="49"/>
        <v>29694.824250000001</v>
      </c>
    </row>
    <row r="3173" spans="1:7" x14ac:dyDescent="0.3">
      <c r="A3173" s="14" t="e">
        <f>VLOOKUP(B3173,'Relacion codigos'!$A:$B,2,FALSE)</f>
        <v>#N/A</v>
      </c>
      <c r="B3173" s="6" t="s">
        <v>13890</v>
      </c>
      <c r="C3173" s="6" t="s">
        <v>13891</v>
      </c>
      <c r="D3173" s="24">
        <v>19.096350000000001</v>
      </c>
      <c r="E3173" s="6" t="s">
        <v>5887</v>
      </c>
      <c r="F3173" s="6">
        <v>21</v>
      </c>
      <c r="G3173" s="8">
        <f t="shared" si="49"/>
        <v>29694.824250000001</v>
      </c>
    </row>
    <row r="3174" spans="1:7" x14ac:dyDescent="0.3">
      <c r="A3174" s="14" t="e">
        <f>VLOOKUP(B3174,'Relacion codigos'!$A:$B,2,FALSE)</f>
        <v>#N/A</v>
      </c>
      <c r="B3174" s="6" t="s">
        <v>14020</v>
      </c>
      <c r="C3174" s="6" t="s">
        <v>14021</v>
      </c>
      <c r="D3174" s="24">
        <v>19.096350000000001</v>
      </c>
      <c r="E3174" s="6" t="s">
        <v>5887</v>
      </c>
      <c r="F3174" s="6">
        <v>21</v>
      </c>
      <c r="G3174" s="8">
        <f t="shared" si="49"/>
        <v>29694.824250000001</v>
      </c>
    </row>
    <row r="3175" spans="1:7" x14ac:dyDescent="0.3">
      <c r="A3175" s="14" t="e">
        <f>VLOOKUP(B3175,'Relacion codigos'!$A:$B,2,FALSE)</f>
        <v>#N/A</v>
      </c>
      <c r="B3175" s="6" t="s">
        <v>10747</v>
      </c>
      <c r="C3175" s="6" t="s">
        <v>10748</v>
      </c>
      <c r="D3175" s="24">
        <v>26.965575000000001</v>
      </c>
      <c r="E3175" s="6" t="s">
        <v>5887</v>
      </c>
      <c r="F3175" s="6">
        <v>21</v>
      </c>
      <c r="G3175" s="8">
        <f t="shared" si="49"/>
        <v>41931.469125000003</v>
      </c>
    </row>
    <row r="3176" spans="1:7" x14ac:dyDescent="0.3">
      <c r="A3176" s="14" t="e">
        <f>VLOOKUP(B3176,'Relacion codigos'!$A:$B,2,FALSE)</f>
        <v>#N/A</v>
      </c>
      <c r="B3176" s="6" t="s">
        <v>10749</v>
      </c>
      <c r="C3176" s="6" t="s">
        <v>10750</v>
      </c>
      <c r="D3176" s="24">
        <v>26.965575000000001</v>
      </c>
      <c r="E3176" s="6" t="s">
        <v>5887</v>
      </c>
      <c r="F3176" s="6">
        <v>21</v>
      </c>
      <c r="G3176" s="8">
        <f t="shared" si="49"/>
        <v>41931.469125000003</v>
      </c>
    </row>
    <row r="3177" spans="1:7" x14ac:dyDescent="0.3">
      <c r="A3177" s="14" t="e">
        <f>VLOOKUP(B3177,'Relacion codigos'!$A:$B,2,FALSE)</f>
        <v>#N/A</v>
      </c>
      <c r="B3177" s="6" t="s">
        <v>12719</v>
      </c>
      <c r="C3177" s="6" t="s">
        <v>12720</v>
      </c>
      <c r="D3177" s="24">
        <v>26.965575000000001</v>
      </c>
      <c r="E3177" s="6" t="s">
        <v>5887</v>
      </c>
      <c r="F3177" s="6">
        <v>21</v>
      </c>
      <c r="G3177" s="8">
        <f t="shared" si="49"/>
        <v>41931.469125000003</v>
      </c>
    </row>
    <row r="3178" spans="1:7" x14ac:dyDescent="0.3">
      <c r="A3178" s="14" t="str">
        <f>VLOOKUP(B3178,'Relacion codigos'!$A:$B,2,FALSE)</f>
        <v>NUEVO</v>
      </c>
      <c r="B3178" s="6" t="s">
        <v>4375</v>
      </c>
      <c r="C3178" s="6" t="s">
        <v>11676</v>
      </c>
      <c r="D3178" s="24">
        <v>15.761421</v>
      </c>
      <c r="E3178" s="6" t="s">
        <v>5887</v>
      </c>
      <c r="F3178" s="6">
        <v>21</v>
      </c>
      <c r="G3178" s="8">
        <f t="shared" si="49"/>
        <v>24509.009655000002</v>
      </c>
    </row>
    <row r="3179" spans="1:7" x14ac:dyDescent="0.3">
      <c r="A3179" s="14" t="e">
        <f>VLOOKUP(B3179,'Relacion codigos'!$A:$B,2,FALSE)</f>
        <v>#N/A</v>
      </c>
      <c r="B3179" s="6" t="s">
        <v>9079</v>
      </c>
      <c r="C3179" s="6" t="s">
        <v>13569</v>
      </c>
      <c r="D3179" s="24">
        <v>15.761421</v>
      </c>
      <c r="E3179" s="6" t="s">
        <v>5887</v>
      </c>
      <c r="F3179" s="6">
        <v>21</v>
      </c>
      <c r="G3179" s="8">
        <f t="shared" si="49"/>
        <v>24509.009655000002</v>
      </c>
    </row>
    <row r="3180" spans="1:7" x14ac:dyDescent="0.3">
      <c r="A3180" s="14" t="str">
        <f>VLOOKUP(B3180,'Relacion codigos'!$A:$B,2,FALSE)</f>
        <v>NUEVO</v>
      </c>
      <c r="B3180" s="6" t="s">
        <v>4376</v>
      </c>
      <c r="C3180" s="6" t="s">
        <v>13862</v>
      </c>
      <c r="D3180" s="24">
        <v>18.653310000000001</v>
      </c>
      <c r="E3180" s="6" t="s">
        <v>5887</v>
      </c>
      <c r="F3180" s="6">
        <v>21</v>
      </c>
      <c r="G3180" s="8">
        <f t="shared" si="49"/>
        <v>29005.897050000003</v>
      </c>
    </row>
    <row r="3181" spans="1:7" x14ac:dyDescent="0.3">
      <c r="A3181" s="14" t="str">
        <f>VLOOKUP(B3181,'Relacion codigos'!$A:$B,2,FALSE)</f>
        <v>NUEVO</v>
      </c>
      <c r="B3181" s="6" t="s">
        <v>4377</v>
      </c>
      <c r="C3181" s="6" t="s">
        <v>13863</v>
      </c>
      <c r="D3181" s="24">
        <v>18.653310000000001</v>
      </c>
      <c r="E3181" s="6" t="s">
        <v>5887</v>
      </c>
      <c r="F3181" s="6">
        <v>21</v>
      </c>
      <c r="G3181" s="8">
        <f t="shared" si="49"/>
        <v>29005.897050000003</v>
      </c>
    </row>
    <row r="3182" spans="1:7" x14ac:dyDescent="0.3">
      <c r="A3182" s="14" t="str">
        <f>VLOOKUP(B3182,'Relacion codigos'!$A:$B,2,FALSE)</f>
        <v>NUEVO</v>
      </c>
      <c r="B3182" s="6" t="s">
        <v>4378</v>
      </c>
      <c r="C3182" s="6" t="s">
        <v>13864</v>
      </c>
      <c r="D3182" s="24">
        <v>18.653310000000001</v>
      </c>
      <c r="E3182" s="6" t="s">
        <v>5887</v>
      </c>
      <c r="F3182" s="6">
        <v>21</v>
      </c>
      <c r="G3182" s="8">
        <f t="shared" si="49"/>
        <v>29005.897050000003</v>
      </c>
    </row>
    <row r="3183" spans="1:7" x14ac:dyDescent="0.3">
      <c r="A3183" s="14" t="e">
        <f>VLOOKUP(B3183,'Relacion codigos'!$A:$B,2,FALSE)</f>
        <v>#N/A</v>
      </c>
      <c r="B3183" s="6" t="s">
        <v>10732</v>
      </c>
      <c r="C3183" s="6" t="s">
        <v>10733</v>
      </c>
      <c r="D3183" s="24">
        <v>30.12555</v>
      </c>
      <c r="E3183" s="6" t="s">
        <v>5887</v>
      </c>
      <c r="F3183" s="6">
        <v>21</v>
      </c>
      <c r="G3183" s="8">
        <f t="shared" si="49"/>
        <v>46845.230250000001</v>
      </c>
    </row>
    <row r="3184" spans="1:7" x14ac:dyDescent="0.3">
      <c r="A3184" s="14" t="str">
        <f>VLOOKUP(B3184,'Relacion codigos'!$A:$B,2,FALSE)</f>
        <v>2980</v>
      </c>
      <c r="B3184" s="6" t="s">
        <v>4320</v>
      </c>
      <c r="C3184" s="6" t="s">
        <v>12137</v>
      </c>
      <c r="D3184" s="24">
        <v>1.7902169999999999</v>
      </c>
      <c r="E3184" s="6" t="s">
        <v>5887</v>
      </c>
      <c r="F3184" s="6">
        <v>21</v>
      </c>
      <c r="G3184" s="8">
        <f t="shared" si="49"/>
        <v>2783.7874349999997</v>
      </c>
    </row>
    <row r="3185" spans="1:7" x14ac:dyDescent="0.3">
      <c r="A3185" s="14" t="e">
        <f>VLOOKUP(B3185,'Relacion codigos'!$A:$B,2,FALSE)</f>
        <v>#N/A</v>
      </c>
      <c r="B3185" s="6" t="s">
        <v>12209</v>
      </c>
      <c r="C3185" s="6" t="s">
        <v>12210</v>
      </c>
      <c r="D3185" s="24">
        <v>3.0166499999999998</v>
      </c>
      <c r="E3185" s="6" t="s">
        <v>5887</v>
      </c>
      <c r="F3185" s="6">
        <v>21</v>
      </c>
      <c r="G3185" s="8">
        <f t="shared" si="49"/>
        <v>4690.8907499999996</v>
      </c>
    </row>
    <row r="3186" spans="1:7" x14ac:dyDescent="0.3">
      <c r="A3186" s="14" t="str">
        <f>VLOOKUP(B3186,'Relacion codigos'!$A:$B,2,FALSE)</f>
        <v>2981</v>
      </c>
      <c r="B3186" s="6" t="s">
        <v>4321</v>
      </c>
      <c r="C3186" s="6" t="s">
        <v>12138</v>
      </c>
      <c r="D3186" s="24">
        <v>1.7902169999999999</v>
      </c>
      <c r="E3186" s="6" t="s">
        <v>5887</v>
      </c>
      <c r="F3186" s="6">
        <v>21</v>
      </c>
      <c r="G3186" s="8">
        <f t="shared" si="49"/>
        <v>2783.7874349999997</v>
      </c>
    </row>
    <row r="3187" spans="1:7" x14ac:dyDescent="0.3">
      <c r="A3187" s="14" t="e">
        <f>VLOOKUP(B3187,'Relacion codigos'!$A:$B,2,FALSE)</f>
        <v>#N/A</v>
      </c>
      <c r="B3187" s="6" t="s">
        <v>11283</v>
      </c>
      <c r="C3187" s="6" t="s">
        <v>12139</v>
      </c>
      <c r="D3187" s="24">
        <v>3.0166499999999998</v>
      </c>
      <c r="E3187" s="6" t="s">
        <v>5887</v>
      </c>
      <c r="F3187" s="6">
        <v>21</v>
      </c>
      <c r="G3187" s="8">
        <f t="shared" si="49"/>
        <v>4690.8907499999996</v>
      </c>
    </row>
    <row r="3188" spans="1:7" x14ac:dyDescent="0.3">
      <c r="A3188" s="14" t="str">
        <f>VLOOKUP(B3188,'Relacion codigos'!$A:$B,2,FALSE)</f>
        <v>NUEVO</v>
      </c>
      <c r="B3188" s="6" t="s">
        <v>4322</v>
      </c>
      <c r="C3188" s="6" t="s">
        <v>12140</v>
      </c>
      <c r="D3188" s="24">
        <v>1.7902169999999999</v>
      </c>
      <c r="E3188" s="6" t="s">
        <v>5887</v>
      </c>
      <c r="F3188" s="6">
        <v>21</v>
      </c>
      <c r="G3188" s="8">
        <f t="shared" si="49"/>
        <v>2783.7874349999997</v>
      </c>
    </row>
    <row r="3189" spans="1:7" x14ac:dyDescent="0.3">
      <c r="A3189" s="14" t="e">
        <f>VLOOKUP(B3189,'Relacion codigos'!$A:$B,2,FALSE)</f>
        <v>#N/A</v>
      </c>
      <c r="B3189" s="6" t="s">
        <v>12572</v>
      </c>
      <c r="C3189" s="6" t="s">
        <v>12573</v>
      </c>
      <c r="D3189" s="24">
        <v>3.0166499999999998</v>
      </c>
      <c r="E3189" s="6" t="s">
        <v>5887</v>
      </c>
      <c r="F3189" s="6">
        <v>21</v>
      </c>
      <c r="G3189" s="8">
        <f t="shared" si="49"/>
        <v>4690.8907499999996</v>
      </c>
    </row>
    <row r="3190" spans="1:7" x14ac:dyDescent="0.3">
      <c r="A3190" s="14" t="str">
        <f>VLOOKUP(B3190,'Relacion codigos'!$A:$B,2,FALSE)</f>
        <v>NUEVO</v>
      </c>
      <c r="B3190" s="6" t="s">
        <v>4324</v>
      </c>
      <c r="C3190" s="6" t="s">
        <v>12141</v>
      </c>
      <c r="D3190" s="24">
        <v>6.4646724999999998</v>
      </c>
      <c r="E3190" s="6" t="s">
        <v>5887</v>
      </c>
      <c r="F3190" s="6">
        <v>21</v>
      </c>
      <c r="G3190" s="8">
        <f t="shared" si="49"/>
        <v>10052.565737499999</v>
      </c>
    </row>
    <row r="3191" spans="1:7" x14ac:dyDescent="0.3">
      <c r="A3191" s="14" t="str">
        <f>VLOOKUP(B3191,'Relacion codigos'!$A:$B,2,FALSE)</f>
        <v>NUEVO</v>
      </c>
      <c r="B3191" s="6" t="s">
        <v>4325</v>
      </c>
      <c r="C3191" s="6" t="s">
        <v>12142</v>
      </c>
      <c r="D3191" s="24">
        <v>6.3652160000000002</v>
      </c>
      <c r="E3191" s="6" t="s">
        <v>5887</v>
      </c>
      <c r="F3191" s="6">
        <v>21</v>
      </c>
      <c r="G3191" s="8">
        <f t="shared" si="49"/>
        <v>9897.9108799999995</v>
      </c>
    </row>
    <row r="3192" spans="1:7" x14ac:dyDescent="0.3">
      <c r="A3192" s="14" t="str">
        <f>VLOOKUP(B3192,'Relacion codigos'!$A:$B,2,FALSE)</f>
        <v>NUEVO</v>
      </c>
      <c r="B3192" s="6" t="s">
        <v>4326</v>
      </c>
      <c r="C3192" s="6" t="s">
        <v>12143</v>
      </c>
      <c r="D3192" s="24">
        <v>6.3652160000000002</v>
      </c>
      <c r="E3192" s="6" t="s">
        <v>5887</v>
      </c>
      <c r="F3192" s="6">
        <v>21</v>
      </c>
      <c r="G3192" s="8">
        <f t="shared" si="49"/>
        <v>9897.9108799999995</v>
      </c>
    </row>
    <row r="3193" spans="1:7" x14ac:dyDescent="0.3">
      <c r="A3193" s="14" t="str">
        <f>VLOOKUP(B3193,'Relacion codigos'!$A:$B,2,FALSE)</f>
        <v>3010</v>
      </c>
      <c r="B3193" s="6" t="s">
        <v>4350</v>
      </c>
      <c r="C3193" s="6" t="s">
        <v>12144</v>
      </c>
      <c r="D3193" s="24">
        <v>2090.8065360000001</v>
      </c>
      <c r="E3193" s="6" t="s">
        <v>5889</v>
      </c>
      <c r="F3193" s="6">
        <v>21</v>
      </c>
      <c r="G3193" s="8">
        <f t="shared" si="49"/>
        <v>2090.8065360000001</v>
      </c>
    </row>
    <row r="3194" spans="1:7" x14ac:dyDescent="0.3">
      <c r="A3194" s="14" t="e">
        <f>VLOOKUP(B3194,'Relacion codigos'!$A:$B,2,FALSE)</f>
        <v>#N/A</v>
      </c>
      <c r="B3194" s="6" t="s">
        <v>11284</v>
      </c>
      <c r="C3194" s="6" t="s">
        <v>12145</v>
      </c>
      <c r="D3194" s="24">
        <v>3.2691750000000002</v>
      </c>
      <c r="E3194" s="6" t="s">
        <v>5887</v>
      </c>
      <c r="F3194" s="6">
        <v>21</v>
      </c>
      <c r="G3194" s="8">
        <f t="shared" si="49"/>
        <v>5083.5671250000005</v>
      </c>
    </row>
    <row r="3195" spans="1:7" x14ac:dyDescent="0.3">
      <c r="A3195" s="14" t="str">
        <f>VLOOKUP(B3195,'Relacion codigos'!$A:$B,2,FALSE)</f>
        <v>3011</v>
      </c>
      <c r="B3195" s="6" t="s">
        <v>4351</v>
      </c>
      <c r="C3195" s="6" t="s">
        <v>12252</v>
      </c>
      <c r="D3195" s="24">
        <v>1.7902169999999999</v>
      </c>
      <c r="E3195" s="6" t="s">
        <v>5887</v>
      </c>
      <c r="F3195" s="6">
        <v>21</v>
      </c>
      <c r="G3195" s="8">
        <f t="shared" si="49"/>
        <v>2783.7874349999997</v>
      </c>
    </row>
    <row r="3196" spans="1:7" x14ac:dyDescent="0.3">
      <c r="A3196" s="14" t="e">
        <f>VLOOKUP(B3196,'Relacion codigos'!$A:$B,2,FALSE)</f>
        <v>#N/A</v>
      </c>
      <c r="B3196" s="6" t="s">
        <v>11285</v>
      </c>
      <c r="C3196" s="6" t="s">
        <v>12146</v>
      </c>
      <c r="D3196" s="24">
        <v>3.2691750000000002</v>
      </c>
      <c r="E3196" s="6" t="s">
        <v>5887</v>
      </c>
      <c r="F3196" s="6">
        <v>21</v>
      </c>
      <c r="G3196" s="8">
        <f t="shared" si="49"/>
        <v>5083.5671250000005</v>
      </c>
    </row>
    <row r="3197" spans="1:7" x14ac:dyDescent="0.3">
      <c r="A3197" s="14" t="str">
        <f>VLOOKUP(B3197,'Relacion codigos'!$A:$B,2,FALSE)</f>
        <v>NUEVO</v>
      </c>
      <c r="B3197" s="6" t="s">
        <v>4352</v>
      </c>
      <c r="C3197" s="6" t="s">
        <v>12147</v>
      </c>
      <c r="D3197" s="24">
        <v>1.7902169999999999</v>
      </c>
      <c r="E3197" s="6" t="s">
        <v>5887</v>
      </c>
      <c r="F3197" s="6">
        <v>21</v>
      </c>
      <c r="G3197" s="8">
        <f t="shared" si="49"/>
        <v>2783.7874349999997</v>
      </c>
    </row>
    <row r="3198" spans="1:7" x14ac:dyDescent="0.3">
      <c r="A3198" s="14" t="e">
        <f>VLOOKUP(B3198,'Relacion codigos'!$A:$B,2,FALSE)</f>
        <v>#N/A</v>
      </c>
      <c r="B3198" s="6" t="s">
        <v>8886</v>
      </c>
      <c r="C3198" s="6" t="s">
        <v>10086</v>
      </c>
      <c r="D3198" s="24">
        <v>183715.69905</v>
      </c>
      <c r="E3198" s="6" t="s">
        <v>5889</v>
      </c>
      <c r="F3198" s="6">
        <v>21</v>
      </c>
      <c r="G3198" s="8">
        <f t="shared" si="49"/>
        <v>183715.69905</v>
      </c>
    </row>
    <row r="3199" spans="1:7" x14ac:dyDescent="0.3">
      <c r="A3199" s="14" t="e">
        <f>VLOOKUP(B3199,'Relacion codigos'!$A:$B,2,FALSE)</f>
        <v>#N/A</v>
      </c>
      <c r="B3199" s="6" t="s">
        <v>9575</v>
      </c>
      <c r="C3199" s="6" t="s">
        <v>10087</v>
      </c>
      <c r="D3199" s="24">
        <v>183715.69905</v>
      </c>
      <c r="E3199" s="6" t="s">
        <v>5889</v>
      </c>
      <c r="F3199" s="6">
        <v>21</v>
      </c>
      <c r="G3199" s="8">
        <f t="shared" si="49"/>
        <v>183715.69905</v>
      </c>
    </row>
    <row r="3200" spans="1:7" x14ac:dyDescent="0.3">
      <c r="A3200" s="14" t="e">
        <f>VLOOKUP(B3200,'Relacion codigos'!$A:$B,2,FALSE)</f>
        <v>#N/A</v>
      </c>
      <c r="B3200" s="6" t="s">
        <v>8887</v>
      </c>
      <c r="C3200" s="6" t="s">
        <v>10088</v>
      </c>
      <c r="D3200" s="24">
        <v>183715.69905</v>
      </c>
      <c r="E3200" s="6" t="s">
        <v>5889</v>
      </c>
      <c r="F3200" s="6">
        <v>21</v>
      </c>
      <c r="G3200" s="8">
        <f t="shared" si="49"/>
        <v>183715.69905</v>
      </c>
    </row>
    <row r="3201" spans="1:7" x14ac:dyDescent="0.3">
      <c r="A3201" s="14" t="str">
        <f>VLOOKUP(B3201,'Relacion codigos'!$A:$B,2,FALSE)</f>
        <v>9160</v>
      </c>
      <c r="B3201" s="6" t="s">
        <v>3835</v>
      </c>
      <c r="C3201" s="6" t="s">
        <v>10089</v>
      </c>
      <c r="D3201" s="24">
        <v>183715.69905</v>
      </c>
      <c r="E3201" s="6" t="s">
        <v>5889</v>
      </c>
      <c r="F3201" s="6">
        <v>21</v>
      </c>
      <c r="G3201" s="8">
        <f t="shared" si="49"/>
        <v>183715.69905</v>
      </c>
    </row>
    <row r="3202" spans="1:7" x14ac:dyDescent="0.3">
      <c r="A3202" s="14" t="e">
        <f>VLOOKUP(B3202,'Relacion codigos'!$A:$B,2,FALSE)</f>
        <v>#N/A</v>
      </c>
      <c r="B3202" s="6" t="s">
        <v>8888</v>
      </c>
      <c r="C3202" s="6" t="s">
        <v>10090</v>
      </c>
      <c r="D3202" s="24">
        <v>183715.69905</v>
      </c>
      <c r="E3202" s="6" t="s">
        <v>5889</v>
      </c>
      <c r="F3202" s="6">
        <v>21</v>
      </c>
      <c r="G3202" s="8">
        <f t="shared" ref="G3202:G3265" si="50">IF(E3202="Dolares",D3202*$G$1,D3202)</f>
        <v>183715.69905</v>
      </c>
    </row>
    <row r="3203" spans="1:7" x14ac:dyDescent="0.3">
      <c r="A3203" s="14" t="e">
        <f>VLOOKUP(B3203,'Relacion codigos'!$A:$B,2,FALSE)</f>
        <v>#N/A</v>
      </c>
      <c r="B3203" s="6" t="s">
        <v>9583</v>
      </c>
      <c r="C3203" s="6" t="s">
        <v>10091</v>
      </c>
      <c r="D3203" s="24">
        <v>183715.69905</v>
      </c>
      <c r="E3203" s="6" t="s">
        <v>5889</v>
      </c>
      <c r="F3203" s="6">
        <v>21</v>
      </c>
      <c r="G3203" s="8">
        <f t="shared" si="50"/>
        <v>183715.69905</v>
      </c>
    </row>
    <row r="3204" spans="1:7" x14ac:dyDescent="0.3">
      <c r="A3204" s="14" t="e">
        <f>VLOOKUP(B3204,'Relacion codigos'!$A:$B,2,FALSE)</f>
        <v>#N/A</v>
      </c>
      <c r="B3204" s="6" t="s">
        <v>9576</v>
      </c>
      <c r="C3204" s="6" t="s">
        <v>10092</v>
      </c>
      <c r="D3204" s="24">
        <v>183715.69905</v>
      </c>
      <c r="E3204" s="6" t="s">
        <v>5889</v>
      </c>
      <c r="F3204" s="6">
        <v>21</v>
      </c>
      <c r="G3204" s="8">
        <f t="shared" si="50"/>
        <v>183715.69905</v>
      </c>
    </row>
    <row r="3205" spans="1:7" x14ac:dyDescent="0.3">
      <c r="A3205" s="14" t="str">
        <f>VLOOKUP(B3205,'Relacion codigos'!$A:$B,2,FALSE)</f>
        <v>8610</v>
      </c>
      <c r="B3205" s="6" t="s">
        <v>4133</v>
      </c>
      <c r="C3205" s="6" t="s">
        <v>1111</v>
      </c>
      <c r="D3205" s="24">
        <v>3.8868991199999998</v>
      </c>
      <c r="E3205" s="6" t="s">
        <v>5887</v>
      </c>
      <c r="F3205" s="6">
        <v>21</v>
      </c>
      <c r="G3205" s="8">
        <f t="shared" si="50"/>
        <v>6044.1281315999995</v>
      </c>
    </row>
    <row r="3206" spans="1:7" x14ac:dyDescent="0.3">
      <c r="A3206" s="14" t="str">
        <f>VLOOKUP(B3206,'Relacion codigos'!$A:$B,2,FALSE)</f>
        <v>1057</v>
      </c>
      <c r="B3206" s="6" t="s">
        <v>4134</v>
      </c>
      <c r="C3206" s="6" t="s">
        <v>10494</v>
      </c>
      <c r="D3206" s="24">
        <v>7192.0263999999997</v>
      </c>
      <c r="E3206" s="6" t="s">
        <v>5889</v>
      </c>
      <c r="F3206" s="6">
        <v>21</v>
      </c>
      <c r="G3206" s="8">
        <f t="shared" si="50"/>
        <v>7192.0263999999997</v>
      </c>
    </row>
    <row r="3207" spans="1:7" x14ac:dyDescent="0.3">
      <c r="A3207" s="14" t="str">
        <f>VLOOKUP(B3207,'Relacion codigos'!$A:$B,2,FALSE)</f>
        <v>1058</v>
      </c>
      <c r="B3207" s="6" t="s">
        <v>4135</v>
      </c>
      <c r="C3207" s="6" t="s">
        <v>10495</v>
      </c>
      <c r="D3207" s="24">
        <v>8686.5167999999994</v>
      </c>
      <c r="E3207" s="6" t="s">
        <v>5889</v>
      </c>
      <c r="F3207" s="6">
        <v>21</v>
      </c>
      <c r="G3207" s="8">
        <f t="shared" si="50"/>
        <v>8686.5167999999994</v>
      </c>
    </row>
    <row r="3208" spans="1:7" x14ac:dyDescent="0.3">
      <c r="A3208" s="14" t="str">
        <f>VLOOKUP(B3208,'Relacion codigos'!$A:$B,2,FALSE)</f>
        <v>1060</v>
      </c>
      <c r="B3208" s="6" t="s">
        <v>4136</v>
      </c>
      <c r="C3208" s="6" t="s">
        <v>540</v>
      </c>
      <c r="D3208" s="24">
        <v>12251.928</v>
      </c>
      <c r="E3208" s="6" t="s">
        <v>5889</v>
      </c>
      <c r="F3208" s="6">
        <v>21</v>
      </c>
      <c r="G3208" s="8">
        <f t="shared" si="50"/>
        <v>12251.928</v>
      </c>
    </row>
    <row r="3209" spans="1:7" x14ac:dyDescent="0.3">
      <c r="A3209" s="14" t="str">
        <f>VLOOKUP(B3209,'Relacion codigos'!$A:$B,2,FALSE)</f>
        <v>1061</v>
      </c>
      <c r="B3209" s="6" t="s">
        <v>4137</v>
      </c>
      <c r="C3209" s="6" t="s">
        <v>10496</v>
      </c>
      <c r="D3209" s="24">
        <v>16296.956</v>
      </c>
      <c r="E3209" s="6" t="s">
        <v>5889</v>
      </c>
      <c r="F3209" s="6">
        <v>21</v>
      </c>
      <c r="G3209" s="8">
        <f t="shared" si="50"/>
        <v>16296.956</v>
      </c>
    </row>
    <row r="3210" spans="1:7" x14ac:dyDescent="0.3">
      <c r="A3210" s="14" t="str">
        <f>VLOOKUP(B3210,'Relacion codigos'!$A:$B,2,FALSE)</f>
        <v>1376</v>
      </c>
      <c r="B3210" s="6" t="s">
        <v>4139</v>
      </c>
      <c r="C3210" s="6" t="s">
        <v>13659</v>
      </c>
      <c r="D3210" s="24">
        <v>20526.179513372001</v>
      </c>
      <c r="E3210" s="6" t="s">
        <v>5889</v>
      </c>
      <c r="F3210" s="6">
        <v>21</v>
      </c>
      <c r="G3210" s="8">
        <f t="shared" si="50"/>
        <v>20526.179513372001</v>
      </c>
    </row>
    <row r="3211" spans="1:7" x14ac:dyDescent="0.3">
      <c r="A3211" s="14" t="str">
        <f>VLOOKUP(B3211,'Relacion codigos'!$A:$B,2,FALSE)</f>
        <v>1734</v>
      </c>
      <c r="B3211" s="6" t="s">
        <v>4141</v>
      </c>
      <c r="C3211" s="6" t="s">
        <v>12655</v>
      </c>
      <c r="D3211" s="24">
        <v>32444.519434599999</v>
      </c>
      <c r="E3211" s="6" t="s">
        <v>5889</v>
      </c>
      <c r="F3211" s="6">
        <v>21</v>
      </c>
      <c r="G3211" s="8">
        <f t="shared" si="50"/>
        <v>32444.519434599999</v>
      </c>
    </row>
    <row r="3212" spans="1:7" x14ac:dyDescent="0.3">
      <c r="A3212" s="14" t="str">
        <f>VLOOKUP(B3212,'Relacion codigos'!$A:$B,2,FALSE)</f>
        <v>6831</v>
      </c>
      <c r="B3212" s="6" t="s">
        <v>4140</v>
      </c>
      <c r="C3212" s="6" t="s">
        <v>1112</v>
      </c>
      <c r="D3212" s="24">
        <v>32444.519434599999</v>
      </c>
      <c r="E3212" s="6" t="s">
        <v>5889</v>
      </c>
      <c r="F3212" s="6">
        <v>21</v>
      </c>
      <c r="G3212" s="8">
        <f t="shared" si="50"/>
        <v>32444.519434599999</v>
      </c>
    </row>
    <row r="3213" spans="1:7" x14ac:dyDescent="0.3">
      <c r="A3213" s="14" t="str">
        <f>VLOOKUP(B3213,'Relacion codigos'!$A:$B,2,FALSE)</f>
        <v>8872</v>
      </c>
      <c r="B3213" s="6" t="s">
        <v>3818</v>
      </c>
      <c r="C3213" s="6" t="s">
        <v>10497</v>
      </c>
      <c r="D3213" s="24">
        <v>41640.976000000002</v>
      </c>
      <c r="E3213" s="6" t="s">
        <v>5889</v>
      </c>
      <c r="F3213" s="6">
        <v>21</v>
      </c>
      <c r="G3213" s="8">
        <f t="shared" si="50"/>
        <v>41640.976000000002</v>
      </c>
    </row>
    <row r="3214" spans="1:7" x14ac:dyDescent="0.3">
      <c r="A3214" s="14" t="str">
        <f>VLOOKUP(B3214,'Relacion codigos'!$A:$B,2,FALSE)</f>
        <v>8868</v>
      </c>
      <c r="B3214" s="6" t="s">
        <v>3819</v>
      </c>
      <c r="C3214" s="6" t="s">
        <v>10498</v>
      </c>
      <c r="D3214" s="24">
        <v>17326.295999999998</v>
      </c>
      <c r="E3214" s="6" t="s">
        <v>5889</v>
      </c>
      <c r="F3214" s="6">
        <v>21</v>
      </c>
      <c r="G3214" s="8">
        <f t="shared" si="50"/>
        <v>17326.295999999998</v>
      </c>
    </row>
    <row r="3215" spans="1:7" x14ac:dyDescent="0.3">
      <c r="A3215" s="14" t="str">
        <f>VLOOKUP(B3215,'Relacion codigos'!$A:$B,2,FALSE)</f>
        <v>8125</v>
      </c>
      <c r="B3215" s="6" t="s">
        <v>4142</v>
      </c>
      <c r="C3215" s="6" t="s">
        <v>1004</v>
      </c>
      <c r="D3215" s="24">
        <v>7.1500488019999997</v>
      </c>
      <c r="E3215" s="6" t="s">
        <v>5887</v>
      </c>
      <c r="F3215" s="6">
        <v>21</v>
      </c>
      <c r="G3215" s="8">
        <f t="shared" si="50"/>
        <v>11118.325887109999</v>
      </c>
    </row>
    <row r="3216" spans="1:7" x14ac:dyDescent="0.3">
      <c r="A3216" s="14" t="str">
        <f>VLOOKUP(B3216,'Relacion codigos'!$A:$B,2,FALSE)</f>
        <v>8126</v>
      </c>
      <c r="B3216" s="6" t="s">
        <v>4143</v>
      </c>
      <c r="C3216" s="6" t="s">
        <v>1005</v>
      </c>
      <c r="D3216" s="24">
        <v>10.725073203000001</v>
      </c>
      <c r="E3216" s="6" t="s">
        <v>5887</v>
      </c>
      <c r="F3216" s="6">
        <v>21</v>
      </c>
      <c r="G3216" s="8">
        <f t="shared" si="50"/>
        <v>16677.488830665003</v>
      </c>
    </row>
    <row r="3217" spans="1:7" x14ac:dyDescent="0.3">
      <c r="A3217" s="14" t="str">
        <f>VLOOKUP(B3217,'Relacion codigos'!$A:$B,2,FALSE)</f>
        <v>9155</v>
      </c>
      <c r="B3217" s="6" t="s">
        <v>3413</v>
      </c>
      <c r="C3217" s="6" t="s">
        <v>1209</v>
      </c>
      <c r="D3217" s="24">
        <v>47983.759788119998</v>
      </c>
      <c r="E3217" s="6" t="s">
        <v>5889</v>
      </c>
      <c r="F3217" s="6">
        <v>21</v>
      </c>
      <c r="G3217" s="8">
        <f t="shared" si="50"/>
        <v>47983.759788119998</v>
      </c>
    </row>
    <row r="3218" spans="1:7" x14ac:dyDescent="0.3">
      <c r="A3218" s="14" t="e">
        <f>VLOOKUP(B3218,'Relacion codigos'!$A:$B,2,FALSE)</f>
        <v>#N/A</v>
      </c>
      <c r="B3218" s="6" t="s">
        <v>12019</v>
      </c>
      <c r="C3218" s="6" t="s">
        <v>12020</v>
      </c>
      <c r="D3218" s="24">
        <v>40.338999999999999</v>
      </c>
      <c r="E3218" s="6" t="s">
        <v>5887</v>
      </c>
      <c r="F3218" s="6">
        <v>21</v>
      </c>
      <c r="G3218" s="8">
        <f t="shared" si="50"/>
        <v>62727.144999999997</v>
      </c>
    </row>
    <row r="3219" spans="1:7" x14ac:dyDescent="0.3">
      <c r="A3219" s="14" t="e">
        <f>VLOOKUP(B3219,'Relacion codigos'!$A:$B,2,FALSE)</f>
        <v>#N/A</v>
      </c>
      <c r="B3219" s="6" t="s">
        <v>12021</v>
      </c>
      <c r="C3219" s="6" t="s">
        <v>13671</v>
      </c>
      <c r="D3219" s="24">
        <v>49.276499999999999</v>
      </c>
      <c r="E3219" s="6" t="s">
        <v>5887</v>
      </c>
      <c r="F3219" s="6">
        <v>21</v>
      </c>
      <c r="G3219" s="8">
        <f t="shared" si="50"/>
        <v>76624.957500000004</v>
      </c>
    </row>
    <row r="3220" spans="1:7" x14ac:dyDescent="0.3">
      <c r="A3220" s="14" t="e">
        <f>VLOOKUP(B3220,'Relacion codigos'!$A:$B,2,FALSE)</f>
        <v>#N/A</v>
      </c>
      <c r="B3220" s="6" t="s">
        <v>12211</v>
      </c>
      <c r="C3220" s="6" t="s">
        <v>12212</v>
      </c>
      <c r="D3220" s="24">
        <v>13.781115504000001</v>
      </c>
      <c r="E3220" s="6" t="s">
        <v>5887</v>
      </c>
      <c r="F3220" s="6">
        <v>21</v>
      </c>
      <c r="G3220" s="8">
        <f t="shared" si="50"/>
        <v>21429.63460872</v>
      </c>
    </row>
    <row r="3221" spans="1:7" x14ac:dyDescent="0.3">
      <c r="A3221" s="14" t="e">
        <f>VLOOKUP(B3221,'Relacion codigos'!$A:$B,2,FALSE)</f>
        <v>#N/A</v>
      </c>
      <c r="B3221" s="6" t="s">
        <v>11772</v>
      </c>
      <c r="C3221" s="6" t="s">
        <v>11773</v>
      </c>
      <c r="D3221" s="24">
        <v>18.082999999999998</v>
      </c>
      <c r="E3221" s="6" t="s">
        <v>5887</v>
      </c>
      <c r="F3221" s="6">
        <v>21</v>
      </c>
      <c r="G3221" s="8">
        <f t="shared" si="50"/>
        <v>28119.064999999999</v>
      </c>
    </row>
    <row r="3222" spans="1:7" x14ac:dyDescent="0.3">
      <c r="A3222" s="14" t="e">
        <f>VLOOKUP(B3222,'Relacion codigos'!$A:$B,2,FALSE)</f>
        <v>#N/A</v>
      </c>
      <c r="B3222" s="6" t="s">
        <v>12253</v>
      </c>
      <c r="C3222" s="6" t="s">
        <v>12254</v>
      </c>
      <c r="D3222" s="24">
        <v>96.333704999999995</v>
      </c>
      <c r="E3222" s="6" t="s">
        <v>5887</v>
      </c>
      <c r="F3222" s="6">
        <v>21</v>
      </c>
      <c r="G3222" s="8">
        <f t="shared" si="50"/>
        <v>149798.91127499999</v>
      </c>
    </row>
    <row r="3223" spans="1:7" x14ac:dyDescent="0.3">
      <c r="A3223" s="14" t="e">
        <f>VLOOKUP(B3223,'Relacion codigos'!$A:$B,2,FALSE)</f>
        <v>#N/A</v>
      </c>
      <c r="B3223" s="6" t="s">
        <v>12255</v>
      </c>
      <c r="C3223" s="6" t="s">
        <v>12256</v>
      </c>
      <c r="D3223" s="24">
        <v>96.333704999999995</v>
      </c>
      <c r="E3223" s="6" t="s">
        <v>5887</v>
      </c>
      <c r="F3223" s="6">
        <v>21</v>
      </c>
      <c r="G3223" s="8">
        <f t="shared" si="50"/>
        <v>149798.91127499999</v>
      </c>
    </row>
    <row r="3224" spans="1:7" x14ac:dyDescent="0.3">
      <c r="A3224" s="14" t="str">
        <f>VLOOKUP(B3224,'Relacion codigos'!$A:$B,2,FALSE)</f>
        <v>1393</v>
      </c>
      <c r="B3224" s="6" t="s">
        <v>3470</v>
      </c>
      <c r="C3224" s="6" t="s">
        <v>542</v>
      </c>
      <c r="D3224" s="24">
        <v>2708.8224962292002</v>
      </c>
      <c r="E3224" s="6" t="s">
        <v>5889</v>
      </c>
      <c r="F3224" s="6">
        <v>10.5</v>
      </c>
      <c r="G3224" s="8">
        <f t="shared" si="50"/>
        <v>2708.8224962292002</v>
      </c>
    </row>
    <row r="3225" spans="1:7" x14ac:dyDescent="0.3">
      <c r="A3225" s="14" t="e">
        <f>VLOOKUP(B3225,'Relacion codigos'!$A:$B,2,FALSE)</f>
        <v>#N/A</v>
      </c>
      <c r="B3225" s="6" t="s">
        <v>9453</v>
      </c>
      <c r="C3225" s="6" t="s">
        <v>9454</v>
      </c>
      <c r="D3225" s="24">
        <v>1123.2325000000001</v>
      </c>
      <c r="E3225" s="6" t="s">
        <v>5889</v>
      </c>
      <c r="F3225" s="6">
        <v>10.5</v>
      </c>
      <c r="G3225" s="8">
        <f t="shared" si="50"/>
        <v>1123.2325000000001</v>
      </c>
    </row>
    <row r="3226" spans="1:7" x14ac:dyDescent="0.3">
      <c r="A3226" s="14" t="str">
        <f>VLOOKUP(B3226,'Relacion codigos'!$A:$B,2,FALSE)</f>
        <v>3161</v>
      </c>
      <c r="B3226" s="6" t="s">
        <v>3471</v>
      </c>
      <c r="C3226" s="6" t="s">
        <v>543</v>
      </c>
      <c r="D3226" s="24">
        <v>841.54561666573295</v>
      </c>
      <c r="E3226" s="6" t="s">
        <v>5889</v>
      </c>
      <c r="F3226" s="6">
        <v>10.5</v>
      </c>
      <c r="G3226" s="8">
        <f t="shared" si="50"/>
        <v>841.54561666573295</v>
      </c>
    </row>
    <row r="3227" spans="1:7" x14ac:dyDescent="0.3">
      <c r="A3227" s="14" t="str">
        <f>VLOOKUP(B3227,'Relacion codigos'!$A:$B,2,FALSE)</f>
        <v>1394</v>
      </c>
      <c r="B3227" s="6" t="s">
        <v>3472</v>
      </c>
      <c r="C3227" s="6" t="s">
        <v>544</v>
      </c>
      <c r="D3227" s="24">
        <v>2708.8224962292002</v>
      </c>
      <c r="E3227" s="6" t="s">
        <v>5889</v>
      </c>
      <c r="F3227" s="6">
        <v>10.5</v>
      </c>
      <c r="G3227" s="8">
        <f t="shared" si="50"/>
        <v>2708.8224962292002</v>
      </c>
    </row>
    <row r="3228" spans="1:7" x14ac:dyDescent="0.3">
      <c r="A3228" s="14" t="e">
        <f>VLOOKUP(B3228,'Relacion codigos'!$A:$B,2,FALSE)</f>
        <v>#N/A</v>
      </c>
      <c r="B3228" s="6" t="s">
        <v>9455</v>
      </c>
      <c r="C3228" s="6" t="s">
        <v>9456</v>
      </c>
      <c r="D3228" s="24">
        <v>1123.2325000000001</v>
      </c>
      <c r="E3228" s="6" t="s">
        <v>5889</v>
      </c>
      <c r="F3228" s="6">
        <v>10.5</v>
      </c>
      <c r="G3228" s="8">
        <f t="shared" si="50"/>
        <v>1123.2325000000001</v>
      </c>
    </row>
    <row r="3229" spans="1:7" x14ac:dyDescent="0.3">
      <c r="A3229" s="14" t="str">
        <f>VLOOKUP(B3229,'Relacion codigos'!$A:$B,2,FALSE)</f>
        <v>8930</v>
      </c>
      <c r="B3229" s="6" t="s">
        <v>2604</v>
      </c>
      <c r="C3229" s="6" t="s">
        <v>1140</v>
      </c>
      <c r="D3229" s="24">
        <v>13393.516136</v>
      </c>
      <c r="E3229" s="6" t="s">
        <v>5889</v>
      </c>
      <c r="F3229" s="6">
        <v>21</v>
      </c>
      <c r="G3229" s="8">
        <f t="shared" si="50"/>
        <v>13393.516136</v>
      </c>
    </row>
    <row r="3230" spans="1:7" x14ac:dyDescent="0.3">
      <c r="A3230" s="14" t="str">
        <f>VLOOKUP(B3230,'Relacion codigos'!$A:$B,2,FALSE)</f>
        <v>8931</v>
      </c>
      <c r="B3230" s="6" t="s">
        <v>2605</v>
      </c>
      <c r="C3230" s="6" t="s">
        <v>1141</v>
      </c>
      <c r="D3230" s="24">
        <v>18548.244987999999</v>
      </c>
      <c r="E3230" s="6" t="s">
        <v>5889</v>
      </c>
      <c r="F3230" s="6">
        <v>21</v>
      </c>
      <c r="G3230" s="8">
        <f t="shared" si="50"/>
        <v>18548.244987999999</v>
      </c>
    </row>
    <row r="3231" spans="1:7" x14ac:dyDescent="0.3">
      <c r="A3231" s="14" t="str">
        <f>VLOOKUP(B3231,'Relacion codigos'!$A:$B,2,FALSE)</f>
        <v>800</v>
      </c>
      <c r="B3231" s="6" t="s">
        <v>2606</v>
      </c>
      <c r="C3231" s="6" t="s">
        <v>1142</v>
      </c>
      <c r="D3231" s="24">
        <v>5555.0558700000001</v>
      </c>
      <c r="E3231" s="6" t="s">
        <v>5889</v>
      </c>
      <c r="F3231" s="6">
        <v>21</v>
      </c>
      <c r="G3231" s="8">
        <f t="shared" si="50"/>
        <v>5555.0558700000001</v>
      </c>
    </row>
    <row r="3232" spans="1:7" x14ac:dyDescent="0.3">
      <c r="A3232" s="14" t="e">
        <f>VLOOKUP(B3232,'Relacion codigos'!$A:$B,2,FALSE)</f>
        <v>#N/A</v>
      </c>
      <c r="B3232" s="6" t="s">
        <v>13797</v>
      </c>
      <c r="C3232" s="6" t="s">
        <v>13798</v>
      </c>
      <c r="D3232" s="24">
        <v>5768.9221200000002</v>
      </c>
      <c r="E3232" s="6" t="s">
        <v>5889</v>
      </c>
      <c r="F3232" s="6">
        <v>21</v>
      </c>
      <c r="G3232" s="8">
        <f t="shared" si="50"/>
        <v>5768.9221200000002</v>
      </c>
    </row>
    <row r="3233" spans="1:7" x14ac:dyDescent="0.3">
      <c r="A3233" s="14" t="e">
        <f>VLOOKUP(B3233,'Relacion codigos'!$A:$B,2,FALSE)</f>
        <v>#N/A</v>
      </c>
      <c r="B3233" s="6" t="s">
        <v>13799</v>
      </c>
      <c r="C3233" s="6" t="s">
        <v>13800</v>
      </c>
      <c r="D3233" s="24">
        <v>7370.0604899999998</v>
      </c>
      <c r="E3233" s="6" t="s">
        <v>5889</v>
      </c>
      <c r="F3233" s="6">
        <v>21</v>
      </c>
      <c r="G3233" s="8">
        <f t="shared" si="50"/>
        <v>7370.0604899999998</v>
      </c>
    </row>
    <row r="3234" spans="1:7" x14ac:dyDescent="0.3">
      <c r="A3234" s="14" t="e">
        <f>VLOOKUP(B3234,'Relacion codigos'!$A:$B,2,FALSE)</f>
        <v>#N/A</v>
      </c>
      <c r="B3234" s="6" t="s">
        <v>13801</v>
      </c>
      <c r="C3234" s="6" t="s">
        <v>13802</v>
      </c>
      <c r="D3234" s="24">
        <v>7712.7055200000004</v>
      </c>
      <c r="E3234" s="6" t="s">
        <v>5889</v>
      </c>
      <c r="F3234" s="6">
        <v>21</v>
      </c>
      <c r="G3234" s="8">
        <f t="shared" si="50"/>
        <v>7712.7055200000004</v>
      </c>
    </row>
    <row r="3235" spans="1:7" x14ac:dyDescent="0.3">
      <c r="A3235" s="14" t="str">
        <f>VLOOKUP(B3235,'Relacion codigos'!$A:$B,2,FALSE)</f>
        <v>7334</v>
      </c>
      <c r="B3235" s="6" t="s">
        <v>2426</v>
      </c>
      <c r="C3235" s="6" t="s">
        <v>545</v>
      </c>
      <c r="D3235" s="24">
        <v>10147.40064</v>
      </c>
      <c r="E3235" s="6" t="s">
        <v>5889</v>
      </c>
      <c r="F3235" s="6">
        <v>21</v>
      </c>
      <c r="G3235" s="8">
        <f t="shared" si="50"/>
        <v>10147.40064</v>
      </c>
    </row>
    <row r="3236" spans="1:7" x14ac:dyDescent="0.3">
      <c r="A3236" s="14" t="str">
        <f>VLOOKUP(B3236,'Relacion codigos'!$A:$B,2,FALSE)</f>
        <v>8462</v>
      </c>
      <c r="B3236" s="6" t="s">
        <v>1533</v>
      </c>
      <c r="C3236" s="6" t="s">
        <v>13771</v>
      </c>
      <c r="D3236" s="24">
        <v>0.32287500000000002</v>
      </c>
      <c r="E3236" s="6" t="s">
        <v>5887</v>
      </c>
      <c r="F3236" s="6">
        <v>21</v>
      </c>
      <c r="G3236" s="8">
        <f t="shared" si="50"/>
        <v>502.07062500000006</v>
      </c>
    </row>
    <row r="3237" spans="1:7" x14ac:dyDescent="0.3">
      <c r="A3237" s="14" t="str">
        <f>VLOOKUP(B3237,'Relacion codigos'!$A:$B,2,FALSE)</f>
        <v>8463</v>
      </c>
      <c r="B3237" s="6" t="s">
        <v>1535</v>
      </c>
      <c r="C3237" s="6" t="s">
        <v>13772</v>
      </c>
      <c r="D3237" s="24">
        <v>0.252</v>
      </c>
      <c r="E3237" s="6" t="s">
        <v>5887</v>
      </c>
      <c r="F3237" s="6">
        <v>21</v>
      </c>
      <c r="G3237" s="8">
        <f t="shared" si="50"/>
        <v>391.86</v>
      </c>
    </row>
    <row r="3238" spans="1:7" x14ac:dyDescent="0.3">
      <c r="A3238" s="14" t="e">
        <f>VLOOKUP(B3238,'Relacion codigos'!$A:$B,2,FALSE)</f>
        <v>#N/A</v>
      </c>
      <c r="B3238" s="6" t="s">
        <v>13773</v>
      </c>
      <c r="C3238" s="6" t="s">
        <v>13774</v>
      </c>
      <c r="D3238" s="24">
        <v>1.5513749999999999</v>
      </c>
      <c r="E3238" s="6" t="s">
        <v>5887</v>
      </c>
      <c r="F3238" s="6">
        <v>21</v>
      </c>
      <c r="G3238" s="8">
        <f t="shared" si="50"/>
        <v>2412.3881249999999</v>
      </c>
    </row>
    <row r="3239" spans="1:7" x14ac:dyDescent="0.3">
      <c r="A3239" s="14" t="str">
        <f>VLOOKUP(B3239,'Relacion codigos'!$A:$B,2,FALSE)</f>
        <v>8468</v>
      </c>
      <c r="B3239" s="6" t="s">
        <v>1537</v>
      </c>
      <c r="C3239" s="6" t="s">
        <v>13999</v>
      </c>
      <c r="D3239" s="24">
        <v>1867.1080025000001</v>
      </c>
      <c r="E3239" s="6" t="s">
        <v>5889</v>
      </c>
      <c r="F3239" s="6">
        <v>21</v>
      </c>
      <c r="G3239" s="8">
        <f t="shared" si="50"/>
        <v>1867.1080025000001</v>
      </c>
    </row>
    <row r="3240" spans="1:7" x14ac:dyDescent="0.3">
      <c r="A3240" s="14" t="str">
        <f>VLOOKUP(B3240,'Relacion codigos'!$A:$B,2,FALSE)</f>
        <v>8469</v>
      </c>
      <c r="B3240" s="6" t="s">
        <v>1538</v>
      </c>
      <c r="C3240" s="6" t="s">
        <v>14000</v>
      </c>
      <c r="D3240" s="24">
        <v>2802.7724985</v>
      </c>
      <c r="E3240" s="6" t="s">
        <v>5889</v>
      </c>
      <c r="F3240" s="6">
        <v>21</v>
      </c>
      <c r="G3240" s="8">
        <f t="shared" si="50"/>
        <v>2802.7724985</v>
      </c>
    </row>
    <row r="3241" spans="1:7" x14ac:dyDescent="0.3">
      <c r="A3241" s="14" t="str">
        <f>VLOOKUP(B3241,'Relacion codigos'!$A:$B,2,FALSE)</f>
        <v>8464</v>
      </c>
      <c r="B3241" s="6" t="s">
        <v>1532</v>
      </c>
      <c r="C3241" s="6" t="s">
        <v>14001</v>
      </c>
      <c r="D3241" s="24">
        <v>989.66867999999999</v>
      </c>
      <c r="E3241" s="6" t="s">
        <v>5889</v>
      </c>
      <c r="F3241" s="6">
        <v>21</v>
      </c>
      <c r="G3241" s="8">
        <f t="shared" si="50"/>
        <v>989.66867999999999</v>
      </c>
    </row>
    <row r="3242" spans="1:7" x14ac:dyDescent="0.3">
      <c r="A3242" s="14" t="str">
        <f>VLOOKUP(B3242,'Relacion codigos'!$A:$B,2,FALSE)</f>
        <v>8465</v>
      </c>
      <c r="B3242" s="6" t="s">
        <v>1534</v>
      </c>
      <c r="C3242" s="6" t="s">
        <v>14002</v>
      </c>
      <c r="D3242" s="24">
        <v>989.66867999999999</v>
      </c>
      <c r="E3242" s="6" t="s">
        <v>5889</v>
      </c>
      <c r="F3242" s="6">
        <v>21</v>
      </c>
      <c r="G3242" s="8">
        <f t="shared" si="50"/>
        <v>989.66867999999999</v>
      </c>
    </row>
    <row r="3243" spans="1:7" x14ac:dyDescent="0.3">
      <c r="A3243" s="14" t="str">
        <f>VLOOKUP(B3243,'Relacion codigos'!$A:$B,2,FALSE)</f>
        <v>8466</v>
      </c>
      <c r="B3243" s="6" t="s">
        <v>1539</v>
      </c>
      <c r="C3243" s="6" t="s">
        <v>14003</v>
      </c>
      <c r="D3243" s="24">
        <v>4136.2219599999999</v>
      </c>
      <c r="E3243" s="6" t="s">
        <v>5889</v>
      </c>
      <c r="F3243" s="6">
        <v>21</v>
      </c>
      <c r="G3243" s="8">
        <f t="shared" si="50"/>
        <v>4136.2219599999999</v>
      </c>
    </row>
    <row r="3244" spans="1:7" x14ac:dyDescent="0.3">
      <c r="A3244" s="14" t="e">
        <f>VLOOKUP(B3244,'Relacion codigos'!$A:$B,2,FALSE)</f>
        <v>#N/A</v>
      </c>
      <c r="B3244" s="6" t="s">
        <v>8889</v>
      </c>
      <c r="C3244" s="6" t="s">
        <v>14004</v>
      </c>
      <c r="D3244" s="24">
        <v>1216.38777</v>
      </c>
      <c r="E3244" s="6" t="s">
        <v>5889</v>
      </c>
      <c r="F3244" s="6">
        <v>21</v>
      </c>
      <c r="G3244" s="8">
        <f t="shared" si="50"/>
        <v>1216.38777</v>
      </c>
    </row>
    <row r="3245" spans="1:7" x14ac:dyDescent="0.3">
      <c r="A3245" s="14" t="e">
        <f>VLOOKUP(B3245,'Relacion codigos'!$A:$B,2,FALSE)</f>
        <v>#N/A</v>
      </c>
      <c r="B3245" s="6" t="s">
        <v>13693</v>
      </c>
      <c r="C3245" s="6" t="s">
        <v>13694</v>
      </c>
      <c r="D3245" s="24">
        <v>0.19687499999999999</v>
      </c>
      <c r="E3245" s="6" t="s">
        <v>5887</v>
      </c>
      <c r="F3245" s="6">
        <v>21</v>
      </c>
      <c r="G3245" s="8">
        <f t="shared" si="50"/>
        <v>306.140625</v>
      </c>
    </row>
    <row r="3246" spans="1:7" x14ac:dyDescent="0.3">
      <c r="A3246" s="14" t="e">
        <f>VLOOKUP(B3246,'Relacion codigos'!$A:$B,2,FALSE)</f>
        <v>#N/A</v>
      </c>
      <c r="B3246" s="6" t="s">
        <v>8890</v>
      </c>
      <c r="C3246" s="6" t="s">
        <v>14005</v>
      </c>
      <c r="D3246" s="24">
        <v>1216.38777</v>
      </c>
      <c r="E3246" s="6" t="s">
        <v>5889</v>
      </c>
      <c r="F3246" s="6">
        <v>21</v>
      </c>
      <c r="G3246" s="8">
        <f t="shared" si="50"/>
        <v>1216.38777</v>
      </c>
    </row>
    <row r="3247" spans="1:7" x14ac:dyDescent="0.3">
      <c r="A3247" s="14" t="e">
        <f>VLOOKUP(B3247,'Relacion codigos'!$A:$B,2,FALSE)</f>
        <v>#N/A</v>
      </c>
      <c r="B3247" s="6" t="s">
        <v>8891</v>
      </c>
      <c r="C3247" s="6" t="s">
        <v>13563</v>
      </c>
      <c r="D3247" s="24">
        <v>1216.38777</v>
      </c>
      <c r="E3247" s="6" t="s">
        <v>5889</v>
      </c>
      <c r="F3247" s="6">
        <v>21</v>
      </c>
      <c r="G3247" s="8">
        <f t="shared" si="50"/>
        <v>1216.38777</v>
      </c>
    </row>
    <row r="3248" spans="1:7" x14ac:dyDescent="0.3">
      <c r="A3248" s="14" t="e">
        <f>VLOOKUP(B3248,'Relacion codigos'!$A:$B,2,FALSE)</f>
        <v>#N/A</v>
      </c>
      <c r="B3248" s="6" t="s">
        <v>13695</v>
      </c>
      <c r="C3248" s="6" t="s">
        <v>13696</v>
      </c>
      <c r="D3248" s="24">
        <v>0.19687499999999999</v>
      </c>
      <c r="E3248" s="6" t="s">
        <v>5887</v>
      </c>
      <c r="F3248" s="6">
        <v>21</v>
      </c>
      <c r="G3248" s="8">
        <f t="shared" si="50"/>
        <v>306.140625</v>
      </c>
    </row>
    <row r="3249" spans="1:7" x14ac:dyDescent="0.3">
      <c r="A3249" s="14" t="str">
        <f>VLOOKUP(B3249,'Relacion codigos'!$A:$B,2,FALSE)</f>
        <v>3037</v>
      </c>
      <c r="B3249" s="6" t="s">
        <v>1531</v>
      </c>
      <c r="C3249" s="6" t="s">
        <v>12603</v>
      </c>
      <c r="D3249" s="24">
        <v>299.56576000000001</v>
      </c>
      <c r="E3249" s="6" t="s">
        <v>5889</v>
      </c>
      <c r="F3249" s="6">
        <v>21</v>
      </c>
      <c r="G3249" s="8">
        <f t="shared" si="50"/>
        <v>299.56576000000001</v>
      </c>
    </row>
    <row r="3250" spans="1:7" x14ac:dyDescent="0.3">
      <c r="A3250" s="14" t="str">
        <f>VLOOKUP(B3250,'Relacion codigos'!$A:$B,2,FALSE)</f>
        <v>8467</v>
      </c>
      <c r="B3250" s="6" t="s">
        <v>1540</v>
      </c>
      <c r="C3250" s="6" t="s">
        <v>14006</v>
      </c>
      <c r="D3250" s="24">
        <v>5474.8508099999999</v>
      </c>
      <c r="E3250" s="6" t="s">
        <v>5889</v>
      </c>
      <c r="F3250" s="6">
        <v>21</v>
      </c>
      <c r="G3250" s="8">
        <f t="shared" si="50"/>
        <v>5474.8508099999999</v>
      </c>
    </row>
    <row r="3251" spans="1:7" x14ac:dyDescent="0.3">
      <c r="A3251" s="14" t="e">
        <f>VLOOKUP(B3251,'Relacion codigos'!$A:$B,2,FALSE)</f>
        <v>#N/A</v>
      </c>
      <c r="B3251" s="6" t="s">
        <v>9159</v>
      </c>
      <c r="C3251" s="6" t="s">
        <v>11417</v>
      </c>
      <c r="D3251" s="24">
        <v>1523.45102</v>
      </c>
      <c r="E3251" s="6" t="s">
        <v>5889</v>
      </c>
      <c r="F3251" s="6">
        <v>21</v>
      </c>
      <c r="G3251" s="8">
        <f t="shared" si="50"/>
        <v>1523.45102</v>
      </c>
    </row>
    <row r="3252" spans="1:7" x14ac:dyDescent="0.3">
      <c r="A3252" s="14" t="e">
        <f>VLOOKUP(B3252,'Relacion codigos'!$A:$B,2,FALSE)</f>
        <v>#N/A</v>
      </c>
      <c r="B3252" s="6" t="s">
        <v>8892</v>
      </c>
      <c r="C3252" s="6" t="s">
        <v>8893</v>
      </c>
      <c r="D3252" s="24">
        <v>1558.55558</v>
      </c>
      <c r="E3252" s="6" t="s">
        <v>5889</v>
      </c>
      <c r="F3252" s="6">
        <v>21</v>
      </c>
      <c r="G3252" s="8">
        <f t="shared" si="50"/>
        <v>1558.55558</v>
      </c>
    </row>
    <row r="3253" spans="1:7" x14ac:dyDescent="0.3">
      <c r="A3253" s="14" t="e">
        <f>VLOOKUP(B3253,'Relacion codigos'!$A:$B,2,FALSE)</f>
        <v>#N/A</v>
      </c>
      <c r="B3253" s="6" t="s">
        <v>8894</v>
      </c>
      <c r="C3253" s="6" t="s">
        <v>8895</v>
      </c>
      <c r="D3253" s="24">
        <v>2026.1222540000001</v>
      </c>
      <c r="E3253" s="6" t="s">
        <v>5889</v>
      </c>
      <c r="F3253" s="6">
        <v>21</v>
      </c>
      <c r="G3253" s="8">
        <f t="shared" si="50"/>
        <v>2026.1222540000001</v>
      </c>
    </row>
    <row r="3254" spans="1:7" x14ac:dyDescent="0.3">
      <c r="A3254" s="14" t="str">
        <f>VLOOKUP(B3254,'Relacion codigos'!$A:$B,2,FALSE)</f>
        <v>8537</v>
      </c>
      <c r="B3254" s="6" t="s">
        <v>1541</v>
      </c>
      <c r="C3254" s="6" t="s">
        <v>11418</v>
      </c>
      <c r="D3254" s="24">
        <v>1776.1616405</v>
      </c>
      <c r="E3254" s="6" t="s">
        <v>5889</v>
      </c>
      <c r="F3254" s="6">
        <v>21</v>
      </c>
      <c r="G3254" s="8">
        <f t="shared" si="50"/>
        <v>1776.1616405</v>
      </c>
    </row>
    <row r="3255" spans="1:7" x14ac:dyDescent="0.3">
      <c r="A3255" s="14" t="e">
        <f>VLOOKUP(B3255,'Relacion codigos'!$A:$B,2,FALSE)</f>
        <v>#N/A</v>
      </c>
      <c r="B3255" s="6" t="s">
        <v>8896</v>
      </c>
      <c r="C3255" s="6" t="s">
        <v>8897</v>
      </c>
      <c r="D3255" s="24">
        <v>2090.5366819999999</v>
      </c>
      <c r="E3255" s="6" t="s">
        <v>5889</v>
      </c>
      <c r="F3255" s="6">
        <v>21</v>
      </c>
      <c r="G3255" s="8">
        <f t="shared" si="50"/>
        <v>2090.5366819999999</v>
      </c>
    </row>
    <row r="3256" spans="1:7" x14ac:dyDescent="0.3">
      <c r="A3256" s="14" t="e">
        <f>VLOOKUP(B3256,'Relacion codigos'!$A:$B,2,FALSE)</f>
        <v>#N/A</v>
      </c>
      <c r="B3256" s="6" t="s">
        <v>10333</v>
      </c>
      <c r="C3256" s="6" t="s">
        <v>10334</v>
      </c>
      <c r="D3256" s="24">
        <v>2.5252500000000002</v>
      </c>
      <c r="E3256" s="6" t="s">
        <v>5887</v>
      </c>
      <c r="F3256" s="6">
        <v>21</v>
      </c>
      <c r="G3256" s="8">
        <f t="shared" si="50"/>
        <v>3926.7637500000005</v>
      </c>
    </row>
    <row r="3257" spans="1:7" x14ac:dyDescent="0.3">
      <c r="A3257" s="14" t="e">
        <f>VLOOKUP(B3257,'Relacion codigos'!$A:$B,2,FALSE)</f>
        <v>#N/A</v>
      </c>
      <c r="B3257" s="6" t="s">
        <v>12061</v>
      </c>
      <c r="C3257" s="6" t="s">
        <v>12062</v>
      </c>
      <c r="D3257" s="24">
        <v>2.5252500000000002</v>
      </c>
      <c r="E3257" s="6" t="s">
        <v>5887</v>
      </c>
      <c r="F3257" s="6">
        <v>21</v>
      </c>
      <c r="G3257" s="8">
        <f t="shared" si="50"/>
        <v>3926.7637500000005</v>
      </c>
    </row>
    <row r="3258" spans="1:7" x14ac:dyDescent="0.3">
      <c r="A3258" s="14" t="str">
        <f>VLOOKUP(B3258,'Relacion codigos'!$A:$B,2,FALSE)</f>
        <v>7959</v>
      </c>
      <c r="B3258" s="6" t="s">
        <v>2886</v>
      </c>
      <c r="C3258" s="6" t="s">
        <v>10676</v>
      </c>
      <c r="D3258" s="24">
        <v>2.3286856189999998</v>
      </c>
      <c r="E3258" s="6" t="s">
        <v>5887</v>
      </c>
      <c r="F3258" s="6">
        <v>21</v>
      </c>
      <c r="G3258" s="8">
        <f t="shared" si="50"/>
        <v>3621.1061375449999</v>
      </c>
    </row>
    <row r="3259" spans="1:7" x14ac:dyDescent="0.3">
      <c r="A3259" s="14" t="str">
        <f>VLOOKUP(B3259,'Relacion codigos'!$A:$B,2,FALSE)</f>
        <v>7960</v>
      </c>
      <c r="B3259" s="6" t="s">
        <v>2887</v>
      </c>
      <c r="C3259" s="6" t="s">
        <v>12063</v>
      </c>
      <c r="D3259" s="24">
        <v>2.5252500000000002</v>
      </c>
      <c r="E3259" s="6" t="s">
        <v>5887</v>
      </c>
      <c r="F3259" s="6">
        <v>21</v>
      </c>
      <c r="G3259" s="8">
        <f t="shared" si="50"/>
        <v>3926.7637500000005</v>
      </c>
    </row>
    <row r="3260" spans="1:7" x14ac:dyDescent="0.3">
      <c r="A3260" s="14" t="e">
        <f>VLOOKUP(B3260,'Relacion codigos'!$A:$B,2,FALSE)</f>
        <v>#N/A</v>
      </c>
      <c r="B3260" s="6" t="s">
        <v>12064</v>
      </c>
      <c r="C3260" s="6" t="s">
        <v>12065</v>
      </c>
      <c r="D3260" s="24">
        <v>2.5252500000000002</v>
      </c>
      <c r="E3260" s="6" t="s">
        <v>5887</v>
      </c>
      <c r="F3260" s="6">
        <v>21</v>
      </c>
      <c r="G3260" s="8">
        <f t="shared" si="50"/>
        <v>3926.7637500000005</v>
      </c>
    </row>
    <row r="3261" spans="1:7" x14ac:dyDescent="0.3">
      <c r="A3261" s="14" t="str">
        <f>VLOOKUP(B3261,'Relacion codigos'!$A:$B,2,FALSE)</f>
        <v>7956</v>
      </c>
      <c r="B3261" s="6" t="s">
        <v>2888</v>
      </c>
      <c r="C3261" s="6" t="s">
        <v>10677</v>
      </c>
      <c r="D3261" s="24">
        <v>2.853459843</v>
      </c>
      <c r="E3261" s="6" t="s">
        <v>5887</v>
      </c>
      <c r="F3261" s="6">
        <v>21</v>
      </c>
      <c r="G3261" s="8">
        <f t="shared" si="50"/>
        <v>4437.130055865</v>
      </c>
    </row>
    <row r="3262" spans="1:7" x14ac:dyDescent="0.3">
      <c r="A3262" s="14" t="str">
        <f>VLOOKUP(B3262,'Relacion codigos'!$A:$B,2,FALSE)</f>
        <v>7958</v>
      </c>
      <c r="B3262" s="6" t="s">
        <v>2889</v>
      </c>
      <c r="C3262" s="6" t="s">
        <v>9947</v>
      </c>
      <c r="D3262" s="24">
        <v>2.3286856189999998</v>
      </c>
      <c r="E3262" s="6" t="s">
        <v>5887</v>
      </c>
      <c r="F3262" s="6">
        <v>21</v>
      </c>
      <c r="G3262" s="8">
        <f t="shared" si="50"/>
        <v>3621.1061375449999</v>
      </c>
    </row>
    <row r="3263" spans="1:7" x14ac:dyDescent="0.3">
      <c r="A3263" s="14" t="e">
        <f>VLOOKUP(B3263,'Relacion codigos'!$A:$B,2,FALSE)</f>
        <v>#N/A</v>
      </c>
      <c r="B3263" s="6" t="s">
        <v>10335</v>
      </c>
      <c r="C3263" s="6" t="s">
        <v>10336</v>
      </c>
      <c r="D3263" s="24">
        <v>2.5252500000000002</v>
      </c>
      <c r="E3263" s="6" t="s">
        <v>5887</v>
      </c>
      <c r="F3263" s="6">
        <v>21</v>
      </c>
      <c r="G3263" s="8">
        <f t="shared" si="50"/>
        <v>3926.7637500000005</v>
      </c>
    </row>
    <row r="3264" spans="1:7" x14ac:dyDescent="0.3">
      <c r="A3264" s="14" t="e">
        <f>VLOOKUP(B3264,'Relacion codigos'!$A:$B,2,FALSE)</f>
        <v>#N/A</v>
      </c>
      <c r="B3264" s="6" t="s">
        <v>13701</v>
      </c>
      <c r="C3264" s="6" t="s">
        <v>13702</v>
      </c>
      <c r="D3264" s="24">
        <v>2.5252500000000002</v>
      </c>
      <c r="E3264" s="6" t="s">
        <v>5887</v>
      </c>
      <c r="F3264" s="6">
        <v>21</v>
      </c>
      <c r="G3264" s="8">
        <f t="shared" si="50"/>
        <v>3926.7637500000005</v>
      </c>
    </row>
    <row r="3265" spans="1:7" x14ac:dyDescent="0.3">
      <c r="A3265" s="14" t="str">
        <f>VLOOKUP(B3265,'Relacion codigos'!$A:$B,2,FALSE)</f>
        <v>7957</v>
      </c>
      <c r="B3265" s="6" t="s">
        <v>2890</v>
      </c>
      <c r="C3265" s="6" t="s">
        <v>10678</v>
      </c>
      <c r="D3265" s="24">
        <v>2.3286856189999998</v>
      </c>
      <c r="E3265" s="6" t="s">
        <v>5887</v>
      </c>
      <c r="F3265" s="6">
        <v>21</v>
      </c>
      <c r="G3265" s="8">
        <f t="shared" si="50"/>
        <v>3621.1061375449999</v>
      </c>
    </row>
    <row r="3266" spans="1:7" x14ac:dyDescent="0.3">
      <c r="A3266" s="14" t="e">
        <f>VLOOKUP(B3266,'Relacion codigos'!$A:$B,2,FALSE)</f>
        <v>#N/A</v>
      </c>
      <c r="B3266" s="6" t="s">
        <v>10337</v>
      </c>
      <c r="C3266" s="6" t="s">
        <v>10338</v>
      </c>
      <c r="D3266" s="24">
        <v>2.5252500000000002</v>
      </c>
      <c r="E3266" s="6" t="s">
        <v>5887</v>
      </c>
      <c r="F3266" s="6">
        <v>21</v>
      </c>
      <c r="G3266" s="8">
        <f t="shared" ref="G3266:G3329" si="51">IF(E3266="Dolares",D3266*$G$1,D3266)</f>
        <v>3926.7637500000005</v>
      </c>
    </row>
    <row r="3267" spans="1:7" x14ac:dyDescent="0.3">
      <c r="A3267" s="14" t="e">
        <f>VLOOKUP(B3267,'Relacion codigos'!$A:$B,2,FALSE)</f>
        <v>#N/A</v>
      </c>
      <c r="B3267" s="6" t="s">
        <v>12066</v>
      </c>
      <c r="C3267" s="6" t="s">
        <v>12067</v>
      </c>
      <c r="D3267" s="24">
        <v>2.5252500000000002</v>
      </c>
      <c r="E3267" s="6" t="s">
        <v>5887</v>
      </c>
      <c r="F3267" s="6">
        <v>21</v>
      </c>
      <c r="G3267" s="8">
        <f t="shared" si="51"/>
        <v>3926.7637500000005</v>
      </c>
    </row>
    <row r="3268" spans="1:7" x14ac:dyDescent="0.3">
      <c r="A3268" s="14" t="str">
        <f>VLOOKUP(B3268,'Relacion codigos'!$A:$B,2,FALSE)</f>
        <v>7454</v>
      </c>
      <c r="B3268" s="6" t="s">
        <v>2891</v>
      </c>
      <c r="C3268" s="6" t="s">
        <v>1006</v>
      </c>
      <c r="D3268" s="24">
        <v>16.780467600000001</v>
      </c>
      <c r="E3268" s="6" t="s">
        <v>5887</v>
      </c>
      <c r="F3268" s="6">
        <v>21</v>
      </c>
      <c r="G3268" s="8">
        <f t="shared" si="51"/>
        <v>26093.627118000004</v>
      </c>
    </row>
    <row r="3269" spans="1:7" x14ac:dyDescent="0.3">
      <c r="A3269" s="14" t="str">
        <f>VLOOKUP(B3269,'Relacion codigos'!$A:$B,2,FALSE)</f>
        <v>739</v>
      </c>
      <c r="B3269" s="6" t="s">
        <v>5675</v>
      </c>
      <c r="C3269" s="6" t="s">
        <v>546</v>
      </c>
      <c r="D3269" s="24">
        <v>20.3203404625894</v>
      </c>
      <c r="E3269" s="6" t="s">
        <v>5889</v>
      </c>
      <c r="F3269" s="6">
        <v>21</v>
      </c>
      <c r="G3269" s="8">
        <f t="shared" si="51"/>
        <v>20.3203404625894</v>
      </c>
    </row>
    <row r="3270" spans="1:7" x14ac:dyDescent="0.3">
      <c r="A3270" s="14" t="e">
        <f>VLOOKUP(B3270,'Relacion codigos'!$A:$B,2,FALSE)</f>
        <v>#N/A</v>
      </c>
      <c r="B3270" s="6" t="s">
        <v>9577</v>
      </c>
      <c r="C3270" s="6" t="s">
        <v>9578</v>
      </c>
      <c r="D3270" s="24">
        <v>9.0195569750000004</v>
      </c>
      <c r="E3270" s="6" t="s">
        <v>5887</v>
      </c>
      <c r="F3270" s="6">
        <v>10.5</v>
      </c>
      <c r="G3270" s="8">
        <f t="shared" si="51"/>
        <v>14025.411096125001</v>
      </c>
    </row>
    <row r="3271" spans="1:7" x14ac:dyDescent="0.3">
      <c r="A3271" s="14" t="e">
        <f>VLOOKUP(B3271,'Relacion codigos'!$A:$B,2,FALSE)</f>
        <v>#N/A</v>
      </c>
      <c r="B3271" s="6" t="s">
        <v>10202</v>
      </c>
      <c r="C3271" s="6" t="s">
        <v>10203</v>
      </c>
      <c r="D3271" s="24">
        <v>7.2053799999999999</v>
      </c>
      <c r="E3271" s="6" t="s">
        <v>5887</v>
      </c>
      <c r="F3271" s="6">
        <v>21</v>
      </c>
      <c r="G3271" s="8">
        <f t="shared" si="51"/>
        <v>11204.365900000001</v>
      </c>
    </row>
    <row r="3272" spans="1:7" x14ac:dyDescent="0.3">
      <c r="A3272" s="14" t="str">
        <f>VLOOKUP(B3272,'Relacion codigos'!$A:$B,2,FALSE)</f>
        <v>2255</v>
      </c>
      <c r="B3272" s="6" t="s">
        <v>2794</v>
      </c>
      <c r="C3272" s="6" t="s">
        <v>8994</v>
      </c>
      <c r="D3272" s="24">
        <v>4332.9249553356003</v>
      </c>
      <c r="E3272" s="6" t="s">
        <v>5889</v>
      </c>
      <c r="F3272" s="6">
        <v>21</v>
      </c>
      <c r="G3272" s="8">
        <f t="shared" si="51"/>
        <v>4332.9249553356003</v>
      </c>
    </row>
    <row r="3273" spans="1:7" x14ac:dyDescent="0.3">
      <c r="A3273" s="14" t="e">
        <f>VLOOKUP(B3273,'Relacion codigos'!$A:$B,2,FALSE)</f>
        <v>#N/A</v>
      </c>
      <c r="B3273" s="6" t="s">
        <v>8984</v>
      </c>
      <c r="C3273" s="6" t="s">
        <v>8995</v>
      </c>
      <c r="D3273" s="24">
        <v>10955.879482766401</v>
      </c>
      <c r="E3273" s="6" t="s">
        <v>5889</v>
      </c>
      <c r="F3273" s="6">
        <v>21</v>
      </c>
      <c r="G3273" s="8">
        <f t="shared" si="51"/>
        <v>10955.879482766401</v>
      </c>
    </row>
    <row r="3274" spans="1:7" x14ac:dyDescent="0.3">
      <c r="A3274" s="14" t="e">
        <f>VLOOKUP(B3274,'Relacion codigos'!$A:$B,2,FALSE)</f>
        <v>#N/A</v>
      </c>
      <c r="B3274" s="6" t="s">
        <v>12553</v>
      </c>
      <c r="C3274" s="6" t="s">
        <v>12554</v>
      </c>
      <c r="D3274" s="24">
        <v>3255.8457246120001</v>
      </c>
      <c r="E3274" s="6" t="s">
        <v>5889</v>
      </c>
      <c r="F3274" s="6">
        <v>21</v>
      </c>
      <c r="G3274" s="8">
        <f t="shared" si="51"/>
        <v>3255.8457246120001</v>
      </c>
    </row>
    <row r="3275" spans="1:7" x14ac:dyDescent="0.3">
      <c r="A3275" s="14" t="str">
        <f>VLOOKUP(B3275,'Relacion codigos'!$A:$B,2,FALSE)</f>
        <v>6188</v>
      </c>
      <c r="B3275" s="6" t="s">
        <v>2608</v>
      </c>
      <c r="C3275" s="6" t="s">
        <v>12555</v>
      </c>
      <c r="D3275" s="24">
        <v>3022.8880964256</v>
      </c>
      <c r="E3275" s="6" t="s">
        <v>5889</v>
      </c>
      <c r="F3275" s="6">
        <v>21</v>
      </c>
      <c r="G3275" s="8">
        <f t="shared" si="51"/>
        <v>3022.8880964256</v>
      </c>
    </row>
    <row r="3276" spans="1:7" x14ac:dyDescent="0.3">
      <c r="A3276" s="14" t="e">
        <f>VLOOKUP(B3276,'Relacion codigos'!$A:$B,2,FALSE)</f>
        <v>#N/A</v>
      </c>
      <c r="B3276" s="6" t="s">
        <v>9300</v>
      </c>
      <c r="C3276" s="6" t="s">
        <v>12516</v>
      </c>
      <c r="D3276" s="24">
        <v>3948.1530767078398</v>
      </c>
      <c r="E3276" s="6" t="s">
        <v>5889</v>
      </c>
      <c r="F3276" s="6">
        <v>21</v>
      </c>
      <c r="G3276" s="8">
        <f t="shared" si="51"/>
        <v>3948.1530767078398</v>
      </c>
    </row>
    <row r="3277" spans="1:7" x14ac:dyDescent="0.3">
      <c r="A3277" s="14" t="str">
        <f>VLOOKUP(B3277,'Relacion codigos'!$A:$B,2,FALSE)</f>
        <v>8630</v>
      </c>
      <c r="B3277" s="6" t="s">
        <v>2611</v>
      </c>
      <c r="C3277" s="6" t="s">
        <v>12556</v>
      </c>
      <c r="D3277" s="24">
        <v>5606.6719623875997</v>
      </c>
      <c r="E3277" s="6" t="s">
        <v>5889</v>
      </c>
      <c r="F3277" s="6">
        <v>21</v>
      </c>
      <c r="G3277" s="8">
        <f t="shared" si="51"/>
        <v>5606.6719623875997</v>
      </c>
    </row>
    <row r="3278" spans="1:7" x14ac:dyDescent="0.3">
      <c r="A3278" s="14" t="e">
        <f>VLOOKUP(B3278,'Relacion codigos'!$A:$B,2,FALSE)</f>
        <v>#N/A</v>
      </c>
      <c r="B3278" s="6" t="s">
        <v>12557</v>
      </c>
      <c r="C3278" s="6" t="s">
        <v>12558</v>
      </c>
      <c r="D3278" s="24">
        <v>6190.3759208616002</v>
      </c>
      <c r="E3278" s="6" t="s">
        <v>5889</v>
      </c>
      <c r="F3278" s="6">
        <v>21</v>
      </c>
      <c r="G3278" s="8">
        <f t="shared" si="51"/>
        <v>6190.3759208616002</v>
      </c>
    </row>
    <row r="3279" spans="1:7" x14ac:dyDescent="0.3">
      <c r="A3279" s="14" t="e">
        <f>VLOOKUP(B3279,'Relacion codigos'!$A:$B,2,FALSE)</f>
        <v>#N/A</v>
      </c>
      <c r="B3279" s="6" t="s">
        <v>9301</v>
      </c>
      <c r="C3279" s="6" t="s">
        <v>12517</v>
      </c>
      <c r="D3279" s="24">
        <v>7346.5034781855602</v>
      </c>
      <c r="E3279" s="6" t="s">
        <v>5889</v>
      </c>
      <c r="F3279" s="6">
        <v>21</v>
      </c>
      <c r="G3279" s="8">
        <f t="shared" si="51"/>
        <v>7346.5034781855602</v>
      </c>
    </row>
    <row r="3280" spans="1:7" x14ac:dyDescent="0.3">
      <c r="A3280" s="14" t="e">
        <f>VLOOKUP(B3280,'Relacion codigos'!$A:$B,2,FALSE)</f>
        <v>#N/A</v>
      </c>
      <c r="B3280" s="6" t="s">
        <v>9302</v>
      </c>
      <c r="C3280" s="6" t="s">
        <v>12518</v>
      </c>
      <c r="D3280" s="24">
        <v>9553.73196915072</v>
      </c>
      <c r="E3280" s="6" t="s">
        <v>5889</v>
      </c>
      <c r="F3280" s="6">
        <v>21</v>
      </c>
      <c r="G3280" s="8">
        <f t="shared" si="51"/>
        <v>9553.73196915072</v>
      </c>
    </row>
    <row r="3281" spans="1:7" x14ac:dyDescent="0.3">
      <c r="A3281" s="14" t="str">
        <f>VLOOKUP(B3281,'Relacion codigos'!$A:$B,2,FALSE)</f>
        <v>7890</v>
      </c>
      <c r="B3281" s="6" t="s">
        <v>2591</v>
      </c>
      <c r="C3281" s="6" t="s">
        <v>1007</v>
      </c>
      <c r="D3281" s="24">
        <v>4206.384</v>
      </c>
      <c r="E3281" s="6" t="s">
        <v>5889</v>
      </c>
      <c r="F3281" s="6">
        <v>21</v>
      </c>
      <c r="G3281" s="8">
        <f t="shared" si="51"/>
        <v>4206.384</v>
      </c>
    </row>
    <row r="3282" spans="1:7" x14ac:dyDescent="0.3">
      <c r="A3282" s="14" t="str">
        <f>VLOOKUP(B3282,'Relacion codigos'!$A:$B,2,FALSE)</f>
        <v>1288</v>
      </c>
      <c r="B3282" s="6" t="s">
        <v>4688</v>
      </c>
      <c r="C3282" s="6" t="s">
        <v>547</v>
      </c>
      <c r="D3282" s="24">
        <v>75.495133999999993</v>
      </c>
      <c r="E3282" s="6" t="s">
        <v>5889</v>
      </c>
      <c r="F3282" s="6">
        <v>21</v>
      </c>
      <c r="G3282" s="8">
        <f t="shared" si="51"/>
        <v>75.495133999999993</v>
      </c>
    </row>
    <row r="3283" spans="1:7" x14ac:dyDescent="0.3">
      <c r="A3283" s="14" t="str">
        <f>VLOOKUP(B3283,'Relacion codigos'!$A:$B,2,FALSE)</f>
        <v>1289</v>
      </c>
      <c r="B3283" s="6" t="s">
        <v>4689</v>
      </c>
      <c r="C3283" s="6" t="s">
        <v>548</v>
      </c>
      <c r="D3283" s="24">
        <v>92.999477999999996</v>
      </c>
      <c r="E3283" s="6" t="s">
        <v>5889</v>
      </c>
      <c r="F3283" s="6">
        <v>21</v>
      </c>
      <c r="G3283" s="8">
        <f t="shared" si="51"/>
        <v>92.999477999999996</v>
      </c>
    </row>
    <row r="3284" spans="1:7" x14ac:dyDescent="0.3">
      <c r="A3284" s="14" t="str">
        <f>VLOOKUP(B3284,'Relacion codigos'!$A:$B,2,FALSE)</f>
        <v>9215</v>
      </c>
      <c r="B3284" s="6" t="s">
        <v>5224</v>
      </c>
      <c r="C3284" s="6" t="s">
        <v>1272</v>
      </c>
      <c r="D3284" s="24">
        <v>8359.2017027999991</v>
      </c>
      <c r="E3284" s="6" t="s">
        <v>5889</v>
      </c>
      <c r="F3284" s="6">
        <v>21</v>
      </c>
      <c r="G3284" s="8">
        <f t="shared" si="51"/>
        <v>8359.2017027999991</v>
      </c>
    </row>
    <row r="3285" spans="1:7" x14ac:dyDescent="0.3">
      <c r="A3285" s="14" t="str">
        <f>VLOOKUP(B3285,'Relacion codigos'!$A:$B,2,FALSE)</f>
        <v>1290</v>
      </c>
      <c r="B3285" s="6" t="s">
        <v>4690</v>
      </c>
      <c r="C3285" s="6" t="s">
        <v>11017</v>
      </c>
      <c r="D3285" s="24">
        <v>87.552322000000004</v>
      </c>
      <c r="E3285" s="6" t="s">
        <v>5889</v>
      </c>
      <c r="F3285" s="6">
        <v>21</v>
      </c>
      <c r="G3285" s="8">
        <f t="shared" si="51"/>
        <v>87.552322000000004</v>
      </c>
    </row>
    <row r="3286" spans="1:7" x14ac:dyDescent="0.3">
      <c r="A3286" s="14" t="str">
        <f>VLOOKUP(B3286,'Relacion codigos'!$A:$B,2,FALSE)</f>
        <v>1291</v>
      </c>
      <c r="B3286" s="6" t="s">
        <v>4691</v>
      </c>
      <c r="C3286" s="6" t="s">
        <v>9641</v>
      </c>
      <c r="D3286" s="24">
        <v>347.50101100000001</v>
      </c>
      <c r="E3286" s="6" t="s">
        <v>5889</v>
      </c>
      <c r="F3286" s="6">
        <v>21</v>
      </c>
      <c r="G3286" s="8">
        <f t="shared" si="51"/>
        <v>347.50101100000001</v>
      </c>
    </row>
    <row r="3287" spans="1:7" x14ac:dyDescent="0.3">
      <c r="A3287" s="14" t="str">
        <f>VLOOKUP(B3287,'Relacion codigos'!$A:$B,2,FALSE)</f>
        <v>1292</v>
      </c>
      <c r="B3287" s="6" t="s">
        <v>4692</v>
      </c>
      <c r="C3287" s="6" t="s">
        <v>9642</v>
      </c>
      <c r="D3287" s="24">
        <v>401.66655100000003</v>
      </c>
      <c r="E3287" s="6" t="s">
        <v>5889</v>
      </c>
      <c r="F3287" s="6">
        <v>21</v>
      </c>
      <c r="G3287" s="8">
        <f t="shared" si="51"/>
        <v>401.66655100000003</v>
      </c>
    </row>
    <row r="3288" spans="1:7" x14ac:dyDescent="0.3">
      <c r="A3288" s="14" t="str">
        <f>VLOOKUP(B3288,'Relacion codigos'!$A:$B,2,FALSE)</f>
        <v>3589</v>
      </c>
      <c r="B3288" s="6" t="s">
        <v>3836</v>
      </c>
      <c r="C3288" s="6" t="s">
        <v>549</v>
      </c>
      <c r="D3288" s="24">
        <v>9538.0869999999995</v>
      </c>
      <c r="E3288" s="6" t="s">
        <v>5889</v>
      </c>
      <c r="F3288" s="6">
        <v>21</v>
      </c>
      <c r="G3288" s="8">
        <f t="shared" si="51"/>
        <v>9538.0869999999995</v>
      </c>
    </row>
    <row r="3289" spans="1:7" x14ac:dyDescent="0.3">
      <c r="A3289" s="14" t="str">
        <f>VLOOKUP(B3289,'Relacion codigos'!$A:$B,2,FALSE)</f>
        <v>6517</v>
      </c>
      <c r="B3289" s="6" t="s">
        <v>3837</v>
      </c>
      <c r="C3289" s="6" t="s">
        <v>550</v>
      </c>
      <c r="D3289" s="24">
        <v>14601.16008</v>
      </c>
      <c r="E3289" s="6" t="s">
        <v>5889</v>
      </c>
      <c r="F3289" s="6">
        <v>21</v>
      </c>
      <c r="G3289" s="8">
        <f t="shared" si="51"/>
        <v>14601.16008</v>
      </c>
    </row>
    <row r="3290" spans="1:7" x14ac:dyDescent="0.3">
      <c r="A3290" s="14" t="str">
        <f>VLOOKUP(B3290,'Relacion codigos'!$A:$B,2,FALSE)</f>
        <v>3590</v>
      </c>
      <c r="B3290" s="6" t="s">
        <v>3838</v>
      </c>
      <c r="C3290" s="6" t="s">
        <v>551</v>
      </c>
      <c r="D3290" s="24">
        <v>14697.306</v>
      </c>
      <c r="E3290" s="6" t="s">
        <v>5889</v>
      </c>
      <c r="F3290" s="6">
        <v>21</v>
      </c>
      <c r="G3290" s="8">
        <f t="shared" si="51"/>
        <v>14697.306</v>
      </c>
    </row>
    <row r="3291" spans="1:7" x14ac:dyDescent="0.3">
      <c r="A3291" s="14" t="str">
        <f>VLOOKUP(B3291,'Relacion codigos'!$A:$B,2,FALSE)</f>
        <v>9014</v>
      </c>
      <c r="B3291" s="6" t="s">
        <v>3841</v>
      </c>
      <c r="C3291" s="6" t="s">
        <v>13658</v>
      </c>
      <c r="D3291" s="24">
        <v>184262.63225175001</v>
      </c>
      <c r="E3291" s="6" t="s">
        <v>5889</v>
      </c>
      <c r="F3291" s="6">
        <v>21</v>
      </c>
      <c r="G3291" s="8">
        <f t="shared" si="51"/>
        <v>184262.63225175001</v>
      </c>
    </row>
    <row r="3292" spans="1:7" x14ac:dyDescent="0.3">
      <c r="A3292" s="14" t="str">
        <f>VLOOKUP(B3292,'Relacion codigos'!$A:$B,2,FALSE)</f>
        <v>1485</v>
      </c>
      <c r="B3292" s="6" t="s">
        <v>3665</v>
      </c>
      <c r="C3292" s="6" t="s">
        <v>552</v>
      </c>
      <c r="D3292" s="24">
        <v>5238.6064562812599</v>
      </c>
      <c r="E3292" s="6" t="s">
        <v>5889</v>
      </c>
      <c r="F3292" s="6">
        <v>21</v>
      </c>
      <c r="G3292" s="8">
        <f t="shared" si="51"/>
        <v>5238.6064562812599</v>
      </c>
    </row>
    <row r="3293" spans="1:7" x14ac:dyDescent="0.3">
      <c r="A3293" s="14" t="str">
        <f>VLOOKUP(B3293,'Relacion codigos'!$A:$B,2,FALSE)</f>
        <v>2549</v>
      </c>
      <c r="B3293" s="6" t="s">
        <v>3666</v>
      </c>
      <c r="C3293" s="6" t="s">
        <v>553</v>
      </c>
      <c r="D3293" s="24">
        <v>1488.9202709062599</v>
      </c>
      <c r="E3293" s="6" t="s">
        <v>5889</v>
      </c>
      <c r="F3293" s="6">
        <v>21</v>
      </c>
      <c r="G3293" s="8">
        <f t="shared" si="51"/>
        <v>1488.9202709062599</v>
      </c>
    </row>
    <row r="3294" spans="1:7" x14ac:dyDescent="0.3">
      <c r="A3294" s="14" t="str">
        <f>VLOOKUP(B3294,'Relacion codigos'!$A:$B,2,FALSE)</f>
        <v>1486</v>
      </c>
      <c r="B3294" s="6" t="s">
        <v>3668</v>
      </c>
      <c r="C3294" s="6" t="s">
        <v>554</v>
      </c>
      <c r="D3294" s="24">
        <v>1488.9202709062599</v>
      </c>
      <c r="E3294" s="6" t="s">
        <v>5889</v>
      </c>
      <c r="F3294" s="6">
        <v>21</v>
      </c>
      <c r="G3294" s="8">
        <f t="shared" si="51"/>
        <v>1488.9202709062599</v>
      </c>
    </row>
    <row r="3295" spans="1:7" x14ac:dyDescent="0.3">
      <c r="A3295" s="14" t="str">
        <f>VLOOKUP(B3295,'Relacion codigos'!$A:$B,2,FALSE)</f>
        <v>5228</v>
      </c>
      <c r="B3295" s="6" t="s">
        <v>3669</v>
      </c>
      <c r="C3295" s="6" t="s">
        <v>555</v>
      </c>
      <c r="D3295" s="24">
        <v>2443.1303830781299</v>
      </c>
      <c r="E3295" s="6" t="s">
        <v>5889</v>
      </c>
      <c r="F3295" s="6">
        <v>21</v>
      </c>
      <c r="G3295" s="8">
        <f t="shared" si="51"/>
        <v>2443.1303830781299</v>
      </c>
    </row>
    <row r="3296" spans="1:7" x14ac:dyDescent="0.3">
      <c r="A3296" s="14" t="str">
        <f>VLOOKUP(B3296,'Relacion codigos'!$A:$B,2,FALSE)</f>
        <v>3239</v>
      </c>
      <c r="B3296" s="6" t="s">
        <v>3670</v>
      </c>
      <c r="C3296" s="6" t="s">
        <v>556</v>
      </c>
      <c r="D3296" s="24">
        <v>2141.2442829375</v>
      </c>
      <c r="E3296" s="6" t="s">
        <v>5889</v>
      </c>
      <c r="F3296" s="6">
        <v>21</v>
      </c>
      <c r="G3296" s="8">
        <f t="shared" si="51"/>
        <v>2141.2442829375</v>
      </c>
    </row>
    <row r="3297" spans="1:7" x14ac:dyDescent="0.3">
      <c r="A3297" s="14" t="str">
        <f>VLOOKUP(B3297,'Relacion codigos'!$A:$B,2,FALSE)</f>
        <v>3531</v>
      </c>
      <c r="B3297" s="6" t="s">
        <v>3671</v>
      </c>
      <c r="C3297" s="6" t="s">
        <v>557</v>
      </c>
      <c r="D3297" s="24">
        <v>4242.5602461059998</v>
      </c>
      <c r="E3297" s="6" t="s">
        <v>5889</v>
      </c>
      <c r="F3297" s="6">
        <v>21</v>
      </c>
      <c r="G3297" s="8">
        <f t="shared" si="51"/>
        <v>4242.5602461059998</v>
      </c>
    </row>
    <row r="3298" spans="1:7" x14ac:dyDescent="0.3">
      <c r="A3298" s="14" t="str">
        <f>VLOOKUP(B3298,'Relacion codigos'!$A:$B,2,FALSE)</f>
        <v>1316</v>
      </c>
      <c r="B3298" s="6" t="s">
        <v>3842</v>
      </c>
      <c r="C3298" s="6" t="s">
        <v>558</v>
      </c>
      <c r="D3298" s="24">
        <v>3436.1830713600002</v>
      </c>
      <c r="E3298" s="6" t="s">
        <v>5889</v>
      </c>
      <c r="F3298" s="6">
        <v>21</v>
      </c>
      <c r="G3298" s="8">
        <f t="shared" si="51"/>
        <v>3436.1830713600002</v>
      </c>
    </row>
    <row r="3299" spans="1:7" x14ac:dyDescent="0.3">
      <c r="A3299" s="14" t="str">
        <f>VLOOKUP(B3299,'Relacion codigos'!$A:$B,2,FALSE)</f>
        <v>3591</v>
      </c>
      <c r="B3299" s="6" t="s">
        <v>3844</v>
      </c>
      <c r="C3299" s="6" t="s">
        <v>10499</v>
      </c>
      <c r="D3299" s="24">
        <v>18319.47</v>
      </c>
      <c r="E3299" s="6" t="s">
        <v>5889</v>
      </c>
      <c r="F3299" s="6">
        <v>21</v>
      </c>
      <c r="G3299" s="8">
        <f t="shared" si="51"/>
        <v>18319.47</v>
      </c>
    </row>
    <row r="3300" spans="1:7" x14ac:dyDescent="0.3">
      <c r="A3300" s="14" t="str">
        <f>VLOOKUP(B3300,'Relacion codigos'!$A:$B,2,FALSE)</f>
        <v>3592</v>
      </c>
      <c r="B3300" s="6" t="s">
        <v>3845</v>
      </c>
      <c r="C3300" s="6" t="s">
        <v>10500</v>
      </c>
      <c r="D3300" s="24">
        <v>32461.767</v>
      </c>
      <c r="E3300" s="6" t="s">
        <v>5889</v>
      </c>
      <c r="F3300" s="6">
        <v>21</v>
      </c>
      <c r="G3300" s="8">
        <f t="shared" si="51"/>
        <v>32461.767</v>
      </c>
    </row>
    <row r="3301" spans="1:7" x14ac:dyDescent="0.3">
      <c r="A3301" s="14" t="e">
        <f>VLOOKUP(B3301,'Relacion codigos'!$A:$B,2,FALSE)</f>
        <v>#N/A</v>
      </c>
      <c r="B3301" s="6" t="s">
        <v>13865</v>
      </c>
      <c r="C3301" s="6" t="s">
        <v>13866</v>
      </c>
      <c r="D3301" s="24">
        <v>26619.199776000001</v>
      </c>
      <c r="E3301" s="6" t="s">
        <v>5889</v>
      </c>
      <c r="F3301" s="6">
        <v>21</v>
      </c>
      <c r="G3301" s="8">
        <f t="shared" si="51"/>
        <v>26619.199776000001</v>
      </c>
    </row>
    <row r="3302" spans="1:7" x14ac:dyDescent="0.3">
      <c r="A3302" s="14" t="e">
        <f>VLOOKUP(B3302,'Relacion codigos'!$A:$B,2,FALSE)</f>
        <v>#N/A</v>
      </c>
      <c r="B3302" s="6" t="s">
        <v>13867</v>
      </c>
      <c r="C3302" s="6" t="s">
        <v>13868</v>
      </c>
      <c r="D3302" s="24">
        <v>26619.199776000001</v>
      </c>
      <c r="E3302" s="6" t="s">
        <v>5889</v>
      </c>
      <c r="F3302" s="6">
        <v>21</v>
      </c>
      <c r="G3302" s="8">
        <f t="shared" si="51"/>
        <v>26619.199776000001</v>
      </c>
    </row>
    <row r="3303" spans="1:7" x14ac:dyDescent="0.3">
      <c r="A3303" s="14" t="e">
        <f>VLOOKUP(B3303,'Relacion codigos'!$A:$B,2,FALSE)</f>
        <v>#N/A</v>
      </c>
      <c r="B3303" s="6" t="s">
        <v>13869</v>
      </c>
      <c r="C3303" s="6" t="s">
        <v>13870</v>
      </c>
      <c r="D3303" s="24">
        <v>48628.578258000001</v>
      </c>
      <c r="E3303" s="6" t="s">
        <v>5889</v>
      </c>
      <c r="F3303" s="6">
        <v>21</v>
      </c>
      <c r="G3303" s="8">
        <f t="shared" si="51"/>
        <v>48628.578258000001</v>
      </c>
    </row>
    <row r="3304" spans="1:7" x14ac:dyDescent="0.3">
      <c r="A3304" s="14" t="e">
        <f>VLOOKUP(B3304,'Relacion codigos'!$A:$B,2,FALSE)</f>
        <v>#N/A</v>
      </c>
      <c r="B3304" s="6" t="s">
        <v>13871</v>
      </c>
      <c r="C3304" s="6" t="s">
        <v>13872</v>
      </c>
      <c r="D3304" s="24">
        <v>48628.578258000001</v>
      </c>
      <c r="E3304" s="6" t="s">
        <v>5889</v>
      </c>
      <c r="F3304" s="6">
        <v>21</v>
      </c>
      <c r="G3304" s="8">
        <f t="shared" si="51"/>
        <v>48628.578258000001</v>
      </c>
    </row>
    <row r="3305" spans="1:7" x14ac:dyDescent="0.3">
      <c r="A3305" s="14" t="str">
        <f>VLOOKUP(B3305,'Relacion codigos'!$A:$B,2,FALSE)</f>
        <v>5554</v>
      </c>
      <c r="B3305" s="6" t="s">
        <v>3846</v>
      </c>
      <c r="C3305" s="6" t="s">
        <v>10501</v>
      </c>
      <c r="D3305" s="24">
        <v>57958.351114949997</v>
      </c>
      <c r="E3305" s="6" t="s">
        <v>5889</v>
      </c>
      <c r="F3305" s="6">
        <v>21</v>
      </c>
      <c r="G3305" s="8">
        <f t="shared" si="51"/>
        <v>57958.351114949997</v>
      </c>
    </row>
    <row r="3306" spans="1:7" x14ac:dyDescent="0.3">
      <c r="A3306" s="14" t="str">
        <f>VLOOKUP(B3306,'Relacion codigos'!$A:$B,2,FALSE)</f>
        <v>8281</v>
      </c>
      <c r="B3306" s="6" t="s">
        <v>4145</v>
      </c>
      <c r="C3306" s="6" t="s">
        <v>11774</v>
      </c>
      <c r="D3306" s="24">
        <v>22291.6096</v>
      </c>
      <c r="E3306" s="6" t="s">
        <v>5889</v>
      </c>
      <c r="F3306" s="6">
        <v>21</v>
      </c>
      <c r="G3306" s="8">
        <f t="shared" si="51"/>
        <v>22291.6096</v>
      </c>
    </row>
    <row r="3307" spans="1:7" x14ac:dyDescent="0.3">
      <c r="A3307" s="14" t="str">
        <f>VLOOKUP(B3307,'Relacion codigos'!$A:$B,2,FALSE)</f>
        <v>NUEVO</v>
      </c>
      <c r="B3307" s="6" t="s">
        <v>5874</v>
      </c>
      <c r="C3307" s="6" t="s">
        <v>11775</v>
      </c>
      <c r="D3307" s="24">
        <v>22291.6096</v>
      </c>
      <c r="E3307" s="6" t="s">
        <v>5889</v>
      </c>
      <c r="F3307" s="6">
        <v>21</v>
      </c>
      <c r="G3307" s="8">
        <f t="shared" si="51"/>
        <v>22291.6096</v>
      </c>
    </row>
    <row r="3308" spans="1:7" x14ac:dyDescent="0.3">
      <c r="A3308" s="14" t="str">
        <f>VLOOKUP(B3308,'Relacion codigos'!$A:$B,2,FALSE)</f>
        <v>8282</v>
      </c>
      <c r="B3308" s="6" t="s">
        <v>4146</v>
      </c>
      <c r="C3308" s="6" t="s">
        <v>11776</v>
      </c>
      <c r="D3308" s="24">
        <v>39501.061600000001</v>
      </c>
      <c r="E3308" s="6" t="s">
        <v>5889</v>
      </c>
      <c r="F3308" s="6">
        <v>21</v>
      </c>
      <c r="G3308" s="8">
        <f t="shared" si="51"/>
        <v>39501.061600000001</v>
      </c>
    </row>
    <row r="3309" spans="1:7" x14ac:dyDescent="0.3">
      <c r="A3309" s="14" t="str">
        <f>VLOOKUP(B3309,'Relacion codigos'!$A:$B,2,FALSE)</f>
        <v>NUEVO</v>
      </c>
      <c r="B3309" s="6" t="s">
        <v>5875</v>
      </c>
      <c r="C3309" s="6" t="s">
        <v>11777</v>
      </c>
      <c r="D3309" s="24">
        <v>39501.061600000001</v>
      </c>
      <c r="E3309" s="6" t="s">
        <v>5889</v>
      </c>
      <c r="F3309" s="6">
        <v>21</v>
      </c>
      <c r="G3309" s="8">
        <f t="shared" si="51"/>
        <v>39501.061600000001</v>
      </c>
    </row>
    <row r="3310" spans="1:7" x14ac:dyDescent="0.3">
      <c r="A3310" s="14" t="str">
        <f>VLOOKUP(B3310,'Relacion codigos'!$A:$B,2,FALSE)</f>
        <v>8283</v>
      </c>
      <c r="B3310" s="6" t="s">
        <v>4147</v>
      </c>
      <c r="C3310" s="6" t="s">
        <v>11778</v>
      </c>
      <c r="D3310" s="24">
        <v>55745.716</v>
      </c>
      <c r="E3310" s="6" t="s">
        <v>5889</v>
      </c>
      <c r="F3310" s="6">
        <v>21</v>
      </c>
      <c r="G3310" s="8">
        <f t="shared" si="51"/>
        <v>55745.716</v>
      </c>
    </row>
    <row r="3311" spans="1:7" x14ac:dyDescent="0.3">
      <c r="A3311" s="14" t="str">
        <f>VLOOKUP(B3311,'Relacion codigos'!$A:$B,2,FALSE)</f>
        <v>NUEVO</v>
      </c>
      <c r="B3311" s="6" t="s">
        <v>5876</v>
      </c>
      <c r="C3311" s="6" t="s">
        <v>11779</v>
      </c>
      <c r="D3311" s="24">
        <v>55745.716</v>
      </c>
      <c r="E3311" s="6" t="s">
        <v>5889</v>
      </c>
      <c r="F3311" s="6">
        <v>21</v>
      </c>
      <c r="G3311" s="8">
        <f t="shared" si="51"/>
        <v>55745.716</v>
      </c>
    </row>
    <row r="3312" spans="1:7" x14ac:dyDescent="0.3">
      <c r="A3312" s="14" t="str">
        <f>VLOOKUP(B3312,'Relacion codigos'!$A:$B,2,FALSE)</f>
        <v>8717</v>
      </c>
      <c r="B3312" s="6" t="s">
        <v>4148</v>
      </c>
      <c r="C3312" s="6" t="s">
        <v>11780</v>
      </c>
      <c r="D3312" s="24">
        <v>69695.776800000007</v>
      </c>
      <c r="E3312" s="6" t="s">
        <v>5889</v>
      </c>
      <c r="F3312" s="6">
        <v>21</v>
      </c>
      <c r="G3312" s="8">
        <f t="shared" si="51"/>
        <v>69695.776800000007</v>
      </c>
    </row>
    <row r="3313" spans="1:7" x14ac:dyDescent="0.3">
      <c r="A3313" s="14" t="str">
        <f>VLOOKUP(B3313,'Relacion codigos'!$A:$B,2,FALSE)</f>
        <v>NUEVO</v>
      </c>
      <c r="B3313" s="6" t="s">
        <v>5877</v>
      </c>
      <c r="C3313" s="6" t="s">
        <v>11781</v>
      </c>
      <c r="D3313" s="24">
        <v>69695.776800000007</v>
      </c>
      <c r="E3313" s="6" t="s">
        <v>5889</v>
      </c>
      <c r="F3313" s="6">
        <v>21</v>
      </c>
      <c r="G3313" s="8">
        <f t="shared" si="51"/>
        <v>69695.776800000007</v>
      </c>
    </row>
    <row r="3314" spans="1:7" x14ac:dyDescent="0.3">
      <c r="A3314" s="14" t="str">
        <f>VLOOKUP(B3314,'Relacion codigos'!$A:$B,2,FALSE)</f>
        <v>8673</v>
      </c>
      <c r="B3314" s="6" t="s">
        <v>4149</v>
      </c>
      <c r="C3314" s="6" t="s">
        <v>11782</v>
      </c>
      <c r="D3314" s="24">
        <v>69695.776800000007</v>
      </c>
      <c r="E3314" s="6" t="s">
        <v>5889</v>
      </c>
      <c r="F3314" s="6">
        <v>21</v>
      </c>
      <c r="G3314" s="8">
        <f t="shared" si="51"/>
        <v>69695.776800000007</v>
      </c>
    </row>
    <row r="3315" spans="1:7" x14ac:dyDescent="0.3">
      <c r="A3315" s="14" t="str">
        <f>VLOOKUP(B3315,'Relacion codigos'!$A:$B,2,FALSE)</f>
        <v>NUEVO</v>
      </c>
      <c r="B3315" s="6" t="s">
        <v>5863</v>
      </c>
      <c r="C3315" s="6" t="s">
        <v>11783</v>
      </c>
      <c r="D3315" s="24">
        <v>38624.175199999998</v>
      </c>
      <c r="E3315" s="6" t="s">
        <v>5889</v>
      </c>
      <c r="F3315" s="6">
        <v>21</v>
      </c>
      <c r="G3315" s="8">
        <f t="shared" si="51"/>
        <v>38624.175199999998</v>
      </c>
    </row>
    <row r="3316" spans="1:7" x14ac:dyDescent="0.3">
      <c r="A3316" s="14" t="str">
        <f>VLOOKUP(B3316,'Relacion codigos'!$A:$B,2,FALSE)</f>
        <v>NUEVO</v>
      </c>
      <c r="B3316" s="6" t="s">
        <v>5864</v>
      </c>
      <c r="C3316" s="6" t="s">
        <v>11784</v>
      </c>
      <c r="D3316" s="24">
        <v>38624.175199999998</v>
      </c>
      <c r="E3316" s="6" t="s">
        <v>5889</v>
      </c>
      <c r="F3316" s="6">
        <v>21</v>
      </c>
      <c r="G3316" s="8">
        <f t="shared" si="51"/>
        <v>38624.175199999998</v>
      </c>
    </row>
    <row r="3317" spans="1:7" x14ac:dyDescent="0.3">
      <c r="A3317" s="14" t="str">
        <f>VLOOKUP(B3317,'Relacion codigos'!$A:$B,2,FALSE)</f>
        <v>NUEVO</v>
      </c>
      <c r="B3317" s="6" t="s">
        <v>5865</v>
      </c>
      <c r="C3317" s="6" t="s">
        <v>11785</v>
      </c>
      <c r="D3317" s="24">
        <v>38624.175199999998</v>
      </c>
      <c r="E3317" s="6" t="s">
        <v>5889</v>
      </c>
      <c r="F3317" s="6">
        <v>21</v>
      </c>
      <c r="G3317" s="8">
        <f t="shared" si="51"/>
        <v>38624.175199999998</v>
      </c>
    </row>
    <row r="3318" spans="1:7" x14ac:dyDescent="0.3">
      <c r="A3318" s="14" t="str">
        <f>VLOOKUP(B3318,'Relacion codigos'!$A:$B,2,FALSE)</f>
        <v>NUEVO</v>
      </c>
      <c r="B3318" s="6" t="s">
        <v>5866</v>
      </c>
      <c r="C3318" s="6" t="s">
        <v>11786</v>
      </c>
      <c r="D3318" s="24">
        <v>21472.588800000001</v>
      </c>
      <c r="E3318" s="6" t="s">
        <v>5889</v>
      </c>
      <c r="F3318" s="6">
        <v>21</v>
      </c>
      <c r="G3318" s="8">
        <f t="shared" si="51"/>
        <v>21472.588800000001</v>
      </c>
    </row>
    <row r="3319" spans="1:7" x14ac:dyDescent="0.3">
      <c r="A3319" s="14" t="str">
        <f>VLOOKUP(B3319,'Relacion codigos'!$A:$B,2,FALSE)</f>
        <v>NUEVO</v>
      </c>
      <c r="B3319" s="6" t="s">
        <v>5867</v>
      </c>
      <c r="C3319" s="6" t="s">
        <v>11787</v>
      </c>
      <c r="D3319" s="24">
        <v>21472.588800000001</v>
      </c>
      <c r="E3319" s="6" t="s">
        <v>5889</v>
      </c>
      <c r="F3319" s="6">
        <v>21</v>
      </c>
      <c r="G3319" s="8">
        <f t="shared" si="51"/>
        <v>21472.588800000001</v>
      </c>
    </row>
    <row r="3320" spans="1:7" x14ac:dyDescent="0.3">
      <c r="A3320" s="14" t="e">
        <f>VLOOKUP(B3320,'Relacion codigos'!$A:$B,2,FALSE)</f>
        <v>#N/A</v>
      </c>
      <c r="B3320" s="6" t="s">
        <v>8789</v>
      </c>
      <c r="C3320" s="6" t="s">
        <v>11788</v>
      </c>
      <c r="D3320" s="24">
        <v>30895.779200000001</v>
      </c>
      <c r="E3320" s="6" t="s">
        <v>5889</v>
      </c>
      <c r="F3320" s="6">
        <v>21</v>
      </c>
      <c r="G3320" s="8">
        <f t="shared" si="51"/>
        <v>30895.779200000001</v>
      </c>
    </row>
    <row r="3321" spans="1:7" x14ac:dyDescent="0.3">
      <c r="A3321" s="14" t="str">
        <f>VLOOKUP(B3321,'Relacion codigos'!$A:$B,2,FALSE)</f>
        <v>NUEVO</v>
      </c>
      <c r="B3321" s="6" t="s">
        <v>5868</v>
      </c>
      <c r="C3321" s="6" t="s">
        <v>11789</v>
      </c>
      <c r="D3321" s="24">
        <v>30895.779200000001</v>
      </c>
      <c r="E3321" s="6" t="s">
        <v>5889</v>
      </c>
      <c r="F3321" s="6">
        <v>21</v>
      </c>
      <c r="G3321" s="8">
        <f t="shared" si="51"/>
        <v>30895.779200000001</v>
      </c>
    </row>
    <row r="3322" spans="1:7" x14ac:dyDescent="0.3">
      <c r="A3322" s="14" t="str">
        <f>VLOOKUP(B3322,'Relacion codigos'!$A:$B,2,FALSE)</f>
        <v>2987</v>
      </c>
      <c r="B3322" s="6" t="s">
        <v>4327</v>
      </c>
      <c r="C3322" s="6" t="s">
        <v>13187</v>
      </c>
      <c r="D3322" s="24">
        <v>2.9670030000000001</v>
      </c>
      <c r="E3322" s="6" t="s">
        <v>5887</v>
      </c>
      <c r="F3322" s="6">
        <v>21</v>
      </c>
      <c r="G3322" s="8">
        <f t="shared" si="51"/>
        <v>4613.6896649999999</v>
      </c>
    </row>
    <row r="3323" spans="1:7" x14ac:dyDescent="0.3">
      <c r="A3323" s="14" t="e">
        <f>VLOOKUP(B3323,'Relacion codigos'!$A:$B,2,FALSE)</f>
        <v>#N/A</v>
      </c>
      <c r="B3323" s="6" t="s">
        <v>10339</v>
      </c>
      <c r="C3323" s="6" t="s">
        <v>12148</v>
      </c>
      <c r="D3323" s="24">
        <v>5.30985</v>
      </c>
      <c r="E3323" s="6" t="s">
        <v>5887</v>
      </c>
      <c r="F3323" s="6">
        <v>21</v>
      </c>
      <c r="G3323" s="8">
        <f t="shared" si="51"/>
        <v>8256.81675</v>
      </c>
    </row>
    <row r="3324" spans="1:7" x14ac:dyDescent="0.3">
      <c r="A3324" s="14" t="str">
        <f>VLOOKUP(B3324,'Relacion codigos'!$A:$B,2,FALSE)</f>
        <v>2988</v>
      </c>
      <c r="B3324" s="6" t="s">
        <v>4328</v>
      </c>
      <c r="C3324" s="6" t="s">
        <v>12257</v>
      </c>
      <c r="D3324" s="24">
        <v>2.9670030000000001</v>
      </c>
      <c r="E3324" s="6" t="s">
        <v>5887</v>
      </c>
      <c r="F3324" s="6">
        <v>21</v>
      </c>
      <c r="G3324" s="8">
        <f t="shared" si="51"/>
        <v>4613.6896649999999</v>
      </c>
    </row>
    <row r="3325" spans="1:7" x14ac:dyDescent="0.3">
      <c r="A3325" s="14" t="e">
        <f>VLOOKUP(B3325,'Relacion codigos'!$A:$B,2,FALSE)</f>
        <v>#N/A</v>
      </c>
      <c r="B3325" s="6" t="s">
        <v>10340</v>
      </c>
      <c r="C3325" s="6" t="s">
        <v>12149</v>
      </c>
      <c r="D3325" s="24">
        <v>5.30985</v>
      </c>
      <c r="E3325" s="6" t="s">
        <v>5887</v>
      </c>
      <c r="F3325" s="6">
        <v>21</v>
      </c>
      <c r="G3325" s="8">
        <f t="shared" si="51"/>
        <v>8256.81675</v>
      </c>
    </row>
    <row r="3326" spans="1:7" x14ac:dyDescent="0.3">
      <c r="A3326" s="14" t="e">
        <f>VLOOKUP(B3326,'Relacion codigos'!$A:$B,2,FALSE)</f>
        <v>#N/A</v>
      </c>
      <c r="B3326" s="6" t="s">
        <v>11286</v>
      </c>
      <c r="C3326" s="6" t="s">
        <v>12150</v>
      </c>
      <c r="D3326" s="24">
        <v>5.30985</v>
      </c>
      <c r="E3326" s="6" t="s">
        <v>5887</v>
      </c>
      <c r="F3326" s="6">
        <v>21</v>
      </c>
      <c r="G3326" s="8">
        <f t="shared" si="51"/>
        <v>8256.81675</v>
      </c>
    </row>
    <row r="3327" spans="1:7" x14ac:dyDescent="0.3">
      <c r="A3327" s="14" t="str">
        <f>VLOOKUP(B3327,'Relacion codigos'!$A:$B,2,FALSE)</f>
        <v>6180</v>
      </c>
      <c r="B3327" s="6" t="s">
        <v>4389</v>
      </c>
      <c r="C3327" s="6" t="s">
        <v>11018</v>
      </c>
      <c r="D3327" s="24">
        <v>10.144563</v>
      </c>
      <c r="E3327" s="6" t="s">
        <v>5887</v>
      </c>
      <c r="F3327" s="6">
        <v>21</v>
      </c>
      <c r="G3327" s="8">
        <f t="shared" si="51"/>
        <v>15774.795464999999</v>
      </c>
    </row>
    <row r="3328" spans="1:7" x14ac:dyDescent="0.3">
      <c r="A3328" s="14" t="str">
        <f>VLOOKUP(B3328,'Relacion codigos'!$A:$B,2,FALSE)</f>
        <v>6171</v>
      </c>
      <c r="B3328" s="6" t="s">
        <v>4390</v>
      </c>
      <c r="C3328" s="6" t="s">
        <v>11019</v>
      </c>
      <c r="D3328" s="24">
        <v>10.144563</v>
      </c>
      <c r="E3328" s="6" t="s">
        <v>5887</v>
      </c>
      <c r="F3328" s="6">
        <v>21</v>
      </c>
      <c r="G3328" s="8">
        <f t="shared" si="51"/>
        <v>15774.795464999999</v>
      </c>
    </row>
    <row r="3329" spans="1:7" x14ac:dyDescent="0.3">
      <c r="A3329" s="14" t="str">
        <f>VLOOKUP(B3329,'Relacion codigos'!$A:$B,2,FALSE)</f>
        <v>3018</v>
      </c>
      <c r="B3329" s="6" t="s">
        <v>4358</v>
      </c>
      <c r="C3329" s="6" t="s">
        <v>12885</v>
      </c>
      <c r="D3329" s="24">
        <v>3.2111234999999998</v>
      </c>
      <c r="E3329" s="6" t="s">
        <v>5887</v>
      </c>
      <c r="F3329" s="6">
        <v>21</v>
      </c>
      <c r="G3329" s="8">
        <f t="shared" si="51"/>
        <v>4993.2970424999994</v>
      </c>
    </row>
    <row r="3330" spans="1:7" x14ac:dyDescent="0.3">
      <c r="A3330" s="14" t="e">
        <f>VLOOKUP(B3330,'Relacion codigos'!$A:$B,2,FALSE)</f>
        <v>#N/A</v>
      </c>
      <c r="B3330" s="6" t="s">
        <v>10345</v>
      </c>
      <c r="C3330" s="6" t="s">
        <v>12151</v>
      </c>
      <c r="D3330" s="24">
        <v>5.7807750000000002</v>
      </c>
      <c r="E3330" s="6" t="s">
        <v>5887</v>
      </c>
      <c r="F3330" s="6">
        <v>21</v>
      </c>
      <c r="G3330" s="8">
        <f t="shared" ref="G3330:G3393" si="52">IF(E3330="Dolares",D3330*$G$1,D3330)</f>
        <v>8989.105125</v>
      </c>
    </row>
    <row r="3331" spans="1:7" x14ac:dyDescent="0.3">
      <c r="A3331" s="14" t="str">
        <f>VLOOKUP(B3331,'Relacion codigos'!$A:$B,2,FALSE)</f>
        <v>3019</v>
      </c>
      <c r="B3331" s="6" t="s">
        <v>4359</v>
      </c>
      <c r="C3331" s="6" t="s">
        <v>12258</v>
      </c>
      <c r="D3331" s="24">
        <v>3.2111234999999998</v>
      </c>
      <c r="E3331" s="6" t="s">
        <v>5887</v>
      </c>
      <c r="F3331" s="6">
        <v>21</v>
      </c>
      <c r="G3331" s="8">
        <f t="shared" si="52"/>
        <v>4993.2970424999994</v>
      </c>
    </row>
    <row r="3332" spans="1:7" x14ac:dyDescent="0.3">
      <c r="A3332" s="14" t="e">
        <f>VLOOKUP(B3332,'Relacion codigos'!$A:$B,2,FALSE)</f>
        <v>#N/A</v>
      </c>
      <c r="B3332" s="6" t="s">
        <v>10346</v>
      </c>
      <c r="C3332" s="6" t="s">
        <v>12152</v>
      </c>
      <c r="D3332" s="24">
        <v>5.7807750000000002</v>
      </c>
      <c r="E3332" s="6" t="s">
        <v>5887</v>
      </c>
      <c r="F3332" s="6">
        <v>21</v>
      </c>
      <c r="G3332" s="8">
        <f t="shared" si="52"/>
        <v>8989.105125</v>
      </c>
    </row>
    <row r="3333" spans="1:7" x14ac:dyDescent="0.3">
      <c r="A3333" s="14" t="e">
        <f>VLOOKUP(B3333,'Relacion codigos'!$A:$B,2,FALSE)</f>
        <v>#N/A</v>
      </c>
      <c r="B3333" s="6" t="s">
        <v>12723</v>
      </c>
      <c r="C3333" s="6" t="s">
        <v>12724</v>
      </c>
      <c r="D3333" s="24">
        <v>5.7807750000000002</v>
      </c>
      <c r="E3333" s="6" t="s">
        <v>5887</v>
      </c>
      <c r="F3333" s="6">
        <v>21</v>
      </c>
      <c r="G3333" s="8">
        <f t="shared" si="52"/>
        <v>8989.105125</v>
      </c>
    </row>
    <row r="3334" spans="1:7" x14ac:dyDescent="0.3">
      <c r="A3334" s="14" t="str">
        <f>VLOOKUP(B3334,'Relacion codigos'!$A:$B,2,FALSE)</f>
        <v>NUEVO</v>
      </c>
      <c r="B3334" s="6" t="s">
        <v>4411</v>
      </c>
      <c r="C3334" s="6" t="s">
        <v>12153</v>
      </c>
      <c r="D3334" s="24">
        <v>12.709288799999999</v>
      </c>
      <c r="E3334" s="6" t="s">
        <v>5887</v>
      </c>
      <c r="F3334" s="6">
        <v>21</v>
      </c>
      <c r="G3334" s="8">
        <f t="shared" si="52"/>
        <v>19762.944083999999</v>
      </c>
    </row>
    <row r="3335" spans="1:7" x14ac:dyDescent="0.3">
      <c r="A3335" s="14" t="str">
        <f>VLOOKUP(B3335,'Relacion codigos'!$A:$B,2,FALSE)</f>
        <v>NUEVO</v>
      </c>
      <c r="B3335" s="6" t="s">
        <v>4412</v>
      </c>
      <c r="C3335" s="6" t="s">
        <v>12154</v>
      </c>
      <c r="D3335" s="24">
        <v>12.709288799999999</v>
      </c>
      <c r="E3335" s="6" t="s">
        <v>5887</v>
      </c>
      <c r="F3335" s="6">
        <v>21</v>
      </c>
      <c r="G3335" s="8">
        <f t="shared" si="52"/>
        <v>19762.944083999999</v>
      </c>
    </row>
    <row r="3336" spans="1:7" x14ac:dyDescent="0.3">
      <c r="A3336" s="14" t="str">
        <f>VLOOKUP(B3336,'Relacion codigos'!$A:$B,2,FALSE)</f>
        <v>NUEVO</v>
      </c>
      <c r="B3336" s="6" t="s">
        <v>4330</v>
      </c>
      <c r="C3336" s="6" t="s">
        <v>12259</v>
      </c>
      <c r="D3336" s="24">
        <v>3.7306620000000001</v>
      </c>
      <c r="E3336" s="6" t="s">
        <v>5887</v>
      </c>
      <c r="F3336" s="6">
        <v>21</v>
      </c>
      <c r="G3336" s="8">
        <f t="shared" si="52"/>
        <v>5801.1794100000006</v>
      </c>
    </row>
    <row r="3337" spans="1:7" x14ac:dyDescent="0.3">
      <c r="A3337" s="14" t="e">
        <f>VLOOKUP(B3337,'Relacion codigos'!$A:$B,2,FALSE)</f>
        <v>#N/A</v>
      </c>
      <c r="B3337" s="6" t="s">
        <v>10341</v>
      </c>
      <c r="C3337" s="6" t="s">
        <v>12155</v>
      </c>
      <c r="D3337" s="24">
        <v>6.886425</v>
      </c>
      <c r="E3337" s="6" t="s">
        <v>5887</v>
      </c>
      <c r="F3337" s="6">
        <v>21</v>
      </c>
      <c r="G3337" s="8">
        <f t="shared" si="52"/>
        <v>10708.390874999999</v>
      </c>
    </row>
    <row r="3338" spans="1:7" x14ac:dyDescent="0.3">
      <c r="A3338" s="14" t="str">
        <f>VLOOKUP(B3338,'Relacion codigos'!$A:$B,2,FALSE)</f>
        <v>NUEVO</v>
      </c>
      <c r="B3338" s="6" t="s">
        <v>4331</v>
      </c>
      <c r="C3338" s="6" t="s">
        <v>12260</v>
      </c>
      <c r="D3338" s="24">
        <v>3.7306620000000001</v>
      </c>
      <c r="E3338" s="6" t="s">
        <v>5887</v>
      </c>
      <c r="F3338" s="6">
        <v>21</v>
      </c>
      <c r="G3338" s="8">
        <f t="shared" si="52"/>
        <v>5801.1794100000006</v>
      </c>
    </row>
    <row r="3339" spans="1:7" x14ac:dyDescent="0.3">
      <c r="A3339" s="14" t="e">
        <f>VLOOKUP(B3339,'Relacion codigos'!$A:$B,2,FALSE)</f>
        <v>#N/A</v>
      </c>
      <c r="B3339" s="6" t="s">
        <v>10342</v>
      </c>
      <c r="C3339" s="6" t="s">
        <v>12156</v>
      </c>
      <c r="D3339" s="24">
        <v>6.886425</v>
      </c>
      <c r="E3339" s="6" t="s">
        <v>5887</v>
      </c>
      <c r="F3339" s="6">
        <v>21</v>
      </c>
      <c r="G3339" s="8">
        <f t="shared" si="52"/>
        <v>10708.390874999999</v>
      </c>
    </row>
    <row r="3340" spans="1:7" x14ac:dyDescent="0.3">
      <c r="A3340" s="14" t="str">
        <f>VLOOKUP(B3340,'Relacion codigos'!$A:$B,2,FALSE)</f>
        <v>NUEVO</v>
      </c>
      <c r="B3340" s="6" t="s">
        <v>4332</v>
      </c>
      <c r="C3340" s="6" t="s">
        <v>13411</v>
      </c>
      <c r="D3340" s="24">
        <v>3.7306620000000001</v>
      </c>
      <c r="E3340" s="6" t="s">
        <v>5887</v>
      </c>
      <c r="F3340" s="6">
        <v>21</v>
      </c>
      <c r="G3340" s="8">
        <f t="shared" si="52"/>
        <v>5801.1794100000006</v>
      </c>
    </row>
    <row r="3341" spans="1:7" x14ac:dyDescent="0.3">
      <c r="A3341" s="14" t="e">
        <f>VLOOKUP(B3341,'Relacion codigos'!$A:$B,2,FALSE)</f>
        <v>#N/A</v>
      </c>
      <c r="B3341" s="6" t="s">
        <v>11962</v>
      </c>
      <c r="C3341" s="6" t="s">
        <v>12157</v>
      </c>
      <c r="D3341" s="24">
        <v>6.886425</v>
      </c>
      <c r="E3341" s="6" t="s">
        <v>5887</v>
      </c>
      <c r="F3341" s="6">
        <v>21</v>
      </c>
      <c r="G3341" s="8">
        <f t="shared" si="52"/>
        <v>10708.390874999999</v>
      </c>
    </row>
    <row r="3342" spans="1:7" x14ac:dyDescent="0.3">
      <c r="A3342" s="14" t="str">
        <f>VLOOKUP(B3342,'Relacion codigos'!$A:$B,2,FALSE)</f>
        <v>6173</v>
      </c>
      <c r="B3342" s="6" t="s">
        <v>4396</v>
      </c>
      <c r="C3342" s="6" t="s">
        <v>11020</v>
      </c>
      <c r="D3342" s="24">
        <v>13.128258000000001</v>
      </c>
      <c r="E3342" s="6" t="s">
        <v>5887</v>
      </c>
      <c r="F3342" s="6">
        <v>21</v>
      </c>
      <c r="G3342" s="8">
        <f t="shared" si="52"/>
        <v>20414.441190000001</v>
      </c>
    </row>
    <row r="3343" spans="1:7" x14ac:dyDescent="0.3">
      <c r="A3343" s="14" t="str">
        <f>VLOOKUP(B3343,'Relacion codigos'!$A:$B,2,FALSE)</f>
        <v>NUEVO</v>
      </c>
      <c r="B3343" s="6" t="s">
        <v>4360</v>
      </c>
      <c r="C3343" s="6" t="s">
        <v>12261</v>
      </c>
      <c r="D3343" s="24">
        <v>4.0874534999999996</v>
      </c>
      <c r="E3343" s="6" t="s">
        <v>5887</v>
      </c>
      <c r="F3343" s="6">
        <v>21</v>
      </c>
      <c r="G3343" s="8">
        <f t="shared" si="52"/>
        <v>6355.9901924999995</v>
      </c>
    </row>
    <row r="3344" spans="1:7" x14ac:dyDescent="0.3">
      <c r="A3344" s="14" t="e">
        <f>VLOOKUP(B3344,'Relacion codigos'!$A:$B,2,FALSE)</f>
        <v>#N/A</v>
      </c>
      <c r="B3344" s="6" t="s">
        <v>10347</v>
      </c>
      <c r="C3344" s="6" t="s">
        <v>12158</v>
      </c>
      <c r="D3344" s="24">
        <v>7.8078000000000003</v>
      </c>
      <c r="E3344" s="6" t="s">
        <v>5887</v>
      </c>
      <c r="F3344" s="6">
        <v>21</v>
      </c>
      <c r="G3344" s="8">
        <f t="shared" si="52"/>
        <v>12141.129000000001</v>
      </c>
    </row>
    <row r="3345" spans="1:7" x14ac:dyDescent="0.3">
      <c r="A3345" s="14" t="str">
        <f>VLOOKUP(B3345,'Relacion codigos'!$A:$B,2,FALSE)</f>
        <v>NUEVO</v>
      </c>
      <c r="B3345" s="6" t="s">
        <v>4361</v>
      </c>
      <c r="C3345" s="6" t="s">
        <v>12262</v>
      </c>
      <c r="D3345" s="24">
        <v>4.0874534999999996</v>
      </c>
      <c r="E3345" s="6" t="s">
        <v>5887</v>
      </c>
      <c r="F3345" s="6">
        <v>21</v>
      </c>
      <c r="G3345" s="8">
        <f t="shared" si="52"/>
        <v>6355.9901924999995</v>
      </c>
    </row>
    <row r="3346" spans="1:7" x14ac:dyDescent="0.3">
      <c r="A3346" s="14" t="e">
        <f>VLOOKUP(B3346,'Relacion codigos'!$A:$B,2,FALSE)</f>
        <v>#N/A</v>
      </c>
      <c r="B3346" s="6" t="s">
        <v>10348</v>
      </c>
      <c r="C3346" s="6" t="s">
        <v>12159</v>
      </c>
      <c r="D3346" s="24">
        <v>7.8078000000000003</v>
      </c>
      <c r="E3346" s="6" t="s">
        <v>5887</v>
      </c>
      <c r="F3346" s="6">
        <v>21</v>
      </c>
      <c r="G3346" s="8">
        <f t="shared" si="52"/>
        <v>12141.129000000001</v>
      </c>
    </row>
    <row r="3347" spans="1:7" x14ac:dyDescent="0.3">
      <c r="A3347" s="14" t="str">
        <f>VLOOKUP(B3347,'Relacion codigos'!$A:$B,2,FALSE)</f>
        <v>8427</v>
      </c>
      <c r="B3347" s="6" t="s">
        <v>4414</v>
      </c>
      <c r="C3347" s="6" t="s">
        <v>10679</v>
      </c>
      <c r="D3347" s="24">
        <v>13.128258000000001</v>
      </c>
      <c r="E3347" s="6" t="s">
        <v>5887</v>
      </c>
      <c r="F3347" s="6">
        <v>21</v>
      </c>
      <c r="G3347" s="8">
        <f t="shared" si="52"/>
        <v>20414.441190000001</v>
      </c>
    </row>
    <row r="3348" spans="1:7" x14ac:dyDescent="0.3">
      <c r="A3348" s="14" t="str">
        <f>VLOOKUP(B3348,'Relacion codigos'!$A:$B,2,FALSE)</f>
        <v>NUEVO</v>
      </c>
      <c r="B3348" s="6" t="s">
        <v>4362</v>
      </c>
      <c r="C3348" s="6" t="s">
        <v>13412</v>
      </c>
      <c r="D3348" s="24">
        <v>4.0874534999999996</v>
      </c>
      <c r="E3348" s="6" t="s">
        <v>5887</v>
      </c>
      <c r="F3348" s="6">
        <v>21</v>
      </c>
      <c r="G3348" s="8">
        <f t="shared" si="52"/>
        <v>6355.9901924999995</v>
      </c>
    </row>
    <row r="3349" spans="1:7" x14ac:dyDescent="0.3">
      <c r="A3349" s="14" t="e">
        <f>VLOOKUP(B3349,'Relacion codigos'!$A:$B,2,FALSE)</f>
        <v>#N/A</v>
      </c>
      <c r="B3349" s="6" t="s">
        <v>11891</v>
      </c>
      <c r="C3349" s="6" t="s">
        <v>12160</v>
      </c>
      <c r="D3349" s="24">
        <v>7.8078000000000003</v>
      </c>
      <c r="E3349" s="6" t="s">
        <v>5887</v>
      </c>
      <c r="F3349" s="6">
        <v>21</v>
      </c>
      <c r="G3349" s="8">
        <f t="shared" si="52"/>
        <v>12141.129000000001</v>
      </c>
    </row>
    <row r="3350" spans="1:7" x14ac:dyDescent="0.3">
      <c r="A3350" s="14" t="str">
        <f>VLOOKUP(B3350,'Relacion codigos'!$A:$B,2,FALSE)</f>
        <v>6178</v>
      </c>
      <c r="B3350" s="6" t="s">
        <v>4413</v>
      </c>
      <c r="C3350" s="6" t="s">
        <v>11021</v>
      </c>
      <c r="D3350" s="24">
        <v>13.128258000000001</v>
      </c>
      <c r="E3350" s="6" t="s">
        <v>5887</v>
      </c>
      <c r="F3350" s="6">
        <v>21</v>
      </c>
      <c r="G3350" s="8">
        <f t="shared" si="52"/>
        <v>20414.441190000001</v>
      </c>
    </row>
    <row r="3351" spans="1:7" x14ac:dyDescent="0.3">
      <c r="A3351" s="14" t="e">
        <f>VLOOKUP(B3351,'Relacion codigos'!$A:$B,2,FALSE)</f>
        <v>#N/A</v>
      </c>
      <c r="B3351" s="6" t="s">
        <v>11637</v>
      </c>
      <c r="C3351" s="6" t="s">
        <v>12559</v>
      </c>
      <c r="D3351" s="24">
        <v>7.8965249999999996</v>
      </c>
      <c r="E3351" s="6" t="s">
        <v>5887</v>
      </c>
      <c r="F3351" s="6">
        <v>21</v>
      </c>
      <c r="G3351" s="8">
        <f t="shared" si="52"/>
        <v>12279.096374999999</v>
      </c>
    </row>
    <row r="3352" spans="1:7" x14ac:dyDescent="0.3">
      <c r="A3352" s="14" t="str">
        <f>VLOOKUP(B3352,'Relacion codigos'!$A:$B,2,FALSE)</f>
        <v>6179</v>
      </c>
      <c r="B3352" s="6" t="s">
        <v>4415</v>
      </c>
      <c r="C3352" s="6" t="s">
        <v>11022</v>
      </c>
      <c r="D3352" s="24">
        <v>13.128258000000001</v>
      </c>
      <c r="E3352" s="6" t="s">
        <v>5887</v>
      </c>
      <c r="F3352" s="6">
        <v>21</v>
      </c>
      <c r="G3352" s="8">
        <f t="shared" si="52"/>
        <v>20414.441190000001</v>
      </c>
    </row>
    <row r="3353" spans="1:7" x14ac:dyDescent="0.3">
      <c r="A3353" s="14" t="e">
        <f>VLOOKUP(B3353,'Relacion codigos'!$A:$B,2,FALSE)</f>
        <v>#N/A</v>
      </c>
      <c r="B3353" s="6" t="s">
        <v>10343</v>
      </c>
      <c r="C3353" s="6" t="s">
        <v>12161</v>
      </c>
      <c r="D3353" s="24">
        <v>10.722075</v>
      </c>
      <c r="E3353" s="6" t="s">
        <v>5887</v>
      </c>
      <c r="F3353" s="6">
        <v>21</v>
      </c>
      <c r="G3353" s="8">
        <f t="shared" si="52"/>
        <v>16672.826625000002</v>
      </c>
    </row>
    <row r="3354" spans="1:7" x14ac:dyDescent="0.3">
      <c r="A3354" s="14" t="str">
        <f>VLOOKUP(B3354,'Relacion codigos'!$A:$B,2,FALSE)</f>
        <v>NUEVO</v>
      </c>
      <c r="B3354" s="6" t="s">
        <v>4333</v>
      </c>
      <c r="C3354" s="6" t="s">
        <v>12263</v>
      </c>
      <c r="D3354" s="24">
        <v>6.1656075000000001</v>
      </c>
      <c r="E3354" s="6" t="s">
        <v>5887</v>
      </c>
      <c r="F3354" s="6">
        <v>21</v>
      </c>
      <c r="G3354" s="8">
        <f t="shared" si="52"/>
        <v>9587.5196625000008</v>
      </c>
    </row>
    <row r="3355" spans="1:7" x14ac:dyDescent="0.3">
      <c r="A3355" s="14" t="str">
        <f>VLOOKUP(B3355,'Relacion codigos'!$A:$B,2,FALSE)</f>
        <v>2994</v>
      </c>
      <c r="B3355" s="6" t="s">
        <v>4334</v>
      </c>
      <c r="C3355" s="6" t="s">
        <v>12264</v>
      </c>
      <c r="D3355" s="24">
        <v>6.1656075000000001</v>
      </c>
      <c r="E3355" s="6" t="s">
        <v>5887</v>
      </c>
      <c r="F3355" s="6">
        <v>21</v>
      </c>
      <c r="G3355" s="8">
        <f t="shared" si="52"/>
        <v>9587.5196625000008</v>
      </c>
    </row>
    <row r="3356" spans="1:7" x14ac:dyDescent="0.3">
      <c r="A3356" s="14" t="e">
        <f>VLOOKUP(B3356,'Relacion codigos'!$A:$B,2,FALSE)</f>
        <v>#N/A</v>
      </c>
      <c r="B3356" s="6" t="s">
        <v>10344</v>
      </c>
      <c r="C3356" s="6" t="s">
        <v>12162</v>
      </c>
      <c r="D3356" s="24">
        <v>10.722075</v>
      </c>
      <c r="E3356" s="6" t="s">
        <v>5887</v>
      </c>
      <c r="F3356" s="6">
        <v>21</v>
      </c>
      <c r="G3356" s="8">
        <f t="shared" si="52"/>
        <v>16672.826625000002</v>
      </c>
    </row>
    <row r="3357" spans="1:7" x14ac:dyDescent="0.3">
      <c r="A3357" s="14" t="e">
        <f>VLOOKUP(B3357,'Relacion codigos'!$A:$B,2,FALSE)</f>
        <v>#N/A</v>
      </c>
      <c r="B3357" s="6" t="s">
        <v>12725</v>
      </c>
      <c r="C3357" s="6" t="s">
        <v>13340</v>
      </c>
      <c r="D3357" s="24">
        <v>10.722075</v>
      </c>
      <c r="E3357" s="6" t="s">
        <v>5887</v>
      </c>
      <c r="F3357" s="6">
        <v>21</v>
      </c>
      <c r="G3357" s="8">
        <f t="shared" si="52"/>
        <v>16672.826625000002</v>
      </c>
    </row>
    <row r="3358" spans="1:7" x14ac:dyDescent="0.3">
      <c r="A3358" s="14" t="e">
        <f>VLOOKUP(B3358,'Relacion codigos'!$A:$B,2,FALSE)</f>
        <v>#N/A</v>
      </c>
      <c r="B3358" s="6" t="s">
        <v>12332</v>
      </c>
      <c r="C3358" s="6" t="s">
        <v>12333</v>
      </c>
      <c r="D3358" s="24">
        <v>11.227124999999999</v>
      </c>
      <c r="E3358" s="6" t="s">
        <v>5887</v>
      </c>
      <c r="F3358" s="6">
        <v>21</v>
      </c>
      <c r="G3358" s="8">
        <f t="shared" si="52"/>
        <v>17458.179375</v>
      </c>
    </row>
    <row r="3359" spans="1:7" x14ac:dyDescent="0.3">
      <c r="A3359" s="14" t="str">
        <f>VLOOKUP(B3359,'Relacion codigos'!$A:$B,2,FALSE)</f>
        <v>NUEVO</v>
      </c>
      <c r="B3359" s="6" t="s">
        <v>4363</v>
      </c>
      <c r="C3359" s="6" t="s">
        <v>12265</v>
      </c>
      <c r="D3359" s="24">
        <v>6.6601080000000001</v>
      </c>
      <c r="E3359" s="6" t="s">
        <v>5887</v>
      </c>
      <c r="F3359" s="6">
        <v>21</v>
      </c>
      <c r="G3359" s="8">
        <f t="shared" si="52"/>
        <v>10356.46794</v>
      </c>
    </row>
    <row r="3360" spans="1:7" x14ac:dyDescent="0.3">
      <c r="A3360" s="14" t="e">
        <f>VLOOKUP(B3360,'Relacion codigos'!$A:$B,2,FALSE)</f>
        <v>#N/A</v>
      </c>
      <c r="B3360" s="6" t="s">
        <v>10349</v>
      </c>
      <c r="C3360" s="6" t="s">
        <v>12163</v>
      </c>
      <c r="D3360" s="24">
        <v>11.99835</v>
      </c>
      <c r="E3360" s="6" t="s">
        <v>5887</v>
      </c>
      <c r="F3360" s="6">
        <v>21</v>
      </c>
      <c r="G3360" s="8">
        <f t="shared" si="52"/>
        <v>18657.434250000002</v>
      </c>
    </row>
    <row r="3361" spans="1:7" x14ac:dyDescent="0.3">
      <c r="A3361" s="14" t="str">
        <f>VLOOKUP(B3361,'Relacion codigos'!$A:$B,2,FALSE)</f>
        <v>NUEVO</v>
      </c>
      <c r="B3361" s="6" t="s">
        <v>4364</v>
      </c>
      <c r="C3361" s="6" t="s">
        <v>13109</v>
      </c>
      <c r="D3361" s="24">
        <v>6.6601080000000001</v>
      </c>
      <c r="E3361" s="6" t="s">
        <v>5887</v>
      </c>
      <c r="F3361" s="6">
        <v>21</v>
      </c>
      <c r="G3361" s="8">
        <f t="shared" si="52"/>
        <v>10356.46794</v>
      </c>
    </row>
    <row r="3362" spans="1:7" x14ac:dyDescent="0.3">
      <c r="A3362" s="14" t="e">
        <f>VLOOKUP(B3362,'Relacion codigos'!$A:$B,2,FALSE)</f>
        <v>#N/A</v>
      </c>
      <c r="B3362" s="6" t="s">
        <v>10350</v>
      </c>
      <c r="C3362" s="6" t="s">
        <v>12164</v>
      </c>
      <c r="D3362" s="24">
        <v>11.99835</v>
      </c>
      <c r="E3362" s="6" t="s">
        <v>5887</v>
      </c>
      <c r="F3362" s="6">
        <v>21</v>
      </c>
      <c r="G3362" s="8">
        <f t="shared" si="52"/>
        <v>18657.434250000002</v>
      </c>
    </row>
    <row r="3363" spans="1:7" x14ac:dyDescent="0.3">
      <c r="A3363" s="14" t="str">
        <f>VLOOKUP(B3363,'Relacion codigos'!$A:$B,2,FALSE)</f>
        <v>6175</v>
      </c>
      <c r="B3363" s="6" t="s">
        <v>4430</v>
      </c>
      <c r="C3363" s="6" t="s">
        <v>13516</v>
      </c>
      <c r="D3363" s="24">
        <v>6.6601080000000001</v>
      </c>
      <c r="E3363" s="6" t="s">
        <v>5887</v>
      </c>
      <c r="F3363" s="6">
        <v>21</v>
      </c>
      <c r="G3363" s="8">
        <f t="shared" si="52"/>
        <v>10356.46794</v>
      </c>
    </row>
    <row r="3364" spans="1:7" x14ac:dyDescent="0.3">
      <c r="A3364" s="14" t="e">
        <f>VLOOKUP(B3364,'Relacion codigos'!$A:$B,2,FALSE)</f>
        <v>#N/A</v>
      </c>
      <c r="B3364" s="6" t="s">
        <v>11892</v>
      </c>
      <c r="C3364" s="6" t="s">
        <v>12165</v>
      </c>
      <c r="D3364" s="24">
        <v>11.99835</v>
      </c>
      <c r="E3364" s="6" t="s">
        <v>5887</v>
      </c>
      <c r="F3364" s="6">
        <v>21</v>
      </c>
      <c r="G3364" s="8">
        <f t="shared" si="52"/>
        <v>18657.434250000002</v>
      </c>
    </row>
    <row r="3365" spans="1:7" x14ac:dyDescent="0.3">
      <c r="A3365" s="14" t="e">
        <f>VLOOKUP(B3365,'Relacion codigos'!$A:$B,2,FALSE)</f>
        <v>#N/A</v>
      </c>
      <c r="B3365" s="6" t="s">
        <v>11978</v>
      </c>
      <c r="C3365" s="6" t="s">
        <v>12166</v>
      </c>
      <c r="D3365" s="24">
        <v>12.3671581375358</v>
      </c>
      <c r="E3365" s="6" t="s">
        <v>5887</v>
      </c>
      <c r="F3365" s="6">
        <v>21</v>
      </c>
      <c r="G3365" s="8">
        <f t="shared" si="52"/>
        <v>19230.930903868168</v>
      </c>
    </row>
    <row r="3366" spans="1:7" x14ac:dyDescent="0.3">
      <c r="A3366" s="14" t="str">
        <f>VLOOKUP(B3366,'Relacion codigos'!$A:$B,2,FALSE)</f>
        <v>2996</v>
      </c>
      <c r="B3366" s="6" t="s">
        <v>4336</v>
      </c>
      <c r="C3366" s="6" t="s">
        <v>9890</v>
      </c>
      <c r="D3366" s="24">
        <v>2.1470085000000001</v>
      </c>
      <c r="E3366" s="6" t="s">
        <v>5887</v>
      </c>
      <c r="F3366" s="6">
        <v>21</v>
      </c>
      <c r="G3366" s="8">
        <f t="shared" si="52"/>
        <v>3338.5982175000004</v>
      </c>
    </row>
    <row r="3367" spans="1:7" x14ac:dyDescent="0.3">
      <c r="A3367" s="14" t="e">
        <f>VLOOKUP(B3367,'Relacion codigos'!$A:$B,2,FALSE)</f>
        <v>#N/A</v>
      </c>
      <c r="B3367" s="6" t="s">
        <v>11287</v>
      </c>
      <c r="C3367" s="6" t="s">
        <v>12167</v>
      </c>
      <c r="D3367" s="24">
        <v>3.3578999999999999</v>
      </c>
      <c r="E3367" s="6" t="s">
        <v>5887</v>
      </c>
      <c r="F3367" s="6">
        <v>21</v>
      </c>
      <c r="G3367" s="8">
        <f t="shared" si="52"/>
        <v>5221.5344999999998</v>
      </c>
    </row>
    <row r="3368" spans="1:7" x14ac:dyDescent="0.3">
      <c r="A3368" s="14" t="str">
        <f>VLOOKUP(B3368,'Relacion codigos'!$A:$B,2,FALSE)</f>
        <v>2997</v>
      </c>
      <c r="B3368" s="6" t="s">
        <v>4337</v>
      </c>
      <c r="C3368" s="6" t="s">
        <v>9891</v>
      </c>
      <c r="D3368" s="24">
        <v>2.1470085000000001</v>
      </c>
      <c r="E3368" s="6" t="s">
        <v>5887</v>
      </c>
      <c r="F3368" s="6">
        <v>21</v>
      </c>
      <c r="G3368" s="8">
        <f t="shared" si="52"/>
        <v>3338.5982175000004</v>
      </c>
    </row>
    <row r="3369" spans="1:7" x14ac:dyDescent="0.3">
      <c r="A3369" s="14" t="e">
        <f>VLOOKUP(B3369,'Relacion codigos'!$A:$B,2,FALSE)</f>
        <v>#N/A</v>
      </c>
      <c r="B3369" s="6" t="s">
        <v>11288</v>
      </c>
      <c r="C3369" s="6" t="s">
        <v>12168</v>
      </c>
      <c r="D3369" s="24">
        <v>3.3578999999999999</v>
      </c>
      <c r="E3369" s="6" t="s">
        <v>5887</v>
      </c>
      <c r="F3369" s="6">
        <v>21</v>
      </c>
      <c r="G3369" s="8">
        <f t="shared" si="52"/>
        <v>5221.5344999999998</v>
      </c>
    </row>
    <row r="3370" spans="1:7" x14ac:dyDescent="0.3">
      <c r="A3370" s="14" t="str">
        <f>VLOOKUP(B3370,'Relacion codigos'!$A:$B,2,FALSE)</f>
        <v>NUEVO</v>
      </c>
      <c r="B3370" s="6" t="s">
        <v>4338</v>
      </c>
      <c r="C3370" s="6" t="s">
        <v>9892</v>
      </c>
      <c r="D3370" s="24">
        <v>2.1470085000000001</v>
      </c>
      <c r="E3370" s="6" t="s">
        <v>5887</v>
      </c>
      <c r="F3370" s="6">
        <v>21</v>
      </c>
      <c r="G3370" s="8">
        <f t="shared" si="52"/>
        <v>3338.5982175000004</v>
      </c>
    </row>
    <row r="3371" spans="1:7" x14ac:dyDescent="0.3">
      <c r="A3371" s="14" t="e">
        <f>VLOOKUP(B3371,'Relacion codigos'!$A:$B,2,FALSE)</f>
        <v>#N/A</v>
      </c>
      <c r="B3371" s="6" t="s">
        <v>14022</v>
      </c>
      <c r="C3371" s="6" t="s">
        <v>14023</v>
      </c>
      <c r="D3371" s="24">
        <v>3.3578999999999999</v>
      </c>
      <c r="E3371" s="6" t="s">
        <v>5887</v>
      </c>
      <c r="F3371" s="6">
        <v>21</v>
      </c>
      <c r="G3371" s="8">
        <f t="shared" si="52"/>
        <v>5221.5344999999998</v>
      </c>
    </row>
    <row r="3372" spans="1:7" x14ac:dyDescent="0.3">
      <c r="A3372" s="14" t="str">
        <f>VLOOKUP(B3372,'Relacion codigos'!$A:$B,2,FALSE)</f>
        <v>8187</v>
      </c>
      <c r="B3372" s="6" t="s">
        <v>4429</v>
      </c>
      <c r="C3372" s="6" t="s">
        <v>12334</v>
      </c>
      <c r="D3372" s="24">
        <v>5.1051000000000002</v>
      </c>
      <c r="E3372" s="6" t="s">
        <v>5887</v>
      </c>
      <c r="F3372" s="6">
        <v>21</v>
      </c>
      <c r="G3372" s="8">
        <f t="shared" si="52"/>
        <v>7938.4305000000004</v>
      </c>
    </row>
    <row r="3373" spans="1:7" x14ac:dyDescent="0.3">
      <c r="A3373" s="14" t="str">
        <f>VLOOKUP(B3373,'Relacion codigos'!$A:$B,2,FALSE)</f>
        <v>3026</v>
      </c>
      <c r="B3373" s="6" t="s">
        <v>4366</v>
      </c>
      <c r="C3373" s="6" t="s">
        <v>9893</v>
      </c>
      <c r="D3373" s="24">
        <v>2.2596794999999998</v>
      </c>
      <c r="E3373" s="6" t="s">
        <v>5887</v>
      </c>
      <c r="F3373" s="6">
        <v>21</v>
      </c>
      <c r="G3373" s="8">
        <f t="shared" si="52"/>
        <v>3513.8016224999997</v>
      </c>
    </row>
    <row r="3374" spans="1:7" x14ac:dyDescent="0.3">
      <c r="A3374" s="14" t="e">
        <f>VLOOKUP(B3374,'Relacion codigos'!$A:$B,2,FALSE)</f>
        <v>#N/A</v>
      </c>
      <c r="B3374" s="6" t="s">
        <v>10953</v>
      </c>
      <c r="C3374" s="6" t="s">
        <v>12169</v>
      </c>
      <c r="D3374" s="24">
        <v>3.79319177265501</v>
      </c>
      <c r="E3374" s="6" t="s">
        <v>5887</v>
      </c>
      <c r="F3374" s="6">
        <v>21</v>
      </c>
      <c r="G3374" s="8">
        <f t="shared" si="52"/>
        <v>5898.4132064785408</v>
      </c>
    </row>
    <row r="3375" spans="1:7" x14ac:dyDescent="0.3">
      <c r="A3375" s="14" t="str">
        <f>VLOOKUP(B3375,'Relacion codigos'!$A:$B,2,FALSE)</f>
        <v>3027</v>
      </c>
      <c r="B3375" s="6" t="s">
        <v>4367</v>
      </c>
      <c r="C3375" s="6" t="s">
        <v>9894</v>
      </c>
      <c r="D3375" s="24">
        <v>2.2596794999999998</v>
      </c>
      <c r="E3375" s="6" t="s">
        <v>5887</v>
      </c>
      <c r="F3375" s="6">
        <v>21</v>
      </c>
      <c r="G3375" s="8">
        <f t="shared" si="52"/>
        <v>3513.8016224999997</v>
      </c>
    </row>
    <row r="3376" spans="1:7" x14ac:dyDescent="0.3">
      <c r="A3376" s="14" t="e">
        <f>VLOOKUP(B3376,'Relacion codigos'!$A:$B,2,FALSE)</f>
        <v>#N/A</v>
      </c>
      <c r="B3376" s="6" t="s">
        <v>10954</v>
      </c>
      <c r="C3376" s="6" t="s">
        <v>12170</v>
      </c>
      <c r="D3376" s="24">
        <v>3.7947000000000002</v>
      </c>
      <c r="E3376" s="6" t="s">
        <v>5887</v>
      </c>
      <c r="F3376" s="6">
        <v>21</v>
      </c>
      <c r="G3376" s="8">
        <f t="shared" si="52"/>
        <v>5900.7584999999999</v>
      </c>
    </row>
    <row r="3377" spans="1:7" x14ac:dyDescent="0.3">
      <c r="A3377" s="14" t="str">
        <f>VLOOKUP(B3377,'Relacion codigos'!$A:$B,2,FALSE)</f>
        <v>NUEVO</v>
      </c>
      <c r="B3377" s="6" t="s">
        <v>4368</v>
      </c>
      <c r="C3377" s="6" t="s">
        <v>9895</v>
      </c>
      <c r="D3377" s="24">
        <v>2.2596794999999998</v>
      </c>
      <c r="E3377" s="6" t="s">
        <v>5887</v>
      </c>
      <c r="F3377" s="6">
        <v>21</v>
      </c>
      <c r="G3377" s="8">
        <f t="shared" si="52"/>
        <v>3513.8016224999997</v>
      </c>
    </row>
    <row r="3378" spans="1:7" x14ac:dyDescent="0.3">
      <c r="A3378" s="14" t="str">
        <f>VLOOKUP(B3378,'Relacion codigos'!$A:$B,2,FALSE)</f>
        <v>6174</v>
      </c>
      <c r="B3378" s="6" t="s">
        <v>4427</v>
      </c>
      <c r="C3378" s="6" t="s">
        <v>11023</v>
      </c>
      <c r="D3378" s="24">
        <v>6.5641290000000003</v>
      </c>
      <c r="E3378" s="6" t="s">
        <v>5887</v>
      </c>
      <c r="F3378" s="6">
        <v>21</v>
      </c>
      <c r="G3378" s="8">
        <f t="shared" si="52"/>
        <v>10207.220595000001</v>
      </c>
    </row>
    <row r="3379" spans="1:7" x14ac:dyDescent="0.3">
      <c r="A3379" s="14" t="str">
        <f>VLOOKUP(B3379,'Relacion codigos'!$A:$B,2,FALSE)</f>
        <v>3570</v>
      </c>
      <c r="B3379" s="6" t="s">
        <v>3851</v>
      </c>
      <c r="C3379" s="6" t="s">
        <v>559</v>
      </c>
      <c r="D3379" s="24">
        <v>96479.76</v>
      </c>
      <c r="E3379" s="6" t="s">
        <v>5889</v>
      </c>
      <c r="F3379" s="6">
        <v>21</v>
      </c>
      <c r="G3379" s="8">
        <f t="shared" si="52"/>
        <v>96479.76</v>
      </c>
    </row>
    <row r="3380" spans="1:7" x14ac:dyDescent="0.3">
      <c r="A3380" s="14" t="str">
        <f>VLOOKUP(B3380,'Relacion codigos'!$A:$B,2,FALSE)</f>
        <v>6299</v>
      </c>
      <c r="B3380" s="6" t="s">
        <v>3860</v>
      </c>
      <c r="C3380" s="6" t="s">
        <v>10502</v>
      </c>
      <c r="D3380" s="24">
        <v>10869.273999999999</v>
      </c>
      <c r="E3380" s="6" t="s">
        <v>5889</v>
      </c>
      <c r="F3380" s="6">
        <v>21</v>
      </c>
      <c r="G3380" s="8">
        <f t="shared" si="52"/>
        <v>10869.273999999999</v>
      </c>
    </row>
    <row r="3381" spans="1:7" x14ac:dyDescent="0.3">
      <c r="A3381" s="14" t="str">
        <f>VLOOKUP(B3381,'Relacion codigos'!$A:$B,2,FALSE)</f>
        <v>6300</v>
      </c>
      <c r="B3381" s="6" t="s">
        <v>3861</v>
      </c>
      <c r="C3381" s="6" t="s">
        <v>10503</v>
      </c>
      <c r="D3381" s="24">
        <v>18433.531999999999</v>
      </c>
      <c r="E3381" s="6" t="s">
        <v>5889</v>
      </c>
      <c r="F3381" s="6">
        <v>21</v>
      </c>
      <c r="G3381" s="8">
        <f t="shared" si="52"/>
        <v>18433.531999999999</v>
      </c>
    </row>
    <row r="3382" spans="1:7" x14ac:dyDescent="0.3">
      <c r="A3382" s="14" t="str">
        <f>VLOOKUP(B3382,'Relacion codigos'!$A:$B,2,FALSE)</f>
        <v>5552</v>
      </c>
      <c r="B3382" s="6" t="s">
        <v>3863</v>
      </c>
      <c r="C3382" s="6" t="s">
        <v>10504</v>
      </c>
      <c r="D3382" s="24">
        <v>28168.771700628</v>
      </c>
      <c r="E3382" s="6" t="s">
        <v>5889</v>
      </c>
      <c r="F3382" s="6">
        <v>21</v>
      </c>
      <c r="G3382" s="8">
        <f t="shared" si="52"/>
        <v>28168.771700628</v>
      </c>
    </row>
    <row r="3383" spans="1:7" x14ac:dyDescent="0.3">
      <c r="A3383" s="14" t="e">
        <f>VLOOKUP(B3383,'Relacion codigos'!$A:$B,2,FALSE)</f>
        <v>#N/A</v>
      </c>
      <c r="B3383" s="6" t="s">
        <v>12213</v>
      </c>
      <c r="C3383" s="6" t="s">
        <v>12214</v>
      </c>
      <c r="D3383" s="24">
        <v>1524.7230895</v>
      </c>
      <c r="E3383" s="6" t="s">
        <v>5889</v>
      </c>
      <c r="F3383" s="6">
        <v>21</v>
      </c>
      <c r="G3383" s="8">
        <f t="shared" si="52"/>
        <v>1524.7230895</v>
      </c>
    </row>
    <row r="3384" spans="1:7" x14ac:dyDescent="0.3">
      <c r="A3384" s="14" t="str">
        <f>VLOOKUP(B3384,'Relacion codigos'!$A:$B,2,FALSE)</f>
        <v>1337</v>
      </c>
      <c r="B3384" s="6" t="s">
        <v>1528</v>
      </c>
      <c r="C3384" s="6" t="s">
        <v>560</v>
      </c>
      <c r="D3384" s="24">
        <v>179.02170000000001</v>
      </c>
      <c r="E3384" s="6" t="s">
        <v>5889</v>
      </c>
      <c r="F3384" s="6">
        <v>21</v>
      </c>
      <c r="G3384" s="8">
        <f t="shared" si="52"/>
        <v>179.02170000000001</v>
      </c>
    </row>
    <row r="3385" spans="1:7" x14ac:dyDescent="0.3">
      <c r="A3385" s="14" t="str">
        <f>VLOOKUP(B3385,'Relacion codigos'!$A:$B,2,FALSE)</f>
        <v>8903</v>
      </c>
      <c r="B3385" s="6" t="s">
        <v>2592</v>
      </c>
      <c r="C3385" s="6" t="s">
        <v>10680</v>
      </c>
      <c r="D3385" s="24">
        <v>4186.422767475</v>
      </c>
      <c r="E3385" s="6" t="s">
        <v>5889</v>
      </c>
      <c r="F3385" s="6">
        <v>21</v>
      </c>
      <c r="G3385" s="8">
        <f t="shared" si="52"/>
        <v>4186.422767475</v>
      </c>
    </row>
    <row r="3386" spans="1:7" x14ac:dyDescent="0.3">
      <c r="A3386" s="14" t="str">
        <f>VLOOKUP(B3386,'Relacion codigos'!$A:$B,2,FALSE)</f>
        <v>8904</v>
      </c>
      <c r="B3386" s="6" t="s">
        <v>2593</v>
      </c>
      <c r="C3386" s="6" t="s">
        <v>10681</v>
      </c>
      <c r="D3386" s="24">
        <v>2316.7216558199998</v>
      </c>
      <c r="E3386" s="6" t="s">
        <v>5889</v>
      </c>
      <c r="F3386" s="6">
        <v>21</v>
      </c>
      <c r="G3386" s="8">
        <f t="shared" si="52"/>
        <v>2316.7216558199998</v>
      </c>
    </row>
    <row r="3387" spans="1:7" x14ac:dyDescent="0.3">
      <c r="A3387" s="14" t="e">
        <f>VLOOKUP(B3387,'Relacion codigos'!$A:$B,2,FALSE)</f>
        <v>#N/A</v>
      </c>
      <c r="B3387" s="6" t="s">
        <v>12499</v>
      </c>
      <c r="C3387" s="6" t="s">
        <v>12500</v>
      </c>
      <c r="D3387" s="24">
        <v>886.40716904999999</v>
      </c>
      <c r="E3387" s="6" t="s">
        <v>5889</v>
      </c>
      <c r="F3387" s="6">
        <v>21</v>
      </c>
      <c r="G3387" s="8">
        <f t="shared" si="52"/>
        <v>886.40716904999999</v>
      </c>
    </row>
    <row r="3388" spans="1:7" x14ac:dyDescent="0.3">
      <c r="A3388" s="14" t="str">
        <f>VLOOKUP(B3388,'Relacion codigos'!$A:$B,2,FALSE)</f>
        <v>8399</v>
      </c>
      <c r="B3388" s="6" t="s">
        <v>2603</v>
      </c>
      <c r="C3388" s="6" t="s">
        <v>12501</v>
      </c>
      <c r="D3388" s="24">
        <v>3429.6937836127199</v>
      </c>
      <c r="E3388" s="6" t="s">
        <v>5889</v>
      </c>
      <c r="F3388" s="6">
        <v>21</v>
      </c>
      <c r="G3388" s="8">
        <f t="shared" si="52"/>
        <v>3429.6937836127199</v>
      </c>
    </row>
    <row r="3389" spans="1:7" x14ac:dyDescent="0.3">
      <c r="A3389" s="14" t="str">
        <f>VLOOKUP(B3389,'Relacion codigos'!$A:$B,2,FALSE)</f>
        <v>775</v>
      </c>
      <c r="B3389" s="6" t="s">
        <v>3473</v>
      </c>
      <c r="C3389" s="6" t="s">
        <v>561</v>
      </c>
      <c r="D3389" s="24">
        <v>986.81295699999998</v>
      </c>
      <c r="E3389" s="6" t="s">
        <v>5889</v>
      </c>
      <c r="F3389" s="6">
        <v>21</v>
      </c>
      <c r="G3389" s="8">
        <f t="shared" si="52"/>
        <v>986.81295699999998</v>
      </c>
    </row>
    <row r="3390" spans="1:7" x14ac:dyDescent="0.3">
      <c r="A3390" s="14" t="str">
        <f>VLOOKUP(B3390,'Relacion codigos'!$A:$B,2,FALSE)</f>
        <v>215</v>
      </c>
      <c r="B3390" s="6" t="s">
        <v>3476</v>
      </c>
      <c r="C3390" s="6" t="s">
        <v>3477</v>
      </c>
      <c r="D3390" s="24">
        <v>778.14000550000003</v>
      </c>
      <c r="E3390" s="6" t="s">
        <v>5889</v>
      </c>
      <c r="F3390" s="6">
        <v>21</v>
      </c>
      <c r="G3390" s="8">
        <f t="shared" si="52"/>
        <v>778.14000550000003</v>
      </c>
    </row>
    <row r="3391" spans="1:7" x14ac:dyDescent="0.3">
      <c r="A3391" s="14" t="e">
        <f>VLOOKUP(B3391,'Relacion codigos'!$A:$B,2,FALSE)</f>
        <v>#N/A</v>
      </c>
      <c r="B3391" s="6" t="s">
        <v>13586</v>
      </c>
      <c r="C3391" s="6" t="s">
        <v>13892</v>
      </c>
      <c r="D3391" s="24">
        <v>0.95979000000000003</v>
      </c>
      <c r="E3391" s="6" t="s">
        <v>5887</v>
      </c>
      <c r="F3391" s="6">
        <v>21</v>
      </c>
      <c r="G3391" s="8">
        <f t="shared" si="52"/>
        <v>1492.47345</v>
      </c>
    </row>
    <row r="3392" spans="1:7" x14ac:dyDescent="0.3">
      <c r="A3392" s="14" t="e">
        <f>VLOOKUP(B3392,'Relacion codigos'!$A:$B,2,FALSE)</f>
        <v>#N/A</v>
      </c>
      <c r="B3392" s="6" t="s">
        <v>11289</v>
      </c>
      <c r="C3392" s="6" t="s">
        <v>11290</v>
      </c>
      <c r="D3392" s="24">
        <v>0.64837500000000003</v>
      </c>
      <c r="E3392" s="6" t="s">
        <v>5887</v>
      </c>
      <c r="F3392" s="6">
        <v>21</v>
      </c>
      <c r="G3392" s="8">
        <f t="shared" si="52"/>
        <v>1008.2231250000001</v>
      </c>
    </row>
    <row r="3393" spans="1:7" x14ac:dyDescent="0.3">
      <c r="A3393" s="14" t="str">
        <f>VLOOKUP(B3393,'Relacion codigos'!$A:$B,2,FALSE)</f>
        <v>216</v>
      </c>
      <c r="B3393" s="6" t="s">
        <v>3479</v>
      </c>
      <c r="C3393" s="6" t="s">
        <v>562</v>
      </c>
      <c r="D3393" s="24">
        <v>417.3</v>
      </c>
      <c r="E3393" s="6" t="s">
        <v>5889</v>
      </c>
      <c r="F3393" s="6">
        <v>21</v>
      </c>
      <c r="G3393" s="8">
        <f t="shared" si="52"/>
        <v>417.3</v>
      </c>
    </row>
    <row r="3394" spans="1:7" x14ac:dyDescent="0.3">
      <c r="A3394" s="14" t="e">
        <f>VLOOKUP(B3394,'Relacion codigos'!$A:$B,2,FALSE)</f>
        <v>#N/A</v>
      </c>
      <c r="B3394" s="6" t="s">
        <v>13083</v>
      </c>
      <c r="C3394" s="6" t="s">
        <v>13084</v>
      </c>
      <c r="D3394" s="24">
        <v>605.77690426499998</v>
      </c>
      <c r="E3394" s="6" t="s">
        <v>5889</v>
      </c>
      <c r="F3394" s="6">
        <v>21</v>
      </c>
      <c r="G3394" s="8">
        <f t="shared" ref="G3394:G3457" si="53">IF(E3394="Dolares",D3394*$G$1,D3394)</f>
        <v>605.77690426499998</v>
      </c>
    </row>
    <row r="3395" spans="1:7" x14ac:dyDescent="0.3">
      <c r="A3395" s="14" t="str">
        <f>VLOOKUP(B3395,'Relacion codigos'!$A:$B,2,FALSE)</f>
        <v>680</v>
      </c>
      <c r="B3395" s="6" t="s">
        <v>3481</v>
      </c>
      <c r="C3395" s="6" t="s">
        <v>13932</v>
      </c>
      <c r="D3395" s="24">
        <v>7808.5176000000001</v>
      </c>
      <c r="E3395" s="6" t="s">
        <v>5889</v>
      </c>
      <c r="F3395" s="6">
        <v>21</v>
      </c>
      <c r="G3395" s="8">
        <f t="shared" si="53"/>
        <v>7808.5176000000001</v>
      </c>
    </row>
    <row r="3396" spans="1:7" x14ac:dyDescent="0.3">
      <c r="A3396" s="14" t="str">
        <f>VLOOKUP(B3396,'Relacion codigos'!$A:$B,2,FALSE)</f>
        <v>776</v>
      </c>
      <c r="B3396" s="6" t="s">
        <v>3474</v>
      </c>
      <c r="C3396" s="6" t="s">
        <v>10971</v>
      </c>
      <c r="D3396" s="24">
        <v>1225.8604800000001</v>
      </c>
      <c r="E3396" s="6" t="s">
        <v>5889</v>
      </c>
      <c r="F3396" s="6">
        <v>21</v>
      </c>
      <c r="G3396" s="8">
        <f t="shared" si="53"/>
        <v>1225.8604800000001</v>
      </c>
    </row>
    <row r="3397" spans="1:7" x14ac:dyDescent="0.3">
      <c r="A3397" s="14" t="str">
        <f>VLOOKUP(B3397,'Relacion codigos'!$A:$B,2,FALSE)</f>
        <v>627</v>
      </c>
      <c r="B3397" s="6" t="s">
        <v>3475</v>
      </c>
      <c r="C3397" s="6" t="s">
        <v>10505</v>
      </c>
      <c r="D3397" s="24">
        <v>1152.6243300000001</v>
      </c>
      <c r="E3397" s="6" t="s">
        <v>5889</v>
      </c>
      <c r="F3397" s="6">
        <v>21</v>
      </c>
      <c r="G3397" s="8">
        <f t="shared" si="53"/>
        <v>1152.6243300000001</v>
      </c>
    </row>
    <row r="3398" spans="1:7" x14ac:dyDescent="0.3">
      <c r="A3398" s="14" t="str">
        <f>VLOOKUP(B3398,'Relacion codigos'!$A:$B,2,FALSE)</f>
        <v>6144</v>
      </c>
      <c r="B3398" s="6" t="s">
        <v>3482</v>
      </c>
      <c r="C3398" s="6" t="s">
        <v>10506</v>
      </c>
      <c r="D3398" s="24">
        <v>334.42421999999999</v>
      </c>
      <c r="E3398" s="6" t="s">
        <v>5889</v>
      </c>
      <c r="F3398" s="6">
        <v>21</v>
      </c>
      <c r="G3398" s="8">
        <f t="shared" si="53"/>
        <v>334.42421999999999</v>
      </c>
    </row>
    <row r="3399" spans="1:7" x14ac:dyDescent="0.3">
      <c r="A3399" s="14" t="str">
        <f>VLOOKUP(B3399,'Relacion codigos'!$A:$B,2,FALSE)</f>
        <v>668</v>
      </c>
      <c r="B3399" s="6" t="s">
        <v>3483</v>
      </c>
      <c r="C3399" s="6" t="s">
        <v>563</v>
      </c>
      <c r="D3399" s="24">
        <v>4341.0328</v>
      </c>
      <c r="E3399" s="6" t="s">
        <v>5889</v>
      </c>
      <c r="F3399" s="6">
        <v>21</v>
      </c>
      <c r="G3399" s="8">
        <f t="shared" si="53"/>
        <v>4341.0328</v>
      </c>
    </row>
    <row r="3400" spans="1:7" x14ac:dyDescent="0.3">
      <c r="A3400" s="14" t="e">
        <f>VLOOKUP(B3400,'Relacion codigos'!$A:$B,2,FALSE)</f>
        <v>#N/A</v>
      </c>
      <c r="B3400" s="6" t="s">
        <v>9694</v>
      </c>
      <c r="C3400" s="6" t="s">
        <v>9695</v>
      </c>
      <c r="D3400" s="24">
        <v>7808.5176000000001</v>
      </c>
      <c r="E3400" s="6" t="s">
        <v>5889</v>
      </c>
      <c r="F3400" s="6">
        <v>21</v>
      </c>
      <c r="G3400" s="8">
        <f t="shared" si="53"/>
        <v>7808.5176000000001</v>
      </c>
    </row>
    <row r="3401" spans="1:7" x14ac:dyDescent="0.3">
      <c r="A3401" s="14" t="str">
        <f>VLOOKUP(B3401,'Relacion codigos'!$A:$B,2,FALSE)</f>
        <v>719</v>
      </c>
      <c r="B3401" s="6" t="s">
        <v>3485</v>
      </c>
      <c r="C3401" s="6" t="s">
        <v>13970</v>
      </c>
      <c r="D3401" s="24">
        <v>1339.5329999999999</v>
      </c>
      <c r="E3401" s="6" t="s">
        <v>5889</v>
      </c>
      <c r="F3401" s="6">
        <v>21</v>
      </c>
      <c r="G3401" s="8">
        <f t="shared" si="53"/>
        <v>1339.5329999999999</v>
      </c>
    </row>
    <row r="3402" spans="1:7" x14ac:dyDescent="0.3">
      <c r="A3402" s="14" t="str">
        <f>VLOOKUP(B3402,'Relacion codigos'!$A:$B,2,FALSE)</f>
        <v>818</v>
      </c>
      <c r="B3402" s="6" t="s">
        <v>3486</v>
      </c>
      <c r="C3402" s="6" t="s">
        <v>13971</v>
      </c>
      <c r="D3402" s="24">
        <v>1470.287</v>
      </c>
      <c r="E3402" s="6" t="s">
        <v>5889</v>
      </c>
      <c r="F3402" s="6">
        <v>21</v>
      </c>
      <c r="G3402" s="8">
        <f t="shared" si="53"/>
        <v>1470.287</v>
      </c>
    </row>
    <row r="3403" spans="1:7" x14ac:dyDescent="0.3">
      <c r="A3403" s="14" t="str">
        <f>VLOOKUP(B3403,'Relacion codigos'!$A:$B,2,FALSE)</f>
        <v>628</v>
      </c>
      <c r="B3403" s="6" t="s">
        <v>3487</v>
      </c>
      <c r="C3403" s="6" t="s">
        <v>566</v>
      </c>
      <c r="D3403" s="24">
        <v>676.77638886</v>
      </c>
      <c r="E3403" s="6" t="s">
        <v>5889</v>
      </c>
      <c r="F3403" s="6">
        <v>21</v>
      </c>
      <c r="G3403" s="8">
        <f t="shared" si="53"/>
        <v>676.77638886</v>
      </c>
    </row>
    <row r="3404" spans="1:7" x14ac:dyDescent="0.3">
      <c r="A3404" s="14" t="str">
        <f>VLOOKUP(B3404,'Relacion codigos'!$A:$B,2,FALSE)</f>
        <v>9242</v>
      </c>
      <c r="B3404" s="6" t="s">
        <v>3488</v>
      </c>
      <c r="C3404" s="6" t="s">
        <v>1273</v>
      </c>
      <c r="D3404" s="24">
        <v>8.0121599999999997</v>
      </c>
      <c r="E3404" s="6" t="s">
        <v>5887</v>
      </c>
      <c r="F3404" s="6">
        <v>21</v>
      </c>
      <c r="G3404" s="8">
        <f t="shared" si="53"/>
        <v>12458.908799999999</v>
      </c>
    </row>
    <row r="3405" spans="1:7" x14ac:dyDescent="0.3">
      <c r="A3405" s="14" t="str">
        <f>VLOOKUP(B3405,'Relacion codigos'!$A:$B,2,FALSE)</f>
        <v>9243</v>
      </c>
      <c r="B3405" s="6" t="s">
        <v>3489</v>
      </c>
      <c r="C3405" s="6" t="s">
        <v>1274</v>
      </c>
      <c r="D3405" s="24">
        <v>8.7633000000000099</v>
      </c>
      <c r="E3405" s="6" t="s">
        <v>5887</v>
      </c>
      <c r="F3405" s="6">
        <v>21</v>
      </c>
      <c r="G3405" s="8">
        <f t="shared" si="53"/>
        <v>13626.931500000015</v>
      </c>
    </row>
    <row r="3406" spans="1:7" x14ac:dyDescent="0.3">
      <c r="A3406" s="14" t="str">
        <f>VLOOKUP(B3406,'Relacion codigos'!$A:$B,2,FALSE)</f>
        <v>9244</v>
      </c>
      <c r="B3406" s="6" t="s">
        <v>3490</v>
      </c>
      <c r="C3406" s="6" t="s">
        <v>1275</v>
      </c>
      <c r="D3406" s="24">
        <v>8.7632999999999992</v>
      </c>
      <c r="E3406" s="6" t="s">
        <v>5887</v>
      </c>
      <c r="F3406" s="6">
        <v>21</v>
      </c>
      <c r="G3406" s="8">
        <f t="shared" si="53"/>
        <v>13626.931499999999</v>
      </c>
    </row>
    <row r="3407" spans="1:7" x14ac:dyDescent="0.3">
      <c r="A3407" s="14" t="str">
        <f>VLOOKUP(B3407,'Relacion codigos'!$A:$B,2,FALSE)</f>
        <v>9245</v>
      </c>
      <c r="B3407" s="6" t="s">
        <v>3491</v>
      </c>
      <c r="C3407" s="6" t="s">
        <v>1276</v>
      </c>
      <c r="D3407" s="24">
        <v>8.7632999999999992</v>
      </c>
      <c r="E3407" s="6" t="s">
        <v>5887</v>
      </c>
      <c r="F3407" s="6">
        <v>21</v>
      </c>
      <c r="G3407" s="8">
        <f t="shared" si="53"/>
        <v>13626.931499999999</v>
      </c>
    </row>
    <row r="3408" spans="1:7" x14ac:dyDescent="0.3">
      <c r="A3408" s="14" t="str">
        <f>VLOOKUP(B3408,'Relacion codigos'!$A:$B,2,FALSE)</f>
        <v>9246</v>
      </c>
      <c r="B3408" s="6" t="s">
        <v>3492</v>
      </c>
      <c r="C3408" s="6" t="s">
        <v>1277</v>
      </c>
      <c r="D3408" s="24">
        <v>10.34904</v>
      </c>
      <c r="E3408" s="6" t="s">
        <v>5887</v>
      </c>
      <c r="F3408" s="6">
        <v>21</v>
      </c>
      <c r="G3408" s="8">
        <f t="shared" si="53"/>
        <v>16092.7572</v>
      </c>
    </row>
    <row r="3409" spans="1:7" x14ac:dyDescent="0.3">
      <c r="A3409" s="14" t="e">
        <f>VLOOKUP(B3409,'Relacion codigos'!$A:$B,2,FALSE)</f>
        <v>#N/A</v>
      </c>
      <c r="B3409" s="6" t="s">
        <v>8794</v>
      </c>
      <c r="C3409" s="6" t="s">
        <v>8796</v>
      </c>
      <c r="D3409" s="24">
        <v>10.34904</v>
      </c>
      <c r="E3409" s="6" t="s">
        <v>5887</v>
      </c>
      <c r="F3409" s="6">
        <v>21</v>
      </c>
      <c r="G3409" s="8">
        <f t="shared" si="53"/>
        <v>16092.7572</v>
      </c>
    </row>
    <row r="3410" spans="1:7" x14ac:dyDescent="0.3">
      <c r="A3410" s="14" t="str">
        <f>VLOOKUP(B3410,'Relacion codigos'!$A:$B,2,FALSE)</f>
        <v>9247</v>
      </c>
      <c r="B3410" s="6" t="s">
        <v>3493</v>
      </c>
      <c r="C3410" s="6" t="s">
        <v>1278</v>
      </c>
      <c r="D3410" s="24">
        <v>11.35056</v>
      </c>
      <c r="E3410" s="6" t="s">
        <v>5887</v>
      </c>
      <c r="F3410" s="6">
        <v>21</v>
      </c>
      <c r="G3410" s="8">
        <f t="shared" si="53"/>
        <v>17650.120800000001</v>
      </c>
    </row>
    <row r="3411" spans="1:7" x14ac:dyDescent="0.3">
      <c r="A3411" s="14" t="str">
        <f>VLOOKUP(B3411,'Relacion codigos'!$A:$B,2,FALSE)</f>
        <v>9248</v>
      </c>
      <c r="B3411" s="6" t="s">
        <v>3494</v>
      </c>
      <c r="C3411" s="6" t="s">
        <v>1279</v>
      </c>
      <c r="D3411" s="24">
        <v>11.35056</v>
      </c>
      <c r="E3411" s="6" t="s">
        <v>5887</v>
      </c>
      <c r="F3411" s="6">
        <v>21</v>
      </c>
      <c r="G3411" s="8">
        <f t="shared" si="53"/>
        <v>17650.120800000001</v>
      </c>
    </row>
    <row r="3412" spans="1:7" x14ac:dyDescent="0.3">
      <c r="A3412" s="14" t="str">
        <f>VLOOKUP(B3412,'Relacion codigos'!$A:$B,2,FALSE)</f>
        <v>9249</v>
      </c>
      <c r="B3412" s="6" t="s">
        <v>3495</v>
      </c>
      <c r="C3412" s="6" t="s">
        <v>1280</v>
      </c>
      <c r="D3412" s="24">
        <v>11.35056</v>
      </c>
      <c r="E3412" s="6" t="s">
        <v>5887</v>
      </c>
      <c r="F3412" s="6">
        <v>21</v>
      </c>
      <c r="G3412" s="8">
        <f t="shared" si="53"/>
        <v>17650.120800000001</v>
      </c>
    </row>
    <row r="3413" spans="1:7" x14ac:dyDescent="0.3">
      <c r="A3413" s="14" t="str">
        <f>VLOOKUP(B3413,'Relacion codigos'!$A:$B,2,FALSE)</f>
        <v>6186</v>
      </c>
      <c r="B3413" s="6" t="s">
        <v>1617</v>
      </c>
      <c r="C3413" s="6" t="s">
        <v>567</v>
      </c>
      <c r="D3413" s="24">
        <v>16723.0347445511</v>
      </c>
      <c r="E3413" s="6" t="s">
        <v>5889</v>
      </c>
      <c r="F3413" s="6">
        <v>21</v>
      </c>
      <c r="G3413" s="8">
        <f t="shared" si="53"/>
        <v>16723.0347445511</v>
      </c>
    </row>
    <row r="3414" spans="1:7" x14ac:dyDescent="0.3">
      <c r="A3414" s="14" t="str">
        <f>VLOOKUP(B3414,'Relacion codigos'!$A:$B,2,FALSE)</f>
        <v>2732</v>
      </c>
      <c r="B3414" s="6" t="s">
        <v>1362</v>
      </c>
      <c r="C3414" s="6" t="s">
        <v>9562</v>
      </c>
      <c r="D3414" s="24">
        <v>45.482361599999997</v>
      </c>
      <c r="E3414" s="6" t="s">
        <v>5887</v>
      </c>
      <c r="F3414" s="6">
        <v>21</v>
      </c>
      <c r="G3414" s="8">
        <f t="shared" si="53"/>
        <v>70725.072287999996</v>
      </c>
    </row>
    <row r="3415" spans="1:7" x14ac:dyDescent="0.3">
      <c r="A3415" s="14" t="e">
        <f>VLOOKUP(B3415,'Relacion codigos'!$A:$B,2,FALSE)</f>
        <v>#N/A</v>
      </c>
      <c r="B3415" s="6" t="s">
        <v>9563</v>
      </c>
      <c r="C3415" s="6" t="s">
        <v>9564</v>
      </c>
      <c r="D3415" s="24">
        <v>45.482361599999997</v>
      </c>
      <c r="E3415" s="6" t="s">
        <v>5887</v>
      </c>
      <c r="F3415" s="6">
        <v>21</v>
      </c>
      <c r="G3415" s="8">
        <f t="shared" si="53"/>
        <v>70725.072287999996</v>
      </c>
    </row>
    <row r="3416" spans="1:7" x14ac:dyDescent="0.3">
      <c r="A3416" s="14" t="str">
        <f>VLOOKUP(B3416,'Relacion codigos'!$A:$B,2,FALSE)</f>
        <v>2030</v>
      </c>
      <c r="B3416" s="6" t="s">
        <v>1363</v>
      </c>
      <c r="C3416" s="6" t="s">
        <v>568</v>
      </c>
      <c r="D3416" s="24">
        <v>176.19240600000001</v>
      </c>
      <c r="E3416" s="6" t="s">
        <v>5887</v>
      </c>
      <c r="F3416" s="6">
        <v>21</v>
      </c>
      <c r="G3416" s="8">
        <f t="shared" si="53"/>
        <v>273979.19133</v>
      </c>
    </row>
    <row r="3417" spans="1:7" x14ac:dyDescent="0.3">
      <c r="A3417" s="14" t="e">
        <f>VLOOKUP(B3417,'Relacion codigos'!$A:$B,2,FALSE)</f>
        <v>#N/A</v>
      </c>
      <c r="B3417" s="6" t="s">
        <v>9565</v>
      </c>
      <c r="C3417" s="6" t="s">
        <v>9566</v>
      </c>
      <c r="D3417" s="24">
        <v>158.678325</v>
      </c>
      <c r="E3417" s="6" t="s">
        <v>5887</v>
      </c>
      <c r="F3417" s="6">
        <v>21</v>
      </c>
      <c r="G3417" s="8">
        <f t="shared" si="53"/>
        <v>246744.79537499999</v>
      </c>
    </row>
    <row r="3418" spans="1:7" x14ac:dyDescent="0.3">
      <c r="A3418" s="14" t="str">
        <f>VLOOKUP(B3418,'Relacion codigos'!$A:$B,2,FALSE)</f>
        <v>5499</v>
      </c>
      <c r="B3418" s="6" t="s">
        <v>1542</v>
      </c>
      <c r="C3418" s="6" t="s">
        <v>8803</v>
      </c>
      <c r="D3418" s="24">
        <v>0.56822349999999999</v>
      </c>
      <c r="E3418" s="6" t="s">
        <v>5887</v>
      </c>
      <c r="F3418" s="6">
        <v>21</v>
      </c>
      <c r="G3418" s="8">
        <f t="shared" si="53"/>
        <v>883.58754250000004</v>
      </c>
    </row>
    <row r="3419" spans="1:7" x14ac:dyDescent="0.3">
      <c r="A3419" s="14" t="str">
        <f>VLOOKUP(B3419,'Relacion codigos'!$A:$B,2,FALSE)</f>
        <v>5500</v>
      </c>
      <c r="B3419" s="6" t="s">
        <v>1543</v>
      </c>
      <c r="C3419" s="6" t="s">
        <v>8804</v>
      </c>
      <c r="D3419" s="24">
        <v>0.56822349999999999</v>
      </c>
      <c r="E3419" s="6" t="s">
        <v>5887</v>
      </c>
      <c r="F3419" s="6">
        <v>21</v>
      </c>
      <c r="G3419" s="8">
        <f t="shared" si="53"/>
        <v>883.58754250000004</v>
      </c>
    </row>
    <row r="3420" spans="1:7" x14ac:dyDescent="0.3">
      <c r="A3420" s="14" t="str">
        <f>VLOOKUP(B3420,'Relacion codigos'!$A:$B,2,FALSE)</f>
        <v>2424</v>
      </c>
      <c r="B3420" s="6" t="s">
        <v>1544</v>
      </c>
      <c r="C3420" s="6" t="s">
        <v>8805</v>
      </c>
      <c r="D3420" s="24">
        <v>1.0175164999999999</v>
      </c>
      <c r="E3420" s="6" t="s">
        <v>5887</v>
      </c>
      <c r="F3420" s="6">
        <v>21</v>
      </c>
      <c r="G3420" s="8">
        <f t="shared" si="53"/>
        <v>1582.2381574999999</v>
      </c>
    </row>
    <row r="3421" spans="1:7" x14ac:dyDescent="0.3">
      <c r="A3421" s="14" t="str">
        <f>VLOOKUP(B3421,'Relacion codigos'!$A:$B,2,FALSE)</f>
        <v>2423</v>
      </c>
      <c r="B3421" s="6" t="s">
        <v>1545</v>
      </c>
      <c r="C3421" s="6" t="s">
        <v>8806</v>
      </c>
      <c r="D3421" s="24">
        <v>1.0175164999999999</v>
      </c>
      <c r="E3421" s="6" t="s">
        <v>5887</v>
      </c>
      <c r="F3421" s="6">
        <v>21</v>
      </c>
      <c r="G3421" s="8">
        <f t="shared" si="53"/>
        <v>1582.2381574999999</v>
      </c>
    </row>
    <row r="3422" spans="1:7" x14ac:dyDescent="0.3">
      <c r="A3422" s="14" t="str">
        <f>VLOOKUP(B3422,'Relacion codigos'!$A:$B,2,FALSE)</f>
        <v>2426</v>
      </c>
      <c r="B3422" s="6" t="s">
        <v>1546</v>
      </c>
      <c r="C3422" s="6" t="s">
        <v>8737</v>
      </c>
      <c r="D3422" s="24">
        <v>1.6518124999999999</v>
      </c>
      <c r="E3422" s="6" t="s">
        <v>5887</v>
      </c>
      <c r="F3422" s="6">
        <v>21</v>
      </c>
      <c r="G3422" s="8">
        <f t="shared" si="53"/>
        <v>2568.5684375000001</v>
      </c>
    </row>
    <row r="3423" spans="1:7" x14ac:dyDescent="0.3">
      <c r="A3423" s="14" t="str">
        <f>VLOOKUP(B3423,'Relacion codigos'!$A:$B,2,FALSE)</f>
        <v>2425</v>
      </c>
      <c r="B3423" s="6" t="s">
        <v>1547</v>
      </c>
      <c r="C3423" s="6" t="s">
        <v>8738</v>
      </c>
      <c r="D3423" s="24">
        <v>1.6518124999999999</v>
      </c>
      <c r="E3423" s="6" t="s">
        <v>5887</v>
      </c>
      <c r="F3423" s="6">
        <v>21</v>
      </c>
      <c r="G3423" s="8">
        <f t="shared" si="53"/>
        <v>2568.5684375000001</v>
      </c>
    </row>
    <row r="3424" spans="1:7" x14ac:dyDescent="0.3">
      <c r="A3424" s="14" t="e">
        <f>VLOOKUP(B3424,'Relacion codigos'!$A:$B,2,FALSE)</f>
        <v>#N/A</v>
      </c>
      <c r="B3424" s="6" t="s">
        <v>10507</v>
      </c>
      <c r="C3424" s="6" t="s">
        <v>10508</v>
      </c>
      <c r="D3424" s="24">
        <v>3.0195132500000001</v>
      </c>
      <c r="E3424" s="6" t="s">
        <v>5887</v>
      </c>
      <c r="F3424" s="6">
        <v>21</v>
      </c>
      <c r="G3424" s="8">
        <f t="shared" si="53"/>
        <v>4695.3431037500004</v>
      </c>
    </row>
    <row r="3425" spans="1:7" x14ac:dyDescent="0.3">
      <c r="A3425" s="14" t="str">
        <f>VLOOKUP(B3425,'Relacion codigos'!$A:$B,2,FALSE)</f>
        <v>2428</v>
      </c>
      <c r="B3425" s="6" t="s">
        <v>1548</v>
      </c>
      <c r="C3425" s="6" t="s">
        <v>569</v>
      </c>
      <c r="D3425" s="24">
        <v>2.3455737499999998</v>
      </c>
      <c r="E3425" s="6" t="s">
        <v>5887</v>
      </c>
      <c r="F3425" s="6">
        <v>21</v>
      </c>
      <c r="G3425" s="8">
        <f t="shared" si="53"/>
        <v>3647.3671812499997</v>
      </c>
    </row>
    <row r="3426" spans="1:7" x14ac:dyDescent="0.3">
      <c r="A3426" s="14" t="str">
        <f>VLOOKUP(B3426,'Relacion codigos'!$A:$B,2,FALSE)</f>
        <v>2427</v>
      </c>
      <c r="B3426" s="6" t="s">
        <v>1549</v>
      </c>
      <c r="C3426" s="6" t="s">
        <v>570</v>
      </c>
      <c r="D3426" s="24">
        <v>2.3455662569407401</v>
      </c>
      <c r="E3426" s="6" t="s">
        <v>5887</v>
      </c>
      <c r="F3426" s="6">
        <v>21</v>
      </c>
      <c r="G3426" s="8">
        <f t="shared" si="53"/>
        <v>3647.3555295428509</v>
      </c>
    </row>
    <row r="3427" spans="1:7" x14ac:dyDescent="0.3">
      <c r="A3427" s="14" t="str">
        <f>VLOOKUP(B3427,'Relacion codigos'!$A:$B,2,FALSE)</f>
        <v>2541</v>
      </c>
      <c r="B3427" s="6" t="s">
        <v>1552</v>
      </c>
      <c r="C3427" s="6" t="s">
        <v>12886</v>
      </c>
      <c r="D3427" s="24">
        <v>2.6825435</v>
      </c>
      <c r="E3427" s="6" t="s">
        <v>5887</v>
      </c>
      <c r="F3427" s="6">
        <v>21</v>
      </c>
      <c r="G3427" s="8">
        <f t="shared" si="53"/>
        <v>4171.3551424999996</v>
      </c>
    </row>
    <row r="3428" spans="1:7" x14ac:dyDescent="0.3">
      <c r="A3428" s="14" t="str">
        <f>VLOOKUP(B3428,'Relacion codigos'!$A:$B,2,FALSE)</f>
        <v>2430</v>
      </c>
      <c r="B3428" s="6" t="s">
        <v>1550</v>
      </c>
      <c r="C3428" s="6" t="s">
        <v>8739</v>
      </c>
      <c r="D3428" s="24">
        <v>2.6825435</v>
      </c>
      <c r="E3428" s="6" t="s">
        <v>5887</v>
      </c>
      <c r="F3428" s="6">
        <v>21</v>
      </c>
      <c r="G3428" s="8">
        <f t="shared" si="53"/>
        <v>4171.3551424999996</v>
      </c>
    </row>
    <row r="3429" spans="1:7" x14ac:dyDescent="0.3">
      <c r="A3429" s="14" t="str">
        <f>VLOOKUP(B3429,'Relacion codigos'!$A:$B,2,FALSE)</f>
        <v>2429</v>
      </c>
      <c r="B3429" s="6" t="s">
        <v>1551</v>
      </c>
      <c r="C3429" s="6" t="s">
        <v>8740</v>
      </c>
      <c r="D3429" s="24">
        <v>2.6825435</v>
      </c>
      <c r="E3429" s="6" t="s">
        <v>5887</v>
      </c>
      <c r="F3429" s="6">
        <v>21</v>
      </c>
      <c r="G3429" s="8">
        <f t="shared" si="53"/>
        <v>4171.3551424999996</v>
      </c>
    </row>
    <row r="3430" spans="1:7" x14ac:dyDescent="0.3">
      <c r="A3430" s="14" t="str">
        <f>VLOOKUP(B3430,'Relacion codigos'!$A:$B,2,FALSE)</f>
        <v>1690</v>
      </c>
      <c r="B3430" s="6" t="s">
        <v>1554</v>
      </c>
      <c r="C3430" s="6" t="s">
        <v>571</v>
      </c>
      <c r="D3430" s="24">
        <v>3.7132744999999998</v>
      </c>
      <c r="E3430" s="6" t="s">
        <v>5887</v>
      </c>
      <c r="F3430" s="6">
        <v>21</v>
      </c>
      <c r="G3430" s="8">
        <f t="shared" si="53"/>
        <v>5774.1418475</v>
      </c>
    </row>
    <row r="3431" spans="1:7" x14ac:dyDescent="0.3">
      <c r="A3431" s="14" t="str">
        <f>VLOOKUP(B3431,'Relacion codigos'!$A:$B,2,FALSE)</f>
        <v>1801</v>
      </c>
      <c r="B3431" s="6" t="s">
        <v>1553</v>
      </c>
      <c r="C3431" s="6" t="s">
        <v>8807</v>
      </c>
      <c r="D3431" s="24">
        <v>3.7132744999999998</v>
      </c>
      <c r="E3431" s="6" t="s">
        <v>5887</v>
      </c>
      <c r="F3431" s="6">
        <v>21</v>
      </c>
      <c r="G3431" s="8">
        <f t="shared" si="53"/>
        <v>5774.1418475</v>
      </c>
    </row>
    <row r="3432" spans="1:7" x14ac:dyDescent="0.3">
      <c r="A3432" s="14" t="str">
        <f>VLOOKUP(B3432,'Relacion codigos'!$A:$B,2,FALSE)</f>
        <v>2431</v>
      </c>
      <c r="B3432" s="6" t="s">
        <v>1556</v>
      </c>
      <c r="C3432" s="6" t="s">
        <v>12619</v>
      </c>
      <c r="D3432" s="24">
        <v>8.7744424462885107</v>
      </c>
      <c r="E3432" s="6" t="s">
        <v>5887</v>
      </c>
      <c r="F3432" s="6">
        <v>21</v>
      </c>
      <c r="G3432" s="8">
        <f t="shared" si="53"/>
        <v>13644.258003978633</v>
      </c>
    </row>
    <row r="3433" spans="1:7" x14ac:dyDescent="0.3">
      <c r="A3433" s="14" t="str">
        <f>VLOOKUP(B3433,'Relacion codigos'!$A:$B,2,FALSE)</f>
        <v>2851</v>
      </c>
      <c r="B3433" s="6" t="s">
        <v>1555</v>
      </c>
      <c r="C3433" s="6" t="s">
        <v>12618</v>
      </c>
      <c r="D3433" s="24">
        <v>8.7744280000000003</v>
      </c>
      <c r="E3433" s="6" t="s">
        <v>5887</v>
      </c>
      <c r="F3433" s="6">
        <v>21</v>
      </c>
      <c r="G3433" s="8">
        <f t="shared" si="53"/>
        <v>13644.23554</v>
      </c>
    </row>
    <row r="3434" spans="1:7" x14ac:dyDescent="0.3">
      <c r="A3434" s="14" t="str">
        <f>VLOOKUP(B3434,'Relacion codigos'!$A:$B,2,FALSE)</f>
        <v>2434</v>
      </c>
      <c r="B3434" s="6" t="s">
        <v>1557</v>
      </c>
      <c r="C3434" s="6" t="s">
        <v>572</v>
      </c>
      <c r="D3434" s="24">
        <v>9816.2653388234103</v>
      </c>
      <c r="E3434" s="6" t="s">
        <v>5889</v>
      </c>
      <c r="F3434" s="6">
        <v>21</v>
      </c>
      <c r="G3434" s="8">
        <f t="shared" si="53"/>
        <v>9816.2653388234103</v>
      </c>
    </row>
    <row r="3435" spans="1:7" x14ac:dyDescent="0.3">
      <c r="A3435" s="14" t="str">
        <f>VLOOKUP(B3435,'Relacion codigos'!$A:$B,2,FALSE)</f>
        <v>2433</v>
      </c>
      <c r="B3435" s="6" t="s">
        <v>1558</v>
      </c>
      <c r="C3435" s="6" t="s">
        <v>573</v>
      </c>
      <c r="D3435" s="24">
        <v>9816.2591799999991</v>
      </c>
      <c r="E3435" s="6" t="s">
        <v>5889</v>
      </c>
      <c r="F3435" s="6">
        <v>21</v>
      </c>
      <c r="G3435" s="8">
        <f t="shared" si="53"/>
        <v>9816.2591799999991</v>
      </c>
    </row>
    <row r="3436" spans="1:7" x14ac:dyDescent="0.3">
      <c r="A3436" s="14" t="str">
        <f>VLOOKUP(B3436,'Relacion codigos'!$A:$B,2,FALSE)</f>
        <v>662</v>
      </c>
      <c r="B3436" s="6" t="s">
        <v>1560</v>
      </c>
      <c r="C3436" s="6" t="s">
        <v>574</v>
      </c>
      <c r="D3436" s="24">
        <v>9816.2591799999991</v>
      </c>
      <c r="E3436" s="6" t="s">
        <v>5889</v>
      </c>
      <c r="F3436" s="6">
        <v>21</v>
      </c>
      <c r="G3436" s="8">
        <f t="shared" si="53"/>
        <v>9816.2591799999991</v>
      </c>
    </row>
    <row r="3437" spans="1:7" x14ac:dyDescent="0.3">
      <c r="A3437" s="14" t="str">
        <f>VLOOKUP(B3437,'Relacion codigos'!$A:$B,2,FALSE)</f>
        <v>1163</v>
      </c>
      <c r="B3437" s="6" t="s">
        <v>1559</v>
      </c>
      <c r="C3437" s="6" t="s">
        <v>10509</v>
      </c>
      <c r="D3437" s="24">
        <v>9816.2591799999991</v>
      </c>
      <c r="E3437" s="6" t="s">
        <v>5889</v>
      </c>
      <c r="F3437" s="6">
        <v>21</v>
      </c>
      <c r="G3437" s="8">
        <f t="shared" si="53"/>
        <v>9816.2591799999991</v>
      </c>
    </row>
    <row r="3438" spans="1:7" x14ac:dyDescent="0.3">
      <c r="A3438" s="14" t="str">
        <f>VLOOKUP(B3438,'Relacion codigos'!$A:$B,2,FALSE)</f>
        <v>2422</v>
      </c>
      <c r="B3438" s="6" t="s">
        <v>1758</v>
      </c>
      <c r="C3438" s="6" t="s">
        <v>12785</v>
      </c>
      <c r="D3438" s="24">
        <v>2205.2941820000001</v>
      </c>
      <c r="E3438" s="6" t="s">
        <v>5889</v>
      </c>
      <c r="F3438" s="6">
        <v>21</v>
      </c>
      <c r="G3438" s="8">
        <f t="shared" si="53"/>
        <v>2205.2941820000001</v>
      </c>
    </row>
    <row r="3439" spans="1:7" x14ac:dyDescent="0.3">
      <c r="A3439" s="14" t="str">
        <f>VLOOKUP(B3439,'Relacion codigos'!$A:$B,2,FALSE)</f>
        <v>2421</v>
      </c>
      <c r="B3439" s="6" t="s">
        <v>1756</v>
      </c>
      <c r="C3439" s="6" t="s">
        <v>13715</v>
      </c>
      <c r="D3439" s="24">
        <v>1363.224512</v>
      </c>
      <c r="E3439" s="6" t="s">
        <v>5889</v>
      </c>
      <c r="F3439" s="6">
        <v>21</v>
      </c>
      <c r="G3439" s="8">
        <f t="shared" si="53"/>
        <v>1363.224512</v>
      </c>
    </row>
    <row r="3440" spans="1:7" x14ac:dyDescent="0.3">
      <c r="A3440" s="14" t="str">
        <f>VLOOKUP(B3440,'Relacion codigos'!$A:$B,2,FALSE)</f>
        <v>2435</v>
      </c>
      <c r="B3440" s="6" t="s">
        <v>1762</v>
      </c>
      <c r="C3440" s="6" t="s">
        <v>13241</v>
      </c>
      <c r="D3440" s="24">
        <v>2276.4327039999998</v>
      </c>
      <c r="E3440" s="6" t="s">
        <v>5889</v>
      </c>
      <c r="F3440" s="6">
        <v>21</v>
      </c>
      <c r="G3440" s="8">
        <f t="shared" si="53"/>
        <v>2276.4327039999998</v>
      </c>
    </row>
    <row r="3441" spans="1:7" x14ac:dyDescent="0.3">
      <c r="A3441" s="14" t="str">
        <f>VLOOKUP(B3441,'Relacion codigos'!$A:$B,2,FALSE)</f>
        <v>2420</v>
      </c>
      <c r="B3441" s="6" t="s">
        <v>1757</v>
      </c>
      <c r="C3441" s="6" t="s">
        <v>13716</v>
      </c>
      <c r="D3441" s="24">
        <v>1129.0379776</v>
      </c>
      <c r="E3441" s="6" t="s">
        <v>5889</v>
      </c>
      <c r="F3441" s="6">
        <v>21</v>
      </c>
      <c r="G3441" s="8">
        <f t="shared" si="53"/>
        <v>1129.0379776</v>
      </c>
    </row>
    <row r="3442" spans="1:7" x14ac:dyDescent="0.3">
      <c r="A3442" s="14" t="str">
        <f>VLOOKUP(B3442,'Relacion codigos'!$A:$B,2,FALSE)</f>
        <v>5501</v>
      </c>
      <c r="B3442" s="6" t="s">
        <v>1760</v>
      </c>
      <c r="C3442" s="6" t="s">
        <v>9194</v>
      </c>
      <c r="D3442" s="24">
        <v>519.14200864372503</v>
      </c>
      <c r="E3442" s="6" t="s">
        <v>5889</v>
      </c>
      <c r="F3442" s="6">
        <v>21</v>
      </c>
      <c r="G3442" s="8">
        <f t="shared" si="53"/>
        <v>519.14200864372503</v>
      </c>
    </row>
    <row r="3443" spans="1:7" x14ac:dyDescent="0.3">
      <c r="A3443" s="14" t="str">
        <f>VLOOKUP(B3443,'Relacion codigos'!$A:$B,2,FALSE)</f>
        <v>2436</v>
      </c>
      <c r="B3443" s="6" t="s">
        <v>1761</v>
      </c>
      <c r="C3443" s="6" t="s">
        <v>13717</v>
      </c>
      <c r="D3443" s="24">
        <v>3516.3191934000001</v>
      </c>
      <c r="E3443" s="6" t="s">
        <v>5889</v>
      </c>
      <c r="F3443" s="6">
        <v>21</v>
      </c>
      <c r="G3443" s="8">
        <f t="shared" si="53"/>
        <v>3516.3191934000001</v>
      </c>
    </row>
    <row r="3444" spans="1:7" x14ac:dyDescent="0.3">
      <c r="A3444" s="14" t="str">
        <f>VLOOKUP(B3444,'Relacion codigos'!$A:$B,2,FALSE)</f>
        <v>2182</v>
      </c>
      <c r="B3444" s="6" t="s">
        <v>1763</v>
      </c>
      <c r="C3444" s="6" t="s">
        <v>9196</v>
      </c>
      <c r="D3444" s="24">
        <v>656.19590400000004</v>
      </c>
      <c r="E3444" s="6" t="s">
        <v>5889</v>
      </c>
      <c r="F3444" s="6">
        <v>21</v>
      </c>
      <c r="G3444" s="8">
        <f t="shared" si="53"/>
        <v>656.19590400000004</v>
      </c>
    </row>
    <row r="3445" spans="1:7" x14ac:dyDescent="0.3">
      <c r="A3445" s="14" t="str">
        <f>VLOOKUP(B3445,'Relacion codigos'!$A:$B,2,FALSE)</f>
        <v>2971</v>
      </c>
      <c r="B3445" s="6" t="s">
        <v>1764</v>
      </c>
      <c r="C3445" s="6" t="s">
        <v>9197</v>
      </c>
      <c r="D3445" s="24">
        <v>552.38863419999996</v>
      </c>
      <c r="E3445" s="6" t="s">
        <v>5889</v>
      </c>
      <c r="F3445" s="6">
        <v>21</v>
      </c>
      <c r="G3445" s="8">
        <f t="shared" si="53"/>
        <v>552.38863419999996</v>
      </c>
    </row>
    <row r="3446" spans="1:7" x14ac:dyDescent="0.3">
      <c r="A3446" s="14" t="str">
        <f>VLOOKUP(B3446,'Relacion codigos'!$A:$B,2,FALSE)</f>
        <v>2402</v>
      </c>
      <c r="B3446" s="6" t="s">
        <v>1765</v>
      </c>
      <c r="C3446" s="6" t="s">
        <v>13718</v>
      </c>
      <c r="D3446" s="24">
        <v>792.82270600000004</v>
      </c>
      <c r="E3446" s="6" t="s">
        <v>5889</v>
      </c>
      <c r="F3446" s="6">
        <v>21</v>
      </c>
      <c r="G3446" s="8">
        <f t="shared" si="53"/>
        <v>792.82270600000004</v>
      </c>
    </row>
    <row r="3447" spans="1:7" x14ac:dyDescent="0.3">
      <c r="A3447" s="14" t="e">
        <f>VLOOKUP(B3447,'Relacion codigos'!$A:$B,2,FALSE)</f>
        <v>#N/A</v>
      </c>
      <c r="B3447" s="6" t="s">
        <v>9421</v>
      </c>
      <c r="C3447" s="6" t="s">
        <v>9422</v>
      </c>
      <c r="D3447" s="24">
        <v>227.0112</v>
      </c>
      <c r="E3447" s="6" t="s">
        <v>5889</v>
      </c>
      <c r="F3447" s="6">
        <v>21</v>
      </c>
      <c r="G3447" s="8">
        <f t="shared" si="53"/>
        <v>227.0112</v>
      </c>
    </row>
    <row r="3448" spans="1:7" x14ac:dyDescent="0.3">
      <c r="A3448" s="14" t="e">
        <f>VLOOKUP(B3448,'Relacion codigos'!$A:$B,2,FALSE)</f>
        <v>#N/A</v>
      </c>
      <c r="B3448" s="6" t="s">
        <v>9696</v>
      </c>
      <c r="C3448" s="6" t="s">
        <v>9697</v>
      </c>
      <c r="D3448" s="24">
        <v>227.0112</v>
      </c>
      <c r="E3448" s="6" t="s">
        <v>5889</v>
      </c>
      <c r="F3448" s="6">
        <v>21</v>
      </c>
      <c r="G3448" s="8">
        <f t="shared" si="53"/>
        <v>227.0112</v>
      </c>
    </row>
    <row r="3449" spans="1:7" x14ac:dyDescent="0.3">
      <c r="A3449" s="14" t="str">
        <f>VLOOKUP(B3449,'Relacion codigos'!$A:$B,2,FALSE)</f>
        <v>6381</v>
      </c>
      <c r="B3449" s="6" t="s">
        <v>1581</v>
      </c>
      <c r="C3449" s="6" t="s">
        <v>8775</v>
      </c>
      <c r="D3449" s="24">
        <v>6768.8497031999996</v>
      </c>
      <c r="E3449" s="6" t="s">
        <v>5889</v>
      </c>
      <c r="F3449" s="6">
        <v>21</v>
      </c>
      <c r="G3449" s="8">
        <f t="shared" si="53"/>
        <v>6768.8497031999996</v>
      </c>
    </row>
    <row r="3450" spans="1:7" x14ac:dyDescent="0.3">
      <c r="A3450" s="14" t="e">
        <f>VLOOKUP(B3450,'Relacion codigos'!$A:$B,2,FALSE)</f>
        <v>#N/A</v>
      </c>
      <c r="B3450" s="6" t="s">
        <v>13629</v>
      </c>
      <c r="C3450" s="6" t="s">
        <v>13630</v>
      </c>
      <c r="D3450" s="24">
        <v>12018.24</v>
      </c>
      <c r="E3450" s="6" t="s">
        <v>5889</v>
      </c>
      <c r="F3450" s="6">
        <v>21</v>
      </c>
      <c r="G3450" s="8">
        <f t="shared" si="53"/>
        <v>12018.24</v>
      </c>
    </row>
    <row r="3451" spans="1:7" x14ac:dyDescent="0.3">
      <c r="A3451" s="14" t="e">
        <f>VLOOKUP(B3451,'Relacion codigos'!$A:$B,2,FALSE)</f>
        <v>#N/A</v>
      </c>
      <c r="B3451" s="6" t="s">
        <v>13631</v>
      </c>
      <c r="C3451" s="6" t="s">
        <v>13632</v>
      </c>
      <c r="D3451" s="24">
        <v>15262.747499999999</v>
      </c>
      <c r="E3451" s="6" t="s">
        <v>5889</v>
      </c>
      <c r="F3451" s="6">
        <v>21</v>
      </c>
      <c r="G3451" s="8">
        <f t="shared" si="53"/>
        <v>15262.747499999999</v>
      </c>
    </row>
    <row r="3452" spans="1:7" x14ac:dyDescent="0.3">
      <c r="A3452" s="14" t="str">
        <f>VLOOKUP(B3452,'Relacion codigos'!$A:$B,2,FALSE)</f>
        <v>6382</v>
      </c>
      <c r="B3452" s="6" t="s">
        <v>1582</v>
      </c>
      <c r="C3452" s="6" t="s">
        <v>13218</v>
      </c>
      <c r="D3452" s="24">
        <v>13565.526205607999</v>
      </c>
      <c r="E3452" s="6" t="s">
        <v>5889</v>
      </c>
      <c r="F3452" s="6">
        <v>21</v>
      </c>
      <c r="G3452" s="8">
        <f t="shared" si="53"/>
        <v>13565.526205607999</v>
      </c>
    </row>
    <row r="3453" spans="1:7" x14ac:dyDescent="0.3">
      <c r="A3453" s="14" t="str">
        <f>VLOOKUP(B3453,'Relacion codigos'!$A:$B,2,FALSE)</f>
        <v>6383</v>
      </c>
      <c r="B3453" s="6" t="s">
        <v>1583</v>
      </c>
      <c r="C3453" s="6" t="s">
        <v>13219</v>
      </c>
      <c r="D3453" s="24">
        <v>16961.367350304001</v>
      </c>
      <c r="E3453" s="6" t="s">
        <v>5889</v>
      </c>
      <c r="F3453" s="6">
        <v>21</v>
      </c>
      <c r="G3453" s="8">
        <f t="shared" si="53"/>
        <v>16961.367350304001</v>
      </c>
    </row>
    <row r="3454" spans="1:7" x14ac:dyDescent="0.3">
      <c r="A3454" s="14" t="str">
        <f>VLOOKUP(B3454,'Relacion codigos'!$A:$B,2,FALSE)</f>
        <v>696</v>
      </c>
      <c r="B3454" s="6" t="s">
        <v>1584</v>
      </c>
      <c r="C3454" s="6" t="s">
        <v>575</v>
      </c>
      <c r="D3454" s="24">
        <v>4678.3669920000002</v>
      </c>
      <c r="E3454" s="6" t="s">
        <v>5889</v>
      </c>
      <c r="F3454" s="6">
        <v>21</v>
      </c>
      <c r="G3454" s="8">
        <f t="shared" si="53"/>
        <v>4678.3669920000002</v>
      </c>
    </row>
    <row r="3455" spans="1:7" x14ac:dyDescent="0.3">
      <c r="A3455" s="14" t="e">
        <f>VLOOKUP(B3455,'Relacion codigos'!$A:$B,2,FALSE)</f>
        <v>#N/A</v>
      </c>
      <c r="B3455" s="6" t="s">
        <v>9457</v>
      </c>
      <c r="C3455" s="6" t="s">
        <v>9917</v>
      </c>
      <c r="D3455" s="24">
        <v>13069.089033</v>
      </c>
      <c r="E3455" s="6" t="s">
        <v>5889</v>
      </c>
      <c r="F3455" s="6">
        <v>21</v>
      </c>
      <c r="G3455" s="8">
        <f t="shared" si="53"/>
        <v>13069.089033</v>
      </c>
    </row>
    <row r="3456" spans="1:7" x14ac:dyDescent="0.3">
      <c r="A3456" s="14" t="e">
        <f>VLOOKUP(B3456,'Relacion codigos'!$A:$B,2,FALSE)</f>
        <v>#N/A</v>
      </c>
      <c r="B3456" s="6" t="s">
        <v>9458</v>
      </c>
      <c r="C3456" s="6" t="s">
        <v>9918</v>
      </c>
      <c r="D3456" s="24">
        <v>16465.6126635</v>
      </c>
      <c r="E3456" s="6" t="s">
        <v>5889</v>
      </c>
      <c r="F3456" s="6">
        <v>21</v>
      </c>
      <c r="G3456" s="8">
        <f t="shared" si="53"/>
        <v>16465.6126635</v>
      </c>
    </row>
    <row r="3457" spans="1:7" x14ac:dyDescent="0.3">
      <c r="A3457" s="14" t="e">
        <f>VLOOKUP(B3457,'Relacion codigos'!$A:$B,2,FALSE)</f>
        <v>#N/A</v>
      </c>
      <c r="B3457" s="6" t="s">
        <v>9459</v>
      </c>
      <c r="C3457" s="6" t="s">
        <v>9919</v>
      </c>
      <c r="D3457" s="24">
        <v>20363.320549</v>
      </c>
      <c r="E3457" s="6" t="s">
        <v>5889</v>
      </c>
      <c r="F3457" s="6">
        <v>21</v>
      </c>
      <c r="G3457" s="8">
        <f t="shared" si="53"/>
        <v>20363.320549</v>
      </c>
    </row>
    <row r="3458" spans="1:7" x14ac:dyDescent="0.3">
      <c r="A3458" s="14" t="str">
        <f>VLOOKUP(B3458,'Relacion codigos'!$A:$B,2,FALSE)</f>
        <v>9241</v>
      </c>
      <c r="B3458" s="6" t="s">
        <v>1597</v>
      </c>
      <c r="C3458" s="6" t="s">
        <v>12656</v>
      </c>
      <c r="D3458" s="24">
        <v>10260.711499999999</v>
      </c>
      <c r="E3458" s="6" t="s">
        <v>5889</v>
      </c>
      <c r="F3458" s="6">
        <v>21</v>
      </c>
      <c r="G3458" s="8">
        <f t="shared" ref="G3458:G3521" si="54">IF(E3458="Dolares",D3458*$G$1,D3458)</f>
        <v>10260.711499999999</v>
      </c>
    </row>
    <row r="3459" spans="1:7" x14ac:dyDescent="0.3">
      <c r="A3459" s="14" t="e">
        <f>VLOOKUP(B3459,'Relacion codigos'!$A:$B,2,FALSE)</f>
        <v>#N/A</v>
      </c>
      <c r="B3459" s="6" t="s">
        <v>9460</v>
      </c>
      <c r="C3459" s="6" t="s">
        <v>9920</v>
      </c>
      <c r="D3459" s="24">
        <v>13069.089033</v>
      </c>
      <c r="E3459" s="6" t="s">
        <v>5889</v>
      </c>
      <c r="F3459" s="6">
        <v>21</v>
      </c>
      <c r="G3459" s="8">
        <f t="shared" si="54"/>
        <v>13069.089033</v>
      </c>
    </row>
    <row r="3460" spans="1:7" x14ac:dyDescent="0.3">
      <c r="A3460" s="14" t="str">
        <f>VLOOKUP(B3460,'Relacion codigos'!$A:$B,2,FALSE)</f>
        <v>8546</v>
      </c>
      <c r="B3460" s="6" t="s">
        <v>1586</v>
      </c>
      <c r="C3460" s="6" t="s">
        <v>10510</v>
      </c>
      <c r="D3460" s="24">
        <v>6.3910746899999999</v>
      </c>
      <c r="E3460" s="6" t="s">
        <v>5887</v>
      </c>
      <c r="F3460" s="6">
        <v>21</v>
      </c>
      <c r="G3460" s="8">
        <f t="shared" si="54"/>
        <v>9938.1211429499999</v>
      </c>
    </row>
    <row r="3461" spans="1:7" x14ac:dyDescent="0.3">
      <c r="A3461" s="14" t="str">
        <f>VLOOKUP(B3461,'Relacion codigos'!$A:$B,2,FALSE)</f>
        <v>7321</v>
      </c>
      <c r="B3461" s="6" t="s">
        <v>1572</v>
      </c>
      <c r="C3461" s="6" t="s">
        <v>10682</v>
      </c>
      <c r="D3461" s="24">
        <v>15875.7090483833</v>
      </c>
      <c r="E3461" s="6" t="s">
        <v>5889</v>
      </c>
      <c r="F3461" s="6">
        <v>21</v>
      </c>
      <c r="G3461" s="8">
        <f t="shared" si="54"/>
        <v>15875.7090483833</v>
      </c>
    </row>
    <row r="3462" spans="1:7" x14ac:dyDescent="0.3">
      <c r="A3462" s="14" t="str">
        <f>VLOOKUP(B3462,'Relacion codigos'!$A:$B,2,FALSE)</f>
        <v>6342</v>
      </c>
      <c r="B3462" s="6" t="s">
        <v>1595</v>
      </c>
      <c r="C3462" s="6" t="s">
        <v>13779</v>
      </c>
      <c r="D3462" s="24">
        <v>10744.3523855491</v>
      </c>
      <c r="E3462" s="6" t="s">
        <v>5889</v>
      </c>
      <c r="F3462" s="6">
        <v>21</v>
      </c>
      <c r="G3462" s="8">
        <f t="shared" si="54"/>
        <v>10744.3523855491</v>
      </c>
    </row>
    <row r="3463" spans="1:7" x14ac:dyDescent="0.3">
      <c r="A3463" s="14" t="str">
        <f>VLOOKUP(B3463,'Relacion codigos'!$A:$B,2,FALSE)</f>
        <v>5489</v>
      </c>
      <c r="B3463" s="6" t="s">
        <v>1574</v>
      </c>
      <c r="C3463" s="6" t="s">
        <v>13775</v>
      </c>
      <c r="D3463" s="24">
        <v>13439.1065448604</v>
      </c>
      <c r="E3463" s="6" t="s">
        <v>5889</v>
      </c>
      <c r="F3463" s="6">
        <v>21</v>
      </c>
      <c r="G3463" s="8">
        <f t="shared" si="54"/>
        <v>13439.1065448604</v>
      </c>
    </row>
    <row r="3464" spans="1:7" x14ac:dyDescent="0.3">
      <c r="A3464" s="14" t="str">
        <f>VLOOKUP(B3464,'Relacion codigos'!$A:$B,2,FALSE)</f>
        <v>5490</v>
      </c>
      <c r="B3464" s="6" t="s">
        <v>1575</v>
      </c>
      <c r="C3464" s="6" t="s">
        <v>13776</v>
      </c>
      <c r="D3464" s="24">
        <v>16517.540396195302</v>
      </c>
      <c r="E3464" s="6" t="s">
        <v>5889</v>
      </c>
      <c r="F3464" s="6">
        <v>21</v>
      </c>
      <c r="G3464" s="8">
        <f t="shared" si="54"/>
        <v>16517.540396195302</v>
      </c>
    </row>
    <row r="3465" spans="1:7" x14ac:dyDescent="0.3">
      <c r="A3465" s="14" t="str">
        <f>VLOOKUP(B3465,'Relacion codigos'!$A:$B,2,FALSE)</f>
        <v>5497</v>
      </c>
      <c r="B3465" s="6" t="s">
        <v>1576</v>
      </c>
      <c r="C3465" s="6" t="s">
        <v>13777</v>
      </c>
      <c r="D3465" s="24">
        <v>22019.340585916401</v>
      </c>
      <c r="E3465" s="6" t="s">
        <v>5889</v>
      </c>
      <c r="F3465" s="6">
        <v>21</v>
      </c>
      <c r="G3465" s="8">
        <f t="shared" si="54"/>
        <v>22019.340585916401</v>
      </c>
    </row>
    <row r="3466" spans="1:7" x14ac:dyDescent="0.3">
      <c r="A3466" s="14" t="str">
        <f>VLOOKUP(B3466,'Relacion codigos'!$A:$B,2,FALSE)</f>
        <v>8956</v>
      </c>
      <c r="B3466" s="6" t="s">
        <v>1590</v>
      </c>
      <c r="C3466" s="6" t="s">
        <v>1144</v>
      </c>
      <c r="D3466" s="24">
        <v>4909.5887489999996</v>
      </c>
      <c r="E3466" s="6" t="s">
        <v>5889</v>
      </c>
      <c r="F3466" s="6">
        <v>21</v>
      </c>
      <c r="G3466" s="8">
        <f t="shared" si="54"/>
        <v>4909.5887489999996</v>
      </c>
    </row>
    <row r="3467" spans="1:7" x14ac:dyDescent="0.3">
      <c r="A3467" s="14" t="str">
        <f>VLOOKUP(B3467,'Relacion codigos'!$A:$B,2,FALSE)</f>
        <v>5498</v>
      </c>
      <c r="B3467" s="6" t="s">
        <v>1580</v>
      </c>
      <c r="C3467" s="6" t="s">
        <v>13778</v>
      </c>
      <c r="D3467" s="24">
        <v>15188.0794995571</v>
      </c>
      <c r="E3467" s="6" t="s">
        <v>5889</v>
      </c>
      <c r="F3467" s="6">
        <v>21</v>
      </c>
      <c r="G3467" s="8">
        <f t="shared" si="54"/>
        <v>15188.0794995571</v>
      </c>
    </row>
    <row r="3468" spans="1:7" x14ac:dyDescent="0.3">
      <c r="A3468" s="14" t="str">
        <f>VLOOKUP(B3468,'Relacion codigos'!$A:$B,2,FALSE)</f>
        <v>7988</v>
      </c>
      <c r="B3468" s="6" t="s">
        <v>1599</v>
      </c>
      <c r="C3468" s="6" t="s">
        <v>1008</v>
      </c>
      <c r="D3468" s="24">
        <v>4820.8525747200001</v>
      </c>
      <c r="E3468" s="6" t="s">
        <v>5889</v>
      </c>
      <c r="F3468" s="6">
        <v>21</v>
      </c>
      <c r="G3468" s="8">
        <f t="shared" si="54"/>
        <v>4820.8525747200001</v>
      </c>
    </row>
    <row r="3469" spans="1:7" x14ac:dyDescent="0.3">
      <c r="A3469" s="14" t="str">
        <f>VLOOKUP(B3469,'Relacion codigos'!$A:$B,2,FALSE)</f>
        <v>957</v>
      </c>
      <c r="B3469" s="6" t="s">
        <v>1591</v>
      </c>
      <c r="C3469" s="6" t="s">
        <v>13220</v>
      </c>
      <c r="D3469" s="24">
        <v>8480.2423052880004</v>
      </c>
      <c r="E3469" s="6" t="s">
        <v>5889</v>
      </c>
      <c r="F3469" s="6">
        <v>21</v>
      </c>
      <c r="G3469" s="8">
        <f t="shared" si="54"/>
        <v>8480.2423052880004</v>
      </c>
    </row>
    <row r="3470" spans="1:7" x14ac:dyDescent="0.3">
      <c r="A3470" s="14" t="str">
        <f>VLOOKUP(B3470,'Relacion codigos'!$A:$B,2,FALSE)</f>
        <v>955</v>
      </c>
      <c r="B3470" s="6" t="s">
        <v>1600</v>
      </c>
      <c r="C3470" s="6" t="s">
        <v>577</v>
      </c>
      <c r="D3470" s="24">
        <v>5484.395529288</v>
      </c>
      <c r="E3470" s="6" t="s">
        <v>5889</v>
      </c>
      <c r="F3470" s="6">
        <v>21</v>
      </c>
      <c r="G3470" s="8">
        <f t="shared" si="54"/>
        <v>5484.395529288</v>
      </c>
    </row>
    <row r="3471" spans="1:7" x14ac:dyDescent="0.3">
      <c r="A3471" s="14" t="str">
        <f>VLOOKUP(B3471,'Relacion codigos'!$A:$B,2,FALSE)</f>
        <v>8700</v>
      </c>
      <c r="B3471" s="6" t="s">
        <v>1601</v>
      </c>
      <c r="C3471" s="6" t="s">
        <v>9461</v>
      </c>
      <c r="D3471" s="24">
        <v>5593.320143424</v>
      </c>
      <c r="E3471" s="6" t="s">
        <v>5889</v>
      </c>
      <c r="F3471" s="6">
        <v>21</v>
      </c>
      <c r="G3471" s="8">
        <f t="shared" si="54"/>
        <v>5593.320143424</v>
      </c>
    </row>
    <row r="3472" spans="1:7" x14ac:dyDescent="0.3">
      <c r="A3472" s="14" t="str">
        <f>VLOOKUP(B3472,'Relacion codigos'!$A:$B,2,FALSE)</f>
        <v>8699</v>
      </c>
      <c r="B3472" s="6" t="s">
        <v>1602</v>
      </c>
      <c r="C3472" s="6" t="s">
        <v>9462</v>
      </c>
      <c r="D3472" s="24">
        <v>6237.3881409839996</v>
      </c>
      <c r="E3472" s="6" t="s">
        <v>5889</v>
      </c>
      <c r="F3472" s="6">
        <v>21</v>
      </c>
      <c r="G3472" s="8">
        <f t="shared" si="54"/>
        <v>6237.3881409839996</v>
      </c>
    </row>
    <row r="3473" spans="1:7" x14ac:dyDescent="0.3">
      <c r="A3473" s="14" t="str">
        <f>VLOOKUP(B3473,'Relacion codigos'!$A:$B,2,FALSE)</f>
        <v>9114</v>
      </c>
      <c r="B3473" s="6" t="s">
        <v>1592</v>
      </c>
      <c r="C3473" s="6" t="s">
        <v>13221</v>
      </c>
      <c r="D3473" s="24">
        <v>9453.3183360719995</v>
      </c>
      <c r="E3473" s="6" t="s">
        <v>5889</v>
      </c>
      <c r="F3473" s="6">
        <v>21</v>
      </c>
      <c r="G3473" s="8">
        <f t="shared" si="54"/>
        <v>9453.3183360719995</v>
      </c>
    </row>
    <row r="3474" spans="1:7" x14ac:dyDescent="0.3">
      <c r="A3474" s="14" t="str">
        <f>VLOOKUP(B3474,'Relacion codigos'!$A:$B,2,FALSE)</f>
        <v>8540</v>
      </c>
      <c r="B3474" s="6" t="s">
        <v>1604</v>
      </c>
      <c r="C3474" s="6" t="s">
        <v>12048</v>
      </c>
      <c r="D3474" s="24">
        <v>6446.9216485440002</v>
      </c>
      <c r="E3474" s="6" t="s">
        <v>5889</v>
      </c>
      <c r="F3474" s="6">
        <v>21</v>
      </c>
      <c r="G3474" s="8">
        <f t="shared" si="54"/>
        <v>6446.9216485440002</v>
      </c>
    </row>
    <row r="3475" spans="1:7" x14ac:dyDescent="0.3">
      <c r="A3475" s="14" t="str">
        <f>VLOOKUP(B3475,'Relacion codigos'!$A:$B,2,FALSE)</f>
        <v>956</v>
      </c>
      <c r="B3475" s="6" t="s">
        <v>1603</v>
      </c>
      <c r="C3475" s="6" t="s">
        <v>578</v>
      </c>
      <c r="D3475" s="24">
        <v>7090.3725094800002</v>
      </c>
      <c r="E3475" s="6" t="s">
        <v>5889</v>
      </c>
      <c r="F3475" s="6">
        <v>21</v>
      </c>
      <c r="G3475" s="8">
        <f t="shared" si="54"/>
        <v>7090.3725094800002</v>
      </c>
    </row>
    <row r="3476" spans="1:7" x14ac:dyDescent="0.3">
      <c r="A3476" s="14" t="str">
        <f>VLOOKUP(B3476,'Relacion codigos'!$A:$B,2,FALSE)</f>
        <v>958</v>
      </c>
      <c r="B3476" s="6" t="s">
        <v>1593</v>
      </c>
      <c r="C3476" s="6" t="s">
        <v>13222</v>
      </c>
      <c r="D3476" s="24">
        <v>10300.037596056</v>
      </c>
      <c r="E3476" s="6" t="s">
        <v>5889</v>
      </c>
      <c r="F3476" s="6">
        <v>21</v>
      </c>
      <c r="G3476" s="8">
        <f t="shared" si="54"/>
        <v>10300.037596056</v>
      </c>
    </row>
    <row r="3477" spans="1:7" x14ac:dyDescent="0.3">
      <c r="A3477" s="14" t="str">
        <f>VLOOKUP(B3477,'Relacion codigos'!$A:$B,2,FALSE)</f>
        <v>2374</v>
      </c>
      <c r="B3477" s="6" t="s">
        <v>2883</v>
      </c>
      <c r="C3477" s="6" t="s">
        <v>579</v>
      </c>
      <c r="D3477" s="24">
        <v>2.7924324999999999</v>
      </c>
      <c r="E3477" s="6" t="s">
        <v>5887</v>
      </c>
      <c r="F3477" s="6">
        <v>21</v>
      </c>
      <c r="G3477" s="8">
        <f t="shared" si="54"/>
        <v>4342.2325375</v>
      </c>
    </row>
    <row r="3478" spans="1:7" x14ac:dyDescent="0.3">
      <c r="A3478" s="14" t="str">
        <f>VLOOKUP(B3478,'Relacion codigos'!$A:$B,2,FALSE)</f>
        <v>8393</v>
      </c>
      <c r="B3478" s="6" t="s">
        <v>1337</v>
      </c>
      <c r="C3478" s="6" t="s">
        <v>1009</v>
      </c>
      <c r="D3478" s="24">
        <v>19.594008519087801</v>
      </c>
      <c r="E3478" s="6" t="s">
        <v>5887</v>
      </c>
      <c r="F3478" s="6">
        <v>21</v>
      </c>
      <c r="G3478" s="8">
        <f t="shared" si="54"/>
        <v>30468.683247181529</v>
      </c>
    </row>
    <row r="3479" spans="1:7" x14ac:dyDescent="0.3">
      <c r="A3479" s="14" t="str">
        <f>VLOOKUP(B3479,'Relacion codigos'!$A:$B,2,FALSE)</f>
        <v>NUEVO</v>
      </c>
      <c r="B3479" s="6" t="s">
        <v>5845</v>
      </c>
      <c r="C3479" s="6" t="s">
        <v>12726</v>
      </c>
      <c r="D3479" s="24">
        <v>15.8574</v>
      </c>
      <c r="E3479" s="6" t="s">
        <v>5887</v>
      </c>
      <c r="F3479" s="6">
        <v>21</v>
      </c>
      <c r="G3479" s="8">
        <f t="shared" si="54"/>
        <v>24658.257000000001</v>
      </c>
    </row>
    <row r="3480" spans="1:7" x14ac:dyDescent="0.3">
      <c r="A3480" s="14" t="str">
        <f>VLOOKUP(B3480,'Relacion codigos'!$A:$B,2,FALSE)</f>
        <v>NUEVO</v>
      </c>
      <c r="B3480" s="6" t="s">
        <v>5846</v>
      </c>
      <c r="C3480" s="6" t="s">
        <v>13967</v>
      </c>
      <c r="D3480" s="24">
        <v>10.001289999999999</v>
      </c>
      <c r="E3480" s="6" t="s">
        <v>5887</v>
      </c>
      <c r="F3480" s="6">
        <v>21</v>
      </c>
      <c r="G3480" s="8">
        <f t="shared" si="54"/>
        <v>15552.005949999999</v>
      </c>
    </row>
    <row r="3481" spans="1:7" x14ac:dyDescent="0.3">
      <c r="A3481" s="14" t="str">
        <f>VLOOKUP(B3481,'Relacion codigos'!$A:$B,2,FALSE)</f>
        <v>5168</v>
      </c>
      <c r="B3481" s="6" t="s">
        <v>1338</v>
      </c>
      <c r="C3481" s="6" t="s">
        <v>1281</v>
      </c>
      <c r="D3481" s="24">
        <v>1682.89927042163</v>
      </c>
      <c r="E3481" s="6" t="s">
        <v>5889</v>
      </c>
      <c r="F3481" s="6">
        <v>21</v>
      </c>
      <c r="G3481" s="8">
        <f t="shared" si="54"/>
        <v>1682.89927042163</v>
      </c>
    </row>
    <row r="3482" spans="1:7" x14ac:dyDescent="0.3">
      <c r="A3482" s="14" t="e">
        <f>VLOOKUP(B3482,'Relacion codigos'!$A:$B,2,FALSE)</f>
        <v>#N/A</v>
      </c>
      <c r="B3482" s="6" t="s">
        <v>13341</v>
      </c>
      <c r="C3482" s="6" t="s">
        <v>13342</v>
      </c>
      <c r="D3482" s="24">
        <v>116.28668819950001</v>
      </c>
      <c r="E3482" s="6" t="s">
        <v>5887</v>
      </c>
      <c r="F3482" s="6">
        <v>21</v>
      </c>
      <c r="G3482" s="8">
        <f t="shared" si="54"/>
        <v>180825.80015022252</v>
      </c>
    </row>
    <row r="3483" spans="1:7" x14ac:dyDescent="0.3">
      <c r="A3483" s="14" t="str">
        <f>VLOOKUP(B3483,'Relacion codigos'!$A:$B,2,FALSE)</f>
        <v>9118</v>
      </c>
      <c r="B3483" s="6" t="s">
        <v>1339</v>
      </c>
      <c r="C3483" s="6" t="s">
        <v>1182</v>
      </c>
      <c r="D3483" s="24">
        <v>92.688247313999995</v>
      </c>
      <c r="E3483" s="6" t="s">
        <v>5887</v>
      </c>
      <c r="F3483" s="6">
        <v>21</v>
      </c>
      <c r="G3483" s="8">
        <f t="shared" si="54"/>
        <v>144130.22457326998</v>
      </c>
    </row>
    <row r="3484" spans="1:7" x14ac:dyDescent="0.3">
      <c r="A3484" s="14" t="str">
        <f>VLOOKUP(B3484,'Relacion codigos'!$A:$B,2,FALSE)</f>
        <v>NUEVO</v>
      </c>
      <c r="B3484" s="6" t="s">
        <v>5843</v>
      </c>
      <c r="C3484" s="6" t="s">
        <v>13343</v>
      </c>
      <c r="D3484" s="24">
        <v>45.360171987000001</v>
      </c>
      <c r="E3484" s="6" t="s">
        <v>5887</v>
      </c>
      <c r="F3484" s="6">
        <v>21</v>
      </c>
      <c r="G3484" s="8">
        <f t="shared" si="54"/>
        <v>70535.067439785009</v>
      </c>
    </row>
    <row r="3485" spans="1:7" x14ac:dyDescent="0.3">
      <c r="A3485" s="14" t="str">
        <f>VLOOKUP(B3485,'Relacion codigos'!$A:$B,2,FALSE)</f>
        <v>NUEVO</v>
      </c>
      <c r="B3485" s="6" t="s">
        <v>5844</v>
      </c>
      <c r="C3485" s="6" t="s">
        <v>9298</v>
      </c>
      <c r="D3485" s="24">
        <v>2765.7291948000002</v>
      </c>
      <c r="E3485" s="6" t="s">
        <v>5889</v>
      </c>
      <c r="F3485" s="6">
        <v>21</v>
      </c>
      <c r="G3485" s="8">
        <f t="shared" si="54"/>
        <v>2765.7291948000002</v>
      </c>
    </row>
    <row r="3486" spans="1:7" x14ac:dyDescent="0.3">
      <c r="A3486" s="14" t="e">
        <f>VLOOKUP(B3486,'Relacion codigos'!$A:$B,2,FALSE)</f>
        <v>#N/A</v>
      </c>
      <c r="B3486" s="6" t="s">
        <v>13091</v>
      </c>
      <c r="C3486" s="6" t="s">
        <v>13092</v>
      </c>
      <c r="D3486" s="24">
        <v>62.899110504749999</v>
      </c>
      <c r="E3486" s="6" t="s">
        <v>5887</v>
      </c>
      <c r="F3486" s="6">
        <v>21</v>
      </c>
      <c r="G3486" s="8">
        <f t="shared" si="54"/>
        <v>97808.116834886241</v>
      </c>
    </row>
    <row r="3487" spans="1:7" x14ac:dyDescent="0.3">
      <c r="A3487" s="14" t="str">
        <f>VLOOKUP(B3487,'Relacion codigos'!$A:$B,2,FALSE)</f>
        <v>4013</v>
      </c>
      <c r="B3487" s="6" t="s">
        <v>3556</v>
      </c>
      <c r="C3487" s="6" t="s">
        <v>580</v>
      </c>
      <c r="D3487" s="24">
        <v>54201.444451745003</v>
      </c>
      <c r="E3487" s="6" t="s">
        <v>5889</v>
      </c>
      <c r="F3487" s="6">
        <v>21</v>
      </c>
      <c r="G3487" s="8">
        <f t="shared" si="54"/>
        <v>54201.444451745003</v>
      </c>
    </row>
    <row r="3488" spans="1:7" x14ac:dyDescent="0.3">
      <c r="A3488" s="14" t="str">
        <f>VLOOKUP(B3488,'Relacion codigos'!$A:$B,2,FALSE)</f>
        <v>5295</v>
      </c>
      <c r="B3488" s="6" t="s">
        <v>3554</v>
      </c>
      <c r="C3488" s="6" t="s">
        <v>10511</v>
      </c>
      <c r="D3488" s="24">
        <v>23.2575197081566</v>
      </c>
      <c r="E3488" s="6" t="s">
        <v>5887</v>
      </c>
      <c r="F3488" s="6">
        <v>21</v>
      </c>
      <c r="G3488" s="8">
        <f t="shared" si="54"/>
        <v>36165.443146183512</v>
      </c>
    </row>
    <row r="3489" spans="1:7" x14ac:dyDescent="0.3">
      <c r="A3489" s="14" t="str">
        <f>VLOOKUP(B3489,'Relacion codigos'!$A:$B,2,FALSE)</f>
        <v>8683</v>
      </c>
      <c r="B3489" s="6" t="s">
        <v>3557</v>
      </c>
      <c r="C3489" s="6" t="s">
        <v>1113</v>
      </c>
      <c r="D3489" s="24">
        <v>642.64200000000005</v>
      </c>
      <c r="E3489" s="6" t="s">
        <v>5887</v>
      </c>
      <c r="F3489" s="6">
        <v>21</v>
      </c>
      <c r="G3489" s="8">
        <f t="shared" si="54"/>
        <v>999308.31</v>
      </c>
    </row>
    <row r="3490" spans="1:7" x14ac:dyDescent="0.3">
      <c r="A3490" s="14" t="e">
        <f>VLOOKUP(B3490,'Relacion codigos'!$A:$B,2,FALSE)</f>
        <v>#N/A</v>
      </c>
      <c r="B3490" s="6" t="s">
        <v>10751</v>
      </c>
      <c r="C3490" s="6" t="s">
        <v>13670</v>
      </c>
      <c r="D3490" s="24">
        <v>21.642074999999998</v>
      </c>
      <c r="E3490" s="6" t="s">
        <v>5887</v>
      </c>
      <c r="F3490" s="6">
        <v>21</v>
      </c>
      <c r="G3490" s="8">
        <f t="shared" si="54"/>
        <v>33653.426625</v>
      </c>
    </row>
    <row r="3491" spans="1:7" x14ac:dyDescent="0.3">
      <c r="A3491" s="14" t="e">
        <f>VLOOKUP(B3491,'Relacion codigos'!$A:$B,2,FALSE)</f>
        <v>#N/A</v>
      </c>
      <c r="B3491" s="6" t="s">
        <v>10774</v>
      </c>
      <c r="C3491" s="6" t="s">
        <v>12561</v>
      </c>
      <c r="D3491" s="24">
        <v>10.609852500000001</v>
      </c>
      <c r="E3491" s="6" t="s">
        <v>5887</v>
      </c>
      <c r="F3491" s="6">
        <v>21</v>
      </c>
      <c r="G3491" s="8">
        <f t="shared" si="54"/>
        <v>16498.320637500001</v>
      </c>
    </row>
    <row r="3492" spans="1:7" x14ac:dyDescent="0.3">
      <c r="A3492" s="14" t="e">
        <f>VLOOKUP(B3492,'Relacion codigos'!$A:$B,2,FALSE)</f>
        <v>#N/A</v>
      </c>
      <c r="B3492" s="6" t="s">
        <v>10351</v>
      </c>
      <c r="C3492" s="6" t="s">
        <v>13667</v>
      </c>
      <c r="D3492" s="24">
        <v>21.642074999999998</v>
      </c>
      <c r="E3492" s="6" t="s">
        <v>5887</v>
      </c>
      <c r="F3492" s="6">
        <v>21</v>
      </c>
      <c r="G3492" s="8">
        <f t="shared" si="54"/>
        <v>33653.426625</v>
      </c>
    </row>
    <row r="3493" spans="1:7" x14ac:dyDescent="0.3">
      <c r="A3493" s="14" t="e">
        <f>VLOOKUP(B3493,'Relacion codigos'!$A:$B,2,FALSE)</f>
        <v>#N/A</v>
      </c>
      <c r="B3493" s="6" t="s">
        <v>12728</v>
      </c>
      <c r="C3493" s="6" t="s">
        <v>12729</v>
      </c>
      <c r="D3493" s="24">
        <v>20.976552719459999</v>
      </c>
      <c r="E3493" s="6" t="s">
        <v>5887</v>
      </c>
      <c r="F3493" s="6">
        <v>21</v>
      </c>
      <c r="G3493" s="8">
        <f t="shared" si="54"/>
        <v>32618.5394787603</v>
      </c>
    </row>
    <row r="3494" spans="1:7" x14ac:dyDescent="0.3">
      <c r="A3494" s="14" t="e">
        <f>VLOOKUP(B3494,'Relacion codigos'!$A:$B,2,FALSE)</f>
        <v>#N/A</v>
      </c>
      <c r="B3494" s="6" t="s">
        <v>12006</v>
      </c>
      <c r="C3494" s="6" t="s">
        <v>12007</v>
      </c>
      <c r="D3494" s="24">
        <v>39.434849999999997</v>
      </c>
      <c r="E3494" s="6" t="s">
        <v>5887</v>
      </c>
      <c r="F3494" s="6">
        <v>21</v>
      </c>
      <c r="G3494" s="8">
        <f t="shared" si="54"/>
        <v>61321.191749999998</v>
      </c>
    </row>
    <row r="3495" spans="1:7" x14ac:dyDescent="0.3">
      <c r="A3495" s="14" t="str">
        <f>VLOOKUP(B3495,'Relacion codigos'!$A:$B,2,FALSE)</f>
        <v>6072</v>
      </c>
      <c r="B3495" s="6" t="s">
        <v>4436</v>
      </c>
      <c r="C3495" s="6" t="s">
        <v>10512</v>
      </c>
      <c r="D3495" s="24">
        <v>2.3848695000000002</v>
      </c>
      <c r="E3495" s="6" t="s">
        <v>5887</v>
      </c>
      <c r="F3495" s="6">
        <v>21</v>
      </c>
      <c r="G3495" s="8">
        <f t="shared" si="54"/>
        <v>3708.4720725000002</v>
      </c>
    </row>
    <row r="3496" spans="1:7" x14ac:dyDescent="0.3">
      <c r="A3496" s="14" t="e">
        <f>VLOOKUP(B3496,'Relacion codigos'!$A:$B,2,FALSE)</f>
        <v>#N/A</v>
      </c>
      <c r="B3496" s="6" t="s">
        <v>10353</v>
      </c>
      <c r="C3496" s="6" t="s">
        <v>13661</v>
      </c>
      <c r="D3496" s="24">
        <v>3.9322919999999999</v>
      </c>
      <c r="E3496" s="6" t="s">
        <v>5887</v>
      </c>
      <c r="F3496" s="6">
        <v>21</v>
      </c>
      <c r="G3496" s="8">
        <f t="shared" si="54"/>
        <v>6114.7140600000002</v>
      </c>
    </row>
    <row r="3497" spans="1:7" x14ac:dyDescent="0.3">
      <c r="A3497" s="14" t="str">
        <f>VLOOKUP(B3497,'Relacion codigos'!$A:$B,2,FALSE)</f>
        <v>9071</v>
      </c>
      <c r="B3497" s="6" t="s">
        <v>4452</v>
      </c>
      <c r="C3497" s="6" t="s">
        <v>12266</v>
      </c>
      <c r="D3497" s="24">
        <v>2.3848695000000002</v>
      </c>
      <c r="E3497" s="6" t="s">
        <v>5887</v>
      </c>
      <c r="F3497" s="6">
        <v>21</v>
      </c>
      <c r="G3497" s="8">
        <f t="shared" si="54"/>
        <v>3708.4720725000002</v>
      </c>
    </row>
    <row r="3498" spans="1:7" x14ac:dyDescent="0.3">
      <c r="A3498" s="14" t="e">
        <f>VLOOKUP(B3498,'Relacion codigos'!$A:$B,2,FALSE)</f>
        <v>#N/A</v>
      </c>
      <c r="B3498" s="6" t="s">
        <v>10355</v>
      </c>
      <c r="C3498" s="6" t="s">
        <v>13660</v>
      </c>
      <c r="D3498" s="24">
        <v>3.9322919999999999</v>
      </c>
      <c r="E3498" s="6" t="s">
        <v>5887</v>
      </c>
      <c r="F3498" s="6">
        <v>21</v>
      </c>
      <c r="G3498" s="8">
        <f t="shared" si="54"/>
        <v>6114.7140600000002</v>
      </c>
    </row>
    <row r="3499" spans="1:7" x14ac:dyDescent="0.3">
      <c r="A3499" s="14" t="e">
        <f>VLOOKUP(B3499,'Relacion codigos'!$A:$B,2,FALSE)</f>
        <v>#N/A</v>
      </c>
      <c r="B3499" s="6" t="s">
        <v>12730</v>
      </c>
      <c r="C3499" s="6" t="s">
        <v>12731</v>
      </c>
      <c r="D3499" s="24">
        <v>3.8652834390300002</v>
      </c>
      <c r="E3499" s="6" t="s">
        <v>5887</v>
      </c>
      <c r="F3499" s="6">
        <v>21</v>
      </c>
      <c r="G3499" s="8">
        <f t="shared" si="54"/>
        <v>6010.5157476916502</v>
      </c>
    </row>
    <row r="3500" spans="1:7" x14ac:dyDescent="0.3">
      <c r="A3500" s="14" t="str">
        <f>VLOOKUP(B3500,'Relacion codigos'!$A:$B,2,FALSE)</f>
        <v>6283</v>
      </c>
      <c r="B3500" s="6" t="s">
        <v>4454</v>
      </c>
      <c r="C3500" s="6" t="s">
        <v>12574</v>
      </c>
      <c r="D3500" s="24">
        <v>16.881871499999999</v>
      </c>
      <c r="E3500" s="6" t="s">
        <v>5887</v>
      </c>
      <c r="F3500" s="6">
        <v>21</v>
      </c>
      <c r="G3500" s="8">
        <f t="shared" si="54"/>
        <v>26251.310182499998</v>
      </c>
    </row>
    <row r="3501" spans="1:7" x14ac:dyDescent="0.3">
      <c r="A3501" s="14" t="e">
        <f>VLOOKUP(B3501,'Relacion codigos'!$A:$B,2,FALSE)</f>
        <v>#N/A</v>
      </c>
      <c r="B3501" s="6" t="s">
        <v>10357</v>
      </c>
      <c r="C3501" s="6" t="s">
        <v>13668</v>
      </c>
      <c r="D3501" s="24">
        <v>34.807499999999997</v>
      </c>
      <c r="E3501" s="6" t="s">
        <v>5887</v>
      </c>
      <c r="F3501" s="6">
        <v>21</v>
      </c>
      <c r="G3501" s="8">
        <f t="shared" si="54"/>
        <v>54125.662499999999</v>
      </c>
    </row>
    <row r="3502" spans="1:7" x14ac:dyDescent="0.3">
      <c r="A3502" s="14" t="e">
        <f>VLOOKUP(B3502,'Relacion codigos'!$A:$B,2,FALSE)</f>
        <v>#N/A</v>
      </c>
      <c r="B3502" s="6" t="s">
        <v>10093</v>
      </c>
      <c r="C3502" s="6" t="s">
        <v>10094</v>
      </c>
      <c r="D3502" s="24">
        <v>169.3770624</v>
      </c>
      <c r="E3502" s="6" t="s">
        <v>5887</v>
      </c>
      <c r="F3502" s="6">
        <v>21</v>
      </c>
      <c r="G3502" s="8">
        <f t="shared" si="54"/>
        <v>263381.33203200001</v>
      </c>
    </row>
    <row r="3503" spans="1:7" x14ac:dyDescent="0.3">
      <c r="A3503" s="14" t="e">
        <f>VLOOKUP(B3503,'Relacion codigos'!$A:$B,2,FALSE)</f>
        <v>#N/A</v>
      </c>
      <c r="B3503" s="6" t="s">
        <v>10095</v>
      </c>
      <c r="C3503" s="6" t="s">
        <v>10096</v>
      </c>
      <c r="D3503" s="24">
        <v>169.3770624</v>
      </c>
      <c r="E3503" s="6" t="s">
        <v>5887</v>
      </c>
      <c r="F3503" s="6">
        <v>21</v>
      </c>
      <c r="G3503" s="8">
        <f t="shared" si="54"/>
        <v>263381.33203200001</v>
      </c>
    </row>
    <row r="3504" spans="1:7" x14ac:dyDescent="0.3">
      <c r="A3504" s="14" t="e">
        <f>VLOOKUP(B3504,'Relacion codigos'!$A:$B,2,FALSE)</f>
        <v>#N/A</v>
      </c>
      <c r="B3504" s="6" t="s">
        <v>12732</v>
      </c>
      <c r="C3504" s="6" t="s">
        <v>12733</v>
      </c>
      <c r="D3504" s="24">
        <v>40.890433128479998</v>
      </c>
      <c r="E3504" s="6" t="s">
        <v>5887</v>
      </c>
      <c r="F3504" s="6">
        <v>21</v>
      </c>
      <c r="G3504" s="8">
        <f t="shared" si="54"/>
        <v>63584.623514786399</v>
      </c>
    </row>
    <row r="3505" spans="1:7" x14ac:dyDescent="0.3">
      <c r="A3505" s="14" t="e">
        <f>VLOOKUP(B3505,'Relacion codigos'!$A:$B,2,FALSE)</f>
        <v>#N/A</v>
      </c>
      <c r="B3505" s="6" t="s">
        <v>12335</v>
      </c>
      <c r="C3505" s="6" t="s">
        <v>12336</v>
      </c>
      <c r="D3505" s="24">
        <v>81.470025000000007</v>
      </c>
      <c r="E3505" s="6" t="s">
        <v>5887</v>
      </c>
      <c r="F3505" s="6">
        <v>21</v>
      </c>
      <c r="G3505" s="8">
        <f t="shared" si="54"/>
        <v>126685.888875</v>
      </c>
    </row>
    <row r="3506" spans="1:7" x14ac:dyDescent="0.3">
      <c r="A3506" s="14" t="e">
        <f>VLOOKUP(B3506,'Relacion codigos'!$A:$B,2,FALSE)</f>
        <v>#N/A</v>
      </c>
      <c r="B3506" s="6" t="s">
        <v>12657</v>
      </c>
      <c r="C3506" s="6" t="s">
        <v>12658</v>
      </c>
      <c r="D3506" s="24">
        <v>43.202249999999999</v>
      </c>
      <c r="E3506" s="6" t="s">
        <v>5887</v>
      </c>
      <c r="F3506" s="6">
        <v>21</v>
      </c>
      <c r="G3506" s="8">
        <f t="shared" si="54"/>
        <v>67179.498749999999</v>
      </c>
    </row>
    <row r="3507" spans="1:7" x14ac:dyDescent="0.3">
      <c r="A3507" s="14" t="e">
        <f>VLOOKUP(B3507,'Relacion codigos'!$A:$B,2,FALSE)</f>
        <v>#N/A</v>
      </c>
      <c r="B3507" s="6" t="s">
        <v>12562</v>
      </c>
      <c r="C3507" s="6" t="s">
        <v>12575</v>
      </c>
      <c r="D3507" s="24">
        <v>25.006702499999999</v>
      </c>
      <c r="E3507" s="6" t="s">
        <v>5887</v>
      </c>
      <c r="F3507" s="6">
        <v>21</v>
      </c>
      <c r="G3507" s="8">
        <f t="shared" si="54"/>
        <v>38885.422387500003</v>
      </c>
    </row>
    <row r="3508" spans="1:7" x14ac:dyDescent="0.3">
      <c r="A3508" s="14" t="e">
        <f>VLOOKUP(B3508,'Relacion codigos'!$A:$B,2,FALSE)</f>
        <v>#N/A</v>
      </c>
      <c r="B3508" s="6" t="s">
        <v>10359</v>
      </c>
      <c r="C3508" s="6" t="s">
        <v>13669</v>
      </c>
      <c r="D3508" s="24">
        <v>45.747974999999997</v>
      </c>
      <c r="E3508" s="6" t="s">
        <v>5887</v>
      </c>
      <c r="F3508" s="6">
        <v>21</v>
      </c>
      <c r="G3508" s="8">
        <f t="shared" si="54"/>
        <v>71138.101125000001</v>
      </c>
    </row>
    <row r="3509" spans="1:7" x14ac:dyDescent="0.3">
      <c r="A3509" s="14" t="e">
        <f>VLOOKUP(B3509,'Relacion codigos'!$A:$B,2,FALSE)</f>
        <v>#N/A</v>
      </c>
      <c r="B3509" s="6" t="s">
        <v>12734</v>
      </c>
      <c r="C3509" s="6" t="s">
        <v>12735</v>
      </c>
      <c r="D3509" s="24">
        <v>49.099950907020002</v>
      </c>
      <c r="E3509" s="6" t="s">
        <v>5887</v>
      </c>
      <c r="F3509" s="6">
        <v>21</v>
      </c>
      <c r="G3509" s="8">
        <f t="shared" si="54"/>
        <v>76350.423660416098</v>
      </c>
    </row>
    <row r="3510" spans="1:7" x14ac:dyDescent="0.3">
      <c r="A3510" s="14" t="e">
        <f>VLOOKUP(B3510,'Relacion codigos'!$A:$B,2,FALSE)</f>
        <v>#N/A</v>
      </c>
      <c r="B3510" s="6" t="s">
        <v>12008</v>
      </c>
      <c r="C3510" s="6" t="s">
        <v>12009</v>
      </c>
      <c r="D3510" s="24">
        <v>90.642825000000002</v>
      </c>
      <c r="E3510" s="6" t="s">
        <v>5887</v>
      </c>
      <c r="F3510" s="6">
        <v>21</v>
      </c>
      <c r="G3510" s="8">
        <f t="shared" si="54"/>
        <v>140949.592875</v>
      </c>
    </row>
    <row r="3511" spans="1:7" x14ac:dyDescent="0.3">
      <c r="A3511" s="14" t="str">
        <f>VLOOKUP(B3511,'Relacion codigos'!$A:$B,2,FALSE)</f>
        <v>6052</v>
      </c>
      <c r="B3511" s="6" t="s">
        <v>4440</v>
      </c>
      <c r="C3511" s="6" t="s">
        <v>10514</v>
      </c>
      <c r="D3511" s="24">
        <v>3.5804339999999999</v>
      </c>
      <c r="E3511" s="6" t="s">
        <v>5887</v>
      </c>
      <c r="F3511" s="6">
        <v>21</v>
      </c>
      <c r="G3511" s="8">
        <f t="shared" si="54"/>
        <v>5567.5748699999995</v>
      </c>
    </row>
    <row r="3512" spans="1:7" x14ac:dyDescent="0.3">
      <c r="A3512" s="14" t="e">
        <f>VLOOKUP(B3512,'Relacion codigos'!$A:$B,2,FALSE)</f>
        <v>#N/A</v>
      </c>
      <c r="B3512" s="6" t="s">
        <v>10361</v>
      </c>
      <c r="C3512" s="6" t="s">
        <v>13663</v>
      </c>
      <c r="D3512" s="24">
        <v>5.3712749999999998</v>
      </c>
      <c r="E3512" s="6" t="s">
        <v>5887</v>
      </c>
      <c r="F3512" s="6">
        <v>21</v>
      </c>
      <c r="G3512" s="8">
        <f t="shared" si="54"/>
        <v>8352.3326249999991</v>
      </c>
    </row>
    <row r="3513" spans="1:7" x14ac:dyDescent="0.3">
      <c r="A3513" s="14" t="str">
        <f>VLOOKUP(B3513,'Relacion codigos'!$A:$B,2,FALSE)</f>
        <v>8455</v>
      </c>
      <c r="B3513" s="6" t="s">
        <v>4435</v>
      </c>
      <c r="C3513" s="6" t="s">
        <v>12267</v>
      </c>
      <c r="D3513" s="24">
        <v>3.5804339999999999</v>
      </c>
      <c r="E3513" s="6" t="s">
        <v>5887</v>
      </c>
      <c r="F3513" s="6">
        <v>21</v>
      </c>
      <c r="G3513" s="8">
        <f t="shared" si="54"/>
        <v>5567.5748699999995</v>
      </c>
    </row>
    <row r="3514" spans="1:7" x14ac:dyDescent="0.3">
      <c r="A3514" s="14" t="e">
        <f>VLOOKUP(B3514,'Relacion codigos'!$A:$B,2,FALSE)</f>
        <v>#N/A</v>
      </c>
      <c r="B3514" s="6" t="s">
        <v>10363</v>
      </c>
      <c r="C3514" s="6" t="s">
        <v>13662</v>
      </c>
      <c r="D3514" s="24">
        <v>5.3712749999999998</v>
      </c>
      <c r="E3514" s="6" t="s">
        <v>5887</v>
      </c>
      <c r="F3514" s="6">
        <v>21</v>
      </c>
      <c r="G3514" s="8">
        <f t="shared" si="54"/>
        <v>8352.3326249999991</v>
      </c>
    </row>
    <row r="3515" spans="1:7" x14ac:dyDescent="0.3">
      <c r="A3515" s="14" t="str">
        <f>VLOOKUP(B3515,'Relacion codigos'!$A:$B,2,FALSE)</f>
        <v>6302</v>
      </c>
      <c r="B3515" s="6" t="s">
        <v>4443</v>
      </c>
      <c r="C3515" s="6" t="s">
        <v>10168</v>
      </c>
      <c r="D3515" s="24">
        <v>8902.4</v>
      </c>
      <c r="E3515" s="6" t="s">
        <v>5889</v>
      </c>
      <c r="F3515" s="6">
        <v>21</v>
      </c>
      <c r="G3515" s="8">
        <f t="shared" si="54"/>
        <v>8902.4</v>
      </c>
    </row>
    <row r="3516" spans="1:7" x14ac:dyDescent="0.3">
      <c r="A3516" s="14" t="e">
        <f>VLOOKUP(B3516,'Relacion codigos'!$A:$B,2,FALSE)</f>
        <v>#N/A</v>
      </c>
      <c r="B3516" s="6" t="s">
        <v>12736</v>
      </c>
      <c r="C3516" s="6" t="s">
        <v>12737</v>
      </c>
      <c r="D3516" s="24">
        <v>5.3881976303999997</v>
      </c>
      <c r="E3516" s="6" t="s">
        <v>5887</v>
      </c>
      <c r="F3516" s="6">
        <v>21</v>
      </c>
      <c r="G3516" s="8">
        <f t="shared" si="54"/>
        <v>8378.6473152719991</v>
      </c>
    </row>
    <row r="3517" spans="1:7" x14ac:dyDescent="0.3">
      <c r="A3517" s="14" t="e">
        <f>VLOOKUP(B3517,'Relacion codigos'!$A:$B,2,FALSE)</f>
        <v>#N/A</v>
      </c>
      <c r="B3517" s="6" t="s">
        <v>13206</v>
      </c>
      <c r="C3517" s="6" t="s">
        <v>13207</v>
      </c>
      <c r="D3517" s="24">
        <v>11.0565</v>
      </c>
      <c r="E3517" s="6" t="s">
        <v>5887</v>
      </c>
      <c r="F3517" s="6">
        <v>21</v>
      </c>
      <c r="G3517" s="8">
        <f t="shared" si="54"/>
        <v>17192.857499999998</v>
      </c>
    </row>
    <row r="3518" spans="1:7" x14ac:dyDescent="0.3">
      <c r="A3518" s="14" t="e">
        <f>VLOOKUP(B3518,'Relacion codigos'!$A:$B,2,FALSE)</f>
        <v>#N/A</v>
      </c>
      <c r="B3518" s="6" t="s">
        <v>10097</v>
      </c>
      <c r="C3518" s="6" t="s">
        <v>10098</v>
      </c>
      <c r="D3518" s="24">
        <v>297.58163760000002</v>
      </c>
      <c r="E3518" s="6" t="s">
        <v>5887</v>
      </c>
      <c r="F3518" s="6">
        <v>21</v>
      </c>
      <c r="G3518" s="8">
        <f t="shared" si="54"/>
        <v>462739.44646800001</v>
      </c>
    </row>
    <row r="3519" spans="1:7" x14ac:dyDescent="0.3">
      <c r="A3519" s="14" t="e">
        <f>VLOOKUP(B3519,'Relacion codigos'!$A:$B,2,FALSE)</f>
        <v>#N/A</v>
      </c>
      <c r="B3519" s="6" t="s">
        <v>12899</v>
      </c>
      <c r="C3519" s="6" t="s">
        <v>12900</v>
      </c>
      <c r="D3519" s="24">
        <v>59.415174</v>
      </c>
      <c r="E3519" s="6" t="s">
        <v>5887</v>
      </c>
      <c r="F3519" s="6">
        <v>21</v>
      </c>
      <c r="G3519" s="8">
        <f t="shared" si="54"/>
        <v>92390.595570000005</v>
      </c>
    </row>
    <row r="3520" spans="1:7" x14ac:dyDescent="0.3">
      <c r="A3520" s="14" t="str">
        <f>VLOOKUP(B3520,'Relacion codigos'!$A:$B,2,FALSE)</f>
        <v>8946</v>
      </c>
      <c r="B3520" s="6" t="s">
        <v>4462</v>
      </c>
      <c r="C3520" s="6" t="s">
        <v>10169</v>
      </c>
      <c r="D3520" s="24">
        <v>83.752110000000002</v>
      </c>
      <c r="E3520" s="6" t="s">
        <v>5887</v>
      </c>
      <c r="F3520" s="6">
        <v>21</v>
      </c>
      <c r="G3520" s="8">
        <f t="shared" si="54"/>
        <v>130234.53105000001</v>
      </c>
    </row>
    <row r="3521" spans="1:7" x14ac:dyDescent="0.3">
      <c r="A3521" s="14" t="e">
        <f>VLOOKUP(B3521,'Relacion codigos'!$A:$B,2,FALSE)</f>
        <v>#N/A</v>
      </c>
      <c r="B3521" s="6" t="s">
        <v>10842</v>
      </c>
      <c r="C3521" s="6" t="s">
        <v>12787</v>
      </c>
      <c r="D3521" s="24">
        <v>4.0686749999999998</v>
      </c>
      <c r="E3521" s="6" t="s">
        <v>5887</v>
      </c>
      <c r="F3521" s="6">
        <v>21</v>
      </c>
      <c r="G3521" s="8">
        <f t="shared" si="54"/>
        <v>6326.7896249999994</v>
      </c>
    </row>
    <row r="3522" spans="1:7" x14ac:dyDescent="0.3">
      <c r="A3522" s="14" t="e">
        <f>VLOOKUP(B3522,'Relacion codigos'!$A:$B,2,FALSE)</f>
        <v>#N/A</v>
      </c>
      <c r="B3522" s="6" t="s">
        <v>10365</v>
      </c>
      <c r="C3522" s="6" t="s">
        <v>13665</v>
      </c>
      <c r="D3522" s="24">
        <v>7.7944693348623799</v>
      </c>
      <c r="E3522" s="6" t="s">
        <v>5887</v>
      </c>
      <c r="F3522" s="6">
        <v>21</v>
      </c>
      <c r="G3522" s="8">
        <f t="shared" ref="G3522:G3585" si="55">IF(E3522="Dolares",D3522*$G$1,D3522)</f>
        <v>12120.399815711</v>
      </c>
    </row>
    <row r="3523" spans="1:7" x14ac:dyDescent="0.3">
      <c r="A3523" s="14" t="e">
        <f>VLOOKUP(B3523,'Relacion codigos'!$A:$B,2,FALSE)</f>
        <v>#N/A</v>
      </c>
      <c r="B3523" s="6" t="s">
        <v>12738</v>
      </c>
      <c r="C3523" s="6" t="s">
        <v>12739</v>
      </c>
      <c r="D3523" s="24">
        <v>7.6145709568499997</v>
      </c>
      <c r="E3523" s="6" t="s">
        <v>5887</v>
      </c>
      <c r="F3523" s="6">
        <v>21</v>
      </c>
      <c r="G3523" s="8">
        <f t="shared" si="55"/>
        <v>11840.65783790175</v>
      </c>
    </row>
    <row r="3524" spans="1:7" x14ac:dyDescent="0.3">
      <c r="A3524" s="14" t="str">
        <f>VLOOKUP(B3524,'Relacion codigos'!$A:$B,2,FALSE)</f>
        <v>8457</v>
      </c>
      <c r="B3524" s="6" t="s">
        <v>4446</v>
      </c>
      <c r="C3524" s="6" t="s">
        <v>10170</v>
      </c>
      <c r="D3524" s="24">
        <v>4.0686749999999998</v>
      </c>
      <c r="E3524" s="6" t="s">
        <v>5887</v>
      </c>
      <c r="F3524" s="6">
        <v>21</v>
      </c>
      <c r="G3524" s="8">
        <f t="shared" si="55"/>
        <v>6326.7896249999994</v>
      </c>
    </row>
    <row r="3525" spans="1:7" x14ac:dyDescent="0.3">
      <c r="A3525" s="14" t="e">
        <f>VLOOKUP(B3525,'Relacion codigos'!$A:$B,2,FALSE)</f>
        <v>#N/A</v>
      </c>
      <c r="B3525" s="6" t="s">
        <v>10367</v>
      </c>
      <c r="C3525" s="6" t="s">
        <v>13664</v>
      </c>
      <c r="D3525" s="24">
        <v>7.7944693348623799</v>
      </c>
      <c r="E3525" s="6" t="s">
        <v>5887</v>
      </c>
      <c r="F3525" s="6">
        <v>21</v>
      </c>
      <c r="G3525" s="8">
        <f t="shared" si="55"/>
        <v>12120.399815711</v>
      </c>
    </row>
    <row r="3526" spans="1:7" x14ac:dyDescent="0.3">
      <c r="A3526" s="14" t="e">
        <f>VLOOKUP(B3526,'Relacion codigos'!$A:$B,2,FALSE)</f>
        <v>#N/A</v>
      </c>
      <c r="B3526" s="6" t="s">
        <v>10171</v>
      </c>
      <c r="C3526" s="6" t="s">
        <v>10172</v>
      </c>
      <c r="D3526" s="24">
        <v>11350.56</v>
      </c>
      <c r="E3526" s="6" t="s">
        <v>5889</v>
      </c>
      <c r="F3526" s="6">
        <v>21</v>
      </c>
      <c r="G3526" s="8">
        <f t="shared" si="55"/>
        <v>11350.56</v>
      </c>
    </row>
    <row r="3527" spans="1:7" x14ac:dyDescent="0.3">
      <c r="A3527" s="14" t="e">
        <f>VLOOKUP(B3527,'Relacion codigos'!$A:$B,2,FALSE)</f>
        <v>#N/A</v>
      </c>
      <c r="B3527" s="6" t="s">
        <v>12740</v>
      </c>
      <c r="C3527" s="6" t="s">
        <v>12741</v>
      </c>
      <c r="D3527" s="24">
        <v>7.6145709568499997</v>
      </c>
      <c r="E3527" s="6" t="s">
        <v>5887</v>
      </c>
      <c r="F3527" s="6">
        <v>21</v>
      </c>
      <c r="G3527" s="8">
        <f t="shared" si="55"/>
        <v>11840.65783790175</v>
      </c>
    </row>
    <row r="3528" spans="1:7" x14ac:dyDescent="0.3">
      <c r="A3528" s="14" t="e">
        <f>VLOOKUP(B3528,'Relacion codigos'!$A:$B,2,FALSE)</f>
        <v>#N/A</v>
      </c>
      <c r="B3528" s="6" t="s">
        <v>12901</v>
      </c>
      <c r="C3528" s="6" t="s">
        <v>12902</v>
      </c>
      <c r="D3528" s="24">
        <v>109.88552249999999</v>
      </c>
      <c r="E3528" s="6" t="s">
        <v>5887</v>
      </c>
      <c r="F3528" s="6">
        <v>21</v>
      </c>
      <c r="G3528" s="8">
        <f t="shared" si="55"/>
        <v>170871.98748749998</v>
      </c>
    </row>
    <row r="3529" spans="1:7" x14ac:dyDescent="0.3">
      <c r="A3529" s="14" t="e">
        <f>VLOOKUP(B3529,'Relacion codigos'!$A:$B,2,FALSE)</f>
        <v>#N/A</v>
      </c>
      <c r="B3529" s="6" t="s">
        <v>10843</v>
      </c>
      <c r="C3529" s="6" t="s">
        <v>12576</v>
      </c>
      <c r="D3529" s="24">
        <v>6.2344619999999997</v>
      </c>
      <c r="E3529" s="6" t="s">
        <v>5887</v>
      </c>
      <c r="F3529" s="6">
        <v>21</v>
      </c>
      <c r="G3529" s="8">
        <f t="shared" si="55"/>
        <v>9694.5884100000003</v>
      </c>
    </row>
    <row r="3530" spans="1:7" x14ac:dyDescent="0.3">
      <c r="A3530" s="14" t="e">
        <f>VLOOKUP(B3530,'Relacion codigos'!$A:$B,2,FALSE)</f>
        <v>#N/A</v>
      </c>
      <c r="B3530" s="6" t="s">
        <v>13085</v>
      </c>
      <c r="C3530" s="6" t="s">
        <v>13086</v>
      </c>
      <c r="D3530" s="24">
        <v>9.2572228733399999</v>
      </c>
      <c r="E3530" s="6" t="s">
        <v>5887</v>
      </c>
      <c r="F3530" s="6">
        <v>21</v>
      </c>
      <c r="G3530" s="8">
        <f t="shared" si="55"/>
        <v>14394.9815680437</v>
      </c>
    </row>
    <row r="3531" spans="1:7" x14ac:dyDescent="0.3">
      <c r="A3531" s="14" t="str">
        <f>VLOOKUP(B3531,'Relacion codigos'!$A:$B,2,FALSE)</f>
        <v>6267</v>
      </c>
      <c r="B3531" s="6" t="s">
        <v>4464</v>
      </c>
      <c r="C3531" s="6" t="s">
        <v>12028</v>
      </c>
      <c r="D3531" s="24">
        <v>6.2344619999999997</v>
      </c>
      <c r="E3531" s="6" t="s">
        <v>5887</v>
      </c>
      <c r="F3531" s="6">
        <v>21</v>
      </c>
      <c r="G3531" s="8">
        <f t="shared" si="55"/>
        <v>9694.5884100000003</v>
      </c>
    </row>
    <row r="3532" spans="1:7" x14ac:dyDescent="0.3">
      <c r="A3532" s="14" t="e">
        <f>VLOOKUP(B3532,'Relacion codigos'!$A:$B,2,FALSE)</f>
        <v>#N/A</v>
      </c>
      <c r="B3532" s="6" t="s">
        <v>10369</v>
      </c>
      <c r="C3532" s="6" t="s">
        <v>13666</v>
      </c>
      <c r="D3532" s="24">
        <v>9.9030749999999994</v>
      </c>
      <c r="E3532" s="6" t="s">
        <v>5887</v>
      </c>
      <c r="F3532" s="6">
        <v>21</v>
      </c>
      <c r="G3532" s="8">
        <f t="shared" si="55"/>
        <v>15399.281625</v>
      </c>
    </row>
    <row r="3533" spans="1:7" x14ac:dyDescent="0.3">
      <c r="A3533" s="14" t="str">
        <f>VLOOKUP(B3533,'Relacion codigos'!$A:$B,2,FALSE)</f>
        <v>7254</v>
      </c>
      <c r="B3533" s="6" t="s">
        <v>3506</v>
      </c>
      <c r="C3533" s="6" t="s">
        <v>10173</v>
      </c>
      <c r="D3533" s="24">
        <v>16469.439999999999</v>
      </c>
      <c r="E3533" s="6" t="s">
        <v>5889</v>
      </c>
      <c r="F3533" s="6">
        <v>21</v>
      </c>
      <c r="G3533" s="8">
        <f t="shared" si="55"/>
        <v>16469.439999999999</v>
      </c>
    </row>
    <row r="3534" spans="1:7" x14ac:dyDescent="0.3">
      <c r="A3534" s="14" t="e">
        <f>VLOOKUP(B3534,'Relacion codigos'!$A:$B,2,FALSE)</f>
        <v>#N/A</v>
      </c>
      <c r="B3534" s="6" t="s">
        <v>12742</v>
      </c>
      <c r="C3534" s="6" t="s">
        <v>12743</v>
      </c>
      <c r="D3534" s="24">
        <v>9.2572228733399999</v>
      </c>
      <c r="E3534" s="6" t="s">
        <v>5887</v>
      </c>
      <c r="F3534" s="6">
        <v>21</v>
      </c>
      <c r="G3534" s="8">
        <f t="shared" si="55"/>
        <v>14394.9815680437</v>
      </c>
    </row>
    <row r="3535" spans="1:7" x14ac:dyDescent="0.3">
      <c r="A3535" s="14" t="e">
        <f>VLOOKUP(B3535,'Relacion codigos'!$A:$B,2,FALSE)</f>
        <v>#N/A</v>
      </c>
      <c r="B3535" s="6" t="s">
        <v>10776</v>
      </c>
      <c r="C3535" s="6" t="s">
        <v>12268</v>
      </c>
      <c r="D3535" s="24">
        <v>7.9808624999999997</v>
      </c>
      <c r="E3535" s="6" t="s">
        <v>5887</v>
      </c>
      <c r="F3535" s="6">
        <v>21</v>
      </c>
      <c r="G3535" s="8">
        <f t="shared" si="55"/>
        <v>12410.2411875</v>
      </c>
    </row>
    <row r="3536" spans="1:7" x14ac:dyDescent="0.3">
      <c r="A3536" s="14" t="str">
        <f>VLOOKUP(B3536,'Relacion codigos'!$A:$B,2,FALSE)</f>
        <v>8112</v>
      </c>
      <c r="B3536" s="6" t="s">
        <v>4463</v>
      </c>
      <c r="C3536" s="6" t="s">
        <v>10775</v>
      </c>
      <c r="D3536" s="24">
        <v>23813.919999999998</v>
      </c>
      <c r="E3536" s="6" t="s">
        <v>5889</v>
      </c>
      <c r="F3536" s="6">
        <v>21</v>
      </c>
      <c r="G3536" s="8">
        <f t="shared" si="55"/>
        <v>23813.919999999998</v>
      </c>
    </row>
    <row r="3537" spans="1:7" x14ac:dyDescent="0.3">
      <c r="A3537" s="14" t="e">
        <f>VLOOKUP(B3537,'Relacion codigos'!$A:$B,2,FALSE)</f>
        <v>#N/A</v>
      </c>
      <c r="B3537" s="6" t="s">
        <v>10777</v>
      </c>
      <c r="C3537" s="6" t="s">
        <v>12659</v>
      </c>
      <c r="D3537" s="24">
        <v>8.7632999999999992</v>
      </c>
      <c r="E3537" s="6" t="s">
        <v>5887</v>
      </c>
      <c r="F3537" s="6">
        <v>21</v>
      </c>
      <c r="G3537" s="8">
        <f t="shared" si="55"/>
        <v>13626.931499999999</v>
      </c>
    </row>
    <row r="3538" spans="1:7" x14ac:dyDescent="0.3">
      <c r="A3538" s="14" t="str">
        <f>VLOOKUP(B3538,'Relacion codigos'!$A:$B,2,FALSE)</f>
        <v>8113</v>
      </c>
      <c r="B3538" s="6" t="s">
        <v>4465</v>
      </c>
      <c r="C3538" s="6" t="s">
        <v>12303</v>
      </c>
      <c r="D3538" s="24">
        <v>10.7976375</v>
      </c>
      <c r="E3538" s="6" t="s">
        <v>5887</v>
      </c>
      <c r="F3538" s="6">
        <v>21</v>
      </c>
      <c r="G3538" s="8">
        <f t="shared" si="55"/>
        <v>16790.326312500001</v>
      </c>
    </row>
    <row r="3539" spans="1:7" x14ac:dyDescent="0.3">
      <c r="A3539" s="14" t="e">
        <f>VLOOKUP(B3539,'Relacion codigos'!$A:$B,2,FALSE)</f>
        <v>#N/A</v>
      </c>
      <c r="B3539" s="6" t="s">
        <v>12302</v>
      </c>
      <c r="C3539" s="6" t="s">
        <v>12303</v>
      </c>
      <c r="D3539" s="24">
        <v>19.752199999999998</v>
      </c>
      <c r="E3539" s="6" t="s">
        <v>5887</v>
      </c>
      <c r="F3539" s="6">
        <v>21</v>
      </c>
      <c r="G3539" s="8">
        <f t="shared" si="55"/>
        <v>30714.670999999998</v>
      </c>
    </row>
    <row r="3540" spans="1:7" x14ac:dyDescent="0.3">
      <c r="A3540" s="14" t="e">
        <f>VLOOKUP(B3540,'Relacion codigos'!$A:$B,2,FALSE)</f>
        <v>#N/A</v>
      </c>
      <c r="B3540" s="6" t="s">
        <v>11517</v>
      </c>
      <c r="C3540" s="6" t="s">
        <v>11518</v>
      </c>
      <c r="D3540" s="24">
        <v>18.072600000000001</v>
      </c>
      <c r="E3540" s="6" t="s">
        <v>5887</v>
      </c>
      <c r="F3540" s="6">
        <v>21</v>
      </c>
      <c r="G3540" s="8">
        <f t="shared" si="55"/>
        <v>28102.893000000004</v>
      </c>
    </row>
    <row r="3541" spans="1:7" x14ac:dyDescent="0.3">
      <c r="A3541" s="14" t="str">
        <f>VLOOKUP(B3541,'Relacion codigos'!$A:$B,2,FALSE)</f>
        <v>6125</v>
      </c>
      <c r="B3541" s="6" t="s">
        <v>4466</v>
      </c>
      <c r="C3541" s="6" t="s">
        <v>13175</v>
      </c>
      <c r="D3541" s="24">
        <v>12.54435</v>
      </c>
      <c r="E3541" s="6" t="s">
        <v>5887</v>
      </c>
      <c r="F3541" s="6">
        <v>21</v>
      </c>
      <c r="G3541" s="8">
        <f t="shared" si="55"/>
        <v>19506.464250000001</v>
      </c>
    </row>
    <row r="3542" spans="1:7" x14ac:dyDescent="0.3">
      <c r="A3542" s="14" t="str">
        <f>VLOOKUP(B3542,'Relacion codigos'!$A:$B,2,FALSE)</f>
        <v>6126</v>
      </c>
      <c r="B3542" s="6" t="s">
        <v>4467</v>
      </c>
      <c r="C3542" s="6" t="s">
        <v>10734</v>
      </c>
      <c r="D3542" s="24">
        <v>69.335175000000007</v>
      </c>
      <c r="E3542" s="6" t="s">
        <v>5887</v>
      </c>
      <c r="F3542" s="6">
        <v>21</v>
      </c>
      <c r="G3542" s="8">
        <f t="shared" si="55"/>
        <v>107816.19712500001</v>
      </c>
    </row>
    <row r="3543" spans="1:7" x14ac:dyDescent="0.3">
      <c r="A3543" s="14" t="e">
        <f>VLOOKUP(B3543,'Relacion codigos'!$A:$B,2,FALSE)</f>
        <v>#N/A</v>
      </c>
      <c r="B3543" s="6" t="s">
        <v>12855</v>
      </c>
      <c r="C3543" s="6" t="s">
        <v>13731</v>
      </c>
      <c r="D3543" s="24">
        <v>37.932569999999998</v>
      </c>
      <c r="E3543" s="6" t="s">
        <v>5887</v>
      </c>
      <c r="F3543" s="6">
        <v>21</v>
      </c>
      <c r="G3543" s="8">
        <f t="shared" si="55"/>
        <v>58985.146349999995</v>
      </c>
    </row>
    <row r="3544" spans="1:7" x14ac:dyDescent="0.3">
      <c r="A3544" s="14" t="e">
        <f>VLOOKUP(B3544,'Relacion codigos'!$A:$B,2,FALSE)</f>
        <v>#N/A</v>
      </c>
      <c r="B3544" s="6" t="s">
        <v>12660</v>
      </c>
      <c r="C3544" s="6" t="s">
        <v>13732</v>
      </c>
      <c r="D3544" s="24">
        <v>70.043805000000006</v>
      </c>
      <c r="E3544" s="6" t="s">
        <v>5887</v>
      </c>
      <c r="F3544" s="6">
        <v>21</v>
      </c>
      <c r="G3544" s="8">
        <f t="shared" si="55"/>
        <v>108918.116775</v>
      </c>
    </row>
    <row r="3545" spans="1:7" x14ac:dyDescent="0.3">
      <c r="A3545" s="14" t="e">
        <f>VLOOKUP(B3545,'Relacion codigos'!$A:$B,2,FALSE)</f>
        <v>#N/A</v>
      </c>
      <c r="B3545" s="6" t="s">
        <v>12661</v>
      </c>
      <c r="C3545" s="6" t="s">
        <v>13733</v>
      </c>
      <c r="D3545" s="24">
        <v>24.549759000000002</v>
      </c>
      <c r="E3545" s="6" t="s">
        <v>5887</v>
      </c>
      <c r="F3545" s="6">
        <v>21</v>
      </c>
      <c r="G3545" s="8">
        <f t="shared" si="55"/>
        <v>38174.875245000003</v>
      </c>
    </row>
    <row r="3546" spans="1:7" x14ac:dyDescent="0.3">
      <c r="A3546" s="14" t="str">
        <f>VLOOKUP(B3546,'Relacion codigos'!$A:$B,2,FALSE)</f>
        <v>2508</v>
      </c>
      <c r="B3546" s="6" t="s">
        <v>3559</v>
      </c>
      <c r="C3546" s="6" t="s">
        <v>581</v>
      </c>
      <c r="D3546" s="24">
        <v>757.35776999999996</v>
      </c>
      <c r="E3546" s="6" t="s">
        <v>5889</v>
      </c>
      <c r="F3546" s="6">
        <v>21</v>
      </c>
      <c r="G3546" s="8">
        <f t="shared" si="55"/>
        <v>757.35776999999996</v>
      </c>
    </row>
    <row r="3547" spans="1:7" x14ac:dyDescent="0.3">
      <c r="A3547" s="14" t="str">
        <f>VLOOKUP(B3547,'Relacion codigos'!$A:$B,2,FALSE)</f>
        <v>1827</v>
      </c>
      <c r="B3547" s="6" t="s">
        <v>3560</v>
      </c>
      <c r="C3547" s="6" t="s">
        <v>582</v>
      </c>
      <c r="D3547" s="24">
        <v>4072.57265155</v>
      </c>
      <c r="E3547" s="6" t="s">
        <v>5889</v>
      </c>
      <c r="F3547" s="6">
        <v>21</v>
      </c>
      <c r="G3547" s="8">
        <f t="shared" si="55"/>
        <v>4072.57265155</v>
      </c>
    </row>
    <row r="3548" spans="1:7" x14ac:dyDescent="0.3">
      <c r="A3548" s="14" t="str">
        <f>VLOOKUP(B3548,'Relacion codigos'!$A:$B,2,FALSE)</f>
        <v>2507</v>
      </c>
      <c r="B3548" s="6" t="s">
        <v>3561</v>
      </c>
      <c r="C3548" s="6" t="s">
        <v>583</v>
      </c>
      <c r="D3548" s="24">
        <v>833.09350217284896</v>
      </c>
      <c r="E3548" s="6" t="s">
        <v>5889</v>
      </c>
      <c r="F3548" s="6">
        <v>21</v>
      </c>
      <c r="G3548" s="8">
        <f t="shared" si="55"/>
        <v>833.09350217284896</v>
      </c>
    </row>
    <row r="3549" spans="1:7" x14ac:dyDescent="0.3">
      <c r="A3549" s="14" t="str">
        <f>VLOOKUP(B3549,'Relacion codigos'!$A:$B,2,FALSE)</f>
        <v>1814</v>
      </c>
      <c r="B3549" s="6" t="s">
        <v>3562</v>
      </c>
      <c r="C3549" s="6" t="s">
        <v>584</v>
      </c>
      <c r="D3549" s="24">
        <v>3529.5665883843699</v>
      </c>
      <c r="E3549" s="6" t="s">
        <v>5889</v>
      </c>
      <c r="F3549" s="6">
        <v>21</v>
      </c>
      <c r="G3549" s="8">
        <f t="shared" si="55"/>
        <v>3529.5665883843699</v>
      </c>
    </row>
    <row r="3550" spans="1:7" x14ac:dyDescent="0.3">
      <c r="A3550" s="14" t="str">
        <f>VLOOKUP(B3550,'Relacion codigos'!$A:$B,2,FALSE)</f>
        <v>1822</v>
      </c>
      <c r="B3550" s="6" t="s">
        <v>3563</v>
      </c>
      <c r="C3550" s="6" t="s">
        <v>585</v>
      </c>
      <c r="D3550" s="24">
        <v>6329.2444061599899</v>
      </c>
      <c r="E3550" s="6" t="s">
        <v>5889</v>
      </c>
      <c r="F3550" s="6">
        <v>21</v>
      </c>
      <c r="G3550" s="8">
        <f t="shared" si="55"/>
        <v>6329.2444061599899</v>
      </c>
    </row>
    <row r="3551" spans="1:7" x14ac:dyDescent="0.3">
      <c r="A3551" s="14" t="str">
        <f>VLOOKUP(B3551,'Relacion codigos'!$A:$B,2,FALSE)</f>
        <v>2545</v>
      </c>
      <c r="B3551" s="6" t="s">
        <v>3564</v>
      </c>
      <c r="C3551" s="6" t="s">
        <v>586</v>
      </c>
      <c r="D3551" s="24">
        <v>1584.74187056251</v>
      </c>
      <c r="E3551" s="6" t="s">
        <v>5889</v>
      </c>
      <c r="F3551" s="6">
        <v>21</v>
      </c>
      <c r="G3551" s="8">
        <f t="shared" si="55"/>
        <v>1584.74187056251</v>
      </c>
    </row>
    <row r="3552" spans="1:7" x14ac:dyDescent="0.3">
      <c r="A3552" s="14" t="str">
        <f>VLOOKUP(B3552,'Relacion codigos'!$A:$B,2,FALSE)</f>
        <v>5298</v>
      </c>
      <c r="B3552" s="6" t="s">
        <v>3555</v>
      </c>
      <c r="C3552" s="6" t="s">
        <v>10515</v>
      </c>
      <c r="D3552" s="24">
        <v>122.714015330506</v>
      </c>
      <c r="E3552" s="6" t="s">
        <v>5887</v>
      </c>
      <c r="F3552" s="6">
        <v>21</v>
      </c>
      <c r="G3552" s="8">
        <f t="shared" si="55"/>
        <v>190820.29383893684</v>
      </c>
    </row>
    <row r="3553" spans="1:7" x14ac:dyDescent="0.3">
      <c r="A3553" s="14" t="str">
        <f>VLOOKUP(B3553,'Relacion codigos'!$A:$B,2,FALSE)</f>
        <v>3094</v>
      </c>
      <c r="B3553" s="6" t="s">
        <v>3565</v>
      </c>
      <c r="C3553" s="6" t="s">
        <v>587</v>
      </c>
      <c r="D3553" s="24">
        <v>840.28173510937404</v>
      </c>
      <c r="E3553" s="6" t="s">
        <v>5889</v>
      </c>
      <c r="F3553" s="6">
        <v>21</v>
      </c>
      <c r="G3553" s="8">
        <f t="shared" si="55"/>
        <v>840.28173510937404</v>
      </c>
    </row>
    <row r="3554" spans="1:7" x14ac:dyDescent="0.3">
      <c r="A3554" s="14" t="str">
        <f>VLOOKUP(B3554,'Relacion codigos'!$A:$B,2,FALSE)</f>
        <v>5116</v>
      </c>
      <c r="B3554" s="6" t="s">
        <v>3566</v>
      </c>
      <c r="C3554" s="6" t="s">
        <v>588</v>
      </c>
      <c r="D3554" s="24">
        <v>57273.2878575</v>
      </c>
      <c r="E3554" s="6" t="s">
        <v>5889</v>
      </c>
      <c r="F3554" s="6">
        <v>21</v>
      </c>
      <c r="G3554" s="8">
        <f t="shared" si="55"/>
        <v>57273.2878575</v>
      </c>
    </row>
    <row r="3555" spans="1:7" x14ac:dyDescent="0.3">
      <c r="A3555" s="14" t="e">
        <f>VLOOKUP(B3555,'Relacion codigos'!$A:$B,2,FALSE)</f>
        <v>#N/A</v>
      </c>
      <c r="B3555" s="6" t="s">
        <v>12744</v>
      </c>
      <c r="C3555" s="6" t="s">
        <v>12745</v>
      </c>
      <c r="D3555" s="24">
        <v>46.7559186354</v>
      </c>
      <c r="E3555" s="6" t="s">
        <v>5887</v>
      </c>
      <c r="F3555" s="6">
        <v>21</v>
      </c>
      <c r="G3555" s="8">
        <f t="shared" si="55"/>
        <v>72705.453478046998</v>
      </c>
    </row>
    <row r="3556" spans="1:7" x14ac:dyDescent="0.3">
      <c r="A3556" s="14" t="e">
        <f>VLOOKUP(B3556,'Relacion codigos'!$A:$B,2,FALSE)</f>
        <v>#N/A</v>
      </c>
      <c r="B3556" s="6" t="s">
        <v>8971</v>
      </c>
      <c r="C3556" s="6" t="s">
        <v>9030</v>
      </c>
      <c r="D3556" s="24">
        <v>123.984003</v>
      </c>
      <c r="E3556" s="6" t="s">
        <v>5887</v>
      </c>
      <c r="F3556" s="6">
        <v>21</v>
      </c>
      <c r="G3556" s="8">
        <f t="shared" si="55"/>
        <v>192795.12466500001</v>
      </c>
    </row>
    <row r="3557" spans="1:7" x14ac:dyDescent="0.3">
      <c r="A3557" s="14" t="e">
        <f>VLOOKUP(B3557,'Relacion codigos'!$A:$B,2,FALSE)</f>
        <v>#N/A</v>
      </c>
      <c r="B3557" s="6" t="s">
        <v>12970</v>
      </c>
      <c r="C3557" s="6" t="s">
        <v>12971</v>
      </c>
      <c r="D3557" s="24">
        <v>20632.42084956</v>
      </c>
      <c r="E3557" s="6" t="s">
        <v>5889</v>
      </c>
      <c r="F3557" s="6">
        <v>21</v>
      </c>
      <c r="G3557" s="8">
        <f t="shared" si="55"/>
        <v>20632.42084956</v>
      </c>
    </row>
    <row r="3558" spans="1:7" x14ac:dyDescent="0.3">
      <c r="A3558" s="14" t="e">
        <f>VLOOKUP(B3558,'Relacion codigos'!$A:$B,2,FALSE)</f>
        <v>#N/A</v>
      </c>
      <c r="B3558" s="6" t="s">
        <v>12052</v>
      </c>
      <c r="C3558" s="6" t="s">
        <v>12305</v>
      </c>
      <c r="D3558" s="24">
        <v>17119.714082532799</v>
      </c>
      <c r="E3558" s="6" t="s">
        <v>5889</v>
      </c>
      <c r="F3558" s="6">
        <v>21</v>
      </c>
      <c r="G3558" s="8">
        <f t="shared" si="55"/>
        <v>17119.714082532799</v>
      </c>
    </row>
    <row r="3559" spans="1:7" x14ac:dyDescent="0.3">
      <c r="A3559" s="14" t="e">
        <f>VLOOKUP(B3559,'Relacion codigos'!$A:$B,2,FALSE)</f>
        <v>#N/A</v>
      </c>
      <c r="B3559" s="6" t="s">
        <v>12053</v>
      </c>
      <c r="C3559" s="6" t="s">
        <v>12306</v>
      </c>
      <c r="D3559" s="24">
        <v>19880.146050895</v>
      </c>
      <c r="E3559" s="6" t="s">
        <v>5889</v>
      </c>
      <c r="F3559" s="6">
        <v>21</v>
      </c>
      <c r="G3559" s="8">
        <f t="shared" si="55"/>
        <v>19880.146050895</v>
      </c>
    </row>
    <row r="3560" spans="1:7" x14ac:dyDescent="0.3">
      <c r="A3560" s="14" t="e">
        <f>VLOOKUP(B3560,'Relacion codigos'!$A:$B,2,FALSE)</f>
        <v>#N/A</v>
      </c>
      <c r="B3560" s="6" t="s">
        <v>12502</v>
      </c>
      <c r="C3560" s="6" t="s">
        <v>12503</v>
      </c>
      <c r="D3560" s="24">
        <v>20632.42084956</v>
      </c>
      <c r="E3560" s="6" t="s">
        <v>5889</v>
      </c>
      <c r="F3560" s="6">
        <v>21</v>
      </c>
      <c r="G3560" s="8">
        <f t="shared" si="55"/>
        <v>20632.42084956</v>
      </c>
    </row>
    <row r="3561" spans="1:7" x14ac:dyDescent="0.3">
      <c r="A3561" s="14" t="str">
        <f>VLOOKUP(B3561,'Relacion codigos'!$A:$B,2,FALSE)</f>
        <v>823</v>
      </c>
      <c r="B3561" s="6" t="s">
        <v>1416</v>
      </c>
      <c r="C3561" s="6" t="s">
        <v>589</v>
      </c>
      <c r="D3561" s="24">
        <v>1770.7429999999999</v>
      </c>
      <c r="E3561" s="6" t="s">
        <v>5889</v>
      </c>
      <c r="F3561" s="6">
        <v>21</v>
      </c>
      <c r="G3561" s="8">
        <f t="shared" si="55"/>
        <v>1770.7429999999999</v>
      </c>
    </row>
    <row r="3562" spans="1:7" x14ac:dyDescent="0.3">
      <c r="A3562" s="14" t="str">
        <f>VLOOKUP(B3562,'Relacion codigos'!$A:$B,2,FALSE)</f>
        <v>7953</v>
      </c>
      <c r="B3562" s="6" t="s">
        <v>2853</v>
      </c>
      <c r="C3562" s="6" t="s">
        <v>10690</v>
      </c>
      <c r="D3562" s="24">
        <v>2.853459843</v>
      </c>
      <c r="E3562" s="6" t="s">
        <v>5887</v>
      </c>
      <c r="F3562" s="6">
        <v>10.5</v>
      </c>
      <c r="G3562" s="8">
        <f t="shared" si="55"/>
        <v>4437.130055865</v>
      </c>
    </row>
    <row r="3563" spans="1:7" x14ac:dyDescent="0.3">
      <c r="A3563" s="14" t="e">
        <f>VLOOKUP(B3563,'Relacion codigos'!$A:$B,2,FALSE)</f>
        <v>#N/A</v>
      </c>
      <c r="B3563" s="6" t="s">
        <v>10371</v>
      </c>
      <c r="C3563" s="6" t="s">
        <v>10372</v>
      </c>
      <c r="D3563" s="24">
        <v>4.415775</v>
      </c>
      <c r="E3563" s="6" t="s">
        <v>5887</v>
      </c>
      <c r="F3563" s="6">
        <v>10.5</v>
      </c>
      <c r="G3563" s="8">
        <f t="shared" si="55"/>
        <v>6866.5301250000002</v>
      </c>
    </row>
    <row r="3564" spans="1:7" x14ac:dyDescent="0.3">
      <c r="A3564" s="14" t="str">
        <f>VLOOKUP(B3564,'Relacion codigos'!$A:$B,2,FALSE)</f>
        <v>7954</v>
      </c>
      <c r="B3564" s="6" t="s">
        <v>2854</v>
      </c>
      <c r="C3564" s="6" t="s">
        <v>10691</v>
      </c>
      <c r="D3564" s="24">
        <v>2.853459843</v>
      </c>
      <c r="E3564" s="6" t="s">
        <v>5887</v>
      </c>
      <c r="F3564" s="6">
        <v>10.5</v>
      </c>
      <c r="G3564" s="8">
        <f t="shared" si="55"/>
        <v>4437.130055865</v>
      </c>
    </row>
    <row r="3565" spans="1:7" x14ac:dyDescent="0.3">
      <c r="A3565" s="14" t="e">
        <f>VLOOKUP(B3565,'Relacion codigos'!$A:$B,2,FALSE)</f>
        <v>#N/A</v>
      </c>
      <c r="B3565" s="6" t="s">
        <v>10373</v>
      </c>
      <c r="C3565" s="6" t="s">
        <v>10374</v>
      </c>
      <c r="D3565" s="24">
        <v>3.6104250000000002</v>
      </c>
      <c r="E3565" s="6" t="s">
        <v>5887</v>
      </c>
      <c r="F3565" s="6">
        <v>10.5</v>
      </c>
      <c r="G3565" s="8">
        <f t="shared" si="55"/>
        <v>5614.2108750000007</v>
      </c>
    </row>
    <row r="3566" spans="1:7" x14ac:dyDescent="0.3">
      <c r="A3566" s="14" t="str">
        <f>VLOOKUP(B3566,'Relacion codigos'!$A:$B,2,FALSE)</f>
        <v>7952</v>
      </c>
      <c r="B3566" s="6" t="s">
        <v>2855</v>
      </c>
      <c r="C3566" s="6" t="s">
        <v>10692</v>
      </c>
      <c r="D3566" s="24">
        <v>2.853459843</v>
      </c>
      <c r="E3566" s="6" t="s">
        <v>5887</v>
      </c>
      <c r="F3566" s="6">
        <v>10.5</v>
      </c>
      <c r="G3566" s="8">
        <f t="shared" si="55"/>
        <v>4437.130055865</v>
      </c>
    </row>
    <row r="3567" spans="1:7" x14ac:dyDescent="0.3">
      <c r="A3567" s="14" t="e">
        <f>VLOOKUP(B3567,'Relacion codigos'!$A:$B,2,FALSE)</f>
        <v>#N/A</v>
      </c>
      <c r="B3567" s="6" t="s">
        <v>10375</v>
      </c>
      <c r="C3567" s="6" t="s">
        <v>10376</v>
      </c>
      <c r="D3567" s="24">
        <v>3.6104250000000002</v>
      </c>
      <c r="E3567" s="6" t="s">
        <v>5887</v>
      </c>
      <c r="F3567" s="6">
        <v>10.5</v>
      </c>
      <c r="G3567" s="8">
        <f t="shared" si="55"/>
        <v>5614.2108750000007</v>
      </c>
    </row>
    <row r="3568" spans="1:7" x14ac:dyDescent="0.3">
      <c r="A3568" s="14" t="str">
        <f>VLOOKUP(B3568,'Relacion codigos'!$A:$B,2,FALSE)</f>
        <v>7467</v>
      </c>
      <c r="B3568" s="6" t="s">
        <v>2857</v>
      </c>
      <c r="C3568" s="6" t="s">
        <v>1072</v>
      </c>
      <c r="D3568" s="24">
        <v>35.664127200000003</v>
      </c>
      <c r="E3568" s="6" t="s">
        <v>5887</v>
      </c>
      <c r="F3568" s="6">
        <v>10.5</v>
      </c>
      <c r="G3568" s="8">
        <f t="shared" si="55"/>
        <v>55457.717796000004</v>
      </c>
    </row>
    <row r="3569" spans="1:7" x14ac:dyDescent="0.3">
      <c r="A3569" s="14" t="str">
        <f>VLOOKUP(B3569,'Relacion codigos'!$A:$B,2,FALSE)</f>
        <v>8476</v>
      </c>
      <c r="B3569" s="6" t="s">
        <v>2856</v>
      </c>
      <c r="C3569" s="6" t="s">
        <v>9083</v>
      </c>
      <c r="D3569" s="24">
        <v>6.0021051869999997</v>
      </c>
      <c r="E3569" s="6" t="s">
        <v>5887</v>
      </c>
      <c r="F3569" s="6">
        <v>10.5</v>
      </c>
      <c r="G3569" s="8">
        <f t="shared" si="55"/>
        <v>9333.2735657849989</v>
      </c>
    </row>
    <row r="3570" spans="1:7" x14ac:dyDescent="0.3">
      <c r="A3570" s="14" t="e">
        <f>VLOOKUP(B3570,'Relacion codigos'!$A:$B,2,FALSE)</f>
        <v>#N/A</v>
      </c>
      <c r="B3570" s="6" t="s">
        <v>10377</v>
      </c>
      <c r="C3570" s="6" t="s">
        <v>12663</v>
      </c>
      <c r="D3570" s="24">
        <v>7.9374750000000001</v>
      </c>
      <c r="E3570" s="6" t="s">
        <v>5887</v>
      </c>
      <c r="F3570" s="6">
        <v>10.5</v>
      </c>
      <c r="G3570" s="8">
        <f t="shared" si="55"/>
        <v>12342.773625</v>
      </c>
    </row>
    <row r="3571" spans="1:7" x14ac:dyDescent="0.3">
      <c r="A3571" s="14" t="str">
        <f>VLOOKUP(B3571,'Relacion codigos'!$A:$B,2,FALSE)</f>
        <v>8326</v>
      </c>
      <c r="B3571" s="6" t="s">
        <v>2858</v>
      </c>
      <c r="C3571" s="6" t="s">
        <v>1010</v>
      </c>
      <c r="D3571" s="24">
        <v>14.3367588</v>
      </c>
      <c r="E3571" s="6" t="s">
        <v>5887</v>
      </c>
      <c r="F3571" s="6">
        <v>10.5</v>
      </c>
      <c r="G3571" s="8">
        <f t="shared" si="55"/>
        <v>22293.659933999999</v>
      </c>
    </row>
    <row r="3572" spans="1:7" x14ac:dyDescent="0.3">
      <c r="A3572" s="14" t="str">
        <f>VLOOKUP(B3572,'Relacion codigos'!$A:$B,2,FALSE)</f>
        <v>8327</v>
      </c>
      <c r="B3572" s="6" t="s">
        <v>2859</v>
      </c>
      <c r="C3572" s="6" t="s">
        <v>1011</v>
      </c>
      <c r="D3572" s="24">
        <v>14.3367588</v>
      </c>
      <c r="E3572" s="6" t="s">
        <v>5887</v>
      </c>
      <c r="F3572" s="6">
        <v>10.5</v>
      </c>
      <c r="G3572" s="8">
        <f t="shared" si="55"/>
        <v>22293.659933999999</v>
      </c>
    </row>
    <row r="3573" spans="1:7" x14ac:dyDescent="0.3">
      <c r="A3573" s="14" t="str">
        <f>VLOOKUP(B3573,'Relacion codigos'!$A:$B,2,FALSE)</f>
        <v>8328</v>
      </c>
      <c r="B3573" s="6" t="s">
        <v>2860</v>
      </c>
      <c r="C3573" s="6" t="s">
        <v>1012</v>
      </c>
      <c r="D3573" s="24">
        <v>14.3367588</v>
      </c>
      <c r="E3573" s="6" t="s">
        <v>5887</v>
      </c>
      <c r="F3573" s="6">
        <v>10.5</v>
      </c>
      <c r="G3573" s="8">
        <f t="shared" si="55"/>
        <v>22293.659933999999</v>
      </c>
    </row>
    <row r="3574" spans="1:7" x14ac:dyDescent="0.3">
      <c r="A3574" s="14" t="e">
        <f>VLOOKUP(B3574,'Relacion codigos'!$A:$B,2,FALSE)</f>
        <v>#N/A</v>
      </c>
      <c r="B3574" s="6" t="s">
        <v>10378</v>
      </c>
      <c r="C3574" s="6" t="s">
        <v>10693</v>
      </c>
      <c r="D3574" s="24">
        <v>6.9819750000000003</v>
      </c>
      <c r="E3574" s="6" t="s">
        <v>5887</v>
      </c>
      <c r="F3574" s="6">
        <v>10.5</v>
      </c>
      <c r="G3574" s="8">
        <f t="shared" si="55"/>
        <v>10856.971125</v>
      </c>
    </row>
    <row r="3575" spans="1:7" x14ac:dyDescent="0.3">
      <c r="A3575" s="14" t="str">
        <f>VLOOKUP(B3575,'Relacion codigos'!$A:$B,2,FALSE)</f>
        <v>7465</v>
      </c>
      <c r="B3575" s="6" t="s">
        <v>2862</v>
      </c>
      <c r="C3575" s="6" t="s">
        <v>10694</v>
      </c>
      <c r="D3575" s="24">
        <v>22.8997548</v>
      </c>
      <c r="E3575" s="6" t="s">
        <v>5887</v>
      </c>
      <c r="F3575" s="6">
        <v>10.5</v>
      </c>
      <c r="G3575" s="8">
        <f t="shared" si="55"/>
        <v>35609.118714000004</v>
      </c>
    </row>
    <row r="3576" spans="1:7" x14ac:dyDescent="0.3">
      <c r="A3576" s="14" t="str">
        <f>VLOOKUP(B3576,'Relacion codigos'!$A:$B,2,FALSE)</f>
        <v>7464</v>
      </c>
      <c r="B3576" s="6" t="s">
        <v>2863</v>
      </c>
      <c r="C3576" s="6" t="s">
        <v>11303</v>
      </c>
      <c r="D3576" s="24">
        <v>15.798978</v>
      </c>
      <c r="E3576" s="6" t="s">
        <v>5887</v>
      </c>
      <c r="F3576" s="6">
        <v>10.5</v>
      </c>
      <c r="G3576" s="8">
        <f t="shared" si="55"/>
        <v>24567.410790000002</v>
      </c>
    </row>
    <row r="3577" spans="1:7" x14ac:dyDescent="0.3">
      <c r="A3577" s="14" t="str">
        <f>VLOOKUP(B3577,'Relacion codigos'!$A:$B,2,FALSE)</f>
        <v>7466</v>
      </c>
      <c r="B3577" s="6" t="s">
        <v>2864</v>
      </c>
      <c r="C3577" s="6" t="s">
        <v>10695</v>
      </c>
      <c r="D3577" s="24">
        <v>23.325400800000001</v>
      </c>
      <c r="E3577" s="6" t="s">
        <v>5887</v>
      </c>
      <c r="F3577" s="6">
        <v>10.5</v>
      </c>
      <c r="G3577" s="8">
        <f t="shared" si="55"/>
        <v>36270.998244000002</v>
      </c>
    </row>
    <row r="3578" spans="1:7" x14ac:dyDescent="0.3">
      <c r="A3578" s="14" t="str">
        <f>VLOOKUP(B3578,'Relacion codigos'!$A:$B,2,FALSE)</f>
        <v>7456</v>
      </c>
      <c r="B3578" s="6" t="s">
        <v>2865</v>
      </c>
      <c r="C3578" s="6" t="s">
        <v>1013</v>
      </c>
      <c r="D3578" s="24">
        <v>20.821600799999999</v>
      </c>
      <c r="E3578" s="6" t="s">
        <v>5887</v>
      </c>
      <c r="F3578" s="6">
        <v>10.5</v>
      </c>
      <c r="G3578" s="8">
        <f t="shared" si="55"/>
        <v>32377.589243999999</v>
      </c>
    </row>
    <row r="3579" spans="1:7" x14ac:dyDescent="0.3">
      <c r="A3579" s="14" t="str">
        <f>VLOOKUP(B3579,'Relacion codigos'!$A:$B,2,FALSE)</f>
        <v>8823</v>
      </c>
      <c r="B3579" s="6" t="s">
        <v>2866</v>
      </c>
      <c r="C3579" s="6" t="s">
        <v>1114</v>
      </c>
      <c r="D3579" s="24">
        <v>6.0677019650000004</v>
      </c>
      <c r="E3579" s="6" t="s">
        <v>5887</v>
      </c>
      <c r="F3579" s="6">
        <v>10.5</v>
      </c>
      <c r="G3579" s="8">
        <f t="shared" si="55"/>
        <v>9435.2765555750011</v>
      </c>
    </row>
    <row r="3580" spans="1:7" x14ac:dyDescent="0.3">
      <c r="A3580" s="14" t="str">
        <f>VLOOKUP(B3580,'Relacion codigos'!$A:$B,2,FALSE)</f>
        <v>8477</v>
      </c>
      <c r="B3580" s="6" t="s">
        <v>2867</v>
      </c>
      <c r="C3580" s="6" t="s">
        <v>1073</v>
      </c>
      <c r="D3580" s="24">
        <v>5.5101293519999999</v>
      </c>
      <c r="E3580" s="6" t="s">
        <v>5887</v>
      </c>
      <c r="F3580" s="6">
        <v>10.5</v>
      </c>
      <c r="G3580" s="8">
        <f t="shared" si="55"/>
        <v>8568.251142359999</v>
      </c>
    </row>
    <row r="3581" spans="1:7" x14ac:dyDescent="0.3">
      <c r="A3581" s="14" t="str">
        <f>VLOOKUP(B3581,'Relacion codigos'!$A:$B,2,FALSE)</f>
        <v>8604</v>
      </c>
      <c r="B3581" s="6" t="s">
        <v>4759</v>
      </c>
      <c r="C3581" s="6" t="s">
        <v>1115</v>
      </c>
      <c r="D3581" s="24">
        <v>830.5978600075</v>
      </c>
      <c r="E3581" s="6" t="s">
        <v>5889</v>
      </c>
      <c r="F3581" s="6">
        <v>10.5</v>
      </c>
      <c r="G3581" s="8">
        <f t="shared" si="55"/>
        <v>830.5978600075</v>
      </c>
    </row>
    <row r="3582" spans="1:7" x14ac:dyDescent="0.3">
      <c r="A3582" s="14" t="str">
        <f>VLOOKUP(B3582,'Relacion codigos'!$A:$B,2,FALSE)</f>
        <v>8603</v>
      </c>
      <c r="B3582" s="6" t="s">
        <v>4760</v>
      </c>
      <c r="C3582" s="6" t="s">
        <v>1116</v>
      </c>
      <c r="D3582" s="24">
        <v>830.5978600075</v>
      </c>
      <c r="E3582" s="6" t="s">
        <v>5889</v>
      </c>
      <c r="F3582" s="6">
        <v>10.5</v>
      </c>
      <c r="G3582" s="8">
        <f t="shared" si="55"/>
        <v>830.5978600075</v>
      </c>
    </row>
    <row r="3583" spans="1:7" x14ac:dyDescent="0.3">
      <c r="A3583" s="14" t="e">
        <f>VLOOKUP(B3583,'Relacion codigos'!$A:$B,2,FALSE)</f>
        <v>#N/A</v>
      </c>
      <c r="B3583" s="6" t="s">
        <v>9031</v>
      </c>
      <c r="C3583" s="6" t="s">
        <v>9032</v>
      </c>
      <c r="D3583" s="24">
        <v>3.9493271999999999</v>
      </c>
      <c r="E3583" s="6" t="s">
        <v>5887</v>
      </c>
      <c r="F3583" s="6">
        <v>21</v>
      </c>
      <c r="G3583" s="8">
        <f t="shared" si="55"/>
        <v>6141.2037959999998</v>
      </c>
    </row>
    <row r="3584" spans="1:7" x14ac:dyDescent="0.3">
      <c r="A3584" s="14" t="e">
        <f>VLOOKUP(B3584,'Relacion codigos'!$A:$B,2,FALSE)</f>
        <v>#N/A</v>
      </c>
      <c r="B3584" s="6" t="s">
        <v>11445</v>
      </c>
      <c r="C3584" s="6" t="s">
        <v>11446</v>
      </c>
      <c r="D3584" s="24">
        <v>26.961753000000002</v>
      </c>
      <c r="E3584" s="6" t="s">
        <v>5889</v>
      </c>
      <c r="F3584" s="6">
        <v>21</v>
      </c>
      <c r="G3584" s="8">
        <f t="shared" si="55"/>
        <v>26.961753000000002</v>
      </c>
    </row>
    <row r="3585" spans="1:7" x14ac:dyDescent="0.3">
      <c r="A3585" s="14" t="str">
        <f>VLOOKUP(B3585,'Relacion codigos'!$A:$B,2,FALSE)</f>
        <v>3703</v>
      </c>
      <c r="B3585" s="6" t="s">
        <v>1653</v>
      </c>
      <c r="C3585" s="6" t="s">
        <v>10516</v>
      </c>
      <c r="D3585" s="24">
        <v>29.5264788</v>
      </c>
      <c r="E3585" s="6" t="s">
        <v>5889</v>
      </c>
      <c r="F3585" s="6">
        <v>21</v>
      </c>
      <c r="G3585" s="8">
        <f t="shared" si="55"/>
        <v>29.5264788</v>
      </c>
    </row>
    <row r="3586" spans="1:7" x14ac:dyDescent="0.3">
      <c r="A3586" s="14" t="str">
        <f>VLOOKUP(B3586,'Relacion codigos'!$A:$B,2,FALSE)</f>
        <v>3704</v>
      </c>
      <c r="B3586" s="6" t="s">
        <v>1654</v>
      </c>
      <c r="C3586" s="6" t="s">
        <v>10517</v>
      </c>
      <c r="D3586" s="24">
        <v>33.004306237271599</v>
      </c>
      <c r="E3586" s="6" t="s">
        <v>5889</v>
      </c>
      <c r="F3586" s="6">
        <v>21</v>
      </c>
      <c r="G3586" s="8">
        <f t="shared" ref="G3586:G3649" si="56">IF(E3586="Dolares",D3586*$G$1,D3586)</f>
        <v>33.004306237271599</v>
      </c>
    </row>
    <row r="3587" spans="1:7" x14ac:dyDescent="0.3">
      <c r="A3587" s="14" t="str">
        <f>VLOOKUP(B3587,'Relacion codigos'!$A:$B,2,FALSE)</f>
        <v>4022</v>
      </c>
      <c r="B3587" s="6" t="s">
        <v>1655</v>
      </c>
      <c r="C3587" s="6" t="s">
        <v>10518</v>
      </c>
      <c r="D3587" s="24">
        <v>132.00450900000001</v>
      </c>
      <c r="E3587" s="6" t="s">
        <v>5889</v>
      </c>
      <c r="F3587" s="6">
        <v>21</v>
      </c>
      <c r="G3587" s="8">
        <f t="shared" si="56"/>
        <v>132.00450900000001</v>
      </c>
    </row>
    <row r="3588" spans="1:7" x14ac:dyDescent="0.3">
      <c r="A3588" s="14" t="str">
        <f>VLOOKUP(B3588,'Relacion codigos'!$A:$B,2,FALSE)</f>
        <v>3706</v>
      </c>
      <c r="B3588" s="6" t="s">
        <v>1656</v>
      </c>
      <c r="C3588" s="6" t="s">
        <v>11266</v>
      </c>
      <c r="D3588" s="24">
        <v>152.0198862</v>
      </c>
      <c r="E3588" s="6" t="s">
        <v>5889</v>
      </c>
      <c r="F3588" s="6">
        <v>21</v>
      </c>
      <c r="G3588" s="8">
        <f t="shared" si="56"/>
        <v>152.0198862</v>
      </c>
    </row>
    <row r="3589" spans="1:7" x14ac:dyDescent="0.3">
      <c r="A3589" s="14" t="str">
        <f>VLOOKUP(B3589,'Relacion codigos'!$A:$B,2,FALSE)</f>
        <v>3705</v>
      </c>
      <c r="B3589" s="6" t="s">
        <v>1657</v>
      </c>
      <c r="C3589" s="6" t="s">
        <v>10519</v>
      </c>
      <c r="D3589" s="24">
        <v>44.3306136</v>
      </c>
      <c r="E3589" s="6" t="s">
        <v>5889</v>
      </c>
      <c r="F3589" s="6">
        <v>21</v>
      </c>
      <c r="G3589" s="8">
        <f t="shared" si="56"/>
        <v>44.3306136</v>
      </c>
    </row>
    <row r="3590" spans="1:7" x14ac:dyDescent="0.3">
      <c r="A3590" s="14" t="str">
        <f>VLOOKUP(B3590,'Relacion codigos'!$A:$B,2,FALSE)</f>
        <v>8413</v>
      </c>
      <c r="B3590" s="6" t="s">
        <v>1658</v>
      </c>
      <c r="C3590" s="6" t="s">
        <v>10520</v>
      </c>
      <c r="D3590" s="24">
        <v>256.22720759999999</v>
      </c>
      <c r="E3590" s="6" t="s">
        <v>5889</v>
      </c>
      <c r="F3590" s="6">
        <v>21</v>
      </c>
      <c r="G3590" s="8">
        <f t="shared" si="56"/>
        <v>256.22720759999999</v>
      </c>
    </row>
    <row r="3591" spans="1:7" x14ac:dyDescent="0.3">
      <c r="A3591" s="14" t="str">
        <f>VLOOKUP(B3591,'Relacion codigos'!$A:$B,2,FALSE)</f>
        <v>8307</v>
      </c>
      <c r="B3591" s="6" t="s">
        <v>1659</v>
      </c>
      <c r="C3591" s="6" t="s">
        <v>10521</v>
      </c>
      <c r="D3591" s="24">
        <v>269.21441820000001</v>
      </c>
      <c r="E3591" s="6" t="s">
        <v>5889</v>
      </c>
      <c r="F3591" s="6">
        <v>21</v>
      </c>
      <c r="G3591" s="8">
        <f t="shared" si="56"/>
        <v>269.21441820000001</v>
      </c>
    </row>
    <row r="3592" spans="1:7" x14ac:dyDescent="0.3">
      <c r="A3592" s="14" t="str">
        <f>VLOOKUP(B3592,'Relacion codigos'!$A:$B,2,FALSE)</f>
        <v>2027</v>
      </c>
      <c r="B3592" s="6" t="s">
        <v>1660</v>
      </c>
      <c r="C3592" s="6" t="s">
        <v>10522</v>
      </c>
      <c r="D3592" s="24">
        <v>71.210575800000001</v>
      </c>
      <c r="E3592" s="6" t="s">
        <v>5889</v>
      </c>
      <c r="F3592" s="6">
        <v>21</v>
      </c>
      <c r="G3592" s="8">
        <f t="shared" si="56"/>
        <v>71.210575800000001</v>
      </c>
    </row>
    <row r="3593" spans="1:7" x14ac:dyDescent="0.3">
      <c r="A3593" s="14" t="str">
        <f>VLOOKUP(B3593,'Relacion codigos'!$A:$B,2,FALSE)</f>
        <v>2031</v>
      </c>
      <c r="B3593" s="6" t="s">
        <v>1661</v>
      </c>
      <c r="C3593" s="6" t="s">
        <v>10523</v>
      </c>
      <c r="D3593" s="24">
        <v>93.7942283400088</v>
      </c>
      <c r="E3593" s="6" t="s">
        <v>5889</v>
      </c>
      <c r="F3593" s="6">
        <v>21</v>
      </c>
      <c r="G3593" s="8">
        <f t="shared" si="56"/>
        <v>93.7942283400088</v>
      </c>
    </row>
    <row r="3594" spans="1:7" x14ac:dyDescent="0.3">
      <c r="A3594" s="14" t="str">
        <f>VLOOKUP(B3594,'Relacion codigos'!$A:$B,2,FALSE)</f>
        <v>8308</v>
      </c>
      <c r="B3594" s="6" t="s">
        <v>1662</v>
      </c>
      <c r="C3594" s="6" t="s">
        <v>1014</v>
      </c>
      <c r="D3594" s="24">
        <v>78.647696400000001</v>
      </c>
      <c r="E3594" s="6" t="s">
        <v>5889</v>
      </c>
      <c r="F3594" s="6">
        <v>21</v>
      </c>
      <c r="G3594" s="8">
        <f t="shared" si="56"/>
        <v>78.647696400000001</v>
      </c>
    </row>
    <row r="3595" spans="1:7" x14ac:dyDescent="0.3">
      <c r="A3595" s="14" t="str">
        <f>VLOOKUP(B3595,'Relacion codigos'!$A:$B,2,FALSE)</f>
        <v>8312</v>
      </c>
      <c r="B3595" s="6" t="s">
        <v>1663</v>
      </c>
      <c r="C3595" s="6" t="s">
        <v>1015</v>
      </c>
      <c r="D3595" s="24">
        <v>311.43599760000001</v>
      </c>
      <c r="E3595" s="6" t="s">
        <v>5889</v>
      </c>
      <c r="F3595" s="6">
        <v>21</v>
      </c>
      <c r="G3595" s="8">
        <f t="shared" si="56"/>
        <v>311.43599760000001</v>
      </c>
    </row>
    <row r="3596" spans="1:7" x14ac:dyDescent="0.3">
      <c r="A3596" s="14" t="str">
        <f>VLOOKUP(B3596,'Relacion codigos'!$A:$B,2,FALSE)</f>
        <v>8313</v>
      </c>
      <c r="B3596" s="6" t="s">
        <v>1664</v>
      </c>
      <c r="C3596" s="6" t="s">
        <v>1016</v>
      </c>
      <c r="D3596" s="24">
        <v>353.66926139999998</v>
      </c>
      <c r="E3596" s="6" t="s">
        <v>5889</v>
      </c>
      <c r="F3596" s="6">
        <v>21</v>
      </c>
      <c r="G3596" s="8">
        <f t="shared" si="56"/>
        <v>353.66926139999998</v>
      </c>
    </row>
    <row r="3597" spans="1:7" x14ac:dyDescent="0.3">
      <c r="A3597" s="14" t="str">
        <f>VLOOKUP(B3597,'Relacion codigos'!$A:$B,2,FALSE)</f>
        <v>8309</v>
      </c>
      <c r="B3597" s="6" t="s">
        <v>1665</v>
      </c>
      <c r="C3597" s="6" t="s">
        <v>1017</v>
      </c>
      <c r="D3597" s="24">
        <v>119.6833092</v>
      </c>
      <c r="E3597" s="6" t="s">
        <v>5889</v>
      </c>
      <c r="F3597" s="6">
        <v>21</v>
      </c>
      <c r="G3597" s="8">
        <f t="shared" si="56"/>
        <v>119.6833092</v>
      </c>
    </row>
    <row r="3598" spans="1:7" x14ac:dyDescent="0.3">
      <c r="A3598" s="14" t="str">
        <f>VLOOKUP(B3598,'Relacion codigos'!$A:$B,2,FALSE)</f>
        <v>8310</v>
      </c>
      <c r="B3598" s="6" t="s">
        <v>1666</v>
      </c>
      <c r="C3598" s="6" t="s">
        <v>1018</v>
      </c>
      <c r="D3598" s="24">
        <v>129.94221239999999</v>
      </c>
      <c r="E3598" s="6" t="s">
        <v>5889</v>
      </c>
      <c r="F3598" s="6">
        <v>21</v>
      </c>
      <c r="G3598" s="8">
        <f t="shared" si="56"/>
        <v>129.94221239999999</v>
      </c>
    </row>
    <row r="3599" spans="1:7" x14ac:dyDescent="0.3">
      <c r="A3599" s="14" t="str">
        <f>VLOOKUP(B3599,'Relacion codigos'!$A:$B,2,FALSE)</f>
        <v>8311</v>
      </c>
      <c r="B3599" s="6" t="s">
        <v>1667</v>
      </c>
      <c r="C3599" s="6" t="s">
        <v>1019</v>
      </c>
      <c r="D3599" s="24">
        <v>200.9366268</v>
      </c>
      <c r="E3599" s="6" t="s">
        <v>5889</v>
      </c>
      <c r="F3599" s="6">
        <v>21</v>
      </c>
      <c r="G3599" s="8">
        <f t="shared" si="56"/>
        <v>200.9366268</v>
      </c>
    </row>
    <row r="3600" spans="1:7" x14ac:dyDescent="0.3">
      <c r="A3600" s="14" t="str">
        <f>VLOOKUP(B3600,'Relacion codigos'!$A:$B,2,FALSE)</f>
        <v>8672</v>
      </c>
      <c r="B3600" s="6" t="s">
        <v>3418</v>
      </c>
      <c r="C3600" s="6" t="s">
        <v>1117</v>
      </c>
      <c r="D3600" s="24">
        <v>1752.66</v>
      </c>
      <c r="E3600" s="6" t="s">
        <v>5889</v>
      </c>
      <c r="F3600" s="6">
        <v>21</v>
      </c>
      <c r="G3600" s="8">
        <f t="shared" si="56"/>
        <v>1752.66</v>
      </c>
    </row>
    <row r="3601" spans="1:7" x14ac:dyDescent="0.3">
      <c r="A3601" s="14" t="str">
        <f>VLOOKUP(B3601,'Relacion codigos'!$A:$B,2,FALSE)</f>
        <v>8671</v>
      </c>
      <c r="B3601" s="6" t="s">
        <v>3419</v>
      </c>
      <c r="C3601" s="6" t="s">
        <v>1118</v>
      </c>
      <c r="D3601" s="24">
        <v>1752.66</v>
      </c>
      <c r="E3601" s="6" t="s">
        <v>5889</v>
      </c>
      <c r="F3601" s="6">
        <v>21</v>
      </c>
      <c r="G3601" s="8">
        <f t="shared" si="56"/>
        <v>1752.66</v>
      </c>
    </row>
    <row r="3602" spans="1:7" x14ac:dyDescent="0.3">
      <c r="A3602" s="14" t="e">
        <f>VLOOKUP(B3602,'Relacion codigos'!$A:$B,2,FALSE)</f>
        <v>#N/A</v>
      </c>
      <c r="B3602" s="6" t="s">
        <v>11838</v>
      </c>
      <c r="C3602" s="6" t="s">
        <v>11839</v>
      </c>
      <c r="D3602" s="24">
        <v>1752.66</v>
      </c>
      <c r="E3602" s="6" t="s">
        <v>5889</v>
      </c>
      <c r="F3602" s="6">
        <v>21</v>
      </c>
      <c r="G3602" s="8">
        <f t="shared" si="56"/>
        <v>1752.66</v>
      </c>
    </row>
    <row r="3603" spans="1:7" x14ac:dyDescent="0.3">
      <c r="A3603" s="14" t="e">
        <f>VLOOKUP(B3603,'Relacion codigos'!$A:$B,2,FALSE)</f>
        <v>#N/A</v>
      </c>
      <c r="B3603" s="6" t="s">
        <v>11840</v>
      </c>
      <c r="C3603" s="6" t="s">
        <v>11841</v>
      </c>
      <c r="D3603" s="24">
        <v>1752.66</v>
      </c>
      <c r="E3603" s="6" t="s">
        <v>5889</v>
      </c>
      <c r="F3603" s="6">
        <v>21</v>
      </c>
      <c r="G3603" s="8">
        <f t="shared" si="56"/>
        <v>1752.66</v>
      </c>
    </row>
    <row r="3604" spans="1:7" x14ac:dyDescent="0.3">
      <c r="A3604" s="14" t="str">
        <f>VLOOKUP(B3604,'Relacion codigos'!$A:$B,2,FALSE)</f>
        <v>780</v>
      </c>
      <c r="B3604" s="6" t="s">
        <v>3421</v>
      </c>
      <c r="C3604" s="6" t="s">
        <v>590</v>
      </c>
      <c r="D3604" s="24">
        <v>366.3885654</v>
      </c>
      <c r="E3604" s="6" t="s">
        <v>5889</v>
      </c>
      <c r="F3604" s="6">
        <v>21</v>
      </c>
      <c r="G3604" s="8">
        <f t="shared" si="56"/>
        <v>366.3885654</v>
      </c>
    </row>
    <row r="3605" spans="1:7" x14ac:dyDescent="0.3">
      <c r="A3605" s="14" t="str">
        <f>VLOOKUP(B3605,'Relacion codigos'!$A:$B,2,FALSE)</f>
        <v>779</v>
      </c>
      <c r="B3605" s="6" t="s">
        <v>3422</v>
      </c>
      <c r="C3605" s="6" t="s">
        <v>10696</v>
      </c>
      <c r="D3605" s="24">
        <v>358.98677620000001</v>
      </c>
      <c r="E3605" s="6" t="s">
        <v>5889</v>
      </c>
      <c r="F3605" s="6">
        <v>21</v>
      </c>
      <c r="G3605" s="8">
        <f t="shared" si="56"/>
        <v>358.98677620000001</v>
      </c>
    </row>
    <row r="3606" spans="1:7" x14ac:dyDescent="0.3">
      <c r="A3606" s="14" t="str">
        <f>VLOOKUP(B3606,'Relacion codigos'!$A:$B,2,FALSE)</f>
        <v>8007</v>
      </c>
      <c r="B3606" s="6" t="s">
        <v>2427</v>
      </c>
      <c r="C3606" s="6" t="s">
        <v>9643</v>
      </c>
      <c r="D3606" s="24">
        <v>15985.844940000001</v>
      </c>
      <c r="E3606" s="6" t="s">
        <v>5889</v>
      </c>
      <c r="F3606" s="6">
        <v>21</v>
      </c>
      <c r="G3606" s="8">
        <f t="shared" si="56"/>
        <v>15985.844940000001</v>
      </c>
    </row>
    <row r="3607" spans="1:7" x14ac:dyDescent="0.3">
      <c r="A3607" s="14" t="str">
        <f>VLOOKUP(B3607,'Relacion codigos'!$A:$B,2,FALSE)</f>
        <v>8008</v>
      </c>
      <c r="B3607" s="6" t="s">
        <v>2428</v>
      </c>
      <c r="C3607" s="6" t="s">
        <v>9644</v>
      </c>
      <c r="D3607" s="24">
        <v>16582.281397499999</v>
      </c>
      <c r="E3607" s="6" t="s">
        <v>5889</v>
      </c>
      <c r="F3607" s="6">
        <v>21</v>
      </c>
      <c r="G3607" s="8">
        <f t="shared" si="56"/>
        <v>16582.281397499999</v>
      </c>
    </row>
    <row r="3608" spans="1:7" x14ac:dyDescent="0.3">
      <c r="A3608" s="14" t="str">
        <f>VLOOKUP(B3608,'Relacion codigos'!$A:$B,2,FALSE)</f>
        <v>1210</v>
      </c>
      <c r="B3608" s="6" t="s">
        <v>3497</v>
      </c>
      <c r="C3608" s="6" t="s">
        <v>591</v>
      </c>
      <c r="D3608" s="24">
        <v>2031.9728</v>
      </c>
      <c r="E3608" s="6" t="s">
        <v>5889</v>
      </c>
      <c r="F3608" s="6">
        <v>21</v>
      </c>
      <c r="G3608" s="8">
        <f t="shared" si="56"/>
        <v>2031.9728</v>
      </c>
    </row>
    <row r="3609" spans="1:7" x14ac:dyDescent="0.3">
      <c r="A3609" s="14" t="e">
        <f>VLOOKUP(B3609,'Relacion codigos'!$A:$B,2,FALSE)</f>
        <v>#N/A</v>
      </c>
      <c r="B3609" s="6" t="s">
        <v>13242</v>
      </c>
      <c r="C3609" s="6" t="s">
        <v>13243</v>
      </c>
      <c r="D3609" s="24">
        <v>8206.9</v>
      </c>
      <c r="E3609" s="6" t="s">
        <v>5889</v>
      </c>
      <c r="F3609" s="6">
        <v>21</v>
      </c>
      <c r="G3609" s="8">
        <f t="shared" si="56"/>
        <v>8206.9</v>
      </c>
    </row>
    <row r="3610" spans="1:7" x14ac:dyDescent="0.3">
      <c r="A3610" s="14" t="e">
        <f>VLOOKUP(B3610,'Relacion codigos'!$A:$B,2,FALSE)</f>
        <v>#N/A</v>
      </c>
      <c r="B3610" s="6" t="s">
        <v>9800</v>
      </c>
      <c r="C3610" s="6" t="s">
        <v>10524</v>
      </c>
      <c r="D3610" s="24">
        <v>15354.4144</v>
      </c>
      <c r="E3610" s="6" t="s">
        <v>5889</v>
      </c>
      <c r="F3610" s="6">
        <v>21</v>
      </c>
      <c r="G3610" s="8">
        <f t="shared" si="56"/>
        <v>15354.4144</v>
      </c>
    </row>
    <row r="3611" spans="1:7" x14ac:dyDescent="0.3">
      <c r="A3611" s="14" t="e">
        <f>VLOOKUP(B3611,'Relacion codigos'!$A:$B,2,FALSE)</f>
        <v>#N/A</v>
      </c>
      <c r="B3611" s="6" t="s">
        <v>9787</v>
      </c>
      <c r="C3611" s="6" t="s">
        <v>10525</v>
      </c>
      <c r="D3611" s="24">
        <v>15354.4144</v>
      </c>
      <c r="E3611" s="6" t="s">
        <v>5889</v>
      </c>
      <c r="F3611" s="6">
        <v>21</v>
      </c>
      <c r="G3611" s="8">
        <f t="shared" si="56"/>
        <v>15354.4144</v>
      </c>
    </row>
    <row r="3612" spans="1:7" x14ac:dyDescent="0.3">
      <c r="A3612" s="14" t="e">
        <f>VLOOKUP(B3612,'Relacion codigos'!$A:$B,2,FALSE)</f>
        <v>#N/A</v>
      </c>
      <c r="B3612" s="6" t="s">
        <v>9698</v>
      </c>
      <c r="C3612" s="6" t="s">
        <v>10526</v>
      </c>
      <c r="D3612" s="24">
        <v>33055.857536000003</v>
      </c>
      <c r="E3612" s="6" t="s">
        <v>5889</v>
      </c>
      <c r="F3612" s="6">
        <v>21</v>
      </c>
      <c r="G3612" s="8">
        <f t="shared" si="56"/>
        <v>33055.857536000003</v>
      </c>
    </row>
    <row r="3613" spans="1:7" x14ac:dyDescent="0.3">
      <c r="A3613" s="14" t="e">
        <f>VLOOKUP(B3613,'Relacion codigos'!$A:$B,2,FALSE)</f>
        <v>#N/A</v>
      </c>
      <c r="B3613" s="6" t="s">
        <v>9699</v>
      </c>
      <c r="C3613" s="6" t="s">
        <v>10527</v>
      </c>
      <c r="D3613" s="24">
        <v>33055.857536000003</v>
      </c>
      <c r="E3613" s="6" t="s">
        <v>5889</v>
      </c>
      <c r="F3613" s="6">
        <v>21</v>
      </c>
      <c r="G3613" s="8">
        <f t="shared" si="56"/>
        <v>33055.857536000003</v>
      </c>
    </row>
    <row r="3614" spans="1:7" x14ac:dyDescent="0.3">
      <c r="A3614" s="14" t="str">
        <f>VLOOKUP(B3614,'Relacion codigos'!$A:$B,2,FALSE)</f>
        <v>8675</v>
      </c>
      <c r="B3614" s="6" t="s">
        <v>3430</v>
      </c>
      <c r="C3614" s="6" t="s">
        <v>11790</v>
      </c>
      <c r="D3614" s="24">
        <v>6459.8040000000001</v>
      </c>
      <c r="E3614" s="6" t="s">
        <v>5889</v>
      </c>
      <c r="F3614" s="6">
        <v>21</v>
      </c>
      <c r="G3614" s="8">
        <f t="shared" si="56"/>
        <v>6459.8040000000001</v>
      </c>
    </row>
    <row r="3615" spans="1:7" x14ac:dyDescent="0.3">
      <c r="A3615" s="14" t="e">
        <f>VLOOKUP(B3615,'Relacion codigos'!$A:$B,2,FALSE)</f>
        <v>#N/A</v>
      </c>
      <c r="B3615" s="6" t="s">
        <v>9700</v>
      </c>
      <c r="C3615" s="6" t="s">
        <v>11791</v>
      </c>
      <c r="D3615" s="24">
        <v>6459.8040000000001</v>
      </c>
      <c r="E3615" s="6" t="s">
        <v>5889</v>
      </c>
      <c r="F3615" s="6">
        <v>21</v>
      </c>
      <c r="G3615" s="8">
        <f t="shared" si="56"/>
        <v>6459.8040000000001</v>
      </c>
    </row>
    <row r="3616" spans="1:7" x14ac:dyDescent="0.3">
      <c r="A3616" s="14" t="e">
        <f>VLOOKUP(B3616,'Relacion codigos'!$A:$B,2,FALSE)</f>
        <v>#N/A</v>
      </c>
      <c r="B3616" s="6" t="s">
        <v>8985</v>
      </c>
      <c r="C3616" s="6" t="s">
        <v>11792</v>
      </c>
      <c r="D3616" s="24">
        <v>98703.134399999995</v>
      </c>
      <c r="E3616" s="6" t="s">
        <v>5889</v>
      </c>
      <c r="F3616" s="6">
        <v>21</v>
      </c>
      <c r="G3616" s="8">
        <f t="shared" si="56"/>
        <v>98703.134399999995</v>
      </c>
    </row>
    <row r="3617" spans="1:7" x14ac:dyDescent="0.3">
      <c r="A3617" s="14" t="e">
        <f>VLOOKUP(B3617,'Relacion codigos'!$A:$B,2,FALSE)</f>
        <v>#N/A</v>
      </c>
      <c r="B3617" s="6" t="s">
        <v>8790</v>
      </c>
      <c r="C3617" s="6" t="s">
        <v>11793</v>
      </c>
      <c r="D3617" s="24">
        <v>50353.087200000002</v>
      </c>
      <c r="E3617" s="6" t="s">
        <v>5889</v>
      </c>
      <c r="F3617" s="6">
        <v>21</v>
      </c>
      <c r="G3617" s="8">
        <f t="shared" si="56"/>
        <v>50353.087200000002</v>
      </c>
    </row>
    <row r="3618" spans="1:7" x14ac:dyDescent="0.3">
      <c r="A3618" s="14" t="e">
        <f>VLOOKUP(B3618,'Relacion codigos'!$A:$B,2,FALSE)</f>
        <v>#N/A</v>
      </c>
      <c r="B3618" s="6" t="s">
        <v>8791</v>
      </c>
      <c r="C3618" s="6" t="s">
        <v>11794</v>
      </c>
      <c r="D3618" s="24">
        <v>50353.087200000002</v>
      </c>
      <c r="E3618" s="6" t="s">
        <v>5889</v>
      </c>
      <c r="F3618" s="6">
        <v>21</v>
      </c>
      <c r="G3618" s="8">
        <f t="shared" si="56"/>
        <v>50353.087200000002</v>
      </c>
    </row>
    <row r="3619" spans="1:7" x14ac:dyDescent="0.3">
      <c r="A3619" s="14" t="e">
        <f>VLOOKUP(B3619,'Relacion codigos'!$A:$B,2,FALSE)</f>
        <v>#N/A</v>
      </c>
      <c r="B3619" s="6" t="s">
        <v>8843</v>
      </c>
      <c r="C3619" s="6" t="s">
        <v>11795</v>
      </c>
      <c r="D3619" s="24">
        <v>118224.98480000001</v>
      </c>
      <c r="E3619" s="6" t="s">
        <v>5889</v>
      </c>
      <c r="F3619" s="6">
        <v>21</v>
      </c>
      <c r="G3619" s="8">
        <f t="shared" si="56"/>
        <v>118224.98480000001</v>
      </c>
    </row>
    <row r="3620" spans="1:7" x14ac:dyDescent="0.3">
      <c r="A3620" s="14" t="e">
        <f>VLOOKUP(B3620,'Relacion codigos'!$A:$B,2,FALSE)</f>
        <v>#N/A</v>
      </c>
      <c r="B3620" s="6" t="s">
        <v>8792</v>
      </c>
      <c r="C3620" s="6" t="s">
        <v>11796</v>
      </c>
      <c r="D3620" s="24">
        <v>63254.890399999997</v>
      </c>
      <c r="E3620" s="6" t="s">
        <v>5889</v>
      </c>
      <c r="F3620" s="6">
        <v>21</v>
      </c>
      <c r="G3620" s="8">
        <f t="shared" si="56"/>
        <v>63254.890399999997</v>
      </c>
    </row>
    <row r="3621" spans="1:7" x14ac:dyDescent="0.3">
      <c r="A3621" s="14" t="e">
        <f>VLOOKUP(B3621,'Relacion codigos'!$A:$B,2,FALSE)</f>
        <v>#N/A</v>
      </c>
      <c r="B3621" s="6" t="s">
        <v>8844</v>
      </c>
      <c r="C3621" s="6" t="s">
        <v>11797</v>
      </c>
      <c r="D3621" s="24">
        <v>63254.890399999997</v>
      </c>
      <c r="E3621" s="6" t="s">
        <v>5889</v>
      </c>
      <c r="F3621" s="6">
        <v>21</v>
      </c>
      <c r="G3621" s="8">
        <f t="shared" si="56"/>
        <v>63254.890399999997</v>
      </c>
    </row>
    <row r="3622" spans="1:7" x14ac:dyDescent="0.3">
      <c r="A3622" s="14" t="str">
        <f>VLOOKUP(B3622,'Relacion codigos'!$A:$B,2,FALSE)</f>
        <v>8732</v>
      </c>
      <c r="B3622" s="6" t="s">
        <v>3432</v>
      </c>
      <c r="C3622" s="6" t="s">
        <v>10528</v>
      </c>
      <c r="D3622" s="24">
        <v>7523.6408000000001</v>
      </c>
      <c r="E3622" s="6" t="s">
        <v>5889</v>
      </c>
      <c r="F3622" s="6">
        <v>21</v>
      </c>
      <c r="G3622" s="8">
        <f t="shared" si="56"/>
        <v>7523.6408000000001</v>
      </c>
    </row>
    <row r="3623" spans="1:7" x14ac:dyDescent="0.3">
      <c r="A3623" s="14" t="str">
        <f>VLOOKUP(B3623,'Relacion codigos'!$A:$B,2,FALSE)</f>
        <v>8867</v>
      </c>
      <c r="B3623" s="6" t="s">
        <v>3433</v>
      </c>
      <c r="C3623" s="6" t="s">
        <v>10529</v>
      </c>
      <c r="D3623" s="24">
        <v>7523.6408000000001</v>
      </c>
      <c r="E3623" s="6" t="s">
        <v>5889</v>
      </c>
      <c r="F3623" s="6">
        <v>21</v>
      </c>
      <c r="G3623" s="8">
        <f t="shared" si="56"/>
        <v>7523.6408000000001</v>
      </c>
    </row>
    <row r="3624" spans="1:7" x14ac:dyDescent="0.3">
      <c r="A3624" s="14" t="e">
        <f>VLOOKUP(B3624,'Relacion codigos'!$A:$B,2,FALSE)</f>
        <v>#N/A</v>
      </c>
      <c r="B3624" s="6" t="s">
        <v>9701</v>
      </c>
      <c r="C3624" s="6" t="s">
        <v>10530</v>
      </c>
      <c r="D3624" s="24">
        <v>8606.3952000000008</v>
      </c>
      <c r="E3624" s="6" t="s">
        <v>5889</v>
      </c>
      <c r="F3624" s="6">
        <v>21</v>
      </c>
      <c r="G3624" s="8">
        <f t="shared" si="56"/>
        <v>8606.3952000000008</v>
      </c>
    </row>
    <row r="3625" spans="1:7" x14ac:dyDescent="0.3">
      <c r="A3625" s="14" t="e">
        <f>VLOOKUP(B3625,'Relacion codigos'!$A:$B,2,FALSE)</f>
        <v>#N/A</v>
      </c>
      <c r="B3625" s="6" t="s">
        <v>9702</v>
      </c>
      <c r="C3625" s="6" t="s">
        <v>13117</v>
      </c>
      <c r="D3625" s="24">
        <v>8606.3952000000008</v>
      </c>
      <c r="E3625" s="6" t="s">
        <v>5889</v>
      </c>
      <c r="F3625" s="6">
        <v>21</v>
      </c>
      <c r="G3625" s="8">
        <f t="shared" si="56"/>
        <v>8606.3952000000008</v>
      </c>
    </row>
    <row r="3626" spans="1:7" x14ac:dyDescent="0.3">
      <c r="A3626" s="14" t="str">
        <f>VLOOKUP(B3626,'Relacion codigos'!$A:$B,2,FALSE)</f>
        <v>8291</v>
      </c>
      <c r="B3626" s="6" t="s">
        <v>3435</v>
      </c>
      <c r="C3626" s="6" t="s">
        <v>10531</v>
      </c>
      <c r="D3626" s="24">
        <v>9148.3287999999993</v>
      </c>
      <c r="E3626" s="6" t="s">
        <v>5889</v>
      </c>
      <c r="F3626" s="6">
        <v>21</v>
      </c>
      <c r="G3626" s="8">
        <f t="shared" si="56"/>
        <v>9148.3287999999993</v>
      </c>
    </row>
    <row r="3627" spans="1:7" x14ac:dyDescent="0.3">
      <c r="A3627" s="14" t="str">
        <f>VLOOKUP(B3627,'Relacion codigos'!$A:$B,2,FALSE)</f>
        <v>8718</v>
      </c>
      <c r="B3627" s="6" t="s">
        <v>3436</v>
      </c>
      <c r="C3627" s="6" t="s">
        <v>10532</v>
      </c>
      <c r="D3627" s="24">
        <v>12810.108480000001</v>
      </c>
      <c r="E3627" s="6" t="s">
        <v>5889</v>
      </c>
      <c r="F3627" s="6">
        <v>21</v>
      </c>
      <c r="G3627" s="8">
        <f t="shared" si="56"/>
        <v>12810.108480000001</v>
      </c>
    </row>
    <row r="3628" spans="1:7" x14ac:dyDescent="0.3">
      <c r="A3628" s="14" t="str">
        <f>VLOOKUP(B3628,'Relacion codigos'!$A:$B,2,FALSE)</f>
        <v>8734</v>
      </c>
      <c r="B3628" s="6" t="s">
        <v>3437</v>
      </c>
      <c r="C3628" s="6" t="s">
        <v>10533</v>
      </c>
      <c r="D3628" s="24">
        <v>23927.381087999998</v>
      </c>
      <c r="E3628" s="6" t="s">
        <v>5889</v>
      </c>
      <c r="F3628" s="6">
        <v>21</v>
      </c>
      <c r="G3628" s="8">
        <f t="shared" si="56"/>
        <v>23927.381087999998</v>
      </c>
    </row>
    <row r="3629" spans="1:7" x14ac:dyDescent="0.3">
      <c r="A3629" s="14" t="str">
        <f>VLOOKUP(B3629,'Relacion codigos'!$A:$B,2,FALSE)</f>
        <v>8676</v>
      </c>
      <c r="B3629" s="6" t="s">
        <v>3438</v>
      </c>
      <c r="C3629" s="6" t="s">
        <v>10534</v>
      </c>
      <c r="D3629" s="24">
        <v>23927.381087999998</v>
      </c>
      <c r="E3629" s="6" t="s">
        <v>5889</v>
      </c>
      <c r="F3629" s="6">
        <v>21</v>
      </c>
      <c r="G3629" s="8">
        <f t="shared" si="56"/>
        <v>23927.381087999998</v>
      </c>
    </row>
    <row r="3630" spans="1:7" x14ac:dyDescent="0.3">
      <c r="A3630" s="14" t="e">
        <f>VLOOKUP(B3630,'Relacion codigos'!$A:$B,2,FALSE)</f>
        <v>#N/A</v>
      </c>
      <c r="B3630" s="6" t="s">
        <v>13788</v>
      </c>
      <c r="C3630" s="6" t="s">
        <v>13789</v>
      </c>
      <c r="D3630" s="24">
        <v>8012.16</v>
      </c>
      <c r="E3630" s="6" t="s">
        <v>5889</v>
      </c>
      <c r="F3630" s="6">
        <v>21</v>
      </c>
      <c r="G3630" s="8">
        <f t="shared" si="56"/>
        <v>8012.16</v>
      </c>
    </row>
    <row r="3631" spans="1:7" x14ac:dyDescent="0.3">
      <c r="A3631" s="14" t="e">
        <f>VLOOKUP(B3631,'Relacion codigos'!$A:$B,2,FALSE)</f>
        <v>#N/A</v>
      </c>
      <c r="B3631" s="6" t="s">
        <v>13786</v>
      </c>
      <c r="C3631" s="6" t="s">
        <v>13787</v>
      </c>
      <c r="D3631" s="24">
        <v>6134.31</v>
      </c>
      <c r="E3631" s="6" t="s">
        <v>5889</v>
      </c>
      <c r="F3631" s="6">
        <v>21</v>
      </c>
      <c r="G3631" s="8">
        <f t="shared" si="56"/>
        <v>6134.31</v>
      </c>
    </row>
    <row r="3632" spans="1:7" x14ac:dyDescent="0.3">
      <c r="A3632" s="14" t="e">
        <f>VLOOKUP(B3632,'Relacion codigos'!$A:$B,2,FALSE)</f>
        <v>#N/A</v>
      </c>
      <c r="B3632" s="6" t="s">
        <v>13790</v>
      </c>
      <c r="C3632" s="6" t="s">
        <v>13791</v>
      </c>
      <c r="D3632" s="24">
        <v>9138.8700000000008</v>
      </c>
      <c r="E3632" s="6" t="s">
        <v>5889</v>
      </c>
      <c r="F3632" s="6">
        <v>21</v>
      </c>
      <c r="G3632" s="8">
        <f t="shared" si="56"/>
        <v>9138.8700000000008</v>
      </c>
    </row>
    <row r="3633" spans="1:7" x14ac:dyDescent="0.3">
      <c r="A3633" s="14" t="str">
        <f>VLOOKUP(B3633,'Relacion codigos'!$A:$B,2,FALSE)</f>
        <v>9300</v>
      </c>
      <c r="B3633" s="6" t="s">
        <v>3385</v>
      </c>
      <c r="C3633" s="6" t="s">
        <v>12215</v>
      </c>
      <c r="D3633" s="24">
        <v>6134.31</v>
      </c>
      <c r="E3633" s="6" t="s">
        <v>5889</v>
      </c>
      <c r="F3633" s="6">
        <v>21</v>
      </c>
      <c r="G3633" s="8">
        <f t="shared" si="56"/>
        <v>6134.31</v>
      </c>
    </row>
    <row r="3634" spans="1:7" x14ac:dyDescent="0.3">
      <c r="A3634" s="14" t="str">
        <f>VLOOKUP(B3634,'Relacion codigos'!$A:$B,2,FALSE)</f>
        <v>8888</v>
      </c>
      <c r="B3634" s="6" t="s">
        <v>3386</v>
      </c>
      <c r="C3634" s="6" t="s">
        <v>10698</v>
      </c>
      <c r="D3634" s="24">
        <v>8012.16</v>
      </c>
      <c r="E3634" s="6" t="s">
        <v>5889</v>
      </c>
      <c r="F3634" s="6">
        <v>21</v>
      </c>
      <c r="G3634" s="8">
        <f t="shared" si="56"/>
        <v>8012.16</v>
      </c>
    </row>
    <row r="3635" spans="1:7" x14ac:dyDescent="0.3">
      <c r="A3635" s="14" t="str">
        <f>VLOOKUP(B3635,'Relacion codigos'!$A:$B,2,FALSE)</f>
        <v>9295</v>
      </c>
      <c r="B3635" s="6" t="s">
        <v>3389</v>
      </c>
      <c r="C3635" s="6" t="s">
        <v>10972</v>
      </c>
      <c r="D3635" s="24">
        <v>9138.8700000000008</v>
      </c>
      <c r="E3635" s="6" t="s">
        <v>5889</v>
      </c>
      <c r="F3635" s="6">
        <v>21</v>
      </c>
      <c r="G3635" s="8">
        <f t="shared" si="56"/>
        <v>9138.8700000000008</v>
      </c>
    </row>
    <row r="3636" spans="1:7" x14ac:dyDescent="0.3">
      <c r="A3636" s="14" t="e">
        <f>VLOOKUP(B3636,'Relacion codigos'!$A:$B,2,FALSE)</f>
        <v>#N/A</v>
      </c>
      <c r="B3636" s="6" t="s">
        <v>12805</v>
      </c>
      <c r="C3636" s="6" t="s">
        <v>12806</v>
      </c>
      <c r="D3636" s="24">
        <v>253.15289999999999</v>
      </c>
      <c r="E3636" s="6" t="s">
        <v>5887</v>
      </c>
      <c r="F3636" s="6">
        <v>21</v>
      </c>
      <c r="G3636" s="8">
        <f t="shared" si="56"/>
        <v>393652.75949999999</v>
      </c>
    </row>
    <row r="3637" spans="1:7" x14ac:dyDescent="0.3">
      <c r="A3637" s="14" t="str">
        <f>VLOOKUP(B3637,'Relacion codigos'!$A:$B,2,FALSE)</f>
        <v>8297</v>
      </c>
      <c r="B3637" s="6" t="s">
        <v>3110</v>
      </c>
      <c r="C3637" s="6" t="s">
        <v>9155</v>
      </c>
      <c r="D3637" s="24">
        <v>1.5382746288</v>
      </c>
      <c r="E3637" s="6" t="s">
        <v>5887</v>
      </c>
      <c r="F3637" s="6">
        <v>21</v>
      </c>
      <c r="G3637" s="8">
        <f t="shared" si="56"/>
        <v>2392.0170477840002</v>
      </c>
    </row>
    <row r="3638" spans="1:7" x14ac:dyDescent="0.3">
      <c r="A3638" s="14" t="e">
        <f>VLOOKUP(B3638,'Relacion codigos'!$A:$B,2,FALSE)</f>
        <v>#N/A</v>
      </c>
      <c r="B3638" s="6" t="s">
        <v>11542</v>
      </c>
      <c r="C3638" s="6" t="s">
        <v>11563</v>
      </c>
      <c r="D3638" s="24">
        <v>57.06099726275</v>
      </c>
      <c r="E3638" s="6" t="s">
        <v>5887</v>
      </c>
      <c r="F3638" s="6">
        <v>21</v>
      </c>
      <c r="G3638" s="8">
        <f t="shared" si="56"/>
        <v>88729.850743576244</v>
      </c>
    </row>
    <row r="3639" spans="1:7" x14ac:dyDescent="0.3">
      <c r="A3639" s="14" t="str">
        <f>VLOOKUP(B3639,'Relacion codigos'!$A:$B,2,FALSE)</f>
        <v>7458</v>
      </c>
      <c r="B3639" s="6" t="s">
        <v>2800</v>
      </c>
      <c r="C3639" s="6" t="s">
        <v>1020</v>
      </c>
      <c r="D3639" s="24">
        <v>107.7685596</v>
      </c>
      <c r="E3639" s="6" t="s">
        <v>5887</v>
      </c>
      <c r="F3639" s="6">
        <v>21</v>
      </c>
      <c r="G3639" s="8">
        <f t="shared" si="56"/>
        <v>167580.110178</v>
      </c>
    </row>
    <row r="3640" spans="1:7" x14ac:dyDescent="0.3">
      <c r="A3640" s="14" t="str">
        <f>VLOOKUP(B3640,'Relacion codigos'!$A:$B,2,FALSE)</f>
        <v>8036</v>
      </c>
      <c r="B3640" s="6" t="s">
        <v>2802</v>
      </c>
      <c r="C3640" s="6" t="s">
        <v>10030</v>
      </c>
      <c r="D3640" s="24">
        <v>39.1776756605</v>
      </c>
      <c r="E3640" s="6" t="s">
        <v>5887</v>
      </c>
      <c r="F3640" s="6">
        <v>21</v>
      </c>
      <c r="G3640" s="8">
        <f t="shared" si="56"/>
        <v>60921.285652077502</v>
      </c>
    </row>
    <row r="3641" spans="1:7" x14ac:dyDescent="0.3">
      <c r="A3641" s="14" t="str">
        <f>VLOOKUP(B3641,'Relacion codigos'!$A:$B,2,FALSE)</f>
        <v>8822</v>
      </c>
      <c r="B3641" s="6" t="s">
        <v>2803</v>
      </c>
      <c r="C3641" s="6" t="s">
        <v>11382</v>
      </c>
      <c r="D3641" s="24">
        <v>86.909549999999996</v>
      </c>
      <c r="E3641" s="6" t="s">
        <v>5887</v>
      </c>
      <c r="F3641" s="6">
        <v>21</v>
      </c>
      <c r="G3641" s="8">
        <f t="shared" si="56"/>
        <v>135144.35024999999</v>
      </c>
    </row>
    <row r="3642" spans="1:7" x14ac:dyDescent="0.3">
      <c r="A3642" s="14" t="str">
        <f>VLOOKUP(B3642,'Relacion codigos'!$A:$B,2,FALSE)</f>
        <v>7459</v>
      </c>
      <c r="B3642" s="6" t="s">
        <v>2804</v>
      </c>
      <c r="C3642" s="6" t="s">
        <v>11263</v>
      </c>
      <c r="D3642" s="24">
        <v>84.403098</v>
      </c>
      <c r="E3642" s="6" t="s">
        <v>5887</v>
      </c>
      <c r="F3642" s="6">
        <v>21</v>
      </c>
      <c r="G3642" s="8">
        <f t="shared" si="56"/>
        <v>131246.81739000001</v>
      </c>
    </row>
    <row r="3643" spans="1:7" x14ac:dyDescent="0.3">
      <c r="A3643" s="14" t="str">
        <f>VLOOKUP(B3643,'Relacion codigos'!$A:$B,2,FALSE)</f>
        <v>7987</v>
      </c>
      <c r="B3643" s="6" t="s">
        <v>2799</v>
      </c>
      <c r="C3643" s="6" t="s">
        <v>9788</v>
      </c>
      <c r="D3643" s="24">
        <v>50.935898117000001</v>
      </c>
      <c r="E3643" s="6" t="s">
        <v>5887</v>
      </c>
      <c r="F3643" s="6">
        <v>21</v>
      </c>
      <c r="G3643" s="8">
        <f t="shared" si="56"/>
        <v>79205.321571934997</v>
      </c>
    </row>
    <row r="3644" spans="1:7" x14ac:dyDescent="0.3">
      <c r="A3644" s="14" t="str">
        <f>VLOOKUP(B3644,'Relacion codigos'!$A:$B,2,FALSE)</f>
        <v>8715</v>
      </c>
      <c r="B3644" s="6" t="s">
        <v>2805</v>
      </c>
      <c r="C3644" s="6" t="s">
        <v>9959</v>
      </c>
      <c r="D3644" s="24">
        <v>73054.982682500005</v>
      </c>
      <c r="E3644" s="6" t="s">
        <v>5889</v>
      </c>
      <c r="F3644" s="6">
        <v>21</v>
      </c>
      <c r="G3644" s="8">
        <f t="shared" si="56"/>
        <v>73054.982682500005</v>
      </c>
    </row>
    <row r="3645" spans="1:7" x14ac:dyDescent="0.3">
      <c r="A3645" s="14" t="e">
        <f>VLOOKUP(B3645,'Relacion codigos'!$A:$B,2,FALSE)</f>
        <v>#N/A</v>
      </c>
      <c r="B3645" s="6" t="s">
        <v>10955</v>
      </c>
      <c r="C3645" s="6" t="s">
        <v>11419</v>
      </c>
      <c r="D3645" s="24">
        <v>18.707325000000001</v>
      </c>
      <c r="E3645" s="6" t="s">
        <v>5887</v>
      </c>
      <c r="F3645" s="6">
        <v>21</v>
      </c>
      <c r="G3645" s="8">
        <f t="shared" si="56"/>
        <v>29089.890375000003</v>
      </c>
    </row>
    <row r="3646" spans="1:7" x14ac:dyDescent="0.3">
      <c r="A3646" s="14" t="e">
        <f>VLOOKUP(B3646,'Relacion codigos'!$A:$B,2,FALSE)</f>
        <v>#N/A</v>
      </c>
      <c r="B3646" s="6" t="s">
        <v>10956</v>
      </c>
      <c r="C3646" s="6" t="s">
        <v>11420</v>
      </c>
      <c r="D3646" s="24">
        <v>18.707325000000001</v>
      </c>
      <c r="E3646" s="6" t="s">
        <v>5887</v>
      </c>
      <c r="F3646" s="6">
        <v>21</v>
      </c>
      <c r="G3646" s="8">
        <f t="shared" si="56"/>
        <v>29089.890375000003</v>
      </c>
    </row>
    <row r="3647" spans="1:7" x14ac:dyDescent="0.3">
      <c r="A3647" s="14" t="e">
        <f>VLOOKUP(B3647,'Relacion codigos'!$A:$B,2,FALSE)</f>
        <v>#N/A</v>
      </c>
      <c r="B3647" s="6" t="s">
        <v>10957</v>
      </c>
      <c r="C3647" s="6" t="s">
        <v>11421</v>
      </c>
      <c r="D3647" s="24">
        <v>18.707325000000001</v>
      </c>
      <c r="E3647" s="6" t="s">
        <v>5887</v>
      </c>
      <c r="F3647" s="6">
        <v>21</v>
      </c>
      <c r="G3647" s="8">
        <f t="shared" si="56"/>
        <v>29089.890375000003</v>
      </c>
    </row>
    <row r="3648" spans="1:7" x14ac:dyDescent="0.3">
      <c r="A3648" s="14" t="e">
        <f>VLOOKUP(B3648,'Relacion codigos'!$A:$B,2,FALSE)</f>
        <v>#N/A</v>
      </c>
      <c r="B3648" s="6" t="s">
        <v>10964</v>
      </c>
      <c r="C3648" s="6" t="s">
        <v>11422</v>
      </c>
      <c r="D3648" s="24">
        <v>18.707325000000001</v>
      </c>
      <c r="E3648" s="6" t="s">
        <v>5887</v>
      </c>
      <c r="F3648" s="6">
        <v>21</v>
      </c>
      <c r="G3648" s="8">
        <f t="shared" si="56"/>
        <v>29089.890375000003</v>
      </c>
    </row>
    <row r="3649" spans="1:7" x14ac:dyDescent="0.3">
      <c r="A3649" s="14" t="e">
        <f>VLOOKUP(B3649,'Relacion codigos'!$A:$B,2,FALSE)</f>
        <v>#N/A</v>
      </c>
      <c r="B3649" s="6" t="s">
        <v>10965</v>
      </c>
      <c r="C3649" s="6" t="s">
        <v>11423</v>
      </c>
      <c r="D3649" s="24">
        <v>18.707325000000001</v>
      </c>
      <c r="E3649" s="6" t="s">
        <v>5887</v>
      </c>
      <c r="F3649" s="6">
        <v>21</v>
      </c>
      <c r="G3649" s="8">
        <f t="shared" si="56"/>
        <v>29089.890375000003</v>
      </c>
    </row>
    <row r="3650" spans="1:7" x14ac:dyDescent="0.3">
      <c r="A3650" s="14" t="e">
        <f>VLOOKUP(B3650,'Relacion codigos'!$A:$B,2,FALSE)</f>
        <v>#N/A</v>
      </c>
      <c r="B3650" s="6" t="s">
        <v>10966</v>
      </c>
      <c r="C3650" s="6" t="s">
        <v>11424</v>
      </c>
      <c r="D3650" s="24">
        <v>18.707325000000001</v>
      </c>
      <c r="E3650" s="6" t="s">
        <v>5887</v>
      </c>
      <c r="F3650" s="6">
        <v>21</v>
      </c>
      <c r="G3650" s="8">
        <f t="shared" ref="G3650:G3713" si="57">IF(E3650="Dolares",D3650*$G$1,D3650)</f>
        <v>29089.890375000003</v>
      </c>
    </row>
    <row r="3651" spans="1:7" x14ac:dyDescent="0.3">
      <c r="A3651" s="14" t="e">
        <f>VLOOKUP(B3651,'Relacion codigos'!$A:$B,2,FALSE)</f>
        <v>#N/A</v>
      </c>
      <c r="B3651" s="6" t="s">
        <v>10967</v>
      </c>
      <c r="C3651" s="6" t="s">
        <v>11425</v>
      </c>
      <c r="D3651" s="24">
        <v>18.707325000000001</v>
      </c>
      <c r="E3651" s="6" t="s">
        <v>5887</v>
      </c>
      <c r="F3651" s="6">
        <v>21</v>
      </c>
      <c r="G3651" s="8">
        <f t="shared" si="57"/>
        <v>29089.890375000003</v>
      </c>
    </row>
    <row r="3652" spans="1:7" x14ac:dyDescent="0.3">
      <c r="A3652" s="14" t="e">
        <f>VLOOKUP(B3652,'Relacion codigos'!$A:$B,2,FALSE)</f>
        <v>#N/A</v>
      </c>
      <c r="B3652" s="6" t="s">
        <v>8825</v>
      </c>
      <c r="C3652" s="6" t="s">
        <v>8852</v>
      </c>
      <c r="D3652" s="24">
        <v>13.283347545</v>
      </c>
      <c r="E3652" s="6" t="s">
        <v>5887</v>
      </c>
      <c r="F3652" s="6">
        <v>21</v>
      </c>
      <c r="G3652" s="8">
        <f t="shared" si="57"/>
        <v>20655.605432475</v>
      </c>
    </row>
    <row r="3653" spans="1:7" x14ac:dyDescent="0.3">
      <c r="A3653" s="14" t="e">
        <f>VLOOKUP(B3653,'Relacion codigos'!$A:$B,2,FALSE)</f>
        <v>#N/A</v>
      </c>
      <c r="B3653" s="6" t="s">
        <v>8824</v>
      </c>
      <c r="C3653" s="6" t="s">
        <v>8853</v>
      </c>
      <c r="D3653" s="24">
        <v>13.283347545</v>
      </c>
      <c r="E3653" s="6" t="s">
        <v>5887</v>
      </c>
      <c r="F3653" s="6">
        <v>21</v>
      </c>
      <c r="G3653" s="8">
        <f t="shared" si="57"/>
        <v>20655.605432475</v>
      </c>
    </row>
    <row r="3654" spans="1:7" x14ac:dyDescent="0.3">
      <c r="A3654" s="14" t="e">
        <f>VLOOKUP(B3654,'Relacion codigos'!$A:$B,2,FALSE)</f>
        <v>#N/A</v>
      </c>
      <c r="B3654" s="6" t="s">
        <v>11291</v>
      </c>
      <c r="C3654" s="6" t="s">
        <v>11292</v>
      </c>
      <c r="D3654" s="24">
        <v>16.400475</v>
      </c>
      <c r="E3654" s="6" t="s">
        <v>5887</v>
      </c>
      <c r="F3654" s="6">
        <v>21</v>
      </c>
      <c r="G3654" s="8">
        <f t="shared" si="57"/>
        <v>25502.738625000002</v>
      </c>
    </row>
    <row r="3655" spans="1:7" x14ac:dyDescent="0.3">
      <c r="A3655" s="14" t="e">
        <f>VLOOKUP(B3655,'Relacion codigos'!$A:$B,2,FALSE)</f>
        <v>#N/A</v>
      </c>
      <c r="B3655" s="6" t="s">
        <v>10379</v>
      </c>
      <c r="C3655" s="6" t="s">
        <v>10380</v>
      </c>
      <c r="D3655" s="24">
        <v>16.400475</v>
      </c>
      <c r="E3655" s="6" t="s">
        <v>5887</v>
      </c>
      <c r="F3655" s="6">
        <v>21</v>
      </c>
      <c r="G3655" s="8">
        <f t="shared" si="57"/>
        <v>25502.738625000002</v>
      </c>
    </row>
    <row r="3656" spans="1:7" x14ac:dyDescent="0.3">
      <c r="A3656" s="14" t="str">
        <f>VLOOKUP(B3656,'Relacion codigos'!$A:$B,2,FALSE)</f>
        <v>7950</v>
      </c>
      <c r="B3656" s="6" t="s">
        <v>2942</v>
      </c>
      <c r="C3656" s="6" t="s">
        <v>10699</v>
      </c>
      <c r="D3656" s="24">
        <v>13.283347545</v>
      </c>
      <c r="E3656" s="6" t="s">
        <v>5887</v>
      </c>
      <c r="F3656" s="6">
        <v>21</v>
      </c>
      <c r="G3656" s="8">
        <f t="shared" si="57"/>
        <v>20655.605432475</v>
      </c>
    </row>
    <row r="3657" spans="1:7" x14ac:dyDescent="0.3">
      <c r="A3657" s="14" t="e">
        <f>VLOOKUP(B3657,'Relacion codigos'!$A:$B,2,FALSE)</f>
        <v>#N/A</v>
      </c>
      <c r="B3657" s="6" t="s">
        <v>11519</v>
      </c>
      <c r="C3657" s="6" t="s">
        <v>11520</v>
      </c>
      <c r="D3657" s="24">
        <v>16.400475</v>
      </c>
      <c r="E3657" s="6" t="s">
        <v>5887</v>
      </c>
      <c r="F3657" s="6">
        <v>21</v>
      </c>
      <c r="G3657" s="8">
        <f t="shared" si="57"/>
        <v>25502.738625000002</v>
      </c>
    </row>
    <row r="3658" spans="1:7" x14ac:dyDescent="0.3">
      <c r="A3658" s="14" t="str">
        <f>VLOOKUP(B3658,'Relacion codigos'!$A:$B,2,FALSE)</f>
        <v>7951</v>
      </c>
      <c r="B3658" s="6" t="s">
        <v>2943</v>
      </c>
      <c r="C3658" s="6" t="s">
        <v>10700</v>
      </c>
      <c r="D3658" s="24">
        <v>13.283347545</v>
      </c>
      <c r="E3658" s="6" t="s">
        <v>5887</v>
      </c>
      <c r="F3658" s="6">
        <v>21</v>
      </c>
      <c r="G3658" s="8">
        <f t="shared" si="57"/>
        <v>20655.605432475</v>
      </c>
    </row>
    <row r="3659" spans="1:7" x14ac:dyDescent="0.3">
      <c r="A3659" s="14" t="e">
        <f>VLOOKUP(B3659,'Relacion codigos'!$A:$B,2,FALSE)</f>
        <v>#N/A</v>
      </c>
      <c r="B3659" s="6" t="s">
        <v>11521</v>
      </c>
      <c r="C3659" s="6" t="s">
        <v>11522</v>
      </c>
      <c r="D3659" s="24">
        <v>16.400475</v>
      </c>
      <c r="E3659" s="6" t="s">
        <v>5887</v>
      </c>
      <c r="F3659" s="6">
        <v>21</v>
      </c>
      <c r="G3659" s="8">
        <f t="shared" si="57"/>
        <v>25502.738625000002</v>
      </c>
    </row>
    <row r="3660" spans="1:7" x14ac:dyDescent="0.3">
      <c r="A3660" s="14" t="str">
        <f>VLOOKUP(B3660,'Relacion codigos'!$A:$B,2,FALSE)</f>
        <v>8423</v>
      </c>
      <c r="B3660" s="6" t="s">
        <v>2944</v>
      </c>
      <c r="C3660" s="6" t="s">
        <v>10701</v>
      </c>
      <c r="D3660" s="24">
        <v>13.283347545</v>
      </c>
      <c r="E3660" s="6" t="s">
        <v>5887</v>
      </c>
      <c r="F3660" s="6">
        <v>21</v>
      </c>
      <c r="G3660" s="8">
        <f t="shared" si="57"/>
        <v>20655.605432475</v>
      </c>
    </row>
    <row r="3661" spans="1:7" x14ac:dyDescent="0.3">
      <c r="A3661" s="14" t="e">
        <f>VLOOKUP(B3661,'Relacion codigos'!$A:$B,2,FALSE)</f>
        <v>#N/A</v>
      </c>
      <c r="B3661" s="6" t="s">
        <v>10381</v>
      </c>
      <c r="C3661" s="6" t="s">
        <v>10382</v>
      </c>
      <c r="D3661" s="24">
        <v>16.400475</v>
      </c>
      <c r="E3661" s="6" t="s">
        <v>5887</v>
      </c>
      <c r="F3661" s="6">
        <v>21</v>
      </c>
      <c r="G3661" s="8">
        <f t="shared" si="57"/>
        <v>25502.738625000002</v>
      </c>
    </row>
    <row r="3662" spans="1:7" x14ac:dyDescent="0.3">
      <c r="A3662" s="14" t="str">
        <f>VLOOKUP(B3662,'Relacion codigos'!$A:$B,2,FALSE)</f>
        <v>8209</v>
      </c>
      <c r="B3662" s="6" t="s">
        <v>2945</v>
      </c>
      <c r="C3662" s="6" t="s">
        <v>1021</v>
      </c>
      <c r="D3662" s="24">
        <v>30.412306200250001</v>
      </c>
      <c r="E3662" s="6" t="s">
        <v>5887</v>
      </c>
      <c r="F3662" s="6">
        <v>21</v>
      </c>
      <c r="G3662" s="8">
        <f t="shared" si="57"/>
        <v>47291.13614138875</v>
      </c>
    </row>
    <row r="3663" spans="1:7" x14ac:dyDescent="0.3">
      <c r="A3663" s="14" t="e">
        <f>VLOOKUP(B3663,'Relacion codigos'!$A:$B,2,FALSE)</f>
        <v>#N/A</v>
      </c>
      <c r="B3663" s="6" t="s">
        <v>10958</v>
      </c>
      <c r="C3663" s="6" t="s">
        <v>10959</v>
      </c>
      <c r="D3663" s="24">
        <v>17.608499999999999</v>
      </c>
      <c r="E3663" s="6" t="s">
        <v>5887</v>
      </c>
      <c r="F3663" s="6">
        <v>21</v>
      </c>
      <c r="G3663" s="8">
        <f t="shared" si="57"/>
        <v>27381.217499999999</v>
      </c>
    </row>
    <row r="3664" spans="1:7" x14ac:dyDescent="0.3">
      <c r="A3664" s="14" t="str">
        <f>VLOOKUP(B3664,'Relacion codigos'!$A:$B,2,FALSE)</f>
        <v>9134</v>
      </c>
      <c r="B3664" s="6" t="s">
        <v>2946</v>
      </c>
      <c r="C3664" s="6" t="s">
        <v>10702</v>
      </c>
      <c r="D3664" s="24">
        <v>37.447560640749998</v>
      </c>
      <c r="E3664" s="6" t="s">
        <v>5887</v>
      </c>
      <c r="F3664" s="6">
        <v>21</v>
      </c>
      <c r="G3664" s="8">
        <f t="shared" si="57"/>
        <v>58230.956796366248</v>
      </c>
    </row>
    <row r="3665" spans="1:7" x14ac:dyDescent="0.3">
      <c r="A3665" s="14" t="e">
        <f>VLOOKUP(B3665,'Relacion codigos'!$A:$B,2,FALSE)</f>
        <v>#N/A</v>
      </c>
      <c r="B3665" s="6" t="s">
        <v>10960</v>
      </c>
      <c r="C3665" s="6" t="s">
        <v>10961</v>
      </c>
      <c r="D3665" s="24">
        <v>38.731875000000002</v>
      </c>
      <c r="E3665" s="6" t="s">
        <v>5887</v>
      </c>
      <c r="F3665" s="6">
        <v>21</v>
      </c>
      <c r="G3665" s="8">
        <f t="shared" si="57"/>
        <v>60228.065625000003</v>
      </c>
    </row>
    <row r="3666" spans="1:7" x14ac:dyDescent="0.3">
      <c r="A3666" s="14" t="str">
        <f>VLOOKUP(B3666,'Relacion codigos'!$A:$B,2,FALSE)</f>
        <v>9311</v>
      </c>
      <c r="B3666" s="6" t="s">
        <v>2947</v>
      </c>
      <c r="C3666" s="6" t="s">
        <v>10703</v>
      </c>
      <c r="D3666" s="24">
        <v>37.447560640749998</v>
      </c>
      <c r="E3666" s="6" t="s">
        <v>5887</v>
      </c>
      <c r="F3666" s="6">
        <v>21</v>
      </c>
      <c r="G3666" s="8">
        <f t="shared" si="57"/>
        <v>58230.956796366248</v>
      </c>
    </row>
    <row r="3667" spans="1:7" x14ac:dyDescent="0.3">
      <c r="A3667" s="14" t="e">
        <f>VLOOKUP(B3667,'Relacion codigos'!$A:$B,2,FALSE)</f>
        <v>#N/A</v>
      </c>
      <c r="B3667" s="6" t="s">
        <v>10962</v>
      </c>
      <c r="C3667" s="6" t="s">
        <v>10963</v>
      </c>
      <c r="D3667" s="24">
        <v>45.263399999999997</v>
      </c>
      <c r="E3667" s="6" t="s">
        <v>5887</v>
      </c>
      <c r="F3667" s="6">
        <v>21</v>
      </c>
      <c r="G3667" s="8">
        <f t="shared" si="57"/>
        <v>70384.587</v>
      </c>
    </row>
    <row r="3668" spans="1:7" x14ac:dyDescent="0.3">
      <c r="A3668" s="14" t="str">
        <f>VLOOKUP(B3668,'Relacion codigos'!$A:$B,2,FALSE)</f>
        <v>8424</v>
      </c>
      <c r="B3668" s="6" t="s">
        <v>2948</v>
      </c>
      <c r="C3668" s="6" t="s">
        <v>10704</v>
      </c>
      <c r="D3668" s="24">
        <v>13.283347545</v>
      </c>
      <c r="E3668" s="6" t="s">
        <v>5887</v>
      </c>
      <c r="F3668" s="6">
        <v>21</v>
      </c>
      <c r="G3668" s="8">
        <f t="shared" si="57"/>
        <v>20655.605432475</v>
      </c>
    </row>
    <row r="3669" spans="1:7" x14ac:dyDescent="0.3">
      <c r="A3669" s="14" t="e">
        <f>VLOOKUP(B3669,'Relacion codigos'!$A:$B,2,FALSE)</f>
        <v>#N/A</v>
      </c>
      <c r="B3669" s="6" t="s">
        <v>10383</v>
      </c>
      <c r="C3669" s="6" t="s">
        <v>10384</v>
      </c>
      <c r="D3669" s="24">
        <v>16.400475</v>
      </c>
      <c r="E3669" s="6" t="s">
        <v>5887</v>
      </c>
      <c r="F3669" s="6">
        <v>21</v>
      </c>
      <c r="G3669" s="8">
        <f t="shared" si="57"/>
        <v>25502.738625000002</v>
      </c>
    </row>
    <row r="3670" spans="1:7" x14ac:dyDescent="0.3">
      <c r="A3670" s="14" t="e">
        <f>VLOOKUP(B3670,'Relacion codigos'!$A:$B,2,FALSE)</f>
        <v>#N/A</v>
      </c>
      <c r="B3670" s="6" t="s">
        <v>11383</v>
      </c>
      <c r="C3670" s="6" t="s">
        <v>11384</v>
      </c>
      <c r="D3670" s="24">
        <v>45.263399999999997</v>
      </c>
      <c r="E3670" s="6" t="s">
        <v>5887</v>
      </c>
      <c r="F3670" s="6">
        <v>21</v>
      </c>
      <c r="G3670" s="8">
        <f t="shared" si="57"/>
        <v>70384.587</v>
      </c>
    </row>
    <row r="3671" spans="1:7" x14ac:dyDescent="0.3">
      <c r="A3671" s="14" t="str">
        <f>VLOOKUP(B3671,'Relacion codigos'!$A:$B,2,FALSE)</f>
        <v>7947</v>
      </c>
      <c r="B3671" s="6" t="s">
        <v>2949</v>
      </c>
      <c r="C3671" s="6" t="s">
        <v>10705</v>
      </c>
      <c r="D3671" s="24">
        <v>13.283347545</v>
      </c>
      <c r="E3671" s="6" t="s">
        <v>5887</v>
      </c>
      <c r="F3671" s="6">
        <v>21</v>
      </c>
      <c r="G3671" s="8">
        <f t="shared" si="57"/>
        <v>20655.605432475</v>
      </c>
    </row>
    <row r="3672" spans="1:7" x14ac:dyDescent="0.3">
      <c r="A3672" s="14" t="e">
        <f>VLOOKUP(B3672,'Relacion codigos'!$A:$B,2,FALSE)</f>
        <v>#N/A</v>
      </c>
      <c r="B3672" s="6" t="s">
        <v>10385</v>
      </c>
      <c r="C3672" s="6" t="s">
        <v>10386</v>
      </c>
      <c r="D3672" s="24">
        <v>16.400475</v>
      </c>
      <c r="E3672" s="6" t="s">
        <v>5887</v>
      </c>
      <c r="F3672" s="6">
        <v>21</v>
      </c>
      <c r="G3672" s="8">
        <f t="shared" si="57"/>
        <v>25502.738625000002</v>
      </c>
    </row>
    <row r="3673" spans="1:7" x14ac:dyDescent="0.3">
      <c r="A3673" s="14" t="e">
        <f>VLOOKUP(B3673,'Relacion codigos'!$A:$B,2,FALSE)</f>
        <v>#N/A</v>
      </c>
      <c r="B3673" s="6" t="s">
        <v>12068</v>
      </c>
      <c r="C3673" s="6" t="s">
        <v>12069</v>
      </c>
      <c r="D3673" s="24">
        <v>45.263399999999997</v>
      </c>
      <c r="E3673" s="6" t="s">
        <v>5887</v>
      </c>
      <c r="F3673" s="6">
        <v>21</v>
      </c>
      <c r="G3673" s="8">
        <f t="shared" si="57"/>
        <v>70384.587</v>
      </c>
    </row>
    <row r="3674" spans="1:7" x14ac:dyDescent="0.3">
      <c r="A3674" s="14" t="str">
        <f>VLOOKUP(B3674,'Relacion codigos'!$A:$B,2,FALSE)</f>
        <v>7948</v>
      </c>
      <c r="B3674" s="6" t="s">
        <v>2950</v>
      </c>
      <c r="C3674" s="6" t="s">
        <v>10706</v>
      </c>
      <c r="D3674" s="24">
        <v>13.283347545</v>
      </c>
      <c r="E3674" s="6" t="s">
        <v>5887</v>
      </c>
      <c r="F3674" s="6">
        <v>21</v>
      </c>
      <c r="G3674" s="8">
        <f t="shared" si="57"/>
        <v>20655.605432475</v>
      </c>
    </row>
    <row r="3675" spans="1:7" x14ac:dyDescent="0.3">
      <c r="A3675" s="14" t="e">
        <f>VLOOKUP(B3675,'Relacion codigos'!$A:$B,2,FALSE)</f>
        <v>#N/A</v>
      </c>
      <c r="B3675" s="6" t="s">
        <v>10387</v>
      </c>
      <c r="C3675" s="6" t="s">
        <v>10388</v>
      </c>
      <c r="D3675" s="24">
        <v>16.400475</v>
      </c>
      <c r="E3675" s="6" t="s">
        <v>5887</v>
      </c>
      <c r="F3675" s="6">
        <v>21</v>
      </c>
      <c r="G3675" s="8">
        <f t="shared" si="57"/>
        <v>25502.738625000002</v>
      </c>
    </row>
    <row r="3676" spans="1:7" x14ac:dyDescent="0.3">
      <c r="A3676" s="14" t="e">
        <f>VLOOKUP(B3676,'Relacion codigos'!$A:$B,2,FALSE)</f>
        <v>#N/A</v>
      </c>
      <c r="B3676" s="6" t="s">
        <v>13517</v>
      </c>
      <c r="C3676" s="6" t="s">
        <v>13518</v>
      </c>
      <c r="D3676" s="24">
        <v>45.263399999999997</v>
      </c>
      <c r="E3676" s="6" t="s">
        <v>5887</v>
      </c>
      <c r="F3676" s="6">
        <v>21</v>
      </c>
      <c r="G3676" s="8">
        <f t="shared" si="57"/>
        <v>70384.587</v>
      </c>
    </row>
    <row r="3677" spans="1:7" x14ac:dyDescent="0.3">
      <c r="A3677" s="14" t="str">
        <f>VLOOKUP(B3677,'Relacion codigos'!$A:$B,2,FALSE)</f>
        <v>7949</v>
      </c>
      <c r="B3677" s="6" t="s">
        <v>2951</v>
      </c>
      <c r="C3677" s="6" t="s">
        <v>10707</v>
      </c>
      <c r="D3677" s="24">
        <v>13.283347545</v>
      </c>
      <c r="E3677" s="6" t="s">
        <v>5887</v>
      </c>
      <c r="F3677" s="6">
        <v>21</v>
      </c>
      <c r="G3677" s="8">
        <f t="shared" si="57"/>
        <v>20655.605432475</v>
      </c>
    </row>
    <row r="3678" spans="1:7" x14ac:dyDescent="0.3">
      <c r="A3678" s="14" t="e">
        <f>VLOOKUP(B3678,'Relacion codigos'!$A:$B,2,FALSE)</f>
        <v>#N/A</v>
      </c>
      <c r="B3678" s="6" t="s">
        <v>10389</v>
      </c>
      <c r="C3678" s="6" t="s">
        <v>10390</v>
      </c>
      <c r="D3678" s="24">
        <v>16.400475</v>
      </c>
      <c r="E3678" s="6" t="s">
        <v>5887</v>
      </c>
      <c r="F3678" s="6">
        <v>21</v>
      </c>
      <c r="G3678" s="8">
        <f t="shared" si="57"/>
        <v>25502.738625000002</v>
      </c>
    </row>
    <row r="3679" spans="1:7" x14ac:dyDescent="0.3">
      <c r="A3679" s="14" t="str">
        <f>VLOOKUP(B3679,'Relacion codigos'!$A:$B,2,FALSE)</f>
        <v>2105</v>
      </c>
      <c r="B3679" s="6" t="s">
        <v>2952</v>
      </c>
      <c r="C3679" s="6" t="s">
        <v>9859</v>
      </c>
      <c r="D3679" s="24">
        <v>40.7768868</v>
      </c>
      <c r="E3679" s="6" t="s">
        <v>5887</v>
      </c>
      <c r="F3679" s="6">
        <v>21</v>
      </c>
      <c r="G3679" s="8">
        <f t="shared" si="57"/>
        <v>63408.058974</v>
      </c>
    </row>
    <row r="3680" spans="1:7" x14ac:dyDescent="0.3">
      <c r="A3680" s="14" t="str">
        <f>VLOOKUP(B3680,'Relacion codigos'!$A:$B,2,FALSE)</f>
        <v>2104</v>
      </c>
      <c r="B3680" s="6" t="s">
        <v>2953</v>
      </c>
      <c r="C3680" s="6" t="s">
        <v>9860</v>
      </c>
      <c r="D3680" s="24">
        <v>40.7768868</v>
      </c>
      <c r="E3680" s="6" t="s">
        <v>5887</v>
      </c>
      <c r="F3680" s="6">
        <v>21</v>
      </c>
      <c r="G3680" s="8">
        <f t="shared" si="57"/>
        <v>63408.058974</v>
      </c>
    </row>
    <row r="3681" spans="1:7" x14ac:dyDescent="0.3">
      <c r="A3681" s="14" t="str">
        <f>VLOOKUP(B3681,'Relacion codigos'!$A:$B,2,FALSE)</f>
        <v>1849</v>
      </c>
      <c r="B3681" s="6" t="s">
        <v>2954</v>
      </c>
      <c r="C3681" s="6" t="s">
        <v>9861</v>
      </c>
      <c r="D3681" s="24">
        <v>40.7768868</v>
      </c>
      <c r="E3681" s="6" t="s">
        <v>5887</v>
      </c>
      <c r="F3681" s="6">
        <v>21</v>
      </c>
      <c r="G3681" s="8">
        <f t="shared" si="57"/>
        <v>63408.058974</v>
      </c>
    </row>
    <row r="3682" spans="1:7" x14ac:dyDescent="0.3">
      <c r="A3682" s="14" t="str">
        <f>VLOOKUP(B3682,'Relacion codigos'!$A:$B,2,FALSE)</f>
        <v>2291</v>
      </c>
      <c r="B3682" s="6" t="s">
        <v>2955</v>
      </c>
      <c r="C3682" s="6" t="s">
        <v>9862</v>
      </c>
      <c r="D3682" s="24">
        <v>40.7768868</v>
      </c>
      <c r="E3682" s="6" t="s">
        <v>5887</v>
      </c>
      <c r="F3682" s="6">
        <v>21</v>
      </c>
      <c r="G3682" s="8">
        <f t="shared" si="57"/>
        <v>63408.058974</v>
      </c>
    </row>
    <row r="3683" spans="1:7" x14ac:dyDescent="0.3">
      <c r="A3683" s="14" t="str">
        <f>VLOOKUP(B3683,'Relacion codigos'!$A:$B,2,FALSE)</f>
        <v>2290</v>
      </c>
      <c r="B3683" s="6" t="s">
        <v>2956</v>
      </c>
      <c r="C3683" s="6" t="s">
        <v>9863</v>
      </c>
      <c r="D3683" s="24">
        <v>40.7768868</v>
      </c>
      <c r="E3683" s="6" t="s">
        <v>5887</v>
      </c>
      <c r="F3683" s="6">
        <v>21</v>
      </c>
      <c r="G3683" s="8">
        <f t="shared" si="57"/>
        <v>63408.058974</v>
      </c>
    </row>
    <row r="3684" spans="1:7" x14ac:dyDescent="0.3">
      <c r="A3684" s="14" t="str">
        <f>VLOOKUP(B3684,'Relacion codigos'!$A:$B,2,FALSE)</f>
        <v>2293</v>
      </c>
      <c r="B3684" s="6" t="s">
        <v>2957</v>
      </c>
      <c r="C3684" s="6" t="s">
        <v>9864</v>
      </c>
      <c r="D3684" s="24">
        <v>40.7768868</v>
      </c>
      <c r="E3684" s="6" t="s">
        <v>5887</v>
      </c>
      <c r="F3684" s="6">
        <v>21</v>
      </c>
      <c r="G3684" s="8">
        <f t="shared" si="57"/>
        <v>63408.058974</v>
      </c>
    </row>
    <row r="3685" spans="1:7" x14ac:dyDescent="0.3">
      <c r="A3685" s="14" t="str">
        <f>VLOOKUP(B3685,'Relacion codigos'!$A:$B,2,FALSE)</f>
        <v>2292</v>
      </c>
      <c r="B3685" s="6" t="s">
        <v>2958</v>
      </c>
      <c r="C3685" s="6" t="s">
        <v>9865</v>
      </c>
      <c r="D3685" s="24">
        <v>40.7768868</v>
      </c>
      <c r="E3685" s="6" t="s">
        <v>5887</v>
      </c>
      <c r="F3685" s="6">
        <v>21</v>
      </c>
      <c r="G3685" s="8">
        <f t="shared" si="57"/>
        <v>63408.058974</v>
      </c>
    </row>
    <row r="3686" spans="1:7" x14ac:dyDescent="0.3">
      <c r="A3686" s="14" t="str">
        <f>VLOOKUP(B3686,'Relacion codigos'!$A:$B,2,FALSE)</f>
        <v>2299</v>
      </c>
      <c r="B3686" s="6" t="s">
        <v>2959</v>
      </c>
      <c r="C3686" s="6" t="s">
        <v>9866</v>
      </c>
      <c r="D3686" s="24">
        <v>40.7768868</v>
      </c>
      <c r="E3686" s="6" t="s">
        <v>5887</v>
      </c>
      <c r="F3686" s="6">
        <v>21</v>
      </c>
      <c r="G3686" s="8">
        <f t="shared" si="57"/>
        <v>63408.058974</v>
      </c>
    </row>
    <row r="3687" spans="1:7" x14ac:dyDescent="0.3">
      <c r="A3687" s="14" t="str">
        <f>VLOOKUP(B3687,'Relacion codigos'!$A:$B,2,FALSE)</f>
        <v>2298</v>
      </c>
      <c r="B3687" s="6" t="s">
        <v>2960</v>
      </c>
      <c r="C3687" s="6" t="s">
        <v>9867</v>
      </c>
      <c r="D3687" s="24">
        <v>40.7768868</v>
      </c>
      <c r="E3687" s="6" t="s">
        <v>5887</v>
      </c>
      <c r="F3687" s="6">
        <v>21</v>
      </c>
      <c r="G3687" s="8">
        <f t="shared" si="57"/>
        <v>63408.058974</v>
      </c>
    </row>
    <row r="3688" spans="1:7" x14ac:dyDescent="0.3">
      <c r="A3688" s="14" t="str">
        <f>VLOOKUP(B3688,'Relacion codigos'!$A:$B,2,FALSE)</f>
        <v>8127</v>
      </c>
      <c r="B3688" s="6" t="s">
        <v>2961</v>
      </c>
      <c r="C3688" s="6" t="s">
        <v>9868</v>
      </c>
      <c r="D3688" s="24">
        <v>42.925147199999998</v>
      </c>
      <c r="E3688" s="6" t="s">
        <v>5887</v>
      </c>
      <c r="F3688" s="6">
        <v>21</v>
      </c>
      <c r="G3688" s="8">
        <f t="shared" si="57"/>
        <v>66748.603896000001</v>
      </c>
    </row>
    <row r="3689" spans="1:7" x14ac:dyDescent="0.3">
      <c r="A3689" s="14" t="str">
        <f>VLOOKUP(B3689,'Relacion codigos'!$A:$B,2,FALSE)</f>
        <v>8128</v>
      </c>
      <c r="B3689" s="6" t="s">
        <v>2962</v>
      </c>
      <c r="C3689" s="6" t="s">
        <v>9869</v>
      </c>
      <c r="D3689" s="24">
        <v>56.610917999999998</v>
      </c>
      <c r="E3689" s="6" t="s">
        <v>5887</v>
      </c>
      <c r="F3689" s="6">
        <v>21</v>
      </c>
      <c r="G3689" s="8">
        <f t="shared" si="57"/>
        <v>88029.97748999999</v>
      </c>
    </row>
    <row r="3690" spans="1:7" x14ac:dyDescent="0.3">
      <c r="A3690" s="14" t="str">
        <f>VLOOKUP(B3690,'Relacion codigos'!$A:$B,2,FALSE)</f>
        <v>8129</v>
      </c>
      <c r="B3690" s="6" t="s">
        <v>2963</v>
      </c>
      <c r="C3690" s="6" t="s">
        <v>9870</v>
      </c>
      <c r="D3690" s="24">
        <v>65.038708799999995</v>
      </c>
      <c r="E3690" s="6" t="s">
        <v>5887</v>
      </c>
      <c r="F3690" s="6">
        <v>21</v>
      </c>
      <c r="G3690" s="8">
        <f t="shared" si="57"/>
        <v>101135.19218399998</v>
      </c>
    </row>
    <row r="3691" spans="1:7" x14ac:dyDescent="0.3">
      <c r="A3691" s="14" t="str">
        <f>VLOOKUP(B3691,'Relacion codigos'!$A:$B,2,FALSE)</f>
        <v>8130</v>
      </c>
      <c r="B3691" s="6" t="s">
        <v>2964</v>
      </c>
      <c r="C3691" s="6" t="s">
        <v>9871</v>
      </c>
      <c r="D3691" s="24">
        <v>65.038708799999995</v>
      </c>
      <c r="E3691" s="6" t="s">
        <v>5887</v>
      </c>
      <c r="F3691" s="6">
        <v>21</v>
      </c>
      <c r="G3691" s="8">
        <f t="shared" si="57"/>
        <v>101135.19218399998</v>
      </c>
    </row>
    <row r="3692" spans="1:7" x14ac:dyDescent="0.3">
      <c r="A3692" s="14" t="str">
        <f>VLOOKUP(B3692,'Relacion codigos'!$A:$B,2,FALSE)</f>
        <v>NUEVO</v>
      </c>
      <c r="B3692" s="6" t="s">
        <v>8731</v>
      </c>
      <c r="C3692" s="6" t="s">
        <v>9872</v>
      </c>
      <c r="D3692" s="24">
        <v>101.6342496</v>
      </c>
      <c r="E3692" s="6" t="s">
        <v>5887</v>
      </c>
      <c r="F3692" s="6">
        <v>21</v>
      </c>
      <c r="G3692" s="8">
        <f t="shared" si="57"/>
        <v>158041.25812800002</v>
      </c>
    </row>
    <row r="3693" spans="1:7" x14ac:dyDescent="0.3">
      <c r="A3693" s="14" t="str">
        <f>VLOOKUP(B3693,'Relacion codigos'!$A:$B,2,FALSE)</f>
        <v>NUEVO</v>
      </c>
      <c r="B3693" s="6" t="s">
        <v>8732</v>
      </c>
      <c r="C3693" s="6" t="s">
        <v>9873</v>
      </c>
      <c r="D3693" s="24">
        <v>102.9362256</v>
      </c>
      <c r="E3693" s="6" t="s">
        <v>5887</v>
      </c>
      <c r="F3693" s="6">
        <v>21</v>
      </c>
      <c r="G3693" s="8">
        <f t="shared" si="57"/>
        <v>160065.830808</v>
      </c>
    </row>
    <row r="3694" spans="1:7" x14ac:dyDescent="0.3">
      <c r="A3694" s="14" t="str">
        <f>VLOOKUP(B3694,'Relacion codigos'!$A:$B,2,FALSE)</f>
        <v>8991</v>
      </c>
      <c r="B3694" s="6" t="s">
        <v>2965</v>
      </c>
      <c r="C3694" s="6" t="s">
        <v>9874</v>
      </c>
      <c r="D3694" s="24">
        <v>226.34352000000001</v>
      </c>
      <c r="E3694" s="6" t="s">
        <v>5887</v>
      </c>
      <c r="F3694" s="6">
        <v>21</v>
      </c>
      <c r="G3694" s="8">
        <f t="shared" si="57"/>
        <v>351964.17360000004</v>
      </c>
    </row>
    <row r="3695" spans="1:7" x14ac:dyDescent="0.3">
      <c r="A3695" s="14" t="str">
        <f>VLOOKUP(B3695,'Relacion codigos'!$A:$B,2,FALSE)</f>
        <v>8538</v>
      </c>
      <c r="B3695" s="6" t="s">
        <v>2966</v>
      </c>
      <c r="C3695" s="6" t="s">
        <v>10535</v>
      </c>
      <c r="D3695" s="24">
        <v>251.28136799999999</v>
      </c>
      <c r="E3695" s="6" t="s">
        <v>5887</v>
      </c>
      <c r="F3695" s="6">
        <v>21</v>
      </c>
      <c r="G3695" s="8">
        <f t="shared" si="57"/>
        <v>390742.52723999997</v>
      </c>
    </row>
    <row r="3696" spans="1:7" x14ac:dyDescent="0.3">
      <c r="A3696" s="14" t="str">
        <f>VLOOKUP(B3696,'Relacion codigos'!$A:$B,2,FALSE)</f>
        <v>8992</v>
      </c>
      <c r="B3696" s="6" t="s">
        <v>2967</v>
      </c>
      <c r="C3696" s="6" t="s">
        <v>9875</v>
      </c>
      <c r="D3696" s="24">
        <v>251.28136799999999</v>
      </c>
      <c r="E3696" s="6" t="s">
        <v>5887</v>
      </c>
      <c r="F3696" s="6">
        <v>21</v>
      </c>
      <c r="G3696" s="8">
        <f t="shared" si="57"/>
        <v>390742.52723999997</v>
      </c>
    </row>
    <row r="3697" spans="1:7" x14ac:dyDescent="0.3">
      <c r="A3697" s="14" t="str">
        <f>VLOOKUP(B3697,'Relacion codigos'!$A:$B,2,FALSE)</f>
        <v>8993</v>
      </c>
      <c r="B3697" s="6" t="s">
        <v>2968</v>
      </c>
      <c r="C3697" s="6" t="s">
        <v>9876</v>
      </c>
      <c r="D3697" s="24">
        <v>267.34574880000002</v>
      </c>
      <c r="E3697" s="6" t="s">
        <v>5887</v>
      </c>
      <c r="F3697" s="6">
        <v>21</v>
      </c>
      <c r="G3697" s="8">
        <f t="shared" si="57"/>
        <v>415722.63938400004</v>
      </c>
    </row>
    <row r="3698" spans="1:7" x14ac:dyDescent="0.3">
      <c r="A3698" s="14" t="e">
        <f>VLOOKUP(B3698,'Relacion codigos'!$A:$B,2,FALSE)</f>
        <v>#N/A</v>
      </c>
      <c r="B3698" s="6" t="s">
        <v>14024</v>
      </c>
      <c r="C3698" s="6" t="s">
        <v>14025</v>
      </c>
      <c r="D3698" s="24">
        <v>93.645825000000002</v>
      </c>
      <c r="E3698" s="6" t="s">
        <v>5887</v>
      </c>
      <c r="F3698" s="6">
        <v>21</v>
      </c>
      <c r="G3698" s="8">
        <f t="shared" si="57"/>
        <v>145619.25787500001</v>
      </c>
    </row>
    <row r="3699" spans="1:7" x14ac:dyDescent="0.3">
      <c r="A3699" s="14" t="e">
        <f>VLOOKUP(B3699,'Relacion codigos'!$A:$B,2,FALSE)</f>
        <v>#N/A</v>
      </c>
      <c r="B3699" s="6" t="s">
        <v>10031</v>
      </c>
      <c r="C3699" s="6" t="s">
        <v>14026</v>
      </c>
      <c r="D3699" s="24">
        <v>97.017375000000001</v>
      </c>
      <c r="E3699" s="6" t="s">
        <v>5887</v>
      </c>
      <c r="F3699" s="6">
        <v>21</v>
      </c>
      <c r="G3699" s="8">
        <f t="shared" si="57"/>
        <v>150862.018125</v>
      </c>
    </row>
    <row r="3700" spans="1:7" x14ac:dyDescent="0.3">
      <c r="A3700" s="14" t="e">
        <f>VLOOKUP(B3700,'Relacion codigos'!$A:$B,2,FALSE)</f>
        <v>#N/A</v>
      </c>
      <c r="B3700" s="6" t="s">
        <v>11798</v>
      </c>
      <c r="C3700" s="6" t="s">
        <v>12746</v>
      </c>
      <c r="D3700" s="24">
        <v>14.850613674</v>
      </c>
      <c r="E3700" s="6" t="s">
        <v>5887</v>
      </c>
      <c r="F3700" s="6">
        <v>21</v>
      </c>
      <c r="G3700" s="8">
        <f t="shared" si="57"/>
        <v>23092.704263070002</v>
      </c>
    </row>
    <row r="3701" spans="1:7" x14ac:dyDescent="0.3">
      <c r="A3701" s="14" t="e">
        <f>VLOOKUP(B3701,'Relacion codigos'!$A:$B,2,FALSE)</f>
        <v>#N/A</v>
      </c>
      <c r="B3701" s="6" t="s">
        <v>12747</v>
      </c>
      <c r="C3701" s="6" t="s">
        <v>12748</v>
      </c>
      <c r="D3701" s="24">
        <v>18.213016769999999</v>
      </c>
      <c r="E3701" s="6" t="s">
        <v>5887</v>
      </c>
      <c r="F3701" s="6">
        <v>21</v>
      </c>
      <c r="G3701" s="8">
        <f t="shared" si="57"/>
        <v>28321.241077349998</v>
      </c>
    </row>
    <row r="3702" spans="1:7" x14ac:dyDescent="0.3">
      <c r="A3702" s="14" t="e">
        <f>VLOOKUP(B3702,'Relacion codigos'!$A:$B,2,FALSE)</f>
        <v>#N/A</v>
      </c>
      <c r="B3702" s="6" t="s">
        <v>12749</v>
      </c>
      <c r="C3702" s="6" t="s">
        <v>12750</v>
      </c>
      <c r="D3702" s="24">
        <v>22.883021070000002</v>
      </c>
      <c r="E3702" s="6" t="s">
        <v>5887</v>
      </c>
      <c r="F3702" s="6">
        <v>21</v>
      </c>
      <c r="G3702" s="8">
        <f t="shared" si="57"/>
        <v>35583.097763850004</v>
      </c>
    </row>
    <row r="3703" spans="1:7" x14ac:dyDescent="0.3">
      <c r="A3703" s="14" t="e">
        <f>VLOOKUP(B3703,'Relacion codigos'!$A:$B,2,FALSE)</f>
        <v>#N/A</v>
      </c>
      <c r="B3703" s="6" t="s">
        <v>12321</v>
      </c>
      <c r="C3703" s="6" t="s">
        <v>12751</v>
      </c>
      <c r="D3703" s="24">
        <v>24.564222617999999</v>
      </c>
      <c r="E3703" s="6" t="s">
        <v>5887</v>
      </c>
      <c r="F3703" s="6">
        <v>21</v>
      </c>
      <c r="G3703" s="8">
        <f t="shared" si="57"/>
        <v>38197.366170989997</v>
      </c>
    </row>
    <row r="3704" spans="1:7" x14ac:dyDescent="0.3">
      <c r="A3704" s="14" t="e">
        <f>VLOOKUP(B3704,'Relacion codigos'!$A:$B,2,FALSE)</f>
        <v>#N/A</v>
      </c>
      <c r="B3704" s="6" t="s">
        <v>9310</v>
      </c>
      <c r="C3704" s="6" t="s">
        <v>12752</v>
      </c>
      <c r="D3704" s="24">
        <v>29.888027520000001</v>
      </c>
      <c r="E3704" s="6" t="s">
        <v>5887</v>
      </c>
      <c r="F3704" s="6">
        <v>21</v>
      </c>
      <c r="G3704" s="8">
        <f t="shared" si="57"/>
        <v>46475.882793600002</v>
      </c>
    </row>
    <row r="3705" spans="1:7" x14ac:dyDescent="0.3">
      <c r="A3705" s="14" t="e">
        <f>VLOOKUP(B3705,'Relacion codigos'!$A:$B,2,FALSE)</f>
        <v>#N/A</v>
      </c>
      <c r="B3705" s="6" t="s">
        <v>12753</v>
      </c>
      <c r="C3705" s="6" t="s">
        <v>12754</v>
      </c>
      <c r="D3705" s="24">
        <v>24.508575</v>
      </c>
      <c r="E3705" s="6" t="s">
        <v>5887</v>
      </c>
      <c r="F3705" s="6">
        <v>21</v>
      </c>
      <c r="G3705" s="8">
        <f t="shared" si="57"/>
        <v>38110.834125000001</v>
      </c>
    </row>
    <row r="3706" spans="1:7" x14ac:dyDescent="0.3">
      <c r="A3706" s="14" t="e">
        <f>VLOOKUP(B3706,'Relacion codigos'!$A:$B,2,FALSE)</f>
        <v>#N/A</v>
      </c>
      <c r="B3706" s="6" t="s">
        <v>12563</v>
      </c>
      <c r="C3706" s="6" t="s">
        <v>12564</v>
      </c>
      <c r="D3706" s="24">
        <v>6.7072705504999997</v>
      </c>
      <c r="E3706" s="6" t="s">
        <v>5887</v>
      </c>
      <c r="F3706" s="6">
        <v>21</v>
      </c>
      <c r="G3706" s="8">
        <f t="shared" si="57"/>
        <v>10429.805706027499</v>
      </c>
    </row>
    <row r="3707" spans="1:7" x14ac:dyDescent="0.3">
      <c r="A3707" s="14" t="e">
        <f>VLOOKUP(B3707,'Relacion codigos'!$A:$B,2,FALSE)</f>
        <v>#N/A</v>
      </c>
      <c r="B3707" s="6" t="s">
        <v>9089</v>
      </c>
      <c r="C3707" s="6" t="s">
        <v>9090</v>
      </c>
      <c r="D3707" s="24">
        <v>3.1240465522499998</v>
      </c>
      <c r="E3707" s="6" t="s">
        <v>5887</v>
      </c>
      <c r="F3707" s="6">
        <v>21</v>
      </c>
      <c r="G3707" s="8">
        <f t="shared" si="57"/>
        <v>4857.8923887487499</v>
      </c>
    </row>
    <row r="3708" spans="1:7" x14ac:dyDescent="0.3">
      <c r="A3708" s="14" t="e">
        <f>VLOOKUP(B3708,'Relacion codigos'!$A:$B,2,FALSE)</f>
        <v>#N/A</v>
      </c>
      <c r="B3708" s="6" t="s">
        <v>9087</v>
      </c>
      <c r="C3708" s="6" t="s">
        <v>9088</v>
      </c>
      <c r="D3708" s="24">
        <v>3.1240465522499998</v>
      </c>
      <c r="E3708" s="6" t="s">
        <v>5887</v>
      </c>
      <c r="F3708" s="6">
        <v>21</v>
      </c>
      <c r="G3708" s="8">
        <f t="shared" si="57"/>
        <v>4857.8923887487499</v>
      </c>
    </row>
    <row r="3709" spans="1:7" x14ac:dyDescent="0.3">
      <c r="A3709" s="14" t="str">
        <f>VLOOKUP(B3709,'Relacion codigos'!$A:$B,2,FALSE)</f>
        <v>8290</v>
      </c>
      <c r="B3709" s="6" t="s">
        <v>2847</v>
      </c>
      <c r="C3709" s="6" t="s">
        <v>12578</v>
      </c>
      <c r="D3709" s="24">
        <v>3.1240465522499998</v>
      </c>
      <c r="E3709" s="6" t="s">
        <v>5887</v>
      </c>
      <c r="F3709" s="6">
        <v>21</v>
      </c>
      <c r="G3709" s="8">
        <f t="shared" si="57"/>
        <v>4857.8923887487499</v>
      </c>
    </row>
    <row r="3710" spans="1:7" x14ac:dyDescent="0.3">
      <c r="A3710" s="14" t="str">
        <f>VLOOKUP(B3710,'Relacion codigos'!$A:$B,2,FALSE)</f>
        <v>5052</v>
      </c>
      <c r="B3710" s="6" t="s">
        <v>1364</v>
      </c>
      <c r="C3710" s="6" t="s">
        <v>592</v>
      </c>
      <c r="D3710" s="24">
        <v>11294.916800700001</v>
      </c>
      <c r="E3710" s="6" t="s">
        <v>5889</v>
      </c>
      <c r="F3710" s="6">
        <v>21</v>
      </c>
      <c r="G3710" s="8">
        <f t="shared" si="57"/>
        <v>11294.916800700001</v>
      </c>
    </row>
    <row r="3711" spans="1:7" x14ac:dyDescent="0.3">
      <c r="A3711" s="14" t="str">
        <f>VLOOKUP(B3711,'Relacion codigos'!$A:$B,2,FALSE)</f>
        <v>654</v>
      </c>
      <c r="B3711" s="6" t="s">
        <v>1619</v>
      </c>
      <c r="C3711" s="6" t="s">
        <v>593</v>
      </c>
      <c r="D3711" s="24">
        <v>76.504999999999995</v>
      </c>
      <c r="E3711" s="6" t="s">
        <v>5889</v>
      </c>
      <c r="F3711" s="6">
        <v>21</v>
      </c>
      <c r="G3711" s="8">
        <f t="shared" si="57"/>
        <v>76.504999999999995</v>
      </c>
    </row>
    <row r="3712" spans="1:7" x14ac:dyDescent="0.3">
      <c r="A3712" s="14" t="e">
        <f>VLOOKUP(B3712,'Relacion codigos'!$A:$B,2,FALSE)</f>
        <v>#N/A</v>
      </c>
      <c r="B3712" s="6" t="s">
        <v>8802</v>
      </c>
      <c r="C3712" s="6" t="s">
        <v>9747</v>
      </c>
      <c r="D3712" s="24">
        <v>547.74927084799901</v>
      </c>
      <c r="E3712" s="6" t="s">
        <v>5889</v>
      </c>
      <c r="F3712" s="6">
        <v>21</v>
      </c>
      <c r="G3712" s="8">
        <f t="shared" si="57"/>
        <v>547.74927084799901</v>
      </c>
    </row>
    <row r="3713" spans="1:7" x14ac:dyDescent="0.3">
      <c r="A3713" s="14" t="str">
        <f>VLOOKUP(B3713,'Relacion codigos'!$A:$B,2,FALSE)</f>
        <v>1152</v>
      </c>
      <c r="B3713" s="6" t="s">
        <v>3583</v>
      </c>
      <c r="C3713" s="6" t="s">
        <v>594</v>
      </c>
      <c r="D3713" s="24">
        <v>3060.2</v>
      </c>
      <c r="E3713" s="6" t="s">
        <v>5889</v>
      </c>
      <c r="F3713" s="6">
        <v>21</v>
      </c>
      <c r="G3713" s="8">
        <f t="shared" si="57"/>
        <v>3060.2</v>
      </c>
    </row>
    <row r="3714" spans="1:7" x14ac:dyDescent="0.3">
      <c r="A3714" s="14" t="str">
        <f>VLOOKUP(B3714,'Relacion codigos'!$A:$B,2,FALSE)</f>
        <v>1151</v>
      </c>
      <c r="B3714" s="6" t="s">
        <v>3584</v>
      </c>
      <c r="C3714" s="6" t="s">
        <v>595</v>
      </c>
      <c r="D3714" s="24">
        <v>3060.2</v>
      </c>
      <c r="E3714" s="6" t="s">
        <v>5889</v>
      </c>
      <c r="F3714" s="6">
        <v>21</v>
      </c>
      <c r="G3714" s="8">
        <f t="shared" ref="G3714:G3777" si="58">IF(E3714="Dolares",D3714*$G$1,D3714)</f>
        <v>3060.2</v>
      </c>
    </row>
    <row r="3715" spans="1:7" x14ac:dyDescent="0.3">
      <c r="A3715" s="14" t="str">
        <f>VLOOKUP(B3715,'Relacion codigos'!$A:$B,2,FALSE)</f>
        <v>969</v>
      </c>
      <c r="B3715" s="6" t="s">
        <v>3585</v>
      </c>
      <c r="C3715" s="6" t="s">
        <v>596</v>
      </c>
      <c r="D3715" s="24">
        <v>4173</v>
      </c>
      <c r="E3715" s="6" t="s">
        <v>5889</v>
      </c>
      <c r="F3715" s="6">
        <v>21</v>
      </c>
      <c r="G3715" s="8">
        <f t="shared" si="58"/>
        <v>4173</v>
      </c>
    </row>
    <row r="3716" spans="1:7" x14ac:dyDescent="0.3">
      <c r="A3716" s="14" t="str">
        <f>VLOOKUP(B3716,'Relacion codigos'!$A:$B,2,FALSE)</f>
        <v>1150</v>
      </c>
      <c r="B3716" s="6" t="s">
        <v>3586</v>
      </c>
      <c r="C3716" s="6" t="s">
        <v>597</v>
      </c>
      <c r="D3716" s="24">
        <v>3060.2</v>
      </c>
      <c r="E3716" s="6" t="s">
        <v>5889</v>
      </c>
      <c r="F3716" s="6">
        <v>21</v>
      </c>
      <c r="G3716" s="8">
        <f t="shared" si="58"/>
        <v>3060.2</v>
      </c>
    </row>
    <row r="3717" spans="1:7" x14ac:dyDescent="0.3">
      <c r="A3717" s="14" t="str">
        <f>VLOOKUP(B3717,'Relacion codigos'!$A:$B,2,FALSE)</f>
        <v>1293</v>
      </c>
      <c r="B3717" s="6" t="s">
        <v>3587</v>
      </c>
      <c r="C3717" s="6" t="s">
        <v>598</v>
      </c>
      <c r="D3717" s="24">
        <v>4173</v>
      </c>
      <c r="E3717" s="6" t="s">
        <v>5889</v>
      </c>
      <c r="F3717" s="6">
        <v>21</v>
      </c>
      <c r="G3717" s="8">
        <f t="shared" si="58"/>
        <v>4173</v>
      </c>
    </row>
    <row r="3718" spans="1:7" x14ac:dyDescent="0.3">
      <c r="A3718" s="14" t="e">
        <f>VLOOKUP(B3718,'Relacion codigos'!$A:$B,2,FALSE)</f>
        <v>#N/A</v>
      </c>
      <c r="B3718" s="6" t="s">
        <v>13633</v>
      </c>
      <c r="C3718" s="6" t="s">
        <v>13634</v>
      </c>
      <c r="D3718" s="24">
        <v>18445.7843230701</v>
      </c>
      <c r="E3718" s="6" t="s">
        <v>5889</v>
      </c>
      <c r="F3718" s="6">
        <v>21</v>
      </c>
      <c r="G3718" s="8">
        <f t="shared" si="58"/>
        <v>18445.7843230701</v>
      </c>
    </row>
    <row r="3719" spans="1:7" x14ac:dyDescent="0.3">
      <c r="A3719" s="14" t="str">
        <f>VLOOKUP(B3719,'Relacion codigos'!$A:$B,2,FALSE)</f>
        <v>2378</v>
      </c>
      <c r="B3719" s="6" t="s">
        <v>2384</v>
      </c>
      <c r="C3719" s="6" t="s">
        <v>11025</v>
      </c>
      <c r="D3719" s="24">
        <v>21335.997691616401</v>
      </c>
      <c r="E3719" s="6" t="s">
        <v>5889</v>
      </c>
      <c r="F3719" s="6">
        <v>21</v>
      </c>
      <c r="G3719" s="8">
        <f t="shared" si="58"/>
        <v>21335.997691616401</v>
      </c>
    </row>
    <row r="3720" spans="1:7" x14ac:dyDescent="0.3">
      <c r="A3720" s="14" t="str">
        <f>VLOOKUP(B3720,'Relacion codigos'!$A:$B,2,FALSE)</f>
        <v>397</v>
      </c>
      <c r="B3720" s="6" t="s">
        <v>2385</v>
      </c>
      <c r="C3720" s="6" t="s">
        <v>11026</v>
      </c>
      <c r="D3720" s="24">
        <v>17770.101475510801</v>
      </c>
      <c r="E3720" s="6" t="s">
        <v>5889</v>
      </c>
      <c r="F3720" s="6">
        <v>21</v>
      </c>
      <c r="G3720" s="8">
        <f t="shared" si="58"/>
        <v>17770.101475510801</v>
      </c>
    </row>
    <row r="3721" spans="1:7" x14ac:dyDescent="0.3">
      <c r="A3721" s="14" t="str">
        <f>VLOOKUP(B3721,'Relacion codigos'!$A:$B,2,FALSE)</f>
        <v>8763</v>
      </c>
      <c r="B3721" s="6" t="s">
        <v>2386</v>
      </c>
      <c r="C3721" s="6" t="s">
        <v>11027</v>
      </c>
      <c r="D3721" s="24">
        <v>15094.367583941301</v>
      </c>
      <c r="E3721" s="6" t="s">
        <v>5889</v>
      </c>
      <c r="F3721" s="6">
        <v>21</v>
      </c>
      <c r="G3721" s="8">
        <f t="shared" si="58"/>
        <v>15094.367583941301</v>
      </c>
    </row>
    <row r="3722" spans="1:7" x14ac:dyDescent="0.3">
      <c r="A3722" s="14" t="str">
        <f>VLOOKUP(B3722,'Relacion codigos'!$A:$B,2,FALSE)</f>
        <v>2175</v>
      </c>
      <c r="B3722" s="6" t="s">
        <v>2388</v>
      </c>
      <c r="C3722" s="6" t="s">
        <v>11028</v>
      </c>
      <c r="D3722" s="24">
        <v>25937.9676897588</v>
      </c>
      <c r="E3722" s="6" t="s">
        <v>5889</v>
      </c>
      <c r="F3722" s="6">
        <v>21</v>
      </c>
      <c r="G3722" s="8">
        <f t="shared" si="58"/>
        <v>25937.9676897588</v>
      </c>
    </row>
    <row r="3723" spans="1:7" x14ac:dyDescent="0.3">
      <c r="A3723" s="14" t="str">
        <f>VLOOKUP(B3723,'Relacion codigos'!$A:$B,2,FALSE)</f>
        <v>2173</v>
      </c>
      <c r="B3723" s="6" t="s">
        <v>2387</v>
      </c>
      <c r="C3723" s="6" t="s">
        <v>11029</v>
      </c>
      <c r="D3723" s="24">
        <v>20177.526783304798</v>
      </c>
      <c r="E3723" s="6" t="s">
        <v>5889</v>
      </c>
      <c r="F3723" s="6">
        <v>21</v>
      </c>
      <c r="G3723" s="8">
        <f t="shared" si="58"/>
        <v>20177.526783304798</v>
      </c>
    </row>
    <row r="3724" spans="1:7" x14ac:dyDescent="0.3">
      <c r="A3724" s="14" t="str">
        <f>VLOOKUP(B3724,'Relacion codigos'!$A:$B,2,FALSE)</f>
        <v>8764</v>
      </c>
      <c r="B3724" s="6" t="s">
        <v>2389</v>
      </c>
      <c r="C3724" s="6" t="s">
        <v>11030</v>
      </c>
      <c r="D3724" s="24">
        <v>18128.411002597601</v>
      </c>
      <c r="E3724" s="6" t="s">
        <v>5889</v>
      </c>
      <c r="F3724" s="6">
        <v>21</v>
      </c>
      <c r="G3724" s="8">
        <f t="shared" si="58"/>
        <v>18128.411002597601</v>
      </c>
    </row>
    <row r="3725" spans="1:7" x14ac:dyDescent="0.3">
      <c r="A3725" s="14" t="e">
        <f>VLOOKUP(B3725,'Relacion codigos'!$A:$B,2,FALSE)</f>
        <v>#N/A</v>
      </c>
      <c r="B3725" s="6" t="s">
        <v>9080</v>
      </c>
      <c r="C3725" s="6" t="s">
        <v>11031</v>
      </c>
      <c r="D3725" s="24">
        <v>18128.411002597601</v>
      </c>
      <c r="E3725" s="6" t="s">
        <v>5889</v>
      </c>
      <c r="F3725" s="6">
        <v>21</v>
      </c>
      <c r="G3725" s="8">
        <f t="shared" si="58"/>
        <v>18128.411002597601</v>
      </c>
    </row>
    <row r="3726" spans="1:7" x14ac:dyDescent="0.3">
      <c r="A3726" s="14" t="str">
        <f>VLOOKUP(B3726,'Relacion codigos'!$A:$B,2,FALSE)</f>
        <v>2377</v>
      </c>
      <c r="B3726" s="6" t="s">
        <v>2391</v>
      </c>
      <c r="C3726" s="6" t="s">
        <v>11032</v>
      </c>
      <c r="D3726" s="24">
        <v>27391.723079292002</v>
      </c>
      <c r="E3726" s="6" t="s">
        <v>5889</v>
      </c>
      <c r="F3726" s="6">
        <v>21</v>
      </c>
      <c r="G3726" s="8">
        <f t="shared" si="58"/>
        <v>27391.723079292002</v>
      </c>
    </row>
    <row r="3727" spans="1:7" x14ac:dyDescent="0.3">
      <c r="A3727" s="14" t="str">
        <f>VLOOKUP(B3727,'Relacion codigos'!$A:$B,2,FALSE)</f>
        <v>2174</v>
      </c>
      <c r="B3727" s="6" t="s">
        <v>2392</v>
      </c>
      <c r="C3727" s="6" t="s">
        <v>11033</v>
      </c>
      <c r="D3727" s="24">
        <v>23640.965941039201</v>
      </c>
      <c r="E3727" s="6" t="s">
        <v>5889</v>
      </c>
      <c r="F3727" s="6">
        <v>21</v>
      </c>
      <c r="G3727" s="8">
        <f t="shared" si="58"/>
        <v>23640.965941039201</v>
      </c>
    </row>
    <row r="3728" spans="1:7" x14ac:dyDescent="0.3">
      <c r="A3728" s="14" t="str">
        <f>VLOOKUP(B3728,'Relacion codigos'!$A:$B,2,FALSE)</f>
        <v>8857</v>
      </c>
      <c r="B3728" s="6" t="s">
        <v>2390</v>
      </c>
      <c r="C3728" s="6" t="s">
        <v>11034</v>
      </c>
      <c r="D3728" s="24">
        <v>24196.497839910098</v>
      </c>
      <c r="E3728" s="6" t="s">
        <v>5889</v>
      </c>
      <c r="F3728" s="6">
        <v>21</v>
      </c>
      <c r="G3728" s="8">
        <f t="shared" si="58"/>
        <v>24196.497839910098</v>
      </c>
    </row>
    <row r="3729" spans="1:7" x14ac:dyDescent="0.3">
      <c r="A3729" s="14" t="e">
        <f>VLOOKUP(B3729,'Relacion codigos'!$A:$B,2,FALSE)</f>
        <v>#N/A</v>
      </c>
      <c r="B3729" s="6" t="s">
        <v>8854</v>
      </c>
      <c r="C3729" s="6" t="s">
        <v>11304</v>
      </c>
      <c r="D3729" s="24">
        <v>24196.497839910098</v>
      </c>
      <c r="E3729" s="6" t="s">
        <v>5889</v>
      </c>
      <c r="F3729" s="6">
        <v>21</v>
      </c>
      <c r="G3729" s="8">
        <f t="shared" si="58"/>
        <v>24196.497839910098</v>
      </c>
    </row>
    <row r="3730" spans="1:7" x14ac:dyDescent="0.3">
      <c r="A3730" s="14" t="str">
        <f>VLOOKUP(B3730,'Relacion codigos'!$A:$B,2,FALSE)</f>
        <v>2176</v>
      </c>
      <c r="B3730" s="6" t="s">
        <v>2393</v>
      </c>
      <c r="C3730" s="6" t="s">
        <v>11035</v>
      </c>
      <c r="D3730" s="24">
        <v>28671.95998602</v>
      </c>
      <c r="E3730" s="6" t="s">
        <v>5889</v>
      </c>
      <c r="F3730" s="6">
        <v>21</v>
      </c>
      <c r="G3730" s="8">
        <f t="shared" si="58"/>
        <v>28671.95998602</v>
      </c>
    </row>
    <row r="3731" spans="1:7" x14ac:dyDescent="0.3">
      <c r="A3731" s="14" t="e">
        <f>VLOOKUP(B3731,'Relacion codigos'!$A:$B,2,FALSE)</f>
        <v>#N/A</v>
      </c>
      <c r="B3731" s="6" t="s">
        <v>8855</v>
      </c>
      <c r="C3731" s="6" t="s">
        <v>11036</v>
      </c>
      <c r="D3731" s="24">
        <v>31023.092379633701</v>
      </c>
      <c r="E3731" s="6" t="s">
        <v>5889</v>
      </c>
      <c r="F3731" s="6">
        <v>21</v>
      </c>
      <c r="G3731" s="8">
        <f t="shared" si="58"/>
        <v>31023.092379633701</v>
      </c>
    </row>
    <row r="3732" spans="1:7" x14ac:dyDescent="0.3">
      <c r="A3732" s="14" t="str">
        <f>VLOOKUP(B3732,'Relacion codigos'!$A:$B,2,FALSE)</f>
        <v>2379</v>
      </c>
      <c r="B3732" s="6" t="s">
        <v>2394</v>
      </c>
      <c r="C3732" s="6" t="s">
        <v>11037</v>
      </c>
      <c r="D3732" s="24">
        <v>24763.5637800408</v>
      </c>
      <c r="E3732" s="6" t="s">
        <v>5889</v>
      </c>
      <c r="F3732" s="6">
        <v>21</v>
      </c>
      <c r="G3732" s="8">
        <f t="shared" si="58"/>
        <v>24763.5637800408</v>
      </c>
    </row>
    <row r="3733" spans="1:7" x14ac:dyDescent="0.3">
      <c r="A3733" s="14" t="str">
        <f>VLOOKUP(B3733,'Relacion codigos'!$A:$B,2,FALSE)</f>
        <v>8681</v>
      </c>
      <c r="B3733" s="6" t="s">
        <v>2395</v>
      </c>
      <c r="C3733" s="6" t="s">
        <v>11038</v>
      </c>
      <c r="D3733" s="24">
        <v>67167.514398582003</v>
      </c>
      <c r="E3733" s="6" t="s">
        <v>5889</v>
      </c>
      <c r="F3733" s="6">
        <v>21</v>
      </c>
      <c r="G3733" s="8">
        <f t="shared" si="58"/>
        <v>67167.514398582003</v>
      </c>
    </row>
    <row r="3734" spans="1:7" x14ac:dyDescent="0.3">
      <c r="A3734" s="14" t="str">
        <f>VLOOKUP(B3734,'Relacion codigos'!$A:$B,2,FALSE)</f>
        <v>8682</v>
      </c>
      <c r="B3734" s="6" t="s">
        <v>2396</v>
      </c>
      <c r="C3734" s="6" t="s">
        <v>11039</v>
      </c>
      <c r="D3734" s="24">
        <v>68347.038779604001</v>
      </c>
      <c r="E3734" s="6" t="s">
        <v>5889</v>
      </c>
      <c r="F3734" s="6">
        <v>21</v>
      </c>
      <c r="G3734" s="8">
        <f t="shared" si="58"/>
        <v>68347.038779604001</v>
      </c>
    </row>
    <row r="3735" spans="1:7" x14ac:dyDescent="0.3">
      <c r="A3735" s="14" t="e">
        <f>VLOOKUP(B3735,'Relacion codigos'!$A:$B,2,FALSE)</f>
        <v>#N/A</v>
      </c>
      <c r="B3735" s="6" t="s">
        <v>12269</v>
      </c>
      <c r="C3735" s="6" t="s">
        <v>12270</v>
      </c>
      <c r="D3735" s="24">
        <v>16.475003999999998</v>
      </c>
      <c r="E3735" s="6" t="s">
        <v>5887</v>
      </c>
      <c r="F3735" s="6">
        <v>21</v>
      </c>
      <c r="G3735" s="8">
        <f t="shared" si="58"/>
        <v>25618.631219999999</v>
      </c>
    </row>
    <row r="3736" spans="1:7" x14ac:dyDescent="0.3">
      <c r="A3736" s="14" t="e">
        <f>VLOOKUP(B3736,'Relacion codigos'!$A:$B,2,FALSE)</f>
        <v>#N/A</v>
      </c>
      <c r="B3736" s="6" t="s">
        <v>12271</v>
      </c>
      <c r="C3736" s="6" t="s">
        <v>12272</v>
      </c>
      <c r="D3736" s="24">
        <v>16.475003999999998</v>
      </c>
      <c r="E3736" s="6" t="s">
        <v>5887</v>
      </c>
      <c r="F3736" s="6">
        <v>21</v>
      </c>
      <c r="G3736" s="8">
        <f t="shared" si="58"/>
        <v>25618.631219999999</v>
      </c>
    </row>
    <row r="3737" spans="1:7" x14ac:dyDescent="0.3">
      <c r="A3737" s="14" t="e">
        <f>VLOOKUP(B3737,'Relacion codigos'!$A:$B,2,FALSE)</f>
        <v>#N/A</v>
      </c>
      <c r="B3737" s="6" t="s">
        <v>12273</v>
      </c>
      <c r="C3737" s="6" t="s">
        <v>12274</v>
      </c>
      <c r="D3737" s="24">
        <v>33.964047000000001</v>
      </c>
      <c r="E3737" s="6" t="s">
        <v>5887</v>
      </c>
      <c r="F3737" s="6">
        <v>21</v>
      </c>
      <c r="G3737" s="8">
        <f t="shared" si="58"/>
        <v>52814.093085</v>
      </c>
    </row>
    <row r="3738" spans="1:7" x14ac:dyDescent="0.3">
      <c r="A3738" s="14" t="e">
        <f>VLOOKUP(B3738,'Relacion codigos'!$A:$B,2,FALSE)</f>
        <v>#N/A</v>
      </c>
      <c r="B3738" s="6" t="s">
        <v>12275</v>
      </c>
      <c r="C3738" s="6" t="s">
        <v>12276</v>
      </c>
      <c r="D3738" s="24">
        <v>33.964047000000001</v>
      </c>
      <c r="E3738" s="6" t="s">
        <v>5887</v>
      </c>
      <c r="F3738" s="6">
        <v>21</v>
      </c>
      <c r="G3738" s="8">
        <f t="shared" si="58"/>
        <v>52814.093085</v>
      </c>
    </row>
    <row r="3739" spans="1:7" x14ac:dyDescent="0.3">
      <c r="A3739" s="14" t="e">
        <f>VLOOKUP(B3739,'Relacion codigos'!$A:$B,2,FALSE)</f>
        <v>#N/A</v>
      </c>
      <c r="B3739" s="6" t="s">
        <v>12277</v>
      </c>
      <c r="C3739" s="6" t="s">
        <v>12278</v>
      </c>
      <c r="D3739" s="24">
        <v>46.370376</v>
      </c>
      <c r="E3739" s="6" t="s">
        <v>5887</v>
      </c>
      <c r="F3739" s="6">
        <v>21</v>
      </c>
      <c r="G3739" s="8">
        <f t="shared" si="58"/>
        <v>72105.934680000006</v>
      </c>
    </row>
    <row r="3740" spans="1:7" x14ac:dyDescent="0.3">
      <c r="A3740" s="14" t="e">
        <f>VLOOKUP(B3740,'Relacion codigos'!$A:$B,2,FALSE)</f>
        <v>#N/A</v>
      </c>
      <c r="B3740" s="6" t="s">
        <v>12279</v>
      </c>
      <c r="C3740" s="6" t="s">
        <v>12280</v>
      </c>
      <c r="D3740" s="24">
        <v>46.370376</v>
      </c>
      <c r="E3740" s="6" t="s">
        <v>5887</v>
      </c>
      <c r="F3740" s="6">
        <v>21</v>
      </c>
      <c r="G3740" s="8">
        <f t="shared" si="58"/>
        <v>72105.934680000006</v>
      </c>
    </row>
    <row r="3741" spans="1:7" x14ac:dyDescent="0.3">
      <c r="A3741" s="14" t="str">
        <f>VLOOKUP(B3741,'Relacion codigos'!$A:$B,2,FALSE)</f>
        <v>6661</v>
      </c>
      <c r="B3741" s="6" t="s">
        <v>3915</v>
      </c>
      <c r="C3741" s="6" t="s">
        <v>599</v>
      </c>
      <c r="D3741" s="24">
        <v>28829.797145500001</v>
      </c>
      <c r="E3741" s="6" t="s">
        <v>5889</v>
      </c>
      <c r="F3741" s="6">
        <v>21</v>
      </c>
      <c r="G3741" s="8">
        <f t="shared" si="58"/>
        <v>28829.797145500001</v>
      </c>
    </row>
    <row r="3742" spans="1:7" x14ac:dyDescent="0.3">
      <c r="A3742" s="14" t="str">
        <f>VLOOKUP(B3742,'Relacion codigos'!$A:$B,2,FALSE)</f>
        <v>6662</v>
      </c>
      <c r="B3742" s="6" t="s">
        <v>3916</v>
      </c>
      <c r="C3742" s="6" t="s">
        <v>600</v>
      </c>
      <c r="D3742" s="24">
        <v>19122.544376000002</v>
      </c>
      <c r="E3742" s="6" t="s">
        <v>5889</v>
      </c>
      <c r="F3742" s="6">
        <v>21</v>
      </c>
      <c r="G3742" s="8">
        <f t="shared" si="58"/>
        <v>19122.544376000002</v>
      </c>
    </row>
    <row r="3743" spans="1:7" x14ac:dyDescent="0.3">
      <c r="A3743" s="14" t="str">
        <f>VLOOKUP(B3743,'Relacion codigos'!$A:$B,2,FALSE)</f>
        <v>6759</v>
      </c>
      <c r="B3743" s="6" t="s">
        <v>3918</v>
      </c>
      <c r="C3743" s="6" t="s">
        <v>11040</v>
      </c>
      <c r="D3743" s="24">
        <v>19122.544376000002</v>
      </c>
      <c r="E3743" s="6" t="s">
        <v>5889</v>
      </c>
      <c r="F3743" s="6">
        <v>21</v>
      </c>
      <c r="G3743" s="8">
        <f t="shared" si="58"/>
        <v>19122.544376000002</v>
      </c>
    </row>
    <row r="3744" spans="1:7" x14ac:dyDescent="0.3">
      <c r="A3744" s="14" t="str">
        <f>VLOOKUP(B3744,'Relacion codigos'!$A:$B,2,FALSE)</f>
        <v>6663</v>
      </c>
      <c r="B3744" s="6" t="s">
        <v>3917</v>
      </c>
      <c r="C3744" s="6" t="s">
        <v>601</v>
      </c>
      <c r="D3744" s="24">
        <v>19122.544376000002</v>
      </c>
      <c r="E3744" s="6" t="s">
        <v>5889</v>
      </c>
      <c r="F3744" s="6">
        <v>21</v>
      </c>
      <c r="G3744" s="8">
        <f t="shared" si="58"/>
        <v>19122.544376000002</v>
      </c>
    </row>
    <row r="3745" spans="1:7" x14ac:dyDescent="0.3">
      <c r="A3745" s="14" t="str">
        <f>VLOOKUP(B3745,'Relacion codigos'!$A:$B,2,FALSE)</f>
        <v>6664</v>
      </c>
      <c r="B3745" s="6" t="s">
        <v>3919</v>
      </c>
      <c r="C3745" s="6" t="s">
        <v>602</v>
      </c>
      <c r="D3745" s="24">
        <v>57793.232529499997</v>
      </c>
      <c r="E3745" s="6" t="s">
        <v>5889</v>
      </c>
      <c r="F3745" s="6">
        <v>21</v>
      </c>
      <c r="G3745" s="8">
        <f t="shared" si="58"/>
        <v>57793.232529499997</v>
      </c>
    </row>
    <row r="3746" spans="1:7" x14ac:dyDescent="0.3">
      <c r="A3746" s="14" t="str">
        <f>VLOOKUP(B3746,'Relacion codigos'!$A:$B,2,FALSE)</f>
        <v>7992</v>
      </c>
      <c r="B3746" s="6" t="s">
        <v>2476</v>
      </c>
      <c r="C3746" s="6" t="s">
        <v>12504</v>
      </c>
      <c r="D3746" s="24">
        <v>10930.6315229312</v>
      </c>
      <c r="E3746" s="6" t="s">
        <v>5889</v>
      </c>
      <c r="F3746" s="6">
        <v>21</v>
      </c>
      <c r="G3746" s="8">
        <f t="shared" si="58"/>
        <v>10930.6315229312</v>
      </c>
    </row>
    <row r="3747" spans="1:7" x14ac:dyDescent="0.3">
      <c r="A3747" s="14" t="str">
        <f>VLOOKUP(B3747,'Relacion codigos'!$A:$B,2,FALSE)</f>
        <v>2386</v>
      </c>
      <c r="B3747" s="6" t="s">
        <v>2381</v>
      </c>
      <c r="C3747" s="6" t="s">
        <v>9896</v>
      </c>
      <c r="D3747" s="24">
        <v>3834.9888912035999</v>
      </c>
      <c r="E3747" s="6" t="s">
        <v>5889</v>
      </c>
      <c r="F3747" s="6">
        <v>21</v>
      </c>
      <c r="G3747" s="8">
        <f t="shared" si="58"/>
        <v>3834.9888912035999</v>
      </c>
    </row>
    <row r="3748" spans="1:7" x14ac:dyDescent="0.3">
      <c r="A3748" s="14" t="str">
        <f>VLOOKUP(B3748,'Relacion codigos'!$A:$B,2,FALSE)</f>
        <v>5363</v>
      </c>
      <c r="B3748" s="6" t="s">
        <v>5320</v>
      </c>
      <c r="C3748" s="6" t="s">
        <v>603</v>
      </c>
      <c r="D3748" s="24">
        <v>22.312473086592</v>
      </c>
      <c r="E3748" s="6" t="s">
        <v>5887</v>
      </c>
      <c r="F3748" s="6">
        <v>21</v>
      </c>
      <c r="G3748" s="8">
        <f t="shared" si="58"/>
        <v>34695.895649650563</v>
      </c>
    </row>
    <row r="3749" spans="1:7" x14ac:dyDescent="0.3">
      <c r="A3749" s="14" t="str">
        <f>VLOOKUP(B3749,'Relacion codigos'!$A:$B,2,FALSE)</f>
        <v>4031</v>
      </c>
      <c r="B3749" s="6" t="s">
        <v>5323</v>
      </c>
      <c r="C3749" s="6" t="s">
        <v>11305</v>
      </c>
      <c r="D3749" s="24">
        <v>91.564003006164</v>
      </c>
      <c r="E3749" s="6" t="s">
        <v>5887</v>
      </c>
      <c r="F3749" s="6">
        <v>21</v>
      </c>
      <c r="G3749" s="8">
        <f t="shared" si="58"/>
        <v>142382.02467458503</v>
      </c>
    </row>
    <row r="3750" spans="1:7" x14ac:dyDescent="0.3">
      <c r="A3750" s="14" t="e">
        <f>VLOOKUP(B3750,'Relacion codigos'!$A:$B,2,FALSE)</f>
        <v>#N/A</v>
      </c>
      <c r="B3750" s="6" t="s">
        <v>12216</v>
      </c>
      <c r="C3750" s="6" t="s">
        <v>12604</v>
      </c>
      <c r="D3750" s="24">
        <v>4.2550689999999998</v>
      </c>
      <c r="E3750" s="6" t="s">
        <v>5887</v>
      </c>
      <c r="F3750" s="6">
        <v>21</v>
      </c>
      <c r="G3750" s="8">
        <f t="shared" si="58"/>
        <v>6616.6322949999994</v>
      </c>
    </row>
    <row r="3751" spans="1:7" x14ac:dyDescent="0.3">
      <c r="A3751" s="14" t="e">
        <f>VLOOKUP(B3751,'Relacion codigos'!$A:$B,2,FALSE)</f>
        <v>#N/A</v>
      </c>
      <c r="B3751" s="6" t="s">
        <v>12217</v>
      </c>
      <c r="C3751" s="6" t="s">
        <v>12605</v>
      </c>
      <c r="D3751" s="24">
        <v>4.2550689999999998</v>
      </c>
      <c r="E3751" s="6" t="s">
        <v>5887</v>
      </c>
      <c r="F3751" s="6">
        <v>21</v>
      </c>
      <c r="G3751" s="8">
        <f t="shared" si="58"/>
        <v>6616.6322949999994</v>
      </c>
    </row>
    <row r="3752" spans="1:7" x14ac:dyDescent="0.3">
      <c r="A3752" s="14" t="str">
        <f>VLOOKUP(B3752,'Relacion codigos'!$A:$B,2,FALSE)</f>
        <v>1207</v>
      </c>
      <c r="B3752" s="6" t="s">
        <v>3022</v>
      </c>
      <c r="C3752" s="6" t="s">
        <v>604</v>
      </c>
      <c r="D3752" s="24">
        <v>196.74693479999999</v>
      </c>
      <c r="E3752" s="6" t="s">
        <v>5889</v>
      </c>
      <c r="F3752" s="6">
        <v>21</v>
      </c>
      <c r="G3752" s="8">
        <f t="shared" si="58"/>
        <v>196.74693479999999</v>
      </c>
    </row>
    <row r="3753" spans="1:7" x14ac:dyDescent="0.3">
      <c r="A3753" s="14" t="str">
        <f>VLOOKUP(B3753,'Relacion codigos'!$A:$B,2,FALSE)</f>
        <v>1795</v>
      </c>
      <c r="B3753" s="6" t="s">
        <v>3092</v>
      </c>
      <c r="C3753" s="6" t="s">
        <v>605</v>
      </c>
      <c r="D3753" s="24">
        <v>55.290580800000001</v>
      </c>
      <c r="E3753" s="6" t="s">
        <v>5887</v>
      </c>
      <c r="F3753" s="6">
        <v>10.5</v>
      </c>
      <c r="G3753" s="8">
        <f t="shared" si="58"/>
        <v>85976.853144000008</v>
      </c>
    </row>
    <row r="3754" spans="1:7" x14ac:dyDescent="0.3">
      <c r="A3754" s="14" t="str">
        <f>VLOOKUP(B3754,'Relacion codigos'!$A:$B,2,FALSE)</f>
        <v>2561</v>
      </c>
      <c r="B3754" s="6" t="s">
        <v>3093</v>
      </c>
      <c r="C3754" s="6" t="s">
        <v>606</v>
      </c>
      <c r="D3754" s="24">
        <v>51.178506599999999</v>
      </c>
      <c r="E3754" s="6" t="s">
        <v>5887</v>
      </c>
      <c r="F3754" s="6">
        <v>10.5</v>
      </c>
      <c r="G3754" s="8">
        <f t="shared" si="58"/>
        <v>79582.577762999994</v>
      </c>
    </row>
    <row r="3755" spans="1:7" x14ac:dyDescent="0.3">
      <c r="A3755" s="14" t="str">
        <f>VLOOKUP(B3755,'Relacion codigos'!$A:$B,2,FALSE)</f>
        <v>2563</v>
      </c>
      <c r="B3755" s="6" t="s">
        <v>3094</v>
      </c>
      <c r="C3755" s="6" t="s">
        <v>1022</v>
      </c>
      <c r="D3755" s="24">
        <v>128.22293640000001</v>
      </c>
      <c r="E3755" s="6" t="s">
        <v>5887</v>
      </c>
      <c r="F3755" s="6">
        <v>10.5</v>
      </c>
      <c r="G3755" s="8">
        <f t="shared" si="58"/>
        <v>199386.66610200002</v>
      </c>
    </row>
    <row r="3756" spans="1:7" x14ac:dyDescent="0.3">
      <c r="A3756" s="14" t="str">
        <f>VLOOKUP(B3756,'Relacion codigos'!$A:$B,2,FALSE)</f>
        <v>2562</v>
      </c>
      <c r="B3756" s="6" t="s">
        <v>3095</v>
      </c>
      <c r="C3756" s="6" t="s">
        <v>1023</v>
      </c>
      <c r="D3756" s="24">
        <v>80.114923200000007</v>
      </c>
      <c r="E3756" s="6" t="s">
        <v>5887</v>
      </c>
      <c r="F3756" s="6">
        <v>10.5</v>
      </c>
      <c r="G3756" s="8">
        <f t="shared" si="58"/>
        <v>124578.70557600001</v>
      </c>
    </row>
    <row r="3757" spans="1:7" x14ac:dyDescent="0.3">
      <c r="A3757" s="14" t="e">
        <f>VLOOKUP(B3757,'Relacion codigos'!$A:$B,2,FALSE)</f>
        <v>#N/A</v>
      </c>
      <c r="B3757" s="6" t="s">
        <v>11878</v>
      </c>
      <c r="C3757" s="6" t="s">
        <v>11879</v>
      </c>
      <c r="D3757" s="24">
        <v>20.375354999999999</v>
      </c>
      <c r="E3757" s="6" t="s">
        <v>5887</v>
      </c>
      <c r="F3757" s="6">
        <v>21</v>
      </c>
      <c r="G3757" s="8">
        <f t="shared" si="58"/>
        <v>31683.677024999997</v>
      </c>
    </row>
    <row r="3758" spans="1:7" x14ac:dyDescent="0.3">
      <c r="A3758" s="14" t="e">
        <f>VLOOKUP(B3758,'Relacion codigos'!$A:$B,2,FALSE)</f>
        <v>#N/A</v>
      </c>
      <c r="B3758" s="6" t="s">
        <v>10783</v>
      </c>
      <c r="C3758" s="6" t="s">
        <v>10784</v>
      </c>
      <c r="D3758" s="24">
        <v>8.5585500000000003</v>
      </c>
      <c r="E3758" s="6" t="s">
        <v>5887</v>
      </c>
      <c r="F3758" s="6">
        <v>21</v>
      </c>
      <c r="G3758" s="8">
        <f t="shared" si="58"/>
        <v>13308.545250000001</v>
      </c>
    </row>
    <row r="3759" spans="1:7" x14ac:dyDescent="0.3">
      <c r="A3759" s="14" t="e">
        <f>VLOOKUP(B3759,'Relacion codigos'!$A:$B,2,FALSE)</f>
        <v>#N/A</v>
      </c>
      <c r="B3759" s="6" t="s">
        <v>9311</v>
      </c>
      <c r="C3759" s="6" t="s">
        <v>9312</v>
      </c>
      <c r="D3759" s="24">
        <v>4.1489962084999998</v>
      </c>
      <c r="E3759" s="6" t="s">
        <v>5887</v>
      </c>
      <c r="F3759" s="6">
        <v>21</v>
      </c>
      <c r="G3759" s="8">
        <f t="shared" si="58"/>
        <v>6451.6891042174993</v>
      </c>
    </row>
    <row r="3760" spans="1:7" x14ac:dyDescent="0.3">
      <c r="A3760" s="14" t="e">
        <f>VLOOKUP(B3760,'Relacion codigos'!$A:$B,2,FALSE)</f>
        <v>#N/A</v>
      </c>
      <c r="B3760" s="6" t="s">
        <v>10391</v>
      </c>
      <c r="C3760" s="6" t="s">
        <v>10392</v>
      </c>
      <c r="D3760" s="24">
        <v>7.9238249999999999</v>
      </c>
      <c r="E3760" s="6" t="s">
        <v>5887</v>
      </c>
      <c r="F3760" s="6">
        <v>21</v>
      </c>
      <c r="G3760" s="8">
        <f t="shared" si="58"/>
        <v>12321.547875</v>
      </c>
    </row>
    <row r="3761" spans="1:7" x14ac:dyDescent="0.3">
      <c r="A3761" s="14" t="str">
        <f>VLOOKUP(B3761,'Relacion codigos'!$A:$B,2,FALSE)</f>
        <v>7469</v>
      </c>
      <c r="B3761" s="6" t="s">
        <v>2868</v>
      </c>
      <c r="C3761" s="6" t="s">
        <v>607</v>
      </c>
      <c r="D3761" s="24">
        <v>22.3489188</v>
      </c>
      <c r="E3761" s="6" t="s">
        <v>5887</v>
      </c>
      <c r="F3761" s="6">
        <v>21</v>
      </c>
      <c r="G3761" s="8">
        <f t="shared" si="58"/>
        <v>34752.568734</v>
      </c>
    </row>
    <row r="3762" spans="1:7" x14ac:dyDescent="0.3">
      <c r="A3762" s="14" t="str">
        <f>VLOOKUP(B3762,'Relacion codigos'!$A:$B,2,FALSE)</f>
        <v>7471</v>
      </c>
      <c r="B3762" s="6" t="s">
        <v>2869</v>
      </c>
      <c r="C3762" s="6" t="s">
        <v>608</v>
      </c>
      <c r="D3762" s="24">
        <v>25.078060799999999</v>
      </c>
      <c r="E3762" s="6" t="s">
        <v>5887</v>
      </c>
      <c r="F3762" s="6">
        <v>21</v>
      </c>
      <c r="G3762" s="8">
        <f t="shared" si="58"/>
        <v>38996.384544</v>
      </c>
    </row>
    <row r="3763" spans="1:7" x14ac:dyDescent="0.3">
      <c r="A3763" s="14" t="str">
        <f>VLOOKUP(B3763,'Relacion codigos'!$A:$B,2,FALSE)</f>
        <v>7470</v>
      </c>
      <c r="B3763" s="6" t="s">
        <v>2870</v>
      </c>
      <c r="C3763" s="6" t="s">
        <v>9877</v>
      </c>
      <c r="D3763" s="24">
        <v>22.7395116</v>
      </c>
      <c r="E3763" s="6" t="s">
        <v>5887</v>
      </c>
      <c r="F3763" s="6">
        <v>21</v>
      </c>
      <c r="G3763" s="8">
        <f t="shared" si="58"/>
        <v>35359.940538000003</v>
      </c>
    </row>
    <row r="3764" spans="1:7" x14ac:dyDescent="0.3">
      <c r="A3764" s="14" t="str">
        <f>VLOOKUP(B3764,'Relacion codigos'!$A:$B,2,FALSE)</f>
        <v>7472</v>
      </c>
      <c r="B3764" s="6" t="s">
        <v>2871</v>
      </c>
      <c r="C3764" s="6" t="s">
        <v>1024</v>
      </c>
      <c r="D3764" s="24">
        <v>25.123129200000001</v>
      </c>
      <c r="E3764" s="6" t="s">
        <v>5887</v>
      </c>
      <c r="F3764" s="6">
        <v>21</v>
      </c>
      <c r="G3764" s="8">
        <f t="shared" si="58"/>
        <v>39066.465906000005</v>
      </c>
    </row>
    <row r="3765" spans="1:7" x14ac:dyDescent="0.3">
      <c r="A3765" s="14" t="e">
        <f>VLOOKUP(B3765,'Relacion codigos'!$A:$B,2,FALSE)</f>
        <v>#N/A</v>
      </c>
      <c r="B3765" s="6" t="s">
        <v>10393</v>
      </c>
      <c r="C3765" s="6" t="s">
        <v>13893</v>
      </c>
      <c r="D3765" s="24">
        <v>5.30985</v>
      </c>
      <c r="E3765" s="6" t="s">
        <v>5887</v>
      </c>
      <c r="F3765" s="6">
        <v>21</v>
      </c>
      <c r="G3765" s="8">
        <f t="shared" si="58"/>
        <v>8256.81675</v>
      </c>
    </row>
    <row r="3766" spans="1:7" x14ac:dyDescent="0.3">
      <c r="A3766" s="14" t="str">
        <f>VLOOKUP(B3766,'Relacion codigos'!$A:$B,2,FALSE)</f>
        <v>8677</v>
      </c>
      <c r="B3766" s="6" t="s">
        <v>2872</v>
      </c>
      <c r="C3766" s="6" t="s">
        <v>1119</v>
      </c>
      <c r="D3766" s="24">
        <v>7.8388149709999997</v>
      </c>
      <c r="E3766" s="6" t="s">
        <v>5887</v>
      </c>
      <c r="F3766" s="6">
        <v>21</v>
      </c>
      <c r="G3766" s="8">
        <f t="shared" si="58"/>
        <v>12189.357279905</v>
      </c>
    </row>
    <row r="3767" spans="1:7" x14ac:dyDescent="0.3">
      <c r="A3767" s="14" t="str">
        <f>VLOOKUP(B3767,'Relacion codigos'!$A:$B,2,FALSE)</f>
        <v>8481</v>
      </c>
      <c r="B3767" s="6" t="s">
        <v>2873</v>
      </c>
      <c r="C3767" s="6" t="s">
        <v>1074</v>
      </c>
      <c r="D3767" s="24">
        <v>10.8726659535</v>
      </c>
      <c r="E3767" s="6" t="s">
        <v>5887</v>
      </c>
      <c r="F3767" s="6">
        <v>21</v>
      </c>
      <c r="G3767" s="8">
        <f t="shared" si="58"/>
        <v>16906.995557692502</v>
      </c>
    </row>
    <row r="3768" spans="1:7" x14ac:dyDescent="0.3">
      <c r="A3768" s="14" t="str">
        <f>VLOOKUP(B3768,'Relacion codigos'!$A:$B,2,FALSE)</f>
        <v>8478</v>
      </c>
      <c r="B3768" s="6" t="s">
        <v>2874</v>
      </c>
      <c r="C3768" s="6" t="s">
        <v>1075</v>
      </c>
      <c r="D3768" s="24">
        <v>7.0434540377500001</v>
      </c>
      <c r="E3768" s="6" t="s">
        <v>5887</v>
      </c>
      <c r="F3768" s="6">
        <v>21</v>
      </c>
      <c r="G3768" s="8">
        <f t="shared" si="58"/>
        <v>10952.57102870125</v>
      </c>
    </row>
    <row r="3769" spans="1:7" x14ac:dyDescent="0.3">
      <c r="A3769" s="14" t="e">
        <f>VLOOKUP(B3769,'Relacion codigos'!$A:$B,2,FALSE)</f>
        <v>#N/A</v>
      </c>
      <c r="B3769" s="6" t="s">
        <v>10394</v>
      </c>
      <c r="C3769" s="6" t="s">
        <v>11041</v>
      </c>
      <c r="D3769" s="24">
        <v>5.30985</v>
      </c>
      <c r="E3769" s="6" t="s">
        <v>5887</v>
      </c>
      <c r="F3769" s="6">
        <v>10.5</v>
      </c>
      <c r="G3769" s="8">
        <f t="shared" si="58"/>
        <v>8256.81675</v>
      </c>
    </row>
    <row r="3770" spans="1:7" x14ac:dyDescent="0.3">
      <c r="A3770" s="14" t="e">
        <f>VLOOKUP(B3770,'Relacion codigos'!$A:$B,2,FALSE)</f>
        <v>#N/A</v>
      </c>
      <c r="B3770" s="6" t="s">
        <v>8826</v>
      </c>
      <c r="C3770" s="6" t="s">
        <v>11042</v>
      </c>
      <c r="D3770" s="24">
        <v>5.4117341850000003</v>
      </c>
      <c r="E3770" s="6" t="s">
        <v>5887</v>
      </c>
      <c r="F3770" s="6">
        <v>21</v>
      </c>
      <c r="G3770" s="8">
        <f t="shared" si="58"/>
        <v>8415.2466576750012</v>
      </c>
    </row>
    <row r="3771" spans="1:7" x14ac:dyDescent="0.3">
      <c r="A3771" s="14" t="e">
        <f>VLOOKUP(B3771,'Relacion codigos'!$A:$B,2,FALSE)</f>
        <v>#N/A</v>
      </c>
      <c r="B3771" s="6" t="s">
        <v>10397</v>
      </c>
      <c r="C3771" s="6" t="s">
        <v>11043</v>
      </c>
      <c r="D3771" s="24">
        <v>6.9819750000000003</v>
      </c>
      <c r="E3771" s="6" t="s">
        <v>5887</v>
      </c>
      <c r="F3771" s="6">
        <v>21</v>
      </c>
      <c r="G3771" s="8">
        <f t="shared" si="58"/>
        <v>10856.971125</v>
      </c>
    </row>
    <row r="3772" spans="1:7" x14ac:dyDescent="0.3">
      <c r="A3772" s="14" t="str">
        <f>VLOOKUP(B3772,'Relacion codigos'!$A:$B,2,FALSE)</f>
        <v>8480</v>
      </c>
      <c r="B3772" s="6" t="s">
        <v>2875</v>
      </c>
      <c r="C3772" s="6" t="s">
        <v>1076</v>
      </c>
      <c r="D3772" s="24">
        <v>10.8726659535</v>
      </c>
      <c r="E3772" s="6" t="s">
        <v>5887</v>
      </c>
      <c r="F3772" s="6">
        <v>21</v>
      </c>
      <c r="G3772" s="8">
        <f t="shared" si="58"/>
        <v>16906.995557692502</v>
      </c>
    </row>
    <row r="3773" spans="1:7" x14ac:dyDescent="0.3">
      <c r="A3773" s="14" t="str">
        <f>VLOOKUP(B3773,'Relacion codigos'!$A:$B,2,FALSE)</f>
        <v>8479</v>
      </c>
      <c r="B3773" s="6" t="s">
        <v>2876</v>
      </c>
      <c r="C3773" s="6" t="s">
        <v>9154</v>
      </c>
      <c r="D3773" s="24">
        <v>7.8388149709999997</v>
      </c>
      <c r="E3773" s="6" t="s">
        <v>5887</v>
      </c>
      <c r="F3773" s="6">
        <v>21</v>
      </c>
      <c r="G3773" s="8">
        <f t="shared" si="58"/>
        <v>12189.357279905</v>
      </c>
    </row>
    <row r="3774" spans="1:7" x14ac:dyDescent="0.3">
      <c r="A3774" s="14" t="e">
        <f>VLOOKUP(B3774,'Relacion codigos'!$A:$B,2,FALSE)</f>
        <v>#N/A</v>
      </c>
      <c r="B3774" s="6" t="s">
        <v>10395</v>
      </c>
      <c r="C3774" s="6" t="s">
        <v>10396</v>
      </c>
      <c r="D3774" s="24">
        <v>7.0024499999999996</v>
      </c>
      <c r="E3774" s="6" t="s">
        <v>5887</v>
      </c>
      <c r="F3774" s="6">
        <v>21</v>
      </c>
      <c r="G3774" s="8">
        <f t="shared" si="58"/>
        <v>10888.809749999999</v>
      </c>
    </row>
    <row r="3775" spans="1:7" x14ac:dyDescent="0.3">
      <c r="A3775" s="14" t="e">
        <f>VLOOKUP(B3775,'Relacion codigos'!$A:$B,2,FALSE)</f>
        <v>#N/A</v>
      </c>
      <c r="B3775" s="6" t="s">
        <v>8827</v>
      </c>
      <c r="C3775" s="6" t="s">
        <v>11044</v>
      </c>
      <c r="D3775" s="24">
        <v>7.3796375249999997</v>
      </c>
      <c r="E3775" s="6" t="s">
        <v>5887</v>
      </c>
      <c r="F3775" s="6">
        <v>21</v>
      </c>
      <c r="G3775" s="8">
        <f t="shared" si="58"/>
        <v>11475.336351374999</v>
      </c>
    </row>
    <row r="3776" spans="1:7" x14ac:dyDescent="0.3">
      <c r="A3776" s="14" t="e">
        <f>VLOOKUP(B3776,'Relacion codigos'!$A:$B,2,FALSE)</f>
        <v>#N/A</v>
      </c>
      <c r="B3776" s="6" t="s">
        <v>13587</v>
      </c>
      <c r="C3776" s="6" t="s">
        <v>13588</v>
      </c>
      <c r="D3776" s="24">
        <v>1217.3449466587499</v>
      </c>
      <c r="E3776" s="6" t="s">
        <v>5889</v>
      </c>
      <c r="F3776" s="6">
        <v>21</v>
      </c>
      <c r="G3776" s="8">
        <f t="shared" si="58"/>
        <v>1217.3449466587499</v>
      </c>
    </row>
    <row r="3777" spans="1:7" x14ac:dyDescent="0.3">
      <c r="A3777" s="14" t="e">
        <f>VLOOKUP(B3777,'Relacion codigos'!$A:$B,2,FALSE)</f>
        <v>#N/A</v>
      </c>
      <c r="B3777" s="6" t="s">
        <v>13589</v>
      </c>
      <c r="C3777" s="6" t="s">
        <v>13590</v>
      </c>
      <c r="D3777" s="24">
        <v>2809.2575692125001</v>
      </c>
      <c r="E3777" s="6" t="s">
        <v>5889</v>
      </c>
      <c r="F3777" s="6">
        <v>21</v>
      </c>
      <c r="G3777" s="8">
        <f t="shared" si="58"/>
        <v>2809.2575692125001</v>
      </c>
    </row>
    <row r="3778" spans="1:7" x14ac:dyDescent="0.3">
      <c r="A3778" s="14" t="str">
        <f>VLOOKUP(B3778,'Relacion codigos'!$A:$B,2,FALSE)</f>
        <v>6611</v>
      </c>
      <c r="B3778" s="6" t="s">
        <v>1376</v>
      </c>
      <c r="C3778" s="6" t="s">
        <v>13188</v>
      </c>
      <c r="D3778" s="24">
        <v>12.87303732</v>
      </c>
      <c r="E3778" s="6" t="s">
        <v>5887</v>
      </c>
      <c r="F3778" s="6">
        <v>21</v>
      </c>
      <c r="G3778" s="8">
        <f t="shared" ref="G3778:G3841" si="59">IF(E3778="Dolares",D3778*$G$1,D3778)</f>
        <v>20017.573032600001</v>
      </c>
    </row>
    <row r="3779" spans="1:7" x14ac:dyDescent="0.3">
      <c r="A3779" s="14" t="e">
        <f>VLOOKUP(B3779,'Relacion codigos'!$A:$B,2,FALSE)</f>
        <v>#N/A</v>
      </c>
      <c r="B3779" s="6" t="s">
        <v>11963</v>
      </c>
      <c r="C3779" s="6" t="s">
        <v>11964</v>
      </c>
      <c r="D3779" s="24">
        <v>11.9574</v>
      </c>
      <c r="E3779" s="6" t="s">
        <v>5887</v>
      </c>
      <c r="F3779" s="6">
        <v>21</v>
      </c>
      <c r="G3779" s="8">
        <f t="shared" si="59"/>
        <v>18593.757000000001</v>
      </c>
    </row>
    <row r="3780" spans="1:7" x14ac:dyDescent="0.3">
      <c r="A3780" s="14" t="str">
        <f>VLOOKUP(B3780,'Relacion codigos'!$A:$B,2,FALSE)</f>
        <v>6612</v>
      </c>
      <c r="B3780" s="6" t="s">
        <v>1377</v>
      </c>
      <c r="C3780" s="6" t="s">
        <v>11965</v>
      </c>
      <c r="D3780" s="24">
        <v>5.8388616000000004</v>
      </c>
      <c r="E3780" s="6" t="s">
        <v>5887</v>
      </c>
      <c r="F3780" s="6">
        <v>21</v>
      </c>
      <c r="G3780" s="8">
        <f t="shared" si="59"/>
        <v>9079.4297880000013</v>
      </c>
    </row>
    <row r="3781" spans="1:7" x14ac:dyDescent="0.3">
      <c r="A3781" s="14" t="str">
        <f>VLOOKUP(B3781,'Relacion codigos'!$A:$B,2,FALSE)</f>
        <v>2284</v>
      </c>
      <c r="B3781" s="6" t="s">
        <v>2892</v>
      </c>
      <c r="C3781" s="6" t="s">
        <v>609</v>
      </c>
      <c r="D3781" s="24">
        <v>9.8823316800000001</v>
      </c>
      <c r="E3781" s="6" t="s">
        <v>5887</v>
      </c>
      <c r="F3781" s="6">
        <v>21</v>
      </c>
      <c r="G3781" s="8">
        <f t="shared" si="59"/>
        <v>15367.025762400001</v>
      </c>
    </row>
    <row r="3782" spans="1:7" x14ac:dyDescent="0.3">
      <c r="A3782" s="14" t="str">
        <f>VLOOKUP(B3782,'Relacion codigos'!$A:$B,2,FALSE)</f>
        <v>2283</v>
      </c>
      <c r="B3782" s="6" t="s">
        <v>2893</v>
      </c>
      <c r="C3782" s="6" t="s">
        <v>610</v>
      </c>
      <c r="D3782" s="24">
        <v>9.8823316800000001</v>
      </c>
      <c r="E3782" s="6" t="s">
        <v>5887</v>
      </c>
      <c r="F3782" s="6">
        <v>21</v>
      </c>
      <c r="G3782" s="8">
        <f t="shared" si="59"/>
        <v>15367.025762400001</v>
      </c>
    </row>
    <row r="3783" spans="1:7" x14ac:dyDescent="0.3">
      <c r="A3783" s="14" t="str">
        <f>VLOOKUP(B3783,'Relacion codigos'!$A:$B,2,FALSE)</f>
        <v>2285</v>
      </c>
      <c r="B3783" s="6" t="s">
        <v>2894</v>
      </c>
      <c r="C3783" s="6" t="s">
        <v>611</v>
      </c>
      <c r="D3783" s="24">
        <v>9.8823316800000001</v>
      </c>
      <c r="E3783" s="6" t="s">
        <v>5887</v>
      </c>
      <c r="F3783" s="6">
        <v>21</v>
      </c>
      <c r="G3783" s="8">
        <f t="shared" si="59"/>
        <v>15367.025762400001</v>
      </c>
    </row>
    <row r="3784" spans="1:7" x14ac:dyDescent="0.3">
      <c r="A3784" s="14" t="str">
        <f>VLOOKUP(B3784,'Relacion codigos'!$A:$B,2,FALSE)</f>
        <v>6781</v>
      </c>
      <c r="B3784" s="6" t="s">
        <v>2594</v>
      </c>
      <c r="C3784" s="6" t="s">
        <v>612</v>
      </c>
      <c r="D3784" s="24">
        <v>1243.9194554825999</v>
      </c>
      <c r="E3784" s="6" t="s">
        <v>5889</v>
      </c>
      <c r="F3784" s="6">
        <v>21</v>
      </c>
      <c r="G3784" s="8">
        <f t="shared" si="59"/>
        <v>1243.9194554825999</v>
      </c>
    </row>
    <row r="3785" spans="1:7" x14ac:dyDescent="0.3">
      <c r="A3785" s="14" t="str">
        <f>VLOOKUP(B3785,'Relacion codigos'!$A:$B,2,FALSE)</f>
        <v>7333</v>
      </c>
      <c r="B3785" s="6" t="s">
        <v>2477</v>
      </c>
      <c r="C3785" s="6" t="s">
        <v>1189</v>
      </c>
      <c r="D3785" s="24">
        <v>6092.4130800000003</v>
      </c>
      <c r="E3785" s="6" t="s">
        <v>5889</v>
      </c>
      <c r="F3785" s="6">
        <v>21</v>
      </c>
      <c r="G3785" s="8">
        <f t="shared" si="59"/>
        <v>6092.4130800000003</v>
      </c>
    </row>
    <row r="3786" spans="1:7" x14ac:dyDescent="0.3">
      <c r="A3786" s="14" t="str">
        <f>VLOOKUP(B3786,'Relacion codigos'!$A:$B,2,FALSE)</f>
        <v>8434</v>
      </c>
      <c r="B3786" s="6" t="s">
        <v>2840</v>
      </c>
      <c r="C3786" s="6" t="s">
        <v>1120</v>
      </c>
      <c r="D3786" s="24">
        <v>0.79286999999999996</v>
      </c>
      <c r="E3786" s="6" t="s">
        <v>5887</v>
      </c>
      <c r="F3786" s="6">
        <v>21</v>
      </c>
      <c r="G3786" s="8">
        <f t="shared" si="59"/>
        <v>1232.9128499999999</v>
      </c>
    </row>
    <row r="3787" spans="1:7" x14ac:dyDescent="0.3">
      <c r="A3787" s="14" t="e">
        <f>VLOOKUP(B3787,'Relacion codigos'!$A:$B,2,FALSE)</f>
        <v>#N/A</v>
      </c>
      <c r="B3787" s="6" t="s">
        <v>9620</v>
      </c>
      <c r="C3787" s="6" t="s">
        <v>9621</v>
      </c>
      <c r="D3787" s="24">
        <v>69.700784400000003</v>
      </c>
      <c r="E3787" s="6" t="s">
        <v>5887</v>
      </c>
      <c r="F3787" s="6">
        <v>21</v>
      </c>
      <c r="G3787" s="8">
        <f t="shared" si="59"/>
        <v>108384.719742</v>
      </c>
    </row>
    <row r="3788" spans="1:7" x14ac:dyDescent="0.3">
      <c r="A3788" s="14" t="e">
        <f>VLOOKUP(B3788,'Relacion codigos'!$A:$B,2,FALSE)</f>
        <v>#N/A</v>
      </c>
      <c r="B3788" s="6" t="s">
        <v>13691</v>
      </c>
      <c r="C3788" s="6" t="s">
        <v>13692</v>
      </c>
      <c r="D3788" s="24">
        <v>12.346425</v>
      </c>
      <c r="E3788" s="6" t="s">
        <v>5887</v>
      </c>
      <c r="F3788" s="6">
        <v>10.5</v>
      </c>
      <c r="G3788" s="8">
        <f t="shared" si="59"/>
        <v>19198.690875</v>
      </c>
    </row>
    <row r="3789" spans="1:7" x14ac:dyDescent="0.3">
      <c r="A3789" s="14" t="e">
        <f>VLOOKUP(B3789,'Relacion codigos'!$A:$B,2,FALSE)</f>
        <v>#N/A</v>
      </c>
      <c r="B3789" s="6" t="s">
        <v>13413</v>
      </c>
      <c r="C3789" s="6" t="s">
        <v>13414</v>
      </c>
      <c r="D3789" s="24">
        <v>876.57446910600004</v>
      </c>
      <c r="E3789" s="6" t="s">
        <v>5889</v>
      </c>
      <c r="F3789" s="6">
        <v>21</v>
      </c>
      <c r="G3789" s="8">
        <f t="shared" si="59"/>
        <v>876.57446910600004</v>
      </c>
    </row>
    <row r="3790" spans="1:7" x14ac:dyDescent="0.3">
      <c r="A3790" s="14" t="e">
        <f>VLOOKUP(B3790,'Relacion codigos'!$A:$B,2,FALSE)</f>
        <v>#N/A</v>
      </c>
      <c r="B3790" s="6" t="s">
        <v>13415</v>
      </c>
      <c r="C3790" s="6" t="s">
        <v>13416</v>
      </c>
      <c r="D3790" s="24">
        <v>1392.20777604352</v>
      </c>
      <c r="E3790" s="6" t="s">
        <v>5889</v>
      </c>
      <c r="F3790" s="6">
        <v>21</v>
      </c>
      <c r="G3790" s="8">
        <f t="shared" si="59"/>
        <v>1392.20777604352</v>
      </c>
    </row>
    <row r="3791" spans="1:7" x14ac:dyDescent="0.3">
      <c r="A3791" s="14" t="str">
        <f>VLOOKUP(B3791,'Relacion codigos'!$A:$B,2,FALSE)</f>
        <v>9138</v>
      </c>
      <c r="B3791" s="6" t="s">
        <v>3290</v>
      </c>
      <c r="C3791" s="6" t="s">
        <v>11666</v>
      </c>
      <c r="D3791" s="24">
        <v>5.27189</v>
      </c>
      <c r="E3791" s="6" t="s">
        <v>5887</v>
      </c>
      <c r="F3791" s="6">
        <v>10.5</v>
      </c>
      <c r="G3791" s="8">
        <f t="shared" si="59"/>
        <v>8197.7889500000001</v>
      </c>
    </row>
    <row r="3792" spans="1:7" x14ac:dyDescent="0.3">
      <c r="A3792" s="14" t="str">
        <f>VLOOKUP(B3792,'Relacion codigos'!$A:$B,2,FALSE)</f>
        <v>8716</v>
      </c>
      <c r="B3792" s="6" t="s">
        <v>3291</v>
      </c>
      <c r="C3792" s="6" t="s">
        <v>11979</v>
      </c>
      <c r="D3792" s="24">
        <v>5.4582839999999999</v>
      </c>
      <c r="E3792" s="6" t="s">
        <v>5887</v>
      </c>
      <c r="F3792" s="6">
        <v>10.5</v>
      </c>
      <c r="G3792" s="8">
        <f t="shared" si="59"/>
        <v>8487.6316200000001</v>
      </c>
    </row>
    <row r="3793" spans="1:7" x14ac:dyDescent="0.3">
      <c r="A3793" s="14" t="str">
        <f>VLOOKUP(B3793,'Relacion codigos'!$A:$B,2,FALSE)</f>
        <v>8884</v>
      </c>
      <c r="B3793" s="6" t="s">
        <v>3330</v>
      </c>
      <c r="C3793" s="6" t="s">
        <v>1145</v>
      </c>
      <c r="D3793" s="24">
        <v>11664.285333219999</v>
      </c>
      <c r="E3793" s="6" t="s">
        <v>5889</v>
      </c>
      <c r="F3793" s="6">
        <v>21</v>
      </c>
      <c r="G3793" s="8">
        <f t="shared" si="59"/>
        <v>11664.285333219999</v>
      </c>
    </row>
    <row r="3794" spans="1:7" x14ac:dyDescent="0.3">
      <c r="A3794" s="14" t="str">
        <f>VLOOKUP(B3794,'Relacion codigos'!$A:$B,2,FALSE)</f>
        <v>8885</v>
      </c>
      <c r="B3794" s="6" t="s">
        <v>3332</v>
      </c>
      <c r="C3794" s="6" t="s">
        <v>10398</v>
      </c>
      <c r="D3794" s="24">
        <v>6482.9030085949998</v>
      </c>
      <c r="E3794" s="6" t="s">
        <v>5889</v>
      </c>
      <c r="F3794" s="6">
        <v>21</v>
      </c>
      <c r="G3794" s="8">
        <f t="shared" si="59"/>
        <v>6482.9030085949998</v>
      </c>
    </row>
    <row r="3795" spans="1:7" x14ac:dyDescent="0.3">
      <c r="A3795" s="14" t="e">
        <f>VLOOKUP(B3795,'Relacion codigos'!$A:$B,2,FALSE)</f>
        <v>#N/A</v>
      </c>
      <c r="B3795" s="6" t="s">
        <v>13223</v>
      </c>
      <c r="C3795" s="6" t="s">
        <v>13224</v>
      </c>
      <c r="D3795" s="24">
        <v>13568.569313</v>
      </c>
      <c r="E3795" s="6" t="s">
        <v>5889</v>
      </c>
      <c r="F3795" s="6">
        <v>21</v>
      </c>
      <c r="G3795" s="8">
        <f t="shared" si="59"/>
        <v>13568.569313</v>
      </c>
    </row>
    <row r="3796" spans="1:7" x14ac:dyDescent="0.3">
      <c r="A3796" s="14" t="str">
        <f>VLOOKUP(B3796,'Relacion codigos'!$A:$B,2,FALSE)</f>
        <v>1927</v>
      </c>
      <c r="B3796" s="6" t="s">
        <v>4694</v>
      </c>
      <c r="C3796" s="6" t="s">
        <v>10708</v>
      </c>
      <c r="D3796" s="24">
        <v>1095.4124999999999</v>
      </c>
      <c r="E3796" s="6" t="s">
        <v>5889</v>
      </c>
      <c r="F3796" s="6">
        <v>21</v>
      </c>
      <c r="G3796" s="8">
        <f t="shared" si="59"/>
        <v>1095.4124999999999</v>
      </c>
    </row>
    <row r="3797" spans="1:7" x14ac:dyDescent="0.3">
      <c r="A3797" s="14" t="str">
        <f>VLOOKUP(B3797,'Relacion codigos'!$A:$B,2,FALSE)</f>
        <v>1928</v>
      </c>
      <c r="B3797" s="6" t="s">
        <v>4695</v>
      </c>
      <c r="C3797" s="6" t="s">
        <v>10709</v>
      </c>
      <c r="D3797" s="24">
        <v>1066.1681160000001</v>
      </c>
      <c r="E3797" s="6" t="s">
        <v>5889</v>
      </c>
      <c r="F3797" s="6">
        <v>21</v>
      </c>
      <c r="G3797" s="8">
        <f t="shared" si="59"/>
        <v>1066.1681160000001</v>
      </c>
    </row>
    <row r="3798" spans="1:7" x14ac:dyDescent="0.3">
      <c r="A3798" s="14" t="str">
        <f>VLOOKUP(B3798,'Relacion codigos'!$A:$B,2,FALSE)</f>
        <v>1930</v>
      </c>
      <c r="B3798" s="6" t="s">
        <v>4693</v>
      </c>
      <c r="C3798" s="6" t="s">
        <v>10710</v>
      </c>
      <c r="D3798" s="24">
        <v>2553.8760000000002</v>
      </c>
      <c r="E3798" s="6" t="s">
        <v>5889</v>
      </c>
      <c r="F3798" s="6">
        <v>21</v>
      </c>
      <c r="G3798" s="8">
        <f t="shared" si="59"/>
        <v>2553.8760000000002</v>
      </c>
    </row>
    <row r="3799" spans="1:7" x14ac:dyDescent="0.3">
      <c r="A3799" s="14" t="str">
        <f>VLOOKUP(B3799,'Relacion codigos'!$A:$B,2,FALSE)</f>
        <v>736</v>
      </c>
      <c r="B3799" s="6" t="s">
        <v>4698</v>
      </c>
      <c r="C3799" s="6" t="s">
        <v>613</v>
      </c>
      <c r="D3799" s="24">
        <v>3852.0388077443999</v>
      </c>
      <c r="E3799" s="6" t="s">
        <v>5889</v>
      </c>
      <c r="F3799" s="6">
        <v>21</v>
      </c>
      <c r="G3799" s="8">
        <f t="shared" si="59"/>
        <v>3852.0388077443999</v>
      </c>
    </row>
    <row r="3800" spans="1:7" x14ac:dyDescent="0.3">
      <c r="A3800" s="14" t="str">
        <f>VLOOKUP(B3800,'Relacion codigos'!$A:$B,2,FALSE)</f>
        <v>737</v>
      </c>
      <c r="B3800" s="6" t="s">
        <v>4700</v>
      </c>
      <c r="C3800" s="6" t="s">
        <v>615</v>
      </c>
      <c r="D3800" s="24">
        <v>645.37187853116097</v>
      </c>
      <c r="E3800" s="6" t="s">
        <v>5889</v>
      </c>
      <c r="F3800" s="6">
        <v>21</v>
      </c>
      <c r="G3800" s="8">
        <f t="shared" si="59"/>
        <v>645.37187853116097</v>
      </c>
    </row>
    <row r="3801" spans="1:7" x14ac:dyDescent="0.3">
      <c r="A3801" s="14" t="str">
        <f>VLOOKUP(B3801,'Relacion codigos'!$A:$B,2,FALSE)</f>
        <v>735</v>
      </c>
      <c r="B3801" s="6" t="s">
        <v>4701</v>
      </c>
      <c r="C3801" s="6" t="s">
        <v>616</v>
      </c>
      <c r="D3801" s="24">
        <v>2142.4127550695998</v>
      </c>
      <c r="E3801" s="6" t="s">
        <v>5889</v>
      </c>
      <c r="F3801" s="6">
        <v>21</v>
      </c>
      <c r="G3801" s="8">
        <f t="shared" si="59"/>
        <v>2142.4127550695998</v>
      </c>
    </row>
    <row r="3802" spans="1:7" x14ac:dyDescent="0.3">
      <c r="A3802" s="14" t="str">
        <f>VLOOKUP(B3802,'Relacion codigos'!$A:$B,2,FALSE)</f>
        <v>732</v>
      </c>
      <c r="B3802" s="6" t="s">
        <v>3105</v>
      </c>
      <c r="C3802" s="6" t="s">
        <v>12218</v>
      </c>
      <c r="D3802" s="24">
        <v>1956.7694630250001</v>
      </c>
      <c r="E3802" s="6" t="s">
        <v>5889</v>
      </c>
      <c r="F3802" s="6">
        <v>21</v>
      </c>
      <c r="G3802" s="8">
        <f t="shared" si="59"/>
        <v>1956.7694630250001</v>
      </c>
    </row>
    <row r="3803" spans="1:7" x14ac:dyDescent="0.3">
      <c r="A3803" s="14" t="str">
        <f>VLOOKUP(B3803,'Relacion codigos'!$A:$B,2,FALSE)</f>
        <v>540</v>
      </c>
      <c r="B3803" s="6" t="s">
        <v>3106</v>
      </c>
      <c r="C3803" s="6" t="s">
        <v>13074</v>
      </c>
      <c r="D3803" s="24">
        <v>2935.15733298125</v>
      </c>
      <c r="E3803" s="6" t="s">
        <v>5889</v>
      </c>
      <c r="F3803" s="6">
        <v>21</v>
      </c>
      <c r="G3803" s="8">
        <f t="shared" si="59"/>
        <v>2935.15733298125</v>
      </c>
    </row>
    <row r="3804" spans="1:7" x14ac:dyDescent="0.3">
      <c r="A3804" s="14" t="str">
        <f>VLOOKUP(B3804,'Relacion codigos'!$A:$B,2,FALSE)</f>
        <v>740</v>
      </c>
      <c r="B3804" s="6" t="s">
        <v>3102</v>
      </c>
      <c r="C3804" s="6" t="s">
        <v>13022</v>
      </c>
      <c r="D3804" s="24">
        <v>332.64992995</v>
      </c>
      <c r="E3804" s="6" t="s">
        <v>5889</v>
      </c>
      <c r="F3804" s="6">
        <v>21</v>
      </c>
      <c r="G3804" s="8">
        <f t="shared" si="59"/>
        <v>332.64992995</v>
      </c>
    </row>
    <row r="3805" spans="1:7" x14ac:dyDescent="0.3">
      <c r="A3805" s="14" t="str">
        <f>VLOOKUP(B3805,'Relacion codigos'!$A:$B,2,FALSE)</f>
        <v>1926</v>
      </c>
      <c r="B3805" s="6" t="s">
        <v>4697</v>
      </c>
      <c r="C3805" s="6" t="s">
        <v>10711</v>
      </c>
      <c r="D3805" s="24">
        <v>1372.0824</v>
      </c>
      <c r="E3805" s="6" t="s">
        <v>5889</v>
      </c>
      <c r="F3805" s="6">
        <v>21</v>
      </c>
      <c r="G3805" s="8">
        <f t="shared" si="59"/>
        <v>1372.0824</v>
      </c>
    </row>
    <row r="3806" spans="1:7" x14ac:dyDescent="0.3">
      <c r="A3806" s="14" t="str">
        <f>VLOOKUP(B3806,'Relacion codigos'!$A:$B,2,FALSE)</f>
        <v>1929</v>
      </c>
      <c r="B3806" s="6" t="s">
        <v>4696</v>
      </c>
      <c r="C3806" s="6" t="s">
        <v>10712</v>
      </c>
      <c r="D3806" s="24">
        <v>2197.0844999999999</v>
      </c>
      <c r="E3806" s="6" t="s">
        <v>5889</v>
      </c>
      <c r="F3806" s="6">
        <v>21</v>
      </c>
      <c r="G3806" s="8">
        <f t="shared" si="59"/>
        <v>2197.0844999999999</v>
      </c>
    </row>
    <row r="3807" spans="1:7" x14ac:dyDescent="0.3">
      <c r="A3807" s="14" t="e">
        <f>VLOOKUP(B3807,'Relacion codigos'!$A:$B,2,FALSE)</f>
        <v>#N/A</v>
      </c>
      <c r="B3807" s="6" t="s">
        <v>9065</v>
      </c>
      <c r="C3807" s="6" t="s">
        <v>9066</v>
      </c>
      <c r="D3807" s="24">
        <v>40.937160045600002</v>
      </c>
      <c r="E3807" s="6" t="s">
        <v>5887</v>
      </c>
      <c r="F3807" s="6">
        <v>21</v>
      </c>
      <c r="G3807" s="8">
        <f t="shared" si="59"/>
        <v>63657.283870908002</v>
      </c>
    </row>
    <row r="3808" spans="1:7" x14ac:dyDescent="0.3">
      <c r="A3808" s="14" t="e">
        <f>VLOOKUP(B3808,'Relacion codigos'!$A:$B,2,FALSE)</f>
        <v>#N/A</v>
      </c>
      <c r="B3808" s="6" t="s">
        <v>10832</v>
      </c>
      <c r="C3808" s="6" t="s">
        <v>10833</v>
      </c>
      <c r="D3808" s="24">
        <v>4781.3538500000004</v>
      </c>
      <c r="E3808" s="6" t="s">
        <v>5889</v>
      </c>
      <c r="F3808" s="6">
        <v>21</v>
      </c>
      <c r="G3808" s="8">
        <f t="shared" si="59"/>
        <v>4781.3538500000004</v>
      </c>
    </row>
    <row r="3809" spans="1:7" x14ac:dyDescent="0.3">
      <c r="A3809" s="14" t="e">
        <f>VLOOKUP(B3809,'Relacion codigos'!$A:$B,2,FALSE)</f>
        <v>#N/A</v>
      </c>
      <c r="B3809" s="6" t="s">
        <v>12565</v>
      </c>
      <c r="C3809" s="6" t="s">
        <v>12566</v>
      </c>
      <c r="D3809" s="24">
        <v>6571.0839999999998</v>
      </c>
      <c r="E3809" s="6" t="s">
        <v>5889</v>
      </c>
      <c r="F3809" s="6">
        <v>21</v>
      </c>
      <c r="G3809" s="8">
        <f t="shared" si="59"/>
        <v>6571.0839999999998</v>
      </c>
    </row>
    <row r="3810" spans="1:7" x14ac:dyDescent="0.3">
      <c r="A3810" s="14" t="e">
        <f>VLOOKUP(B3810,'Relacion codigos'!$A:$B,2,FALSE)</f>
        <v>#N/A</v>
      </c>
      <c r="B3810" s="6" t="s">
        <v>12567</v>
      </c>
      <c r="C3810" s="6" t="s">
        <v>12568</v>
      </c>
      <c r="D3810" s="24">
        <v>6571.0839999999998</v>
      </c>
      <c r="E3810" s="6" t="s">
        <v>5889</v>
      </c>
      <c r="F3810" s="6">
        <v>21</v>
      </c>
      <c r="G3810" s="8">
        <f t="shared" si="59"/>
        <v>6571.0839999999998</v>
      </c>
    </row>
    <row r="3811" spans="1:7" x14ac:dyDescent="0.3">
      <c r="A3811" s="14" t="str">
        <f>VLOOKUP(B3811,'Relacion codigos'!$A:$B,2,FALSE)</f>
        <v>3594</v>
      </c>
      <c r="B3811" s="6" t="s">
        <v>3923</v>
      </c>
      <c r="C3811" s="6" t="s">
        <v>617</v>
      </c>
      <c r="D3811" s="24">
        <v>12751.297</v>
      </c>
      <c r="E3811" s="6" t="s">
        <v>5889</v>
      </c>
      <c r="F3811" s="6">
        <v>21</v>
      </c>
      <c r="G3811" s="8">
        <f t="shared" si="59"/>
        <v>12751.297</v>
      </c>
    </row>
    <row r="3812" spans="1:7" x14ac:dyDescent="0.3">
      <c r="A3812" s="14" t="e">
        <f>VLOOKUP(B3812,'Relacion codigos'!$A:$B,2,FALSE)</f>
        <v>#N/A</v>
      </c>
      <c r="B3812" s="6" t="s">
        <v>12171</v>
      </c>
      <c r="C3812" s="6" t="s">
        <v>12172</v>
      </c>
      <c r="D3812" s="24">
        <v>19429.015060000002</v>
      </c>
      <c r="E3812" s="6" t="s">
        <v>5889</v>
      </c>
      <c r="F3812" s="6">
        <v>21</v>
      </c>
      <c r="G3812" s="8">
        <f t="shared" si="59"/>
        <v>19429.015060000002</v>
      </c>
    </row>
    <row r="3813" spans="1:7" x14ac:dyDescent="0.3">
      <c r="A3813" s="14" t="e">
        <f>VLOOKUP(B3813,'Relacion codigos'!$A:$B,2,FALSE)</f>
        <v>#N/A</v>
      </c>
      <c r="B3813" s="6" t="s">
        <v>12173</v>
      </c>
      <c r="C3813" s="6" t="s">
        <v>12174</v>
      </c>
      <c r="D3813" s="24">
        <v>19429.015060000002</v>
      </c>
      <c r="E3813" s="6" t="s">
        <v>5889</v>
      </c>
      <c r="F3813" s="6">
        <v>21</v>
      </c>
      <c r="G3813" s="8">
        <f t="shared" si="59"/>
        <v>19429.015060000002</v>
      </c>
    </row>
    <row r="3814" spans="1:7" x14ac:dyDescent="0.3">
      <c r="A3814" s="14" t="e">
        <f>VLOOKUP(B3814,'Relacion codigos'!$A:$B,2,FALSE)</f>
        <v>#N/A</v>
      </c>
      <c r="B3814" s="6" t="s">
        <v>12175</v>
      </c>
      <c r="C3814" s="6" t="s">
        <v>12176</v>
      </c>
      <c r="D3814" s="24">
        <v>22546.447755000001</v>
      </c>
      <c r="E3814" s="6" t="s">
        <v>5889</v>
      </c>
      <c r="F3814" s="6">
        <v>21</v>
      </c>
      <c r="G3814" s="8">
        <f t="shared" si="59"/>
        <v>22546.447755000001</v>
      </c>
    </row>
    <row r="3815" spans="1:7" x14ac:dyDescent="0.3">
      <c r="A3815" s="14" t="e">
        <f>VLOOKUP(B3815,'Relacion codigos'!$A:$B,2,FALSE)</f>
        <v>#N/A</v>
      </c>
      <c r="B3815" s="6" t="s">
        <v>13075</v>
      </c>
      <c r="C3815" s="6" t="s">
        <v>13076</v>
      </c>
      <c r="D3815" s="24">
        <v>14011.543</v>
      </c>
      <c r="E3815" s="6" t="s">
        <v>5889</v>
      </c>
      <c r="F3815" s="6">
        <v>21</v>
      </c>
      <c r="G3815" s="8">
        <f t="shared" si="59"/>
        <v>14011.543</v>
      </c>
    </row>
    <row r="3816" spans="1:7" x14ac:dyDescent="0.3">
      <c r="A3816" s="14" t="str">
        <f>VLOOKUP(B3816,'Relacion codigos'!$A:$B,2,FALSE)</f>
        <v>8827</v>
      </c>
      <c r="B3816" s="6" t="s">
        <v>3924</v>
      </c>
      <c r="C3816" s="6" t="s">
        <v>10536</v>
      </c>
      <c r="D3816" s="24">
        <v>7212.1833809999998</v>
      </c>
      <c r="E3816" s="6" t="s">
        <v>5889</v>
      </c>
      <c r="F3816" s="6">
        <v>21</v>
      </c>
      <c r="G3816" s="8">
        <f t="shared" si="59"/>
        <v>7212.1833809999998</v>
      </c>
    </row>
    <row r="3817" spans="1:7" x14ac:dyDescent="0.3">
      <c r="A3817" s="14" t="str">
        <f>VLOOKUP(B3817,'Relacion codigos'!$A:$B,2,FALSE)</f>
        <v>8828</v>
      </c>
      <c r="B3817" s="6" t="s">
        <v>3925</v>
      </c>
      <c r="C3817" s="6" t="s">
        <v>13023</v>
      </c>
      <c r="D3817" s="24">
        <v>7886.2939740000002</v>
      </c>
      <c r="E3817" s="6" t="s">
        <v>5889</v>
      </c>
      <c r="F3817" s="6">
        <v>21</v>
      </c>
      <c r="G3817" s="8">
        <f t="shared" si="59"/>
        <v>7886.2939740000002</v>
      </c>
    </row>
    <row r="3818" spans="1:7" x14ac:dyDescent="0.3">
      <c r="A3818" s="14" t="str">
        <f>VLOOKUP(B3818,'Relacion codigos'!$A:$B,2,FALSE)</f>
        <v>8830</v>
      </c>
      <c r="B3818" s="6" t="s">
        <v>3930</v>
      </c>
      <c r="C3818" s="6" t="s">
        <v>13024</v>
      </c>
      <c r="D3818" s="24">
        <v>11863.016919</v>
      </c>
      <c r="E3818" s="6" t="s">
        <v>5889</v>
      </c>
      <c r="F3818" s="6">
        <v>21</v>
      </c>
      <c r="G3818" s="8">
        <f t="shared" si="59"/>
        <v>11863.016919</v>
      </c>
    </row>
    <row r="3819" spans="1:7" x14ac:dyDescent="0.3">
      <c r="A3819" s="14" t="str">
        <f>VLOOKUP(B3819,'Relacion codigos'!$A:$B,2,FALSE)</f>
        <v>8829</v>
      </c>
      <c r="B3819" s="6" t="s">
        <v>3926</v>
      </c>
      <c r="C3819" s="6" t="s">
        <v>10537</v>
      </c>
      <c r="D3819" s="24">
        <v>7886.2939740000002</v>
      </c>
      <c r="E3819" s="6" t="s">
        <v>5889</v>
      </c>
      <c r="F3819" s="6">
        <v>21</v>
      </c>
      <c r="G3819" s="8">
        <f t="shared" si="59"/>
        <v>7886.2939740000002</v>
      </c>
    </row>
    <row r="3820" spans="1:7" x14ac:dyDescent="0.3">
      <c r="A3820" s="14" t="str">
        <f>VLOOKUP(B3820,'Relacion codigos'!$A:$B,2,FALSE)</f>
        <v>7892</v>
      </c>
      <c r="B3820" s="6" t="s">
        <v>4156</v>
      </c>
      <c r="C3820" s="6" t="s">
        <v>11426</v>
      </c>
      <c r="D3820" s="24">
        <v>9346.24028</v>
      </c>
      <c r="E3820" s="6" t="s">
        <v>5889</v>
      </c>
      <c r="F3820" s="6">
        <v>21</v>
      </c>
      <c r="G3820" s="8">
        <f t="shared" si="59"/>
        <v>9346.24028</v>
      </c>
    </row>
    <row r="3821" spans="1:7" x14ac:dyDescent="0.3">
      <c r="A3821" s="14" t="str">
        <f>VLOOKUP(B3821,'Relacion codigos'!$A:$B,2,FALSE)</f>
        <v>7519</v>
      </c>
      <c r="B3821" s="6" t="s">
        <v>4157</v>
      </c>
      <c r="C3821" s="6" t="s">
        <v>11427</v>
      </c>
      <c r="D3821" s="24">
        <v>15615.53292</v>
      </c>
      <c r="E3821" s="6" t="s">
        <v>5889</v>
      </c>
      <c r="F3821" s="6">
        <v>21</v>
      </c>
      <c r="G3821" s="8">
        <f t="shared" si="59"/>
        <v>15615.53292</v>
      </c>
    </row>
    <row r="3822" spans="1:7" x14ac:dyDescent="0.3">
      <c r="A3822" s="14" t="str">
        <f>VLOOKUP(B3822,'Relacion codigos'!$A:$B,2,FALSE)</f>
        <v>8832</v>
      </c>
      <c r="B3822" s="6" t="s">
        <v>3927</v>
      </c>
      <c r="C3822" s="6" t="s">
        <v>10538</v>
      </c>
      <c r="D3822" s="24">
        <v>5697.2091149999997</v>
      </c>
      <c r="E3822" s="6" t="s">
        <v>5889</v>
      </c>
      <c r="F3822" s="6">
        <v>21</v>
      </c>
      <c r="G3822" s="8">
        <f t="shared" si="59"/>
        <v>5697.2091149999997</v>
      </c>
    </row>
    <row r="3823" spans="1:7" x14ac:dyDescent="0.3">
      <c r="A3823" s="14" t="str">
        <f>VLOOKUP(B3823,'Relacion codigos'!$A:$B,2,FALSE)</f>
        <v>8833</v>
      </c>
      <c r="B3823" s="6" t="s">
        <v>3928</v>
      </c>
      <c r="C3823" s="6" t="s">
        <v>10539</v>
      </c>
      <c r="D3823" s="24">
        <v>5697.2091149999997</v>
      </c>
      <c r="E3823" s="6" t="s">
        <v>5889</v>
      </c>
      <c r="F3823" s="6">
        <v>21</v>
      </c>
      <c r="G3823" s="8">
        <f t="shared" si="59"/>
        <v>5697.2091149999997</v>
      </c>
    </row>
    <row r="3824" spans="1:7" x14ac:dyDescent="0.3">
      <c r="A3824" s="14" t="str">
        <f>VLOOKUP(B3824,'Relacion codigos'!$A:$B,2,FALSE)</f>
        <v>8834</v>
      </c>
      <c r="B3824" s="6" t="s">
        <v>3929</v>
      </c>
      <c r="C3824" s="6" t="s">
        <v>10540</v>
      </c>
      <c r="D3824" s="24">
        <v>5886.2710530000004</v>
      </c>
      <c r="E3824" s="6" t="s">
        <v>5889</v>
      </c>
      <c r="F3824" s="6">
        <v>21</v>
      </c>
      <c r="G3824" s="8">
        <f t="shared" si="59"/>
        <v>5886.2710530000004</v>
      </c>
    </row>
    <row r="3825" spans="1:7" x14ac:dyDescent="0.3">
      <c r="A3825" s="14" t="str">
        <f>VLOOKUP(B3825,'Relacion codigos'!$A:$B,2,FALSE)</f>
        <v>8831</v>
      </c>
      <c r="B3825" s="6" t="s">
        <v>3931</v>
      </c>
      <c r="C3825" s="6" t="s">
        <v>10541</v>
      </c>
      <c r="D3825" s="24">
        <v>11863.016919</v>
      </c>
      <c r="E3825" s="6" t="s">
        <v>5889</v>
      </c>
      <c r="F3825" s="6">
        <v>21</v>
      </c>
      <c r="G3825" s="8">
        <f t="shared" si="59"/>
        <v>11863.016919</v>
      </c>
    </row>
    <row r="3826" spans="1:7" x14ac:dyDescent="0.3">
      <c r="A3826" s="14" t="str">
        <f>VLOOKUP(B3826,'Relacion codigos'!$A:$B,2,FALSE)</f>
        <v>9265</v>
      </c>
      <c r="B3826" s="6" t="s">
        <v>4220</v>
      </c>
      <c r="C3826" s="6" t="s">
        <v>13244</v>
      </c>
      <c r="D3826" s="24">
        <v>4625.7079050000002</v>
      </c>
      <c r="E3826" s="6" t="s">
        <v>5889</v>
      </c>
      <c r="F3826" s="6">
        <v>21</v>
      </c>
      <c r="G3826" s="8">
        <f t="shared" si="59"/>
        <v>4625.7079050000002</v>
      </c>
    </row>
    <row r="3827" spans="1:7" x14ac:dyDescent="0.3">
      <c r="A3827" s="14" t="str">
        <f>VLOOKUP(B3827,'Relacion codigos'!$A:$B,2,FALSE)</f>
        <v>9266</v>
      </c>
      <c r="B3827" s="6" t="s">
        <v>4222</v>
      </c>
      <c r="C3827" s="6" t="s">
        <v>13245</v>
      </c>
      <c r="D3827" s="24">
        <v>4625.7079050000002</v>
      </c>
      <c r="E3827" s="6" t="s">
        <v>5889</v>
      </c>
      <c r="F3827" s="6">
        <v>21</v>
      </c>
      <c r="G3827" s="8">
        <f t="shared" si="59"/>
        <v>4625.7079050000002</v>
      </c>
    </row>
    <row r="3828" spans="1:7" x14ac:dyDescent="0.3">
      <c r="A3828" s="14" t="str">
        <f>VLOOKUP(B3828,'Relacion codigos'!$A:$B,2,FALSE)</f>
        <v>NUEVO</v>
      </c>
      <c r="B3828" s="6" t="s">
        <v>5869</v>
      </c>
      <c r="C3828" s="6" t="s">
        <v>12826</v>
      </c>
      <c r="D3828" s="24">
        <v>4152.489705</v>
      </c>
      <c r="E3828" s="6" t="s">
        <v>5889</v>
      </c>
      <c r="F3828" s="6">
        <v>21</v>
      </c>
      <c r="G3828" s="8">
        <f t="shared" si="59"/>
        <v>4152.489705</v>
      </c>
    </row>
    <row r="3829" spans="1:7" x14ac:dyDescent="0.3">
      <c r="A3829" s="14" t="str">
        <f>VLOOKUP(B3829,'Relacion codigos'!$A:$B,2,FALSE)</f>
        <v>9268</v>
      </c>
      <c r="B3829" s="6" t="s">
        <v>4218</v>
      </c>
      <c r="C3829" s="6" t="s">
        <v>12827</v>
      </c>
      <c r="D3829" s="24">
        <v>4152.489705</v>
      </c>
      <c r="E3829" s="6" t="s">
        <v>5889</v>
      </c>
      <c r="F3829" s="6">
        <v>21</v>
      </c>
      <c r="G3829" s="8">
        <f t="shared" si="59"/>
        <v>4152.489705</v>
      </c>
    </row>
    <row r="3830" spans="1:7" x14ac:dyDescent="0.3">
      <c r="A3830" s="14" t="str">
        <f>VLOOKUP(B3830,'Relacion codigos'!$A:$B,2,FALSE)</f>
        <v>6891</v>
      </c>
      <c r="B3830" s="6" t="s">
        <v>4150</v>
      </c>
      <c r="C3830" s="6" t="s">
        <v>9602</v>
      </c>
      <c r="D3830" s="24">
        <v>4958.915</v>
      </c>
      <c r="E3830" s="6" t="s">
        <v>5889</v>
      </c>
      <c r="F3830" s="6">
        <v>21</v>
      </c>
      <c r="G3830" s="8">
        <f t="shared" si="59"/>
        <v>4958.915</v>
      </c>
    </row>
    <row r="3831" spans="1:7" x14ac:dyDescent="0.3">
      <c r="A3831" s="14" t="str">
        <f>VLOOKUP(B3831,'Relacion codigos'!$A:$B,2,FALSE)</f>
        <v>6892</v>
      </c>
      <c r="B3831" s="6" t="s">
        <v>4151</v>
      </c>
      <c r="C3831" s="6" t="s">
        <v>9603</v>
      </c>
      <c r="D3831" s="24">
        <v>4958.915</v>
      </c>
      <c r="E3831" s="6" t="s">
        <v>5889</v>
      </c>
      <c r="F3831" s="6">
        <v>21</v>
      </c>
      <c r="G3831" s="8">
        <f t="shared" si="59"/>
        <v>4958.915</v>
      </c>
    </row>
    <row r="3832" spans="1:7" x14ac:dyDescent="0.3">
      <c r="A3832" s="14" t="str">
        <f>VLOOKUP(B3832,'Relacion codigos'!$A:$B,2,FALSE)</f>
        <v>8323</v>
      </c>
      <c r="B3832" s="6" t="s">
        <v>4152</v>
      </c>
      <c r="C3832" s="6" t="s">
        <v>9604</v>
      </c>
      <c r="D3832" s="24">
        <v>7914.0627851999998</v>
      </c>
      <c r="E3832" s="6" t="s">
        <v>5889</v>
      </c>
      <c r="F3832" s="6">
        <v>21</v>
      </c>
      <c r="G3832" s="8">
        <f t="shared" si="59"/>
        <v>7914.0627851999998</v>
      </c>
    </row>
    <row r="3833" spans="1:7" x14ac:dyDescent="0.3">
      <c r="A3833" s="14" t="e">
        <f>VLOOKUP(B3833,'Relacion codigos'!$A:$B,2,FALSE)</f>
        <v>#N/A</v>
      </c>
      <c r="B3833" s="6" t="s">
        <v>9724</v>
      </c>
      <c r="C3833" s="6" t="s">
        <v>12219</v>
      </c>
      <c r="D3833" s="24">
        <v>3281.3690000000001</v>
      </c>
      <c r="E3833" s="6" t="s">
        <v>5889</v>
      </c>
      <c r="F3833" s="6">
        <v>21</v>
      </c>
      <c r="G3833" s="8">
        <f t="shared" si="59"/>
        <v>3281.3690000000001</v>
      </c>
    </row>
    <row r="3834" spans="1:7" x14ac:dyDescent="0.3">
      <c r="A3834" s="14" t="str">
        <f>VLOOKUP(B3834,'Relacion codigos'!$A:$B,2,FALSE)</f>
        <v>9005</v>
      </c>
      <c r="B3834" s="6" t="s">
        <v>3525</v>
      </c>
      <c r="C3834" s="6" t="s">
        <v>12220</v>
      </c>
      <c r="D3834" s="24">
        <v>11604.369649599999</v>
      </c>
      <c r="E3834" s="6" t="s">
        <v>5889</v>
      </c>
      <c r="F3834" s="6">
        <v>21</v>
      </c>
      <c r="G3834" s="8">
        <f t="shared" si="59"/>
        <v>11604.369649599999</v>
      </c>
    </row>
    <row r="3835" spans="1:7" x14ac:dyDescent="0.3">
      <c r="A3835" s="14" t="e">
        <f>VLOOKUP(B3835,'Relacion codigos'!$A:$B,2,FALSE)</f>
        <v>#N/A</v>
      </c>
      <c r="B3835" s="6" t="s">
        <v>9725</v>
      </c>
      <c r="C3835" s="6" t="s">
        <v>12221</v>
      </c>
      <c r="D3835" s="24">
        <v>7454.3689999999997</v>
      </c>
      <c r="E3835" s="6" t="s">
        <v>5889</v>
      </c>
      <c r="F3835" s="6">
        <v>21</v>
      </c>
      <c r="G3835" s="8">
        <f t="shared" si="59"/>
        <v>7454.3689999999997</v>
      </c>
    </row>
    <row r="3836" spans="1:7" x14ac:dyDescent="0.3">
      <c r="A3836" s="14" t="e">
        <f>VLOOKUP(B3836,'Relacion codigos'!$A:$B,2,FALSE)</f>
        <v>#N/A</v>
      </c>
      <c r="B3836" s="6" t="s">
        <v>12755</v>
      </c>
      <c r="C3836" s="6" t="s">
        <v>12756</v>
      </c>
      <c r="D3836" s="24">
        <v>14605.5</v>
      </c>
      <c r="E3836" s="6" t="s">
        <v>5889</v>
      </c>
      <c r="F3836" s="6">
        <v>21</v>
      </c>
      <c r="G3836" s="8">
        <f t="shared" si="59"/>
        <v>14605.5</v>
      </c>
    </row>
    <row r="3837" spans="1:7" x14ac:dyDescent="0.3">
      <c r="A3837" s="14" t="e">
        <f>VLOOKUP(B3837,'Relacion codigos'!$A:$B,2,FALSE)</f>
        <v>#N/A</v>
      </c>
      <c r="B3837" s="6" t="s">
        <v>12757</v>
      </c>
      <c r="C3837" s="6" t="s">
        <v>12758</v>
      </c>
      <c r="D3837" s="24">
        <v>14605.5</v>
      </c>
      <c r="E3837" s="6" t="s">
        <v>5889</v>
      </c>
      <c r="F3837" s="6">
        <v>21</v>
      </c>
      <c r="G3837" s="8">
        <f t="shared" si="59"/>
        <v>14605.5</v>
      </c>
    </row>
    <row r="3838" spans="1:7" x14ac:dyDescent="0.3">
      <c r="A3838" s="14" t="str">
        <f>VLOOKUP(B3838,'Relacion codigos'!$A:$B,2,FALSE)</f>
        <v>3146</v>
      </c>
      <c r="B3838" s="6" t="s">
        <v>4158</v>
      </c>
      <c r="C3838" s="6" t="s">
        <v>12222</v>
      </c>
      <c r="D3838" s="24">
        <v>7058.1565600000004</v>
      </c>
      <c r="E3838" s="6" t="s">
        <v>5889</v>
      </c>
      <c r="F3838" s="6">
        <v>21</v>
      </c>
      <c r="G3838" s="8">
        <f t="shared" si="59"/>
        <v>7058.1565600000004</v>
      </c>
    </row>
    <row r="3839" spans="1:7" x14ac:dyDescent="0.3">
      <c r="A3839" s="14" t="str">
        <f>VLOOKUP(B3839,'Relacion codigos'!$A:$B,2,FALSE)</f>
        <v>3145</v>
      </c>
      <c r="B3839" s="6" t="s">
        <v>4159</v>
      </c>
      <c r="C3839" s="6" t="s">
        <v>12223</v>
      </c>
      <c r="D3839" s="24">
        <v>14409.53592</v>
      </c>
      <c r="E3839" s="6" t="s">
        <v>5889</v>
      </c>
      <c r="F3839" s="6">
        <v>21</v>
      </c>
      <c r="G3839" s="8">
        <f t="shared" si="59"/>
        <v>14409.53592</v>
      </c>
    </row>
    <row r="3840" spans="1:7" x14ac:dyDescent="0.3">
      <c r="A3840" s="14" t="e">
        <f>VLOOKUP(B3840,'Relacion codigos'!$A:$B,2,FALSE)</f>
        <v>#N/A</v>
      </c>
      <c r="B3840" s="6" t="s">
        <v>9423</v>
      </c>
      <c r="C3840" s="6" t="s">
        <v>11799</v>
      </c>
      <c r="D3840" s="24">
        <v>12735.995999999999</v>
      </c>
      <c r="E3840" s="6" t="s">
        <v>5889</v>
      </c>
      <c r="F3840" s="6">
        <v>21</v>
      </c>
      <c r="G3840" s="8">
        <f t="shared" si="59"/>
        <v>12735.995999999999</v>
      </c>
    </row>
    <row r="3841" spans="1:7" x14ac:dyDescent="0.3">
      <c r="A3841" s="14" t="e">
        <f>VLOOKUP(B3841,'Relacion codigos'!$A:$B,2,FALSE)</f>
        <v>#N/A</v>
      </c>
      <c r="B3841" s="6" t="s">
        <v>9424</v>
      </c>
      <c r="C3841" s="6" t="s">
        <v>10542</v>
      </c>
      <c r="D3841" s="24">
        <v>7087.4232000000002</v>
      </c>
      <c r="E3841" s="6" t="s">
        <v>5889</v>
      </c>
      <c r="F3841" s="6">
        <v>21</v>
      </c>
      <c r="G3841" s="8">
        <f t="shared" si="59"/>
        <v>7087.4232000000002</v>
      </c>
    </row>
    <row r="3842" spans="1:7" x14ac:dyDescent="0.3">
      <c r="A3842" s="14" t="str">
        <f>VLOOKUP(B3842,'Relacion codigos'!$A:$B,2,FALSE)</f>
        <v>5425</v>
      </c>
      <c r="B3842" s="6" t="s">
        <v>4160</v>
      </c>
      <c r="C3842" s="6" t="s">
        <v>9601</v>
      </c>
      <c r="D3842" s="24">
        <v>7058.1565600000004</v>
      </c>
      <c r="E3842" s="6" t="s">
        <v>5889</v>
      </c>
      <c r="F3842" s="6">
        <v>21</v>
      </c>
      <c r="G3842" s="8">
        <f t="shared" ref="G3842:G3905" si="60">IF(E3842="Dolares",D3842*$G$1,D3842)</f>
        <v>7058.1565600000004</v>
      </c>
    </row>
    <row r="3843" spans="1:7" x14ac:dyDescent="0.3">
      <c r="A3843" s="14" t="e">
        <f>VLOOKUP(B3843,'Relacion codigos'!$A:$B,2,FALSE)</f>
        <v>#N/A</v>
      </c>
      <c r="B3843" s="6" t="s">
        <v>9514</v>
      </c>
      <c r="C3843" s="6" t="s">
        <v>10543</v>
      </c>
      <c r="D3843" s="24">
        <v>7087.4232000000002</v>
      </c>
      <c r="E3843" s="6" t="s">
        <v>5889</v>
      </c>
      <c r="F3843" s="6">
        <v>21</v>
      </c>
      <c r="G3843" s="8">
        <f t="shared" si="60"/>
        <v>7087.4232000000002</v>
      </c>
    </row>
    <row r="3844" spans="1:7" x14ac:dyDescent="0.3">
      <c r="A3844" s="14" t="e">
        <f>VLOOKUP(B3844,'Relacion codigos'!$A:$B,2,FALSE)</f>
        <v>#N/A</v>
      </c>
      <c r="B3844" s="6" t="s">
        <v>11800</v>
      </c>
      <c r="C3844" s="6" t="s">
        <v>12224</v>
      </c>
      <c r="D3844" s="24">
        <v>4835.116</v>
      </c>
      <c r="E3844" s="6" t="s">
        <v>5889</v>
      </c>
      <c r="F3844" s="6">
        <v>21</v>
      </c>
      <c r="G3844" s="8">
        <f t="shared" si="60"/>
        <v>4835.116</v>
      </c>
    </row>
    <row r="3845" spans="1:7" x14ac:dyDescent="0.3">
      <c r="A3845" s="14" t="e">
        <f>VLOOKUP(B3845,'Relacion codigos'!$A:$B,2,FALSE)</f>
        <v>#N/A</v>
      </c>
      <c r="B3845" s="6" t="s">
        <v>9384</v>
      </c>
      <c r="C3845" s="6" t="s">
        <v>9385</v>
      </c>
      <c r="D3845" s="24">
        <v>2947.529</v>
      </c>
      <c r="E3845" s="6" t="s">
        <v>5889</v>
      </c>
      <c r="F3845" s="6">
        <v>21</v>
      </c>
      <c r="G3845" s="8">
        <f t="shared" si="60"/>
        <v>2947.529</v>
      </c>
    </row>
    <row r="3846" spans="1:7" x14ac:dyDescent="0.3">
      <c r="A3846" s="14" t="str">
        <f>VLOOKUP(B3846,'Relacion codigos'!$A:$B,2,FALSE)</f>
        <v>5342</v>
      </c>
      <c r="B3846" s="6" t="s">
        <v>4225</v>
      </c>
      <c r="C3846" s="6" t="s">
        <v>11880</v>
      </c>
      <c r="D3846" s="24">
        <v>1762.5980266245001</v>
      </c>
      <c r="E3846" s="6" t="s">
        <v>5889</v>
      </c>
      <c r="F3846" s="6">
        <v>21</v>
      </c>
      <c r="G3846" s="8">
        <f t="shared" si="60"/>
        <v>1762.5980266245001</v>
      </c>
    </row>
    <row r="3847" spans="1:7" x14ac:dyDescent="0.3">
      <c r="A3847" s="14" t="str">
        <f>VLOOKUP(B3847,'Relacion codigos'!$A:$B,2,FALSE)</f>
        <v>6194</v>
      </c>
      <c r="B3847" s="6" t="s">
        <v>4192</v>
      </c>
      <c r="C3847" s="6" t="s">
        <v>11906</v>
      </c>
      <c r="D3847" s="24">
        <v>10963.861999999999</v>
      </c>
      <c r="E3847" s="6" t="s">
        <v>5889</v>
      </c>
      <c r="F3847" s="6">
        <v>21</v>
      </c>
      <c r="G3847" s="8">
        <f t="shared" si="60"/>
        <v>10963.861999999999</v>
      </c>
    </row>
    <row r="3848" spans="1:7" x14ac:dyDescent="0.3">
      <c r="A3848" s="14" t="str">
        <f>VLOOKUP(B3848,'Relacion codigos'!$A:$B,2,FALSE)</f>
        <v>6192</v>
      </c>
      <c r="B3848" s="6" t="s">
        <v>4193</v>
      </c>
      <c r="C3848" s="6" t="s">
        <v>11907</v>
      </c>
      <c r="D3848" s="24">
        <v>10963.861999999999</v>
      </c>
      <c r="E3848" s="6" t="s">
        <v>5889</v>
      </c>
      <c r="F3848" s="6">
        <v>21</v>
      </c>
      <c r="G3848" s="8">
        <f t="shared" si="60"/>
        <v>10963.861999999999</v>
      </c>
    </row>
    <row r="3849" spans="1:7" x14ac:dyDescent="0.3">
      <c r="A3849" s="14" t="str">
        <f>VLOOKUP(B3849,'Relacion codigos'!$A:$B,2,FALSE)</f>
        <v>6195</v>
      </c>
      <c r="B3849" s="6" t="s">
        <v>4194</v>
      </c>
      <c r="C3849" s="6" t="s">
        <v>11908</v>
      </c>
      <c r="D3849" s="24">
        <v>19547.723000000002</v>
      </c>
      <c r="E3849" s="6" t="s">
        <v>5889</v>
      </c>
      <c r="F3849" s="6">
        <v>21</v>
      </c>
      <c r="G3849" s="8">
        <f t="shared" si="60"/>
        <v>19547.723000000002</v>
      </c>
    </row>
    <row r="3850" spans="1:7" x14ac:dyDescent="0.3">
      <c r="A3850" s="14" t="str">
        <f>VLOOKUP(B3850,'Relacion codigos'!$A:$B,2,FALSE)</f>
        <v>6204</v>
      </c>
      <c r="B3850" s="6" t="s">
        <v>4195</v>
      </c>
      <c r="C3850" s="6" t="s">
        <v>11909</v>
      </c>
      <c r="D3850" s="24">
        <v>19547.723000000002</v>
      </c>
      <c r="E3850" s="6" t="s">
        <v>5889</v>
      </c>
      <c r="F3850" s="6">
        <v>21</v>
      </c>
      <c r="G3850" s="8">
        <f t="shared" si="60"/>
        <v>19547.723000000002</v>
      </c>
    </row>
    <row r="3851" spans="1:7" x14ac:dyDescent="0.3">
      <c r="A3851" s="14" t="str">
        <f>VLOOKUP(B3851,'Relacion codigos'!$A:$B,2,FALSE)</f>
        <v>5424</v>
      </c>
      <c r="B3851" s="6" t="s">
        <v>4186</v>
      </c>
      <c r="C3851" s="6" t="s">
        <v>12225</v>
      </c>
      <c r="D3851" s="24">
        <v>3525.2947600000002</v>
      </c>
      <c r="E3851" s="6" t="s">
        <v>5889</v>
      </c>
      <c r="F3851" s="6">
        <v>21</v>
      </c>
      <c r="G3851" s="8">
        <f t="shared" si="60"/>
        <v>3525.2947600000002</v>
      </c>
    </row>
    <row r="3852" spans="1:7" x14ac:dyDescent="0.3">
      <c r="A3852" s="14" t="str">
        <f>VLOOKUP(B3852,'Relacion codigos'!$A:$B,2,FALSE)</f>
        <v>6203</v>
      </c>
      <c r="B3852" s="6" t="s">
        <v>4197</v>
      </c>
      <c r="C3852" s="6" t="s">
        <v>11910</v>
      </c>
      <c r="D3852" s="24">
        <v>19547.723000000002</v>
      </c>
      <c r="E3852" s="6" t="s">
        <v>5889</v>
      </c>
      <c r="F3852" s="6">
        <v>21</v>
      </c>
      <c r="G3852" s="8">
        <f t="shared" si="60"/>
        <v>19547.723000000002</v>
      </c>
    </row>
    <row r="3853" spans="1:7" x14ac:dyDescent="0.3">
      <c r="A3853" s="14" t="str">
        <f>VLOOKUP(B3853,'Relacion codigos'!$A:$B,2,FALSE)</f>
        <v>6193</v>
      </c>
      <c r="B3853" s="6" t="s">
        <v>4198</v>
      </c>
      <c r="C3853" s="6" t="s">
        <v>11911</v>
      </c>
      <c r="D3853" s="24">
        <v>19547.723000000002</v>
      </c>
      <c r="E3853" s="6" t="s">
        <v>5889</v>
      </c>
      <c r="F3853" s="6">
        <v>21</v>
      </c>
      <c r="G3853" s="8">
        <f t="shared" si="60"/>
        <v>19547.723000000002</v>
      </c>
    </row>
    <row r="3854" spans="1:7" x14ac:dyDescent="0.3">
      <c r="A3854" s="14" t="str">
        <f>VLOOKUP(B3854,'Relacion codigos'!$A:$B,2,FALSE)</f>
        <v>6208</v>
      </c>
      <c r="B3854" s="6" t="s">
        <v>4199</v>
      </c>
      <c r="C3854" s="6" t="s">
        <v>11912</v>
      </c>
      <c r="D3854" s="24">
        <v>8700.7049999999999</v>
      </c>
      <c r="E3854" s="6" t="s">
        <v>5889</v>
      </c>
      <c r="F3854" s="6">
        <v>21</v>
      </c>
      <c r="G3854" s="8">
        <f t="shared" si="60"/>
        <v>8700.7049999999999</v>
      </c>
    </row>
    <row r="3855" spans="1:7" x14ac:dyDescent="0.3">
      <c r="A3855" s="14" t="str">
        <f>VLOOKUP(B3855,'Relacion codigos'!$A:$B,2,FALSE)</f>
        <v>6207</v>
      </c>
      <c r="B3855" s="6" t="s">
        <v>4200</v>
      </c>
      <c r="C3855" s="6" t="s">
        <v>11913</v>
      </c>
      <c r="D3855" s="24">
        <v>3855.8519999999999</v>
      </c>
      <c r="E3855" s="6" t="s">
        <v>5889</v>
      </c>
      <c r="F3855" s="6">
        <v>21</v>
      </c>
      <c r="G3855" s="8">
        <f t="shared" si="60"/>
        <v>3855.8519999999999</v>
      </c>
    </row>
    <row r="3856" spans="1:7" x14ac:dyDescent="0.3">
      <c r="A3856" s="14" t="str">
        <f>VLOOKUP(B3856,'Relacion codigos'!$A:$B,2,FALSE)</f>
        <v>7088</v>
      </c>
      <c r="B3856" s="6" t="s">
        <v>4201</v>
      </c>
      <c r="C3856" s="6" t="s">
        <v>11914</v>
      </c>
      <c r="D3856" s="24">
        <v>3855.8519999999999</v>
      </c>
      <c r="E3856" s="6" t="s">
        <v>5889</v>
      </c>
      <c r="F3856" s="6">
        <v>21</v>
      </c>
      <c r="G3856" s="8">
        <f t="shared" si="60"/>
        <v>3855.8519999999999</v>
      </c>
    </row>
    <row r="3857" spans="1:7" x14ac:dyDescent="0.3">
      <c r="A3857" s="14" t="str">
        <f>VLOOKUP(B3857,'Relacion codigos'!$A:$B,2,FALSE)</f>
        <v>6202</v>
      </c>
      <c r="B3857" s="6" t="s">
        <v>4202</v>
      </c>
      <c r="C3857" s="6" t="s">
        <v>11915</v>
      </c>
      <c r="D3857" s="24">
        <v>19547.723000000002</v>
      </c>
      <c r="E3857" s="6" t="s">
        <v>5889</v>
      </c>
      <c r="F3857" s="6">
        <v>21</v>
      </c>
      <c r="G3857" s="8">
        <f t="shared" si="60"/>
        <v>19547.723000000002</v>
      </c>
    </row>
    <row r="3858" spans="1:7" x14ac:dyDescent="0.3">
      <c r="A3858" s="14" t="str">
        <f>VLOOKUP(B3858,'Relacion codigos'!$A:$B,2,FALSE)</f>
        <v>5343</v>
      </c>
      <c r="B3858" s="6" t="s">
        <v>4226</v>
      </c>
      <c r="C3858" s="6" t="s">
        <v>11428</v>
      </c>
      <c r="D3858" s="24">
        <v>2023.8743013255</v>
      </c>
      <c r="E3858" s="6" t="s">
        <v>5889</v>
      </c>
      <c r="F3858" s="6">
        <v>21</v>
      </c>
      <c r="G3858" s="8">
        <f t="shared" si="60"/>
        <v>2023.8743013255</v>
      </c>
    </row>
    <row r="3859" spans="1:7" x14ac:dyDescent="0.3">
      <c r="A3859" s="14" t="str">
        <f>VLOOKUP(B3859,'Relacion codigos'!$A:$B,2,FALSE)</f>
        <v>3148</v>
      </c>
      <c r="B3859" s="6" t="s">
        <v>4185</v>
      </c>
      <c r="C3859" s="6" t="s">
        <v>618</v>
      </c>
      <c r="D3859" s="24">
        <v>3525.2947600000002</v>
      </c>
      <c r="E3859" s="6" t="s">
        <v>5889</v>
      </c>
      <c r="F3859" s="6">
        <v>21</v>
      </c>
      <c r="G3859" s="8">
        <f t="shared" si="60"/>
        <v>3525.2947600000002</v>
      </c>
    </row>
    <row r="3860" spans="1:7" x14ac:dyDescent="0.3">
      <c r="A3860" s="14" t="str">
        <f>VLOOKUP(B3860,'Relacion codigos'!$A:$B,2,FALSE)</f>
        <v>3147</v>
      </c>
      <c r="B3860" s="6" t="s">
        <v>4187</v>
      </c>
      <c r="C3860" s="6" t="s">
        <v>619</v>
      </c>
      <c r="D3860" s="24">
        <v>12572.63696</v>
      </c>
      <c r="E3860" s="6" t="s">
        <v>5889</v>
      </c>
      <c r="F3860" s="6">
        <v>21</v>
      </c>
      <c r="G3860" s="8">
        <f t="shared" si="60"/>
        <v>12572.63696</v>
      </c>
    </row>
    <row r="3861" spans="1:7" x14ac:dyDescent="0.3">
      <c r="A3861" s="14" t="e">
        <f>VLOOKUP(B3861,'Relacion codigos'!$A:$B,2,FALSE)</f>
        <v>#N/A</v>
      </c>
      <c r="B3861" s="6" t="s">
        <v>9386</v>
      </c>
      <c r="C3861" s="6" t="s">
        <v>11429</v>
      </c>
      <c r="D3861" s="24">
        <v>2164.3960000000002</v>
      </c>
      <c r="E3861" s="6" t="s">
        <v>5889</v>
      </c>
      <c r="F3861" s="6">
        <v>21</v>
      </c>
      <c r="G3861" s="8">
        <f t="shared" si="60"/>
        <v>2164.3960000000002</v>
      </c>
    </row>
    <row r="3862" spans="1:7" x14ac:dyDescent="0.3">
      <c r="A3862" s="14" t="e">
        <f>VLOOKUP(B3862,'Relacion codigos'!$A:$B,2,FALSE)</f>
        <v>#N/A</v>
      </c>
      <c r="B3862" s="6" t="s">
        <v>13077</v>
      </c>
      <c r="C3862" s="6" t="s">
        <v>13078</v>
      </c>
      <c r="D3862" s="24">
        <v>2164.3960000000002</v>
      </c>
      <c r="E3862" s="6" t="s">
        <v>5889</v>
      </c>
      <c r="F3862" s="6">
        <v>21</v>
      </c>
      <c r="G3862" s="8">
        <f t="shared" si="60"/>
        <v>2164.3960000000002</v>
      </c>
    </row>
    <row r="3863" spans="1:7" x14ac:dyDescent="0.3">
      <c r="A3863" s="14" t="str">
        <f>VLOOKUP(B3863,'Relacion codigos'!$A:$B,2,FALSE)</f>
        <v>8097</v>
      </c>
      <c r="B3863" s="6" t="s">
        <v>3935</v>
      </c>
      <c r="C3863" s="6" t="s">
        <v>11801</v>
      </c>
      <c r="D3863" s="24">
        <v>5888.9376000000002</v>
      </c>
      <c r="E3863" s="6" t="s">
        <v>5889</v>
      </c>
      <c r="F3863" s="6">
        <v>21</v>
      </c>
      <c r="G3863" s="8">
        <f t="shared" si="60"/>
        <v>5888.9376000000002</v>
      </c>
    </row>
    <row r="3864" spans="1:7" x14ac:dyDescent="0.3">
      <c r="A3864" s="14" t="str">
        <f>VLOOKUP(B3864,'Relacion codigos'!$A:$B,2,FALSE)</f>
        <v>8096</v>
      </c>
      <c r="B3864" s="6" t="s">
        <v>3936</v>
      </c>
      <c r="C3864" s="6" t="s">
        <v>11802</v>
      </c>
      <c r="D3864" s="24">
        <v>2702.9911999999999</v>
      </c>
      <c r="E3864" s="6" t="s">
        <v>5889</v>
      </c>
      <c r="F3864" s="6">
        <v>21</v>
      </c>
      <c r="G3864" s="8">
        <f t="shared" si="60"/>
        <v>2702.9911999999999</v>
      </c>
    </row>
    <row r="3865" spans="1:7" x14ac:dyDescent="0.3">
      <c r="A3865" s="14" t="str">
        <f>VLOOKUP(B3865,'Relacion codigos'!$A:$B,2,FALSE)</f>
        <v>8674</v>
      </c>
      <c r="B3865" s="6" t="s">
        <v>3937</v>
      </c>
      <c r="C3865" s="6" t="s">
        <v>11803</v>
      </c>
      <c r="D3865" s="24">
        <v>2702.9911999999999</v>
      </c>
      <c r="E3865" s="6" t="s">
        <v>5889</v>
      </c>
      <c r="F3865" s="6">
        <v>21</v>
      </c>
      <c r="G3865" s="8">
        <f t="shared" si="60"/>
        <v>2702.9911999999999</v>
      </c>
    </row>
    <row r="3866" spans="1:7" x14ac:dyDescent="0.3">
      <c r="A3866" s="14" t="str">
        <f>VLOOKUP(B3866,'Relacion codigos'!$A:$B,2,FALSE)</f>
        <v>8980</v>
      </c>
      <c r="B3866" s="6" t="s">
        <v>3938</v>
      </c>
      <c r="C3866" s="6" t="s">
        <v>11804</v>
      </c>
      <c r="D3866" s="24">
        <v>6361.8775999999998</v>
      </c>
      <c r="E3866" s="6" t="s">
        <v>5889</v>
      </c>
      <c r="F3866" s="6">
        <v>21</v>
      </c>
      <c r="G3866" s="8">
        <f t="shared" si="60"/>
        <v>6361.8775999999998</v>
      </c>
    </row>
    <row r="3867" spans="1:7" x14ac:dyDescent="0.3">
      <c r="A3867" s="14" t="str">
        <f>VLOOKUP(B3867,'Relacion codigos'!$A:$B,2,FALSE)</f>
        <v>8894</v>
      </c>
      <c r="B3867" s="6" t="s">
        <v>3939</v>
      </c>
      <c r="C3867" s="6" t="s">
        <v>11805</v>
      </c>
      <c r="D3867" s="24">
        <v>3239.3607999999999</v>
      </c>
      <c r="E3867" s="6" t="s">
        <v>5889</v>
      </c>
      <c r="F3867" s="6">
        <v>21</v>
      </c>
      <c r="G3867" s="8">
        <f t="shared" si="60"/>
        <v>3239.3607999999999</v>
      </c>
    </row>
    <row r="3868" spans="1:7" x14ac:dyDescent="0.3">
      <c r="A3868" s="14" t="str">
        <f>VLOOKUP(B3868,'Relacion codigos'!$A:$B,2,FALSE)</f>
        <v>8870</v>
      </c>
      <c r="B3868" s="6" t="s">
        <v>3942</v>
      </c>
      <c r="C3868" s="6" t="s">
        <v>11806</v>
      </c>
      <c r="D3868" s="24">
        <v>3239.3607999999999</v>
      </c>
      <c r="E3868" s="6" t="s">
        <v>5889</v>
      </c>
      <c r="F3868" s="6">
        <v>21</v>
      </c>
      <c r="G3868" s="8">
        <f t="shared" si="60"/>
        <v>3239.3607999999999</v>
      </c>
    </row>
    <row r="3869" spans="1:7" x14ac:dyDescent="0.3">
      <c r="A3869" s="14" t="e">
        <f>VLOOKUP(B3869,'Relacion codigos'!$A:$B,2,FALSE)</f>
        <v>#N/A</v>
      </c>
      <c r="B3869" s="6" t="s">
        <v>12585</v>
      </c>
      <c r="C3869" s="6" t="s">
        <v>12586</v>
      </c>
      <c r="D3869" s="24">
        <v>4195.2560000000003</v>
      </c>
      <c r="E3869" s="6" t="s">
        <v>5889</v>
      </c>
      <c r="F3869" s="6">
        <v>21</v>
      </c>
      <c r="G3869" s="8">
        <f t="shared" si="60"/>
        <v>4195.2560000000003</v>
      </c>
    </row>
    <row r="3870" spans="1:7" x14ac:dyDescent="0.3">
      <c r="A3870" s="14" t="str">
        <f>VLOOKUP(B3870,'Relacion codigos'!$A:$B,2,FALSE)</f>
        <v>5410</v>
      </c>
      <c r="B3870" s="6" t="s">
        <v>4216</v>
      </c>
      <c r="C3870" s="6" t="s">
        <v>12307</v>
      </c>
      <c r="D3870" s="24">
        <v>7745.0434880000003</v>
      </c>
      <c r="E3870" s="6" t="s">
        <v>5889</v>
      </c>
      <c r="F3870" s="6">
        <v>21</v>
      </c>
      <c r="G3870" s="8">
        <f t="shared" si="60"/>
        <v>7745.0434880000003</v>
      </c>
    </row>
    <row r="3871" spans="1:7" x14ac:dyDescent="0.3">
      <c r="A3871" s="14" t="str">
        <f>VLOOKUP(B3871,'Relacion codigos'!$A:$B,2,FALSE)</f>
        <v>4053</v>
      </c>
      <c r="B3871" s="6" t="s">
        <v>4234</v>
      </c>
      <c r="C3871" s="6" t="s">
        <v>11430</v>
      </c>
      <c r="D3871" s="24">
        <v>3834.9870000000001</v>
      </c>
      <c r="E3871" s="6" t="s">
        <v>5889</v>
      </c>
      <c r="F3871" s="6">
        <v>21</v>
      </c>
      <c r="G3871" s="8">
        <f t="shared" si="60"/>
        <v>3834.9870000000001</v>
      </c>
    </row>
    <row r="3872" spans="1:7" x14ac:dyDescent="0.3">
      <c r="A3872" s="14" t="str">
        <f>VLOOKUP(B3872,'Relacion codigos'!$A:$B,2,FALSE)</f>
        <v>2131</v>
      </c>
      <c r="B3872" s="6" t="s">
        <v>4233</v>
      </c>
      <c r="C3872" s="6" t="s">
        <v>11807</v>
      </c>
      <c r="D3872" s="24">
        <v>2030.86</v>
      </c>
      <c r="E3872" s="6" t="s">
        <v>5889</v>
      </c>
      <c r="F3872" s="6">
        <v>21</v>
      </c>
      <c r="G3872" s="8">
        <f t="shared" si="60"/>
        <v>2030.86</v>
      </c>
    </row>
    <row r="3873" spans="1:7" x14ac:dyDescent="0.3">
      <c r="A3873" s="14" t="str">
        <f>VLOOKUP(B3873,'Relacion codigos'!$A:$B,2,FALSE)</f>
        <v>1328</v>
      </c>
      <c r="B3873" s="6" t="s">
        <v>4235</v>
      </c>
      <c r="C3873" s="6" t="s">
        <v>11431</v>
      </c>
      <c r="D3873" s="24">
        <v>662.06035999999995</v>
      </c>
      <c r="E3873" s="6" t="s">
        <v>5889</v>
      </c>
      <c r="F3873" s="6">
        <v>21</v>
      </c>
      <c r="G3873" s="8">
        <f t="shared" si="60"/>
        <v>662.06035999999995</v>
      </c>
    </row>
    <row r="3874" spans="1:7" x14ac:dyDescent="0.3">
      <c r="A3874" s="14" t="str">
        <f>VLOOKUP(B3874,'Relacion codigos'!$A:$B,2,FALSE)</f>
        <v>3606</v>
      </c>
      <c r="B3874" s="6" t="s">
        <v>4238</v>
      </c>
      <c r="C3874" s="6" t="s">
        <v>11808</v>
      </c>
      <c r="D3874" s="24">
        <v>609.25800000000004</v>
      </c>
      <c r="E3874" s="6" t="s">
        <v>5889</v>
      </c>
      <c r="F3874" s="6">
        <v>21</v>
      </c>
      <c r="G3874" s="8">
        <f t="shared" si="60"/>
        <v>609.25800000000004</v>
      </c>
    </row>
    <row r="3875" spans="1:7" x14ac:dyDescent="0.3">
      <c r="A3875" s="14" t="e">
        <f>VLOOKUP(B3875,'Relacion codigos'!$A:$B,2,FALSE)</f>
        <v>#N/A</v>
      </c>
      <c r="B3875" s="6" t="s">
        <v>10968</v>
      </c>
      <c r="C3875" s="6" t="s">
        <v>12226</v>
      </c>
      <c r="D3875" s="24">
        <v>2.4092250000000002</v>
      </c>
      <c r="E3875" s="6" t="s">
        <v>5887</v>
      </c>
      <c r="F3875" s="6">
        <v>21</v>
      </c>
      <c r="G3875" s="8">
        <f t="shared" si="60"/>
        <v>3746.3448750000002</v>
      </c>
    </row>
    <row r="3876" spans="1:7" x14ac:dyDescent="0.3">
      <c r="A3876" s="14" t="e">
        <f>VLOOKUP(B3876,'Relacion codigos'!$A:$B,2,FALSE)</f>
        <v>#N/A</v>
      </c>
      <c r="B3876" s="6" t="s">
        <v>13176</v>
      </c>
      <c r="C3876" s="6" t="s">
        <v>13177</v>
      </c>
      <c r="D3876" s="24">
        <v>1.1738999999999999</v>
      </c>
      <c r="E3876" s="6" t="s">
        <v>5887</v>
      </c>
      <c r="F3876" s="6">
        <v>21</v>
      </c>
      <c r="G3876" s="8">
        <f t="shared" si="60"/>
        <v>1825.4144999999999</v>
      </c>
    </row>
    <row r="3877" spans="1:7" x14ac:dyDescent="0.3">
      <c r="A3877" s="14" t="e">
        <f>VLOOKUP(B3877,'Relacion codigos'!$A:$B,2,FALSE)</f>
        <v>#N/A</v>
      </c>
      <c r="B3877" s="6" t="s">
        <v>12957</v>
      </c>
      <c r="C3877" s="6" t="s">
        <v>12958</v>
      </c>
      <c r="D3877" s="24">
        <v>15339.28032</v>
      </c>
      <c r="E3877" s="6" t="s">
        <v>5889</v>
      </c>
      <c r="F3877" s="6">
        <v>21</v>
      </c>
      <c r="G3877" s="8">
        <f t="shared" si="60"/>
        <v>15339.28032</v>
      </c>
    </row>
    <row r="3878" spans="1:7" x14ac:dyDescent="0.3">
      <c r="A3878" s="14" t="e">
        <f>VLOOKUP(B3878,'Relacion codigos'!$A:$B,2,FALSE)</f>
        <v>#N/A</v>
      </c>
      <c r="B3878" s="6" t="s">
        <v>10400</v>
      </c>
      <c r="C3878" s="6" t="s">
        <v>10844</v>
      </c>
      <c r="D3878" s="24">
        <v>10.628631</v>
      </c>
      <c r="E3878" s="6" t="s">
        <v>5887</v>
      </c>
      <c r="F3878" s="6">
        <v>21</v>
      </c>
      <c r="G3878" s="8">
        <f t="shared" si="60"/>
        <v>16527.521205000001</v>
      </c>
    </row>
    <row r="3879" spans="1:7" x14ac:dyDescent="0.3">
      <c r="A3879" s="14" t="str">
        <f>VLOOKUP(B3879,'Relacion codigos'!$A:$B,2,FALSE)</f>
        <v>5038</v>
      </c>
      <c r="B3879" s="6" t="s">
        <v>4122</v>
      </c>
      <c r="C3879" s="6" t="s">
        <v>10544</v>
      </c>
      <c r="D3879" s="24">
        <v>15170.035872611101</v>
      </c>
      <c r="E3879" s="6" t="s">
        <v>5889</v>
      </c>
      <c r="F3879" s="6">
        <v>21</v>
      </c>
      <c r="G3879" s="8">
        <f t="shared" si="60"/>
        <v>15170.035872611101</v>
      </c>
    </row>
    <row r="3880" spans="1:7" x14ac:dyDescent="0.3">
      <c r="A3880" s="14" t="str">
        <f>VLOOKUP(B3880,'Relacion codigos'!$A:$B,2,FALSE)</f>
        <v>5347</v>
      </c>
      <c r="B3880" s="6" t="s">
        <v>3526</v>
      </c>
      <c r="C3880" s="6" t="s">
        <v>10545</v>
      </c>
      <c r="D3880" s="24">
        <v>1770.09633801</v>
      </c>
      <c r="E3880" s="6" t="s">
        <v>5889</v>
      </c>
      <c r="F3880" s="6">
        <v>21</v>
      </c>
      <c r="G3880" s="8">
        <f t="shared" si="60"/>
        <v>1770.09633801</v>
      </c>
    </row>
    <row r="3881" spans="1:7" x14ac:dyDescent="0.3">
      <c r="A3881" s="14" t="str">
        <f>VLOOKUP(B3881,'Relacion codigos'!$A:$B,2,FALSE)</f>
        <v>5348</v>
      </c>
      <c r="B3881" s="6" t="s">
        <v>3527</v>
      </c>
      <c r="C3881" s="6" t="s">
        <v>10546</v>
      </c>
      <c r="D3881" s="24">
        <v>1770.09633801</v>
      </c>
      <c r="E3881" s="6" t="s">
        <v>5889</v>
      </c>
      <c r="F3881" s="6">
        <v>21</v>
      </c>
      <c r="G3881" s="8">
        <f t="shared" si="60"/>
        <v>1770.09633801</v>
      </c>
    </row>
    <row r="3882" spans="1:7" x14ac:dyDescent="0.3">
      <c r="A3882" s="14" t="e">
        <f>VLOOKUP(B3882,'Relacion codigos'!$A:$B,2,FALSE)</f>
        <v>#N/A</v>
      </c>
      <c r="B3882" s="6" t="s">
        <v>10399</v>
      </c>
      <c r="C3882" s="6" t="s">
        <v>12070</v>
      </c>
      <c r="D3882" s="24">
        <v>12.844493999999999</v>
      </c>
      <c r="E3882" s="6" t="s">
        <v>5887</v>
      </c>
      <c r="F3882" s="6">
        <v>21</v>
      </c>
      <c r="G3882" s="8">
        <f t="shared" si="60"/>
        <v>19973.188169999998</v>
      </c>
    </row>
    <row r="3883" spans="1:7" x14ac:dyDescent="0.3">
      <c r="A3883" s="14" t="e">
        <f>VLOOKUP(B3883,'Relacion codigos'!$A:$B,2,FALSE)</f>
        <v>#N/A</v>
      </c>
      <c r="B3883" s="6" t="s">
        <v>11564</v>
      </c>
      <c r="C3883" s="6" t="s">
        <v>11565</v>
      </c>
      <c r="D3883" s="24">
        <v>25476.165000000001</v>
      </c>
      <c r="E3883" s="6" t="s">
        <v>5889</v>
      </c>
      <c r="F3883" s="6">
        <v>21</v>
      </c>
      <c r="G3883" s="8">
        <f t="shared" si="60"/>
        <v>25476.165000000001</v>
      </c>
    </row>
    <row r="3884" spans="1:7" x14ac:dyDescent="0.3">
      <c r="A3884" s="14" t="e">
        <f>VLOOKUP(B3884,'Relacion codigos'!$A:$B,2,FALSE)</f>
        <v>#N/A</v>
      </c>
      <c r="B3884" s="6" t="s">
        <v>11566</v>
      </c>
      <c r="C3884" s="6" t="s">
        <v>11567</v>
      </c>
      <c r="D3884" s="24">
        <v>21397.753000000001</v>
      </c>
      <c r="E3884" s="6" t="s">
        <v>5889</v>
      </c>
      <c r="F3884" s="6">
        <v>21</v>
      </c>
      <c r="G3884" s="8">
        <f t="shared" si="60"/>
        <v>21397.753000000001</v>
      </c>
    </row>
    <row r="3885" spans="1:7" x14ac:dyDescent="0.3">
      <c r="A3885" s="14" t="e">
        <f>VLOOKUP(B3885,'Relacion codigos'!$A:$B,2,FALSE)</f>
        <v>#N/A</v>
      </c>
      <c r="B3885" s="6" t="s">
        <v>11568</v>
      </c>
      <c r="C3885" s="6" t="s">
        <v>11569</v>
      </c>
      <c r="D3885" s="24">
        <v>21397.753000000001</v>
      </c>
      <c r="E3885" s="6" t="s">
        <v>5889</v>
      </c>
      <c r="F3885" s="6">
        <v>21</v>
      </c>
      <c r="G3885" s="8">
        <f t="shared" si="60"/>
        <v>21397.753000000001</v>
      </c>
    </row>
    <row r="3886" spans="1:7" x14ac:dyDescent="0.3">
      <c r="A3886" s="14" t="str">
        <f>VLOOKUP(B3886,'Relacion codigos'!$A:$B,2,FALSE)</f>
        <v>5411</v>
      </c>
      <c r="B3886" s="6" t="s">
        <v>4215</v>
      </c>
      <c r="C3886" s="6" t="s">
        <v>1077</v>
      </c>
      <c r="D3886" s="24">
        <v>3769.9647049999999</v>
      </c>
      <c r="E3886" s="6" t="s">
        <v>5889</v>
      </c>
      <c r="F3886" s="6">
        <v>21</v>
      </c>
      <c r="G3886" s="8">
        <f t="shared" si="60"/>
        <v>3769.9647049999999</v>
      </c>
    </row>
    <row r="3887" spans="1:7" x14ac:dyDescent="0.3">
      <c r="A3887" s="14" t="str">
        <f>VLOOKUP(B3887,'Relacion codigos'!$A:$B,2,FALSE)</f>
        <v>8071</v>
      </c>
      <c r="B3887" s="6" t="s">
        <v>4166</v>
      </c>
      <c r="C3887" s="6" t="s">
        <v>13246</v>
      </c>
      <c r="D3887" s="24">
        <v>8097.4394279999997</v>
      </c>
      <c r="E3887" s="6" t="s">
        <v>5889</v>
      </c>
      <c r="F3887" s="6">
        <v>21</v>
      </c>
      <c r="G3887" s="8">
        <f t="shared" si="60"/>
        <v>8097.4394279999997</v>
      </c>
    </row>
    <row r="3888" spans="1:7" x14ac:dyDescent="0.3">
      <c r="A3888" s="14" t="str">
        <f>VLOOKUP(B3888,'Relacion codigos'!$A:$B,2,FALSE)</f>
        <v>8072</v>
      </c>
      <c r="B3888" s="6" t="s">
        <v>4167</v>
      </c>
      <c r="C3888" s="6" t="s">
        <v>13247</v>
      </c>
      <c r="D3888" s="24">
        <v>8097.4394279999997</v>
      </c>
      <c r="E3888" s="6" t="s">
        <v>5889</v>
      </c>
      <c r="F3888" s="6">
        <v>21</v>
      </c>
      <c r="G3888" s="8">
        <f t="shared" si="60"/>
        <v>8097.4394279999997</v>
      </c>
    </row>
    <row r="3889" spans="1:7" x14ac:dyDescent="0.3">
      <c r="A3889" s="14" t="str">
        <f>VLOOKUP(B3889,'Relacion codigos'!$A:$B,2,FALSE)</f>
        <v>8074</v>
      </c>
      <c r="B3889" s="6" t="s">
        <v>4169</v>
      </c>
      <c r="C3889" s="6" t="s">
        <v>12959</v>
      </c>
      <c r="D3889" s="24">
        <v>7495.4382750000004</v>
      </c>
      <c r="E3889" s="6" t="s">
        <v>5889</v>
      </c>
      <c r="F3889" s="6">
        <v>21</v>
      </c>
      <c r="G3889" s="8">
        <f t="shared" si="60"/>
        <v>7495.4382750000004</v>
      </c>
    </row>
    <row r="3890" spans="1:7" x14ac:dyDescent="0.3">
      <c r="A3890" s="14" t="str">
        <f>VLOOKUP(B3890,'Relacion codigos'!$A:$B,2,FALSE)</f>
        <v>8075</v>
      </c>
      <c r="B3890" s="6" t="s">
        <v>4170</v>
      </c>
      <c r="C3890" s="6" t="s">
        <v>12960</v>
      </c>
      <c r="D3890" s="24">
        <v>7495.4382750000004</v>
      </c>
      <c r="E3890" s="6" t="s">
        <v>5889</v>
      </c>
      <c r="F3890" s="6">
        <v>21</v>
      </c>
      <c r="G3890" s="8">
        <f t="shared" si="60"/>
        <v>7495.4382750000004</v>
      </c>
    </row>
    <row r="3891" spans="1:7" x14ac:dyDescent="0.3">
      <c r="A3891" s="14" t="e">
        <f>VLOOKUP(B3891,'Relacion codigos'!$A:$B,2,FALSE)</f>
        <v>#N/A</v>
      </c>
      <c r="B3891" s="6" t="s">
        <v>11570</v>
      </c>
      <c r="C3891" s="6" t="s">
        <v>11571</v>
      </c>
      <c r="D3891" s="24">
        <v>6231.68</v>
      </c>
      <c r="E3891" s="6" t="s">
        <v>5889</v>
      </c>
      <c r="F3891" s="6">
        <v>21</v>
      </c>
      <c r="G3891" s="8">
        <f t="shared" si="60"/>
        <v>6231.68</v>
      </c>
    </row>
    <row r="3892" spans="1:7" x14ac:dyDescent="0.3">
      <c r="A3892" s="14" t="e">
        <f>VLOOKUP(B3892,'Relacion codigos'!$A:$B,2,FALSE)</f>
        <v>#N/A</v>
      </c>
      <c r="B3892" s="6" t="s">
        <v>11572</v>
      </c>
      <c r="C3892" s="6" t="s">
        <v>11573</v>
      </c>
      <c r="D3892" s="24">
        <v>6231.68</v>
      </c>
      <c r="E3892" s="6" t="s">
        <v>5889</v>
      </c>
      <c r="F3892" s="6">
        <v>21</v>
      </c>
      <c r="G3892" s="8">
        <f t="shared" si="60"/>
        <v>6231.68</v>
      </c>
    </row>
    <row r="3893" spans="1:7" x14ac:dyDescent="0.3">
      <c r="A3893" s="14" t="str">
        <f>VLOOKUP(B3893,'Relacion codigos'!$A:$B,2,FALSE)</f>
        <v>8099</v>
      </c>
      <c r="B3893" s="6" t="s">
        <v>3940</v>
      </c>
      <c r="C3893" s="6" t="s">
        <v>1179</v>
      </c>
      <c r="D3893" s="24">
        <v>1933.33554336</v>
      </c>
      <c r="E3893" s="6" t="s">
        <v>5889</v>
      </c>
      <c r="F3893" s="6">
        <v>21</v>
      </c>
      <c r="G3893" s="8">
        <f t="shared" si="60"/>
        <v>1933.33554336</v>
      </c>
    </row>
    <row r="3894" spans="1:7" x14ac:dyDescent="0.3">
      <c r="A3894" s="14" t="str">
        <f>VLOOKUP(B3894,'Relacion codigos'!$A:$B,2,FALSE)</f>
        <v>8098</v>
      </c>
      <c r="B3894" s="6" t="s">
        <v>3941</v>
      </c>
      <c r="C3894" s="6" t="s">
        <v>1180</v>
      </c>
      <c r="D3894" s="24">
        <v>936.84717983999997</v>
      </c>
      <c r="E3894" s="6" t="s">
        <v>5889</v>
      </c>
      <c r="F3894" s="6">
        <v>21</v>
      </c>
      <c r="G3894" s="8">
        <f t="shared" si="60"/>
        <v>936.84717983999997</v>
      </c>
    </row>
    <row r="3895" spans="1:7" x14ac:dyDescent="0.3">
      <c r="A3895" s="14" t="e">
        <f>VLOOKUP(B3895,'Relacion codigos'!$A:$B,2,FALSE)</f>
        <v>#N/A</v>
      </c>
      <c r="B3895" s="6" t="s">
        <v>13270</v>
      </c>
      <c r="C3895" s="6" t="s">
        <v>13271</v>
      </c>
      <c r="D3895" s="24">
        <v>14011.543</v>
      </c>
      <c r="E3895" s="6" t="s">
        <v>5889</v>
      </c>
      <c r="F3895" s="6">
        <v>21</v>
      </c>
      <c r="G3895" s="8">
        <f t="shared" si="60"/>
        <v>14011.543</v>
      </c>
    </row>
    <row r="3896" spans="1:7" x14ac:dyDescent="0.3">
      <c r="A3896" s="14" t="str">
        <f>VLOOKUP(B3896,'Relacion codigos'!$A:$B,2,FALSE)</f>
        <v>3574</v>
      </c>
      <c r="B3896" s="6" t="s">
        <v>3944</v>
      </c>
      <c r="C3896" s="6" t="s">
        <v>13272</v>
      </c>
      <c r="D3896" s="24">
        <v>26228.696</v>
      </c>
      <c r="E3896" s="6" t="s">
        <v>5889</v>
      </c>
      <c r="F3896" s="6">
        <v>21</v>
      </c>
      <c r="G3896" s="8">
        <f t="shared" si="60"/>
        <v>26228.696</v>
      </c>
    </row>
    <row r="3897" spans="1:7" x14ac:dyDescent="0.3">
      <c r="A3897" s="14" t="str">
        <f>VLOOKUP(B3897,'Relacion codigos'!$A:$B,2,FALSE)</f>
        <v>3573</v>
      </c>
      <c r="B3897" s="6" t="s">
        <v>3943</v>
      </c>
      <c r="C3897" s="6" t="s">
        <v>10713</v>
      </c>
      <c r="D3897" s="24">
        <v>18306.951000000001</v>
      </c>
      <c r="E3897" s="6" t="s">
        <v>5889</v>
      </c>
      <c r="F3897" s="6">
        <v>21</v>
      </c>
      <c r="G3897" s="8">
        <f t="shared" si="60"/>
        <v>18306.951000000001</v>
      </c>
    </row>
    <row r="3898" spans="1:7" x14ac:dyDescent="0.3">
      <c r="A3898" s="14" t="str">
        <f>VLOOKUP(B3898,'Relacion codigos'!$A:$B,2,FALSE)</f>
        <v>5350</v>
      </c>
      <c r="B3898" s="6" t="s">
        <v>3528</v>
      </c>
      <c r="C3898" s="6" t="s">
        <v>10547</v>
      </c>
      <c r="D3898" s="24">
        <v>16520.84507268</v>
      </c>
      <c r="E3898" s="6" t="s">
        <v>5889</v>
      </c>
      <c r="F3898" s="6">
        <v>21</v>
      </c>
      <c r="G3898" s="8">
        <f t="shared" si="60"/>
        <v>16520.84507268</v>
      </c>
    </row>
    <row r="3899" spans="1:7" x14ac:dyDescent="0.3">
      <c r="A3899" s="14" t="str">
        <f>VLOOKUP(B3899,'Relacion codigos'!$A:$B,2,FALSE)</f>
        <v>5351</v>
      </c>
      <c r="B3899" s="6" t="s">
        <v>3529</v>
      </c>
      <c r="C3899" s="6" t="s">
        <v>10548</v>
      </c>
      <c r="D3899" s="24">
        <v>10892.299918500001</v>
      </c>
      <c r="E3899" s="6" t="s">
        <v>5889</v>
      </c>
      <c r="F3899" s="6">
        <v>21</v>
      </c>
      <c r="G3899" s="8">
        <f t="shared" si="60"/>
        <v>10892.299918500001</v>
      </c>
    </row>
    <row r="3900" spans="1:7" x14ac:dyDescent="0.3">
      <c r="A3900" s="14" t="e">
        <f>VLOOKUP(B3900,'Relacion codigos'!$A:$B,2,FALSE)</f>
        <v>#N/A</v>
      </c>
      <c r="B3900" s="6" t="s">
        <v>9033</v>
      </c>
      <c r="C3900" s="6" t="s">
        <v>10549</v>
      </c>
      <c r="D3900" s="24">
        <v>25089.467000000001</v>
      </c>
      <c r="E3900" s="6" t="s">
        <v>5889</v>
      </c>
      <c r="F3900" s="6">
        <v>21</v>
      </c>
      <c r="G3900" s="8">
        <f t="shared" si="60"/>
        <v>25089.467000000001</v>
      </c>
    </row>
    <row r="3901" spans="1:7" x14ac:dyDescent="0.3">
      <c r="A3901" s="14" t="str">
        <f>VLOOKUP(B3901,'Relacion codigos'!$A:$B,2,FALSE)</f>
        <v>3603</v>
      </c>
      <c r="B3901" s="6" t="s">
        <v>4191</v>
      </c>
      <c r="C3901" s="6" t="s">
        <v>11809</v>
      </c>
      <c r="D3901" s="24">
        <v>5164.7830000000004</v>
      </c>
      <c r="E3901" s="6" t="s">
        <v>5889</v>
      </c>
      <c r="F3901" s="6">
        <v>21</v>
      </c>
      <c r="G3901" s="8">
        <f t="shared" si="60"/>
        <v>5164.7830000000004</v>
      </c>
    </row>
    <row r="3902" spans="1:7" x14ac:dyDescent="0.3">
      <c r="A3902" s="14" t="str">
        <f>VLOOKUP(B3902,'Relacion codigos'!$A:$B,2,FALSE)</f>
        <v>3598</v>
      </c>
      <c r="B3902" s="6" t="s">
        <v>4188</v>
      </c>
      <c r="C3902" s="6" t="s">
        <v>11810</v>
      </c>
      <c r="D3902" s="24">
        <v>3026.8159999999998</v>
      </c>
      <c r="E3902" s="6" t="s">
        <v>5889</v>
      </c>
      <c r="F3902" s="6">
        <v>21</v>
      </c>
      <c r="G3902" s="8">
        <f t="shared" si="60"/>
        <v>3026.8159999999998</v>
      </c>
    </row>
    <row r="3903" spans="1:7" x14ac:dyDescent="0.3">
      <c r="A3903" s="14" t="str">
        <f>VLOOKUP(B3903,'Relacion codigos'!$A:$B,2,FALSE)</f>
        <v>3599</v>
      </c>
      <c r="B3903" s="6" t="s">
        <v>4189</v>
      </c>
      <c r="C3903" s="6" t="s">
        <v>11811</v>
      </c>
      <c r="D3903" s="24">
        <v>5164.7830000000004</v>
      </c>
      <c r="E3903" s="6" t="s">
        <v>5889</v>
      </c>
      <c r="F3903" s="6">
        <v>21</v>
      </c>
      <c r="G3903" s="8">
        <f t="shared" si="60"/>
        <v>5164.7830000000004</v>
      </c>
    </row>
    <row r="3904" spans="1:7" x14ac:dyDescent="0.3">
      <c r="A3904" s="14" t="str">
        <f>VLOOKUP(B3904,'Relacion codigos'!$A:$B,2,FALSE)</f>
        <v>3602</v>
      </c>
      <c r="B3904" s="6" t="s">
        <v>4190</v>
      </c>
      <c r="C3904" s="6" t="s">
        <v>11812</v>
      </c>
      <c r="D3904" s="24">
        <v>3026.8159999999998</v>
      </c>
      <c r="E3904" s="6" t="s">
        <v>5889</v>
      </c>
      <c r="F3904" s="6">
        <v>21</v>
      </c>
      <c r="G3904" s="8">
        <f t="shared" si="60"/>
        <v>3026.8159999999998</v>
      </c>
    </row>
    <row r="3905" spans="1:7" x14ac:dyDescent="0.3">
      <c r="A3905" s="14" t="str">
        <f>VLOOKUP(B3905,'Relacion codigos'!$A:$B,2,FALSE)</f>
        <v>8871</v>
      </c>
      <c r="B3905" s="6" t="s">
        <v>4163</v>
      </c>
      <c r="C3905" s="6" t="s">
        <v>11813</v>
      </c>
      <c r="D3905" s="24">
        <v>11767.86</v>
      </c>
      <c r="E3905" s="6" t="s">
        <v>5889</v>
      </c>
      <c r="F3905" s="6">
        <v>21</v>
      </c>
      <c r="G3905" s="8">
        <f t="shared" si="60"/>
        <v>11767.86</v>
      </c>
    </row>
    <row r="3906" spans="1:7" x14ac:dyDescent="0.3">
      <c r="A3906" s="14" t="str">
        <f>VLOOKUP(B3906,'Relacion codigos'!$A:$B,2,FALSE)</f>
        <v>8254</v>
      </c>
      <c r="B3906" s="6" t="s">
        <v>4164</v>
      </c>
      <c r="C3906" s="6" t="s">
        <v>11814</v>
      </c>
      <c r="D3906" s="24">
        <v>6419.7431999999999</v>
      </c>
      <c r="E3906" s="6" t="s">
        <v>5889</v>
      </c>
      <c r="F3906" s="6">
        <v>21</v>
      </c>
      <c r="G3906" s="8">
        <f t="shared" ref="G3906:G3969" si="61">IF(E3906="Dolares",D3906*$G$1,D3906)</f>
        <v>6419.7431999999999</v>
      </c>
    </row>
    <row r="3907" spans="1:7" x14ac:dyDescent="0.3">
      <c r="A3907" s="14" t="e">
        <f>VLOOKUP(B3907,'Relacion codigos'!$A:$B,2,FALSE)</f>
        <v>#N/A</v>
      </c>
      <c r="B3907" s="6" t="s">
        <v>11815</v>
      </c>
      <c r="C3907" s="6" t="s">
        <v>11816</v>
      </c>
      <c r="D3907" s="24">
        <v>6419.7431999999999</v>
      </c>
      <c r="E3907" s="6" t="s">
        <v>5889</v>
      </c>
      <c r="F3907" s="6">
        <v>21</v>
      </c>
      <c r="G3907" s="8">
        <f t="shared" si="61"/>
        <v>6419.7431999999999</v>
      </c>
    </row>
    <row r="3908" spans="1:7" x14ac:dyDescent="0.3">
      <c r="A3908" s="14" t="e">
        <f>VLOOKUP(B3908,'Relacion codigos'!$A:$B,2,FALSE)</f>
        <v>#N/A</v>
      </c>
      <c r="B3908" s="6" t="s">
        <v>11817</v>
      </c>
      <c r="C3908" s="6" t="s">
        <v>11818</v>
      </c>
      <c r="D3908" s="24">
        <v>6419.7431999999999</v>
      </c>
      <c r="E3908" s="6" t="s">
        <v>5889</v>
      </c>
      <c r="F3908" s="6">
        <v>21</v>
      </c>
      <c r="G3908" s="8">
        <f t="shared" si="61"/>
        <v>6419.7431999999999</v>
      </c>
    </row>
    <row r="3909" spans="1:7" x14ac:dyDescent="0.3">
      <c r="A3909" s="14" t="e">
        <f>VLOOKUP(B3909,'Relacion codigos'!$A:$B,2,FALSE)</f>
        <v>#N/A</v>
      </c>
      <c r="B3909" s="6" t="s">
        <v>11842</v>
      </c>
      <c r="C3909" s="6" t="s">
        <v>11843</v>
      </c>
      <c r="D3909" s="24">
        <v>4214.1736000000001</v>
      </c>
      <c r="E3909" s="6" t="s">
        <v>5889</v>
      </c>
      <c r="F3909" s="6">
        <v>21</v>
      </c>
      <c r="G3909" s="8">
        <f t="shared" si="61"/>
        <v>4214.1736000000001</v>
      </c>
    </row>
    <row r="3910" spans="1:7" x14ac:dyDescent="0.3">
      <c r="A3910" s="14" t="e">
        <f>VLOOKUP(B3910,'Relacion codigos'!$A:$B,2,FALSE)</f>
        <v>#N/A</v>
      </c>
      <c r="B3910" s="6" t="s">
        <v>9388</v>
      </c>
      <c r="C3910" s="6" t="s">
        <v>9389</v>
      </c>
      <c r="D3910" s="24">
        <v>2790.346</v>
      </c>
      <c r="E3910" s="6" t="s">
        <v>5889</v>
      </c>
      <c r="F3910" s="6">
        <v>21</v>
      </c>
      <c r="G3910" s="8">
        <f t="shared" si="61"/>
        <v>2790.346</v>
      </c>
    </row>
    <row r="3911" spans="1:7" x14ac:dyDescent="0.3">
      <c r="A3911" s="14" t="e">
        <f>VLOOKUP(B3911,'Relacion codigos'!$A:$B,2,FALSE)</f>
        <v>#N/A</v>
      </c>
      <c r="B3911" s="6" t="s">
        <v>11574</v>
      </c>
      <c r="C3911" s="6" t="s">
        <v>11575</v>
      </c>
      <c r="D3911" s="24">
        <v>2790.346</v>
      </c>
      <c r="E3911" s="6" t="s">
        <v>5889</v>
      </c>
      <c r="F3911" s="6">
        <v>21</v>
      </c>
      <c r="G3911" s="8">
        <f t="shared" si="61"/>
        <v>2790.346</v>
      </c>
    </row>
    <row r="3912" spans="1:7" x14ac:dyDescent="0.3">
      <c r="A3912" s="14" t="str">
        <f>VLOOKUP(B3912,'Relacion codigos'!$A:$B,2,FALSE)</f>
        <v>6235</v>
      </c>
      <c r="B3912" s="6" t="s">
        <v>4213</v>
      </c>
      <c r="C3912" s="6" t="s">
        <v>10715</v>
      </c>
      <c r="D3912" s="24">
        <v>1.46055</v>
      </c>
      <c r="E3912" s="6" t="s">
        <v>5887</v>
      </c>
      <c r="F3912" s="6">
        <v>21</v>
      </c>
      <c r="G3912" s="8">
        <f t="shared" si="61"/>
        <v>2271.1552499999998</v>
      </c>
    </row>
    <row r="3913" spans="1:7" x14ac:dyDescent="0.3">
      <c r="A3913" s="14" t="str">
        <f>VLOOKUP(B3913,'Relacion codigos'!$A:$B,2,FALSE)</f>
        <v>6198</v>
      </c>
      <c r="B3913" s="6" t="s">
        <v>4204</v>
      </c>
      <c r="C3913" s="6" t="s">
        <v>11916</v>
      </c>
      <c r="D3913" s="24">
        <v>9966.5149999999994</v>
      </c>
      <c r="E3913" s="6" t="s">
        <v>5889</v>
      </c>
      <c r="F3913" s="6">
        <v>21</v>
      </c>
      <c r="G3913" s="8">
        <f t="shared" si="61"/>
        <v>9966.5149999999994</v>
      </c>
    </row>
    <row r="3914" spans="1:7" x14ac:dyDescent="0.3">
      <c r="A3914" s="14" t="str">
        <f>VLOOKUP(B3914,'Relacion codigos'!$A:$B,2,FALSE)</f>
        <v>6201</v>
      </c>
      <c r="B3914" s="6" t="s">
        <v>4207</v>
      </c>
      <c r="C3914" s="6" t="s">
        <v>13933</v>
      </c>
      <c r="D3914" s="24">
        <v>1.0988899999999999</v>
      </c>
      <c r="E3914" s="6" t="s">
        <v>5887</v>
      </c>
      <c r="F3914" s="6">
        <v>21</v>
      </c>
      <c r="G3914" s="8">
        <f t="shared" si="61"/>
        <v>1708.7739499999998</v>
      </c>
    </row>
    <row r="3915" spans="1:7" x14ac:dyDescent="0.3">
      <c r="A3915" s="14" t="str">
        <f>VLOOKUP(B3915,'Relacion codigos'!$A:$B,2,FALSE)</f>
        <v>6197</v>
      </c>
      <c r="B3915" s="6" t="s">
        <v>4205</v>
      </c>
      <c r="C3915" s="6" t="s">
        <v>11917</v>
      </c>
      <c r="D3915" s="24">
        <v>9966.5149999999994</v>
      </c>
      <c r="E3915" s="6" t="s">
        <v>5889</v>
      </c>
      <c r="F3915" s="6">
        <v>21</v>
      </c>
      <c r="G3915" s="8">
        <f t="shared" si="61"/>
        <v>9966.5149999999994</v>
      </c>
    </row>
    <row r="3916" spans="1:7" x14ac:dyDescent="0.3">
      <c r="A3916" s="14" t="str">
        <f>VLOOKUP(B3916,'Relacion codigos'!$A:$B,2,FALSE)</f>
        <v>6200</v>
      </c>
      <c r="B3916" s="6" t="s">
        <v>4206</v>
      </c>
      <c r="C3916" s="6" t="s">
        <v>11918</v>
      </c>
      <c r="D3916" s="24">
        <v>17770.025000000001</v>
      </c>
      <c r="E3916" s="6" t="s">
        <v>5889</v>
      </c>
      <c r="F3916" s="6">
        <v>21</v>
      </c>
      <c r="G3916" s="8">
        <f t="shared" si="61"/>
        <v>17770.025000000001</v>
      </c>
    </row>
    <row r="3917" spans="1:7" x14ac:dyDescent="0.3">
      <c r="A3917" s="14" t="str">
        <f>VLOOKUP(B3917,'Relacion codigos'!$A:$B,2,FALSE)</f>
        <v>6199</v>
      </c>
      <c r="B3917" s="6" t="s">
        <v>4208</v>
      </c>
      <c r="C3917" s="6" t="s">
        <v>11920</v>
      </c>
      <c r="D3917" s="24">
        <v>17770.025000000001</v>
      </c>
      <c r="E3917" s="6" t="s">
        <v>5889</v>
      </c>
      <c r="F3917" s="6">
        <v>21</v>
      </c>
      <c r="G3917" s="8">
        <f t="shared" si="61"/>
        <v>17770.025000000001</v>
      </c>
    </row>
    <row r="3918" spans="1:7" x14ac:dyDescent="0.3">
      <c r="A3918" s="14" t="str">
        <f>VLOOKUP(B3918,'Relacion codigos'!$A:$B,2,FALSE)</f>
        <v>6206</v>
      </c>
      <c r="B3918" s="6" t="s">
        <v>4209</v>
      </c>
      <c r="C3918" s="6" t="s">
        <v>11921</v>
      </c>
      <c r="D3918" s="24">
        <v>7909.2259999999997</v>
      </c>
      <c r="E3918" s="6" t="s">
        <v>5889</v>
      </c>
      <c r="F3918" s="6">
        <v>21</v>
      </c>
      <c r="G3918" s="8">
        <f t="shared" si="61"/>
        <v>7909.2259999999997</v>
      </c>
    </row>
    <row r="3919" spans="1:7" x14ac:dyDescent="0.3">
      <c r="A3919" s="14" t="str">
        <f>VLOOKUP(B3919,'Relacion codigos'!$A:$B,2,FALSE)</f>
        <v>6205</v>
      </c>
      <c r="B3919" s="6" t="s">
        <v>4210</v>
      </c>
      <c r="C3919" s="6" t="s">
        <v>11922</v>
      </c>
      <c r="D3919" s="24">
        <v>3797.43</v>
      </c>
      <c r="E3919" s="6" t="s">
        <v>5889</v>
      </c>
      <c r="F3919" s="6">
        <v>21</v>
      </c>
      <c r="G3919" s="8">
        <f t="shared" si="61"/>
        <v>3797.43</v>
      </c>
    </row>
    <row r="3920" spans="1:7" x14ac:dyDescent="0.3">
      <c r="A3920" s="14" t="str">
        <f>VLOOKUP(B3920,'Relacion codigos'!$A:$B,2,FALSE)</f>
        <v>6209</v>
      </c>
      <c r="B3920" s="6" t="s">
        <v>4211</v>
      </c>
      <c r="C3920" s="6" t="s">
        <v>11923</v>
      </c>
      <c r="D3920" s="24">
        <v>3797.43</v>
      </c>
      <c r="E3920" s="6" t="s">
        <v>5889</v>
      </c>
      <c r="F3920" s="6">
        <v>21</v>
      </c>
      <c r="G3920" s="8">
        <f t="shared" si="61"/>
        <v>3797.43</v>
      </c>
    </row>
    <row r="3921" spans="1:7" x14ac:dyDescent="0.3">
      <c r="A3921" s="14" t="e">
        <f>VLOOKUP(B3921,'Relacion codigos'!$A:$B,2,FALSE)</f>
        <v>#N/A</v>
      </c>
      <c r="B3921" s="6" t="s">
        <v>9387</v>
      </c>
      <c r="C3921" s="6" t="s">
        <v>10716</v>
      </c>
      <c r="D3921" s="24">
        <v>2019.732</v>
      </c>
      <c r="E3921" s="6" t="s">
        <v>5889</v>
      </c>
      <c r="F3921" s="6">
        <v>21</v>
      </c>
      <c r="G3921" s="8">
        <f t="shared" si="61"/>
        <v>2019.732</v>
      </c>
    </row>
    <row r="3922" spans="1:7" x14ac:dyDescent="0.3">
      <c r="A3922" s="14" t="e">
        <f>VLOOKUP(B3922,'Relacion codigos'!$A:$B,2,FALSE)</f>
        <v>#N/A</v>
      </c>
      <c r="B3922" s="6" t="s">
        <v>11295</v>
      </c>
      <c r="C3922" s="6" t="s">
        <v>11296</v>
      </c>
      <c r="D3922" s="24">
        <v>2019.732</v>
      </c>
      <c r="E3922" s="6" t="s">
        <v>5889</v>
      </c>
      <c r="F3922" s="6">
        <v>21</v>
      </c>
      <c r="G3922" s="8">
        <f t="shared" si="61"/>
        <v>2019.732</v>
      </c>
    </row>
    <row r="3923" spans="1:7" x14ac:dyDescent="0.3">
      <c r="A3923" s="14" t="str">
        <f>VLOOKUP(B3923,'Relacion codigos'!$A:$B,2,FALSE)</f>
        <v>3575</v>
      </c>
      <c r="B3923" s="6" t="s">
        <v>3945</v>
      </c>
      <c r="C3923" s="6" t="s">
        <v>10550</v>
      </c>
      <c r="D3923" s="24">
        <v>728.25944100000004</v>
      </c>
      <c r="E3923" s="6" t="s">
        <v>5889</v>
      </c>
      <c r="F3923" s="6">
        <v>21</v>
      </c>
      <c r="G3923" s="8">
        <f t="shared" si="61"/>
        <v>728.25944100000004</v>
      </c>
    </row>
    <row r="3924" spans="1:7" x14ac:dyDescent="0.3">
      <c r="A3924" s="14" t="e">
        <f>VLOOKUP(B3924,'Relacion codigos'!$A:$B,2,FALSE)</f>
        <v>#N/A</v>
      </c>
      <c r="B3924" s="6" t="s">
        <v>9333</v>
      </c>
      <c r="C3924" s="6" t="s">
        <v>9334</v>
      </c>
      <c r="D3924" s="24">
        <v>12137.817036799999</v>
      </c>
      <c r="E3924" s="6" t="s">
        <v>5889</v>
      </c>
      <c r="F3924" s="6">
        <v>21</v>
      </c>
      <c r="G3924" s="8">
        <f t="shared" si="61"/>
        <v>12137.817036799999</v>
      </c>
    </row>
    <row r="3925" spans="1:7" x14ac:dyDescent="0.3">
      <c r="A3925" s="14" t="str">
        <f>VLOOKUP(B3925,'Relacion codigos'!$A:$B,2,FALSE)</f>
        <v>8073</v>
      </c>
      <c r="B3925" s="6" t="s">
        <v>4165</v>
      </c>
      <c r="C3925" s="6" t="s">
        <v>11819</v>
      </c>
      <c r="D3925" s="24">
        <v>23343.205600000001</v>
      </c>
      <c r="E3925" s="6" t="s">
        <v>5889</v>
      </c>
      <c r="F3925" s="6">
        <v>21</v>
      </c>
      <c r="G3925" s="8">
        <f t="shared" si="61"/>
        <v>23343.205600000001</v>
      </c>
    </row>
    <row r="3926" spans="1:7" x14ac:dyDescent="0.3">
      <c r="A3926" s="14" t="str">
        <f>VLOOKUP(B3926,'Relacion codigos'!$A:$B,2,FALSE)</f>
        <v>9287</v>
      </c>
      <c r="B3926" s="6" t="s">
        <v>4219</v>
      </c>
      <c r="C3926" s="6" t="s">
        <v>11820</v>
      </c>
      <c r="D3926" s="24">
        <v>15891.8968</v>
      </c>
      <c r="E3926" s="6" t="s">
        <v>5889</v>
      </c>
      <c r="F3926" s="6">
        <v>21</v>
      </c>
      <c r="G3926" s="8">
        <f t="shared" si="61"/>
        <v>15891.8968</v>
      </c>
    </row>
    <row r="3927" spans="1:7" x14ac:dyDescent="0.3">
      <c r="A3927" s="14" t="str">
        <f>VLOOKUP(B3927,'Relacion codigos'!$A:$B,2,FALSE)</f>
        <v>9301</v>
      </c>
      <c r="B3927" s="6" t="s">
        <v>4221</v>
      </c>
      <c r="C3927" s="6" t="s">
        <v>11821</v>
      </c>
      <c r="D3927" s="24">
        <v>10128.705599999999</v>
      </c>
      <c r="E3927" s="6" t="s">
        <v>5889</v>
      </c>
      <c r="F3927" s="6">
        <v>21</v>
      </c>
      <c r="G3927" s="8">
        <f t="shared" si="61"/>
        <v>10128.705599999999</v>
      </c>
    </row>
    <row r="3928" spans="1:7" x14ac:dyDescent="0.3">
      <c r="A3928" s="14" t="str">
        <f>VLOOKUP(B3928,'Relacion codigos'!$A:$B,2,FALSE)</f>
        <v>8076</v>
      </c>
      <c r="B3928" s="6" t="s">
        <v>4168</v>
      </c>
      <c r="C3928" s="6" t="s">
        <v>11822</v>
      </c>
      <c r="D3928" s="24">
        <v>19852.351999999999</v>
      </c>
      <c r="E3928" s="6" t="s">
        <v>5889</v>
      </c>
      <c r="F3928" s="6">
        <v>21</v>
      </c>
      <c r="G3928" s="8">
        <f t="shared" si="61"/>
        <v>19852.351999999999</v>
      </c>
    </row>
    <row r="3929" spans="1:7" x14ac:dyDescent="0.3">
      <c r="A3929" s="14" t="str">
        <f>VLOOKUP(B3929,'Relacion codigos'!$A:$B,2,FALSE)</f>
        <v>8259</v>
      </c>
      <c r="B3929" s="6" t="s">
        <v>4223</v>
      </c>
      <c r="C3929" s="6" t="s">
        <v>11823</v>
      </c>
      <c r="D3929" s="24">
        <v>13960.075999999999</v>
      </c>
      <c r="E3929" s="6" t="s">
        <v>5889</v>
      </c>
      <c r="F3929" s="6">
        <v>21</v>
      </c>
      <c r="G3929" s="8">
        <f t="shared" si="61"/>
        <v>13960.075999999999</v>
      </c>
    </row>
    <row r="3930" spans="1:7" x14ac:dyDescent="0.3">
      <c r="A3930" s="14" t="e">
        <f>VLOOKUP(B3930,'Relacion codigos'!$A:$B,2,FALSE)</f>
        <v>#N/A</v>
      </c>
      <c r="B3930" s="6" t="s">
        <v>9948</v>
      </c>
      <c r="C3930" s="6" t="s">
        <v>9949</v>
      </c>
      <c r="D3930" s="24">
        <v>5616.3015999999998</v>
      </c>
      <c r="E3930" s="6" t="s">
        <v>5889</v>
      </c>
      <c r="F3930" s="6">
        <v>21</v>
      </c>
      <c r="G3930" s="8">
        <f t="shared" si="61"/>
        <v>5616.3015999999998</v>
      </c>
    </row>
    <row r="3931" spans="1:7" x14ac:dyDescent="0.3">
      <c r="A3931" s="14" t="str">
        <f>VLOOKUP(B3931,'Relacion codigos'!$A:$B,2,FALSE)</f>
        <v>2233</v>
      </c>
      <c r="B3931" s="6" t="s">
        <v>3054</v>
      </c>
      <c r="C3931" s="6" t="s">
        <v>12227</v>
      </c>
      <c r="D3931" s="24">
        <v>9.1190621600000004</v>
      </c>
      <c r="E3931" s="6" t="s">
        <v>5887</v>
      </c>
      <c r="F3931" s="6">
        <v>21</v>
      </c>
      <c r="G3931" s="8">
        <f t="shared" si="61"/>
        <v>14180.141658800001</v>
      </c>
    </row>
    <row r="3932" spans="1:7" x14ac:dyDescent="0.3">
      <c r="A3932" s="14" t="str">
        <f>VLOOKUP(B3932,'Relacion codigos'!$A:$B,2,FALSE)</f>
        <v>8366</v>
      </c>
      <c r="B3932" s="6" t="s">
        <v>4768</v>
      </c>
      <c r="C3932" s="6" t="s">
        <v>9093</v>
      </c>
      <c r="D3932" s="24">
        <v>319.005218688002</v>
      </c>
      <c r="E3932" s="6" t="s">
        <v>5889</v>
      </c>
      <c r="F3932" s="6">
        <v>21</v>
      </c>
      <c r="G3932" s="8">
        <f t="shared" si="61"/>
        <v>319.005218688002</v>
      </c>
    </row>
    <row r="3933" spans="1:7" x14ac:dyDescent="0.3">
      <c r="A3933" s="14" t="str">
        <f>VLOOKUP(B3933,'Relacion codigos'!$A:$B,2,FALSE)</f>
        <v>8512</v>
      </c>
      <c r="B3933" s="6" t="s">
        <v>4769</v>
      </c>
      <c r="C3933" s="6" t="s">
        <v>1121</v>
      </c>
      <c r="D3933" s="24">
        <v>319.005218688002</v>
      </c>
      <c r="E3933" s="6" t="s">
        <v>5889</v>
      </c>
      <c r="F3933" s="6">
        <v>21</v>
      </c>
      <c r="G3933" s="8">
        <f t="shared" si="61"/>
        <v>319.005218688002</v>
      </c>
    </row>
    <row r="3934" spans="1:7" x14ac:dyDescent="0.3">
      <c r="A3934" s="14" t="str">
        <f>VLOOKUP(B3934,'Relacion codigos'!$A:$B,2,FALSE)</f>
        <v>5026</v>
      </c>
      <c r="B3934" s="6" t="s">
        <v>4770</v>
      </c>
      <c r="C3934" s="6" t="s">
        <v>620</v>
      </c>
      <c r="D3934" s="24">
        <v>2065.8157416714898</v>
      </c>
      <c r="E3934" s="6" t="s">
        <v>5889</v>
      </c>
      <c r="F3934" s="6">
        <v>21</v>
      </c>
      <c r="G3934" s="8">
        <f t="shared" si="61"/>
        <v>2065.8157416714898</v>
      </c>
    </row>
    <row r="3935" spans="1:7" x14ac:dyDescent="0.3">
      <c r="A3935" s="14" t="str">
        <f>VLOOKUP(B3935,'Relacion codigos'!$A:$B,2,FALSE)</f>
        <v>5019</v>
      </c>
      <c r="B3935" s="6" t="s">
        <v>4771</v>
      </c>
      <c r="C3935" s="6" t="s">
        <v>621</v>
      </c>
      <c r="D3935" s="24">
        <v>2065.8157416714898</v>
      </c>
      <c r="E3935" s="6" t="s">
        <v>5889</v>
      </c>
      <c r="F3935" s="6">
        <v>21</v>
      </c>
      <c r="G3935" s="8">
        <f t="shared" si="61"/>
        <v>2065.8157416714898</v>
      </c>
    </row>
    <row r="3936" spans="1:7" x14ac:dyDescent="0.3">
      <c r="A3936" s="14" t="str">
        <f>VLOOKUP(B3936,'Relacion codigos'!$A:$B,2,FALSE)</f>
        <v>5022</v>
      </c>
      <c r="B3936" s="6" t="s">
        <v>4772</v>
      </c>
      <c r="C3936" s="6" t="s">
        <v>622</v>
      </c>
      <c r="D3936" s="24">
        <v>2065.8157416714898</v>
      </c>
      <c r="E3936" s="6" t="s">
        <v>5889</v>
      </c>
      <c r="F3936" s="6">
        <v>21</v>
      </c>
      <c r="G3936" s="8">
        <f t="shared" si="61"/>
        <v>2065.8157416714898</v>
      </c>
    </row>
    <row r="3937" spans="1:7" x14ac:dyDescent="0.3">
      <c r="A3937" s="14" t="str">
        <f>VLOOKUP(B3937,'Relacion codigos'!$A:$B,2,FALSE)</f>
        <v>5021</v>
      </c>
      <c r="B3937" s="6" t="s">
        <v>4773</v>
      </c>
      <c r="C3937" s="6" t="s">
        <v>623</v>
      </c>
      <c r="D3937" s="24">
        <v>2065.8157416714898</v>
      </c>
      <c r="E3937" s="6" t="s">
        <v>5889</v>
      </c>
      <c r="F3937" s="6">
        <v>21</v>
      </c>
      <c r="G3937" s="8">
        <f t="shared" si="61"/>
        <v>2065.8157416714898</v>
      </c>
    </row>
    <row r="3938" spans="1:7" x14ac:dyDescent="0.3">
      <c r="A3938" s="14" t="str">
        <f>VLOOKUP(B3938,'Relacion codigos'!$A:$B,2,FALSE)</f>
        <v>5016</v>
      </c>
      <c r="B3938" s="6" t="s">
        <v>4774</v>
      </c>
      <c r="C3938" s="6" t="s">
        <v>624</v>
      </c>
      <c r="D3938" s="24">
        <v>338.788488064001</v>
      </c>
      <c r="E3938" s="6" t="s">
        <v>5889</v>
      </c>
      <c r="F3938" s="6">
        <v>21</v>
      </c>
      <c r="G3938" s="8">
        <f t="shared" si="61"/>
        <v>338.788488064001</v>
      </c>
    </row>
    <row r="3939" spans="1:7" x14ac:dyDescent="0.3">
      <c r="A3939" s="14" t="str">
        <f>VLOOKUP(B3939,'Relacion codigos'!$A:$B,2,FALSE)</f>
        <v>5020</v>
      </c>
      <c r="B3939" s="6" t="s">
        <v>4775</v>
      </c>
      <c r="C3939" s="6" t="s">
        <v>625</v>
      </c>
      <c r="D3939" s="24">
        <v>2065.8157416714998</v>
      </c>
      <c r="E3939" s="6" t="s">
        <v>5889</v>
      </c>
      <c r="F3939" s="6">
        <v>21</v>
      </c>
      <c r="G3939" s="8">
        <f t="shared" si="61"/>
        <v>2065.8157416714998</v>
      </c>
    </row>
    <row r="3940" spans="1:7" x14ac:dyDescent="0.3">
      <c r="A3940" s="14" t="str">
        <f>VLOOKUP(B3940,'Relacion codigos'!$A:$B,2,FALSE)</f>
        <v>5023</v>
      </c>
      <c r="B3940" s="6" t="s">
        <v>4776</v>
      </c>
      <c r="C3940" s="6" t="s">
        <v>626</v>
      </c>
      <c r="D3940" s="24">
        <v>2065.8157416714898</v>
      </c>
      <c r="E3940" s="6" t="s">
        <v>5889</v>
      </c>
      <c r="F3940" s="6">
        <v>21</v>
      </c>
      <c r="G3940" s="8">
        <f t="shared" si="61"/>
        <v>2065.8157416714898</v>
      </c>
    </row>
    <row r="3941" spans="1:7" x14ac:dyDescent="0.3">
      <c r="A3941" s="14" t="e">
        <f>VLOOKUP(B3941,'Relacion codigos'!$A:$B,2,FALSE)</f>
        <v>#N/A</v>
      </c>
      <c r="B3941" s="6" t="s">
        <v>10753</v>
      </c>
      <c r="C3941" s="6" t="s">
        <v>10754</v>
      </c>
      <c r="D3941" s="24">
        <v>2065.8157416714898</v>
      </c>
      <c r="E3941" s="6" t="s">
        <v>5889</v>
      </c>
      <c r="F3941" s="6">
        <v>21</v>
      </c>
      <c r="G3941" s="8">
        <f t="shared" si="61"/>
        <v>2065.8157416714898</v>
      </c>
    </row>
    <row r="3942" spans="1:7" x14ac:dyDescent="0.3">
      <c r="A3942" s="14" t="str">
        <f>VLOOKUP(B3942,'Relacion codigos'!$A:$B,2,FALSE)</f>
        <v>5018</v>
      </c>
      <c r="B3942" s="6" t="s">
        <v>4777</v>
      </c>
      <c r="C3942" s="6" t="s">
        <v>627</v>
      </c>
      <c r="D3942" s="24">
        <v>2065.8157416714998</v>
      </c>
      <c r="E3942" s="6" t="s">
        <v>5889</v>
      </c>
      <c r="F3942" s="6">
        <v>21</v>
      </c>
      <c r="G3942" s="8">
        <f t="shared" si="61"/>
        <v>2065.8157416714998</v>
      </c>
    </row>
    <row r="3943" spans="1:7" x14ac:dyDescent="0.3">
      <c r="A3943" s="14" t="str">
        <f>VLOOKUP(B3943,'Relacion codigos'!$A:$B,2,FALSE)</f>
        <v>5017</v>
      </c>
      <c r="B3943" s="6" t="s">
        <v>4778</v>
      </c>
      <c r="C3943" s="6" t="s">
        <v>628</v>
      </c>
      <c r="D3943" s="24">
        <v>2065.8157416714898</v>
      </c>
      <c r="E3943" s="6" t="s">
        <v>5889</v>
      </c>
      <c r="F3943" s="6">
        <v>21</v>
      </c>
      <c r="G3943" s="8">
        <f t="shared" si="61"/>
        <v>2065.8157416714898</v>
      </c>
    </row>
    <row r="3944" spans="1:7" x14ac:dyDescent="0.3">
      <c r="A3944" s="14" t="str">
        <f>VLOOKUP(B3944,'Relacion codigos'!$A:$B,2,FALSE)</f>
        <v>5024</v>
      </c>
      <c r="B3944" s="6" t="s">
        <v>4779</v>
      </c>
      <c r="C3944" s="6" t="s">
        <v>629</v>
      </c>
      <c r="D3944" s="24">
        <v>2065.8157416714898</v>
      </c>
      <c r="E3944" s="6" t="s">
        <v>5889</v>
      </c>
      <c r="F3944" s="6">
        <v>21</v>
      </c>
      <c r="G3944" s="8">
        <f t="shared" si="61"/>
        <v>2065.8157416714898</v>
      </c>
    </row>
    <row r="3945" spans="1:7" x14ac:dyDescent="0.3">
      <c r="A3945" s="14" t="str">
        <f>VLOOKUP(B3945,'Relacion codigos'!$A:$B,2,FALSE)</f>
        <v>5025</v>
      </c>
      <c r="B3945" s="6" t="s">
        <v>4780</v>
      </c>
      <c r="C3945" s="6" t="s">
        <v>630</v>
      </c>
      <c r="D3945" s="24">
        <v>2065.8157416714898</v>
      </c>
      <c r="E3945" s="6" t="s">
        <v>5889</v>
      </c>
      <c r="F3945" s="6">
        <v>21</v>
      </c>
      <c r="G3945" s="8">
        <f t="shared" si="61"/>
        <v>2065.8157416714898</v>
      </c>
    </row>
    <row r="3946" spans="1:7" x14ac:dyDescent="0.3">
      <c r="A3946" s="14" t="str">
        <f>VLOOKUP(B3946,'Relacion codigos'!$A:$B,2,FALSE)</f>
        <v>5027</v>
      </c>
      <c r="B3946" s="6" t="s">
        <v>4781</v>
      </c>
      <c r="C3946" s="6" t="s">
        <v>631</v>
      </c>
      <c r="D3946" s="24">
        <v>328.89685337599798</v>
      </c>
      <c r="E3946" s="6" t="s">
        <v>5889</v>
      </c>
      <c r="F3946" s="6">
        <v>21</v>
      </c>
      <c r="G3946" s="8">
        <f t="shared" si="61"/>
        <v>328.89685337599798</v>
      </c>
    </row>
    <row r="3947" spans="1:7" x14ac:dyDescent="0.3">
      <c r="A3947" s="14" t="e">
        <f>VLOOKUP(B3947,'Relacion codigos'!$A:$B,2,FALSE)</f>
        <v>#N/A</v>
      </c>
      <c r="B3947" s="6" t="s">
        <v>10778</v>
      </c>
      <c r="C3947" s="6" t="s">
        <v>10779</v>
      </c>
      <c r="D3947" s="24">
        <v>2065.8157416714998</v>
      </c>
      <c r="E3947" s="6" t="s">
        <v>5889</v>
      </c>
      <c r="F3947" s="6">
        <v>21</v>
      </c>
      <c r="G3947" s="8">
        <f t="shared" si="61"/>
        <v>2065.8157416714998</v>
      </c>
    </row>
    <row r="3948" spans="1:7" x14ac:dyDescent="0.3">
      <c r="A3948" s="14" t="str">
        <f>VLOOKUP(B3948,'Relacion codigos'!$A:$B,2,FALSE)</f>
        <v>6215</v>
      </c>
      <c r="B3948" s="6" t="s">
        <v>5032</v>
      </c>
      <c r="C3948" s="6" t="s">
        <v>9099</v>
      </c>
      <c r="D3948" s="24">
        <v>1857.42738671812</v>
      </c>
      <c r="E3948" s="6" t="s">
        <v>5889</v>
      </c>
      <c r="F3948" s="6">
        <v>21</v>
      </c>
      <c r="G3948" s="8">
        <f t="shared" si="61"/>
        <v>1857.42738671812</v>
      </c>
    </row>
    <row r="3949" spans="1:7" x14ac:dyDescent="0.3">
      <c r="A3949" s="14" t="str">
        <f>VLOOKUP(B3949,'Relacion codigos'!$A:$B,2,FALSE)</f>
        <v>6217</v>
      </c>
      <c r="B3949" s="6" t="s">
        <v>5033</v>
      </c>
      <c r="C3949" s="6" t="s">
        <v>9100</v>
      </c>
      <c r="D3949" s="24">
        <v>1857.42738671812</v>
      </c>
      <c r="E3949" s="6" t="s">
        <v>5889</v>
      </c>
      <c r="F3949" s="6">
        <v>21</v>
      </c>
      <c r="G3949" s="8">
        <f t="shared" si="61"/>
        <v>1857.42738671812</v>
      </c>
    </row>
    <row r="3950" spans="1:7" x14ac:dyDescent="0.3">
      <c r="A3950" s="14" t="str">
        <f>VLOOKUP(B3950,'Relacion codigos'!$A:$B,2,FALSE)</f>
        <v>6216</v>
      </c>
      <c r="B3950" s="6" t="s">
        <v>5034</v>
      </c>
      <c r="C3950" s="6" t="s">
        <v>9101</v>
      </c>
      <c r="D3950" s="24">
        <v>1857.42738671812</v>
      </c>
      <c r="E3950" s="6" t="s">
        <v>5889</v>
      </c>
      <c r="F3950" s="6">
        <v>21</v>
      </c>
      <c r="G3950" s="8">
        <f t="shared" si="61"/>
        <v>1857.42738671812</v>
      </c>
    </row>
    <row r="3951" spans="1:7" x14ac:dyDescent="0.3">
      <c r="A3951" s="14" t="str">
        <f>VLOOKUP(B3951,'Relacion codigos'!$A:$B,2,FALSE)</f>
        <v>6048</v>
      </c>
      <c r="B3951" s="6" t="s">
        <v>5030</v>
      </c>
      <c r="C3951" s="6" t="s">
        <v>9097</v>
      </c>
      <c r="D3951" s="24">
        <v>1917.9948185143201</v>
      </c>
      <c r="E3951" s="6" t="s">
        <v>5889</v>
      </c>
      <c r="F3951" s="6">
        <v>21</v>
      </c>
      <c r="G3951" s="8">
        <f t="shared" si="61"/>
        <v>1917.9948185143201</v>
      </c>
    </row>
    <row r="3952" spans="1:7" x14ac:dyDescent="0.3">
      <c r="A3952" s="14" t="str">
        <f>VLOOKUP(B3952,'Relacion codigos'!$A:$B,2,FALSE)</f>
        <v>6049</v>
      </c>
      <c r="B3952" s="6" t="s">
        <v>5031</v>
      </c>
      <c r="C3952" s="6" t="s">
        <v>9098</v>
      </c>
      <c r="D3952" s="24">
        <v>1917.9948185143201</v>
      </c>
      <c r="E3952" s="6" t="s">
        <v>5889</v>
      </c>
      <c r="F3952" s="6">
        <v>21</v>
      </c>
      <c r="G3952" s="8">
        <f t="shared" si="61"/>
        <v>1917.9948185143201</v>
      </c>
    </row>
    <row r="3953" spans="1:7" x14ac:dyDescent="0.3">
      <c r="A3953" s="14" t="e">
        <f>VLOOKUP(B3953,'Relacion codigos'!$A:$B,2,FALSE)</f>
        <v>#N/A</v>
      </c>
      <c r="B3953" s="6" t="s">
        <v>8948</v>
      </c>
      <c r="C3953" s="6" t="s">
        <v>8949</v>
      </c>
      <c r="D3953" s="24">
        <v>2653.7173896999998</v>
      </c>
      <c r="E3953" s="6" t="s">
        <v>5889</v>
      </c>
      <c r="F3953" s="6">
        <v>21</v>
      </c>
      <c r="G3953" s="8">
        <f t="shared" si="61"/>
        <v>2653.7173896999998</v>
      </c>
    </row>
    <row r="3954" spans="1:7" x14ac:dyDescent="0.3">
      <c r="A3954" s="14" t="e">
        <f>VLOOKUP(B3954,'Relacion codigos'!$A:$B,2,FALSE)</f>
        <v>#N/A</v>
      </c>
      <c r="B3954" s="6" t="s">
        <v>8950</v>
      </c>
      <c r="C3954" s="6" t="s">
        <v>8951</v>
      </c>
      <c r="D3954" s="24">
        <v>2653.7173896999998</v>
      </c>
      <c r="E3954" s="6" t="s">
        <v>5889</v>
      </c>
      <c r="F3954" s="6">
        <v>21</v>
      </c>
      <c r="G3954" s="8">
        <f t="shared" si="61"/>
        <v>2653.7173896999998</v>
      </c>
    </row>
    <row r="3955" spans="1:7" x14ac:dyDescent="0.3">
      <c r="A3955" s="14" t="str">
        <f>VLOOKUP(B3955,'Relacion codigos'!$A:$B,2,FALSE)</f>
        <v>2639</v>
      </c>
      <c r="B3955" s="6" t="s">
        <v>2429</v>
      </c>
      <c r="C3955" s="6" t="s">
        <v>632</v>
      </c>
      <c r="D3955" s="24">
        <v>8519.2692195</v>
      </c>
      <c r="E3955" s="6" t="s">
        <v>5889</v>
      </c>
      <c r="F3955" s="6">
        <v>21</v>
      </c>
      <c r="G3955" s="8">
        <f t="shared" si="61"/>
        <v>8519.2692195</v>
      </c>
    </row>
    <row r="3956" spans="1:7" x14ac:dyDescent="0.3">
      <c r="A3956" s="14" t="str">
        <f>VLOOKUP(B3956,'Relacion codigos'!$A:$B,2,FALSE)</f>
        <v>2640</v>
      </c>
      <c r="B3956" s="6" t="s">
        <v>2430</v>
      </c>
      <c r="C3956" s="6" t="s">
        <v>633</v>
      </c>
      <c r="D3956" s="24">
        <v>11417.209069500001</v>
      </c>
      <c r="E3956" s="6" t="s">
        <v>5889</v>
      </c>
      <c r="F3956" s="6">
        <v>21</v>
      </c>
      <c r="G3956" s="8">
        <f t="shared" si="61"/>
        <v>11417.209069500001</v>
      </c>
    </row>
    <row r="3957" spans="1:7" x14ac:dyDescent="0.3">
      <c r="A3957" s="14" t="str">
        <f>VLOOKUP(B3957,'Relacion codigos'!$A:$B,2,FALSE)</f>
        <v>2641</v>
      </c>
      <c r="B3957" s="6" t="s">
        <v>2431</v>
      </c>
      <c r="C3957" s="6" t="s">
        <v>634</v>
      </c>
      <c r="D3957" s="24">
        <v>14466.785307</v>
      </c>
      <c r="E3957" s="6" t="s">
        <v>5889</v>
      </c>
      <c r="F3957" s="6">
        <v>21</v>
      </c>
      <c r="G3957" s="8">
        <f t="shared" si="61"/>
        <v>14466.785307</v>
      </c>
    </row>
    <row r="3958" spans="1:7" x14ac:dyDescent="0.3">
      <c r="A3958" s="14" t="str">
        <f>VLOOKUP(B3958,'Relacion codigos'!$A:$B,2,FALSE)</f>
        <v>2642</v>
      </c>
      <c r="B3958" s="6" t="s">
        <v>2432</v>
      </c>
      <c r="C3958" s="6" t="s">
        <v>635</v>
      </c>
      <c r="D3958" s="24">
        <v>19968.1534455</v>
      </c>
      <c r="E3958" s="6" t="s">
        <v>5889</v>
      </c>
      <c r="F3958" s="6">
        <v>21</v>
      </c>
      <c r="G3958" s="8">
        <f t="shared" si="61"/>
        <v>19968.1534455</v>
      </c>
    </row>
    <row r="3959" spans="1:7" x14ac:dyDescent="0.3">
      <c r="A3959" s="14" t="str">
        <f>VLOOKUP(B3959,'Relacion codigos'!$A:$B,2,FALSE)</f>
        <v>2638</v>
      </c>
      <c r="B3959" s="6" t="s">
        <v>2433</v>
      </c>
      <c r="C3959" s="6" t="s">
        <v>636</v>
      </c>
      <c r="D3959" s="24">
        <v>6299.3125065000004</v>
      </c>
      <c r="E3959" s="6" t="s">
        <v>5889</v>
      </c>
      <c r="F3959" s="6">
        <v>21</v>
      </c>
      <c r="G3959" s="8">
        <f t="shared" si="61"/>
        <v>6299.3125065000004</v>
      </c>
    </row>
    <row r="3960" spans="1:7" x14ac:dyDescent="0.3">
      <c r="A3960" s="14" t="str">
        <f>VLOOKUP(B3960,'Relacion codigos'!$A:$B,2,FALSE)</f>
        <v>840</v>
      </c>
      <c r="B3960" s="6" t="s">
        <v>5035</v>
      </c>
      <c r="C3960" s="6" t="s">
        <v>9102</v>
      </c>
      <c r="D3960" s="24">
        <v>980.79185419600196</v>
      </c>
      <c r="E3960" s="6" t="s">
        <v>5889</v>
      </c>
      <c r="F3960" s="6">
        <v>21</v>
      </c>
      <c r="G3960" s="8">
        <f t="shared" si="61"/>
        <v>980.79185419600196</v>
      </c>
    </row>
    <row r="3961" spans="1:7" x14ac:dyDescent="0.3">
      <c r="A3961" s="14" t="str">
        <f>VLOOKUP(B3961,'Relacion codigos'!$A:$B,2,FALSE)</f>
        <v>2845</v>
      </c>
      <c r="B3961" s="6" t="s">
        <v>4709</v>
      </c>
      <c r="C3961" s="6" t="s">
        <v>637</v>
      </c>
      <c r="D3961" s="24">
        <v>478.35327124000099</v>
      </c>
      <c r="E3961" s="6" t="s">
        <v>5889</v>
      </c>
      <c r="F3961" s="6">
        <v>21</v>
      </c>
      <c r="G3961" s="8">
        <f t="shared" si="61"/>
        <v>478.35327124000099</v>
      </c>
    </row>
    <row r="3962" spans="1:7" x14ac:dyDescent="0.3">
      <c r="A3962" s="14" t="str">
        <f>VLOOKUP(B3962,'Relacion codigos'!$A:$B,2,FALSE)</f>
        <v>8270</v>
      </c>
      <c r="B3962" s="6" t="s">
        <v>4710</v>
      </c>
      <c r="C3962" s="6" t="s">
        <v>10551</v>
      </c>
      <c r="D3962" s="24">
        <v>4230.9293923032401</v>
      </c>
      <c r="E3962" s="6" t="s">
        <v>5889</v>
      </c>
      <c r="F3962" s="6">
        <v>21</v>
      </c>
      <c r="G3962" s="8">
        <f t="shared" si="61"/>
        <v>4230.9293923032401</v>
      </c>
    </row>
    <row r="3963" spans="1:7" x14ac:dyDescent="0.3">
      <c r="A3963" s="14" t="str">
        <f>VLOOKUP(B3963,'Relacion codigos'!$A:$B,2,FALSE)</f>
        <v>8436</v>
      </c>
      <c r="B3963" s="6" t="s">
        <v>4711</v>
      </c>
      <c r="C3963" s="6" t="s">
        <v>10552</v>
      </c>
      <c r="D3963" s="24">
        <v>2241.07348400001</v>
      </c>
      <c r="E3963" s="6" t="s">
        <v>5889</v>
      </c>
      <c r="F3963" s="6">
        <v>21</v>
      </c>
      <c r="G3963" s="8">
        <f t="shared" si="61"/>
        <v>2241.07348400001</v>
      </c>
    </row>
    <row r="3964" spans="1:7" x14ac:dyDescent="0.3">
      <c r="A3964" s="14" t="str">
        <f>VLOOKUP(B3964,'Relacion codigos'!$A:$B,2,FALSE)</f>
        <v>8450</v>
      </c>
      <c r="B3964" s="6" t="s">
        <v>4712</v>
      </c>
      <c r="C3964" s="6" t="s">
        <v>1062</v>
      </c>
      <c r="D3964" s="24">
        <v>4230.9293923032401</v>
      </c>
      <c r="E3964" s="6" t="s">
        <v>5889</v>
      </c>
      <c r="F3964" s="6">
        <v>21</v>
      </c>
      <c r="G3964" s="8">
        <f t="shared" si="61"/>
        <v>4230.9293923032401</v>
      </c>
    </row>
    <row r="3965" spans="1:7" x14ac:dyDescent="0.3">
      <c r="A3965" s="14" t="str">
        <f>VLOOKUP(B3965,'Relacion codigos'!$A:$B,2,FALSE)</f>
        <v>8271</v>
      </c>
      <c r="B3965" s="6" t="s">
        <v>4713</v>
      </c>
      <c r="C3965" s="6" t="s">
        <v>1063</v>
      </c>
      <c r="D3965" s="24">
        <v>4230.9293923032401</v>
      </c>
      <c r="E3965" s="6" t="s">
        <v>5889</v>
      </c>
      <c r="F3965" s="6">
        <v>21</v>
      </c>
      <c r="G3965" s="8">
        <f t="shared" si="61"/>
        <v>4230.9293923032401</v>
      </c>
    </row>
    <row r="3966" spans="1:7" x14ac:dyDescent="0.3">
      <c r="A3966" s="14" t="str">
        <f>VLOOKUP(B3966,'Relacion codigos'!$A:$B,2,FALSE)</f>
        <v>8272</v>
      </c>
      <c r="B3966" s="6" t="s">
        <v>4714</v>
      </c>
      <c r="C3966" s="6" t="s">
        <v>1025</v>
      </c>
      <c r="D3966" s="24">
        <v>4230.9293923032401</v>
      </c>
      <c r="E3966" s="6" t="s">
        <v>5889</v>
      </c>
      <c r="F3966" s="6">
        <v>21</v>
      </c>
      <c r="G3966" s="8">
        <f t="shared" si="61"/>
        <v>4230.9293923032401</v>
      </c>
    </row>
    <row r="3967" spans="1:7" x14ac:dyDescent="0.3">
      <c r="A3967" s="14" t="str">
        <f>VLOOKUP(B3967,'Relacion codigos'!$A:$B,2,FALSE)</f>
        <v>2846</v>
      </c>
      <c r="B3967" s="6" t="s">
        <v>4715</v>
      </c>
      <c r="C3967" s="6" t="s">
        <v>638</v>
      </c>
      <c r="D3967" s="24">
        <v>478.35327124000099</v>
      </c>
      <c r="E3967" s="6" t="s">
        <v>5889</v>
      </c>
      <c r="F3967" s="6">
        <v>21</v>
      </c>
      <c r="G3967" s="8">
        <f t="shared" si="61"/>
        <v>478.35327124000099</v>
      </c>
    </row>
    <row r="3968" spans="1:7" x14ac:dyDescent="0.3">
      <c r="A3968" s="14" t="str">
        <f>VLOOKUP(B3968,'Relacion codigos'!$A:$B,2,FALSE)</f>
        <v>2847</v>
      </c>
      <c r="B3968" s="6" t="s">
        <v>4716</v>
      </c>
      <c r="C3968" s="6" t="s">
        <v>639</v>
      </c>
      <c r="D3968" s="24">
        <v>480.67162311999999</v>
      </c>
      <c r="E3968" s="6" t="s">
        <v>5889</v>
      </c>
      <c r="F3968" s="6">
        <v>21</v>
      </c>
      <c r="G3968" s="8">
        <f t="shared" si="61"/>
        <v>480.67162311999999</v>
      </c>
    </row>
    <row r="3969" spans="1:7" x14ac:dyDescent="0.3">
      <c r="A3969" s="14" t="str">
        <f>VLOOKUP(B3969,'Relacion codigos'!$A:$B,2,FALSE)</f>
        <v>9208</v>
      </c>
      <c r="B3969" s="6" t="s">
        <v>5225</v>
      </c>
      <c r="C3969" s="6" t="s">
        <v>1282</v>
      </c>
      <c r="D3969" s="24">
        <v>706.60685679999995</v>
      </c>
      <c r="E3969" s="6" t="s">
        <v>5889</v>
      </c>
      <c r="F3969" s="6">
        <v>21</v>
      </c>
      <c r="G3969" s="8">
        <f t="shared" si="61"/>
        <v>706.60685679999995</v>
      </c>
    </row>
    <row r="3970" spans="1:7" x14ac:dyDescent="0.3">
      <c r="A3970" s="14" t="str">
        <f>VLOOKUP(B3970,'Relacion codigos'!$A:$B,2,FALSE)</f>
        <v>9213</v>
      </c>
      <c r="B3970" s="6" t="s">
        <v>5226</v>
      </c>
      <c r="C3970" s="6" t="s">
        <v>1283</v>
      </c>
      <c r="D3970" s="24">
        <v>706.60685679999995</v>
      </c>
      <c r="E3970" s="6" t="s">
        <v>5889</v>
      </c>
      <c r="F3970" s="6">
        <v>21</v>
      </c>
      <c r="G3970" s="8">
        <f t="shared" ref="G3970:G4033" si="62">IF(E3970="Dolares",D3970*$G$1,D3970)</f>
        <v>706.60685679999995</v>
      </c>
    </row>
    <row r="3971" spans="1:7" x14ac:dyDescent="0.3">
      <c r="A3971" s="14" t="str">
        <f>VLOOKUP(B3971,'Relacion codigos'!$A:$B,2,FALSE)</f>
        <v>9209</v>
      </c>
      <c r="B3971" s="6" t="s">
        <v>5227</v>
      </c>
      <c r="C3971" s="6" t="s">
        <v>1284</v>
      </c>
      <c r="D3971" s="24">
        <v>706.60685679999995</v>
      </c>
      <c r="E3971" s="6" t="s">
        <v>5889</v>
      </c>
      <c r="F3971" s="6">
        <v>21</v>
      </c>
      <c r="G3971" s="8">
        <f t="shared" si="62"/>
        <v>706.60685679999995</v>
      </c>
    </row>
    <row r="3972" spans="1:7" x14ac:dyDescent="0.3">
      <c r="A3972" s="14" t="str">
        <f>VLOOKUP(B3972,'Relacion codigos'!$A:$B,2,FALSE)</f>
        <v>9210</v>
      </c>
      <c r="B3972" s="6" t="s">
        <v>5228</v>
      </c>
      <c r="C3972" s="6" t="s">
        <v>1285</v>
      </c>
      <c r="D3972" s="24">
        <v>706.60685679999995</v>
      </c>
      <c r="E3972" s="6" t="s">
        <v>5889</v>
      </c>
      <c r="F3972" s="6">
        <v>21</v>
      </c>
      <c r="G3972" s="8">
        <f t="shared" si="62"/>
        <v>706.60685679999995</v>
      </c>
    </row>
    <row r="3973" spans="1:7" x14ac:dyDescent="0.3">
      <c r="A3973" s="14" t="str">
        <f>VLOOKUP(B3973,'Relacion codigos'!$A:$B,2,FALSE)</f>
        <v>9211</v>
      </c>
      <c r="B3973" s="6" t="s">
        <v>5229</v>
      </c>
      <c r="C3973" s="6" t="s">
        <v>1286</v>
      </c>
      <c r="D3973" s="24">
        <v>706.60685679999995</v>
      </c>
      <c r="E3973" s="6" t="s">
        <v>5889</v>
      </c>
      <c r="F3973" s="6">
        <v>21</v>
      </c>
      <c r="G3973" s="8">
        <f t="shared" si="62"/>
        <v>706.60685679999995</v>
      </c>
    </row>
    <row r="3974" spans="1:7" x14ac:dyDescent="0.3">
      <c r="A3974" s="14" t="str">
        <f>VLOOKUP(B3974,'Relacion codigos'!$A:$B,2,FALSE)</f>
        <v>9212</v>
      </c>
      <c r="B3974" s="6" t="s">
        <v>5230</v>
      </c>
      <c r="C3974" s="6" t="s">
        <v>1287</v>
      </c>
      <c r="D3974" s="24">
        <v>706.60685679999995</v>
      </c>
      <c r="E3974" s="6" t="s">
        <v>5889</v>
      </c>
      <c r="F3974" s="6">
        <v>21</v>
      </c>
      <c r="G3974" s="8">
        <f t="shared" si="62"/>
        <v>706.60685679999995</v>
      </c>
    </row>
    <row r="3975" spans="1:7" x14ac:dyDescent="0.3">
      <c r="A3975" s="14" t="str">
        <f>VLOOKUP(B3975,'Relacion codigos'!$A:$B,2,FALSE)</f>
        <v>9185</v>
      </c>
      <c r="B3975" s="6" t="s">
        <v>5231</v>
      </c>
      <c r="C3975" s="6" t="s">
        <v>1210</v>
      </c>
      <c r="D3975" s="24">
        <v>1447.4805813</v>
      </c>
      <c r="E3975" s="6" t="s">
        <v>5889</v>
      </c>
      <c r="F3975" s="6">
        <v>21</v>
      </c>
      <c r="G3975" s="8">
        <f t="shared" si="62"/>
        <v>1447.4805813</v>
      </c>
    </row>
    <row r="3976" spans="1:7" x14ac:dyDescent="0.3">
      <c r="A3976" s="14" t="str">
        <f>VLOOKUP(B3976,'Relacion codigos'!$A:$B,2,FALSE)</f>
        <v>9189</v>
      </c>
      <c r="B3976" s="6" t="s">
        <v>5232</v>
      </c>
      <c r="C3976" s="6" t="s">
        <v>1211</v>
      </c>
      <c r="D3976" s="24">
        <v>706.60685679999995</v>
      </c>
      <c r="E3976" s="6" t="s">
        <v>5889</v>
      </c>
      <c r="F3976" s="6">
        <v>21</v>
      </c>
      <c r="G3976" s="8">
        <f t="shared" si="62"/>
        <v>706.60685679999995</v>
      </c>
    </row>
    <row r="3977" spans="1:7" x14ac:dyDescent="0.3">
      <c r="A3977" s="14" t="str">
        <f>VLOOKUP(B3977,'Relacion codigos'!$A:$B,2,FALSE)</f>
        <v>9186</v>
      </c>
      <c r="B3977" s="6" t="s">
        <v>5233</v>
      </c>
      <c r="C3977" s="6" t="s">
        <v>1212</v>
      </c>
      <c r="D3977" s="24">
        <v>1447.4805813</v>
      </c>
      <c r="E3977" s="6" t="s">
        <v>5889</v>
      </c>
      <c r="F3977" s="6">
        <v>21</v>
      </c>
      <c r="G3977" s="8">
        <f t="shared" si="62"/>
        <v>1447.4805813</v>
      </c>
    </row>
    <row r="3978" spans="1:7" x14ac:dyDescent="0.3">
      <c r="A3978" s="14" t="str">
        <f>VLOOKUP(B3978,'Relacion codigos'!$A:$B,2,FALSE)</f>
        <v>9187</v>
      </c>
      <c r="B3978" s="6" t="s">
        <v>5234</v>
      </c>
      <c r="C3978" s="6" t="s">
        <v>1213</v>
      </c>
      <c r="D3978" s="24">
        <v>1447.4805813</v>
      </c>
      <c r="E3978" s="6" t="s">
        <v>5889</v>
      </c>
      <c r="F3978" s="6">
        <v>21</v>
      </c>
      <c r="G3978" s="8">
        <f t="shared" si="62"/>
        <v>1447.4805813</v>
      </c>
    </row>
    <row r="3979" spans="1:7" x14ac:dyDescent="0.3">
      <c r="A3979" s="14" t="str">
        <f>VLOOKUP(B3979,'Relacion codigos'!$A:$B,2,FALSE)</f>
        <v>9188</v>
      </c>
      <c r="B3979" s="6" t="s">
        <v>5235</v>
      </c>
      <c r="C3979" s="6" t="s">
        <v>1214</v>
      </c>
      <c r="D3979" s="24">
        <v>1447.4805813</v>
      </c>
      <c r="E3979" s="6" t="s">
        <v>5889</v>
      </c>
      <c r="F3979" s="6">
        <v>21</v>
      </c>
      <c r="G3979" s="8">
        <f t="shared" si="62"/>
        <v>1447.4805813</v>
      </c>
    </row>
    <row r="3980" spans="1:7" x14ac:dyDescent="0.3">
      <c r="A3980" s="14" t="str">
        <f>VLOOKUP(B3980,'Relacion codigos'!$A:$B,2,FALSE)</f>
        <v>9206</v>
      </c>
      <c r="B3980" s="6" t="s">
        <v>5236</v>
      </c>
      <c r="C3980" s="6" t="s">
        <v>1288</v>
      </c>
      <c r="D3980" s="24">
        <v>706.60685679999995</v>
      </c>
      <c r="E3980" s="6" t="s">
        <v>5889</v>
      </c>
      <c r="F3980" s="6">
        <v>21</v>
      </c>
      <c r="G3980" s="8">
        <f t="shared" si="62"/>
        <v>706.60685679999995</v>
      </c>
    </row>
    <row r="3981" spans="1:7" x14ac:dyDescent="0.3">
      <c r="A3981" s="14" t="str">
        <f>VLOOKUP(B3981,'Relacion codigos'!$A:$B,2,FALSE)</f>
        <v>9207</v>
      </c>
      <c r="B3981" s="6" t="s">
        <v>5237</v>
      </c>
      <c r="C3981" s="6" t="s">
        <v>1289</v>
      </c>
      <c r="D3981" s="24">
        <v>706.60685679999995</v>
      </c>
      <c r="E3981" s="6" t="s">
        <v>5889</v>
      </c>
      <c r="F3981" s="6">
        <v>21</v>
      </c>
      <c r="G3981" s="8">
        <f t="shared" si="62"/>
        <v>706.60685679999995</v>
      </c>
    </row>
    <row r="3982" spans="1:7" x14ac:dyDescent="0.3">
      <c r="A3982" s="14" t="str">
        <f>VLOOKUP(B3982,'Relacion codigos'!$A:$B,2,FALSE)</f>
        <v>6888</v>
      </c>
      <c r="B3982" s="6" t="s">
        <v>5036</v>
      </c>
      <c r="C3982" s="6" t="s">
        <v>640</v>
      </c>
      <c r="D3982" s="24">
        <v>5006.5468946016899</v>
      </c>
      <c r="E3982" s="6" t="s">
        <v>5889</v>
      </c>
      <c r="F3982" s="6">
        <v>21</v>
      </c>
      <c r="G3982" s="8">
        <f t="shared" si="62"/>
        <v>5006.5468946016899</v>
      </c>
    </row>
    <row r="3983" spans="1:7" x14ac:dyDescent="0.3">
      <c r="A3983" s="14" t="str">
        <f>VLOOKUP(B3983,'Relacion codigos'!$A:$B,2,FALSE)</f>
        <v>6887</v>
      </c>
      <c r="B3983" s="6" t="s">
        <v>5037</v>
      </c>
      <c r="C3983" s="6" t="s">
        <v>641</v>
      </c>
      <c r="D3983" s="24">
        <v>5006.5468946016899</v>
      </c>
      <c r="E3983" s="6" t="s">
        <v>5889</v>
      </c>
      <c r="F3983" s="6">
        <v>21</v>
      </c>
      <c r="G3983" s="8">
        <f t="shared" si="62"/>
        <v>5006.5468946016899</v>
      </c>
    </row>
    <row r="3984" spans="1:7" x14ac:dyDescent="0.3">
      <c r="A3984" s="14" t="str">
        <f>VLOOKUP(B3984,'Relacion codigos'!$A:$B,2,FALSE)</f>
        <v>5502</v>
      </c>
      <c r="B3984" s="6" t="s">
        <v>4913</v>
      </c>
      <c r="C3984" s="6" t="s">
        <v>9094</v>
      </c>
      <c r="D3984" s="24">
        <v>107.854828267801</v>
      </c>
      <c r="E3984" s="6" t="s">
        <v>5889</v>
      </c>
      <c r="F3984" s="6">
        <v>21</v>
      </c>
      <c r="G3984" s="8">
        <f t="shared" si="62"/>
        <v>107.854828267801</v>
      </c>
    </row>
    <row r="3985" spans="1:7" x14ac:dyDescent="0.3">
      <c r="A3985" s="14" t="str">
        <f>VLOOKUP(B3985,'Relacion codigos'!$A:$B,2,FALSE)</f>
        <v>5504</v>
      </c>
      <c r="B3985" s="6" t="s">
        <v>4914</v>
      </c>
      <c r="C3985" s="6" t="s">
        <v>9095</v>
      </c>
      <c r="D3985" s="24">
        <v>506.739358489285</v>
      </c>
      <c r="E3985" s="6" t="s">
        <v>5889</v>
      </c>
      <c r="F3985" s="6">
        <v>21</v>
      </c>
      <c r="G3985" s="8">
        <f t="shared" si="62"/>
        <v>506.739358489285</v>
      </c>
    </row>
    <row r="3986" spans="1:7" x14ac:dyDescent="0.3">
      <c r="A3986" s="14" t="e">
        <f>VLOOKUP(B3986,'Relacion codigos'!$A:$B,2,FALSE)</f>
        <v>#N/A</v>
      </c>
      <c r="B3986" s="6" t="s">
        <v>8952</v>
      </c>
      <c r="C3986" s="6" t="s">
        <v>8953</v>
      </c>
      <c r="D3986" s="24">
        <v>2774.3422667999998</v>
      </c>
      <c r="E3986" s="6" t="s">
        <v>5889</v>
      </c>
      <c r="F3986" s="6">
        <v>21</v>
      </c>
      <c r="G3986" s="8">
        <f t="shared" si="62"/>
        <v>2774.3422667999998</v>
      </c>
    </row>
    <row r="3987" spans="1:7" x14ac:dyDescent="0.3">
      <c r="A3987" s="14" t="e">
        <f>VLOOKUP(B3987,'Relacion codigos'!$A:$B,2,FALSE)</f>
        <v>#N/A</v>
      </c>
      <c r="B3987" s="6" t="s">
        <v>8954</v>
      </c>
      <c r="C3987" s="6" t="s">
        <v>8955</v>
      </c>
      <c r="D3987" s="24">
        <v>2774.3422667999998</v>
      </c>
      <c r="E3987" s="6" t="s">
        <v>5889</v>
      </c>
      <c r="F3987" s="6">
        <v>21</v>
      </c>
      <c r="G3987" s="8">
        <f t="shared" si="62"/>
        <v>2774.3422667999998</v>
      </c>
    </row>
    <row r="3988" spans="1:7" x14ac:dyDescent="0.3">
      <c r="A3988" s="14" t="str">
        <f>VLOOKUP(B3988,'Relacion codigos'!$A:$B,2,FALSE)</f>
        <v>9086</v>
      </c>
      <c r="B3988" s="6" t="s">
        <v>2326</v>
      </c>
      <c r="C3988" s="6" t="s">
        <v>10717</v>
      </c>
      <c r="D3988" s="24">
        <v>3375.2029910625001</v>
      </c>
      <c r="E3988" s="6" t="s">
        <v>5889</v>
      </c>
      <c r="F3988" s="6">
        <v>21</v>
      </c>
      <c r="G3988" s="8">
        <f t="shared" si="62"/>
        <v>3375.2029910625001</v>
      </c>
    </row>
    <row r="3989" spans="1:7" x14ac:dyDescent="0.3">
      <c r="A3989" s="14" t="str">
        <f>VLOOKUP(B3989,'Relacion codigos'!$A:$B,2,FALSE)</f>
        <v>8751</v>
      </c>
      <c r="B3989" s="6" t="s">
        <v>2632</v>
      </c>
      <c r="C3989" s="6" t="s">
        <v>1122</v>
      </c>
      <c r="D3989" s="24">
        <v>558.90380000000005</v>
      </c>
      <c r="E3989" s="6" t="s">
        <v>5889</v>
      </c>
      <c r="F3989" s="6">
        <v>21</v>
      </c>
      <c r="G3989" s="8">
        <f t="shared" si="62"/>
        <v>558.90380000000005</v>
      </c>
    </row>
    <row r="3990" spans="1:7" x14ac:dyDescent="0.3">
      <c r="A3990" s="14" t="str">
        <f>VLOOKUP(B3990,'Relacion codigos'!$A:$B,2,FALSE)</f>
        <v>8749</v>
      </c>
      <c r="B3990" s="6" t="s">
        <v>2633</v>
      </c>
      <c r="C3990" s="6" t="s">
        <v>1123</v>
      </c>
      <c r="D3990" s="24">
        <v>301.84699999999998</v>
      </c>
      <c r="E3990" s="6" t="s">
        <v>5889</v>
      </c>
      <c r="F3990" s="6">
        <v>21</v>
      </c>
      <c r="G3990" s="8">
        <f t="shared" si="62"/>
        <v>301.84699999999998</v>
      </c>
    </row>
    <row r="3991" spans="1:7" x14ac:dyDescent="0.3">
      <c r="A3991" s="14" t="str">
        <f>VLOOKUP(B3991,'Relacion codigos'!$A:$B,2,FALSE)</f>
        <v>5136</v>
      </c>
      <c r="B3991" s="6" t="s">
        <v>5038</v>
      </c>
      <c r="C3991" s="6" t="s">
        <v>9103</v>
      </c>
      <c r="D3991" s="24">
        <v>679.81621690356496</v>
      </c>
      <c r="E3991" s="6" t="s">
        <v>5889</v>
      </c>
      <c r="F3991" s="6">
        <v>21</v>
      </c>
      <c r="G3991" s="8">
        <f t="shared" si="62"/>
        <v>679.81621690356496</v>
      </c>
    </row>
    <row r="3992" spans="1:7" x14ac:dyDescent="0.3">
      <c r="A3992" s="14" t="str">
        <f>VLOOKUP(B3992,'Relacion codigos'!$A:$B,2,FALSE)</f>
        <v>5337</v>
      </c>
      <c r="B3992" s="6" t="s">
        <v>5039</v>
      </c>
      <c r="C3992" s="6" t="s">
        <v>9104</v>
      </c>
      <c r="D3992" s="24">
        <v>4106.2710824326296</v>
      </c>
      <c r="E3992" s="6" t="s">
        <v>5889</v>
      </c>
      <c r="F3992" s="6">
        <v>21</v>
      </c>
      <c r="G3992" s="8">
        <f t="shared" si="62"/>
        <v>4106.2710824326296</v>
      </c>
    </row>
    <row r="3993" spans="1:7" x14ac:dyDescent="0.3">
      <c r="A3993" s="14" t="str">
        <f>VLOOKUP(B3993,'Relacion codigos'!$A:$B,2,FALSE)</f>
        <v>5138</v>
      </c>
      <c r="B3993" s="6" t="s">
        <v>5040</v>
      </c>
      <c r="C3993" s="6" t="s">
        <v>9105</v>
      </c>
      <c r="D3993" s="24">
        <v>4106.2710824326296</v>
      </c>
      <c r="E3993" s="6" t="s">
        <v>5889</v>
      </c>
      <c r="F3993" s="6">
        <v>21</v>
      </c>
      <c r="G3993" s="8">
        <f t="shared" si="62"/>
        <v>4106.2710824326296</v>
      </c>
    </row>
    <row r="3994" spans="1:7" x14ac:dyDescent="0.3">
      <c r="A3994" s="14" t="str">
        <f>VLOOKUP(B3994,'Relacion codigos'!$A:$B,2,FALSE)</f>
        <v>5146</v>
      </c>
      <c r="B3994" s="6" t="s">
        <v>5041</v>
      </c>
      <c r="C3994" s="6" t="s">
        <v>9106</v>
      </c>
      <c r="D3994" s="24">
        <v>4106.2710824326296</v>
      </c>
      <c r="E3994" s="6" t="s">
        <v>5889</v>
      </c>
      <c r="F3994" s="6">
        <v>21</v>
      </c>
      <c r="G3994" s="8">
        <f t="shared" si="62"/>
        <v>4106.2710824326296</v>
      </c>
    </row>
    <row r="3995" spans="1:7" x14ac:dyDescent="0.3">
      <c r="A3995" s="14" t="str">
        <f>VLOOKUP(B3995,'Relacion codigos'!$A:$B,2,FALSE)</f>
        <v>5145</v>
      </c>
      <c r="B3995" s="6" t="s">
        <v>5042</v>
      </c>
      <c r="C3995" s="6" t="s">
        <v>9107</v>
      </c>
      <c r="D3995" s="24">
        <v>4106.2710824326296</v>
      </c>
      <c r="E3995" s="6" t="s">
        <v>5889</v>
      </c>
      <c r="F3995" s="6">
        <v>21</v>
      </c>
      <c r="G3995" s="8">
        <f t="shared" si="62"/>
        <v>4106.2710824326296</v>
      </c>
    </row>
    <row r="3996" spans="1:7" x14ac:dyDescent="0.3">
      <c r="A3996" s="14" t="str">
        <f>VLOOKUP(B3996,'Relacion codigos'!$A:$B,2,FALSE)</f>
        <v>5147</v>
      </c>
      <c r="B3996" s="6" t="s">
        <v>5043</v>
      </c>
      <c r="C3996" s="6" t="s">
        <v>9108</v>
      </c>
      <c r="D3996" s="24">
        <v>4106.2710824326296</v>
      </c>
      <c r="E3996" s="6" t="s">
        <v>5889</v>
      </c>
      <c r="F3996" s="6">
        <v>21</v>
      </c>
      <c r="G3996" s="8">
        <f t="shared" si="62"/>
        <v>4106.2710824326296</v>
      </c>
    </row>
    <row r="3997" spans="1:7" x14ac:dyDescent="0.3">
      <c r="A3997" s="14" t="str">
        <f>VLOOKUP(B3997,'Relacion codigos'!$A:$B,2,FALSE)</f>
        <v>5144</v>
      </c>
      <c r="B3997" s="6" t="s">
        <v>5044</v>
      </c>
      <c r="C3997" s="6" t="s">
        <v>9109</v>
      </c>
      <c r="D3997" s="24">
        <v>4106.2710824326296</v>
      </c>
      <c r="E3997" s="6" t="s">
        <v>5889</v>
      </c>
      <c r="F3997" s="6">
        <v>21</v>
      </c>
      <c r="G3997" s="8">
        <f t="shared" si="62"/>
        <v>4106.2710824326296</v>
      </c>
    </row>
    <row r="3998" spans="1:7" x14ac:dyDescent="0.3">
      <c r="A3998" s="14" t="str">
        <f>VLOOKUP(B3998,'Relacion codigos'!$A:$B,2,FALSE)</f>
        <v>5227</v>
      </c>
      <c r="B3998" s="6" t="s">
        <v>5045</v>
      </c>
      <c r="C3998" s="6" t="s">
        <v>9110</v>
      </c>
      <c r="D3998" s="24">
        <v>679.81621690356496</v>
      </c>
      <c r="E3998" s="6" t="s">
        <v>5889</v>
      </c>
      <c r="F3998" s="6">
        <v>21</v>
      </c>
      <c r="G3998" s="8">
        <f t="shared" si="62"/>
        <v>679.81621690356496</v>
      </c>
    </row>
    <row r="3999" spans="1:7" x14ac:dyDescent="0.3">
      <c r="A3999" s="14" t="str">
        <f>VLOOKUP(B3999,'Relacion codigos'!$A:$B,2,FALSE)</f>
        <v>5143</v>
      </c>
      <c r="B3999" s="6" t="s">
        <v>5046</v>
      </c>
      <c r="C3999" s="6" t="s">
        <v>9111</v>
      </c>
      <c r="D3999" s="24">
        <v>4106.2710824326296</v>
      </c>
      <c r="E3999" s="6" t="s">
        <v>5889</v>
      </c>
      <c r="F3999" s="6">
        <v>21</v>
      </c>
      <c r="G3999" s="8">
        <f t="shared" si="62"/>
        <v>4106.2710824326296</v>
      </c>
    </row>
    <row r="4000" spans="1:7" x14ac:dyDescent="0.3">
      <c r="A4000" s="14" t="str">
        <f>VLOOKUP(B4000,'Relacion codigos'!$A:$B,2,FALSE)</f>
        <v>6531</v>
      </c>
      <c r="B4000" s="6" t="s">
        <v>5047</v>
      </c>
      <c r="C4000" s="6" t="s">
        <v>9112</v>
      </c>
      <c r="D4000" s="24">
        <v>3406.9036588048998</v>
      </c>
      <c r="E4000" s="6" t="s">
        <v>5889</v>
      </c>
      <c r="F4000" s="6">
        <v>21</v>
      </c>
      <c r="G4000" s="8">
        <f t="shared" si="62"/>
        <v>3406.9036588048998</v>
      </c>
    </row>
    <row r="4001" spans="1:7" x14ac:dyDescent="0.3">
      <c r="A4001" s="14" t="str">
        <f>VLOOKUP(B4001,'Relacion codigos'!$A:$B,2,FALSE)</f>
        <v>6532</v>
      </c>
      <c r="B4001" s="6" t="s">
        <v>5048</v>
      </c>
      <c r="C4001" s="6" t="s">
        <v>9113</v>
      </c>
      <c r="D4001" s="24">
        <v>3406.9036588048998</v>
      </c>
      <c r="E4001" s="6" t="s">
        <v>5889</v>
      </c>
      <c r="F4001" s="6">
        <v>21</v>
      </c>
      <c r="G4001" s="8">
        <f t="shared" si="62"/>
        <v>3406.9036588048998</v>
      </c>
    </row>
    <row r="4002" spans="1:7" x14ac:dyDescent="0.3">
      <c r="A4002" s="14" t="str">
        <f>VLOOKUP(B4002,'Relacion codigos'!$A:$B,2,FALSE)</f>
        <v>6528</v>
      </c>
      <c r="B4002" s="6" t="s">
        <v>5049</v>
      </c>
      <c r="C4002" s="6" t="s">
        <v>9114</v>
      </c>
      <c r="D4002" s="24">
        <v>3406.9036588048998</v>
      </c>
      <c r="E4002" s="6" t="s">
        <v>5889</v>
      </c>
      <c r="F4002" s="6">
        <v>21</v>
      </c>
      <c r="G4002" s="8">
        <f t="shared" si="62"/>
        <v>3406.9036588048998</v>
      </c>
    </row>
    <row r="4003" spans="1:7" x14ac:dyDescent="0.3">
      <c r="A4003" s="14" t="str">
        <f>VLOOKUP(B4003,'Relacion codigos'!$A:$B,2,FALSE)</f>
        <v>6529</v>
      </c>
      <c r="B4003" s="6" t="s">
        <v>5050</v>
      </c>
      <c r="C4003" s="6" t="s">
        <v>9115</v>
      </c>
      <c r="D4003" s="24">
        <v>3406.9036588048998</v>
      </c>
      <c r="E4003" s="6" t="s">
        <v>5889</v>
      </c>
      <c r="F4003" s="6">
        <v>21</v>
      </c>
      <c r="G4003" s="8">
        <f t="shared" si="62"/>
        <v>3406.9036588048998</v>
      </c>
    </row>
    <row r="4004" spans="1:7" x14ac:dyDescent="0.3">
      <c r="A4004" s="14" t="str">
        <f>VLOOKUP(B4004,'Relacion codigos'!$A:$B,2,FALSE)</f>
        <v>6534</v>
      </c>
      <c r="B4004" s="6" t="s">
        <v>5051</v>
      </c>
      <c r="C4004" s="6" t="s">
        <v>9116</v>
      </c>
      <c r="D4004" s="24">
        <v>3406.9036588048998</v>
      </c>
      <c r="E4004" s="6" t="s">
        <v>5889</v>
      </c>
      <c r="F4004" s="6">
        <v>21</v>
      </c>
      <c r="G4004" s="8">
        <f t="shared" si="62"/>
        <v>3406.9036588048998</v>
      </c>
    </row>
    <row r="4005" spans="1:7" x14ac:dyDescent="0.3">
      <c r="A4005" s="14" t="str">
        <f>VLOOKUP(B4005,'Relacion codigos'!$A:$B,2,FALSE)</f>
        <v>6533</v>
      </c>
      <c r="B4005" s="6" t="s">
        <v>5052</v>
      </c>
      <c r="C4005" s="6" t="s">
        <v>9117</v>
      </c>
      <c r="D4005" s="24">
        <v>3406.9036588048998</v>
      </c>
      <c r="E4005" s="6" t="s">
        <v>5889</v>
      </c>
      <c r="F4005" s="6">
        <v>21</v>
      </c>
      <c r="G4005" s="8">
        <f t="shared" si="62"/>
        <v>3406.9036588048998</v>
      </c>
    </row>
    <row r="4006" spans="1:7" x14ac:dyDescent="0.3">
      <c r="A4006" s="14" t="str">
        <f>VLOOKUP(B4006,'Relacion codigos'!$A:$B,2,FALSE)</f>
        <v>6530</v>
      </c>
      <c r="B4006" s="6" t="s">
        <v>5053</v>
      </c>
      <c r="C4006" s="6" t="s">
        <v>9118</v>
      </c>
      <c r="D4006" s="24">
        <v>3406.9036588048998</v>
      </c>
      <c r="E4006" s="6" t="s">
        <v>5889</v>
      </c>
      <c r="F4006" s="6">
        <v>21</v>
      </c>
      <c r="G4006" s="8">
        <f t="shared" si="62"/>
        <v>3406.9036588048998</v>
      </c>
    </row>
    <row r="4007" spans="1:7" x14ac:dyDescent="0.3">
      <c r="A4007" s="14" t="str">
        <f>VLOOKUP(B4007,'Relacion codigos'!$A:$B,2,FALSE)</f>
        <v>6527</v>
      </c>
      <c r="B4007" s="6" t="s">
        <v>5054</v>
      </c>
      <c r="C4007" s="6" t="s">
        <v>9119</v>
      </c>
      <c r="D4007" s="24">
        <v>3406.9036588048998</v>
      </c>
      <c r="E4007" s="6" t="s">
        <v>5889</v>
      </c>
      <c r="F4007" s="6">
        <v>21</v>
      </c>
      <c r="G4007" s="8">
        <f t="shared" si="62"/>
        <v>3406.9036588048998</v>
      </c>
    </row>
    <row r="4008" spans="1:7" x14ac:dyDescent="0.3">
      <c r="A4008" s="14" t="e">
        <f>VLOOKUP(B4008,'Relacion codigos'!$A:$B,2,FALSE)</f>
        <v>#N/A</v>
      </c>
      <c r="B4008" s="6" t="s">
        <v>9335</v>
      </c>
      <c r="C4008" s="6" t="s">
        <v>9336</v>
      </c>
      <c r="D4008" s="24">
        <v>895.80399999999997</v>
      </c>
      <c r="E4008" s="6" t="s">
        <v>5889</v>
      </c>
      <c r="F4008" s="6">
        <v>21</v>
      </c>
      <c r="G4008" s="8">
        <f t="shared" si="62"/>
        <v>895.80399999999997</v>
      </c>
    </row>
    <row r="4009" spans="1:7" x14ac:dyDescent="0.3">
      <c r="A4009" s="14" t="str">
        <f>VLOOKUP(B4009,'Relacion codigos'!$A:$B,2,FALSE)</f>
        <v>2627</v>
      </c>
      <c r="B4009" s="6" t="s">
        <v>2434</v>
      </c>
      <c r="C4009" s="6" t="s">
        <v>642</v>
      </c>
      <c r="D4009" s="24">
        <v>2869.6343910000001</v>
      </c>
      <c r="E4009" s="6" t="s">
        <v>5889</v>
      </c>
      <c r="F4009" s="6">
        <v>21</v>
      </c>
      <c r="G4009" s="8">
        <f t="shared" si="62"/>
        <v>2869.6343910000001</v>
      </c>
    </row>
    <row r="4010" spans="1:7" x14ac:dyDescent="0.3">
      <c r="A4010" s="14" t="str">
        <f>VLOOKUP(B4010,'Relacion codigos'!$A:$B,2,FALSE)</f>
        <v>2628</v>
      </c>
      <c r="B4010" s="6" t="s">
        <v>2435</v>
      </c>
      <c r="C4010" s="6" t="s">
        <v>643</v>
      </c>
      <c r="D4010" s="24">
        <v>3567.1617735</v>
      </c>
      <c r="E4010" s="6" t="s">
        <v>5889</v>
      </c>
      <c r="F4010" s="6">
        <v>21</v>
      </c>
      <c r="G4010" s="8">
        <f t="shared" si="62"/>
        <v>3567.1617735</v>
      </c>
    </row>
    <row r="4011" spans="1:7" x14ac:dyDescent="0.3">
      <c r="A4011" s="14" t="str">
        <f>VLOOKUP(B4011,'Relacion codigos'!$A:$B,2,FALSE)</f>
        <v>2629</v>
      </c>
      <c r="B4011" s="6" t="s">
        <v>2436</v>
      </c>
      <c r="C4011" s="6" t="s">
        <v>644</v>
      </c>
      <c r="D4011" s="24">
        <v>3951.3072885000001</v>
      </c>
      <c r="E4011" s="6" t="s">
        <v>5889</v>
      </c>
      <c r="F4011" s="6">
        <v>21</v>
      </c>
      <c r="G4011" s="8">
        <f t="shared" si="62"/>
        <v>3951.3072885000001</v>
      </c>
    </row>
    <row r="4012" spans="1:7" x14ac:dyDescent="0.3">
      <c r="A4012" s="14" t="str">
        <f>VLOOKUP(B4012,'Relacion codigos'!$A:$B,2,FALSE)</f>
        <v>2630</v>
      </c>
      <c r="B4012" s="6" t="s">
        <v>2437</v>
      </c>
      <c r="C4012" s="6" t="s">
        <v>645</v>
      </c>
      <c r="D4012" s="24">
        <v>5191.3559685</v>
      </c>
      <c r="E4012" s="6" t="s">
        <v>5889</v>
      </c>
      <c r="F4012" s="6">
        <v>21</v>
      </c>
      <c r="G4012" s="8">
        <f t="shared" si="62"/>
        <v>5191.3559685</v>
      </c>
    </row>
    <row r="4013" spans="1:7" x14ac:dyDescent="0.3">
      <c r="A4013" s="14" t="str">
        <f>VLOOKUP(B4013,'Relacion codigos'!$A:$B,2,FALSE)</f>
        <v>2626</v>
      </c>
      <c r="B4013" s="6" t="s">
        <v>2438</v>
      </c>
      <c r="C4013" s="6" t="s">
        <v>646</v>
      </c>
      <c r="D4013" s="24">
        <v>2643.8646585000001</v>
      </c>
      <c r="E4013" s="6" t="s">
        <v>5889</v>
      </c>
      <c r="F4013" s="6">
        <v>21</v>
      </c>
      <c r="G4013" s="8">
        <f t="shared" si="62"/>
        <v>2643.8646585000001</v>
      </c>
    </row>
    <row r="4014" spans="1:7" x14ac:dyDescent="0.3">
      <c r="A4014" s="14" t="str">
        <f>VLOOKUP(B4014,'Relacion codigos'!$A:$B,2,FALSE)</f>
        <v>2612</v>
      </c>
      <c r="B4014" s="6" t="s">
        <v>2439</v>
      </c>
      <c r="C4014" s="6" t="s">
        <v>647</v>
      </c>
      <c r="D4014" s="24">
        <v>1919.379696</v>
      </c>
      <c r="E4014" s="6" t="s">
        <v>5889</v>
      </c>
      <c r="F4014" s="6">
        <v>21</v>
      </c>
      <c r="G4014" s="8">
        <f t="shared" si="62"/>
        <v>1919.379696</v>
      </c>
    </row>
    <row r="4015" spans="1:7" x14ac:dyDescent="0.3">
      <c r="A4015" s="14" t="str">
        <f>VLOOKUP(B4015,'Relacion codigos'!$A:$B,2,FALSE)</f>
        <v>2613</v>
      </c>
      <c r="B4015" s="6" t="s">
        <v>2440</v>
      </c>
      <c r="C4015" s="6" t="s">
        <v>648</v>
      </c>
      <c r="D4015" s="24">
        <v>2582.5361640000001</v>
      </c>
      <c r="E4015" s="6" t="s">
        <v>5889</v>
      </c>
      <c r="F4015" s="6">
        <v>21</v>
      </c>
      <c r="G4015" s="8">
        <f t="shared" si="62"/>
        <v>2582.5361640000001</v>
      </c>
    </row>
    <row r="4016" spans="1:7" x14ac:dyDescent="0.3">
      <c r="A4016" s="14" t="str">
        <f>VLOOKUP(B4016,'Relacion codigos'!$A:$B,2,FALSE)</f>
        <v>2614</v>
      </c>
      <c r="B4016" s="6" t="s">
        <v>2441</v>
      </c>
      <c r="C4016" s="6" t="s">
        <v>649</v>
      </c>
      <c r="D4016" s="24">
        <v>3039.4671450000001</v>
      </c>
      <c r="E4016" s="6" t="s">
        <v>5889</v>
      </c>
      <c r="F4016" s="6">
        <v>21</v>
      </c>
      <c r="G4016" s="8">
        <f t="shared" si="62"/>
        <v>3039.4671450000001</v>
      </c>
    </row>
    <row r="4017" spans="1:7" x14ac:dyDescent="0.3">
      <c r="A4017" s="14" t="str">
        <f>VLOOKUP(B4017,'Relacion codigos'!$A:$B,2,FALSE)</f>
        <v>2615</v>
      </c>
      <c r="B4017" s="6" t="s">
        <v>2442</v>
      </c>
      <c r="C4017" s="6" t="s">
        <v>650</v>
      </c>
      <c r="D4017" s="24">
        <v>4433.1740309999996</v>
      </c>
      <c r="E4017" s="6" t="s">
        <v>5889</v>
      </c>
      <c r="F4017" s="6">
        <v>21</v>
      </c>
      <c r="G4017" s="8">
        <f t="shared" si="62"/>
        <v>4433.1740309999996</v>
      </c>
    </row>
    <row r="4018" spans="1:7" x14ac:dyDescent="0.3">
      <c r="A4018" s="14" t="str">
        <f>VLOOKUP(B4018,'Relacion codigos'!$A:$B,2,FALSE)</f>
        <v>2611</v>
      </c>
      <c r="B4018" s="6" t="s">
        <v>2443</v>
      </c>
      <c r="C4018" s="6" t="s">
        <v>651</v>
      </c>
      <c r="D4018" s="24">
        <v>1675.413597</v>
      </c>
      <c r="E4018" s="6" t="s">
        <v>5889</v>
      </c>
      <c r="F4018" s="6">
        <v>21</v>
      </c>
      <c r="G4018" s="8">
        <f t="shared" si="62"/>
        <v>1675.413597</v>
      </c>
    </row>
    <row r="4019" spans="1:7" x14ac:dyDescent="0.3">
      <c r="A4019" s="14" t="str">
        <f>VLOOKUP(B4019,'Relacion codigos'!$A:$B,2,FALSE)</f>
        <v>2606</v>
      </c>
      <c r="B4019" s="6" t="s">
        <v>2444</v>
      </c>
      <c r="C4019" s="6" t="s">
        <v>652</v>
      </c>
      <c r="D4019" s="24">
        <v>1963.1857634999999</v>
      </c>
      <c r="E4019" s="6" t="s">
        <v>5889</v>
      </c>
      <c r="F4019" s="6">
        <v>21</v>
      </c>
      <c r="G4019" s="8">
        <f t="shared" si="62"/>
        <v>1963.1857634999999</v>
      </c>
    </row>
    <row r="4020" spans="1:7" x14ac:dyDescent="0.3">
      <c r="A4020" s="14" t="str">
        <f>VLOOKUP(B4020,'Relacion codigos'!$A:$B,2,FALSE)</f>
        <v>2607</v>
      </c>
      <c r="B4020" s="6" t="s">
        <v>2445</v>
      </c>
      <c r="C4020" s="6" t="s">
        <v>653</v>
      </c>
      <c r="D4020" s="24">
        <v>2380.3543140000002</v>
      </c>
      <c r="E4020" s="6" t="s">
        <v>5889</v>
      </c>
      <c r="F4020" s="6">
        <v>21</v>
      </c>
      <c r="G4020" s="8">
        <f t="shared" si="62"/>
        <v>2380.3543140000002</v>
      </c>
    </row>
    <row r="4021" spans="1:7" x14ac:dyDescent="0.3">
      <c r="A4021" s="14" t="str">
        <f>VLOOKUP(B4021,'Relacion codigos'!$A:$B,2,FALSE)</f>
        <v>2608</v>
      </c>
      <c r="B4021" s="6" t="s">
        <v>2446</v>
      </c>
      <c r="C4021" s="6" t="s">
        <v>654</v>
      </c>
      <c r="D4021" s="24">
        <v>2796.1749854999998</v>
      </c>
      <c r="E4021" s="6" t="s">
        <v>5889</v>
      </c>
      <c r="F4021" s="6">
        <v>21</v>
      </c>
      <c r="G4021" s="8">
        <f t="shared" si="62"/>
        <v>2796.1749854999998</v>
      </c>
    </row>
    <row r="4022" spans="1:7" x14ac:dyDescent="0.3">
      <c r="A4022" s="14" t="str">
        <f>VLOOKUP(B4022,'Relacion codigos'!$A:$B,2,FALSE)</f>
        <v>2609</v>
      </c>
      <c r="B4022" s="6" t="s">
        <v>2447</v>
      </c>
      <c r="C4022" s="6" t="s">
        <v>655</v>
      </c>
      <c r="D4022" s="24">
        <v>3189.7556534999999</v>
      </c>
      <c r="E4022" s="6" t="s">
        <v>5889</v>
      </c>
      <c r="F4022" s="6">
        <v>21</v>
      </c>
      <c r="G4022" s="8">
        <f t="shared" si="62"/>
        <v>3189.7556534999999</v>
      </c>
    </row>
    <row r="4023" spans="1:7" x14ac:dyDescent="0.3">
      <c r="A4023" s="14" t="str">
        <f>VLOOKUP(B4023,'Relacion codigos'!$A:$B,2,FALSE)</f>
        <v>2610</v>
      </c>
      <c r="B4023" s="6" t="s">
        <v>2448</v>
      </c>
      <c r="C4023" s="6" t="s">
        <v>656</v>
      </c>
      <c r="D4023" s="24">
        <v>4848.9947025000001</v>
      </c>
      <c r="E4023" s="6" t="s">
        <v>5889</v>
      </c>
      <c r="F4023" s="6">
        <v>21</v>
      </c>
      <c r="G4023" s="8">
        <f t="shared" si="62"/>
        <v>4848.9947025000001</v>
      </c>
    </row>
    <row r="4024" spans="1:7" x14ac:dyDescent="0.3">
      <c r="A4024" s="14" t="e">
        <f>VLOOKUP(B4024,'Relacion codigos'!$A:$B,2,FALSE)</f>
        <v>#N/A</v>
      </c>
      <c r="B4024" s="6" t="s">
        <v>12721</v>
      </c>
      <c r="C4024" s="6" t="s">
        <v>13273</v>
      </c>
      <c r="D4024" s="24">
        <v>0.2101501935</v>
      </c>
      <c r="E4024" s="6" t="s">
        <v>5887</v>
      </c>
      <c r="F4024" s="6">
        <v>21</v>
      </c>
      <c r="G4024" s="8">
        <f t="shared" si="62"/>
        <v>326.78355089249999</v>
      </c>
    </row>
    <row r="4025" spans="1:7" x14ac:dyDescent="0.3">
      <c r="A4025" s="14" t="e">
        <f>VLOOKUP(B4025,'Relacion codigos'!$A:$B,2,FALSE)</f>
        <v>#N/A</v>
      </c>
      <c r="B4025" s="6" t="s">
        <v>12722</v>
      </c>
      <c r="C4025" s="6" t="s">
        <v>13274</v>
      </c>
      <c r="D4025" s="24">
        <v>0.2101501935</v>
      </c>
      <c r="E4025" s="6" t="s">
        <v>5887</v>
      </c>
      <c r="F4025" s="6">
        <v>21</v>
      </c>
      <c r="G4025" s="8">
        <f t="shared" si="62"/>
        <v>326.78355089249999</v>
      </c>
    </row>
    <row r="4026" spans="1:7" x14ac:dyDescent="0.3">
      <c r="A4026" s="14" t="str">
        <f>VLOOKUP(B4026,'Relacion codigos'!$A:$B,2,FALSE)</f>
        <v>1102</v>
      </c>
      <c r="B4026" s="6" t="s">
        <v>4649</v>
      </c>
      <c r="C4026" s="6" t="s">
        <v>13344</v>
      </c>
      <c r="D4026" s="24">
        <v>2228.0907134720401</v>
      </c>
      <c r="E4026" s="6" t="s">
        <v>5889</v>
      </c>
      <c r="F4026" s="6">
        <v>21</v>
      </c>
      <c r="G4026" s="8">
        <f t="shared" si="62"/>
        <v>2228.0907134720401</v>
      </c>
    </row>
    <row r="4027" spans="1:7" x14ac:dyDescent="0.3">
      <c r="A4027" s="14" t="str">
        <f>VLOOKUP(B4027,'Relacion codigos'!$A:$B,2,FALSE)</f>
        <v>868</v>
      </c>
      <c r="B4027" s="6" t="s">
        <v>4648</v>
      </c>
      <c r="C4027" s="6" t="s">
        <v>13345</v>
      </c>
      <c r="D4027" s="24">
        <v>2129.1743665919898</v>
      </c>
      <c r="E4027" s="6" t="s">
        <v>5889</v>
      </c>
      <c r="F4027" s="6">
        <v>21</v>
      </c>
      <c r="G4027" s="8">
        <f t="shared" si="62"/>
        <v>2129.1743665919898</v>
      </c>
    </row>
    <row r="4028" spans="1:7" x14ac:dyDescent="0.3">
      <c r="A4028" s="14" t="e">
        <f>VLOOKUP(B4028,'Relacion codigos'!$A:$B,2,FALSE)</f>
        <v>#N/A</v>
      </c>
      <c r="B4028" s="6" t="s">
        <v>13417</v>
      </c>
      <c r="C4028" s="6" t="s">
        <v>13418</v>
      </c>
      <c r="D4028" s="24">
        <v>122.493317112732</v>
      </c>
      <c r="E4028" s="6" t="s">
        <v>5889</v>
      </c>
      <c r="F4028" s="6">
        <v>21</v>
      </c>
      <c r="G4028" s="8">
        <f t="shared" si="62"/>
        <v>122.493317112732</v>
      </c>
    </row>
    <row r="4029" spans="1:7" x14ac:dyDescent="0.3">
      <c r="A4029" s="14" t="e">
        <f>VLOOKUP(B4029,'Relacion codigos'!$A:$B,2,FALSE)</f>
        <v>#N/A</v>
      </c>
      <c r="B4029" s="6" t="s">
        <v>13419</v>
      </c>
      <c r="C4029" s="6" t="s">
        <v>13420</v>
      </c>
      <c r="D4029" s="24">
        <v>183.72652137039299</v>
      </c>
      <c r="E4029" s="6" t="s">
        <v>5889</v>
      </c>
      <c r="F4029" s="6">
        <v>21</v>
      </c>
      <c r="G4029" s="8">
        <f t="shared" si="62"/>
        <v>183.72652137039299</v>
      </c>
    </row>
    <row r="4030" spans="1:7" x14ac:dyDescent="0.3">
      <c r="A4030" s="14" t="e">
        <f>VLOOKUP(B4030,'Relacion codigos'!$A:$B,2,FALSE)</f>
        <v>#N/A</v>
      </c>
      <c r="B4030" s="6" t="s">
        <v>13421</v>
      </c>
      <c r="C4030" s="6" t="s">
        <v>13422</v>
      </c>
      <c r="D4030" s="24">
        <v>244.98663422546301</v>
      </c>
      <c r="E4030" s="6" t="s">
        <v>5889</v>
      </c>
      <c r="F4030" s="6">
        <v>21</v>
      </c>
      <c r="G4030" s="8">
        <f t="shared" si="62"/>
        <v>244.98663422546301</v>
      </c>
    </row>
    <row r="4031" spans="1:7" x14ac:dyDescent="0.3">
      <c r="A4031" s="14" t="e">
        <f>VLOOKUP(B4031,'Relacion codigos'!$A:$B,2,FALSE)</f>
        <v>#N/A</v>
      </c>
      <c r="B4031" s="6" t="s">
        <v>8956</v>
      </c>
      <c r="C4031" s="6" t="s">
        <v>8957</v>
      </c>
      <c r="D4031" s="24">
        <v>1688.7243542000001</v>
      </c>
      <c r="E4031" s="6" t="s">
        <v>5889</v>
      </c>
      <c r="F4031" s="6">
        <v>21</v>
      </c>
      <c r="G4031" s="8">
        <f t="shared" si="62"/>
        <v>1688.7243542000001</v>
      </c>
    </row>
    <row r="4032" spans="1:7" x14ac:dyDescent="0.3">
      <c r="A4032" s="14" t="e">
        <f>VLOOKUP(B4032,'Relacion codigos'!$A:$B,2,FALSE)</f>
        <v>#N/A</v>
      </c>
      <c r="B4032" s="6" t="s">
        <v>8958</v>
      </c>
      <c r="C4032" s="6" t="s">
        <v>8959</v>
      </c>
      <c r="D4032" s="24">
        <v>1688.7243542000001</v>
      </c>
      <c r="E4032" s="6" t="s">
        <v>5889</v>
      </c>
      <c r="F4032" s="6">
        <v>21</v>
      </c>
      <c r="G4032" s="8">
        <f t="shared" si="62"/>
        <v>1688.7243542000001</v>
      </c>
    </row>
    <row r="4033" spans="1:7" x14ac:dyDescent="0.3">
      <c r="A4033" s="14" t="str">
        <f>VLOOKUP(B4033,'Relacion codigos'!$A:$B,2,FALSE)</f>
        <v>5476</v>
      </c>
      <c r="B4033" s="6" t="s">
        <v>5056</v>
      </c>
      <c r="C4033" s="6" t="s">
        <v>9120</v>
      </c>
      <c r="D4033" s="24">
        <v>4938.0991081401598</v>
      </c>
      <c r="E4033" s="6" t="s">
        <v>5889</v>
      </c>
      <c r="F4033" s="6">
        <v>21</v>
      </c>
      <c r="G4033" s="8">
        <f t="shared" si="62"/>
        <v>4938.0991081401598</v>
      </c>
    </row>
    <row r="4034" spans="1:7" x14ac:dyDescent="0.3">
      <c r="A4034" s="14" t="str">
        <f>VLOOKUP(B4034,'Relacion codigos'!$A:$B,2,FALSE)</f>
        <v>5477</v>
      </c>
      <c r="B4034" s="6" t="s">
        <v>5057</v>
      </c>
      <c r="C4034" s="6" t="s">
        <v>9121</v>
      </c>
      <c r="D4034" s="24">
        <v>4938.0991081401598</v>
      </c>
      <c r="E4034" s="6" t="s">
        <v>5889</v>
      </c>
      <c r="F4034" s="6">
        <v>21</v>
      </c>
      <c r="G4034" s="8">
        <f t="shared" ref="G4034:G4097" si="63">IF(E4034="Dolares",D4034*$G$1,D4034)</f>
        <v>4938.0991081401598</v>
      </c>
    </row>
    <row r="4035" spans="1:7" x14ac:dyDescent="0.3">
      <c r="A4035" s="14" t="str">
        <f>VLOOKUP(B4035,'Relacion codigos'!$A:$B,2,FALSE)</f>
        <v>5480</v>
      </c>
      <c r="B4035" s="6" t="s">
        <v>5058</v>
      </c>
      <c r="C4035" s="6" t="s">
        <v>9122</v>
      </c>
      <c r="D4035" s="24">
        <v>4938.0991081401598</v>
      </c>
      <c r="E4035" s="6" t="s">
        <v>5889</v>
      </c>
      <c r="F4035" s="6">
        <v>21</v>
      </c>
      <c r="G4035" s="8">
        <f t="shared" si="63"/>
        <v>4938.0991081401598</v>
      </c>
    </row>
    <row r="4036" spans="1:7" x14ac:dyDescent="0.3">
      <c r="A4036" s="14" t="str">
        <f>VLOOKUP(B4036,'Relacion codigos'!$A:$B,2,FALSE)</f>
        <v>5481</v>
      </c>
      <c r="B4036" s="6" t="s">
        <v>5059</v>
      </c>
      <c r="C4036" s="6" t="s">
        <v>9123</v>
      </c>
      <c r="D4036" s="24">
        <v>4938.0991081401598</v>
      </c>
      <c r="E4036" s="6" t="s">
        <v>5889</v>
      </c>
      <c r="F4036" s="6">
        <v>21</v>
      </c>
      <c r="G4036" s="8">
        <f t="shared" si="63"/>
        <v>4938.0991081401598</v>
      </c>
    </row>
    <row r="4037" spans="1:7" x14ac:dyDescent="0.3">
      <c r="A4037" s="14" t="str">
        <f>VLOOKUP(B4037,'Relacion codigos'!$A:$B,2,FALSE)</f>
        <v>5479</v>
      </c>
      <c r="B4037" s="6" t="s">
        <v>5060</v>
      </c>
      <c r="C4037" s="6" t="s">
        <v>9124</v>
      </c>
      <c r="D4037" s="24">
        <v>4938.0991081401598</v>
      </c>
      <c r="E4037" s="6" t="s">
        <v>5889</v>
      </c>
      <c r="F4037" s="6">
        <v>21</v>
      </c>
      <c r="G4037" s="8">
        <f t="shared" si="63"/>
        <v>4938.0991081401598</v>
      </c>
    </row>
    <row r="4038" spans="1:7" x14ac:dyDescent="0.3">
      <c r="A4038" s="14" t="str">
        <f>VLOOKUP(B4038,'Relacion codigos'!$A:$B,2,FALSE)</f>
        <v>5478</v>
      </c>
      <c r="B4038" s="6" t="s">
        <v>5061</v>
      </c>
      <c r="C4038" s="6" t="s">
        <v>9125</v>
      </c>
      <c r="D4038" s="24">
        <v>4938.0991081401598</v>
      </c>
      <c r="E4038" s="6" t="s">
        <v>5889</v>
      </c>
      <c r="F4038" s="6">
        <v>21</v>
      </c>
      <c r="G4038" s="8">
        <f t="shared" si="63"/>
        <v>4938.0991081401598</v>
      </c>
    </row>
    <row r="4039" spans="1:7" x14ac:dyDescent="0.3">
      <c r="A4039" s="14" t="str">
        <f>VLOOKUP(B4039,'Relacion codigos'!$A:$B,2,FALSE)</f>
        <v>593</v>
      </c>
      <c r="B4039" s="6" t="s">
        <v>2635</v>
      </c>
      <c r="C4039" s="6" t="s">
        <v>1124</v>
      </c>
      <c r="D4039" s="24">
        <v>277.61418035000003</v>
      </c>
      <c r="E4039" s="6" t="s">
        <v>5889</v>
      </c>
      <c r="F4039" s="6">
        <v>21</v>
      </c>
      <c r="G4039" s="8">
        <f t="shared" si="63"/>
        <v>277.61418035000003</v>
      </c>
    </row>
    <row r="4040" spans="1:7" x14ac:dyDescent="0.3">
      <c r="A4040" s="14" t="str">
        <f>VLOOKUP(B4040,'Relacion codigos'!$A:$B,2,FALSE)</f>
        <v>591</v>
      </c>
      <c r="B4040" s="6" t="s">
        <v>2636</v>
      </c>
      <c r="C4040" s="6" t="s">
        <v>657</v>
      </c>
      <c r="D4040" s="24">
        <v>189.56827938750001</v>
      </c>
      <c r="E4040" s="6" t="s">
        <v>5889</v>
      </c>
      <c r="F4040" s="6">
        <v>21</v>
      </c>
      <c r="G4040" s="8">
        <f t="shared" si="63"/>
        <v>189.56827938750001</v>
      </c>
    </row>
    <row r="4041" spans="1:7" x14ac:dyDescent="0.3">
      <c r="A4041" s="14" t="str">
        <f>VLOOKUP(B4041,'Relacion codigos'!$A:$B,2,FALSE)</f>
        <v>592</v>
      </c>
      <c r="B4041" s="6" t="s">
        <v>2637</v>
      </c>
      <c r="C4041" s="6" t="s">
        <v>658</v>
      </c>
      <c r="D4041" s="24">
        <v>236.28715305</v>
      </c>
      <c r="E4041" s="6" t="s">
        <v>5889</v>
      </c>
      <c r="F4041" s="6">
        <v>21</v>
      </c>
      <c r="G4041" s="8">
        <f t="shared" si="63"/>
        <v>236.28715305</v>
      </c>
    </row>
    <row r="4042" spans="1:7" x14ac:dyDescent="0.3">
      <c r="A4042" s="14" t="str">
        <f>VLOOKUP(B4042,'Relacion codigos'!$A:$B,2,FALSE)</f>
        <v>2984</v>
      </c>
      <c r="B4042" s="6" t="s">
        <v>2638</v>
      </c>
      <c r="C4042" s="6" t="s">
        <v>659</v>
      </c>
      <c r="D4042" s="24">
        <v>197.65291048750001</v>
      </c>
      <c r="E4042" s="6" t="s">
        <v>5889</v>
      </c>
      <c r="F4042" s="6">
        <v>21</v>
      </c>
      <c r="G4042" s="8">
        <f t="shared" si="63"/>
        <v>197.65291048750001</v>
      </c>
    </row>
    <row r="4043" spans="1:7" x14ac:dyDescent="0.3">
      <c r="A4043" s="14" t="str">
        <f>VLOOKUP(B4043,'Relacion codigos'!$A:$B,2,FALSE)</f>
        <v>1187</v>
      </c>
      <c r="B4043" s="6" t="s">
        <v>4783</v>
      </c>
      <c r="C4043" s="6" t="s">
        <v>660</v>
      </c>
      <c r="D4043" s="24">
        <v>309.113584</v>
      </c>
      <c r="E4043" s="6" t="s">
        <v>5889</v>
      </c>
      <c r="F4043" s="6">
        <v>21</v>
      </c>
      <c r="G4043" s="8">
        <f t="shared" si="63"/>
        <v>309.113584</v>
      </c>
    </row>
    <row r="4044" spans="1:7" x14ac:dyDescent="0.3">
      <c r="A4044" s="14" t="str">
        <f>VLOOKUP(B4044,'Relacion codigos'!$A:$B,2,FALSE)</f>
        <v>1188</v>
      </c>
      <c r="B4044" s="6" t="s">
        <v>4784</v>
      </c>
      <c r="C4044" s="6" t="s">
        <v>661</v>
      </c>
      <c r="D4044" s="24">
        <v>1866.0559179112499</v>
      </c>
      <c r="E4044" s="6" t="s">
        <v>5889</v>
      </c>
      <c r="F4044" s="6">
        <v>21</v>
      </c>
      <c r="G4044" s="8">
        <f t="shared" si="63"/>
        <v>1866.0559179112499</v>
      </c>
    </row>
    <row r="4045" spans="1:7" x14ac:dyDescent="0.3">
      <c r="A4045" s="14" t="str">
        <f>VLOOKUP(B4045,'Relacion codigos'!$A:$B,2,FALSE)</f>
        <v>5148</v>
      </c>
      <c r="B4045" s="6" t="s">
        <v>5062</v>
      </c>
      <c r="C4045" s="6" t="s">
        <v>662</v>
      </c>
      <c r="D4045" s="24">
        <v>733.65393405575503</v>
      </c>
      <c r="E4045" s="6" t="s">
        <v>5889</v>
      </c>
      <c r="F4045" s="6">
        <v>21</v>
      </c>
      <c r="G4045" s="8">
        <f t="shared" si="63"/>
        <v>733.65393405575503</v>
      </c>
    </row>
    <row r="4046" spans="1:7" x14ac:dyDescent="0.3">
      <c r="A4046" s="14" t="str">
        <f>VLOOKUP(B4046,'Relacion codigos'!$A:$B,2,FALSE)</f>
        <v>6609</v>
      </c>
      <c r="B4046" s="6" t="s">
        <v>5063</v>
      </c>
      <c r="C4046" s="6" t="s">
        <v>663</v>
      </c>
      <c r="D4046" s="24">
        <v>733.65393405575503</v>
      </c>
      <c r="E4046" s="6" t="s">
        <v>5889</v>
      </c>
      <c r="F4046" s="6">
        <v>21</v>
      </c>
      <c r="G4046" s="8">
        <f t="shared" si="63"/>
        <v>733.65393405575503</v>
      </c>
    </row>
    <row r="4047" spans="1:7" x14ac:dyDescent="0.3">
      <c r="A4047" s="14" t="str">
        <f>VLOOKUP(B4047,'Relacion codigos'!$A:$B,2,FALSE)</f>
        <v>7269</v>
      </c>
      <c r="B4047" s="6" t="s">
        <v>2639</v>
      </c>
      <c r="C4047" s="6" t="s">
        <v>664</v>
      </c>
      <c r="D4047" s="24">
        <v>158.30310274999999</v>
      </c>
      <c r="E4047" s="6" t="s">
        <v>5889</v>
      </c>
      <c r="F4047" s="6">
        <v>21</v>
      </c>
      <c r="G4047" s="8">
        <f t="shared" si="63"/>
        <v>158.30310274999999</v>
      </c>
    </row>
    <row r="4048" spans="1:7" x14ac:dyDescent="0.3">
      <c r="A4048" s="14" t="str">
        <f>VLOOKUP(B4048,'Relacion codigos'!$A:$B,2,FALSE)</f>
        <v>5532</v>
      </c>
      <c r="B4048" s="6" t="s">
        <v>5064</v>
      </c>
      <c r="C4048" s="6" t="s">
        <v>665</v>
      </c>
      <c r="D4048" s="24">
        <v>970.835850557914</v>
      </c>
      <c r="E4048" s="6" t="s">
        <v>5889</v>
      </c>
      <c r="F4048" s="6">
        <v>21</v>
      </c>
      <c r="G4048" s="8">
        <f t="shared" si="63"/>
        <v>970.835850557914</v>
      </c>
    </row>
    <row r="4049" spans="1:7" x14ac:dyDescent="0.3">
      <c r="A4049" s="14" t="str">
        <f>VLOOKUP(B4049,'Relacion codigos'!$A:$B,2,FALSE)</f>
        <v>7141</v>
      </c>
      <c r="B4049" s="6" t="s">
        <v>4916</v>
      </c>
      <c r="C4049" s="6" t="s">
        <v>666</v>
      </c>
      <c r="D4049" s="24">
        <v>382.72669500000001</v>
      </c>
      <c r="E4049" s="6" t="s">
        <v>5889</v>
      </c>
      <c r="F4049" s="6">
        <v>21</v>
      </c>
      <c r="G4049" s="8">
        <f t="shared" si="63"/>
        <v>382.72669500000001</v>
      </c>
    </row>
    <row r="4050" spans="1:7" x14ac:dyDescent="0.3">
      <c r="A4050" s="14" t="str">
        <f>VLOOKUP(B4050,'Relacion codigos'!$A:$B,2,FALSE)</f>
        <v>502</v>
      </c>
      <c r="B4050" s="6" t="s">
        <v>4917</v>
      </c>
      <c r="C4050" s="6" t="s">
        <v>667</v>
      </c>
      <c r="D4050" s="24">
        <v>402.09358800000001</v>
      </c>
      <c r="E4050" s="6" t="s">
        <v>5889</v>
      </c>
      <c r="F4050" s="6">
        <v>21</v>
      </c>
      <c r="G4050" s="8">
        <f t="shared" si="63"/>
        <v>402.09358800000001</v>
      </c>
    </row>
    <row r="4051" spans="1:7" x14ac:dyDescent="0.3">
      <c r="A4051" s="14" t="str">
        <f>VLOOKUP(B4051,'Relacion codigos'!$A:$B,2,FALSE)</f>
        <v>505</v>
      </c>
      <c r="B4051" s="6" t="s">
        <v>4918</v>
      </c>
      <c r="C4051" s="6" t="s">
        <v>668</v>
      </c>
      <c r="D4051" s="24">
        <v>382.72669500000001</v>
      </c>
      <c r="E4051" s="6" t="s">
        <v>5889</v>
      </c>
      <c r="F4051" s="6">
        <v>21</v>
      </c>
      <c r="G4051" s="8">
        <f t="shared" si="63"/>
        <v>382.72669500000001</v>
      </c>
    </row>
    <row r="4052" spans="1:7" x14ac:dyDescent="0.3">
      <c r="A4052" s="14" t="e">
        <f>VLOOKUP(B4052,'Relacion codigos'!$A:$B,2,FALSE)</f>
        <v>#N/A</v>
      </c>
      <c r="B4052" s="6" t="s">
        <v>11543</v>
      </c>
      <c r="C4052" s="6" t="s">
        <v>11544</v>
      </c>
      <c r="D4052" s="24">
        <v>1313.6421952304599</v>
      </c>
      <c r="E4052" s="6" t="s">
        <v>5889</v>
      </c>
      <c r="F4052" s="6">
        <v>21</v>
      </c>
      <c r="G4052" s="8">
        <f t="shared" si="63"/>
        <v>1313.6421952304599</v>
      </c>
    </row>
    <row r="4053" spans="1:7" x14ac:dyDescent="0.3">
      <c r="A4053" s="14" t="str">
        <f>VLOOKUP(B4053,'Relacion codigos'!$A:$B,2,FALSE)</f>
        <v>8433</v>
      </c>
      <c r="B4053" s="6" t="s">
        <v>2841</v>
      </c>
      <c r="C4053" s="6" t="s">
        <v>1064</v>
      </c>
      <c r="D4053" s="24">
        <v>0.40339000000000003</v>
      </c>
      <c r="E4053" s="6" t="s">
        <v>5887</v>
      </c>
      <c r="F4053" s="6">
        <v>21</v>
      </c>
      <c r="G4053" s="8">
        <f t="shared" si="63"/>
        <v>627.27145000000007</v>
      </c>
    </row>
    <row r="4054" spans="1:7" x14ac:dyDescent="0.3">
      <c r="A4054" s="14" t="str">
        <f>VLOOKUP(B4054,'Relacion codigos'!$A:$B,2,FALSE)</f>
        <v>6873</v>
      </c>
      <c r="B4054" s="6" t="s">
        <v>4144</v>
      </c>
      <c r="C4054" s="6" t="s">
        <v>12617</v>
      </c>
      <c r="D4054" s="24">
        <v>19083.211347199998</v>
      </c>
      <c r="E4054" s="6" t="s">
        <v>5889</v>
      </c>
      <c r="F4054" s="6">
        <v>21</v>
      </c>
      <c r="G4054" s="8">
        <f t="shared" si="63"/>
        <v>19083.211347199998</v>
      </c>
    </row>
    <row r="4055" spans="1:7" x14ac:dyDescent="0.3">
      <c r="A4055" s="14" t="str">
        <f>VLOOKUP(B4055,'Relacion codigos'!$A:$B,2,FALSE)</f>
        <v>2004</v>
      </c>
      <c r="B4055" s="6" t="s">
        <v>4761</v>
      </c>
      <c r="C4055" s="6" t="s">
        <v>669</v>
      </c>
      <c r="D4055" s="24">
        <v>34.926264475737803</v>
      </c>
      <c r="E4055" s="6" t="s">
        <v>5889</v>
      </c>
      <c r="F4055" s="6">
        <v>21</v>
      </c>
      <c r="G4055" s="8">
        <f t="shared" si="63"/>
        <v>34.926264475737803</v>
      </c>
    </row>
    <row r="4056" spans="1:7" x14ac:dyDescent="0.3">
      <c r="A4056" s="14" t="str">
        <f>VLOOKUP(B4056,'Relacion codigos'!$A:$B,2,FALSE)</f>
        <v>2003</v>
      </c>
      <c r="B4056" s="6" t="s">
        <v>4762</v>
      </c>
      <c r="C4056" s="6" t="s">
        <v>670</v>
      </c>
      <c r="D4056" s="24">
        <v>34.926264475737597</v>
      </c>
      <c r="E4056" s="6" t="s">
        <v>5889</v>
      </c>
      <c r="F4056" s="6">
        <v>21</v>
      </c>
      <c r="G4056" s="8">
        <f t="shared" si="63"/>
        <v>34.926264475737597</v>
      </c>
    </row>
    <row r="4057" spans="1:7" x14ac:dyDescent="0.3">
      <c r="A4057" s="14" t="str">
        <f>VLOOKUP(B4057,'Relacion codigos'!$A:$B,2,FALSE)</f>
        <v>1182</v>
      </c>
      <c r="B4057" s="6" t="s">
        <v>4763</v>
      </c>
      <c r="C4057" s="6" t="s">
        <v>671</v>
      </c>
      <c r="D4057" s="24">
        <v>34.926264475737597</v>
      </c>
      <c r="E4057" s="6" t="s">
        <v>5889</v>
      </c>
      <c r="F4057" s="6">
        <v>21</v>
      </c>
      <c r="G4057" s="8">
        <f t="shared" si="63"/>
        <v>34.926264475737597</v>
      </c>
    </row>
    <row r="4058" spans="1:7" x14ac:dyDescent="0.3">
      <c r="A4058" s="14" t="str">
        <f>VLOOKUP(B4058,'Relacion codigos'!$A:$B,2,FALSE)</f>
        <v>2002</v>
      </c>
      <c r="B4058" s="6" t="s">
        <v>4764</v>
      </c>
      <c r="C4058" s="6" t="s">
        <v>672</v>
      </c>
      <c r="D4058" s="24">
        <v>34.926264475737597</v>
      </c>
      <c r="E4058" s="6" t="s">
        <v>5889</v>
      </c>
      <c r="F4058" s="6">
        <v>21</v>
      </c>
      <c r="G4058" s="8">
        <f t="shared" si="63"/>
        <v>34.926264475737597</v>
      </c>
    </row>
    <row r="4059" spans="1:7" x14ac:dyDescent="0.3">
      <c r="A4059" s="14" t="str">
        <f>VLOOKUP(B4059,'Relacion codigos'!$A:$B,2,FALSE)</f>
        <v>2001</v>
      </c>
      <c r="B4059" s="6" t="s">
        <v>4765</v>
      </c>
      <c r="C4059" s="6" t="s">
        <v>673</v>
      </c>
      <c r="D4059" s="24">
        <v>34.926264475737597</v>
      </c>
      <c r="E4059" s="6" t="s">
        <v>5889</v>
      </c>
      <c r="F4059" s="6">
        <v>21</v>
      </c>
      <c r="G4059" s="8">
        <f t="shared" si="63"/>
        <v>34.926264475737597</v>
      </c>
    </row>
    <row r="4060" spans="1:7" x14ac:dyDescent="0.3">
      <c r="A4060" s="14" t="e">
        <f>VLOOKUP(B4060,'Relacion codigos'!$A:$B,2,FALSE)</f>
        <v>#N/A</v>
      </c>
      <c r="B4060" s="6" t="s">
        <v>8960</v>
      </c>
      <c r="C4060" s="6" t="s">
        <v>8961</v>
      </c>
      <c r="D4060" s="24">
        <v>2894.9611626000001</v>
      </c>
      <c r="E4060" s="6" t="s">
        <v>5889</v>
      </c>
      <c r="F4060" s="6">
        <v>21</v>
      </c>
      <c r="G4060" s="8">
        <f t="shared" si="63"/>
        <v>2894.9611626000001</v>
      </c>
    </row>
    <row r="4061" spans="1:7" x14ac:dyDescent="0.3">
      <c r="A4061" s="14" t="e">
        <f>VLOOKUP(B4061,'Relacion codigos'!$A:$B,2,FALSE)</f>
        <v>#N/A</v>
      </c>
      <c r="B4061" s="6" t="s">
        <v>8962</v>
      </c>
      <c r="C4061" s="6" t="s">
        <v>8963</v>
      </c>
      <c r="D4061" s="24">
        <v>2894.9611626000001</v>
      </c>
      <c r="E4061" s="6" t="s">
        <v>5889</v>
      </c>
      <c r="F4061" s="6">
        <v>21</v>
      </c>
      <c r="G4061" s="8">
        <f t="shared" si="63"/>
        <v>2894.9611626000001</v>
      </c>
    </row>
    <row r="4062" spans="1:7" x14ac:dyDescent="0.3">
      <c r="A4062" s="14" t="str">
        <f>VLOOKUP(B4062,'Relacion codigos'!$A:$B,2,FALSE)</f>
        <v>2005</v>
      </c>
      <c r="B4062" s="6" t="s">
        <v>4785</v>
      </c>
      <c r="C4062" s="6" t="s">
        <v>674</v>
      </c>
      <c r="D4062" s="24">
        <v>279.43867993600003</v>
      </c>
      <c r="E4062" s="6" t="s">
        <v>5889</v>
      </c>
      <c r="F4062" s="6">
        <v>21</v>
      </c>
      <c r="G4062" s="8">
        <f t="shared" si="63"/>
        <v>279.43867993600003</v>
      </c>
    </row>
    <row r="4063" spans="1:7" x14ac:dyDescent="0.3">
      <c r="A4063" s="14" t="str">
        <f>VLOOKUP(B4063,'Relacion codigos'!$A:$B,2,FALSE)</f>
        <v>6842</v>
      </c>
      <c r="B4063" s="6" t="s">
        <v>2640</v>
      </c>
      <c r="C4063" s="6" t="s">
        <v>9804</v>
      </c>
      <c r="D4063" s="24">
        <v>794.95650000000001</v>
      </c>
      <c r="E4063" s="6" t="s">
        <v>5889</v>
      </c>
      <c r="F4063" s="6">
        <v>21</v>
      </c>
      <c r="G4063" s="8">
        <f t="shared" si="63"/>
        <v>794.95650000000001</v>
      </c>
    </row>
    <row r="4064" spans="1:7" x14ac:dyDescent="0.3">
      <c r="A4064" s="14" t="e">
        <f>VLOOKUP(B4064,'Relacion codigos'!$A:$B,2,FALSE)</f>
        <v>#N/A</v>
      </c>
      <c r="B4064" s="6" t="s">
        <v>9805</v>
      </c>
      <c r="C4064" s="6" t="s">
        <v>9806</v>
      </c>
      <c r="D4064" s="24">
        <v>128.91788</v>
      </c>
      <c r="E4064" s="6" t="s">
        <v>5889</v>
      </c>
      <c r="F4064" s="6">
        <v>21</v>
      </c>
      <c r="G4064" s="8">
        <f t="shared" si="63"/>
        <v>128.91788</v>
      </c>
    </row>
    <row r="4065" spans="1:7" x14ac:dyDescent="0.3">
      <c r="A4065" s="14" t="str">
        <f>VLOOKUP(B4065,'Relacion codigos'!$A:$B,2,FALSE)</f>
        <v>193</v>
      </c>
      <c r="B4065" s="6" t="s">
        <v>2641</v>
      </c>
      <c r="C4065" s="6" t="s">
        <v>9807</v>
      </c>
      <c r="D4065" s="24">
        <v>191.59634</v>
      </c>
      <c r="E4065" s="6" t="s">
        <v>5889</v>
      </c>
      <c r="F4065" s="6">
        <v>21</v>
      </c>
      <c r="G4065" s="8">
        <f t="shared" si="63"/>
        <v>191.59634</v>
      </c>
    </row>
    <row r="4066" spans="1:7" x14ac:dyDescent="0.3">
      <c r="A4066" s="14" t="e">
        <f>VLOOKUP(B4066,'Relacion codigos'!$A:$B,2,FALSE)</f>
        <v>#N/A</v>
      </c>
      <c r="B4066" s="6" t="s">
        <v>13189</v>
      </c>
      <c r="C4066" s="6" t="s">
        <v>13190</v>
      </c>
      <c r="D4066" s="24">
        <v>643.74228100000005</v>
      </c>
      <c r="E4066" s="6" t="s">
        <v>5889</v>
      </c>
      <c r="F4066" s="6">
        <v>21</v>
      </c>
      <c r="G4066" s="8">
        <f t="shared" si="63"/>
        <v>643.74228100000005</v>
      </c>
    </row>
    <row r="4067" spans="1:7" x14ac:dyDescent="0.3">
      <c r="A4067" s="14" t="str">
        <f>VLOOKUP(B4067,'Relacion codigos'!$A:$B,2,FALSE)</f>
        <v>8406</v>
      </c>
      <c r="B4067" s="6" t="s">
        <v>2642</v>
      </c>
      <c r="C4067" s="6" t="s">
        <v>9808</v>
      </c>
      <c r="D4067" s="24">
        <v>667.45343447640005</v>
      </c>
      <c r="E4067" s="6" t="s">
        <v>5889</v>
      </c>
      <c r="F4067" s="6">
        <v>21</v>
      </c>
      <c r="G4067" s="8">
        <f t="shared" si="63"/>
        <v>667.45343447640005</v>
      </c>
    </row>
    <row r="4068" spans="1:7" x14ac:dyDescent="0.3">
      <c r="A4068" s="14" t="e">
        <f>VLOOKUP(B4068,'Relacion codigos'!$A:$B,2,FALSE)</f>
        <v>#N/A</v>
      </c>
      <c r="B4068" s="6" t="s">
        <v>13191</v>
      </c>
      <c r="C4068" s="6" t="s">
        <v>13192</v>
      </c>
      <c r="D4068" s="24">
        <v>585.10954449999997</v>
      </c>
      <c r="E4068" s="6" t="s">
        <v>5889</v>
      </c>
      <c r="F4068" s="6">
        <v>21</v>
      </c>
      <c r="G4068" s="8">
        <f t="shared" si="63"/>
        <v>585.10954449999997</v>
      </c>
    </row>
    <row r="4069" spans="1:7" x14ac:dyDescent="0.3">
      <c r="A4069" s="14" t="e">
        <f>VLOOKUP(B4069,'Relacion codigos'!$A:$B,2,FALSE)</f>
        <v>#N/A</v>
      </c>
      <c r="B4069" s="6" t="s">
        <v>9824</v>
      </c>
      <c r="C4069" s="6" t="s">
        <v>9825</v>
      </c>
      <c r="D4069" s="24">
        <v>443.6082386658</v>
      </c>
      <c r="E4069" s="6" t="s">
        <v>5889</v>
      </c>
      <c r="F4069" s="6">
        <v>21</v>
      </c>
      <c r="G4069" s="8">
        <f t="shared" si="63"/>
        <v>443.6082386658</v>
      </c>
    </row>
    <row r="4070" spans="1:7" x14ac:dyDescent="0.3">
      <c r="A4070" s="14" t="str">
        <f>VLOOKUP(B4070,'Relacion codigos'!$A:$B,2,FALSE)</f>
        <v>8403</v>
      </c>
      <c r="B4070" s="6" t="s">
        <v>2643</v>
      </c>
      <c r="C4070" s="6" t="s">
        <v>9809</v>
      </c>
      <c r="D4070" s="24">
        <v>339.01092454320002</v>
      </c>
      <c r="E4070" s="6" t="s">
        <v>5889</v>
      </c>
      <c r="F4070" s="6">
        <v>21</v>
      </c>
      <c r="G4070" s="8">
        <f t="shared" si="63"/>
        <v>339.01092454320002</v>
      </c>
    </row>
    <row r="4071" spans="1:7" x14ac:dyDescent="0.3">
      <c r="A4071" s="14" t="e">
        <f>VLOOKUP(B4071,'Relacion codigos'!$A:$B,2,FALSE)</f>
        <v>#N/A</v>
      </c>
      <c r="B4071" s="6" t="s">
        <v>13193</v>
      </c>
      <c r="C4071" s="6" t="s">
        <v>13194</v>
      </c>
      <c r="D4071" s="24">
        <v>554.56944399999998</v>
      </c>
      <c r="E4071" s="6" t="s">
        <v>5889</v>
      </c>
      <c r="F4071" s="6">
        <v>21</v>
      </c>
      <c r="G4071" s="8">
        <f t="shared" si="63"/>
        <v>554.56944399999998</v>
      </c>
    </row>
    <row r="4072" spans="1:7" x14ac:dyDescent="0.3">
      <c r="A4072" s="14" t="str">
        <f>VLOOKUP(B4072,'Relacion codigos'!$A:$B,2,FALSE)</f>
        <v>191</v>
      </c>
      <c r="B4072" s="6" t="s">
        <v>2644</v>
      </c>
      <c r="C4072" s="6" t="s">
        <v>9810</v>
      </c>
      <c r="D4072" s="24">
        <v>96.591040000000007</v>
      </c>
      <c r="E4072" s="6" t="s">
        <v>5889</v>
      </c>
      <c r="F4072" s="6">
        <v>21</v>
      </c>
      <c r="G4072" s="8">
        <f t="shared" si="63"/>
        <v>96.591040000000007</v>
      </c>
    </row>
    <row r="4073" spans="1:7" x14ac:dyDescent="0.3">
      <c r="A4073" s="14" t="str">
        <f>VLOOKUP(B4073,'Relacion codigos'!$A:$B,2,FALSE)</f>
        <v>8404</v>
      </c>
      <c r="B4073" s="6" t="s">
        <v>2645</v>
      </c>
      <c r="C4073" s="6" t="s">
        <v>9811</v>
      </c>
      <c r="D4073" s="24">
        <v>339.01092454320002</v>
      </c>
      <c r="E4073" s="6" t="s">
        <v>5889</v>
      </c>
      <c r="F4073" s="6">
        <v>21</v>
      </c>
      <c r="G4073" s="8">
        <f t="shared" si="63"/>
        <v>339.01092454320002</v>
      </c>
    </row>
    <row r="4074" spans="1:7" x14ac:dyDescent="0.3">
      <c r="A4074" s="14" t="e">
        <f>VLOOKUP(B4074,'Relacion codigos'!$A:$B,2,FALSE)</f>
        <v>#N/A</v>
      </c>
      <c r="B4074" s="6" t="s">
        <v>13195</v>
      </c>
      <c r="C4074" s="6" t="s">
        <v>13196</v>
      </c>
      <c r="D4074" s="24">
        <v>643.74228100000005</v>
      </c>
      <c r="E4074" s="6" t="s">
        <v>5889</v>
      </c>
      <c r="F4074" s="6">
        <v>21</v>
      </c>
      <c r="G4074" s="8">
        <f t="shared" si="63"/>
        <v>643.74228100000005</v>
      </c>
    </row>
    <row r="4075" spans="1:7" x14ac:dyDescent="0.3">
      <c r="A4075" s="14" t="str">
        <f>VLOOKUP(B4075,'Relacion codigos'!$A:$B,2,FALSE)</f>
        <v>192</v>
      </c>
      <c r="B4075" s="6" t="s">
        <v>2646</v>
      </c>
      <c r="C4075" s="6" t="s">
        <v>9812</v>
      </c>
      <c r="D4075" s="24">
        <v>182.13754</v>
      </c>
      <c r="E4075" s="6" t="s">
        <v>5889</v>
      </c>
      <c r="F4075" s="6">
        <v>21</v>
      </c>
      <c r="G4075" s="8">
        <f t="shared" si="63"/>
        <v>182.13754</v>
      </c>
    </row>
    <row r="4076" spans="1:7" x14ac:dyDescent="0.3">
      <c r="A4076" s="14" t="str">
        <f>VLOOKUP(B4076,'Relacion codigos'!$A:$B,2,FALSE)</f>
        <v>8405</v>
      </c>
      <c r="B4076" s="6" t="s">
        <v>2647</v>
      </c>
      <c r="C4076" s="6" t="s">
        <v>9813</v>
      </c>
      <c r="D4076" s="24">
        <v>522.66913133759999</v>
      </c>
      <c r="E4076" s="6" t="s">
        <v>5889</v>
      </c>
      <c r="F4076" s="6">
        <v>21</v>
      </c>
      <c r="G4076" s="8">
        <f t="shared" si="63"/>
        <v>522.66913133759999</v>
      </c>
    </row>
    <row r="4077" spans="1:7" x14ac:dyDescent="0.3">
      <c r="A4077" s="14" t="e">
        <f>VLOOKUP(B4077,'Relacion codigos'!$A:$B,2,FALSE)</f>
        <v>#N/A</v>
      </c>
      <c r="B4077" s="6" t="s">
        <v>13197</v>
      </c>
      <c r="C4077" s="6" t="s">
        <v>13198</v>
      </c>
      <c r="D4077" s="24">
        <v>585.10954449999997</v>
      </c>
      <c r="E4077" s="6" t="s">
        <v>5889</v>
      </c>
      <c r="F4077" s="6">
        <v>21</v>
      </c>
      <c r="G4077" s="8">
        <f t="shared" si="63"/>
        <v>585.10954449999997</v>
      </c>
    </row>
    <row r="4078" spans="1:7" x14ac:dyDescent="0.3">
      <c r="A4078" s="14" t="str">
        <f>VLOOKUP(B4078,'Relacion codigos'!$A:$B,2,FALSE)</f>
        <v>5368</v>
      </c>
      <c r="B4078" s="6" t="s">
        <v>4915</v>
      </c>
      <c r="C4078" s="6" t="s">
        <v>9814</v>
      </c>
      <c r="D4078" s="24">
        <v>140.3519</v>
      </c>
      <c r="E4078" s="6" t="s">
        <v>5889</v>
      </c>
      <c r="F4078" s="6">
        <v>21</v>
      </c>
      <c r="G4078" s="8">
        <f t="shared" si="63"/>
        <v>140.3519</v>
      </c>
    </row>
    <row r="4079" spans="1:7" x14ac:dyDescent="0.3">
      <c r="A4079" s="14" t="str">
        <f>VLOOKUP(B4079,'Relacion codigos'!$A:$B,2,FALSE)</f>
        <v>8407</v>
      </c>
      <c r="B4079" s="6" t="s">
        <v>2649</v>
      </c>
      <c r="C4079" s="6" t="s">
        <v>9815</v>
      </c>
      <c r="D4079" s="24">
        <v>339.01092454320002</v>
      </c>
      <c r="E4079" s="6" t="s">
        <v>5889</v>
      </c>
      <c r="F4079" s="6">
        <v>21</v>
      </c>
      <c r="G4079" s="8">
        <f t="shared" si="63"/>
        <v>339.01092454320002</v>
      </c>
    </row>
    <row r="4080" spans="1:7" x14ac:dyDescent="0.3">
      <c r="A4080" s="14" t="str">
        <f>VLOOKUP(B4080,'Relacion codigos'!$A:$B,2,FALSE)</f>
        <v>3136</v>
      </c>
      <c r="B4080" s="6" t="s">
        <v>4786</v>
      </c>
      <c r="C4080" s="6" t="s">
        <v>10553</v>
      </c>
      <c r="D4080" s="24">
        <v>2065.8205715712302</v>
      </c>
      <c r="E4080" s="6" t="s">
        <v>5889</v>
      </c>
      <c r="F4080" s="6">
        <v>21</v>
      </c>
      <c r="G4080" s="8">
        <f t="shared" si="63"/>
        <v>2065.8205715712302</v>
      </c>
    </row>
    <row r="4081" spans="1:7" x14ac:dyDescent="0.3">
      <c r="A4081" s="14" t="str">
        <f>VLOOKUP(B4081,'Relacion codigos'!$A:$B,2,FALSE)</f>
        <v>3137</v>
      </c>
      <c r="B4081" s="6" t="s">
        <v>4787</v>
      </c>
      <c r="C4081" s="6" t="s">
        <v>10554</v>
      </c>
      <c r="D4081" s="24">
        <v>2740.9246390272701</v>
      </c>
      <c r="E4081" s="6" t="s">
        <v>5889</v>
      </c>
      <c r="F4081" s="6">
        <v>21</v>
      </c>
      <c r="G4081" s="8">
        <f t="shared" si="63"/>
        <v>2740.9246390272701</v>
      </c>
    </row>
    <row r="4082" spans="1:7" x14ac:dyDescent="0.3">
      <c r="A4082" s="14" t="str">
        <f>VLOOKUP(B4082,'Relacion codigos'!$A:$B,2,FALSE)</f>
        <v>1177</v>
      </c>
      <c r="B4082" s="6" t="s">
        <v>4788</v>
      </c>
      <c r="C4082" s="6" t="s">
        <v>10555</v>
      </c>
      <c r="D4082" s="24">
        <v>319.005218688002</v>
      </c>
      <c r="E4082" s="6" t="s">
        <v>5889</v>
      </c>
      <c r="F4082" s="6">
        <v>21</v>
      </c>
      <c r="G4082" s="8">
        <f t="shared" si="63"/>
        <v>319.005218688002</v>
      </c>
    </row>
    <row r="4083" spans="1:7" x14ac:dyDescent="0.3">
      <c r="A4083" s="14" t="str">
        <f>VLOOKUP(B4083,'Relacion codigos'!$A:$B,2,FALSE)</f>
        <v>1178</v>
      </c>
      <c r="B4083" s="6" t="s">
        <v>4789</v>
      </c>
      <c r="C4083" s="6" t="s">
        <v>10556</v>
      </c>
      <c r="D4083" s="24">
        <v>319.005218688002</v>
      </c>
      <c r="E4083" s="6" t="s">
        <v>5889</v>
      </c>
      <c r="F4083" s="6">
        <v>21</v>
      </c>
      <c r="G4083" s="8">
        <f t="shared" si="63"/>
        <v>319.005218688002</v>
      </c>
    </row>
    <row r="4084" spans="1:7" x14ac:dyDescent="0.3">
      <c r="A4084" s="14" t="str">
        <f>VLOOKUP(B4084,'Relacion codigos'!$A:$B,2,FALSE)</f>
        <v>3135</v>
      </c>
      <c r="B4084" s="6" t="s">
        <v>4790</v>
      </c>
      <c r="C4084" s="6" t="s">
        <v>10557</v>
      </c>
      <c r="D4084" s="24">
        <v>1904.83035310425</v>
      </c>
      <c r="E4084" s="6" t="s">
        <v>5889</v>
      </c>
      <c r="F4084" s="6">
        <v>21</v>
      </c>
      <c r="G4084" s="8">
        <f t="shared" si="63"/>
        <v>1904.83035310425</v>
      </c>
    </row>
    <row r="4085" spans="1:7" x14ac:dyDescent="0.3">
      <c r="A4085" s="14" t="str">
        <f>VLOOKUP(B4085,'Relacion codigos'!$A:$B,2,FALSE)</f>
        <v>6516</v>
      </c>
      <c r="B4085" s="6" t="s">
        <v>4791</v>
      </c>
      <c r="C4085" s="6" t="s">
        <v>10558</v>
      </c>
      <c r="D4085" s="24">
        <v>2740.9246390272701</v>
      </c>
      <c r="E4085" s="6" t="s">
        <v>5889</v>
      </c>
      <c r="F4085" s="6">
        <v>21</v>
      </c>
      <c r="G4085" s="8">
        <f t="shared" si="63"/>
        <v>2740.9246390272701</v>
      </c>
    </row>
    <row r="4086" spans="1:7" x14ac:dyDescent="0.3">
      <c r="A4086" s="14" t="str">
        <f>VLOOKUP(B4086,'Relacion codigos'!$A:$B,2,FALSE)</f>
        <v>1179</v>
      </c>
      <c r="B4086" s="6" t="s">
        <v>4792</v>
      </c>
      <c r="C4086" s="6" t="s">
        <v>10559</v>
      </c>
      <c r="D4086" s="24">
        <v>1904.83035310425</v>
      </c>
      <c r="E4086" s="6" t="s">
        <v>5889</v>
      </c>
      <c r="F4086" s="6">
        <v>21</v>
      </c>
      <c r="G4086" s="8">
        <f t="shared" si="63"/>
        <v>1904.83035310425</v>
      </c>
    </row>
    <row r="4087" spans="1:7" x14ac:dyDescent="0.3">
      <c r="A4087" s="14" t="str">
        <f>VLOOKUP(B4087,'Relacion codigos'!$A:$B,2,FALSE)</f>
        <v>1186</v>
      </c>
      <c r="B4087" s="6" t="s">
        <v>4782</v>
      </c>
      <c r="C4087" s="6" t="s">
        <v>11264</v>
      </c>
      <c r="D4087" s="24">
        <v>309.113584</v>
      </c>
      <c r="E4087" s="6" t="s">
        <v>5889</v>
      </c>
      <c r="F4087" s="6">
        <v>21</v>
      </c>
      <c r="G4087" s="8">
        <f t="shared" si="63"/>
        <v>309.113584</v>
      </c>
    </row>
    <row r="4088" spans="1:7" x14ac:dyDescent="0.3">
      <c r="A4088" s="14" t="str">
        <f>VLOOKUP(B4088,'Relacion codigos'!$A:$B,2,FALSE)</f>
        <v>2617</v>
      </c>
      <c r="B4088" s="6" t="s">
        <v>2449</v>
      </c>
      <c r="C4088" s="6" t="s">
        <v>675</v>
      </c>
      <c r="D4088" s="24">
        <v>2700.4755765</v>
      </c>
      <c r="E4088" s="6" t="s">
        <v>5889</v>
      </c>
      <c r="F4088" s="6">
        <v>21</v>
      </c>
      <c r="G4088" s="8">
        <f t="shared" si="63"/>
        <v>2700.4755765</v>
      </c>
    </row>
    <row r="4089" spans="1:7" x14ac:dyDescent="0.3">
      <c r="A4089" s="14" t="str">
        <f>VLOOKUP(B4089,'Relacion codigos'!$A:$B,2,FALSE)</f>
        <v>2618</v>
      </c>
      <c r="B4089" s="6" t="s">
        <v>2450</v>
      </c>
      <c r="C4089" s="6" t="s">
        <v>676</v>
      </c>
      <c r="D4089" s="24">
        <v>3475.5060014999999</v>
      </c>
      <c r="E4089" s="6" t="s">
        <v>5889</v>
      </c>
      <c r="F4089" s="6">
        <v>21</v>
      </c>
      <c r="G4089" s="8">
        <f t="shared" si="63"/>
        <v>3475.5060014999999</v>
      </c>
    </row>
    <row r="4090" spans="1:7" x14ac:dyDescent="0.3">
      <c r="A4090" s="14" t="str">
        <f>VLOOKUP(B4090,'Relacion codigos'!$A:$B,2,FALSE)</f>
        <v>2619</v>
      </c>
      <c r="B4090" s="6" t="s">
        <v>2451</v>
      </c>
      <c r="C4090" s="6" t="s">
        <v>677</v>
      </c>
      <c r="D4090" s="24">
        <v>4179.7727789999999</v>
      </c>
      <c r="E4090" s="6" t="s">
        <v>5889</v>
      </c>
      <c r="F4090" s="6">
        <v>21</v>
      </c>
      <c r="G4090" s="8">
        <f t="shared" si="63"/>
        <v>4179.7727789999999</v>
      </c>
    </row>
    <row r="4091" spans="1:7" x14ac:dyDescent="0.3">
      <c r="A4091" s="14" t="str">
        <f>VLOOKUP(B4091,'Relacion codigos'!$A:$B,2,FALSE)</f>
        <v>2620</v>
      </c>
      <c r="B4091" s="6" t="s">
        <v>2452</v>
      </c>
      <c r="C4091" s="6" t="s">
        <v>678</v>
      </c>
      <c r="D4091" s="24">
        <v>5124.6359579999998</v>
      </c>
      <c r="E4091" s="6" t="s">
        <v>5889</v>
      </c>
      <c r="F4091" s="6">
        <v>21</v>
      </c>
      <c r="G4091" s="8">
        <f t="shared" si="63"/>
        <v>5124.6359579999998</v>
      </c>
    </row>
    <row r="4092" spans="1:7" x14ac:dyDescent="0.3">
      <c r="A4092" s="14" t="str">
        <f>VLOOKUP(B4092,'Relacion codigos'!$A:$B,2,FALSE)</f>
        <v>2616</v>
      </c>
      <c r="B4092" s="6" t="s">
        <v>2453</v>
      </c>
      <c r="C4092" s="6" t="s">
        <v>679</v>
      </c>
      <c r="D4092" s="24">
        <v>2257.0233855000001</v>
      </c>
      <c r="E4092" s="6" t="s">
        <v>5889</v>
      </c>
      <c r="F4092" s="6">
        <v>21</v>
      </c>
      <c r="G4092" s="8">
        <f t="shared" si="63"/>
        <v>2257.0233855000001</v>
      </c>
    </row>
    <row r="4093" spans="1:7" x14ac:dyDescent="0.3">
      <c r="A4093" s="14" t="str">
        <f>VLOOKUP(B4093,'Relacion codigos'!$A:$B,2,FALSE)</f>
        <v>2622</v>
      </c>
      <c r="B4093" s="6" t="s">
        <v>2454</v>
      </c>
      <c r="C4093" s="6" t="s">
        <v>680</v>
      </c>
      <c r="D4093" s="24">
        <v>2700.4755765</v>
      </c>
      <c r="E4093" s="6" t="s">
        <v>5889</v>
      </c>
      <c r="F4093" s="6">
        <v>21</v>
      </c>
      <c r="G4093" s="8">
        <f t="shared" si="63"/>
        <v>2700.4755765</v>
      </c>
    </row>
    <row r="4094" spans="1:7" x14ac:dyDescent="0.3">
      <c r="A4094" s="14" t="str">
        <f>VLOOKUP(B4094,'Relacion codigos'!$A:$B,2,FALSE)</f>
        <v>2623</v>
      </c>
      <c r="B4094" s="6" t="s">
        <v>2455</v>
      </c>
      <c r="C4094" s="6" t="s">
        <v>681</v>
      </c>
      <c r="D4094" s="24">
        <v>3309.7168845000001</v>
      </c>
      <c r="E4094" s="6" t="s">
        <v>5889</v>
      </c>
      <c r="F4094" s="6">
        <v>21</v>
      </c>
      <c r="G4094" s="8">
        <f t="shared" si="63"/>
        <v>3309.7168845000001</v>
      </c>
    </row>
    <row r="4095" spans="1:7" x14ac:dyDescent="0.3">
      <c r="A4095" s="14" t="str">
        <f>VLOOKUP(B4095,'Relacion codigos'!$A:$B,2,FALSE)</f>
        <v>2624</v>
      </c>
      <c r="B4095" s="6" t="s">
        <v>2456</v>
      </c>
      <c r="C4095" s="6" t="s">
        <v>682</v>
      </c>
      <c r="D4095" s="24">
        <v>4018.0272989999999</v>
      </c>
      <c r="E4095" s="6" t="s">
        <v>5889</v>
      </c>
      <c r="F4095" s="6">
        <v>21</v>
      </c>
      <c r="G4095" s="8">
        <f t="shared" si="63"/>
        <v>4018.0272989999999</v>
      </c>
    </row>
    <row r="4096" spans="1:7" x14ac:dyDescent="0.3">
      <c r="A4096" s="14" t="str">
        <f>VLOOKUP(B4096,'Relacion codigos'!$A:$B,2,FALSE)</f>
        <v>2625</v>
      </c>
      <c r="B4096" s="6" t="s">
        <v>2457</v>
      </c>
      <c r="C4096" s="6" t="s">
        <v>683</v>
      </c>
      <c r="D4096" s="24">
        <v>5523.608142</v>
      </c>
      <c r="E4096" s="6" t="s">
        <v>5889</v>
      </c>
      <c r="F4096" s="6">
        <v>21</v>
      </c>
      <c r="G4096" s="8">
        <f t="shared" si="63"/>
        <v>5523.608142</v>
      </c>
    </row>
    <row r="4097" spans="1:7" x14ac:dyDescent="0.3">
      <c r="A4097" s="14" t="str">
        <f>VLOOKUP(B4097,'Relacion codigos'!$A:$B,2,FALSE)</f>
        <v>2621</v>
      </c>
      <c r="B4097" s="6" t="s">
        <v>2458</v>
      </c>
      <c r="C4097" s="6" t="s">
        <v>684</v>
      </c>
      <c r="D4097" s="24">
        <v>2218.6088340000001</v>
      </c>
      <c r="E4097" s="6" t="s">
        <v>5889</v>
      </c>
      <c r="F4097" s="6">
        <v>21</v>
      </c>
      <c r="G4097" s="8">
        <f t="shared" si="63"/>
        <v>2218.6088340000001</v>
      </c>
    </row>
    <row r="4098" spans="1:7" x14ac:dyDescent="0.3">
      <c r="A4098" s="14" t="str">
        <f>VLOOKUP(B4098,'Relacion codigos'!$A:$B,2,FALSE)</f>
        <v>5149</v>
      </c>
      <c r="B4098" s="6" t="s">
        <v>5065</v>
      </c>
      <c r="C4098" s="6" t="s">
        <v>9126</v>
      </c>
      <c r="D4098" s="24">
        <v>970.835850557914</v>
      </c>
      <c r="E4098" s="6" t="s">
        <v>5889</v>
      </c>
      <c r="F4098" s="6">
        <v>21</v>
      </c>
      <c r="G4098" s="8">
        <f t="shared" ref="G4098:G4161" si="64">IF(E4098="Dolares",D4098*$G$1,D4098)</f>
        <v>970.835850557914</v>
      </c>
    </row>
    <row r="4099" spans="1:7" x14ac:dyDescent="0.3">
      <c r="A4099" s="14" t="str">
        <f>VLOOKUP(B4099,'Relacion codigos'!$A:$B,2,FALSE)</f>
        <v>7328</v>
      </c>
      <c r="B4099" s="6" t="s">
        <v>5067</v>
      </c>
      <c r="C4099" s="6" t="s">
        <v>9128</v>
      </c>
      <c r="D4099" s="24">
        <v>970.835850557914</v>
      </c>
      <c r="E4099" s="6" t="s">
        <v>5889</v>
      </c>
      <c r="F4099" s="6">
        <v>21</v>
      </c>
      <c r="G4099" s="8">
        <f t="shared" si="64"/>
        <v>970.835850557914</v>
      </c>
    </row>
    <row r="4100" spans="1:7" x14ac:dyDescent="0.3">
      <c r="A4100" s="14" t="str">
        <f>VLOOKUP(B4100,'Relacion codigos'!$A:$B,2,FALSE)</f>
        <v>5150</v>
      </c>
      <c r="B4100" s="6" t="s">
        <v>5066</v>
      </c>
      <c r="C4100" s="6" t="s">
        <v>13734</v>
      </c>
      <c r="D4100" s="24">
        <v>970.835850557914</v>
      </c>
      <c r="E4100" s="6" t="s">
        <v>5889</v>
      </c>
      <c r="F4100" s="6">
        <v>21</v>
      </c>
      <c r="G4100" s="8">
        <f t="shared" si="64"/>
        <v>970.835850557914</v>
      </c>
    </row>
    <row r="4101" spans="1:7" x14ac:dyDescent="0.3">
      <c r="A4101" s="14" t="str">
        <f>VLOOKUP(B4101,'Relacion codigos'!$A:$B,2,FALSE)</f>
        <v>5154</v>
      </c>
      <c r="B4101" s="6" t="s">
        <v>5068</v>
      </c>
      <c r="C4101" s="6" t="s">
        <v>9129</v>
      </c>
      <c r="D4101" s="24">
        <v>3394.0769377312699</v>
      </c>
      <c r="E4101" s="6" t="s">
        <v>5889</v>
      </c>
      <c r="F4101" s="6">
        <v>21</v>
      </c>
      <c r="G4101" s="8">
        <f t="shared" si="64"/>
        <v>3394.0769377312699</v>
      </c>
    </row>
    <row r="4102" spans="1:7" x14ac:dyDescent="0.3">
      <c r="A4102" s="14" t="str">
        <f>VLOOKUP(B4102,'Relacion codigos'!$A:$B,2,FALSE)</f>
        <v>6832</v>
      </c>
      <c r="B4102" s="6" t="s">
        <v>5069</v>
      </c>
      <c r="C4102" s="6" t="s">
        <v>9130</v>
      </c>
      <c r="D4102" s="24">
        <v>3394.0769377312699</v>
      </c>
      <c r="E4102" s="6" t="s">
        <v>5889</v>
      </c>
      <c r="F4102" s="6">
        <v>21</v>
      </c>
      <c r="G4102" s="8">
        <f t="shared" si="64"/>
        <v>3394.0769377312699</v>
      </c>
    </row>
    <row r="4103" spans="1:7" x14ac:dyDescent="0.3">
      <c r="A4103" s="14" t="str">
        <f>VLOOKUP(B4103,'Relacion codigos'!$A:$B,2,FALSE)</f>
        <v>5226</v>
      </c>
      <c r="B4103" s="6" t="s">
        <v>5070</v>
      </c>
      <c r="C4103" s="6" t="s">
        <v>9131</v>
      </c>
      <c r="D4103" s="24">
        <v>3394.0769377312699</v>
      </c>
      <c r="E4103" s="6" t="s">
        <v>5889</v>
      </c>
      <c r="F4103" s="6">
        <v>21</v>
      </c>
      <c r="G4103" s="8">
        <f t="shared" si="64"/>
        <v>3394.0769377312699</v>
      </c>
    </row>
    <row r="4104" spans="1:7" x14ac:dyDescent="0.3">
      <c r="A4104" s="14" t="str">
        <f>VLOOKUP(B4104,'Relacion codigos'!$A:$B,2,FALSE)</f>
        <v>6835</v>
      </c>
      <c r="B4104" s="6" t="s">
        <v>5080</v>
      </c>
      <c r="C4104" s="6" t="s">
        <v>9141</v>
      </c>
      <c r="D4104" s="24">
        <v>3394.0769377312699</v>
      </c>
      <c r="E4104" s="6" t="s">
        <v>5889</v>
      </c>
      <c r="F4104" s="6">
        <v>21</v>
      </c>
      <c r="G4104" s="8">
        <f t="shared" si="64"/>
        <v>3394.0769377312699</v>
      </c>
    </row>
    <row r="4105" spans="1:7" x14ac:dyDescent="0.3">
      <c r="A4105" s="14" t="str">
        <f>VLOOKUP(B4105,'Relacion codigos'!$A:$B,2,FALSE)</f>
        <v>6833</v>
      </c>
      <c r="B4105" s="6" t="s">
        <v>5071</v>
      </c>
      <c r="C4105" s="6" t="s">
        <v>9132</v>
      </c>
      <c r="D4105" s="24">
        <v>3394.0769377312699</v>
      </c>
      <c r="E4105" s="6" t="s">
        <v>5889</v>
      </c>
      <c r="F4105" s="6">
        <v>21</v>
      </c>
      <c r="G4105" s="8">
        <f t="shared" si="64"/>
        <v>3394.0769377312699</v>
      </c>
    </row>
    <row r="4106" spans="1:7" x14ac:dyDescent="0.3">
      <c r="A4106" s="14" t="str">
        <f>VLOOKUP(B4106,'Relacion codigos'!$A:$B,2,FALSE)</f>
        <v>6834</v>
      </c>
      <c r="B4106" s="6" t="s">
        <v>5072</v>
      </c>
      <c r="C4106" s="6" t="s">
        <v>9133</v>
      </c>
      <c r="D4106" s="24">
        <v>3394.0769377312699</v>
      </c>
      <c r="E4106" s="6" t="s">
        <v>5889</v>
      </c>
      <c r="F4106" s="6">
        <v>21</v>
      </c>
      <c r="G4106" s="8">
        <f t="shared" si="64"/>
        <v>3394.0769377312699</v>
      </c>
    </row>
    <row r="4107" spans="1:7" x14ac:dyDescent="0.3">
      <c r="A4107" s="14" t="str">
        <f>VLOOKUP(B4107,'Relacion codigos'!$A:$B,2,FALSE)</f>
        <v>6836</v>
      </c>
      <c r="B4107" s="6" t="s">
        <v>5073</v>
      </c>
      <c r="C4107" s="6" t="s">
        <v>9134</v>
      </c>
      <c r="D4107" s="24">
        <v>3394.0769377312699</v>
      </c>
      <c r="E4107" s="6" t="s">
        <v>5889</v>
      </c>
      <c r="F4107" s="6">
        <v>21</v>
      </c>
      <c r="G4107" s="8">
        <f t="shared" si="64"/>
        <v>3394.0769377312699</v>
      </c>
    </row>
    <row r="4108" spans="1:7" x14ac:dyDescent="0.3">
      <c r="A4108" s="14" t="str">
        <f>VLOOKUP(B4108,'Relacion codigos'!$A:$B,2,FALSE)</f>
        <v>5153</v>
      </c>
      <c r="B4108" s="6" t="s">
        <v>5074</v>
      </c>
      <c r="C4108" s="6" t="s">
        <v>9135</v>
      </c>
      <c r="D4108" s="24">
        <v>3394.0769377312699</v>
      </c>
      <c r="E4108" s="6" t="s">
        <v>5889</v>
      </c>
      <c r="F4108" s="6">
        <v>21</v>
      </c>
      <c r="G4108" s="8">
        <f t="shared" si="64"/>
        <v>3394.0769377312699</v>
      </c>
    </row>
    <row r="4109" spans="1:7" x14ac:dyDescent="0.3">
      <c r="A4109" s="14" t="str">
        <f>VLOOKUP(B4109,'Relacion codigos'!$A:$B,2,FALSE)</f>
        <v>5152</v>
      </c>
      <c r="B4109" s="6" t="s">
        <v>5075</v>
      </c>
      <c r="C4109" s="6" t="s">
        <v>9136</v>
      </c>
      <c r="D4109" s="24">
        <v>3768.0022634454299</v>
      </c>
      <c r="E4109" s="6" t="s">
        <v>5889</v>
      </c>
      <c r="F4109" s="6">
        <v>21</v>
      </c>
      <c r="G4109" s="8">
        <f t="shared" si="64"/>
        <v>3768.0022634454299</v>
      </c>
    </row>
    <row r="4110" spans="1:7" x14ac:dyDescent="0.3">
      <c r="A4110" s="14" t="str">
        <f>VLOOKUP(B4110,'Relacion codigos'!$A:$B,2,FALSE)</f>
        <v>5151</v>
      </c>
      <c r="B4110" s="6" t="s">
        <v>5076</v>
      </c>
      <c r="C4110" s="6" t="s">
        <v>9137</v>
      </c>
      <c r="D4110" s="24">
        <v>3768.0022634454299</v>
      </c>
      <c r="E4110" s="6" t="s">
        <v>5889</v>
      </c>
      <c r="F4110" s="6">
        <v>21</v>
      </c>
      <c r="G4110" s="8">
        <f t="shared" si="64"/>
        <v>3768.0022634454299</v>
      </c>
    </row>
    <row r="4111" spans="1:7" x14ac:dyDescent="0.3">
      <c r="A4111" s="14" t="str">
        <f>VLOOKUP(B4111,'Relacion codigos'!$A:$B,2,FALSE)</f>
        <v>5336</v>
      </c>
      <c r="B4111" s="6" t="s">
        <v>5077</v>
      </c>
      <c r="C4111" s="6" t="s">
        <v>9138</v>
      </c>
      <c r="D4111" s="24">
        <v>3768.0022634454299</v>
      </c>
      <c r="E4111" s="6" t="s">
        <v>5889</v>
      </c>
      <c r="F4111" s="6">
        <v>21</v>
      </c>
      <c r="G4111" s="8">
        <f t="shared" si="64"/>
        <v>3768.0022634454299</v>
      </c>
    </row>
    <row r="4112" spans="1:7" x14ac:dyDescent="0.3">
      <c r="A4112" s="14" t="str">
        <f>VLOOKUP(B4112,'Relacion codigos'!$A:$B,2,FALSE)</f>
        <v>5134</v>
      </c>
      <c r="B4112" s="6" t="s">
        <v>5078</v>
      </c>
      <c r="C4112" s="6" t="s">
        <v>9139</v>
      </c>
      <c r="D4112" s="24">
        <v>3768.0022634454299</v>
      </c>
      <c r="E4112" s="6" t="s">
        <v>5889</v>
      </c>
      <c r="F4112" s="6">
        <v>21</v>
      </c>
      <c r="G4112" s="8">
        <f t="shared" si="64"/>
        <v>3768.0022634454299</v>
      </c>
    </row>
    <row r="4113" spans="1:7" x14ac:dyDescent="0.3">
      <c r="A4113" s="14" t="str">
        <f>VLOOKUP(B4113,'Relacion codigos'!$A:$B,2,FALSE)</f>
        <v>8981</v>
      </c>
      <c r="B4113" s="6" t="s">
        <v>5079</v>
      </c>
      <c r="C4113" s="6" t="s">
        <v>9140</v>
      </c>
      <c r="D4113" s="24">
        <v>6100.9543197265002</v>
      </c>
      <c r="E4113" s="6" t="s">
        <v>5889</v>
      </c>
      <c r="F4113" s="6">
        <v>21</v>
      </c>
      <c r="G4113" s="8">
        <f t="shared" si="64"/>
        <v>6100.9543197265002</v>
      </c>
    </row>
    <row r="4114" spans="1:7" x14ac:dyDescent="0.3">
      <c r="A4114" s="14" t="str">
        <f>VLOOKUP(B4114,'Relacion codigos'!$A:$B,2,FALSE)</f>
        <v>9238</v>
      </c>
      <c r="B4114" s="6" t="s">
        <v>3390</v>
      </c>
      <c r="C4114" s="6" t="s">
        <v>1290</v>
      </c>
      <c r="D4114" s="24">
        <v>7973.64</v>
      </c>
      <c r="E4114" s="6" t="s">
        <v>5889</v>
      </c>
      <c r="F4114" s="6">
        <v>21</v>
      </c>
      <c r="G4114" s="8">
        <f t="shared" si="64"/>
        <v>7973.64</v>
      </c>
    </row>
    <row r="4115" spans="1:7" x14ac:dyDescent="0.3">
      <c r="A4115" s="14" t="e">
        <f>VLOOKUP(B4115,'Relacion codigos'!$A:$B,2,FALSE)</f>
        <v>#N/A</v>
      </c>
      <c r="B4115" s="6" t="s">
        <v>11966</v>
      </c>
      <c r="C4115" s="6" t="s">
        <v>11967</v>
      </c>
      <c r="D4115" s="24">
        <v>449.51269106249998</v>
      </c>
      <c r="E4115" s="6" t="s">
        <v>5889</v>
      </c>
      <c r="F4115" s="6">
        <v>21</v>
      </c>
      <c r="G4115" s="8">
        <f t="shared" si="64"/>
        <v>449.51269106249998</v>
      </c>
    </row>
    <row r="4116" spans="1:7" x14ac:dyDescent="0.3">
      <c r="A4116" s="14" t="e">
        <f>VLOOKUP(B4116,'Relacion codigos'!$A:$B,2,FALSE)</f>
        <v>#N/A</v>
      </c>
      <c r="B4116" s="6" t="s">
        <v>10187</v>
      </c>
      <c r="C4116" s="6" t="s">
        <v>10188</v>
      </c>
      <c r="D4116" s="24">
        <v>664.05142001249999</v>
      </c>
      <c r="E4116" s="6" t="s">
        <v>5889</v>
      </c>
      <c r="F4116" s="6">
        <v>21</v>
      </c>
      <c r="G4116" s="8">
        <f t="shared" si="64"/>
        <v>664.05142001249999</v>
      </c>
    </row>
    <row r="4117" spans="1:7" x14ac:dyDescent="0.3">
      <c r="A4117" s="14" t="str">
        <f>VLOOKUP(B4117,'Relacion codigos'!$A:$B,2,FALSE)</f>
        <v>8849</v>
      </c>
      <c r="B4117" s="6" t="s">
        <v>3391</v>
      </c>
      <c r="C4117" s="6" t="s">
        <v>3392</v>
      </c>
      <c r="D4117" s="24">
        <v>8638.11</v>
      </c>
      <c r="E4117" s="6" t="s">
        <v>5889</v>
      </c>
      <c r="F4117" s="6">
        <v>21</v>
      </c>
      <c r="G4117" s="8">
        <f t="shared" si="64"/>
        <v>8638.11</v>
      </c>
    </row>
    <row r="4118" spans="1:7" x14ac:dyDescent="0.3">
      <c r="A4118" s="14" t="e">
        <f>VLOOKUP(B4118,'Relacion codigos'!$A:$B,2,FALSE)</f>
        <v>#N/A</v>
      </c>
      <c r="B4118" s="6" t="s">
        <v>13423</v>
      </c>
      <c r="C4118" s="6" t="s">
        <v>13424</v>
      </c>
      <c r="D4118" s="24">
        <v>256.98786866864998</v>
      </c>
      <c r="E4118" s="6" t="s">
        <v>5889</v>
      </c>
      <c r="F4118" s="6">
        <v>21</v>
      </c>
      <c r="G4118" s="8">
        <f t="shared" si="64"/>
        <v>256.98786866864998</v>
      </c>
    </row>
    <row r="4119" spans="1:7" x14ac:dyDescent="0.3">
      <c r="A4119" s="14" t="e">
        <f>VLOOKUP(B4119,'Relacion codigos'!$A:$B,2,FALSE)</f>
        <v>#N/A</v>
      </c>
      <c r="B4119" s="6" t="s">
        <v>13425</v>
      </c>
      <c r="C4119" s="6" t="s">
        <v>13426</v>
      </c>
      <c r="D4119" s="24">
        <v>396.19142477066202</v>
      </c>
      <c r="E4119" s="6" t="s">
        <v>5889</v>
      </c>
      <c r="F4119" s="6">
        <v>21</v>
      </c>
      <c r="G4119" s="8">
        <f t="shared" si="64"/>
        <v>396.19142477066202</v>
      </c>
    </row>
    <row r="4120" spans="1:7" x14ac:dyDescent="0.3">
      <c r="A4120" s="14" t="e">
        <f>VLOOKUP(B4120,'Relacion codigos'!$A:$B,2,FALSE)</f>
        <v>#N/A</v>
      </c>
      <c r="B4120" s="6" t="s">
        <v>13427</v>
      </c>
      <c r="C4120" s="6" t="s">
        <v>13428</v>
      </c>
      <c r="D4120" s="24">
        <v>1564.68112197862</v>
      </c>
      <c r="E4120" s="6" t="s">
        <v>5889</v>
      </c>
      <c r="F4120" s="6">
        <v>21</v>
      </c>
      <c r="G4120" s="8">
        <f t="shared" si="64"/>
        <v>1564.68112197862</v>
      </c>
    </row>
    <row r="4121" spans="1:7" x14ac:dyDescent="0.3">
      <c r="A4121" s="14" t="e">
        <f>VLOOKUP(B4121,'Relacion codigos'!$A:$B,2,FALSE)</f>
        <v>#N/A</v>
      </c>
      <c r="B4121" s="6" t="s">
        <v>13429</v>
      </c>
      <c r="C4121" s="6" t="s">
        <v>13430</v>
      </c>
      <c r="D4121" s="24">
        <v>1825.46310288156</v>
      </c>
      <c r="E4121" s="6" t="s">
        <v>5889</v>
      </c>
      <c r="F4121" s="6">
        <v>21</v>
      </c>
      <c r="G4121" s="8">
        <f t="shared" si="64"/>
        <v>1825.46310288156</v>
      </c>
    </row>
    <row r="4122" spans="1:7" x14ac:dyDescent="0.3">
      <c r="A4122" s="14" t="e">
        <f>VLOOKUP(B4122,'Relacion codigos'!$A:$B,2,FALSE)</f>
        <v>#N/A</v>
      </c>
      <c r="B4122" s="6" t="s">
        <v>13431</v>
      </c>
      <c r="C4122" s="6" t="s">
        <v>13432</v>
      </c>
      <c r="D4122" s="24">
        <v>2216.6333833762201</v>
      </c>
      <c r="E4122" s="6" t="s">
        <v>5889</v>
      </c>
      <c r="F4122" s="6">
        <v>21</v>
      </c>
      <c r="G4122" s="8">
        <f t="shared" si="64"/>
        <v>2216.6333833762201</v>
      </c>
    </row>
    <row r="4123" spans="1:7" x14ac:dyDescent="0.3">
      <c r="A4123" s="14" t="str">
        <f>VLOOKUP(B4123,'Relacion codigos'!$A:$B,2,FALSE)</f>
        <v>2951</v>
      </c>
      <c r="B4123" s="6" t="s">
        <v>1365</v>
      </c>
      <c r="C4123" s="6" t="s">
        <v>685</v>
      </c>
      <c r="D4123" s="24">
        <v>25.038</v>
      </c>
      <c r="E4123" s="6" t="s">
        <v>5887</v>
      </c>
      <c r="F4123" s="6">
        <v>21</v>
      </c>
      <c r="G4123" s="8">
        <f t="shared" si="64"/>
        <v>38934.090000000004</v>
      </c>
    </row>
    <row r="4124" spans="1:7" x14ac:dyDescent="0.3">
      <c r="A4124" s="14" t="str">
        <f>VLOOKUP(B4124,'Relacion codigos'!$A:$B,2,FALSE)</f>
        <v>8293</v>
      </c>
      <c r="B4124" s="6" t="s">
        <v>2808</v>
      </c>
      <c r="C4124" s="6" t="s">
        <v>1026</v>
      </c>
      <c r="D4124" s="24">
        <v>24.544194999999998</v>
      </c>
      <c r="E4124" s="6" t="s">
        <v>5887</v>
      </c>
      <c r="F4124" s="6">
        <v>21</v>
      </c>
      <c r="G4124" s="8">
        <f t="shared" si="64"/>
        <v>38166.223224999994</v>
      </c>
    </row>
    <row r="4125" spans="1:7" x14ac:dyDescent="0.3">
      <c r="A4125" s="14" t="str">
        <f>VLOOKUP(B4125,'Relacion codigos'!$A:$B,2,FALSE)</f>
        <v>7971</v>
      </c>
      <c r="B4125" s="6" t="s">
        <v>1369</v>
      </c>
      <c r="C4125" s="6" t="s">
        <v>1027</v>
      </c>
      <c r="D4125" s="24">
        <v>17.128958655249999</v>
      </c>
      <c r="E4125" s="6" t="s">
        <v>5887</v>
      </c>
      <c r="F4125" s="6">
        <v>21</v>
      </c>
      <c r="G4125" s="8">
        <f t="shared" si="64"/>
        <v>26635.53070891375</v>
      </c>
    </row>
    <row r="4126" spans="1:7" x14ac:dyDescent="0.3">
      <c r="A4126" s="14" t="e">
        <f>VLOOKUP(B4126,'Relacion codigos'!$A:$B,2,FALSE)</f>
        <v>#N/A</v>
      </c>
      <c r="B4126" s="6" t="s">
        <v>11893</v>
      </c>
      <c r="C4126" s="6" t="s">
        <v>11894</v>
      </c>
      <c r="D4126" s="24">
        <v>17.9634</v>
      </c>
      <c r="E4126" s="6" t="s">
        <v>5887</v>
      </c>
      <c r="F4126" s="6">
        <v>21</v>
      </c>
      <c r="G4126" s="8">
        <f t="shared" si="64"/>
        <v>27933.087</v>
      </c>
    </row>
    <row r="4127" spans="1:7" x14ac:dyDescent="0.3">
      <c r="A4127" s="14" t="e">
        <f>VLOOKUP(B4127,'Relacion codigos'!$A:$B,2,FALSE)</f>
        <v>#N/A</v>
      </c>
      <c r="B4127" s="6" t="s">
        <v>11895</v>
      </c>
      <c r="C4127" s="6" t="s">
        <v>11896</v>
      </c>
      <c r="D4127" s="24">
        <v>19.717424999999999</v>
      </c>
      <c r="E4127" s="6" t="s">
        <v>5887</v>
      </c>
      <c r="F4127" s="6">
        <v>21</v>
      </c>
      <c r="G4127" s="8">
        <f t="shared" si="64"/>
        <v>30660.595874999999</v>
      </c>
    </row>
    <row r="4128" spans="1:7" x14ac:dyDescent="0.3">
      <c r="A4128" s="14" t="e">
        <f>VLOOKUP(B4128,'Relacion codigos'!$A:$B,2,FALSE)</f>
        <v>#N/A</v>
      </c>
      <c r="B4128" s="6" t="s">
        <v>11924</v>
      </c>
      <c r="C4128" s="6" t="s">
        <v>11925</v>
      </c>
      <c r="D4128" s="24">
        <v>35.162399999999998</v>
      </c>
      <c r="E4128" s="6" t="s">
        <v>5887</v>
      </c>
      <c r="F4128" s="6">
        <v>21</v>
      </c>
      <c r="G4128" s="8">
        <f t="shared" si="64"/>
        <v>54677.531999999999</v>
      </c>
    </row>
    <row r="4129" spans="1:7" x14ac:dyDescent="0.3">
      <c r="A4129" s="14" t="e">
        <f>VLOOKUP(B4129,'Relacion codigos'!$A:$B,2,FALSE)</f>
        <v>#N/A</v>
      </c>
      <c r="B4129" s="6" t="s">
        <v>11926</v>
      </c>
      <c r="C4129" s="6" t="s">
        <v>11927</v>
      </c>
      <c r="D4129" s="24">
        <v>35.162399999999998</v>
      </c>
      <c r="E4129" s="6" t="s">
        <v>5887</v>
      </c>
      <c r="F4129" s="6">
        <v>21</v>
      </c>
      <c r="G4129" s="8">
        <f t="shared" si="64"/>
        <v>54677.531999999999</v>
      </c>
    </row>
    <row r="4130" spans="1:7" x14ac:dyDescent="0.3">
      <c r="A4130" s="14" t="e">
        <f>VLOOKUP(B4130,'Relacion codigos'!$A:$B,2,FALSE)</f>
        <v>#N/A</v>
      </c>
      <c r="B4130" s="6" t="s">
        <v>11970</v>
      </c>
      <c r="C4130" s="6" t="s">
        <v>11971</v>
      </c>
      <c r="D4130" s="24">
        <v>34.455069999999999</v>
      </c>
      <c r="E4130" s="6" t="s">
        <v>5887</v>
      </c>
      <c r="F4130" s="6">
        <v>21</v>
      </c>
      <c r="G4130" s="8">
        <f t="shared" si="64"/>
        <v>53577.633849999998</v>
      </c>
    </row>
    <row r="4131" spans="1:7" x14ac:dyDescent="0.3">
      <c r="A4131" s="14" t="e">
        <f>VLOOKUP(B4131,'Relacion codigos'!$A:$B,2,FALSE)</f>
        <v>#N/A</v>
      </c>
      <c r="B4131" s="6" t="s">
        <v>11928</v>
      </c>
      <c r="C4131" s="6" t="s">
        <v>11929</v>
      </c>
      <c r="D4131" s="24">
        <v>38.861550000000001</v>
      </c>
      <c r="E4131" s="6" t="s">
        <v>5887</v>
      </c>
      <c r="F4131" s="6">
        <v>21</v>
      </c>
      <c r="G4131" s="8">
        <f t="shared" si="64"/>
        <v>60429.710250000004</v>
      </c>
    </row>
    <row r="4132" spans="1:7" x14ac:dyDescent="0.3">
      <c r="A4132" s="14" t="e">
        <f>VLOOKUP(B4132,'Relacion codigos'!$A:$B,2,FALSE)</f>
        <v>#N/A</v>
      </c>
      <c r="B4132" s="6" t="s">
        <v>11881</v>
      </c>
      <c r="C4132" s="6" t="s">
        <v>11882</v>
      </c>
      <c r="D4132" s="24">
        <v>3.0439500000000002</v>
      </c>
      <c r="E4132" s="6" t="s">
        <v>5887</v>
      </c>
      <c r="F4132" s="6">
        <v>21</v>
      </c>
      <c r="G4132" s="8">
        <f t="shared" si="64"/>
        <v>4733.3422500000006</v>
      </c>
    </row>
    <row r="4133" spans="1:7" x14ac:dyDescent="0.3">
      <c r="A4133" s="14" t="e">
        <f>VLOOKUP(B4133,'Relacion codigos'!$A:$B,2,FALSE)</f>
        <v>#N/A</v>
      </c>
      <c r="B4133" s="6" t="s">
        <v>11614</v>
      </c>
      <c r="C4133" s="6" t="s">
        <v>11615</v>
      </c>
      <c r="D4133" s="24">
        <v>3.0439500000000002</v>
      </c>
      <c r="E4133" s="6" t="s">
        <v>5887</v>
      </c>
      <c r="F4133" s="6">
        <v>21</v>
      </c>
      <c r="G4133" s="8">
        <f t="shared" si="64"/>
        <v>4733.3422500000006</v>
      </c>
    </row>
    <row r="4134" spans="1:7" x14ac:dyDescent="0.3">
      <c r="A4134" s="14" t="e">
        <f>VLOOKUP(B4134,'Relacion codigos'!$A:$B,2,FALSE)</f>
        <v>#N/A</v>
      </c>
      <c r="B4134" s="6" t="s">
        <v>11293</v>
      </c>
      <c r="C4134" s="6" t="s">
        <v>12759</v>
      </c>
      <c r="D4134" s="24">
        <v>2.8391999999999999</v>
      </c>
      <c r="E4134" s="6" t="s">
        <v>5887</v>
      </c>
      <c r="F4134" s="6">
        <v>21</v>
      </c>
      <c r="G4134" s="8">
        <f t="shared" si="64"/>
        <v>4414.9560000000001</v>
      </c>
    </row>
    <row r="4135" spans="1:7" x14ac:dyDescent="0.3">
      <c r="A4135" s="14" t="str">
        <f>VLOOKUP(B4135,'Relacion codigos'!$A:$B,2,FALSE)</f>
        <v>9032</v>
      </c>
      <c r="B4135" s="6" t="s">
        <v>4568</v>
      </c>
      <c r="C4135" s="6" t="s">
        <v>1291</v>
      </c>
      <c r="D4135" s="24">
        <v>2.1187072140000098</v>
      </c>
      <c r="E4135" s="6" t="s">
        <v>5887</v>
      </c>
      <c r="F4135" s="6">
        <v>21</v>
      </c>
      <c r="G4135" s="8">
        <f t="shared" si="64"/>
        <v>3294.5897177700153</v>
      </c>
    </row>
    <row r="4136" spans="1:7" x14ac:dyDescent="0.3">
      <c r="A4136" s="14" t="str">
        <f>VLOOKUP(B4136,'Relacion codigos'!$A:$B,2,FALSE)</f>
        <v>9278</v>
      </c>
      <c r="B4136" s="6" t="s">
        <v>4569</v>
      </c>
      <c r="C4136" s="6" t="s">
        <v>1292</v>
      </c>
      <c r="D4136" s="24">
        <v>7.0090375680000099</v>
      </c>
      <c r="E4136" s="6" t="s">
        <v>5887</v>
      </c>
      <c r="F4136" s="6">
        <v>21</v>
      </c>
      <c r="G4136" s="8">
        <f t="shared" si="64"/>
        <v>10899.053418240015</v>
      </c>
    </row>
    <row r="4137" spans="1:7" x14ac:dyDescent="0.3">
      <c r="A4137" s="14" t="e">
        <f>VLOOKUP(B4137,'Relacion codigos'!$A:$B,2,FALSE)</f>
        <v>#N/A</v>
      </c>
      <c r="B4137" s="6" t="s">
        <v>10898</v>
      </c>
      <c r="C4137" s="6" t="s">
        <v>10899</v>
      </c>
      <c r="D4137" s="24">
        <v>2.6276250000000001</v>
      </c>
      <c r="E4137" s="6" t="s">
        <v>5887</v>
      </c>
      <c r="F4137" s="6">
        <v>21</v>
      </c>
      <c r="G4137" s="8">
        <f t="shared" si="64"/>
        <v>4085.9568750000003</v>
      </c>
    </row>
    <row r="4138" spans="1:7" x14ac:dyDescent="0.3">
      <c r="A4138" s="14" t="str">
        <f>VLOOKUP(B4138,'Relacion codigos'!$A:$B,2,FALSE)</f>
        <v>6970</v>
      </c>
      <c r="B4138" s="6" t="s">
        <v>4494</v>
      </c>
      <c r="C4138" s="6" t="s">
        <v>686</v>
      </c>
      <c r="D4138" s="24">
        <v>1.79918060400001</v>
      </c>
      <c r="E4138" s="6" t="s">
        <v>5887</v>
      </c>
      <c r="F4138" s="6">
        <v>21</v>
      </c>
      <c r="G4138" s="8">
        <f t="shared" si="64"/>
        <v>2797.7258392200156</v>
      </c>
    </row>
    <row r="4139" spans="1:7" x14ac:dyDescent="0.3">
      <c r="A4139" s="14" t="str">
        <f>VLOOKUP(B4139,'Relacion codigos'!$A:$B,2,FALSE)</f>
        <v>9279</v>
      </c>
      <c r="B4139" s="6" t="s">
        <v>4571</v>
      </c>
      <c r="C4139" s="6" t="s">
        <v>1293</v>
      </c>
      <c r="D4139" s="24">
        <v>4.5388385639999802</v>
      </c>
      <c r="E4139" s="6" t="s">
        <v>5887</v>
      </c>
      <c r="F4139" s="6">
        <v>21</v>
      </c>
      <c r="G4139" s="8">
        <f t="shared" si="64"/>
        <v>7057.8939670199688</v>
      </c>
    </row>
    <row r="4140" spans="1:7" x14ac:dyDescent="0.3">
      <c r="A4140" s="14" t="str">
        <f>VLOOKUP(B4140,'Relacion codigos'!$A:$B,2,FALSE)</f>
        <v>263</v>
      </c>
      <c r="B4140" s="6" t="s">
        <v>4495</v>
      </c>
      <c r="C4140" s="6" t="s">
        <v>687</v>
      </c>
      <c r="D4140" s="24">
        <v>1.9422226979999999</v>
      </c>
      <c r="E4140" s="6" t="s">
        <v>5887</v>
      </c>
      <c r="F4140" s="6">
        <v>21</v>
      </c>
      <c r="G4140" s="8">
        <f t="shared" si="64"/>
        <v>3020.1562953899997</v>
      </c>
    </row>
    <row r="4141" spans="1:7" x14ac:dyDescent="0.3">
      <c r="A4141" s="14" t="e">
        <f>VLOOKUP(B4141,'Relacion codigos'!$A:$B,2,FALSE)</f>
        <v>#N/A</v>
      </c>
      <c r="B4141" s="6" t="s">
        <v>10900</v>
      </c>
      <c r="C4141" s="6" t="s">
        <v>10901</v>
      </c>
      <c r="D4141" s="24">
        <v>2.6276250000000001</v>
      </c>
      <c r="E4141" s="6" t="s">
        <v>5887</v>
      </c>
      <c r="F4141" s="6">
        <v>21</v>
      </c>
      <c r="G4141" s="8">
        <f t="shared" si="64"/>
        <v>4085.9568750000003</v>
      </c>
    </row>
    <row r="4142" spans="1:7" x14ac:dyDescent="0.3">
      <c r="A4142" s="14" t="e">
        <f>VLOOKUP(B4142,'Relacion codigos'!$A:$B,2,FALSE)</f>
        <v>#N/A</v>
      </c>
      <c r="B4142" s="6" t="s">
        <v>8997</v>
      </c>
      <c r="C4142" s="6" t="s">
        <v>8998</v>
      </c>
      <c r="D4142" s="24">
        <v>11.847981600000001</v>
      </c>
      <c r="E4142" s="6" t="s">
        <v>5887</v>
      </c>
      <c r="F4142" s="6">
        <v>21</v>
      </c>
      <c r="G4142" s="8">
        <f t="shared" si="64"/>
        <v>18423.611388000001</v>
      </c>
    </row>
    <row r="4143" spans="1:7" x14ac:dyDescent="0.3">
      <c r="A4143" s="14" t="str">
        <f>VLOOKUP(B4143,'Relacion codigos'!$A:$B,2,FALSE)</f>
        <v>6971</v>
      </c>
      <c r="B4143" s="6" t="s">
        <v>4496</v>
      </c>
      <c r="C4143" s="6" t="s">
        <v>688</v>
      </c>
      <c r="D4143" s="24">
        <v>1.79918060400001</v>
      </c>
      <c r="E4143" s="6" t="s">
        <v>5887</v>
      </c>
      <c r="F4143" s="6">
        <v>21</v>
      </c>
      <c r="G4143" s="8">
        <f t="shared" si="64"/>
        <v>2797.7258392200156</v>
      </c>
    </row>
    <row r="4144" spans="1:7" x14ac:dyDescent="0.3">
      <c r="A4144" s="14" t="str">
        <f>VLOOKUP(B4144,'Relacion codigos'!$A:$B,2,FALSE)</f>
        <v>2073</v>
      </c>
      <c r="B4144" s="6" t="s">
        <v>4497</v>
      </c>
      <c r="C4144" s="6" t="s">
        <v>9034</v>
      </c>
      <c r="D4144" s="24">
        <v>4.5388385639999802</v>
      </c>
      <c r="E4144" s="6" t="s">
        <v>5887</v>
      </c>
      <c r="F4144" s="6">
        <v>21</v>
      </c>
      <c r="G4144" s="8">
        <f t="shared" si="64"/>
        <v>7057.8939670199688</v>
      </c>
    </row>
    <row r="4145" spans="1:7" x14ac:dyDescent="0.3">
      <c r="A4145" s="14" t="e">
        <f>VLOOKUP(B4145,'Relacion codigos'!$A:$B,2,FALSE)</f>
        <v>#N/A</v>
      </c>
      <c r="B4145" s="6" t="s">
        <v>11523</v>
      </c>
      <c r="C4145" s="6" t="s">
        <v>11524</v>
      </c>
      <c r="D4145" s="24">
        <v>2.6276250000000001</v>
      </c>
      <c r="E4145" s="6" t="s">
        <v>5887</v>
      </c>
      <c r="F4145" s="6">
        <v>21</v>
      </c>
      <c r="G4145" s="8">
        <f t="shared" si="64"/>
        <v>4085.9568750000003</v>
      </c>
    </row>
    <row r="4146" spans="1:7" x14ac:dyDescent="0.3">
      <c r="A4146" s="14" t="str">
        <f>VLOOKUP(B4146,'Relacion codigos'!$A:$B,2,FALSE)</f>
        <v>6972</v>
      </c>
      <c r="B4146" s="6" t="s">
        <v>4499</v>
      </c>
      <c r="C4146" s="6" t="s">
        <v>689</v>
      </c>
      <c r="D4146" s="24">
        <v>1.79918060400001</v>
      </c>
      <c r="E4146" s="6" t="s">
        <v>5887</v>
      </c>
      <c r="F4146" s="6">
        <v>21</v>
      </c>
      <c r="G4146" s="8">
        <f t="shared" si="64"/>
        <v>2797.7258392200156</v>
      </c>
    </row>
    <row r="4147" spans="1:7" x14ac:dyDescent="0.3">
      <c r="A4147" s="14" t="e">
        <f>VLOOKUP(B4147,'Relacion codigos'!$A:$B,2,FALSE)</f>
        <v>#N/A</v>
      </c>
      <c r="B4147" s="6" t="s">
        <v>9035</v>
      </c>
      <c r="C4147" s="6" t="s">
        <v>9036</v>
      </c>
      <c r="D4147" s="24">
        <v>4.5388385639999997</v>
      </c>
      <c r="E4147" s="6" t="s">
        <v>5887</v>
      </c>
      <c r="F4147" s="6">
        <v>21</v>
      </c>
      <c r="G4147" s="8">
        <f t="shared" si="64"/>
        <v>7057.8939670199998</v>
      </c>
    </row>
    <row r="4148" spans="1:7" x14ac:dyDescent="0.3">
      <c r="A4148" s="14" t="str">
        <f>VLOOKUP(B4148,'Relacion codigos'!$A:$B,2,FALSE)</f>
        <v>265</v>
      </c>
      <c r="B4148" s="6" t="s">
        <v>4501</v>
      </c>
      <c r="C4148" s="6" t="s">
        <v>690</v>
      </c>
      <c r="D4148" s="24">
        <v>1.9422226979999999</v>
      </c>
      <c r="E4148" s="6" t="s">
        <v>5887</v>
      </c>
      <c r="F4148" s="6">
        <v>21</v>
      </c>
      <c r="G4148" s="8">
        <f t="shared" si="64"/>
        <v>3020.1562953899997</v>
      </c>
    </row>
    <row r="4149" spans="1:7" x14ac:dyDescent="0.3">
      <c r="A4149" s="14" t="e">
        <f>VLOOKUP(B4149,'Relacion codigos'!$A:$B,2,FALSE)</f>
        <v>#N/A</v>
      </c>
      <c r="B4149" s="6" t="s">
        <v>11525</v>
      </c>
      <c r="C4149" s="6" t="s">
        <v>11526</v>
      </c>
      <c r="D4149" s="24">
        <v>2.6276250000000001</v>
      </c>
      <c r="E4149" s="6" t="s">
        <v>5887</v>
      </c>
      <c r="F4149" s="6">
        <v>21</v>
      </c>
      <c r="G4149" s="8">
        <f t="shared" si="64"/>
        <v>4085.9568750000003</v>
      </c>
    </row>
    <row r="4150" spans="1:7" x14ac:dyDescent="0.3">
      <c r="A4150" s="14" t="str">
        <f>VLOOKUP(B4150,'Relacion codigos'!$A:$B,2,FALSE)</f>
        <v>6973</v>
      </c>
      <c r="B4150" s="6" t="s">
        <v>4502</v>
      </c>
      <c r="C4150" s="6" t="s">
        <v>691</v>
      </c>
      <c r="D4150" s="24">
        <v>1.81852663200001</v>
      </c>
      <c r="E4150" s="6" t="s">
        <v>5887</v>
      </c>
      <c r="F4150" s="6">
        <v>21</v>
      </c>
      <c r="G4150" s="8">
        <f t="shared" si="64"/>
        <v>2827.8089127600156</v>
      </c>
    </row>
    <row r="4151" spans="1:7" x14ac:dyDescent="0.3">
      <c r="A4151" s="14" t="str">
        <f>VLOOKUP(B4151,'Relacion codigos'!$A:$B,2,FALSE)</f>
        <v>2100</v>
      </c>
      <c r="B4151" s="6" t="s">
        <v>5807</v>
      </c>
      <c r="C4151" s="6" t="s">
        <v>1294</v>
      </c>
      <c r="D4151" s="24">
        <v>4.5388385639999802</v>
      </c>
      <c r="E4151" s="6" t="s">
        <v>5887</v>
      </c>
      <c r="F4151" s="6">
        <v>21</v>
      </c>
      <c r="G4151" s="8">
        <f t="shared" si="64"/>
        <v>7057.8939670199688</v>
      </c>
    </row>
    <row r="4152" spans="1:7" x14ac:dyDescent="0.3">
      <c r="A4152" s="14" t="e">
        <f>VLOOKUP(B4152,'Relacion codigos'!$A:$B,2,FALSE)</f>
        <v>#N/A</v>
      </c>
      <c r="B4152" s="6" t="s">
        <v>11527</v>
      </c>
      <c r="C4152" s="6" t="s">
        <v>11528</v>
      </c>
      <c r="D4152" s="24">
        <v>3.0439500000000002</v>
      </c>
      <c r="E4152" s="6" t="s">
        <v>5887</v>
      </c>
      <c r="F4152" s="6">
        <v>21</v>
      </c>
      <c r="G4152" s="8">
        <f t="shared" si="64"/>
        <v>4733.3422500000006</v>
      </c>
    </row>
    <row r="4153" spans="1:7" x14ac:dyDescent="0.3">
      <c r="A4153" s="14" t="e">
        <f>VLOOKUP(B4153,'Relacion codigos'!$A:$B,2,FALSE)</f>
        <v>#N/A</v>
      </c>
      <c r="B4153" s="6" t="s">
        <v>13635</v>
      </c>
      <c r="C4153" s="6" t="s">
        <v>13636</v>
      </c>
      <c r="D4153" s="24">
        <v>2.6276250000000001</v>
      </c>
      <c r="E4153" s="6" t="s">
        <v>5887</v>
      </c>
      <c r="F4153" s="6">
        <v>21</v>
      </c>
      <c r="G4153" s="8">
        <f t="shared" si="64"/>
        <v>4085.9568750000003</v>
      </c>
    </row>
    <row r="4154" spans="1:7" x14ac:dyDescent="0.3">
      <c r="A4154" s="14" t="str">
        <f>VLOOKUP(B4154,'Relacion codigos'!$A:$B,2,FALSE)</f>
        <v>6974</v>
      </c>
      <c r="B4154" s="6" t="s">
        <v>4504</v>
      </c>
      <c r="C4154" s="6" t="s">
        <v>692</v>
      </c>
      <c r="D4154" s="24">
        <v>1.79918060400001</v>
      </c>
      <c r="E4154" s="6" t="s">
        <v>5887</v>
      </c>
      <c r="F4154" s="6">
        <v>21</v>
      </c>
      <c r="G4154" s="8">
        <f t="shared" si="64"/>
        <v>2797.7258392200156</v>
      </c>
    </row>
    <row r="4155" spans="1:7" x14ac:dyDescent="0.3">
      <c r="A4155" s="14" t="str">
        <f>VLOOKUP(B4155,'Relacion codigos'!$A:$B,2,FALSE)</f>
        <v>2071</v>
      </c>
      <c r="B4155" s="6" t="s">
        <v>4505</v>
      </c>
      <c r="C4155" s="6" t="s">
        <v>1295</v>
      </c>
      <c r="D4155" s="24">
        <v>5.79219076800001</v>
      </c>
      <c r="E4155" s="6" t="s">
        <v>5887</v>
      </c>
      <c r="F4155" s="6">
        <v>21</v>
      </c>
      <c r="G4155" s="8">
        <f t="shared" si="64"/>
        <v>9006.8566442400152</v>
      </c>
    </row>
    <row r="4156" spans="1:7" x14ac:dyDescent="0.3">
      <c r="A4156" s="14" t="e">
        <f>VLOOKUP(B4156,'Relacion codigos'!$A:$B,2,FALSE)</f>
        <v>#N/A</v>
      </c>
      <c r="B4156" s="6" t="s">
        <v>12308</v>
      </c>
      <c r="C4156" s="6" t="s">
        <v>12309</v>
      </c>
      <c r="D4156" s="24">
        <v>2.8391999999999999</v>
      </c>
      <c r="E4156" s="6" t="s">
        <v>5887</v>
      </c>
      <c r="F4156" s="6">
        <v>21</v>
      </c>
      <c r="G4156" s="8">
        <f t="shared" si="64"/>
        <v>4414.9560000000001</v>
      </c>
    </row>
    <row r="4157" spans="1:7" x14ac:dyDescent="0.3">
      <c r="A4157" s="14" t="str">
        <f>VLOOKUP(B4157,'Relacion codigos'!$A:$B,2,FALSE)</f>
        <v>6975</v>
      </c>
      <c r="B4157" s="6" t="s">
        <v>4507</v>
      </c>
      <c r="C4157" s="6" t="s">
        <v>694</v>
      </c>
      <c r="D4157" s="24">
        <v>1.9761491879999999</v>
      </c>
      <c r="E4157" s="6" t="s">
        <v>5887</v>
      </c>
      <c r="F4157" s="6">
        <v>21</v>
      </c>
      <c r="G4157" s="8">
        <f t="shared" si="64"/>
        <v>3072.91198734</v>
      </c>
    </row>
    <row r="4158" spans="1:7" x14ac:dyDescent="0.3">
      <c r="A4158" s="14" t="str">
        <f>VLOOKUP(B4158,'Relacion codigos'!$A:$B,2,FALSE)</f>
        <v>2074</v>
      </c>
      <c r="B4158" s="6" t="s">
        <v>4508</v>
      </c>
      <c r="C4158" s="6" t="s">
        <v>1296</v>
      </c>
      <c r="D4158" s="24">
        <v>5.79219076800001</v>
      </c>
      <c r="E4158" s="6" t="s">
        <v>5887</v>
      </c>
      <c r="F4158" s="6">
        <v>21</v>
      </c>
      <c r="G4158" s="8">
        <f t="shared" si="64"/>
        <v>9006.8566442400152</v>
      </c>
    </row>
    <row r="4159" spans="1:7" x14ac:dyDescent="0.3">
      <c r="A4159" s="14" t="str">
        <f>VLOOKUP(B4159,'Relacion codigos'!$A:$B,2,FALSE)</f>
        <v>278</v>
      </c>
      <c r="B4159" s="6" t="s">
        <v>4509</v>
      </c>
      <c r="C4159" s="6" t="s">
        <v>695</v>
      </c>
      <c r="D4159" s="24">
        <v>2.8034798219999999</v>
      </c>
      <c r="E4159" s="6" t="s">
        <v>5887</v>
      </c>
      <c r="F4159" s="6">
        <v>21</v>
      </c>
      <c r="G4159" s="8">
        <f t="shared" si="64"/>
        <v>4359.4111232099995</v>
      </c>
    </row>
    <row r="4160" spans="1:7" x14ac:dyDescent="0.3">
      <c r="A4160" s="14" t="e">
        <f>VLOOKUP(B4160,'Relacion codigos'!$A:$B,2,FALSE)</f>
        <v>#N/A</v>
      </c>
      <c r="B4160" s="6" t="s">
        <v>13894</v>
      </c>
      <c r="C4160" s="6" t="s">
        <v>13895</v>
      </c>
      <c r="D4160" s="24">
        <v>3.0439500000000002</v>
      </c>
      <c r="E4160" s="6" t="s">
        <v>5887</v>
      </c>
      <c r="F4160" s="6">
        <v>21</v>
      </c>
      <c r="G4160" s="8">
        <f t="shared" si="64"/>
        <v>4733.3422500000006</v>
      </c>
    </row>
    <row r="4161" spans="1:7" x14ac:dyDescent="0.3">
      <c r="A4161" s="14" t="str">
        <f>VLOOKUP(B4161,'Relacion codigos'!$A:$B,2,FALSE)</f>
        <v>6976</v>
      </c>
      <c r="B4161" s="6" t="s">
        <v>4511</v>
      </c>
      <c r="C4161" s="6" t="s">
        <v>696</v>
      </c>
      <c r="D4161" s="24">
        <v>1.9761491879999999</v>
      </c>
      <c r="E4161" s="6" t="s">
        <v>5887</v>
      </c>
      <c r="F4161" s="6">
        <v>21</v>
      </c>
      <c r="G4161" s="8">
        <f t="shared" si="64"/>
        <v>3072.91198734</v>
      </c>
    </row>
    <row r="4162" spans="1:7" x14ac:dyDescent="0.3">
      <c r="A4162" s="14" t="str">
        <f>VLOOKUP(B4162,'Relacion codigos'!$A:$B,2,FALSE)</f>
        <v>2059</v>
      </c>
      <c r="B4162" s="6" t="s">
        <v>4512</v>
      </c>
      <c r="C4162" s="6" t="s">
        <v>1297</v>
      </c>
      <c r="D4162" s="24">
        <v>9.3534957360001592</v>
      </c>
      <c r="E4162" s="6" t="s">
        <v>5887</v>
      </c>
      <c r="F4162" s="6">
        <v>21</v>
      </c>
      <c r="G4162" s="8">
        <f t="shared" ref="G4162:G4225" si="65">IF(E4162="Dolares",D4162*$G$1,D4162)</f>
        <v>14544.685869480247</v>
      </c>
    </row>
    <row r="4163" spans="1:7" x14ac:dyDescent="0.3">
      <c r="A4163" s="14" t="str">
        <f>VLOOKUP(B4163,'Relacion codigos'!$A:$B,2,FALSE)</f>
        <v>284</v>
      </c>
      <c r="B4163" s="6" t="s">
        <v>4513</v>
      </c>
      <c r="C4163" s="6" t="s">
        <v>697</v>
      </c>
      <c r="D4163" s="24">
        <v>4.0602121560000004</v>
      </c>
      <c r="E4163" s="6" t="s">
        <v>5887</v>
      </c>
      <c r="F4163" s="6">
        <v>21</v>
      </c>
      <c r="G4163" s="8">
        <f t="shared" si="65"/>
        <v>6313.6299025800008</v>
      </c>
    </row>
    <row r="4164" spans="1:7" x14ac:dyDescent="0.3">
      <c r="A4164" s="14" t="e">
        <f>VLOOKUP(B4164,'Relacion codigos'!$A:$B,2,FALSE)</f>
        <v>#N/A</v>
      </c>
      <c r="B4164" s="6" t="s">
        <v>13896</v>
      </c>
      <c r="C4164" s="6" t="s">
        <v>13897</v>
      </c>
      <c r="D4164" s="24">
        <v>3.0439500000000002</v>
      </c>
      <c r="E4164" s="6" t="s">
        <v>5887</v>
      </c>
      <c r="F4164" s="6">
        <v>21</v>
      </c>
      <c r="G4164" s="8">
        <f t="shared" si="65"/>
        <v>4733.3422500000006</v>
      </c>
    </row>
    <row r="4165" spans="1:7" x14ac:dyDescent="0.3">
      <c r="A4165" s="14" t="str">
        <f>VLOOKUP(B4165,'Relacion codigos'!$A:$B,2,FALSE)</f>
        <v>6977</v>
      </c>
      <c r="B4165" s="6" t="s">
        <v>4514</v>
      </c>
      <c r="C4165" s="6" t="s">
        <v>698</v>
      </c>
      <c r="D4165" s="24">
        <v>1.9761491879999999</v>
      </c>
      <c r="E4165" s="6" t="s">
        <v>5887</v>
      </c>
      <c r="F4165" s="6">
        <v>21</v>
      </c>
      <c r="G4165" s="8">
        <f t="shared" si="65"/>
        <v>3072.91198734</v>
      </c>
    </row>
    <row r="4166" spans="1:7" x14ac:dyDescent="0.3">
      <c r="A4166" s="14" t="str">
        <f>VLOOKUP(B4166,'Relacion codigos'!$A:$B,2,FALSE)</f>
        <v>2070</v>
      </c>
      <c r="B4166" s="6" t="s">
        <v>4515</v>
      </c>
      <c r="C4166" s="6" t="s">
        <v>1298</v>
      </c>
      <c r="D4166" s="24">
        <v>9.3534957360001592</v>
      </c>
      <c r="E4166" s="6" t="s">
        <v>5887</v>
      </c>
      <c r="F4166" s="6">
        <v>21</v>
      </c>
      <c r="G4166" s="8">
        <f t="shared" si="65"/>
        <v>14544.685869480247</v>
      </c>
    </row>
    <row r="4167" spans="1:7" x14ac:dyDescent="0.3">
      <c r="A4167" s="14" t="str">
        <f>VLOOKUP(B4167,'Relacion codigos'!$A:$B,2,FALSE)</f>
        <v>1142</v>
      </c>
      <c r="B4167" s="6" t="s">
        <v>4516</v>
      </c>
      <c r="C4167" s="6" t="s">
        <v>699</v>
      </c>
      <c r="D4167" s="24">
        <v>4.0602121560000004</v>
      </c>
      <c r="E4167" s="6" t="s">
        <v>5887</v>
      </c>
      <c r="F4167" s="6">
        <v>21</v>
      </c>
      <c r="G4167" s="8">
        <f t="shared" si="65"/>
        <v>6313.6299025800008</v>
      </c>
    </row>
    <row r="4168" spans="1:7" x14ac:dyDescent="0.3">
      <c r="A4168" s="14" t="str">
        <f>VLOOKUP(B4168,'Relacion codigos'!$A:$B,2,FALSE)</f>
        <v>6805</v>
      </c>
      <c r="B4168" s="6" t="s">
        <v>5808</v>
      </c>
      <c r="C4168" s="6" t="s">
        <v>13934</v>
      </c>
      <c r="D4168" s="24">
        <v>7116.7403646481398</v>
      </c>
      <c r="E4168" s="6" t="s">
        <v>5889</v>
      </c>
      <c r="F4168" s="6">
        <v>21</v>
      </c>
      <c r="G4168" s="8">
        <f t="shared" si="65"/>
        <v>7116.7403646481398</v>
      </c>
    </row>
    <row r="4169" spans="1:7" x14ac:dyDescent="0.3">
      <c r="A4169" s="14" t="str">
        <f>VLOOKUP(B4169,'Relacion codigos'!$A:$B,2,FALSE)</f>
        <v>6806</v>
      </c>
      <c r="B4169" s="6" t="s">
        <v>5809</v>
      </c>
      <c r="C4169" s="6" t="s">
        <v>13935</v>
      </c>
      <c r="D4169" s="24">
        <v>7116.7352457674997</v>
      </c>
      <c r="E4169" s="6" t="s">
        <v>5889</v>
      </c>
      <c r="F4169" s="6">
        <v>21</v>
      </c>
      <c r="G4169" s="8">
        <f t="shared" si="65"/>
        <v>7116.7352457674997</v>
      </c>
    </row>
    <row r="4170" spans="1:7" x14ac:dyDescent="0.3">
      <c r="A4170" s="14" t="str">
        <f>VLOOKUP(B4170,'Relacion codigos'!$A:$B,2,FALSE)</f>
        <v>6807</v>
      </c>
      <c r="B4170" s="6" t="s">
        <v>5810</v>
      </c>
      <c r="C4170" s="6" t="s">
        <v>13936</v>
      </c>
      <c r="D4170" s="24">
        <v>7116.7352457674997</v>
      </c>
      <c r="E4170" s="6" t="s">
        <v>5889</v>
      </c>
      <c r="F4170" s="6">
        <v>21</v>
      </c>
      <c r="G4170" s="8">
        <f t="shared" si="65"/>
        <v>7116.7352457674997</v>
      </c>
    </row>
    <row r="4171" spans="1:7" x14ac:dyDescent="0.3">
      <c r="A4171" s="14" t="str">
        <f>VLOOKUP(B4171,'Relacion codigos'!$A:$B,2,FALSE)</f>
        <v>6808</v>
      </c>
      <c r="B4171" s="6" t="s">
        <v>5811</v>
      </c>
      <c r="C4171" s="6" t="s">
        <v>13937</v>
      </c>
      <c r="D4171" s="24">
        <v>7116.7352457674997</v>
      </c>
      <c r="E4171" s="6" t="s">
        <v>5889</v>
      </c>
      <c r="F4171" s="6">
        <v>21</v>
      </c>
      <c r="G4171" s="8">
        <f t="shared" si="65"/>
        <v>7116.7352457674997</v>
      </c>
    </row>
    <row r="4172" spans="1:7" x14ac:dyDescent="0.3">
      <c r="A4172" s="14" t="str">
        <f>VLOOKUP(B4172,'Relacion codigos'!$A:$B,2,FALSE)</f>
        <v>6809</v>
      </c>
      <c r="B4172" s="6" t="s">
        <v>5812</v>
      </c>
      <c r="C4172" s="6" t="s">
        <v>13938</v>
      </c>
      <c r="D4172" s="24">
        <v>6935.24352</v>
      </c>
      <c r="E4172" s="6" t="s">
        <v>5889</v>
      </c>
      <c r="F4172" s="6">
        <v>21</v>
      </c>
      <c r="G4172" s="8">
        <f t="shared" si="65"/>
        <v>6935.24352</v>
      </c>
    </row>
    <row r="4173" spans="1:7" x14ac:dyDescent="0.3">
      <c r="A4173" s="14" t="e">
        <f>VLOOKUP(B4173,'Relacion codigos'!$A:$B,2,FALSE)</f>
        <v>#N/A</v>
      </c>
      <c r="B4173" s="6" t="s">
        <v>10902</v>
      </c>
      <c r="C4173" s="6" t="s">
        <v>10903</v>
      </c>
      <c r="D4173" s="24">
        <v>6.0196500000000004</v>
      </c>
      <c r="E4173" s="6" t="s">
        <v>5887</v>
      </c>
      <c r="F4173" s="6">
        <v>21</v>
      </c>
      <c r="G4173" s="8">
        <f t="shared" si="65"/>
        <v>9360.5557500000014</v>
      </c>
    </row>
    <row r="4174" spans="1:7" x14ac:dyDescent="0.3">
      <c r="A4174" s="14" t="e">
        <f>VLOOKUP(B4174,'Relacion codigos'!$A:$B,2,FALSE)</f>
        <v>#N/A</v>
      </c>
      <c r="B4174" s="6" t="s">
        <v>10904</v>
      </c>
      <c r="C4174" s="6" t="s">
        <v>10905</v>
      </c>
      <c r="D4174" s="24">
        <v>6.0196500000000004</v>
      </c>
      <c r="E4174" s="6" t="s">
        <v>5887</v>
      </c>
      <c r="F4174" s="6">
        <v>21</v>
      </c>
      <c r="G4174" s="8">
        <f t="shared" si="65"/>
        <v>9360.5557500000014</v>
      </c>
    </row>
    <row r="4175" spans="1:7" x14ac:dyDescent="0.3">
      <c r="A4175" s="14" t="e">
        <f>VLOOKUP(B4175,'Relacion codigos'!$A:$B,2,FALSE)</f>
        <v>#N/A</v>
      </c>
      <c r="B4175" s="6" t="s">
        <v>10755</v>
      </c>
      <c r="C4175" s="6" t="s">
        <v>10756</v>
      </c>
      <c r="D4175" s="24">
        <v>5.4531749999999999</v>
      </c>
      <c r="E4175" s="6" t="s">
        <v>5887</v>
      </c>
      <c r="F4175" s="6">
        <v>21</v>
      </c>
      <c r="G4175" s="8">
        <f t="shared" si="65"/>
        <v>8479.6871250000004</v>
      </c>
    </row>
    <row r="4176" spans="1:7" x14ac:dyDescent="0.3">
      <c r="A4176" s="14" t="str">
        <f>VLOOKUP(B4176,'Relacion codigos'!$A:$B,2,FALSE)</f>
        <v>8784</v>
      </c>
      <c r="B4176" s="6" t="s">
        <v>5831</v>
      </c>
      <c r="C4176" s="6" t="s">
        <v>1299</v>
      </c>
      <c r="D4176" s="24">
        <v>15.336325836</v>
      </c>
      <c r="E4176" s="6" t="s">
        <v>5887</v>
      </c>
      <c r="F4176" s="6">
        <v>21</v>
      </c>
      <c r="G4176" s="8">
        <f t="shared" si="65"/>
        <v>23847.986674980002</v>
      </c>
    </row>
    <row r="4177" spans="1:7" x14ac:dyDescent="0.3">
      <c r="A4177" s="14" t="str">
        <f>VLOOKUP(B4177,'Relacion codigos'!$A:$B,2,FALSE)</f>
        <v>9033</v>
      </c>
      <c r="B4177" s="6" t="s">
        <v>4575</v>
      </c>
      <c r="C4177" s="6" t="s">
        <v>1300</v>
      </c>
      <c r="D4177" s="24">
        <v>4.2829780240000099</v>
      </c>
      <c r="E4177" s="6" t="s">
        <v>5887</v>
      </c>
      <c r="F4177" s="6">
        <v>21</v>
      </c>
      <c r="G4177" s="8">
        <f t="shared" si="65"/>
        <v>6660.0308273200153</v>
      </c>
    </row>
    <row r="4178" spans="1:7" x14ac:dyDescent="0.3">
      <c r="A4178" s="14" t="str">
        <f>VLOOKUP(B4178,'Relacion codigos'!$A:$B,2,FALSE)</f>
        <v>9280</v>
      </c>
      <c r="B4178" s="6" t="s">
        <v>4576</v>
      </c>
      <c r="C4178" s="6" t="s">
        <v>1301</v>
      </c>
      <c r="D4178" s="24">
        <v>12.61464516</v>
      </c>
      <c r="E4178" s="6" t="s">
        <v>5887</v>
      </c>
      <c r="F4178" s="6">
        <v>21</v>
      </c>
      <c r="G4178" s="8">
        <f t="shared" si="65"/>
        <v>19615.773223799999</v>
      </c>
    </row>
    <row r="4179" spans="1:7" x14ac:dyDescent="0.3">
      <c r="A4179" s="14" t="e">
        <f>VLOOKUP(B4179,'Relacion codigos'!$A:$B,2,FALSE)</f>
        <v>#N/A</v>
      </c>
      <c r="B4179" s="6" t="s">
        <v>13519</v>
      </c>
      <c r="C4179" s="6" t="s">
        <v>13520</v>
      </c>
      <c r="D4179" s="24">
        <v>3.26440436400001</v>
      </c>
      <c r="E4179" s="6" t="s">
        <v>5887</v>
      </c>
      <c r="F4179" s="6">
        <v>21</v>
      </c>
      <c r="G4179" s="8">
        <f t="shared" si="65"/>
        <v>5076.1487860200159</v>
      </c>
    </row>
    <row r="4180" spans="1:7" x14ac:dyDescent="0.3">
      <c r="A4180" s="14" t="str">
        <f>VLOOKUP(B4180,'Relacion codigos'!$A:$B,2,FALSE)</f>
        <v>7189</v>
      </c>
      <c r="B4180" s="6" t="s">
        <v>4577</v>
      </c>
      <c r="C4180" s="6" t="s">
        <v>13637</v>
      </c>
      <c r="D4180" s="24">
        <v>4.0411482228000004</v>
      </c>
      <c r="E4180" s="6" t="s">
        <v>5887</v>
      </c>
      <c r="F4180" s="6">
        <v>21</v>
      </c>
      <c r="G4180" s="8">
        <f t="shared" si="65"/>
        <v>6283.9854864540002</v>
      </c>
    </row>
    <row r="4181" spans="1:7" x14ac:dyDescent="0.3">
      <c r="A4181" s="14" t="e">
        <f>VLOOKUP(B4181,'Relacion codigos'!$A:$B,2,FALSE)</f>
        <v>#N/A</v>
      </c>
      <c r="B4181" s="6" t="s">
        <v>10757</v>
      </c>
      <c r="C4181" s="6" t="s">
        <v>10758</v>
      </c>
      <c r="D4181" s="24">
        <v>4.8867000000000003</v>
      </c>
      <c r="E4181" s="6" t="s">
        <v>5887</v>
      </c>
      <c r="F4181" s="6">
        <v>21</v>
      </c>
      <c r="G4181" s="8">
        <f t="shared" si="65"/>
        <v>7598.8185000000003</v>
      </c>
    </row>
    <row r="4182" spans="1:7" x14ac:dyDescent="0.3">
      <c r="A4182" s="14" t="str">
        <f>VLOOKUP(B4182,'Relacion codigos'!$A:$B,2,FALSE)</f>
        <v>8437</v>
      </c>
      <c r="B4182" s="6" t="s">
        <v>4608</v>
      </c>
      <c r="C4182" s="6" t="s">
        <v>1302</v>
      </c>
      <c r="D4182" s="24">
        <v>14.7924504</v>
      </c>
      <c r="E4182" s="6" t="s">
        <v>5887</v>
      </c>
      <c r="F4182" s="6">
        <v>21</v>
      </c>
      <c r="G4182" s="8">
        <f t="shared" si="65"/>
        <v>23002.260372000001</v>
      </c>
    </row>
    <row r="4183" spans="1:7" x14ac:dyDescent="0.3">
      <c r="A4183" s="14" t="str">
        <f>VLOOKUP(B4183,'Relacion codigos'!$A:$B,2,FALSE)</f>
        <v>6978</v>
      </c>
      <c r="B4183" s="6" t="s">
        <v>4518</v>
      </c>
      <c r="C4183" s="6" t="s">
        <v>705</v>
      </c>
      <c r="D4183" s="24">
        <v>3.62711595999999</v>
      </c>
      <c r="E4183" s="6" t="s">
        <v>5887</v>
      </c>
      <c r="F4183" s="6">
        <v>21</v>
      </c>
      <c r="G4183" s="8">
        <f t="shared" si="65"/>
        <v>5640.1653177999842</v>
      </c>
    </row>
    <row r="4184" spans="1:7" x14ac:dyDescent="0.3">
      <c r="A4184" s="14" t="str">
        <f>VLOOKUP(B4184,'Relacion codigos'!$A:$B,2,FALSE)</f>
        <v>8982</v>
      </c>
      <c r="B4184" s="6" t="s">
        <v>5823</v>
      </c>
      <c r="C4184" s="6" t="s">
        <v>1303</v>
      </c>
      <c r="D4184" s="24">
        <v>9.1385206156768497</v>
      </c>
      <c r="E4184" s="6" t="s">
        <v>5887</v>
      </c>
      <c r="F4184" s="6">
        <v>21</v>
      </c>
      <c r="G4184" s="8">
        <f t="shared" si="65"/>
        <v>14210.399557377501</v>
      </c>
    </row>
    <row r="4185" spans="1:7" x14ac:dyDescent="0.3">
      <c r="A4185" s="14" t="str">
        <f>VLOOKUP(B4185,'Relacion codigos'!$A:$B,2,FALSE)</f>
        <v>286</v>
      </c>
      <c r="B4185" s="6" t="s">
        <v>4520</v>
      </c>
      <c r="C4185" s="6" t="s">
        <v>706</v>
      </c>
      <c r="D4185" s="24">
        <v>7195.6569099999997</v>
      </c>
      <c r="E4185" s="6" t="s">
        <v>5889</v>
      </c>
      <c r="F4185" s="6">
        <v>21</v>
      </c>
      <c r="G4185" s="8">
        <f t="shared" si="65"/>
        <v>7195.6569099999997</v>
      </c>
    </row>
    <row r="4186" spans="1:7" x14ac:dyDescent="0.3">
      <c r="A4186" s="14" t="e">
        <f>VLOOKUP(B4186,'Relacion codigos'!$A:$B,2,FALSE)</f>
        <v>#N/A</v>
      </c>
      <c r="B4186" s="6" t="s">
        <v>13521</v>
      </c>
      <c r="C4186" s="6" t="s">
        <v>13522</v>
      </c>
      <c r="D4186" s="24">
        <v>3.26440436400001</v>
      </c>
      <c r="E4186" s="6" t="s">
        <v>5887</v>
      </c>
      <c r="F4186" s="6">
        <v>21</v>
      </c>
      <c r="G4186" s="8">
        <f t="shared" si="65"/>
        <v>5076.1487860200159</v>
      </c>
    </row>
    <row r="4187" spans="1:7" x14ac:dyDescent="0.3">
      <c r="A4187" s="14" t="str">
        <f>VLOOKUP(B4187,'Relacion codigos'!$A:$B,2,FALSE)</f>
        <v>7190</v>
      </c>
      <c r="B4187" s="6" t="s">
        <v>4578</v>
      </c>
      <c r="C4187" s="6" t="s">
        <v>13638</v>
      </c>
      <c r="D4187" s="24">
        <v>4.0411482228000004</v>
      </c>
      <c r="E4187" s="6" t="s">
        <v>5887</v>
      </c>
      <c r="F4187" s="6">
        <v>21</v>
      </c>
      <c r="G4187" s="8">
        <f t="shared" si="65"/>
        <v>6283.9854864540002</v>
      </c>
    </row>
    <row r="4188" spans="1:7" x14ac:dyDescent="0.3">
      <c r="A4188" s="14" t="e">
        <f>VLOOKUP(B4188,'Relacion codigos'!$A:$B,2,FALSE)</f>
        <v>#N/A</v>
      </c>
      <c r="B4188" s="6" t="s">
        <v>10759</v>
      </c>
      <c r="C4188" s="6" t="s">
        <v>10760</v>
      </c>
      <c r="D4188" s="24">
        <v>4.8867000000000003</v>
      </c>
      <c r="E4188" s="6" t="s">
        <v>5887</v>
      </c>
      <c r="F4188" s="6">
        <v>21</v>
      </c>
      <c r="G4188" s="8">
        <f t="shared" si="65"/>
        <v>7598.8185000000003</v>
      </c>
    </row>
    <row r="4189" spans="1:7" x14ac:dyDescent="0.3">
      <c r="A4189" s="14" t="str">
        <f>VLOOKUP(B4189,'Relacion codigos'!$A:$B,2,FALSE)</f>
        <v>8438</v>
      </c>
      <c r="B4189" s="6" t="s">
        <v>4609</v>
      </c>
      <c r="C4189" s="6" t="s">
        <v>1304</v>
      </c>
      <c r="D4189" s="24">
        <v>14.7924504</v>
      </c>
      <c r="E4189" s="6" t="s">
        <v>5887</v>
      </c>
      <c r="F4189" s="6">
        <v>21</v>
      </c>
      <c r="G4189" s="8">
        <f t="shared" si="65"/>
        <v>23002.260372000001</v>
      </c>
    </row>
    <row r="4190" spans="1:7" x14ac:dyDescent="0.3">
      <c r="A4190" s="14" t="str">
        <f>VLOOKUP(B4190,'Relacion codigos'!$A:$B,2,FALSE)</f>
        <v>6979</v>
      </c>
      <c r="B4190" s="6" t="s">
        <v>4521</v>
      </c>
      <c r="C4190" s="6" t="s">
        <v>707</v>
      </c>
      <c r="D4190" s="24">
        <v>3.62711595999999</v>
      </c>
      <c r="E4190" s="6" t="s">
        <v>5887</v>
      </c>
      <c r="F4190" s="6">
        <v>21</v>
      </c>
      <c r="G4190" s="8">
        <f t="shared" si="65"/>
        <v>5640.1653177999842</v>
      </c>
    </row>
    <row r="4191" spans="1:7" x14ac:dyDescent="0.3">
      <c r="A4191" s="14" t="str">
        <f>VLOOKUP(B4191,'Relacion codigos'!$A:$B,2,FALSE)</f>
        <v>9068</v>
      </c>
      <c r="B4191" s="6" t="s">
        <v>5824</v>
      </c>
      <c r="C4191" s="6" t="s">
        <v>1305</v>
      </c>
      <c r="D4191" s="24">
        <v>9.1385206156768497</v>
      </c>
      <c r="E4191" s="6" t="s">
        <v>5887</v>
      </c>
      <c r="F4191" s="6">
        <v>21</v>
      </c>
      <c r="G4191" s="8">
        <f t="shared" si="65"/>
        <v>14210.399557377501</v>
      </c>
    </row>
    <row r="4192" spans="1:7" x14ac:dyDescent="0.3">
      <c r="A4192" s="14" t="str">
        <f>VLOOKUP(B4192,'Relacion codigos'!$A:$B,2,FALSE)</f>
        <v>551</v>
      </c>
      <c r="B4192" s="6" t="s">
        <v>4522</v>
      </c>
      <c r="C4192" s="6" t="s">
        <v>708</v>
      </c>
      <c r="D4192" s="24">
        <v>7195.6569099999997</v>
      </c>
      <c r="E4192" s="6" t="s">
        <v>5889</v>
      </c>
      <c r="F4192" s="6">
        <v>21</v>
      </c>
      <c r="G4192" s="8">
        <f t="shared" si="65"/>
        <v>7195.6569099999997</v>
      </c>
    </row>
    <row r="4193" spans="1:7" x14ac:dyDescent="0.3">
      <c r="A4193" s="14" t="e">
        <f>VLOOKUP(B4193,'Relacion codigos'!$A:$B,2,FALSE)</f>
        <v>#N/A</v>
      </c>
      <c r="B4193" s="6" t="s">
        <v>13523</v>
      </c>
      <c r="C4193" s="6" t="s">
        <v>13524</v>
      </c>
      <c r="D4193" s="24">
        <v>3.26440436400001</v>
      </c>
      <c r="E4193" s="6" t="s">
        <v>5887</v>
      </c>
      <c r="F4193" s="6">
        <v>21</v>
      </c>
      <c r="G4193" s="8">
        <f t="shared" si="65"/>
        <v>5076.1487860200159</v>
      </c>
    </row>
    <row r="4194" spans="1:7" x14ac:dyDescent="0.3">
      <c r="A4194" s="14" t="e">
        <f>VLOOKUP(B4194,'Relacion codigos'!$A:$B,2,FALSE)</f>
        <v>#N/A</v>
      </c>
      <c r="B4194" s="6" t="s">
        <v>13639</v>
      </c>
      <c r="C4194" s="6" t="s">
        <v>13640</v>
      </c>
      <c r="D4194" s="24">
        <v>4.0411482228000004</v>
      </c>
      <c r="E4194" s="6" t="s">
        <v>5887</v>
      </c>
      <c r="F4194" s="6">
        <v>21</v>
      </c>
      <c r="G4194" s="8">
        <f t="shared" si="65"/>
        <v>6283.9854864540002</v>
      </c>
    </row>
    <row r="4195" spans="1:7" x14ac:dyDescent="0.3">
      <c r="A4195" s="14" t="e">
        <f>VLOOKUP(B4195,'Relacion codigos'!$A:$B,2,FALSE)</f>
        <v>#N/A</v>
      </c>
      <c r="B4195" s="6" t="s">
        <v>10761</v>
      </c>
      <c r="C4195" s="6" t="s">
        <v>10762</v>
      </c>
      <c r="D4195" s="24">
        <v>4.8867000000000003</v>
      </c>
      <c r="E4195" s="6" t="s">
        <v>5887</v>
      </c>
      <c r="F4195" s="6">
        <v>21</v>
      </c>
      <c r="G4195" s="8">
        <f t="shared" si="65"/>
        <v>7598.8185000000003</v>
      </c>
    </row>
    <row r="4196" spans="1:7" x14ac:dyDescent="0.3">
      <c r="A4196" s="14" t="str">
        <f>VLOOKUP(B4196,'Relacion codigos'!$A:$B,2,FALSE)</f>
        <v>8439</v>
      </c>
      <c r="B4196" s="6" t="s">
        <v>5832</v>
      </c>
      <c r="C4196" s="6" t="s">
        <v>1306</v>
      </c>
      <c r="D4196" s="24">
        <v>14.7924504</v>
      </c>
      <c r="E4196" s="6" t="s">
        <v>5887</v>
      </c>
      <c r="F4196" s="6">
        <v>21</v>
      </c>
      <c r="G4196" s="8">
        <f t="shared" si="65"/>
        <v>23002.260372000001</v>
      </c>
    </row>
    <row r="4197" spans="1:7" x14ac:dyDescent="0.3">
      <c r="A4197" s="14" t="str">
        <f>VLOOKUP(B4197,'Relacion codigos'!$A:$B,2,FALSE)</f>
        <v>6980</v>
      </c>
      <c r="B4197" s="6" t="s">
        <v>4523</v>
      </c>
      <c r="C4197" s="6" t="s">
        <v>709</v>
      </c>
      <c r="D4197" s="24">
        <v>3.62711595999999</v>
      </c>
      <c r="E4197" s="6" t="s">
        <v>5887</v>
      </c>
      <c r="F4197" s="6">
        <v>21</v>
      </c>
      <c r="G4197" s="8">
        <f t="shared" si="65"/>
        <v>5640.1653177999842</v>
      </c>
    </row>
    <row r="4198" spans="1:7" x14ac:dyDescent="0.3">
      <c r="A4198" s="14" t="str">
        <f>VLOOKUP(B4198,'Relacion codigos'!$A:$B,2,FALSE)</f>
        <v>7191</v>
      </c>
      <c r="B4198" s="6" t="s">
        <v>4579</v>
      </c>
      <c r="C4198" s="6" t="s">
        <v>4580</v>
      </c>
      <c r="D4198" s="24">
        <v>9.1385206156768497</v>
      </c>
      <c r="E4198" s="6" t="s">
        <v>5887</v>
      </c>
      <c r="F4198" s="6">
        <v>21</v>
      </c>
      <c r="G4198" s="8">
        <f t="shared" si="65"/>
        <v>14210.399557377501</v>
      </c>
    </row>
    <row r="4199" spans="1:7" x14ac:dyDescent="0.3">
      <c r="A4199" s="14" t="e">
        <f>VLOOKUP(B4199,'Relacion codigos'!$A:$B,2,FALSE)</f>
        <v>#N/A</v>
      </c>
      <c r="B4199" s="6" t="s">
        <v>13525</v>
      </c>
      <c r="C4199" s="6" t="s">
        <v>13526</v>
      </c>
      <c r="D4199" s="24">
        <v>3.26440436400001</v>
      </c>
      <c r="E4199" s="6" t="s">
        <v>5887</v>
      </c>
      <c r="F4199" s="6">
        <v>21</v>
      </c>
      <c r="G4199" s="8">
        <f t="shared" si="65"/>
        <v>5076.1487860200159</v>
      </c>
    </row>
    <row r="4200" spans="1:7" x14ac:dyDescent="0.3">
      <c r="A4200" s="14" t="str">
        <f>VLOOKUP(B4200,'Relacion codigos'!$A:$B,2,FALSE)</f>
        <v>7194</v>
      </c>
      <c r="B4200" s="6" t="s">
        <v>4581</v>
      </c>
      <c r="C4200" s="6" t="s">
        <v>13641</v>
      </c>
      <c r="D4200" s="24">
        <v>4.0411482228000004</v>
      </c>
      <c r="E4200" s="6" t="s">
        <v>5887</v>
      </c>
      <c r="F4200" s="6">
        <v>21</v>
      </c>
      <c r="G4200" s="8">
        <f t="shared" si="65"/>
        <v>6283.9854864540002</v>
      </c>
    </row>
    <row r="4201" spans="1:7" x14ac:dyDescent="0.3">
      <c r="A4201" s="14" t="e">
        <f>VLOOKUP(B4201,'Relacion codigos'!$A:$B,2,FALSE)</f>
        <v>#N/A</v>
      </c>
      <c r="B4201" s="6" t="s">
        <v>10763</v>
      </c>
      <c r="C4201" s="6" t="s">
        <v>10764</v>
      </c>
      <c r="D4201" s="24">
        <v>4.8867000000000003</v>
      </c>
      <c r="E4201" s="6" t="s">
        <v>5887</v>
      </c>
      <c r="F4201" s="6">
        <v>21</v>
      </c>
      <c r="G4201" s="8">
        <f t="shared" si="65"/>
        <v>7598.8185000000003</v>
      </c>
    </row>
    <row r="4202" spans="1:7" x14ac:dyDescent="0.3">
      <c r="A4202" s="14" t="str">
        <f>VLOOKUP(B4202,'Relacion codigos'!$A:$B,2,FALSE)</f>
        <v>8440</v>
      </c>
      <c r="B4202" s="6" t="s">
        <v>5833</v>
      </c>
      <c r="C4202" s="6" t="s">
        <v>1307</v>
      </c>
      <c r="D4202" s="24">
        <v>14.7924504</v>
      </c>
      <c r="E4202" s="6" t="s">
        <v>5887</v>
      </c>
      <c r="F4202" s="6">
        <v>21</v>
      </c>
      <c r="G4202" s="8">
        <f t="shared" si="65"/>
        <v>23002.260372000001</v>
      </c>
    </row>
    <row r="4203" spans="1:7" x14ac:dyDescent="0.3">
      <c r="A4203" s="14" t="str">
        <f>VLOOKUP(B4203,'Relacion codigos'!$A:$B,2,FALSE)</f>
        <v>6981</v>
      </c>
      <c r="B4203" s="6" t="s">
        <v>4525</v>
      </c>
      <c r="C4203" s="6" t="s">
        <v>711</v>
      </c>
      <c r="D4203" s="24">
        <v>3.62711595999999</v>
      </c>
      <c r="E4203" s="6" t="s">
        <v>5887</v>
      </c>
      <c r="F4203" s="6">
        <v>21</v>
      </c>
      <c r="G4203" s="8">
        <f t="shared" si="65"/>
        <v>5640.1653177999842</v>
      </c>
    </row>
    <row r="4204" spans="1:7" x14ac:dyDescent="0.3">
      <c r="A4204" s="14" t="str">
        <f>VLOOKUP(B4204,'Relacion codigos'!$A:$B,2,FALSE)</f>
        <v>NUEVO</v>
      </c>
      <c r="B4204" s="6" t="s">
        <v>8724</v>
      </c>
      <c r="C4204" s="6" t="s">
        <v>8741</v>
      </c>
      <c r="D4204" s="24">
        <v>9.1385194680000001</v>
      </c>
      <c r="E4204" s="6" t="s">
        <v>5887</v>
      </c>
      <c r="F4204" s="6">
        <v>21</v>
      </c>
      <c r="G4204" s="8">
        <f t="shared" si="65"/>
        <v>14210.39777274</v>
      </c>
    </row>
    <row r="4205" spans="1:7" x14ac:dyDescent="0.3">
      <c r="A4205" s="14" t="e">
        <f>VLOOKUP(B4205,'Relacion codigos'!$A:$B,2,FALSE)</f>
        <v>#N/A</v>
      </c>
      <c r="B4205" s="6" t="s">
        <v>13527</v>
      </c>
      <c r="C4205" s="6" t="s">
        <v>13528</v>
      </c>
      <c r="D4205" s="24">
        <v>3.26440436400001</v>
      </c>
      <c r="E4205" s="6" t="s">
        <v>5887</v>
      </c>
      <c r="F4205" s="6">
        <v>21</v>
      </c>
      <c r="G4205" s="8">
        <f t="shared" si="65"/>
        <v>5076.1487860200159</v>
      </c>
    </row>
    <row r="4206" spans="1:7" x14ac:dyDescent="0.3">
      <c r="A4206" s="14" t="str">
        <f>VLOOKUP(B4206,'Relacion codigos'!$A:$B,2,FALSE)</f>
        <v>7192</v>
      </c>
      <c r="B4206" s="6" t="s">
        <v>4582</v>
      </c>
      <c r="C4206" s="6" t="s">
        <v>13642</v>
      </c>
      <c r="D4206" s="24">
        <v>4.3554597512399997</v>
      </c>
      <c r="E4206" s="6" t="s">
        <v>5887</v>
      </c>
      <c r="F4206" s="6">
        <v>21</v>
      </c>
      <c r="G4206" s="8">
        <f t="shared" si="65"/>
        <v>6772.7399131781995</v>
      </c>
    </row>
    <row r="4207" spans="1:7" x14ac:dyDescent="0.3">
      <c r="A4207" s="14" t="e">
        <f>VLOOKUP(B4207,'Relacion codigos'!$A:$B,2,FALSE)</f>
        <v>#N/A</v>
      </c>
      <c r="B4207" s="6" t="s">
        <v>10765</v>
      </c>
      <c r="C4207" s="6" t="s">
        <v>10766</v>
      </c>
      <c r="D4207" s="24">
        <v>4.8867000000000003</v>
      </c>
      <c r="E4207" s="6" t="s">
        <v>5887</v>
      </c>
      <c r="F4207" s="6">
        <v>21</v>
      </c>
      <c r="G4207" s="8">
        <f t="shared" si="65"/>
        <v>7598.8185000000003</v>
      </c>
    </row>
    <row r="4208" spans="1:7" x14ac:dyDescent="0.3">
      <c r="A4208" s="14" t="str">
        <f>VLOOKUP(B4208,'Relacion codigos'!$A:$B,2,FALSE)</f>
        <v>8441</v>
      </c>
      <c r="B4208" s="6" t="s">
        <v>5834</v>
      </c>
      <c r="C4208" s="6" t="s">
        <v>1308</v>
      </c>
      <c r="D4208" s="24">
        <v>23.340423600000001</v>
      </c>
      <c r="E4208" s="6" t="s">
        <v>5887</v>
      </c>
      <c r="F4208" s="6">
        <v>21</v>
      </c>
      <c r="G4208" s="8">
        <f t="shared" si="65"/>
        <v>36294.358698000004</v>
      </c>
    </row>
    <row r="4209" spans="1:7" x14ac:dyDescent="0.3">
      <c r="A4209" s="14" t="str">
        <f>VLOOKUP(B4209,'Relacion codigos'!$A:$B,2,FALSE)</f>
        <v>6982</v>
      </c>
      <c r="B4209" s="6" t="s">
        <v>4527</v>
      </c>
      <c r="C4209" s="6" t="s">
        <v>713</v>
      </c>
      <c r="D4209" s="24">
        <v>3.62711595999999</v>
      </c>
      <c r="E4209" s="6" t="s">
        <v>5887</v>
      </c>
      <c r="F4209" s="6">
        <v>21</v>
      </c>
      <c r="G4209" s="8">
        <f t="shared" si="65"/>
        <v>5640.1653177999842</v>
      </c>
    </row>
    <row r="4210" spans="1:7" x14ac:dyDescent="0.3">
      <c r="A4210" s="14" t="str">
        <f>VLOOKUP(B4210,'Relacion codigos'!$A:$B,2,FALSE)</f>
        <v>NUEVO</v>
      </c>
      <c r="B4210" s="6" t="s">
        <v>8725</v>
      </c>
      <c r="C4210" s="6" t="s">
        <v>8742</v>
      </c>
      <c r="D4210" s="24">
        <v>11.7750223467865</v>
      </c>
      <c r="E4210" s="6" t="s">
        <v>5887</v>
      </c>
      <c r="F4210" s="6">
        <v>21</v>
      </c>
      <c r="G4210" s="8">
        <f t="shared" si="65"/>
        <v>18310.159749253005</v>
      </c>
    </row>
    <row r="4211" spans="1:7" x14ac:dyDescent="0.3">
      <c r="A4211" s="14" t="e">
        <f>VLOOKUP(B4211,'Relacion codigos'!$A:$B,2,FALSE)</f>
        <v>#N/A</v>
      </c>
      <c r="B4211" s="6" t="s">
        <v>13529</v>
      </c>
      <c r="C4211" s="6" t="s">
        <v>13530</v>
      </c>
      <c r="D4211" s="24">
        <v>3.8258620400000001</v>
      </c>
      <c r="E4211" s="6" t="s">
        <v>5887</v>
      </c>
      <c r="F4211" s="6">
        <v>21</v>
      </c>
      <c r="G4211" s="8">
        <f t="shared" si="65"/>
        <v>5949.2154722000005</v>
      </c>
    </row>
    <row r="4212" spans="1:7" x14ac:dyDescent="0.3">
      <c r="A4212" s="14" t="str">
        <f>VLOOKUP(B4212,'Relacion codigos'!$A:$B,2,FALSE)</f>
        <v>7193</v>
      </c>
      <c r="B4212" s="6" t="s">
        <v>4583</v>
      </c>
      <c r="C4212" s="6" t="s">
        <v>13643</v>
      </c>
      <c r="D4212" s="24">
        <v>4.3554597512399997</v>
      </c>
      <c r="E4212" s="6" t="s">
        <v>5887</v>
      </c>
      <c r="F4212" s="6">
        <v>21</v>
      </c>
      <c r="G4212" s="8">
        <f t="shared" si="65"/>
        <v>6772.7399131781995</v>
      </c>
    </row>
    <row r="4213" spans="1:7" x14ac:dyDescent="0.3">
      <c r="A4213" s="14" t="e">
        <f>VLOOKUP(B4213,'Relacion codigos'!$A:$B,2,FALSE)</f>
        <v>#N/A</v>
      </c>
      <c r="B4213" s="6" t="s">
        <v>10906</v>
      </c>
      <c r="C4213" s="6" t="s">
        <v>10907</v>
      </c>
      <c r="D4213" s="24">
        <v>5.4531749999999999</v>
      </c>
      <c r="E4213" s="6" t="s">
        <v>5887</v>
      </c>
      <c r="F4213" s="6">
        <v>21</v>
      </c>
      <c r="G4213" s="8">
        <f t="shared" si="65"/>
        <v>8479.6871250000004</v>
      </c>
    </row>
    <row r="4214" spans="1:7" x14ac:dyDescent="0.3">
      <c r="A4214" s="14" t="str">
        <f>VLOOKUP(B4214,'Relacion codigos'!$A:$B,2,FALSE)</f>
        <v>6983</v>
      </c>
      <c r="B4214" s="6" t="s">
        <v>4530</v>
      </c>
      <c r="C4214" s="6" t="s">
        <v>714</v>
      </c>
      <c r="D4214" s="24">
        <v>4.0047335119999996</v>
      </c>
      <c r="E4214" s="6" t="s">
        <v>5887</v>
      </c>
      <c r="F4214" s="6">
        <v>21</v>
      </c>
      <c r="G4214" s="8">
        <f t="shared" si="65"/>
        <v>6227.3606111599993</v>
      </c>
    </row>
    <row r="4215" spans="1:7" x14ac:dyDescent="0.3">
      <c r="A4215" s="14" t="str">
        <f>VLOOKUP(B4215,'Relacion codigos'!$A:$B,2,FALSE)</f>
        <v>NUEVO</v>
      </c>
      <c r="B4215" s="6" t="s">
        <v>8726</v>
      </c>
      <c r="C4215" s="6" t="s">
        <v>8743</v>
      </c>
      <c r="D4215" s="24">
        <v>11.775020867999901</v>
      </c>
      <c r="E4215" s="6" t="s">
        <v>5887</v>
      </c>
      <c r="F4215" s="6">
        <v>21</v>
      </c>
      <c r="G4215" s="8">
        <f t="shared" si="65"/>
        <v>18310.157449739847</v>
      </c>
    </row>
    <row r="4216" spans="1:7" x14ac:dyDescent="0.3">
      <c r="A4216" s="14" t="str">
        <f>VLOOKUP(B4216,'Relacion codigos'!$A:$B,2,FALSE)</f>
        <v>285</v>
      </c>
      <c r="B4216" s="6" t="s">
        <v>4532</v>
      </c>
      <c r="C4216" s="6" t="s">
        <v>715</v>
      </c>
      <c r="D4216" s="24">
        <v>4.2008255639999996</v>
      </c>
      <c r="E4216" s="6" t="s">
        <v>5887</v>
      </c>
      <c r="F4216" s="6">
        <v>21</v>
      </c>
      <c r="G4216" s="8">
        <f t="shared" si="65"/>
        <v>6532.2837520199992</v>
      </c>
    </row>
    <row r="4217" spans="1:7" x14ac:dyDescent="0.3">
      <c r="A4217" s="14" t="e">
        <f>VLOOKUP(B4217,'Relacion codigos'!$A:$B,2,FALSE)</f>
        <v>#N/A</v>
      </c>
      <c r="B4217" s="6" t="s">
        <v>12071</v>
      </c>
      <c r="C4217" s="6" t="s">
        <v>12072</v>
      </c>
      <c r="D4217" s="24">
        <v>6.0196500000000004</v>
      </c>
      <c r="E4217" s="6" t="s">
        <v>5887</v>
      </c>
      <c r="F4217" s="6">
        <v>21</v>
      </c>
      <c r="G4217" s="8">
        <f t="shared" si="65"/>
        <v>9360.5557500000014</v>
      </c>
    </row>
    <row r="4218" spans="1:7" x14ac:dyDescent="0.3">
      <c r="A4218" s="14" t="str">
        <f>VLOOKUP(B4218,'Relacion codigos'!$A:$B,2,FALSE)</f>
        <v>6984</v>
      </c>
      <c r="B4218" s="6" t="s">
        <v>4533</v>
      </c>
      <c r="C4218" s="6" t="s">
        <v>716</v>
      </c>
      <c r="D4218" s="24">
        <v>4.0047335119999996</v>
      </c>
      <c r="E4218" s="6" t="s">
        <v>5887</v>
      </c>
      <c r="F4218" s="6">
        <v>21</v>
      </c>
      <c r="G4218" s="8">
        <f t="shared" si="65"/>
        <v>6227.3606111599993</v>
      </c>
    </row>
    <row r="4219" spans="1:7" x14ac:dyDescent="0.3">
      <c r="A4219" s="14" t="str">
        <f>VLOOKUP(B4219,'Relacion codigos'!$A:$B,2,FALSE)</f>
        <v>2072</v>
      </c>
      <c r="B4219" s="6" t="s">
        <v>4534</v>
      </c>
      <c r="C4219" s="6" t="s">
        <v>1309</v>
      </c>
      <c r="D4219" s="24">
        <v>20.382183900000001</v>
      </c>
      <c r="E4219" s="6" t="s">
        <v>5887</v>
      </c>
      <c r="F4219" s="6">
        <v>21</v>
      </c>
      <c r="G4219" s="8">
        <f t="shared" si="65"/>
        <v>31694.295964500001</v>
      </c>
    </row>
    <row r="4220" spans="1:7" x14ac:dyDescent="0.3">
      <c r="A4220" s="14" t="str">
        <f>VLOOKUP(B4220,'Relacion codigos'!$A:$B,2,FALSE)</f>
        <v>1017</v>
      </c>
      <c r="B4220" s="6" t="s">
        <v>4535</v>
      </c>
      <c r="C4220" s="6" t="s">
        <v>717</v>
      </c>
      <c r="D4220" s="24">
        <v>7.6985840879999996</v>
      </c>
      <c r="E4220" s="6" t="s">
        <v>5887</v>
      </c>
      <c r="F4220" s="6">
        <v>21</v>
      </c>
      <c r="G4220" s="8">
        <f t="shared" si="65"/>
        <v>11971.29825684</v>
      </c>
    </row>
    <row r="4221" spans="1:7" x14ac:dyDescent="0.3">
      <c r="A4221" s="14" t="str">
        <f>VLOOKUP(B4221,'Relacion codigos'!$A:$B,2,FALSE)</f>
        <v>6985</v>
      </c>
      <c r="B4221" s="6" t="s">
        <v>4536</v>
      </c>
      <c r="C4221" s="6" t="s">
        <v>718</v>
      </c>
      <c r="D4221" s="24">
        <v>4.0047335119999996</v>
      </c>
      <c r="E4221" s="6" t="s">
        <v>5887</v>
      </c>
      <c r="F4221" s="6">
        <v>21</v>
      </c>
      <c r="G4221" s="8">
        <f t="shared" si="65"/>
        <v>6227.3606111599993</v>
      </c>
    </row>
    <row r="4222" spans="1:7" x14ac:dyDescent="0.3">
      <c r="A4222" s="14" t="str">
        <f>VLOOKUP(B4222,'Relacion codigos'!$A:$B,2,FALSE)</f>
        <v>2067</v>
      </c>
      <c r="B4222" s="6" t="s">
        <v>4537</v>
      </c>
      <c r="C4222" s="6" t="s">
        <v>1310</v>
      </c>
      <c r="D4222" s="24">
        <v>20.382183900000001</v>
      </c>
      <c r="E4222" s="6" t="s">
        <v>5887</v>
      </c>
      <c r="F4222" s="6">
        <v>21</v>
      </c>
      <c r="G4222" s="8">
        <f t="shared" si="65"/>
        <v>31694.295964500001</v>
      </c>
    </row>
    <row r="4223" spans="1:7" x14ac:dyDescent="0.3">
      <c r="A4223" s="14" t="str">
        <f>VLOOKUP(B4223,'Relacion codigos'!$A:$B,2,FALSE)</f>
        <v>1018</v>
      </c>
      <c r="B4223" s="6" t="s">
        <v>4538</v>
      </c>
      <c r="C4223" s="6" t="s">
        <v>719</v>
      </c>
      <c r="D4223" s="24">
        <v>7.6985840879999996</v>
      </c>
      <c r="E4223" s="6" t="s">
        <v>5887</v>
      </c>
      <c r="F4223" s="6">
        <v>21</v>
      </c>
      <c r="G4223" s="8">
        <f t="shared" si="65"/>
        <v>11971.29825684</v>
      </c>
    </row>
    <row r="4224" spans="1:7" x14ac:dyDescent="0.3">
      <c r="A4224" s="14" t="e">
        <f>VLOOKUP(B4224,'Relacion codigos'!$A:$B,2,FALSE)</f>
        <v>#N/A</v>
      </c>
      <c r="B4224" s="6" t="s">
        <v>13909</v>
      </c>
      <c r="C4224" s="6" t="s">
        <v>13939</v>
      </c>
      <c r="D4224" s="24">
        <v>14444.489112836</v>
      </c>
      <c r="E4224" s="6" t="s">
        <v>5889</v>
      </c>
      <c r="F4224" s="6">
        <v>21</v>
      </c>
      <c r="G4224" s="8">
        <f t="shared" si="65"/>
        <v>14444.489112836</v>
      </c>
    </row>
    <row r="4225" spans="1:7" x14ac:dyDescent="0.3">
      <c r="A4225" s="14" t="e">
        <f>VLOOKUP(B4225,'Relacion codigos'!$A:$B,2,FALSE)</f>
        <v>#N/A</v>
      </c>
      <c r="B4225" s="6" t="s">
        <v>13910</v>
      </c>
      <c r="C4225" s="6" t="s">
        <v>13940</v>
      </c>
      <c r="D4225" s="24">
        <v>14444.490782036301</v>
      </c>
      <c r="E4225" s="6" t="s">
        <v>5889</v>
      </c>
      <c r="F4225" s="6">
        <v>21</v>
      </c>
      <c r="G4225" s="8">
        <f t="shared" si="65"/>
        <v>14444.490782036301</v>
      </c>
    </row>
    <row r="4226" spans="1:7" x14ac:dyDescent="0.3">
      <c r="A4226" s="14" t="str">
        <f>VLOOKUP(B4226,'Relacion codigos'!$A:$B,2,FALSE)</f>
        <v>6812</v>
      </c>
      <c r="B4226" s="6" t="s">
        <v>5816</v>
      </c>
      <c r="C4226" s="6" t="s">
        <v>13941</v>
      </c>
      <c r="D4226" s="24">
        <v>14444.489112836</v>
      </c>
      <c r="E4226" s="6" t="s">
        <v>5889</v>
      </c>
      <c r="F4226" s="6">
        <v>21</v>
      </c>
      <c r="G4226" s="8">
        <f t="shared" ref="G4226:G4289" si="66">IF(E4226="Dolares",D4226*$G$1,D4226)</f>
        <v>14444.489112836</v>
      </c>
    </row>
    <row r="4227" spans="1:7" x14ac:dyDescent="0.3">
      <c r="A4227" s="14" t="str">
        <f>VLOOKUP(B4227,'Relacion codigos'!$A:$B,2,FALSE)</f>
        <v>6813</v>
      </c>
      <c r="B4227" s="6" t="s">
        <v>5817</v>
      </c>
      <c r="C4227" s="6" t="s">
        <v>13942</v>
      </c>
      <c r="D4227" s="24">
        <v>14444.488968</v>
      </c>
      <c r="E4227" s="6" t="s">
        <v>5889</v>
      </c>
      <c r="F4227" s="6">
        <v>21</v>
      </c>
      <c r="G4227" s="8">
        <f t="shared" si="66"/>
        <v>14444.488968</v>
      </c>
    </row>
    <row r="4228" spans="1:7" x14ac:dyDescent="0.3">
      <c r="A4228" s="14" t="str">
        <f>VLOOKUP(B4228,'Relacion codigos'!$A:$B,2,FALSE)</f>
        <v>6814</v>
      </c>
      <c r="B4228" s="6" t="s">
        <v>5818</v>
      </c>
      <c r="C4228" s="6" t="s">
        <v>13943</v>
      </c>
      <c r="D4228" s="24">
        <v>18530.37820504</v>
      </c>
      <c r="E4228" s="6" t="s">
        <v>5889</v>
      </c>
      <c r="F4228" s="6">
        <v>21</v>
      </c>
      <c r="G4228" s="8">
        <f t="shared" si="66"/>
        <v>18530.37820504</v>
      </c>
    </row>
    <row r="4229" spans="1:7" x14ac:dyDescent="0.3">
      <c r="A4229" s="14" t="str">
        <f>VLOOKUP(B4229,'Relacion codigos'!$A:$B,2,FALSE)</f>
        <v>6815</v>
      </c>
      <c r="B4229" s="6" t="s">
        <v>5819</v>
      </c>
      <c r="C4229" s="6" t="s">
        <v>13944</v>
      </c>
      <c r="D4229" s="24">
        <v>18530.38131117</v>
      </c>
      <c r="E4229" s="6" t="s">
        <v>5889</v>
      </c>
      <c r="F4229" s="6">
        <v>21</v>
      </c>
      <c r="G4229" s="8">
        <f t="shared" si="66"/>
        <v>18530.38131117</v>
      </c>
    </row>
    <row r="4230" spans="1:7" x14ac:dyDescent="0.3">
      <c r="A4230" s="14" t="e">
        <f>VLOOKUP(B4230,'Relacion codigos'!$A:$B,2,FALSE)</f>
        <v>#N/A</v>
      </c>
      <c r="B4230" s="6" t="s">
        <v>13911</v>
      </c>
      <c r="C4230" s="6" t="s">
        <v>13945</v>
      </c>
      <c r="D4230" s="24">
        <v>19374.4144002092</v>
      </c>
      <c r="E4230" s="6" t="s">
        <v>5889</v>
      </c>
      <c r="F4230" s="6">
        <v>21</v>
      </c>
      <c r="G4230" s="8">
        <f t="shared" si="66"/>
        <v>19374.4144002092</v>
      </c>
    </row>
    <row r="4231" spans="1:7" x14ac:dyDescent="0.3">
      <c r="A4231" s="14" t="str">
        <f>VLOOKUP(B4231,'Relacion codigos'!$A:$B,2,FALSE)</f>
        <v>2092</v>
      </c>
      <c r="B4231" s="6" t="s">
        <v>4539</v>
      </c>
      <c r="C4231" s="6" t="s">
        <v>1311</v>
      </c>
      <c r="D4231" s="24">
        <v>19.189674036</v>
      </c>
      <c r="E4231" s="6" t="s">
        <v>5887</v>
      </c>
      <c r="F4231" s="6">
        <v>21</v>
      </c>
      <c r="G4231" s="8">
        <f t="shared" si="66"/>
        <v>29839.94312598</v>
      </c>
    </row>
    <row r="4232" spans="1:7" x14ac:dyDescent="0.3">
      <c r="A4232" s="14" t="e">
        <f>VLOOKUP(B4232,'Relacion codigos'!$A:$B,2,FALSE)</f>
        <v>#N/A</v>
      </c>
      <c r="B4232" s="6" t="s">
        <v>11667</v>
      </c>
      <c r="C4232" s="6" t="s">
        <v>11668</v>
      </c>
      <c r="D4232" s="24">
        <v>7.5825750000000003</v>
      </c>
      <c r="E4232" s="6" t="s">
        <v>5887</v>
      </c>
      <c r="F4232" s="6">
        <v>21</v>
      </c>
      <c r="G4232" s="8">
        <f t="shared" si="66"/>
        <v>11790.904125000001</v>
      </c>
    </row>
    <row r="4233" spans="1:7" x14ac:dyDescent="0.3">
      <c r="A4233" s="14" t="str">
        <f>VLOOKUP(B4233,'Relacion codigos'!$A:$B,2,FALSE)</f>
        <v>9029</v>
      </c>
      <c r="B4233" s="6" t="s">
        <v>5835</v>
      </c>
      <c r="C4233" s="6" t="s">
        <v>1312</v>
      </c>
      <c r="D4233" s="24">
        <v>26.905834800000001</v>
      </c>
      <c r="E4233" s="6" t="s">
        <v>5887</v>
      </c>
      <c r="F4233" s="6">
        <v>21</v>
      </c>
      <c r="G4233" s="8">
        <f t="shared" si="66"/>
        <v>41838.573113999999</v>
      </c>
    </row>
    <row r="4234" spans="1:7" x14ac:dyDescent="0.3">
      <c r="A4234" s="14" t="str">
        <f>VLOOKUP(B4234,'Relacion codigos'!$A:$B,2,FALSE)</f>
        <v>6986</v>
      </c>
      <c r="B4234" s="6" t="s">
        <v>4540</v>
      </c>
      <c r="C4234" s="6" t="s">
        <v>723</v>
      </c>
      <c r="D4234" s="24">
        <v>5.4506112440000196</v>
      </c>
      <c r="E4234" s="6" t="s">
        <v>5887</v>
      </c>
      <c r="F4234" s="6">
        <v>21</v>
      </c>
      <c r="G4234" s="8">
        <f t="shared" si="66"/>
        <v>8475.700484420031</v>
      </c>
    </row>
    <row r="4235" spans="1:7" x14ac:dyDescent="0.3">
      <c r="A4235" s="14" t="str">
        <f>VLOOKUP(B4235,'Relacion codigos'!$A:$B,2,FALSE)</f>
        <v>2069</v>
      </c>
      <c r="B4235" s="6" t="s">
        <v>4541</v>
      </c>
      <c r="C4235" s="6" t="s">
        <v>9037</v>
      </c>
      <c r="D4235" s="24">
        <v>14.525096460159499</v>
      </c>
      <c r="E4235" s="6" t="s">
        <v>5887</v>
      </c>
      <c r="F4235" s="6">
        <v>21</v>
      </c>
      <c r="G4235" s="8">
        <f t="shared" si="66"/>
        <v>22586.524995548021</v>
      </c>
    </row>
    <row r="4236" spans="1:7" x14ac:dyDescent="0.3">
      <c r="A4236" s="14" t="str">
        <f>VLOOKUP(B4236,'Relacion codigos'!$A:$B,2,FALSE)</f>
        <v>522</v>
      </c>
      <c r="B4236" s="6" t="s">
        <v>4542</v>
      </c>
      <c r="C4236" s="6" t="s">
        <v>724</v>
      </c>
      <c r="D4236" s="24">
        <v>7.2240138360000001</v>
      </c>
      <c r="E4236" s="6" t="s">
        <v>5887</v>
      </c>
      <c r="F4236" s="6">
        <v>21</v>
      </c>
      <c r="G4236" s="8">
        <f t="shared" si="66"/>
        <v>11233.34151498</v>
      </c>
    </row>
    <row r="4237" spans="1:7" x14ac:dyDescent="0.3">
      <c r="A4237" s="14" t="str">
        <f>VLOOKUP(B4237,'Relacion codigos'!$A:$B,2,FALSE)</f>
        <v>2449</v>
      </c>
      <c r="B4237" s="6" t="s">
        <v>4543</v>
      </c>
      <c r="C4237" s="6" t="s">
        <v>725</v>
      </c>
      <c r="D4237" s="24">
        <v>7.2240138360000001</v>
      </c>
      <c r="E4237" s="6" t="s">
        <v>5887</v>
      </c>
      <c r="F4237" s="6">
        <v>21</v>
      </c>
      <c r="G4237" s="8">
        <f t="shared" si="66"/>
        <v>11233.34151498</v>
      </c>
    </row>
    <row r="4238" spans="1:7" x14ac:dyDescent="0.3">
      <c r="A4238" s="14" t="e">
        <f>VLOOKUP(B4238,'Relacion codigos'!$A:$B,2,FALSE)</f>
        <v>#N/A</v>
      </c>
      <c r="B4238" s="6" t="s">
        <v>11860</v>
      </c>
      <c r="C4238" s="6" t="s">
        <v>11861</v>
      </c>
      <c r="D4238" s="24">
        <v>7.5825750000000003</v>
      </c>
      <c r="E4238" s="6" t="s">
        <v>5887</v>
      </c>
      <c r="F4238" s="6">
        <v>21</v>
      </c>
      <c r="G4238" s="8">
        <f t="shared" si="66"/>
        <v>11790.904125000001</v>
      </c>
    </row>
    <row r="4239" spans="1:7" x14ac:dyDescent="0.3">
      <c r="A4239" s="14" t="str">
        <f>VLOOKUP(B4239,'Relacion codigos'!$A:$B,2,FALSE)</f>
        <v>6987</v>
      </c>
      <c r="B4239" s="6" t="s">
        <v>4544</v>
      </c>
      <c r="C4239" s="6" t="s">
        <v>726</v>
      </c>
      <c r="D4239" s="24">
        <v>5.4506112440000196</v>
      </c>
      <c r="E4239" s="6" t="s">
        <v>5887</v>
      </c>
      <c r="F4239" s="6">
        <v>21</v>
      </c>
      <c r="G4239" s="8">
        <f t="shared" si="66"/>
        <v>8475.700484420031</v>
      </c>
    </row>
    <row r="4240" spans="1:7" x14ac:dyDescent="0.3">
      <c r="A4240" s="14" t="e">
        <f>VLOOKUP(B4240,'Relacion codigos'!$A:$B,2,FALSE)</f>
        <v>#N/A</v>
      </c>
      <c r="B4240" s="6" t="s">
        <v>9001</v>
      </c>
      <c r="C4240" s="6" t="s">
        <v>9002</v>
      </c>
      <c r="D4240" s="24">
        <v>14.525094636</v>
      </c>
      <c r="E4240" s="6" t="s">
        <v>5887</v>
      </c>
      <c r="F4240" s="6">
        <v>21</v>
      </c>
      <c r="G4240" s="8">
        <f t="shared" si="66"/>
        <v>22586.522158980002</v>
      </c>
    </row>
    <row r="4241" spans="1:7" x14ac:dyDescent="0.3">
      <c r="A4241" s="14" t="e">
        <f>VLOOKUP(B4241,'Relacion codigos'!$A:$B,2,FALSE)</f>
        <v>#N/A</v>
      </c>
      <c r="B4241" s="6" t="s">
        <v>10908</v>
      </c>
      <c r="C4241" s="6" t="s">
        <v>10909</v>
      </c>
      <c r="D4241" s="24">
        <v>7.5825750000000003</v>
      </c>
      <c r="E4241" s="6" t="s">
        <v>5887</v>
      </c>
      <c r="F4241" s="6">
        <v>21</v>
      </c>
      <c r="G4241" s="8">
        <f t="shared" si="66"/>
        <v>11790.904125000001</v>
      </c>
    </row>
    <row r="4242" spans="1:7" x14ac:dyDescent="0.3">
      <c r="A4242" s="14" t="str">
        <f>VLOOKUP(B4242,'Relacion codigos'!$A:$B,2,FALSE)</f>
        <v>6988</v>
      </c>
      <c r="B4242" s="6" t="s">
        <v>4546</v>
      </c>
      <c r="C4242" s="6" t="s">
        <v>727</v>
      </c>
      <c r="D4242" s="24">
        <v>5.4506112440000196</v>
      </c>
      <c r="E4242" s="6" t="s">
        <v>5887</v>
      </c>
      <c r="F4242" s="6">
        <v>21</v>
      </c>
      <c r="G4242" s="8">
        <f t="shared" si="66"/>
        <v>8475.700484420031</v>
      </c>
    </row>
    <row r="4243" spans="1:7" x14ac:dyDescent="0.3">
      <c r="A4243" s="14" t="str">
        <f>VLOOKUP(B4243,'Relacion codigos'!$A:$B,2,FALSE)</f>
        <v>2091</v>
      </c>
      <c r="B4243" s="6" t="s">
        <v>4547</v>
      </c>
      <c r="C4243" s="6" t="s">
        <v>1313</v>
      </c>
      <c r="D4243" s="24">
        <v>14.525094636000199</v>
      </c>
      <c r="E4243" s="6" t="s">
        <v>5887</v>
      </c>
      <c r="F4243" s="6">
        <v>21</v>
      </c>
      <c r="G4243" s="8">
        <f t="shared" si="66"/>
        <v>22586.522158980311</v>
      </c>
    </row>
    <row r="4244" spans="1:7" x14ac:dyDescent="0.3">
      <c r="A4244" s="14" t="str">
        <f>VLOOKUP(B4244,'Relacion codigos'!$A:$B,2,FALSE)</f>
        <v>2450</v>
      </c>
      <c r="B4244" s="6" t="s">
        <v>4548</v>
      </c>
      <c r="C4244" s="6" t="s">
        <v>728</v>
      </c>
      <c r="D4244" s="24">
        <v>7.2240138360000001</v>
      </c>
      <c r="E4244" s="6" t="s">
        <v>5887</v>
      </c>
      <c r="F4244" s="6">
        <v>21</v>
      </c>
      <c r="G4244" s="8">
        <f t="shared" si="66"/>
        <v>11233.34151498</v>
      </c>
    </row>
    <row r="4245" spans="1:7" x14ac:dyDescent="0.3">
      <c r="A4245" s="14" t="e">
        <f>VLOOKUP(B4245,'Relacion codigos'!$A:$B,2,FALSE)</f>
        <v>#N/A</v>
      </c>
      <c r="B4245" s="6" t="s">
        <v>10897</v>
      </c>
      <c r="C4245" s="6" t="s">
        <v>11433</v>
      </c>
      <c r="D4245" s="24">
        <v>7.5825750000000003</v>
      </c>
      <c r="E4245" s="6" t="s">
        <v>5887</v>
      </c>
      <c r="F4245" s="6">
        <v>21</v>
      </c>
      <c r="G4245" s="8">
        <f t="shared" si="66"/>
        <v>11790.904125000001</v>
      </c>
    </row>
    <row r="4246" spans="1:7" x14ac:dyDescent="0.3">
      <c r="A4246" s="14" t="str">
        <f>VLOOKUP(B4246,'Relacion codigos'!$A:$B,2,FALSE)</f>
        <v>6989</v>
      </c>
      <c r="B4246" s="6" t="s">
        <v>4549</v>
      </c>
      <c r="C4246" s="6" t="s">
        <v>729</v>
      </c>
      <c r="D4246" s="24">
        <v>5.4506112440000196</v>
      </c>
      <c r="E4246" s="6" t="s">
        <v>5887</v>
      </c>
      <c r="F4246" s="6">
        <v>21</v>
      </c>
      <c r="G4246" s="8">
        <f t="shared" si="66"/>
        <v>8475.700484420031</v>
      </c>
    </row>
    <row r="4247" spans="1:7" x14ac:dyDescent="0.3">
      <c r="A4247" s="14" t="e">
        <f>VLOOKUP(B4247,'Relacion codigos'!$A:$B,2,FALSE)</f>
        <v>#N/A</v>
      </c>
      <c r="B4247" s="6" t="s">
        <v>9541</v>
      </c>
      <c r="C4247" s="6" t="s">
        <v>9542</v>
      </c>
      <c r="D4247" s="24">
        <v>14.525094636000199</v>
      </c>
      <c r="E4247" s="6" t="s">
        <v>5887</v>
      </c>
      <c r="F4247" s="6">
        <v>21</v>
      </c>
      <c r="G4247" s="8">
        <f t="shared" si="66"/>
        <v>22586.522158980311</v>
      </c>
    </row>
    <row r="4248" spans="1:7" x14ac:dyDescent="0.3">
      <c r="A4248" s="14" t="str">
        <f>VLOOKUP(B4248,'Relacion codigos'!$A:$B,2,FALSE)</f>
        <v>2451</v>
      </c>
      <c r="B4248" s="6" t="s">
        <v>4551</v>
      </c>
      <c r="C4248" s="6" t="s">
        <v>730</v>
      </c>
      <c r="D4248" s="24">
        <v>7.2240138360000001</v>
      </c>
      <c r="E4248" s="6" t="s">
        <v>5887</v>
      </c>
      <c r="F4248" s="6">
        <v>21</v>
      </c>
      <c r="G4248" s="8">
        <f t="shared" si="66"/>
        <v>11233.34151498</v>
      </c>
    </row>
    <row r="4249" spans="1:7" x14ac:dyDescent="0.3">
      <c r="A4249" s="14" t="e">
        <f>VLOOKUP(B4249,'Relacion codigos'!$A:$B,2,FALSE)</f>
        <v>#N/A</v>
      </c>
      <c r="B4249" s="6" t="s">
        <v>10910</v>
      </c>
      <c r="C4249" s="6" t="s">
        <v>12577</v>
      </c>
      <c r="D4249" s="24">
        <v>7.5825750000000003</v>
      </c>
      <c r="E4249" s="6" t="s">
        <v>5887</v>
      </c>
      <c r="F4249" s="6">
        <v>21</v>
      </c>
      <c r="G4249" s="8">
        <f t="shared" si="66"/>
        <v>11790.904125000001</v>
      </c>
    </row>
    <row r="4250" spans="1:7" x14ac:dyDescent="0.3">
      <c r="A4250" s="14" t="str">
        <f>VLOOKUP(B4250,'Relacion codigos'!$A:$B,2,FALSE)</f>
        <v>9312</v>
      </c>
      <c r="B4250" s="6" t="s">
        <v>4584</v>
      </c>
      <c r="C4250" s="6" t="s">
        <v>1314</v>
      </c>
      <c r="D4250" s="24">
        <v>5.4506112440000196</v>
      </c>
      <c r="E4250" s="6" t="s">
        <v>5887</v>
      </c>
      <c r="F4250" s="6">
        <v>21</v>
      </c>
      <c r="G4250" s="8">
        <f t="shared" si="66"/>
        <v>8475.700484420031</v>
      </c>
    </row>
    <row r="4251" spans="1:7" x14ac:dyDescent="0.3">
      <c r="A4251" s="14" t="str">
        <f>VLOOKUP(B4251,'Relacion codigos'!$A:$B,2,FALSE)</f>
        <v>2056</v>
      </c>
      <c r="B4251" s="6" t="s">
        <v>4552</v>
      </c>
      <c r="C4251" s="6" t="s">
        <v>1315</v>
      </c>
      <c r="D4251" s="24">
        <v>14.525094636</v>
      </c>
      <c r="E4251" s="6" t="s">
        <v>5887</v>
      </c>
      <c r="F4251" s="6">
        <v>21</v>
      </c>
      <c r="G4251" s="8">
        <f t="shared" si="66"/>
        <v>22586.522158980002</v>
      </c>
    </row>
    <row r="4252" spans="1:7" x14ac:dyDescent="0.3">
      <c r="A4252" s="14" t="str">
        <f>VLOOKUP(B4252,'Relacion codigos'!$A:$B,2,FALSE)</f>
        <v>2452</v>
      </c>
      <c r="B4252" s="6" t="s">
        <v>4553</v>
      </c>
      <c r="C4252" s="6" t="s">
        <v>731</v>
      </c>
      <c r="D4252" s="24">
        <v>7.2240138360000001</v>
      </c>
      <c r="E4252" s="6" t="s">
        <v>5887</v>
      </c>
      <c r="F4252" s="6">
        <v>21</v>
      </c>
      <c r="G4252" s="8">
        <f t="shared" si="66"/>
        <v>11233.34151498</v>
      </c>
    </row>
    <row r="4253" spans="1:7" x14ac:dyDescent="0.3">
      <c r="A4253" s="14" t="e">
        <f>VLOOKUP(B4253,'Relacion codigos'!$A:$B,2,FALSE)</f>
        <v>#N/A</v>
      </c>
      <c r="B4253" s="6" t="s">
        <v>10911</v>
      </c>
      <c r="C4253" s="6" t="s">
        <v>11930</v>
      </c>
      <c r="D4253" s="24">
        <v>8.3537999999999997</v>
      </c>
      <c r="E4253" s="6" t="s">
        <v>5887</v>
      </c>
      <c r="F4253" s="6">
        <v>21</v>
      </c>
      <c r="G4253" s="8">
        <f t="shared" si="66"/>
        <v>12990.159</v>
      </c>
    </row>
    <row r="4254" spans="1:7" x14ac:dyDescent="0.3">
      <c r="A4254" s="14" t="str">
        <f>VLOOKUP(B4254,'Relacion codigos'!$A:$B,2,FALSE)</f>
        <v>9313</v>
      </c>
      <c r="B4254" s="6" t="s">
        <v>4585</v>
      </c>
      <c r="C4254" s="6" t="s">
        <v>1316</v>
      </c>
      <c r="D4254" s="24">
        <v>6.0071002680000101</v>
      </c>
      <c r="E4254" s="6" t="s">
        <v>5887</v>
      </c>
      <c r="F4254" s="6">
        <v>21</v>
      </c>
      <c r="G4254" s="8">
        <f t="shared" si="66"/>
        <v>9341.0409167400157</v>
      </c>
    </row>
    <row r="4255" spans="1:7" x14ac:dyDescent="0.3">
      <c r="A4255" s="14" t="str">
        <f>VLOOKUP(B4255,'Relacion codigos'!$A:$B,2,FALSE)</f>
        <v>9069</v>
      </c>
      <c r="B4255" s="6" t="s">
        <v>5825</v>
      </c>
      <c r="C4255" s="6" t="s">
        <v>1317</v>
      </c>
      <c r="D4255" s="24">
        <v>18.139129632</v>
      </c>
      <c r="E4255" s="6" t="s">
        <v>5887</v>
      </c>
      <c r="F4255" s="6">
        <v>21</v>
      </c>
      <c r="G4255" s="8">
        <f t="shared" si="66"/>
        <v>28206.346577759999</v>
      </c>
    </row>
    <row r="4256" spans="1:7" x14ac:dyDescent="0.3">
      <c r="A4256" s="14" t="str">
        <f>VLOOKUP(B4256,'Relacion codigos'!$A:$B,2,FALSE)</f>
        <v>2453</v>
      </c>
      <c r="B4256" s="6" t="s">
        <v>4554</v>
      </c>
      <c r="C4256" s="6" t="s">
        <v>732</v>
      </c>
      <c r="D4256" s="24">
        <v>9.2277549000000008</v>
      </c>
      <c r="E4256" s="6" t="s">
        <v>5887</v>
      </c>
      <c r="F4256" s="6">
        <v>21</v>
      </c>
      <c r="G4256" s="8">
        <f t="shared" si="66"/>
        <v>14349.158869500001</v>
      </c>
    </row>
    <row r="4257" spans="1:7" x14ac:dyDescent="0.3">
      <c r="A4257" s="14" t="e">
        <f>VLOOKUP(B4257,'Relacion codigos'!$A:$B,2,FALSE)</f>
        <v>#N/A</v>
      </c>
      <c r="B4257" s="6" t="s">
        <v>10912</v>
      </c>
      <c r="C4257" s="6" t="s">
        <v>10913</v>
      </c>
      <c r="D4257" s="24">
        <v>9.3502500000000008</v>
      </c>
      <c r="E4257" s="6" t="s">
        <v>5887</v>
      </c>
      <c r="F4257" s="6">
        <v>21</v>
      </c>
      <c r="G4257" s="8">
        <f t="shared" si="66"/>
        <v>14539.638750000002</v>
      </c>
    </row>
    <row r="4258" spans="1:7" x14ac:dyDescent="0.3">
      <c r="A4258" s="14" t="e">
        <f>VLOOKUP(B4258,'Relacion codigos'!$A:$B,2,FALSE)</f>
        <v>#N/A</v>
      </c>
      <c r="B4258" s="6" t="s">
        <v>9313</v>
      </c>
      <c r="C4258" s="6" t="s">
        <v>9314</v>
      </c>
      <c r="D4258" s="24">
        <v>6.0071002680000101</v>
      </c>
      <c r="E4258" s="6" t="s">
        <v>5887</v>
      </c>
      <c r="F4258" s="6">
        <v>21</v>
      </c>
      <c r="G4258" s="8">
        <f t="shared" si="66"/>
        <v>9341.0409167400157</v>
      </c>
    </row>
    <row r="4259" spans="1:7" x14ac:dyDescent="0.3">
      <c r="A4259" s="14" t="e">
        <f>VLOOKUP(B4259,'Relacion codigos'!$A:$B,2,FALSE)</f>
        <v>#N/A</v>
      </c>
      <c r="B4259" s="6" t="s">
        <v>9003</v>
      </c>
      <c r="C4259" s="6" t="s">
        <v>9004</v>
      </c>
      <c r="D4259" s="24">
        <v>32.0111831520002</v>
      </c>
      <c r="E4259" s="6" t="s">
        <v>5887</v>
      </c>
      <c r="F4259" s="6">
        <v>21</v>
      </c>
      <c r="G4259" s="8">
        <f t="shared" si="66"/>
        <v>49777.38980136031</v>
      </c>
    </row>
    <row r="4260" spans="1:7" x14ac:dyDescent="0.3">
      <c r="A4260" s="14" t="str">
        <f>VLOOKUP(B4260,'Relacion codigos'!$A:$B,2,FALSE)</f>
        <v>2454</v>
      </c>
      <c r="B4260" s="6" t="s">
        <v>4556</v>
      </c>
      <c r="C4260" s="6" t="s">
        <v>733</v>
      </c>
      <c r="D4260" s="24">
        <v>11.126035908</v>
      </c>
      <c r="E4260" s="6" t="s">
        <v>5887</v>
      </c>
      <c r="F4260" s="6">
        <v>21</v>
      </c>
      <c r="G4260" s="8">
        <f t="shared" si="66"/>
        <v>17300.985836939999</v>
      </c>
    </row>
    <row r="4261" spans="1:7" x14ac:dyDescent="0.3">
      <c r="A4261" s="14" t="e">
        <f>VLOOKUP(B4261,'Relacion codigos'!$A:$B,2,FALSE)</f>
        <v>#N/A</v>
      </c>
      <c r="B4261" s="6" t="s">
        <v>11931</v>
      </c>
      <c r="C4261" s="6" t="s">
        <v>11932</v>
      </c>
      <c r="D4261" s="24">
        <v>8.3537999999999997</v>
      </c>
      <c r="E4261" s="6" t="s">
        <v>5887</v>
      </c>
      <c r="F4261" s="6">
        <v>21</v>
      </c>
      <c r="G4261" s="8">
        <f t="shared" si="66"/>
        <v>12990.159</v>
      </c>
    </row>
    <row r="4262" spans="1:7" x14ac:dyDescent="0.3">
      <c r="A4262" s="14" t="e">
        <f>VLOOKUP(B4262,'Relacion codigos'!$A:$B,2,FALSE)</f>
        <v>#N/A</v>
      </c>
      <c r="B4262" s="6" t="s">
        <v>10914</v>
      </c>
      <c r="C4262" s="6" t="s">
        <v>12579</v>
      </c>
      <c r="D4262" s="24">
        <v>9.3502500000000008</v>
      </c>
      <c r="E4262" s="6" t="s">
        <v>5887</v>
      </c>
      <c r="F4262" s="6">
        <v>21</v>
      </c>
      <c r="G4262" s="8">
        <f t="shared" si="66"/>
        <v>14539.638750000002</v>
      </c>
    </row>
    <row r="4263" spans="1:7" x14ac:dyDescent="0.3">
      <c r="A4263" s="14" t="e">
        <f>VLOOKUP(B4263,'Relacion codigos'!$A:$B,2,FALSE)</f>
        <v>#N/A</v>
      </c>
      <c r="B4263" s="6" t="s">
        <v>9337</v>
      </c>
      <c r="C4263" s="6" t="s">
        <v>9338</v>
      </c>
      <c r="D4263" s="24">
        <v>6.0071002680000101</v>
      </c>
      <c r="E4263" s="6" t="s">
        <v>5887</v>
      </c>
      <c r="F4263" s="6">
        <v>21</v>
      </c>
      <c r="G4263" s="8">
        <f t="shared" si="66"/>
        <v>9341.0409167400157</v>
      </c>
    </row>
    <row r="4264" spans="1:7" x14ac:dyDescent="0.3">
      <c r="A4264" s="14" t="str">
        <f>VLOOKUP(B4264,'Relacion codigos'!$A:$B,2,FALSE)</f>
        <v>2062</v>
      </c>
      <c r="B4264" s="6" t="s">
        <v>4557</v>
      </c>
      <c r="C4264" s="6" t="s">
        <v>1318</v>
      </c>
      <c r="D4264" s="24">
        <v>32.011183152000001</v>
      </c>
      <c r="E4264" s="6" t="s">
        <v>5887</v>
      </c>
      <c r="F4264" s="6">
        <v>21</v>
      </c>
      <c r="G4264" s="8">
        <f t="shared" si="66"/>
        <v>49777.389801360005</v>
      </c>
    </row>
    <row r="4265" spans="1:7" x14ac:dyDescent="0.3">
      <c r="A4265" s="14" t="str">
        <f>VLOOKUP(B4265,'Relacion codigos'!$A:$B,2,FALSE)</f>
        <v>8292</v>
      </c>
      <c r="B4265" s="6" t="s">
        <v>5836</v>
      </c>
      <c r="C4265" s="6" t="s">
        <v>1319</v>
      </c>
      <c r="D4265" s="24">
        <v>233.29406879999999</v>
      </c>
      <c r="E4265" s="6" t="s">
        <v>5887</v>
      </c>
      <c r="F4265" s="6">
        <v>21</v>
      </c>
      <c r="G4265" s="8">
        <f t="shared" si="66"/>
        <v>362772.276984</v>
      </c>
    </row>
    <row r="4266" spans="1:7" x14ac:dyDescent="0.3">
      <c r="A4266" s="14" t="str">
        <f>VLOOKUP(B4266,'Relacion codigos'!$A:$B,2,FALSE)</f>
        <v>6816</v>
      </c>
      <c r="B4266" s="6" t="s">
        <v>5820</v>
      </c>
      <c r="C4266" s="6" t="s">
        <v>734</v>
      </c>
      <c r="D4266" s="24">
        <v>29.788413405029299</v>
      </c>
      <c r="E4266" s="6" t="s">
        <v>5887</v>
      </c>
      <c r="F4266" s="6">
        <v>21</v>
      </c>
      <c r="G4266" s="8">
        <f t="shared" si="66"/>
        <v>46320.982844820559</v>
      </c>
    </row>
    <row r="4267" spans="1:7" x14ac:dyDescent="0.3">
      <c r="A4267" s="14" t="str">
        <f>VLOOKUP(B4267,'Relacion codigos'!$A:$B,2,FALSE)</f>
        <v>6818</v>
      </c>
      <c r="B4267" s="6" t="s">
        <v>5821</v>
      </c>
      <c r="C4267" s="6" t="s">
        <v>735</v>
      </c>
      <c r="D4267" s="24">
        <v>29.788413405029299</v>
      </c>
      <c r="E4267" s="6" t="s">
        <v>5887</v>
      </c>
      <c r="F4267" s="6">
        <v>21</v>
      </c>
      <c r="G4267" s="8">
        <f t="shared" si="66"/>
        <v>46320.982844820559</v>
      </c>
    </row>
    <row r="4268" spans="1:7" x14ac:dyDescent="0.3">
      <c r="A4268" s="14" t="str">
        <f>VLOOKUP(B4268,'Relacion codigos'!$A:$B,2,FALSE)</f>
        <v>6821</v>
      </c>
      <c r="B4268" s="6" t="s">
        <v>5822</v>
      </c>
      <c r="C4268" s="6" t="s">
        <v>736</v>
      </c>
      <c r="D4268" s="24">
        <v>33.751274076000001</v>
      </c>
      <c r="E4268" s="6" t="s">
        <v>5887</v>
      </c>
      <c r="F4268" s="6">
        <v>21</v>
      </c>
      <c r="G4268" s="8">
        <f t="shared" si="66"/>
        <v>52483.231188180005</v>
      </c>
    </row>
    <row r="4269" spans="1:7" x14ac:dyDescent="0.3">
      <c r="A4269" s="14" t="str">
        <f>VLOOKUP(B4269,'Relacion codigos'!$A:$B,2,FALSE)</f>
        <v>9034</v>
      </c>
      <c r="B4269" s="6" t="s">
        <v>4586</v>
      </c>
      <c r="C4269" s="6" t="s">
        <v>1320</v>
      </c>
      <c r="D4269" s="24">
        <v>8.5659560480000003</v>
      </c>
      <c r="E4269" s="6" t="s">
        <v>5887</v>
      </c>
      <c r="F4269" s="6">
        <v>21</v>
      </c>
      <c r="G4269" s="8">
        <f t="shared" si="66"/>
        <v>13320.06165464</v>
      </c>
    </row>
    <row r="4270" spans="1:7" x14ac:dyDescent="0.3">
      <c r="A4270" s="14" t="str">
        <f>VLOOKUP(B4270,'Relacion codigos'!$A:$B,2,FALSE)</f>
        <v>2085</v>
      </c>
      <c r="B4270" s="6" t="s">
        <v>4604</v>
      </c>
      <c r="C4270" s="6" t="s">
        <v>9149</v>
      </c>
      <c r="D4270" s="24">
        <v>26.117588483999899</v>
      </c>
      <c r="E4270" s="6" t="s">
        <v>5887</v>
      </c>
      <c r="F4270" s="6">
        <v>21</v>
      </c>
      <c r="G4270" s="8">
        <f t="shared" si="66"/>
        <v>40612.850092619847</v>
      </c>
    </row>
    <row r="4271" spans="1:7" x14ac:dyDescent="0.3">
      <c r="A4271" s="14" t="e">
        <f>VLOOKUP(B4271,'Relacion codigos'!$A:$B,2,FALSE)</f>
        <v>#N/A</v>
      </c>
      <c r="B4271" s="6" t="s">
        <v>10915</v>
      </c>
      <c r="C4271" s="6" t="s">
        <v>11862</v>
      </c>
      <c r="D4271" s="24">
        <v>9.6369000000000007</v>
      </c>
      <c r="E4271" s="6" t="s">
        <v>5887</v>
      </c>
      <c r="F4271" s="6">
        <v>21</v>
      </c>
      <c r="G4271" s="8">
        <f t="shared" si="66"/>
        <v>14985.379500000001</v>
      </c>
    </row>
    <row r="4272" spans="1:7" x14ac:dyDescent="0.3">
      <c r="A4272" s="14" t="str">
        <f>VLOOKUP(B4272,'Relacion codigos'!$A:$B,2,FALSE)</f>
        <v>8442</v>
      </c>
      <c r="B4272" s="6" t="s">
        <v>5837</v>
      </c>
      <c r="C4272" s="6" t="s">
        <v>1321</v>
      </c>
      <c r="D4272" s="24">
        <v>36.810867600000002</v>
      </c>
      <c r="E4272" s="6" t="s">
        <v>5887</v>
      </c>
      <c r="F4272" s="6">
        <v>21</v>
      </c>
      <c r="G4272" s="8">
        <f t="shared" si="66"/>
        <v>57240.899118000001</v>
      </c>
    </row>
    <row r="4273" spans="1:7" x14ac:dyDescent="0.3">
      <c r="A4273" s="14" t="str">
        <f>VLOOKUP(B4273,'Relacion codigos'!$A:$B,2,FALSE)</f>
        <v>6990</v>
      </c>
      <c r="B4273" s="6" t="s">
        <v>4558</v>
      </c>
      <c r="C4273" s="6" t="s">
        <v>737</v>
      </c>
      <c r="D4273" s="24">
        <v>7.2592005720000099</v>
      </c>
      <c r="E4273" s="6" t="s">
        <v>5887</v>
      </c>
      <c r="F4273" s="6">
        <v>21</v>
      </c>
      <c r="G4273" s="8">
        <f t="shared" si="66"/>
        <v>11288.056889460015</v>
      </c>
    </row>
    <row r="4274" spans="1:7" x14ac:dyDescent="0.3">
      <c r="A4274" s="14" t="str">
        <f>VLOOKUP(B4274,'Relacion codigos'!$A:$B,2,FALSE)</f>
        <v>NUEVO</v>
      </c>
      <c r="B4274" s="6" t="s">
        <v>8727</v>
      </c>
      <c r="C4274" s="6" t="s">
        <v>8744</v>
      </c>
      <c r="D4274" s="24">
        <v>21.229920504000098</v>
      </c>
      <c r="E4274" s="6" t="s">
        <v>5887</v>
      </c>
      <c r="F4274" s="6">
        <v>21</v>
      </c>
      <c r="G4274" s="8">
        <f t="shared" si="66"/>
        <v>33012.526383720156</v>
      </c>
    </row>
    <row r="4275" spans="1:7" x14ac:dyDescent="0.3">
      <c r="A4275" s="14" t="str">
        <f>VLOOKUP(B4275,'Relacion codigos'!$A:$B,2,FALSE)</f>
        <v>1074</v>
      </c>
      <c r="B4275" s="6" t="s">
        <v>4560</v>
      </c>
      <c r="C4275" s="6" t="s">
        <v>738</v>
      </c>
      <c r="D4275" s="24">
        <v>10.466910558</v>
      </c>
      <c r="E4275" s="6" t="s">
        <v>5887</v>
      </c>
      <c r="F4275" s="6">
        <v>21</v>
      </c>
      <c r="G4275" s="8">
        <f t="shared" si="66"/>
        <v>16276.04591769</v>
      </c>
    </row>
    <row r="4276" spans="1:7" x14ac:dyDescent="0.3">
      <c r="A4276" s="14" t="e">
        <f>VLOOKUP(B4276,'Relacion codigos'!$A:$B,2,FALSE)</f>
        <v>#N/A</v>
      </c>
      <c r="B4276" s="6" t="s">
        <v>10916</v>
      </c>
      <c r="C4276" s="6" t="s">
        <v>11863</v>
      </c>
      <c r="D4276" s="24">
        <v>61.240724999999998</v>
      </c>
      <c r="E4276" s="6" t="s">
        <v>5887</v>
      </c>
      <c r="F4276" s="6">
        <v>21</v>
      </c>
      <c r="G4276" s="8">
        <f t="shared" si="66"/>
        <v>95229.327374999993</v>
      </c>
    </row>
    <row r="4277" spans="1:7" x14ac:dyDescent="0.3">
      <c r="A4277" s="14" t="str">
        <f>VLOOKUP(B4277,'Relacion codigos'!$A:$B,2,FALSE)</f>
        <v>2494</v>
      </c>
      <c r="B4277" s="6" t="s">
        <v>5838</v>
      </c>
      <c r="C4277" s="6" t="s">
        <v>9150</v>
      </c>
      <c r="D4277" s="24">
        <v>238.5169956</v>
      </c>
      <c r="E4277" s="6" t="s">
        <v>5887</v>
      </c>
      <c r="F4277" s="6">
        <v>21</v>
      </c>
      <c r="G4277" s="8">
        <f t="shared" si="66"/>
        <v>370893.928158</v>
      </c>
    </row>
    <row r="4278" spans="1:7" x14ac:dyDescent="0.3">
      <c r="A4278" s="14" t="str">
        <f>VLOOKUP(B4278,'Relacion codigos'!$A:$B,2,FALSE)</f>
        <v>2455</v>
      </c>
      <c r="B4278" s="6" t="s">
        <v>4561</v>
      </c>
      <c r="C4278" s="6" t="s">
        <v>739</v>
      </c>
      <c r="D4278" s="24">
        <v>54.865594133999998</v>
      </c>
      <c r="E4278" s="6" t="s">
        <v>5887</v>
      </c>
      <c r="F4278" s="6">
        <v>21</v>
      </c>
      <c r="G4278" s="8">
        <f t="shared" si="66"/>
        <v>85315.998878369996</v>
      </c>
    </row>
    <row r="4279" spans="1:7" x14ac:dyDescent="0.3">
      <c r="A4279" s="14" t="e">
        <f>VLOOKUP(B4279,'Relacion codigos'!$A:$B,2,FALSE)</f>
        <v>#N/A</v>
      </c>
      <c r="B4279" s="6" t="s">
        <v>11844</v>
      </c>
      <c r="C4279" s="6" t="s">
        <v>11845</v>
      </c>
      <c r="D4279" s="24">
        <v>76.549199999999999</v>
      </c>
      <c r="E4279" s="6" t="s">
        <v>5887</v>
      </c>
      <c r="F4279" s="6">
        <v>21</v>
      </c>
      <c r="G4279" s="8">
        <f t="shared" si="66"/>
        <v>119034.00599999999</v>
      </c>
    </row>
    <row r="4280" spans="1:7" x14ac:dyDescent="0.3">
      <c r="A4280" s="14" t="str">
        <f>VLOOKUP(B4280,'Relacion codigos'!$A:$B,2,FALSE)</f>
        <v>427</v>
      </c>
      <c r="B4280" s="6" t="s">
        <v>4610</v>
      </c>
      <c r="C4280" s="6" t="s">
        <v>1322</v>
      </c>
      <c r="D4280" s="24">
        <v>266.25409200000001</v>
      </c>
      <c r="E4280" s="6" t="s">
        <v>5887</v>
      </c>
      <c r="F4280" s="6">
        <v>21</v>
      </c>
      <c r="G4280" s="8">
        <f t="shared" si="66"/>
        <v>414025.11306</v>
      </c>
    </row>
    <row r="4281" spans="1:7" x14ac:dyDescent="0.3">
      <c r="A4281" s="14" t="e">
        <f>VLOOKUP(B4281,'Relacion codigos'!$A:$B,2,FALSE)</f>
        <v>#N/A</v>
      </c>
      <c r="B4281" s="6" t="s">
        <v>10917</v>
      </c>
      <c r="C4281" s="6" t="s">
        <v>10918</v>
      </c>
      <c r="D4281" s="24">
        <v>9.6369000000000007</v>
      </c>
      <c r="E4281" s="6" t="s">
        <v>5887</v>
      </c>
      <c r="F4281" s="6">
        <v>21</v>
      </c>
      <c r="G4281" s="8">
        <f t="shared" si="66"/>
        <v>14985.379500000001</v>
      </c>
    </row>
    <row r="4282" spans="1:7" x14ac:dyDescent="0.3">
      <c r="A4282" s="14" t="str">
        <f>VLOOKUP(B4282,'Relacion codigos'!$A:$B,2,FALSE)</f>
        <v>8443</v>
      </c>
      <c r="B4282" s="6" t="s">
        <v>5839</v>
      </c>
      <c r="C4282" s="6" t="s">
        <v>1323</v>
      </c>
      <c r="D4282" s="24">
        <v>36.810867600000002</v>
      </c>
      <c r="E4282" s="6" t="s">
        <v>5887</v>
      </c>
      <c r="F4282" s="6">
        <v>21</v>
      </c>
      <c r="G4282" s="8">
        <f t="shared" si="66"/>
        <v>57240.899118000001</v>
      </c>
    </row>
    <row r="4283" spans="1:7" x14ac:dyDescent="0.3">
      <c r="A4283" s="14" t="str">
        <f>VLOOKUP(B4283,'Relacion codigos'!$A:$B,2,FALSE)</f>
        <v>6991</v>
      </c>
      <c r="B4283" s="6" t="s">
        <v>4562</v>
      </c>
      <c r="C4283" s="6" t="s">
        <v>740</v>
      </c>
      <c r="D4283" s="24">
        <v>7.2592005720000099</v>
      </c>
      <c r="E4283" s="6" t="s">
        <v>5887</v>
      </c>
      <c r="F4283" s="6">
        <v>21</v>
      </c>
      <c r="G4283" s="8">
        <f t="shared" si="66"/>
        <v>11288.056889460015</v>
      </c>
    </row>
    <row r="4284" spans="1:7" x14ac:dyDescent="0.3">
      <c r="A4284" s="14" t="str">
        <f>VLOOKUP(B4284,'Relacion codigos'!$A:$B,2,FALSE)</f>
        <v>NUEVO</v>
      </c>
      <c r="B4284" s="6" t="s">
        <v>8729</v>
      </c>
      <c r="C4284" s="6" t="s">
        <v>8746</v>
      </c>
      <c r="D4284" s="24">
        <v>21.229920504000098</v>
      </c>
      <c r="E4284" s="6" t="s">
        <v>5887</v>
      </c>
      <c r="F4284" s="6">
        <v>21</v>
      </c>
      <c r="G4284" s="8">
        <f t="shared" si="66"/>
        <v>33012.526383720156</v>
      </c>
    </row>
    <row r="4285" spans="1:7" x14ac:dyDescent="0.3">
      <c r="A4285" s="14" t="str">
        <f>VLOOKUP(B4285,'Relacion codigos'!$A:$B,2,FALSE)</f>
        <v>1106</v>
      </c>
      <c r="B4285" s="6" t="s">
        <v>4564</v>
      </c>
      <c r="C4285" s="6" t="s">
        <v>741</v>
      </c>
      <c r="D4285" s="24">
        <v>10.466910558</v>
      </c>
      <c r="E4285" s="6" t="s">
        <v>5887</v>
      </c>
      <c r="F4285" s="6">
        <v>21</v>
      </c>
      <c r="G4285" s="8">
        <f t="shared" si="66"/>
        <v>16276.04591769</v>
      </c>
    </row>
    <row r="4286" spans="1:7" x14ac:dyDescent="0.3">
      <c r="A4286" s="14" t="str">
        <f>VLOOKUP(B4286,'Relacion codigos'!$A:$B,2,FALSE)</f>
        <v>7198</v>
      </c>
      <c r="B4286" s="6" t="s">
        <v>4589</v>
      </c>
      <c r="C4286" s="6" t="s">
        <v>13644</v>
      </c>
      <c r="D4286" s="24">
        <v>8.0486202104100002</v>
      </c>
      <c r="E4286" s="6" t="s">
        <v>5887</v>
      </c>
      <c r="F4286" s="6">
        <v>21</v>
      </c>
      <c r="G4286" s="8">
        <f t="shared" si="66"/>
        <v>12515.604427187551</v>
      </c>
    </row>
    <row r="4287" spans="1:7" x14ac:dyDescent="0.3">
      <c r="A4287" s="14" t="e">
        <f>VLOOKUP(B4287,'Relacion codigos'!$A:$B,2,FALSE)</f>
        <v>#N/A</v>
      </c>
      <c r="B4287" s="6" t="s">
        <v>10919</v>
      </c>
      <c r="C4287" s="6" t="s">
        <v>10920</v>
      </c>
      <c r="D4287" s="24">
        <v>9.6369000000000007</v>
      </c>
      <c r="E4287" s="6" t="s">
        <v>5887</v>
      </c>
      <c r="F4287" s="6">
        <v>21</v>
      </c>
      <c r="G4287" s="8">
        <f t="shared" si="66"/>
        <v>14985.379500000001</v>
      </c>
    </row>
    <row r="4288" spans="1:7" x14ac:dyDescent="0.3">
      <c r="A4288" s="14" t="str">
        <f>VLOOKUP(B4288,'Relacion codigos'!$A:$B,2,FALSE)</f>
        <v>8444</v>
      </c>
      <c r="B4288" s="6" t="s">
        <v>5840</v>
      </c>
      <c r="C4288" s="6" t="s">
        <v>1324</v>
      </c>
      <c r="D4288" s="24">
        <v>36.810867600000002</v>
      </c>
      <c r="E4288" s="6" t="s">
        <v>5887</v>
      </c>
      <c r="F4288" s="6">
        <v>21</v>
      </c>
      <c r="G4288" s="8">
        <f t="shared" si="66"/>
        <v>57240.899118000001</v>
      </c>
    </row>
    <row r="4289" spans="1:7" x14ac:dyDescent="0.3">
      <c r="A4289" s="14" t="str">
        <f>VLOOKUP(B4289,'Relacion codigos'!$A:$B,2,FALSE)</f>
        <v>6992</v>
      </c>
      <c r="B4289" s="6" t="s">
        <v>4565</v>
      </c>
      <c r="C4289" s="6" t="s">
        <v>742</v>
      </c>
      <c r="D4289" s="24">
        <v>7.2592005720000099</v>
      </c>
      <c r="E4289" s="6" t="s">
        <v>5887</v>
      </c>
      <c r="F4289" s="6">
        <v>21</v>
      </c>
      <c r="G4289" s="8">
        <f t="shared" si="66"/>
        <v>11288.056889460015</v>
      </c>
    </row>
    <row r="4290" spans="1:7" x14ac:dyDescent="0.3">
      <c r="A4290" s="14" t="str">
        <f>VLOOKUP(B4290,'Relacion codigos'!$A:$B,2,FALSE)</f>
        <v>NUEVO</v>
      </c>
      <c r="B4290" s="6" t="s">
        <v>8728</v>
      </c>
      <c r="C4290" s="6" t="s">
        <v>8745</v>
      </c>
      <c r="D4290" s="24">
        <v>21.229920504000098</v>
      </c>
      <c r="E4290" s="6" t="s">
        <v>5887</v>
      </c>
      <c r="F4290" s="6">
        <v>21</v>
      </c>
      <c r="G4290" s="8">
        <f t="shared" ref="G4290:G4353" si="67">IF(E4290="Dolares",D4290*$G$1,D4290)</f>
        <v>33012.526383720156</v>
      </c>
    </row>
    <row r="4291" spans="1:7" x14ac:dyDescent="0.3">
      <c r="A4291" s="14" t="e">
        <f>VLOOKUP(B4291,'Relacion codigos'!$A:$B,2,FALSE)</f>
        <v>#N/A</v>
      </c>
      <c r="B4291" s="6" t="s">
        <v>13784</v>
      </c>
      <c r="C4291" s="6" t="s">
        <v>13785</v>
      </c>
      <c r="D4291" s="24">
        <v>8.0486202104100002</v>
      </c>
      <c r="E4291" s="6" t="s">
        <v>5887</v>
      </c>
      <c r="F4291" s="6">
        <v>21</v>
      </c>
      <c r="G4291" s="8">
        <f t="shared" si="67"/>
        <v>12515.604427187551</v>
      </c>
    </row>
    <row r="4292" spans="1:7" x14ac:dyDescent="0.3">
      <c r="A4292" s="14" t="e">
        <f>VLOOKUP(B4292,'Relacion codigos'!$A:$B,2,FALSE)</f>
        <v>#N/A</v>
      </c>
      <c r="B4292" s="6" t="s">
        <v>10921</v>
      </c>
      <c r="C4292" s="6" t="s">
        <v>11576</v>
      </c>
      <c r="D4292" s="24">
        <v>9.6369000000000007</v>
      </c>
      <c r="E4292" s="6" t="s">
        <v>5887</v>
      </c>
      <c r="F4292" s="6">
        <v>21</v>
      </c>
      <c r="G4292" s="8">
        <f t="shared" si="67"/>
        <v>14985.379500000001</v>
      </c>
    </row>
    <row r="4293" spans="1:7" x14ac:dyDescent="0.3">
      <c r="A4293" s="14" t="str">
        <f>VLOOKUP(B4293,'Relacion codigos'!$A:$B,2,FALSE)</f>
        <v>8445</v>
      </c>
      <c r="B4293" s="6" t="s">
        <v>5841</v>
      </c>
      <c r="C4293" s="6" t="s">
        <v>1325</v>
      </c>
      <c r="D4293" s="24">
        <v>36.810867600000002</v>
      </c>
      <c r="E4293" s="6" t="s">
        <v>5887</v>
      </c>
      <c r="F4293" s="6">
        <v>21</v>
      </c>
      <c r="G4293" s="8">
        <f t="shared" si="67"/>
        <v>57240.899118000001</v>
      </c>
    </row>
    <row r="4294" spans="1:7" x14ac:dyDescent="0.3">
      <c r="A4294" s="14" t="str">
        <f>VLOOKUP(B4294,'Relacion codigos'!$A:$B,2,FALSE)</f>
        <v>6993</v>
      </c>
      <c r="B4294" s="6" t="s">
        <v>4590</v>
      </c>
      <c r="C4294" s="6" t="s">
        <v>743</v>
      </c>
      <c r="D4294" s="24">
        <v>7.2592005720000099</v>
      </c>
      <c r="E4294" s="6" t="s">
        <v>5887</v>
      </c>
      <c r="F4294" s="6">
        <v>21</v>
      </c>
      <c r="G4294" s="8">
        <f t="shared" si="67"/>
        <v>11288.056889460015</v>
      </c>
    </row>
    <row r="4295" spans="1:7" x14ac:dyDescent="0.3">
      <c r="A4295" s="14" t="str">
        <f>VLOOKUP(B4295,'Relacion codigos'!$A:$B,2,FALSE)</f>
        <v>9070</v>
      </c>
      <c r="B4295" s="6" t="s">
        <v>4591</v>
      </c>
      <c r="C4295" s="6" t="s">
        <v>1326</v>
      </c>
      <c r="D4295" s="24">
        <v>21.2299231701965</v>
      </c>
      <c r="E4295" s="6" t="s">
        <v>5887</v>
      </c>
      <c r="F4295" s="6">
        <v>21</v>
      </c>
      <c r="G4295" s="8">
        <f t="shared" si="67"/>
        <v>33012.53052965556</v>
      </c>
    </row>
    <row r="4296" spans="1:7" x14ac:dyDescent="0.3">
      <c r="A4296" s="14" t="str">
        <f>VLOOKUP(B4296,'Relacion codigos'!$A:$B,2,FALSE)</f>
        <v>1111</v>
      </c>
      <c r="B4296" s="6" t="s">
        <v>4592</v>
      </c>
      <c r="C4296" s="6" t="s">
        <v>744</v>
      </c>
      <c r="D4296" s="24">
        <v>10.466910558</v>
      </c>
      <c r="E4296" s="6" t="s">
        <v>5887</v>
      </c>
      <c r="F4296" s="6">
        <v>21</v>
      </c>
      <c r="G4296" s="8">
        <f t="shared" si="67"/>
        <v>16276.04591769</v>
      </c>
    </row>
    <row r="4297" spans="1:7" x14ac:dyDescent="0.3">
      <c r="A4297" s="14" t="str">
        <f>VLOOKUP(B4297,'Relacion codigos'!$A:$B,2,FALSE)</f>
        <v>7197</v>
      </c>
      <c r="B4297" s="6" t="s">
        <v>4593</v>
      </c>
      <c r="C4297" s="6" t="s">
        <v>13645</v>
      </c>
      <c r="D4297" s="24">
        <v>8.6285998164599995</v>
      </c>
      <c r="E4297" s="6" t="s">
        <v>5887</v>
      </c>
      <c r="F4297" s="6">
        <v>21</v>
      </c>
      <c r="G4297" s="8">
        <f t="shared" si="67"/>
        <v>13417.472714595298</v>
      </c>
    </row>
    <row r="4298" spans="1:7" x14ac:dyDescent="0.3">
      <c r="A4298" s="14" t="e">
        <f>VLOOKUP(B4298,'Relacion codigos'!$A:$B,2,FALSE)</f>
        <v>#N/A</v>
      </c>
      <c r="B4298" s="6" t="s">
        <v>10922</v>
      </c>
      <c r="C4298" s="6" t="s">
        <v>11824</v>
      </c>
      <c r="D4298" s="24">
        <v>9.6369000000000007</v>
      </c>
      <c r="E4298" s="6" t="s">
        <v>5887</v>
      </c>
      <c r="F4298" s="6">
        <v>21</v>
      </c>
      <c r="G4298" s="8">
        <f t="shared" si="67"/>
        <v>14985.379500000001</v>
      </c>
    </row>
    <row r="4299" spans="1:7" x14ac:dyDescent="0.3">
      <c r="A4299" s="14" t="str">
        <f>VLOOKUP(B4299,'Relacion codigos'!$A:$B,2,FALSE)</f>
        <v>8446</v>
      </c>
      <c r="B4299" s="6" t="s">
        <v>5842</v>
      </c>
      <c r="C4299" s="6" t="s">
        <v>1327</v>
      </c>
      <c r="D4299" s="24">
        <v>40.601620799999999</v>
      </c>
      <c r="E4299" s="6" t="s">
        <v>5887</v>
      </c>
      <c r="F4299" s="6">
        <v>21</v>
      </c>
      <c r="G4299" s="8">
        <f t="shared" si="67"/>
        <v>63135.520343999997</v>
      </c>
    </row>
    <row r="4300" spans="1:7" x14ac:dyDescent="0.3">
      <c r="A4300" s="14" t="str">
        <f>VLOOKUP(B4300,'Relacion codigos'!$A:$B,2,FALSE)</f>
        <v>6994</v>
      </c>
      <c r="B4300" s="6" t="s">
        <v>4594</v>
      </c>
      <c r="C4300" s="6" t="s">
        <v>745</v>
      </c>
      <c r="D4300" s="24">
        <v>7.2592005720000099</v>
      </c>
      <c r="E4300" s="6" t="s">
        <v>5887</v>
      </c>
      <c r="F4300" s="6">
        <v>21</v>
      </c>
      <c r="G4300" s="8">
        <f t="shared" si="67"/>
        <v>11288.056889460015</v>
      </c>
    </row>
    <row r="4301" spans="1:7" x14ac:dyDescent="0.3">
      <c r="A4301" s="14" t="str">
        <f>VLOOKUP(B4301,'Relacion codigos'!$A:$B,2,FALSE)</f>
        <v>8983</v>
      </c>
      <c r="B4301" s="6" t="s">
        <v>5827</v>
      </c>
      <c r="C4301" s="6" t="s">
        <v>1328</v>
      </c>
      <c r="D4301" s="24">
        <v>25.1522233560001</v>
      </c>
      <c r="E4301" s="6" t="s">
        <v>5887</v>
      </c>
      <c r="F4301" s="6">
        <v>21</v>
      </c>
      <c r="G4301" s="8">
        <f t="shared" si="67"/>
        <v>39111.707318580156</v>
      </c>
    </row>
    <row r="4302" spans="1:7" x14ac:dyDescent="0.3">
      <c r="A4302" s="14" t="str">
        <f>VLOOKUP(B4302,'Relacion codigos'!$A:$B,2,FALSE)</f>
        <v>7200</v>
      </c>
      <c r="B4302" s="6" t="s">
        <v>4596</v>
      </c>
      <c r="C4302" s="6" t="s">
        <v>13646</v>
      </c>
      <c r="D4302" s="24">
        <v>8.6285998164599995</v>
      </c>
      <c r="E4302" s="6" t="s">
        <v>5887</v>
      </c>
      <c r="F4302" s="6">
        <v>21</v>
      </c>
      <c r="G4302" s="8">
        <f t="shared" si="67"/>
        <v>13417.472714595298</v>
      </c>
    </row>
    <row r="4303" spans="1:7" x14ac:dyDescent="0.3">
      <c r="A4303" s="14" t="e">
        <f>VLOOKUP(B4303,'Relacion codigos'!$A:$B,2,FALSE)</f>
        <v>#N/A</v>
      </c>
      <c r="B4303" s="6" t="s">
        <v>10923</v>
      </c>
      <c r="C4303" s="6" t="s">
        <v>10924</v>
      </c>
      <c r="D4303" s="24">
        <v>11.124750000000001</v>
      </c>
      <c r="E4303" s="6" t="s">
        <v>5887</v>
      </c>
      <c r="F4303" s="6">
        <v>21</v>
      </c>
      <c r="G4303" s="8">
        <f t="shared" si="67"/>
        <v>17298.986250000002</v>
      </c>
    </row>
    <row r="4304" spans="1:7" x14ac:dyDescent="0.3">
      <c r="A4304" s="14" t="e">
        <f>VLOOKUP(B4304,'Relacion codigos'!$A:$B,2,FALSE)</f>
        <v>#N/A</v>
      </c>
      <c r="B4304" s="6" t="s">
        <v>9897</v>
      </c>
      <c r="C4304" s="6" t="s">
        <v>9898</v>
      </c>
      <c r="D4304" s="24">
        <v>40.601620799999999</v>
      </c>
      <c r="E4304" s="6" t="s">
        <v>5887</v>
      </c>
      <c r="F4304" s="6">
        <v>21</v>
      </c>
      <c r="G4304" s="8">
        <f t="shared" si="67"/>
        <v>63135.520343999997</v>
      </c>
    </row>
    <row r="4305" spans="1:7" x14ac:dyDescent="0.3">
      <c r="A4305" s="14" t="str">
        <f>VLOOKUP(B4305,'Relacion codigos'!$A:$B,2,FALSE)</f>
        <v>6995</v>
      </c>
      <c r="B4305" s="6" t="s">
        <v>4597</v>
      </c>
      <c r="C4305" s="6" t="s">
        <v>746</v>
      </c>
      <c r="D4305" s="24">
        <v>8.0044983720000094</v>
      </c>
      <c r="E4305" s="6" t="s">
        <v>5887</v>
      </c>
      <c r="F4305" s="6">
        <v>21</v>
      </c>
      <c r="G4305" s="8">
        <f t="shared" si="67"/>
        <v>12446.994968460014</v>
      </c>
    </row>
    <row r="4306" spans="1:7" x14ac:dyDescent="0.3">
      <c r="A4306" s="14" t="str">
        <f>VLOOKUP(B4306,'Relacion codigos'!$A:$B,2,FALSE)</f>
        <v>8905</v>
      </c>
      <c r="B4306" s="6" t="s">
        <v>5829</v>
      </c>
      <c r="C4306" s="6" t="s">
        <v>1329</v>
      </c>
      <c r="D4306" s="24">
        <v>25.1522233560001</v>
      </c>
      <c r="E4306" s="6" t="s">
        <v>5887</v>
      </c>
      <c r="F4306" s="6">
        <v>21</v>
      </c>
      <c r="G4306" s="8">
        <f t="shared" si="67"/>
        <v>39111.707318580156</v>
      </c>
    </row>
    <row r="4307" spans="1:7" x14ac:dyDescent="0.3">
      <c r="A4307" s="14" t="str">
        <f>VLOOKUP(B4307,'Relacion codigos'!$A:$B,2,FALSE)</f>
        <v>1122</v>
      </c>
      <c r="B4307" s="6" t="s">
        <v>4598</v>
      </c>
      <c r="C4307" s="6" t="s">
        <v>747</v>
      </c>
      <c r="D4307" s="24">
        <v>11.618182836000001</v>
      </c>
      <c r="E4307" s="6" t="s">
        <v>5887</v>
      </c>
      <c r="F4307" s="6">
        <v>21</v>
      </c>
      <c r="G4307" s="8">
        <f t="shared" si="67"/>
        <v>18066.274309980003</v>
      </c>
    </row>
    <row r="4308" spans="1:7" x14ac:dyDescent="0.3">
      <c r="A4308" s="14" t="str">
        <f>VLOOKUP(B4308,'Relacion codigos'!$A:$B,2,FALSE)</f>
        <v>1019</v>
      </c>
      <c r="B4308" s="6" t="s">
        <v>4599</v>
      </c>
      <c r="C4308" s="6" t="s">
        <v>748</v>
      </c>
      <c r="D4308" s="24">
        <v>10.466910558</v>
      </c>
      <c r="E4308" s="6" t="s">
        <v>5887</v>
      </c>
      <c r="F4308" s="6">
        <v>21</v>
      </c>
      <c r="G4308" s="8">
        <f t="shared" si="67"/>
        <v>16276.04591769</v>
      </c>
    </row>
    <row r="4309" spans="1:7" x14ac:dyDescent="0.3">
      <c r="A4309" s="14" t="str">
        <f>VLOOKUP(B4309,'Relacion codigos'!$A:$B,2,FALSE)</f>
        <v>7201</v>
      </c>
      <c r="B4309" s="6" t="s">
        <v>4600</v>
      </c>
      <c r="C4309" s="6" t="s">
        <v>13647</v>
      </c>
      <c r="D4309" s="24">
        <v>9.2684482850700007</v>
      </c>
      <c r="E4309" s="6" t="s">
        <v>5887</v>
      </c>
      <c r="F4309" s="6">
        <v>21</v>
      </c>
      <c r="G4309" s="8">
        <f t="shared" si="67"/>
        <v>14412.43708328385</v>
      </c>
    </row>
    <row r="4310" spans="1:7" x14ac:dyDescent="0.3">
      <c r="A4310" s="14" t="e">
        <f>VLOOKUP(B4310,'Relacion codigos'!$A:$B,2,FALSE)</f>
        <v>#N/A</v>
      </c>
      <c r="B4310" s="6" t="s">
        <v>10925</v>
      </c>
      <c r="C4310" s="6" t="s">
        <v>10926</v>
      </c>
      <c r="D4310" s="24">
        <v>11.83455</v>
      </c>
      <c r="E4310" s="6" t="s">
        <v>5887</v>
      </c>
      <c r="F4310" s="6">
        <v>21</v>
      </c>
      <c r="G4310" s="8">
        <f t="shared" si="67"/>
        <v>18402.72525</v>
      </c>
    </row>
    <row r="4311" spans="1:7" x14ac:dyDescent="0.3">
      <c r="A4311" s="14" t="e">
        <f>VLOOKUP(B4311,'Relacion codigos'!$A:$B,2,FALSE)</f>
        <v>#N/A</v>
      </c>
      <c r="B4311" s="6" t="s">
        <v>9899</v>
      </c>
      <c r="C4311" s="6" t="s">
        <v>9900</v>
      </c>
      <c r="D4311" s="24">
        <v>72.184554000000006</v>
      </c>
      <c r="E4311" s="6" t="s">
        <v>5887</v>
      </c>
      <c r="F4311" s="6">
        <v>21</v>
      </c>
      <c r="G4311" s="8">
        <f t="shared" si="67"/>
        <v>112246.98147000001</v>
      </c>
    </row>
    <row r="4312" spans="1:7" x14ac:dyDescent="0.3">
      <c r="A4312" s="14" t="str">
        <f>VLOOKUP(B4312,'Relacion codigos'!$A:$B,2,FALSE)</f>
        <v>6996</v>
      </c>
      <c r="B4312" s="6" t="s">
        <v>4601</v>
      </c>
      <c r="C4312" s="6" t="s">
        <v>749</v>
      </c>
      <c r="D4312" s="24">
        <v>8.0044983720000094</v>
      </c>
      <c r="E4312" s="6" t="s">
        <v>5887</v>
      </c>
      <c r="F4312" s="6">
        <v>21</v>
      </c>
      <c r="G4312" s="8">
        <f t="shared" si="67"/>
        <v>12446.994968460014</v>
      </c>
    </row>
    <row r="4313" spans="1:7" x14ac:dyDescent="0.3">
      <c r="A4313" s="14" t="str">
        <f>VLOOKUP(B4313,'Relacion codigos'!$A:$B,2,FALSE)</f>
        <v>NUEVO</v>
      </c>
      <c r="B4313" s="6" t="s">
        <v>8730</v>
      </c>
      <c r="C4313" s="6" t="s">
        <v>8747</v>
      </c>
      <c r="D4313" s="24">
        <v>42.175915384735099</v>
      </c>
      <c r="E4313" s="6" t="s">
        <v>5887</v>
      </c>
      <c r="F4313" s="6">
        <v>21</v>
      </c>
      <c r="G4313" s="8">
        <f t="shared" si="67"/>
        <v>65583.548423263084</v>
      </c>
    </row>
    <row r="4314" spans="1:7" x14ac:dyDescent="0.3">
      <c r="A4314" s="14" t="str">
        <f>VLOOKUP(B4314,'Relacion codigos'!$A:$B,2,FALSE)</f>
        <v>1123</v>
      </c>
      <c r="B4314" s="6" t="s">
        <v>4603</v>
      </c>
      <c r="C4314" s="6" t="s">
        <v>750</v>
      </c>
      <c r="D4314" s="24">
        <v>15.221401416000001</v>
      </c>
      <c r="E4314" s="6" t="s">
        <v>5887</v>
      </c>
      <c r="F4314" s="6">
        <v>21</v>
      </c>
      <c r="G4314" s="8">
        <f t="shared" si="67"/>
        <v>23669.279201880003</v>
      </c>
    </row>
    <row r="4315" spans="1:7" x14ac:dyDescent="0.3">
      <c r="A4315" s="14" t="e">
        <f>VLOOKUP(B4315,'Relacion codigos'!$A:$B,2,FALSE)</f>
        <v>#N/A</v>
      </c>
      <c r="B4315" s="6" t="s">
        <v>10927</v>
      </c>
      <c r="C4315" s="6" t="s">
        <v>11933</v>
      </c>
      <c r="D4315" s="24">
        <v>11.124750000000001</v>
      </c>
      <c r="E4315" s="6" t="s">
        <v>5887</v>
      </c>
      <c r="F4315" s="6">
        <v>21</v>
      </c>
      <c r="G4315" s="8">
        <f t="shared" si="67"/>
        <v>17298.986250000002</v>
      </c>
    </row>
    <row r="4316" spans="1:7" x14ac:dyDescent="0.3">
      <c r="A4316" s="14" t="e">
        <f>VLOOKUP(B4316,'Relacion codigos'!$A:$B,2,FALSE)</f>
        <v>#N/A</v>
      </c>
      <c r="B4316" s="6" t="s">
        <v>13648</v>
      </c>
      <c r="C4316" s="6" t="s">
        <v>13649</v>
      </c>
      <c r="D4316" s="24">
        <v>9.2710675478070002</v>
      </c>
      <c r="E4316" s="6" t="s">
        <v>5887</v>
      </c>
      <c r="F4316" s="6">
        <v>21</v>
      </c>
      <c r="G4316" s="8">
        <f t="shared" si="67"/>
        <v>14416.510036839885</v>
      </c>
    </row>
    <row r="4317" spans="1:7" x14ac:dyDescent="0.3">
      <c r="A4317" s="14" t="e">
        <f>VLOOKUP(B4317,'Relacion codigos'!$A:$B,2,FALSE)</f>
        <v>#N/A</v>
      </c>
      <c r="B4317" s="6" t="s">
        <v>10928</v>
      </c>
      <c r="C4317" s="6" t="s">
        <v>10929</v>
      </c>
      <c r="D4317" s="24">
        <v>11.83455</v>
      </c>
      <c r="E4317" s="6" t="s">
        <v>5887</v>
      </c>
      <c r="F4317" s="6">
        <v>21</v>
      </c>
      <c r="G4317" s="8">
        <f t="shared" si="67"/>
        <v>18402.72525</v>
      </c>
    </row>
    <row r="4318" spans="1:7" x14ac:dyDescent="0.3">
      <c r="A4318" s="14" t="e">
        <f>VLOOKUP(B4318,'Relacion codigos'!$A:$B,2,FALSE)</f>
        <v>#N/A</v>
      </c>
      <c r="B4318" s="6" t="s">
        <v>9901</v>
      </c>
      <c r="C4318" s="6" t="s">
        <v>9902</v>
      </c>
      <c r="D4318" s="24">
        <v>85.349534399999996</v>
      </c>
      <c r="E4318" s="6" t="s">
        <v>5887</v>
      </c>
      <c r="F4318" s="6">
        <v>21</v>
      </c>
      <c r="G4318" s="8">
        <f t="shared" si="67"/>
        <v>132718.52599199998</v>
      </c>
    </row>
    <row r="4319" spans="1:7" x14ac:dyDescent="0.3">
      <c r="A4319" s="14" t="str">
        <f>VLOOKUP(B4319,'Relacion codigos'!$A:$B,2,FALSE)</f>
        <v>6997</v>
      </c>
      <c r="B4319" s="6" t="s">
        <v>4605</v>
      </c>
      <c r="C4319" s="6" t="s">
        <v>751</v>
      </c>
      <c r="D4319" s="24">
        <v>8.0044983720000094</v>
      </c>
      <c r="E4319" s="6" t="s">
        <v>5887</v>
      </c>
      <c r="F4319" s="6">
        <v>21</v>
      </c>
      <c r="G4319" s="8">
        <f t="shared" si="67"/>
        <v>12446.994968460014</v>
      </c>
    </row>
    <row r="4320" spans="1:7" x14ac:dyDescent="0.3">
      <c r="A4320" s="14" t="str">
        <f>VLOOKUP(B4320,'Relacion codigos'!$A:$B,2,FALSE)</f>
        <v>8906</v>
      </c>
      <c r="B4320" s="6" t="s">
        <v>5830</v>
      </c>
      <c r="C4320" s="6" t="s">
        <v>1330</v>
      </c>
      <c r="D4320" s="24">
        <v>42.175910088000002</v>
      </c>
      <c r="E4320" s="6" t="s">
        <v>5887</v>
      </c>
      <c r="F4320" s="6">
        <v>21</v>
      </c>
      <c r="G4320" s="8">
        <f t="shared" si="67"/>
        <v>65583.540186840008</v>
      </c>
    </row>
    <row r="4321" spans="1:7" x14ac:dyDescent="0.3">
      <c r="A4321" s="14" t="e">
        <f>VLOOKUP(B4321,'Relacion codigos'!$A:$B,2,FALSE)</f>
        <v>#N/A</v>
      </c>
      <c r="B4321" s="6" t="s">
        <v>10930</v>
      </c>
      <c r="C4321" s="6" t="s">
        <v>11864</v>
      </c>
      <c r="D4321" s="24">
        <v>61.240724999999998</v>
      </c>
      <c r="E4321" s="6" t="s">
        <v>5887</v>
      </c>
      <c r="F4321" s="6">
        <v>21</v>
      </c>
      <c r="G4321" s="8">
        <f t="shared" si="67"/>
        <v>95229.327374999993</v>
      </c>
    </row>
    <row r="4322" spans="1:7" x14ac:dyDescent="0.3">
      <c r="A4322" s="14" t="str">
        <f>VLOOKUP(B4322,'Relacion codigos'!$A:$B,2,FALSE)</f>
        <v>545</v>
      </c>
      <c r="B4322" s="6" t="s">
        <v>4611</v>
      </c>
      <c r="C4322" s="6" t="s">
        <v>9151</v>
      </c>
      <c r="D4322" s="24">
        <v>233.29406879999999</v>
      </c>
      <c r="E4322" s="6" t="s">
        <v>5887</v>
      </c>
      <c r="F4322" s="6">
        <v>21</v>
      </c>
      <c r="G4322" s="8">
        <f t="shared" si="67"/>
        <v>362772.276984</v>
      </c>
    </row>
    <row r="4323" spans="1:7" x14ac:dyDescent="0.3">
      <c r="A4323" s="14" t="str">
        <f>VLOOKUP(B4323,'Relacion codigos'!$A:$B,2,FALSE)</f>
        <v>2456</v>
      </c>
      <c r="B4323" s="6" t="s">
        <v>4607</v>
      </c>
      <c r="C4323" s="6" t="s">
        <v>752</v>
      </c>
      <c r="D4323" s="24">
        <v>54.865594133999998</v>
      </c>
      <c r="E4323" s="6" t="s">
        <v>5887</v>
      </c>
      <c r="F4323" s="6">
        <v>21</v>
      </c>
      <c r="G4323" s="8">
        <f t="shared" si="67"/>
        <v>85315.998878369996</v>
      </c>
    </row>
    <row r="4324" spans="1:7" x14ac:dyDescent="0.3">
      <c r="A4324" s="14" t="e">
        <f>VLOOKUP(B4324,'Relacion codigos'!$A:$B,2,FALSE)</f>
        <v>#N/A</v>
      </c>
      <c r="B4324" s="6" t="s">
        <v>13912</v>
      </c>
      <c r="C4324" s="6" t="s">
        <v>13946</v>
      </c>
      <c r="D4324" s="24">
        <v>31632.084463200001</v>
      </c>
      <c r="E4324" s="6" t="s">
        <v>5889</v>
      </c>
      <c r="F4324" s="6">
        <v>21</v>
      </c>
      <c r="G4324" s="8">
        <f t="shared" si="67"/>
        <v>31632.084463200001</v>
      </c>
    </row>
    <row r="4325" spans="1:7" x14ac:dyDescent="0.3">
      <c r="A4325" s="14" t="e">
        <f>VLOOKUP(B4325,'Relacion codigos'!$A:$B,2,FALSE)</f>
        <v>#N/A</v>
      </c>
      <c r="B4325" s="6" t="s">
        <v>13913</v>
      </c>
      <c r="C4325" s="6" t="s">
        <v>13947</v>
      </c>
      <c r="D4325" s="24">
        <v>31632.085576000001</v>
      </c>
      <c r="E4325" s="6" t="s">
        <v>5889</v>
      </c>
      <c r="F4325" s="6">
        <v>21</v>
      </c>
      <c r="G4325" s="8">
        <f t="shared" si="67"/>
        <v>31632.085576000001</v>
      </c>
    </row>
    <row r="4326" spans="1:7" x14ac:dyDescent="0.3">
      <c r="A4326" s="14" t="e">
        <f>VLOOKUP(B4326,'Relacion codigos'!$A:$B,2,FALSE)</f>
        <v>#N/A</v>
      </c>
      <c r="B4326" s="6" t="s">
        <v>13914</v>
      </c>
      <c r="C4326" s="6" t="s">
        <v>13948</v>
      </c>
      <c r="D4326" s="24">
        <v>31632.085576000001</v>
      </c>
      <c r="E4326" s="6" t="s">
        <v>5889</v>
      </c>
      <c r="F4326" s="6">
        <v>21</v>
      </c>
      <c r="G4326" s="8">
        <f t="shared" si="67"/>
        <v>31632.085576000001</v>
      </c>
    </row>
    <row r="4327" spans="1:7" x14ac:dyDescent="0.3">
      <c r="A4327" s="14" t="e">
        <f>VLOOKUP(B4327,'Relacion codigos'!$A:$B,2,FALSE)</f>
        <v>#N/A</v>
      </c>
      <c r="B4327" s="6" t="s">
        <v>13915</v>
      </c>
      <c r="C4327" s="6" t="s">
        <v>13949</v>
      </c>
      <c r="D4327" s="24">
        <v>31632.085576000001</v>
      </c>
      <c r="E4327" s="6" t="s">
        <v>5889</v>
      </c>
      <c r="F4327" s="6">
        <v>21</v>
      </c>
      <c r="G4327" s="8">
        <f t="shared" si="67"/>
        <v>31632.085576000001</v>
      </c>
    </row>
    <row r="4328" spans="1:7" x14ac:dyDescent="0.3">
      <c r="A4328" s="14" t="e">
        <f>VLOOKUP(B4328,'Relacion codigos'!$A:$B,2,FALSE)</f>
        <v>#N/A</v>
      </c>
      <c r="B4328" s="6" t="s">
        <v>13916</v>
      </c>
      <c r="C4328" s="6" t="s">
        <v>13950</v>
      </c>
      <c r="D4328" s="24">
        <v>39688.768704000002</v>
      </c>
      <c r="E4328" s="6" t="s">
        <v>5889</v>
      </c>
      <c r="F4328" s="6">
        <v>21</v>
      </c>
      <c r="G4328" s="8">
        <f t="shared" si="67"/>
        <v>39688.768704000002</v>
      </c>
    </row>
    <row r="4329" spans="1:7" x14ac:dyDescent="0.3">
      <c r="A4329" s="14" t="e">
        <f>VLOOKUP(B4329,'Relacion codigos'!$A:$B,2,FALSE)</f>
        <v>#N/A</v>
      </c>
      <c r="B4329" s="6" t="s">
        <v>13917</v>
      </c>
      <c r="C4329" s="6" t="s">
        <v>13951</v>
      </c>
      <c r="D4329" s="24">
        <v>39688.768704000002</v>
      </c>
      <c r="E4329" s="6" t="s">
        <v>5889</v>
      </c>
      <c r="F4329" s="6">
        <v>21</v>
      </c>
      <c r="G4329" s="8">
        <f t="shared" si="67"/>
        <v>39688.768704000002</v>
      </c>
    </row>
    <row r="4330" spans="1:7" x14ac:dyDescent="0.3">
      <c r="A4330" s="14" t="e">
        <f>VLOOKUP(B4330,'Relacion codigos'!$A:$B,2,FALSE)</f>
        <v>#N/A</v>
      </c>
      <c r="B4330" s="6" t="s">
        <v>13918</v>
      </c>
      <c r="C4330" s="6" t="s">
        <v>13952</v>
      </c>
      <c r="D4330" s="24">
        <v>66717.033760000006</v>
      </c>
      <c r="E4330" s="6" t="s">
        <v>5889</v>
      </c>
      <c r="F4330" s="6">
        <v>21</v>
      </c>
      <c r="G4330" s="8">
        <f t="shared" si="67"/>
        <v>66717.033760000006</v>
      </c>
    </row>
    <row r="4331" spans="1:7" x14ac:dyDescent="0.3">
      <c r="A4331" s="14" t="e">
        <f>VLOOKUP(B4331,'Relacion codigos'!$A:$B,2,FALSE)</f>
        <v>#N/A</v>
      </c>
      <c r="B4331" s="6" t="s">
        <v>13919</v>
      </c>
      <c r="C4331" s="6" t="s">
        <v>13953</v>
      </c>
      <c r="D4331" s="24">
        <v>66717.033760000006</v>
      </c>
      <c r="E4331" s="6" t="s">
        <v>5889</v>
      </c>
      <c r="F4331" s="6">
        <v>21</v>
      </c>
      <c r="G4331" s="8">
        <f t="shared" si="67"/>
        <v>66717.033760000006</v>
      </c>
    </row>
    <row r="4332" spans="1:7" x14ac:dyDescent="0.3">
      <c r="A4332" s="14" t="e">
        <f>VLOOKUP(B4332,'Relacion codigos'!$A:$B,2,FALSE)</f>
        <v>#N/A</v>
      </c>
      <c r="B4332" s="6" t="s">
        <v>12029</v>
      </c>
      <c r="C4332" s="6" t="s">
        <v>12030</v>
      </c>
      <c r="D4332" s="24">
        <v>24.351958799999998</v>
      </c>
      <c r="E4332" s="6" t="s">
        <v>5887</v>
      </c>
      <c r="F4332" s="6">
        <v>21</v>
      </c>
      <c r="G4332" s="8">
        <f t="shared" si="67"/>
        <v>37867.295933999994</v>
      </c>
    </row>
    <row r="4333" spans="1:7" x14ac:dyDescent="0.3">
      <c r="A4333" s="14" t="e">
        <f>VLOOKUP(B4333,'Relacion codigos'!$A:$B,2,FALSE)</f>
        <v>#N/A</v>
      </c>
      <c r="B4333" s="6" t="s">
        <v>9543</v>
      </c>
      <c r="C4333" s="6" t="s">
        <v>10626</v>
      </c>
      <c r="D4333" s="24">
        <v>44.257168800000002</v>
      </c>
      <c r="E4333" s="6" t="s">
        <v>5887</v>
      </c>
      <c r="F4333" s="6">
        <v>21</v>
      </c>
      <c r="G4333" s="8">
        <f t="shared" si="67"/>
        <v>68819.897484000001</v>
      </c>
    </row>
    <row r="4334" spans="1:7" x14ac:dyDescent="0.3">
      <c r="A4334" s="14" t="e">
        <f>VLOOKUP(B4334,'Relacion codigos'!$A:$B,2,FALSE)</f>
        <v>#N/A</v>
      </c>
      <c r="B4334" s="6" t="s">
        <v>12031</v>
      </c>
      <c r="C4334" s="6" t="s">
        <v>12032</v>
      </c>
      <c r="D4334" s="24">
        <v>59.395143599999997</v>
      </c>
      <c r="E4334" s="6" t="s">
        <v>5887</v>
      </c>
      <c r="F4334" s="6">
        <v>21</v>
      </c>
      <c r="G4334" s="8">
        <f t="shared" si="67"/>
        <v>92359.448298000003</v>
      </c>
    </row>
    <row r="4335" spans="1:7" x14ac:dyDescent="0.3">
      <c r="A4335" s="14" t="e">
        <f>VLOOKUP(B4335,'Relacion codigos'!$A:$B,2,FALSE)</f>
        <v>#N/A</v>
      </c>
      <c r="B4335" s="6" t="s">
        <v>9585</v>
      </c>
      <c r="C4335" s="6" t="s">
        <v>9586</v>
      </c>
      <c r="D4335" s="24">
        <v>59.395143599999997</v>
      </c>
      <c r="E4335" s="6" t="s">
        <v>5887</v>
      </c>
      <c r="F4335" s="6">
        <v>21</v>
      </c>
      <c r="G4335" s="8">
        <f t="shared" si="67"/>
        <v>92359.448298000003</v>
      </c>
    </row>
    <row r="4336" spans="1:7" x14ac:dyDescent="0.3">
      <c r="A4336" s="14" t="e">
        <f>VLOOKUP(B4336,'Relacion codigos'!$A:$B,2,FALSE)</f>
        <v>#N/A</v>
      </c>
      <c r="B4336" s="6" t="s">
        <v>12033</v>
      </c>
      <c r="C4336" s="6" t="s">
        <v>12034</v>
      </c>
      <c r="D4336" s="24">
        <v>68.483937600000004</v>
      </c>
      <c r="E4336" s="6" t="s">
        <v>5887</v>
      </c>
      <c r="F4336" s="6">
        <v>21</v>
      </c>
      <c r="G4336" s="8">
        <f t="shared" si="67"/>
        <v>106492.522968</v>
      </c>
    </row>
    <row r="4337" spans="1:7" x14ac:dyDescent="0.3">
      <c r="A4337" s="14" t="e">
        <f>VLOOKUP(B4337,'Relacion codigos'!$A:$B,2,FALSE)</f>
        <v>#N/A</v>
      </c>
      <c r="B4337" s="6" t="s">
        <v>13118</v>
      </c>
      <c r="C4337" s="6" t="s">
        <v>13541</v>
      </c>
      <c r="D4337" s="24">
        <v>17.9634</v>
      </c>
      <c r="E4337" s="6" t="s">
        <v>5887</v>
      </c>
      <c r="F4337" s="6">
        <v>21</v>
      </c>
      <c r="G4337" s="8">
        <f t="shared" si="67"/>
        <v>27933.087</v>
      </c>
    </row>
    <row r="4338" spans="1:7" x14ac:dyDescent="0.3">
      <c r="A4338" s="14" t="e">
        <f>VLOOKUP(B4338,'Relacion codigos'!$A:$B,2,FALSE)</f>
        <v>#N/A</v>
      </c>
      <c r="B4338" s="6" t="s">
        <v>13120</v>
      </c>
      <c r="C4338" s="6" t="s">
        <v>13542</v>
      </c>
      <c r="D4338" s="24">
        <v>35.162399999999998</v>
      </c>
      <c r="E4338" s="6" t="s">
        <v>5887</v>
      </c>
      <c r="F4338" s="6">
        <v>21</v>
      </c>
      <c r="G4338" s="8">
        <f t="shared" si="67"/>
        <v>54677.531999999999</v>
      </c>
    </row>
    <row r="4339" spans="1:7" x14ac:dyDescent="0.3">
      <c r="A4339" s="14" t="e">
        <f>VLOOKUP(B4339,'Relacion codigos'!$A:$B,2,FALSE)</f>
        <v>#N/A</v>
      </c>
      <c r="B4339" s="6" t="s">
        <v>13178</v>
      </c>
      <c r="C4339" s="6" t="s">
        <v>13543</v>
      </c>
      <c r="D4339" s="24">
        <v>35.162399999999998</v>
      </c>
      <c r="E4339" s="6" t="s">
        <v>5887</v>
      </c>
      <c r="F4339" s="6">
        <v>21</v>
      </c>
      <c r="G4339" s="8">
        <f t="shared" si="67"/>
        <v>54677.531999999999</v>
      </c>
    </row>
    <row r="4340" spans="1:7" x14ac:dyDescent="0.3">
      <c r="A4340" s="14" t="e">
        <f>VLOOKUP(B4340,'Relacion codigos'!$A:$B,2,FALSE)</f>
        <v>#N/A</v>
      </c>
      <c r="B4340" s="6" t="s">
        <v>13180</v>
      </c>
      <c r="C4340" s="6" t="s">
        <v>13544</v>
      </c>
      <c r="D4340" s="24">
        <v>35.162399999999998</v>
      </c>
      <c r="E4340" s="6" t="s">
        <v>5887</v>
      </c>
      <c r="F4340" s="6">
        <v>21</v>
      </c>
      <c r="G4340" s="8">
        <f t="shared" si="67"/>
        <v>54677.531999999999</v>
      </c>
    </row>
    <row r="4341" spans="1:7" x14ac:dyDescent="0.3">
      <c r="A4341" s="14" t="str">
        <f>VLOOKUP(B4341,'Relacion codigos'!$A:$B,2,FALSE)</f>
        <v>2060</v>
      </c>
      <c r="B4341" s="6" t="s">
        <v>4517</v>
      </c>
      <c r="C4341" s="6" t="s">
        <v>13538</v>
      </c>
      <c r="D4341" s="24">
        <v>7.2592005719999904</v>
      </c>
      <c r="E4341" s="6" t="s">
        <v>5887</v>
      </c>
      <c r="F4341" s="6">
        <v>21</v>
      </c>
      <c r="G4341" s="8">
        <f t="shared" si="67"/>
        <v>11288.056889459986</v>
      </c>
    </row>
    <row r="4342" spans="1:7" x14ac:dyDescent="0.3">
      <c r="A4342" s="14" t="e">
        <f>VLOOKUP(B4342,'Relacion codigos'!$A:$B,2,FALSE)</f>
        <v>#N/A</v>
      </c>
      <c r="B4342" s="6" t="s">
        <v>11968</v>
      </c>
      <c r="C4342" s="6" t="s">
        <v>13539</v>
      </c>
      <c r="D4342" s="24">
        <v>61.082704800000002</v>
      </c>
      <c r="E4342" s="6" t="s">
        <v>5887</v>
      </c>
      <c r="F4342" s="6">
        <v>21</v>
      </c>
      <c r="G4342" s="8">
        <f t="shared" si="67"/>
        <v>94983.605964000002</v>
      </c>
    </row>
    <row r="4343" spans="1:7" x14ac:dyDescent="0.3">
      <c r="A4343" s="14" t="e">
        <f>VLOOKUP(B4343,'Relacion codigos'!$A:$B,2,FALSE)</f>
        <v>#N/A</v>
      </c>
      <c r="B4343" s="6" t="s">
        <v>11969</v>
      </c>
      <c r="C4343" s="6" t="s">
        <v>13540</v>
      </c>
      <c r="D4343" s="24">
        <v>61.082704800000002</v>
      </c>
      <c r="E4343" s="6" t="s">
        <v>5887</v>
      </c>
      <c r="F4343" s="6">
        <v>21</v>
      </c>
      <c r="G4343" s="8">
        <f t="shared" si="67"/>
        <v>94983.605964000002</v>
      </c>
    </row>
    <row r="4344" spans="1:7" x14ac:dyDescent="0.3">
      <c r="A4344" s="14" t="e">
        <f>VLOOKUP(B4344,'Relacion codigos'!$A:$B,2,FALSE)</f>
        <v>#N/A</v>
      </c>
      <c r="B4344" s="6" t="s">
        <v>12310</v>
      </c>
      <c r="C4344" s="6" t="s">
        <v>12311</v>
      </c>
      <c r="D4344" s="24">
        <v>26671.225352915</v>
      </c>
      <c r="E4344" s="6" t="s">
        <v>5889</v>
      </c>
      <c r="F4344" s="6">
        <v>21</v>
      </c>
      <c r="G4344" s="8">
        <f t="shared" si="67"/>
        <v>26671.225352915</v>
      </c>
    </row>
    <row r="4345" spans="1:7" x14ac:dyDescent="0.3">
      <c r="A4345" s="14" t="str">
        <f>VLOOKUP(B4345,'Relacion codigos'!$A:$B,2,FALSE)</f>
        <v>NUEVO</v>
      </c>
      <c r="B4345" s="6" t="s">
        <v>8733</v>
      </c>
      <c r="C4345" s="6" t="s">
        <v>8748</v>
      </c>
      <c r="D4345" s="24">
        <v>1711.1394846000001</v>
      </c>
      <c r="E4345" s="6" t="s">
        <v>5889</v>
      </c>
      <c r="F4345" s="6">
        <v>21</v>
      </c>
      <c r="G4345" s="8">
        <f t="shared" si="67"/>
        <v>1711.1394846000001</v>
      </c>
    </row>
    <row r="4346" spans="1:7" x14ac:dyDescent="0.3">
      <c r="A4346" s="14" t="str">
        <f>VLOOKUP(B4346,'Relacion codigos'!$A:$B,2,FALSE)</f>
        <v>9286</v>
      </c>
      <c r="B4346" s="6" t="s">
        <v>1718</v>
      </c>
      <c r="C4346" s="6" t="s">
        <v>1331</v>
      </c>
      <c r="D4346" s="24">
        <v>2161.4387339999998</v>
      </c>
      <c r="E4346" s="6" t="s">
        <v>5889</v>
      </c>
      <c r="F4346" s="6">
        <v>21</v>
      </c>
      <c r="G4346" s="8">
        <f t="shared" si="67"/>
        <v>2161.4387339999998</v>
      </c>
    </row>
    <row r="4347" spans="1:7" x14ac:dyDescent="0.3">
      <c r="A4347" s="14" t="str">
        <f>VLOOKUP(B4347,'Relacion codigos'!$A:$B,2,FALSE)</f>
        <v>9285</v>
      </c>
      <c r="B4347" s="6" t="s">
        <v>1719</v>
      </c>
      <c r="C4347" s="6" t="s">
        <v>1332</v>
      </c>
      <c r="D4347" s="24">
        <v>3152.0947458000001</v>
      </c>
      <c r="E4347" s="6" t="s">
        <v>5889</v>
      </c>
      <c r="F4347" s="6">
        <v>21</v>
      </c>
      <c r="G4347" s="8">
        <f t="shared" si="67"/>
        <v>3152.0947458000001</v>
      </c>
    </row>
    <row r="4348" spans="1:7" x14ac:dyDescent="0.3">
      <c r="A4348" s="14" t="str">
        <f>VLOOKUP(B4348,'Relacion codigos'!$A:$B,2,FALSE)</f>
        <v>8320</v>
      </c>
      <c r="B4348" s="6" t="s">
        <v>1720</v>
      </c>
      <c r="C4348" s="6" t="s">
        <v>1028</v>
      </c>
      <c r="D4348" s="24">
        <v>3872.5723763999999</v>
      </c>
      <c r="E4348" s="6" t="s">
        <v>5889</v>
      </c>
      <c r="F4348" s="6">
        <v>21</v>
      </c>
      <c r="G4348" s="8">
        <f t="shared" si="67"/>
        <v>3872.5723763999999</v>
      </c>
    </row>
    <row r="4349" spans="1:7" x14ac:dyDescent="0.3">
      <c r="A4349" s="14" t="str">
        <f>VLOOKUP(B4349,'Relacion codigos'!$A:$B,2,FALSE)</f>
        <v>8318</v>
      </c>
      <c r="B4349" s="6" t="s">
        <v>1721</v>
      </c>
      <c r="C4349" s="6" t="s">
        <v>1029</v>
      </c>
      <c r="D4349" s="24">
        <v>5313.5334798000004</v>
      </c>
      <c r="E4349" s="6" t="s">
        <v>5889</v>
      </c>
      <c r="F4349" s="6">
        <v>21</v>
      </c>
      <c r="G4349" s="8">
        <f t="shared" si="67"/>
        <v>5313.5334798000004</v>
      </c>
    </row>
    <row r="4350" spans="1:7" x14ac:dyDescent="0.3">
      <c r="A4350" s="14" t="str">
        <f>VLOOKUP(B4350,'Relacion codigos'!$A:$B,2,FALSE)</f>
        <v>8319</v>
      </c>
      <c r="B4350" s="6" t="s">
        <v>1722</v>
      </c>
      <c r="C4350" s="6" t="s">
        <v>1030</v>
      </c>
      <c r="D4350" s="24">
        <v>7294.8513456000001</v>
      </c>
      <c r="E4350" s="6" t="s">
        <v>5889</v>
      </c>
      <c r="F4350" s="6">
        <v>21</v>
      </c>
      <c r="G4350" s="8">
        <f t="shared" si="67"/>
        <v>7294.8513456000001</v>
      </c>
    </row>
    <row r="4351" spans="1:7" x14ac:dyDescent="0.3">
      <c r="A4351" s="14" t="str">
        <f>VLOOKUP(B4351,'Relacion codigos'!$A:$B,2,FALSE)</f>
        <v>2479</v>
      </c>
      <c r="B4351" s="6" t="s">
        <v>1672</v>
      </c>
      <c r="C4351" s="6" t="s">
        <v>8869</v>
      </c>
      <c r="D4351" s="24">
        <v>337.96848799999998</v>
      </c>
      <c r="E4351" s="6" t="s">
        <v>5889</v>
      </c>
      <c r="F4351" s="6">
        <v>21</v>
      </c>
      <c r="G4351" s="8">
        <f t="shared" si="67"/>
        <v>337.96848799999998</v>
      </c>
    </row>
    <row r="4352" spans="1:7" x14ac:dyDescent="0.3">
      <c r="A4352" s="14" t="str">
        <f>VLOOKUP(B4352,'Relacion codigos'!$A:$B,2,FALSE)</f>
        <v>2478</v>
      </c>
      <c r="B4352" s="6" t="s">
        <v>1671</v>
      </c>
      <c r="C4352" s="6" t="s">
        <v>8870</v>
      </c>
      <c r="D4352" s="24">
        <v>345.74751639999999</v>
      </c>
      <c r="E4352" s="6" t="s">
        <v>5889</v>
      </c>
      <c r="F4352" s="6">
        <v>21</v>
      </c>
      <c r="G4352" s="8">
        <f t="shared" si="67"/>
        <v>345.74751639999999</v>
      </c>
    </row>
    <row r="4353" spans="1:7" x14ac:dyDescent="0.3">
      <c r="A4353" s="14" t="str">
        <f>VLOOKUP(B4353,'Relacion codigos'!$A:$B,2,FALSE)</f>
        <v>2481</v>
      </c>
      <c r="B4353" s="6" t="s">
        <v>1680</v>
      </c>
      <c r="C4353" s="6" t="s">
        <v>8871</v>
      </c>
      <c r="D4353" s="24">
        <v>359.64694480000003</v>
      </c>
      <c r="E4353" s="6" t="s">
        <v>5889</v>
      </c>
      <c r="F4353" s="6">
        <v>21</v>
      </c>
      <c r="G4353" s="8">
        <f t="shared" si="67"/>
        <v>359.64694480000003</v>
      </c>
    </row>
    <row r="4354" spans="1:7" x14ac:dyDescent="0.3">
      <c r="A4354" s="14" t="str">
        <f>VLOOKUP(B4354,'Relacion codigos'!$A:$B,2,FALSE)</f>
        <v>2480</v>
      </c>
      <c r="B4354" s="6" t="s">
        <v>1677</v>
      </c>
      <c r="C4354" s="6" t="s">
        <v>8872</v>
      </c>
      <c r="D4354" s="24">
        <v>349.63397040000001</v>
      </c>
      <c r="E4354" s="6" t="s">
        <v>5889</v>
      </c>
      <c r="F4354" s="6">
        <v>21</v>
      </c>
      <c r="G4354" s="8">
        <f t="shared" ref="G4354:G4417" si="68">IF(E4354="Dolares",D4354*$G$1,D4354)</f>
        <v>349.63397040000001</v>
      </c>
    </row>
    <row r="4355" spans="1:7" x14ac:dyDescent="0.3">
      <c r="A4355" s="14" t="str">
        <f>VLOOKUP(B4355,'Relacion codigos'!$A:$B,2,FALSE)</f>
        <v>2482</v>
      </c>
      <c r="B4355" s="6" t="s">
        <v>1679</v>
      </c>
      <c r="C4355" s="6" t="s">
        <v>8873</v>
      </c>
      <c r="D4355" s="24">
        <v>488.1753448</v>
      </c>
      <c r="E4355" s="6" t="s">
        <v>5889</v>
      </c>
      <c r="F4355" s="6">
        <v>21</v>
      </c>
      <c r="G4355" s="8">
        <f t="shared" si="68"/>
        <v>488.1753448</v>
      </c>
    </row>
    <row r="4356" spans="1:7" x14ac:dyDescent="0.3">
      <c r="A4356" s="14" t="str">
        <f>VLOOKUP(B4356,'Relacion codigos'!$A:$B,2,FALSE)</f>
        <v>4026</v>
      </c>
      <c r="B4356" s="6" t="s">
        <v>1685</v>
      </c>
      <c r="C4356" s="6" t="s">
        <v>8874</v>
      </c>
      <c r="D4356" s="24">
        <v>494.44263439999997</v>
      </c>
      <c r="E4356" s="6" t="s">
        <v>5889</v>
      </c>
      <c r="F4356" s="6">
        <v>21</v>
      </c>
      <c r="G4356" s="8">
        <f t="shared" si="68"/>
        <v>494.44263439999997</v>
      </c>
    </row>
    <row r="4357" spans="1:7" x14ac:dyDescent="0.3">
      <c r="A4357" s="14" t="e">
        <f>VLOOKUP(B4357,'Relacion codigos'!$A:$B,2,FALSE)</f>
        <v>#N/A</v>
      </c>
      <c r="B4357" s="6" t="s">
        <v>10870</v>
      </c>
      <c r="C4357" s="6" t="s">
        <v>11297</v>
      </c>
      <c r="D4357" s="24">
        <v>300.37699120000002</v>
      </c>
      <c r="E4357" s="6" t="s">
        <v>5889</v>
      </c>
      <c r="F4357" s="6">
        <v>21</v>
      </c>
      <c r="G4357" s="8">
        <f t="shared" si="68"/>
        <v>300.37699120000002</v>
      </c>
    </row>
    <row r="4358" spans="1:7" x14ac:dyDescent="0.3">
      <c r="A4358" s="14" t="str">
        <f>VLOOKUP(B4358,'Relacion codigos'!$A:$B,2,FALSE)</f>
        <v>4018</v>
      </c>
      <c r="B4358" s="6" t="s">
        <v>1681</v>
      </c>
      <c r="C4358" s="6" t="s">
        <v>8875</v>
      </c>
      <c r="D4358" s="24">
        <v>939.64053039999999</v>
      </c>
      <c r="E4358" s="6" t="s">
        <v>5889</v>
      </c>
      <c r="F4358" s="6">
        <v>21</v>
      </c>
      <c r="G4358" s="8">
        <f t="shared" si="68"/>
        <v>939.64053039999999</v>
      </c>
    </row>
    <row r="4359" spans="1:7" x14ac:dyDescent="0.3">
      <c r="A4359" s="14" t="str">
        <f>VLOOKUP(B4359,'Relacion codigos'!$A:$B,2,FALSE)</f>
        <v>2483</v>
      </c>
      <c r="B4359" s="6" t="s">
        <v>1668</v>
      </c>
      <c r="C4359" s="6" t="s">
        <v>8876</v>
      </c>
      <c r="D4359" s="24">
        <v>950.6878524</v>
      </c>
      <c r="E4359" s="6" t="s">
        <v>5889</v>
      </c>
      <c r="F4359" s="6">
        <v>21</v>
      </c>
      <c r="G4359" s="8">
        <f t="shared" si="68"/>
        <v>950.6878524</v>
      </c>
    </row>
    <row r="4360" spans="1:7" x14ac:dyDescent="0.3">
      <c r="A4360" s="14" t="str">
        <f>VLOOKUP(B4360,'Relacion codigos'!$A:$B,2,FALSE)</f>
        <v>139</v>
      </c>
      <c r="B4360" s="6" t="s">
        <v>1669</v>
      </c>
      <c r="C4360" s="6" t="s">
        <v>8877</v>
      </c>
      <c r="D4360" s="24">
        <v>7718.8342659999998</v>
      </c>
      <c r="E4360" s="6" t="s">
        <v>5889</v>
      </c>
      <c r="F4360" s="6">
        <v>21</v>
      </c>
      <c r="G4360" s="8">
        <f t="shared" si="68"/>
        <v>7718.8342659999998</v>
      </c>
    </row>
    <row r="4361" spans="1:7" x14ac:dyDescent="0.3">
      <c r="A4361" s="14" t="e">
        <f>VLOOKUP(B4361,'Relacion codigos'!$A:$B,2,FALSE)</f>
        <v>#N/A</v>
      </c>
      <c r="B4361" s="6" t="s">
        <v>9667</v>
      </c>
      <c r="C4361" s="6" t="s">
        <v>9668</v>
      </c>
      <c r="D4361" s="24">
        <v>10751.688318799999</v>
      </c>
      <c r="E4361" s="6" t="s">
        <v>5889</v>
      </c>
      <c r="F4361" s="6">
        <v>21</v>
      </c>
      <c r="G4361" s="8">
        <f t="shared" si="68"/>
        <v>10751.688318799999</v>
      </c>
    </row>
    <row r="4362" spans="1:7" x14ac:dyDescent="0.3">
      <c r="A4362" s="14" t="str">
        <f>VLOOKUP(B4362,'Relacion codigos'!$A:$B,2,FALSE)</f>
        <v>4019</v>
      </c>
      <c r="B4362" s="6" t="s">
        <v>1682</v>
      </c>
      <c r="C4362" s="6" t="s">
        <v>8878</v>
      </c>
      <c r="D4362" s="24">
        <v>1256.8241399999999</v>
      </c>
      <c r="E4362" s="6" t="s">
        <v>5889</v>
      </c>
      <c r="F4362" s="6">
        <v>21</v>
      </c>
      <c r="G4362" s="8">
        <f t="shared" si="68"/>
        <v>1256.8241399999999</v>
      </c>
    </row>
    <row r="4363" spans="1:7" x14ac:dyDescent="0.3">
      <c r="A4363" s="14" t="str">
        <f>VLOOKUP(B4363,'Relacion codigos'!$A:$B,2,FALSE)</f>
        <v>2484</v>
      </c>
      <c r="B4363" s="6" t="s">
        <v>1670</v>
      </c>
      <c r="C4363" s="6" t="s">
        <v>8879</v>
      </c>
      <c r="D4363" s="24">
        <v>1182.0756948000001</v>
      </c>
      <c r="E4363" s="6" t="s">
        <v>5889</v>
      </c>
      <c r="F4363" s="6">
        <v>21</v>
      </c>
      <c r="G4363" s="8">
        <f t="shared" si="68"/>
        <v>1182.0756948000001</v>
      </c>
    </row>
    <row r="4364" spans="1:7" x14ac:dyDescent="0.3">
      <c r="A4364" s="14" t="str">
        <f>VLOOKUP(B4364,'Relacion codigos'!$A:$B,2,FALSE)</f>
        <v>2486</v>
      </c>
      <c r="B4364" s="6" t="s">
        <v>1675</v>
      </c>
      <c r="C4364" s="6" t="s">
        <v>11447</v>
      </c>
      <c r="D4364" s="24">
        <v>1663.2186999999999</v>
      </c>
      <c r="E4364" s="6" t="s">
        <v>5889</v>
      </c>
      <c r="F4364" s="6">
        <v>21</v>
      </c>
      <c r="G4364" s="8">
        <f t="shared" si="68"/>
        <v>1663.2186999999999</v>
      </c>
    </row>
    <row r="4365" spans="1:7" x14ac:dyDescent="0.3">
      <c r="A4365" s="14" t="str">
        <f>VLOOKUP(B4365,'Relacion codigos'!$A:$B,2,FALSE)</f>
        <v>2485</v>
      </c>
      <c r="B4365" s="6" t="s">
        <v>1674</v>
      </c>
      <c r="C4365" s="6" t="s">
        <v>8880</v>
      </c>
      <c r="D4365" s="24">
        <v>1310.2613524000001</v>
      </c>
      <c r="E4365" s="6" t="s">
        <v>5889</v>
      </c>
      <c r="F4365" s="6">
        <v>21</v>
      </c>
      <c r="G4365" s="8">
        <f t="shared" si="68"/>
        <v>1310.2613524000001</v>
      </c>
    </row>
    <row r="4366" spans="1:7" x14ac:dyDescent="0.3">
      <c r="A4366" s="14" t="str">
        <f>VLOOKUP(B4366,'Relacion codigos'!$A:$B,2,FALSE)</f>
        <v>2487</v>
      </c>
      <c r="B4366" s="6" t="s">
        <v>1673</v>
      </c>
      <c r="C4366" s="6" t="s">
        <v>8881</v>
      </c>
      <c r="D4366" s="24">
        <v>1285.7675116</v>
      </c>
      <c r="E4366" s="6" t="s">
        <v>5889</v>
      </c>
      <c r="F4366" s="6">
        <v>21</v>
      </c>
      <c r="G4366" s="8">
        <f t="shared" si="68"/>
        <v>1285.7675116</v>
      </c>
    </row>
    <row r="4367" spans="1:7" x14ac:dyDescent="0.3">
      <c r="A4367" s="14" t="str">
        <f>VLOOKUP(B4367,'Relacion codigos'!$A:$B,2,FALSE)</f>
        <v>2488</v>
      </c>
      <c r="B4367" s="6" t="s">
        <v>1676</v>
      </c>
      <c r="C4367" s="6" t="s">
        <v>8882</v>
      </c>
      <c r="D4367" s="24">
        <v>2056.7175772000001</v>
      </c>
      <c r="E4367" s="6" t="s">
        <v>5889</v>
      </c>
      <c r="F4367" s="6">
        <v>21</v>
      </c>
      <c r="G4367" s="8">
        <f t="shared" si="68"/>
        <v>2056.7175772000001</v>
      </c>
    </row>
    <row r="4368" spans="1:7" x14ac:dyDescent="0.3">
      <c r="A4368" s="14" t="e">
        <f>VLOOKUP(B4368,'Relacion codigos'!$A:$B,2,FALSE)</f>
        <v>#N/A</v>
      </c>
      <c r="B4368" s="6" t="s">
        <v>11448</v>
      </c>
      <c r="C4368" s="6" t="s">
        <v>11449</v>
      </c>
      <c r="D4368" s="24">
        <v>2056.7175772000001</v>
      </c>
      <c r="E4368" s="6" t="s">
        <v>5889</v>
      </c>
      <c r="F4368" s="6">
        <v>21</v>
      </c>
      <c r="G4368" s="8">
        <f t="shared" si="68"/>
        <v>2056.7175772000001</v>
      </c>
    </row>
    <row r="4369" spans="1:7" x14ac:dyDescent="0.3">
      <c r="A4369" s="14" t="str">
        <f>VLOOKUP(B4369,'Relacion codigos'!$A:$B,2,FALSE)</f>
        <v>4020</v>
      </c>
      <c r="B4369" s="6" t="s">
        <v>1683</v>
      </c>
      <c r="C4369" s="6" t="s">
        <v>8883</v>
      </c>
      <c r="D4369" s="24">
        <v>2310.0715352000002</v>
      </c>
      <c r="E4369" s="6" t="s">
        <v>5889</v>
      </c>
      <c r="F4369" s="6">
        <v>21</v>
      </c>
      <c r="G4369" s="8">
        <f t="shared" si="68"/>
        <v>2310.0715352000002</v>
      </c>
    </row>
    <row r="4370" spans="1:7" x14ac:dyDescent="0.3">
      <c r="A4370" s="14" t="str">
        <f>VLOOKUP(B4370,'Relacion codigos'!$A:$B,2,FALSE)</f>
        <v>4021</v>
      </c>
      <c r="B4370" s="6" t="s">
        <v>1684</v>
      </c>
      <c r="C4370" s="6" t="s">
        <v>8884</v>
      </c>
      <c r="D4370" s="24">
        <v>2922.3930736000002</v>
      </c>
      <c r="E4370" s="6" t="s">
        <v>5889</v>
      </c>
      <c r="F4370" s="6">
        <v>21</v>
      </c>
      <c r="G4370" s="8">
        <f t="shared" si="68"/>
        <v>2922.3930736000002</v>
      </c>
    </row>
    <row r="4371" spans="1:7" x14ac:dyDescent="0.3">
      <c r="A4371" s="14" t="str">
        <f>VLOOKUP(B4371,'Relacion codigos'!$A:$B,2,FALSE)</f>
        <v>2489</v>
      </c>
      <c r="B4371" s="6" t="s">
        <v>1678</v>
      </c>
      <c r="C4371" s="6" t="s">
        <v>8885</v>
      </c>
      <c r="D4371" s="24">
        <v>2688.0858004000002</v>
      </c>
      <c r="E4371" s="6" t="s">
        <v>5889</v>
      </c>
      <c r="F4371" s="6">
        <v>21</v>
      </c>
      <c r="G4371" s="8">
        <f t="shared" si="68"/>
        <v>2688.0858004000002</v>
      </c>
    </row>
    <row r="4372" spans="1:7" x14ac:dyDescent="0.3">
      <c r="A4372" s="14" t="e">
        <f>VLOOKUP(B4372,'Relacion codigos'!$A:$B,2,FALSE)</f>
        <v>#N/A</v>
      </c>
      <c r="B4372" s="6" t="s">
        <v>13803</v>
      </c>
      <c r="C4372" s="6" t="s">
        <v>13804</v>
      </c>
      <c r="D4372" s="24">
        <v>3101.9472483999998</v>
      </c>
      <c r="E4372" s="6" t="s">
        <v>5889</v>
      </c>
      <c r="F4372" s="6">
        <v>21</v>
      </c>
      <c r="G4372" s="8">
        <f t="shared" si="68"/>
        <v>3101.9472483999998</v>
      </c>
    </row>
    <row r="4373" spans="1:7" x14ac:dyDescent="0.3">
      <c r="A4373" s="14" t="e">
        <f>VLOOKUP(B4373,'Relacion codigos'!$A:$B,2,FALSE)</f>
        <v>#N/A</v>
      </c>
      <c r="B4373" s="6" t="s">
        <v>9669</v>
      </c>
      <c r="C4373" s="6" t="s">
        <v>9670</v>
      </c>
      <c r="D4373" s="24">
        <v>4186.5739344000003</v>
      </c>
      <c r="E4373" s="6" t="s">
        <v>5889</v>
      </c>
      <c r="F4373" s="6">
        <v>21</v>
      </c>
      <c r="G4373" s="8">
        <f t="shared" si="68"/>
        <v>4186.5739344000003</v>
      </c>
    </row>
    <row r="4374" spans="1:7" x14ac:dyDescent="0.3">
      <c r="A4374" s="14" t="e">
        <f>VLOOKUP(B4374,'Relacion codigos'!$A:$B,2,FALSE)</f>
        <v>#N/A</v>
      </c>
      <c r="B4374" s="6" t="s">
        <v>11450</v>
      </c>
      <c r="C4374" s="6" t="s">
        <v>11451</v>
      </c>
      <c r="D4374" s="24">
        <v>4196.7950024000002</v>
      </c>
      <c r="E4374" s="6" t="s">
        <v>5889</v>
      </c>
      <c r="F4374" s="6">
        <v>21</v>
      </c>
      <c r="G4374" s="8">
        <f t="shared" si="68"/>
        <v>4196.7950024000002</v>
      </c>
    </row>
    <row r="4375" spans="1:7" x14ac:dyDescent="0.3">
      <c r="A4375" s="14" t="e">
        <f>VLOOKUP(B4375,'Relacion codigos'!$A:$B,2,FALSE)</f>
        <v>#N/A</v>
      </c>
      <c r="B4375" s="6" t="s">
        <v>13564</v>
      </c>
      <c r="C4375" s="6" t="s">
        <v>13565</v>
      </c>
      <c r="D4375" s="24">
        <v>6130.1987603999996</v>
      </c>
      <c r="E4375" s="6" t="s">
        <v>5889</v>
      </c>
      <c r="F4375" s="6">
        <v>21</v>
      </c>
      <c r="G4375" s="8">
        <f t="shared" si="68"/>
        <v>6130.1987603999996</v>
      </c>
    </row>
    <row r="4376" spans="1:7" x14ac:dyDescent="0.3">
      <c r="A4376" s="14" t="e">
        <f>VLOOKUP(B4376,'Relacion codigos'!$A:$B,2,FALSE)</f>
        <v>#N/A</v>
      </c>
      <c r="B4376" s="6" t="s">
        <v>9726</v>
      </c>
      <c r="C4376" s="6" t="s">
        <v>9727</v>
      </c>
      <c r="D4376" s="24">
        <v>3460.2357425999999</v>
      </c>
      <c r="E4376" s="6" t="s">
        <v>5889</v>
      </c>
      <c r="F4376" s="6">
        <v>21</v>
      </c>
      <c r="G4376" s="8">
        <f t="shared" si="68"/>
        <v>3460.2357425999999</v>
      </c>
    </row>
    <row r="4377" spans="1:7" x14ac:dyDescent="0.3">
      <c r="A4377" s="14" t="e">
        <f>VLOOKUP(B4377,'Relacion codigos'!$A:$B,2,FALSE)</f>
        <v>#N/A</v>
      </c>
      <c r="B4377" s="6" t="s">
        <v>9728</v>
      </c>
      <c r="C4377" s="6" t="s">
        <v>9729</v>
      </c>
      <c r="D4377" s="24">
        <v>4130.5113486</v>
      </c>
      <c r="E4377" s="6" t="s">
        <v>5889</v>
      </c>
      <c r="F4377" s="6">
        <v>21</v>
      </c>
      <c r="G4377" s="8">
        <f t="shared" si="68"/>
        <v>4130.5113486</v>
      </c>
    </row>
    <row r="4378" spans="1:7" x14ac:dyDescent="0.3">
      <c r="A4378" s="14" t="e">
        <f>VLOOKUP(B4378,'Relacion codigos'!$A:$B,2,FALSE)</f>
        <v>#N/A</v>
      </c>
      <c r="B4378" s="6" t="s">
        <v>11452</v>
      </c>
      <c r="C4378" s="6" t="s">
        <v>11453</v>
      </c>
      <c r="D4378" s="24">
        <v>740.56311419999997</v>
      </c>
      <c r="E4378" s="6" t="s">
        <v>5889</v>
      </c>
      <c r="F4378" s="6">
        <v>21</v>
      </c>
      <c r="G4378" s="8">
        <f t="shared" si="68"/>
        <v>740.56311419999997</v>
      </c>
    </row>
    <row r="4379" spans="1:7" x14ac:dyDescent="0.3">
      <c r="A4379" s="14" t="e">
        <f>VLOOKUP(B4379,'Relacion codigos'!$A:$B,2,FALSE)</f>
        <v>#N/A</v>
      </c>
      <c r="B4379" s="6" t="s">
        <v>9730</v>
      </c>
      <c r="C4379" s="6" t="s">
        <v>9731</v>
      </c>
      <c r="D4379" s="24">
        <v>740.56311419999997</v>
      </c>
      <c r="E4379" s="6" t="s">
        <v>5889</v>
      </c>
      <c r="F4379" s="6">
        <v>21</v>
      </c>
      <c r="G4379" s="8">
        <f t="shared" si="68"/>
        <v>740.56311419999997</v>
      </c>
    </row>
    <row r="4380" spans="1:7" x14ac:dyDescent="0.3">
      <c r="A4380" s="14" t="e">
        <f>VLOOKUP(B4380,'Relacion codigos'!$A:$B,2,FALSE)</f>
        <v>#N/A</v>
      </c>
      <c r="B4380" s="6" t="s">
        <v>9732</v>
      </c>
      <c r="C4380" s="6" t="s">
        <v>9733</v>
      </c>
      <c r="D4380" s="24">
        <v>890.08838100000003</v>
      </c>
      <c r="E4380" s="6" t="s">
        <v>5889</v>
      </c>
      <c r="F4380" s="6">
        <v>21</v>
      </c>
      <c r="G4380" s="8">
        <f t="shared" si="68"/>
        <v>890.08838100000003</v>
      </c>
    </row>
    <row r="4381" spans="1:7" x14ac:dyDescent="0.3">
      <c r="A4381" s="14" t="e">
        <f>VLOOKUP(B4381,'Relacion codigos'!$A:$B,2,FALSE)</f>
        <v>#N/A</v>
      </c>
      <c r="B4381" s="6" t="s">
        <v>9734</v>
      </c>
      <c r="C4381" s="6" t="s">
        <v>9735</v>
      </c>
      <c r="D4381" s="24">
        <v>1530.0897066</v>
      </c>
      <c r="E4381" s="6" t="s">
        <v>5889</v>
      </c>
      <c r="F4381" s="6">
        <v>21</v>
      </c>
      <c r="G4381" s="8">
        <f t="shared" si="68"/>
        <v>1530.0897066</v>
      </c>
    </row>
    <row r="4382" spans="1:7" x14ac:dyDescent="0.3">
      <c r="A4382" s="14" t="e">
        <f>VLOOKUP(B4382,'Relacion codigos'!$A:$B,2,FALSE)</f>
        <v>#N/A</v>
      </c>
      <c r="B4382" s="6" t="s">
        <v>9736</v>
      </c>
      <c r="C4382" s="6" t="s">
        <v>9737</v>
      </c>
      <c r="D4382" s="24">
        <v>2064.8087460000002</v>
      </c>
      <c r="E4382" s="6" t="s">
        <v>5889</v>
      </c>
      <c r="F4382" s="6">
        <v>21</v>
      </c>
      <c r="G4382" s="8">
        <f t="shared" si="68"/>
        <v>2064.8087460000002</v>
      </c>
    </row>
    <row r="4383" spans="1:7" x14ac:dyDescent="0.3">
      <c r="A4383" s="14" t="e">
        <f>VLOOKUP(B4383,'Relacion codigos'!$A:$B,2,FALSE)</f>
        <v>#N/A</v>
      </c>
      <c r="B4383" s="6" t="s">
        <v>9738</v>
      </c>
      <c r="C4383" s="6" t="s">
        <v>9739</v>
      </c>
      <c r="D4383" s="24">
        <v>2317.4722115999998</v>
      </c>
      <c r="E4383" s="6" t="s">
        <v>5889</v>
      </c>
      <c r="F4383" s="6">
        <v>21</v>
      </c>
      <c r="G4383" s="8">
        <f t="shared" si="68"/>
        <v>2317.4722115999998</v>
      </c>
    </row>
    <row r="4384" spans="1:7" x14ac:dyDescent="0.3">
      <c r="A4384" s="14" t="str">
        <f>VLOOKUP(B4384,'Relacion codigos'!$A:$B,2,FALSE)</f>
        <v>5571</v>
      </c>
      <c r="B4384" s="6" t="s">
        <v>1698</v>
      </c>
      <c r="C4384" s="6" t="s">
        <v>753</v>
      </c>
      <c r="D4384" s="24">
        <v>273.42080220000003</v>
      </c>
      <c r="E4384" s="6" t="s">
        <v>5889</v>
      </c>
      <c r="F4384" s="6">
        <v>21</v>
      </c>
      <c r="G4384" s="8">
        <f t="shared" si="68"/>
        <v>273.42080220000003</v>
      </c>
    </row>
    <row r="4385" spans="1:7" x14ac:dyDescent="0.3">
      <c r="A4385" s="14" t="str">
        <f>VLOOKUP(B4385,'Relacion codigos'!$A:$B,2,FALSE)</f>
        <v>5567</v>
      </c>
      <c r="B4385" s="6" t="s">
        <v>1699</v>
      </c>
      <c r="C4385" s="6" t="s">
        <v>754</v>
      </c>
      <c r="D4385" s="24">
        <v>28.819572600000001</v>
      </c>
      <c r="E4385" s="6" t="s">
        <v>5889</v>
      </c>
      <c r="F4385" s="6">
        <v>21</v>
      </c>
      <c r="G4385" s="8">
        <f t="shared" si="68"/>
        <v>28.819572600000001</v>
      </c>
    </row>
    <row r="4386" spans="1:7" x14ac:dyDescent="0.3">
      <c r="A4386" s="14" t="str">
        <f>VLOOKUP(B4386,'Relacion codigos'!$A:$B,2,FALSE)</f>
        <v>5568</v>
      </c>
      <c r="B4386" s="6" t="s">
        <v>1700</v>
      </c>
      <c r="C4386" s="6" t="s">
        <v>755</v>
      </c>
      <c r="D4386" s="24">
        <v>40.714291799999998</v>
      </c>
      <c r="E4386" s="6" t="s">
        <v>5889</v>
      </c>
      <c r="F4386" s="6">
        <v>21</v>
      </c>
      <c r="G4386" s="8">
        <f t="shared" si="68"/>
        <v>40.714291799999998</v>
      </c>
    </row>
    <row r="4387" spans="1:7" x14ac:dyDescent="0.3">
      <c r="A4387" s="14" t="str">
        <f>VLOOKUP(B4387,'Relacion codigos'!$A:$B,2,FALSE)</f>
        <v>5570</v>
      </c>
      <c r="B4387" s="6" t="s">
        <v>1701</v>
      </c>
      <c r="C4387" s="6" t="s">
        <v>756</v>
      </c>
      <c r="D4387" s="24">
        <v>79.973875800000002</v>
      </c>
      <c r="E4387" s="6" t="s">
        <v>5889</v>
      </c>
      <c r="F4387" s="6">
        <v>21</v>
      </c>
      <c r="G4387" s="8">
        <f t="shared" si="68"/>
        <v>79.973875800000002</v>
      </c>
    </row>
    <row r="4388" spans="1:7" x14ac:dyDescent="0.3">
      <c r="A4388" s="14" t="str">
        <f>VLOOKUP(B4388,'Relacion codigos'!$A:$B,2,FALSE)</f>
        <v>5569</v>
      </c>
      <c r="B4388" s="6" t="s">
        <v>1702</v>
      </c>
      <c r="C4388" s="6" t="s">
        <v>757</v>
      </c>
      <c r="D4388" s="24">
        <v>77.093671200000003</v>
      </c>
      <c r="E4388" s="6" t="s">
        <v>5889</v>
      </c>
      <c r="F4388" s="6">
        <v>21</v>
      </c>
      <c r="G4388" s="8">
        <f t="shared" si="68"/>
        <v>77.093671200000003</v>
      </c>
    </row>
    <row r="4389" spans="1:7" x14ac:dyDescent="0.3">
      <c r="A4389" s="14" t="str">
        <f>VLOOKUP(B4389,'Relacion codigos'!$A:$B,2,FALSE)</f>
        <v>5572</v>
      </c>
      <c r="B4389" s="6" t="s">
        <v>1703</v>
      </c>
      <c r="C4389" s="6" t="s">
        <v>758</v>
      </c>
      <c r="D4389" s="24">
        <v>79.255285200000003</v>
      </c>
      <c r="E4389" s="6" t="s">
        <v>5889</v>
      </c>
      <c r="F4389" s="6">
        <v>21</v>
      </c>
      <c r="G4389" s="8">
        <f t="shared" si="68"/>
        <v>79.255285200000003</v>
      </c>
    </row>
    <row r="4390" spans="1:7" x14ac:dyDescent="0.3">
      <c r="A4390" s="14" t="str">
        <f>VLOOKUP(B4390,'Relacion codigos'!$A:$B,2,FALSE)</f>
        <v>5584</v>
      </c>
      <c r="B4390" s="6" t="s">
        <v>1704</v>
      </c>
      <c r="C4390" s="6" t="s">
        <v>759</v>
      </c>
      <c r="D4390" s="24">
        <v>28.819572600000001</v>
      </c>
      <c r="E4390" s="6" t="s">
        <v>5889</v>
      </c>
      <c r="F4390" s="6">
        <v>21</v>
      </c>
      <c r="G4390" s="8">
        <f t="shared" si="68"/>
        <v>28.819572600000001</v>
      </c>
    </row>
    <row r="4391" spans="1:7" x14ac:dyDescent="0.3">
      <c r="A4391" s="14" t="str">
        <f>VLOOKUP(B4391,'Relacion codigos'!$A:$B,2,FALSE)</f>
        <v>5585</v>
      </c>
      <c r="B4391" s="6" t="s">
        <v>1705</v>
      </c>
      <c r="C4391" s="6" t="s">
        <v>760</v>
      </c>
      <c r="D4391" s="24">
        <v>41.789256600000002</v>
      </c>
      <c r="E4391" s="6" t="s">
        <v>5889</v>
      </c>
      <c r="F4391" s="6">
        <v>21</v>
      </c>
      <c r="G4391" s="8">
        <f t="shared" si="68"/>
        <v>41.789256600000002</v>
      </c>
    </row>
    <row r="4392" spans="1:7" x14ac:dyDescent="0.3">
      <c r="A4392" s="14" t="str">
        <f>VLOOKUP(B4392,'Relacion codigos'!$A:$B,2,FALSE)</f>
        <v>5586</v>
      </c>
      <c r="B4392" s="6" t="s">
        <v>1706</v>
      </c>
      <c r="C4392" s="6" t="s">
        <v>761</v>
      </c>
      <c r="D4392" s="24">
        <v>60.519349800000001</v>
      </c>
      <c r="E4392" s="6" t="s">
        <v>5889</v>
      </c>
      <c r="F4392" s="6">
        <v>21</v>
      </c>
      <c r="G4392" s="8">
        <f t="shared" si="68"/>
        <v>60.519349800000001</v>
      </c>
    </row>
    <row r="4393" spans="1:7" x14ac:dyDescent="0.3">
      <c r="A4393" s="14" t="str">
        <f>VLOOKUP(B4393,'Relacion codigos'!$A:$B,2,FALSE)</f>
        <v>5577</v>
      </c>
      <c r="B4393" s="6" t="s">
        <v>1707</v>
      </c>
      <c r="C4393" s="6" t="s">
        <v>762</v>
      </c>
      <c r="D4393" s="24">
        <v>23.777754000000002</v>
      </c>
      <c r="E4393" s="6" t="s">
        <v>5889</v>
      </c>
      <c r="F4393" s="6">
        <v>21</v>
      </c>
      <c r="G4393" s="8">
        <f t="shared" si="68"/>
        <v>23.777754000000002</v>
      </c>
    </row>
    <row r="4394" spans="1:7" x14ac:dyDescent="0.3">
      <c r="A4394" s="14" t="str">
        <f>VLOOKUP(B4394,'Relacion codigos'!$A:$B,2,FALSE)</f>
        <v>5573</v>
      </c>
      <c r="B4394" s="6" t="s">
        <v>1708</v>
      </c>
      <c r="C4394" s="6" t="s">
        <v>763</v>
      </c>
      <c r="D4394" s="24">
        <v>44.669461200000001</v>
      </c>
      <c r="E4394" s="6" t="s">
        <v>5889</v>
      </c>
      <c r="F4394" s="6">
        <v>21</v>
      </c>
      <c r="G4394" s="8">
        <f t="shared" si="68"/>
        <v>44.669461200000001</v>
      </c>
    </row>
    <row r="4395" spans="1:7" x14ac:dyDescent="0.3">
      <c r="A4395" s="14" t="str">
        <f>VLOOKUP(B4395,'Relacion codigos'!$A:$B,2,FALSE)</f>
        <v>5574</v>
      </c>
      <c r="B4395" s="6" t="s">
        <v>1709</v>
      </c>
      <c r="C4395" s="6" t="s">
        <v>764</v>
      </c>
      <c r="D4395" s="24">
        <v>80.143299600000006</v>
      </c>
      <c r="E4395" s="6" t="s">
        <v>5889</v>
      </c>
      <c r="F4395" s="6">
        <v>21</v>
      </c>
      <c r="G4395" s="8">
        <f t="shared" si="68"/>
        <v>80.143299600000006</v>
      </c>
    </row>
    <row r="4396" spans="1:7" x14ac:dyDescent="0.3">
      <c r="A4396" s="14" t="str">
        <f>VLOOKUP(B4396,'Relacion codigos'!$A:$B,2,FALSE)</f>
        <v>5576</v>
      </c>
      <c r="B4396" s="6" t="s">
        <v>1710</v>
      </c>
      <c r="C4396" s="6" t="s">
        <v>765</v>
      </c>
      <c r="D4396" s="24">
        <v>78.530852400000001</v>
      </c>
      <c r="E4396" s="6" t="s">
        <v>5889</v>
      </c>
      <c r="F4396" s="6">
        <v>21</v>
      </c>
      <c r="G4396" s="8">
        <f t="shared" si="68"/>
        <v>78.530852400000001</v>
      </c>
    </row>
    <row r="4397" spans="1:7" x14ac:dyDescent="0.3">
      <c r="A4397" s="14" t="str">
        <f>VLOOKUP(B4397,'Relacion codigos'!$A:$B,2,FALSE)</f>
        <v>5575</v>
      </c>
      <c r="B4397" s="6" t="s">
        <v>1711</v>
      </c>
      <c r="C4397" s="6" t="s">
        <v>766</v>
      </c>
      <c r="D4397" s="24">
        <v>63.3995544</v>
      </c>
      <c r="E4397" s="6" t="s">
        <v>5889</v>
      </c>
      <c r="F4397" s="6">
        <v>21</v>
      </c>
      <c r="G4397" s="8">
        <f t="shared" si="68"/>
        <v>63.3995544</v>
      </c>
    </row>
    <row r="4398" spans="1:7" x14ac:dyDescent="0.3">
      <c r="A4398" s="14" t="str">
        <f>VLOOKUP(B4398,'Relacion codigos'!$A:$B,2,FALSE)</f>
        <v>5578</v>
      </c>
      <c r="B4398" s="6" t="s">
        <v>1712</v>
      </c>
      <c r="C4398" s="6" t="s">
        <v>767</v>
      </c>
      <c r="D4398" s="24">
        <v>37.845771599999999</v>
      </c>
      <c r="E4398" s="6" t="s">
        <v>5889</v>
      </c>
      <c r="F4398" s="6">
        <v>21</v>
      </c>
      <c r="G4398" s="8">
        <f t="shared" si="68"/>
        <v>37.845771599999999</v>
      </c>
    </row>
    <row r="4399" spans="1:7" x14ac:dyDescent="0.3">
      <c r="A4399" s="14" t="str">
        <f>VLOOKUP(B4399,'Relacion codigos'!$A:$B,2,FALSE)</f>
        <v>5579</v>
      </c>
      <c r="B4399" s="6" t="s">
        <v>1713</v>
      </c>
      <c r="C4399" s="6" t="s">
        <v>768</v>
      </c>
      <c r="D4399" s="24">
        <v>74.2076244</v>
      </c>
      <c r="E4399" s="6" t="s">
        <v>5889</v>
      </c>
      <c r="F4399" s="6">
        <v>21</v>
      </c>
      <c r="G4399" s="8">
        <f t="shared" si="68"/>
        <v>74.2076244</v>
      </c>
    </row>
    <row r="4400" spans="1:7" x14ac:dyDescent="0.3">
      <c r="A4400" s="14" t="str">
        <f>VLOOKUP(B4400,'Relacion codigos'!$A:$B,2,FALSE)</f>
        <v>5580</v>
      </c>
      <c r="B4400" s="6" t="s">
        <v>1714</v>
      </c>
      <c r="C4400" s="6" t="s">
        <v>769</v>
      </c>
      <c r="D4400" s="24">
        <v>77.093671200000003</v>
      </c>
      <c r="E4400" s="6" t="s">
        <v>5889</v>
      </c>
      <c r="F4400" s="6">
        <v>21</v>
      </c>
      <c r="G4400" s="8">
        <f t="shared" si="68"/>
        <v>77.093671200000003</v>
      </c>
    </row>
    <row r="4401" spans="1:7" x14ac:dyDescent="0.3">
      <c r="A4401" s="14" t="str">
        <f>VLOOKUP(B4401,'Relacion codigos'!$A:$B,2,FALSE)</f>
        <v>5581</v>
      </c>
      <c r="B4401" s="6" t="s">
        <v>1715</v>
      </c>
      <c r="C4401" s="6" t="s">
        <v>770</v>
      </c>
      <c r="D4401" s="24">
        <v>85.734285</v>
      </c>
      <c r="E4401" s="6" t="s">
        <v>5889</v>
      </c>
      <c r="F4401" s="6">
        <v>21</v>
      </c>
      <c r="G4401" s="8">
        <f t="shared" si="68"/>
        <v>85.734285</v>
      </c>
    </row>
    <row r="4402" spans="1:7" x14ac:dyDescent="0.3">
      <c r="A4402" s="14" t="str">
        <f>VLOOKUP(B4402,'Relacion codigos'!$A:$B,2,FALSE)</f>
        <v>5582</v>
      </c>
      <c r="B4402" s="6" t="s">
        <v>1716</v>
      </c>
      <c r="C4402" s="6" t="s">
        <v>771</v>
      </c>
      <c r="D4402" s="24">
        <v>100.1469924</v>
      </c>
      <c r="E4402" s="6" t="s">
        <v>5889</v>
      </c>
      <c r="F4402" s="6">
        <v>21</v>
      </c>
      <c r="G4402" s="8">
        <f t="shared" si="68"/>
        <v>100.1469924</v>
      </c>
    </row>
    <row r="4403" spans="1:7" x14ac:dyDescent="0.3">
      <c r="A4403" s="14" t="str">
        <f>VLOOKUP(B4403,'Relacion codigos'!$A:$B,2,FALSE)</f>
        <v>5583</v>
      </c>
      <c r="B4403" s="6" t="s">
        <v>1717</v>
      </c>
      <c r="C4403" s="6" t="s">
        <v>772</v>
      </c>
      <c r="D4403" s="24">
        <v>108.0690156</v>
      </c>
      <c r="E4403" s="6" t="s">
        <v>5889</v>
      </c>
      <c r="F4403" s="6">
        <v>21</v>
      </c>
      <c r="G4403" s="8">
        <f t="shared" si="68"/>
        <v>108.0690156</v>
      </c>
    </row>
    <row r="4404" spans="1:7" x14ac:dyDescent="0.3">
      <c r="A4404" s="14" t="e">
        <f>VLOOKUP(B4404,'Relacion codigos'!$A:$B,2,FALSE)</f>
        <v>#N/A</v>
      </c>
      <c r="B4404" s="6" t="s">
        <v>14007</v>
      </c>
      <c r="C4404" s="6" t="s">
        <v>14008</v>
      </c>
      <c r="D4404" s="24">
        <v>2509.746525</v>
      </c>
      <c r="E4404" s="6" t="s">
        <v>5889</v>
      </c>
      <c r="F4404" s="6">
        <v>21</v>
      </c>
      <c r="G4404" s="8">
        <f t="shared" si="68"/>
        <v>2509.746525</v>
      </c>
    </row>
    <row r="4405" spans="1:7" x14ac:dyDescent="0.3">
      <c r="A4405" s="14" t="e">
        <f>VLOOKUP(B4405,'Relacion codigos'!$A:$B,2,FALSE)</f>
        <v>#N/A</v>
      </c>
      <c r="B4405" s="6" t="s">
        <v>14009</v>
      </c>
      <c r="C4405" s="6" t="s">
        <v>14010</v>
      </c>
      <c r="D4405" s="24">
        <v>3612.5139374999999</v>
      </c>
      <c r="E4405" s="6" t="s">
        <v>5889</v>
      </c>
      <c r="F4405" s="6">
        <v>21</v>
      </c>
      <c r="G4405" s="8">
        <f t="shared" si="68"/>
        <v>3612.5139374999999</v>
      </c>
    </row>
    <row r="4406" spans="1:7" x14ac:dyDescent="0.3">
      <c r="A4406" s="14" t="str">
        <f>VLOOKUP(B4406,'Relacion codigos'!$A:$B,2,FALSE)</f>
        <v>766</v>
      </c>
      <c r="B4406" s="6" t="s">
        <v>5783</v>
      </c>
      <c r="C4406" s="6" t="s">
        <v>14011</v>
      </c>
      <c r="D4406" s="24">
        <v>3878.6991750000002</v>
      </c>
      <c r="E4406" s="6" t="s">
        <v>5889</v>
      </c>
      <c r="F4406" s="6">
        <v>21</v>
      </c>
      <c r="G4406" s="8">
        <f t="shared" si="68"/>
        <v>3878.6991750000002</v>
      </c>
    </row>
    <row r="4407" spans="1:7" x14ac:dyDescent="0.3">
      <c r="A4407" s="14" t="e">
        <f>VLOOKUP(B4407,'Relacion codigos'!$A:$B,2,FALSE)</f>
        <v>#N/A</v>
      </c>
      <c r="B4407" s="6" t="s">
        <v>9425</v>
      </c>
      <c r="C4407" s="6" t="s">
        <v>9426</v>
      </c>
      <c r="D4407" s="24">
        <v>303.7944</v>
      </c>
      <c r="E4407" s="6" t="s">
        <v>5889</v>
      </c>
      <c r="F4407" s="6">
        <v>21</v>
      </c>
      <c r="G4407" s="8">
        <f t="shared" si="68"/>
        <v>303.7944</v>
      </c>
    </row>
    <row r="4408" spans="1:7" x14ac:dyDescent="0.3">
      <c r="A4408" s="14" t="e">
        <f>VLOOKUP(B4408,'Relacion codigos'!$A:$B,2,FALSE)</f>
        <v>#N/A</v>
      </c>
      <c r="B4408" s="6" t="s">
        <v>9703</v>
      </c>
      <c r="C4408" s="6" t="s">
        <v>9704</v>
      </c>
      <c r="D4408" s="24">
        <v>303.7944</v>
      </c>
      <c r="E4408" s="6" t="s">
        <v>5889</v>
      </c>
      <c r="F4408" s="6">
        <v>21</v>
      </c>
      <c r="G4408" s="8">
        <f t="shared" si="68"/>
        <v>303.7944</v>
      </c>
    </row>
    <row r="4409" spans="1:7" x14ac:dyDescent="0.3">
      <c r="A4409" s="14" t="e">
        <f>VLOOKUP(B4409,'Relacion codigos'!$A:$B,2,FALSE)</f>
        <v>#N/A</v>
      </c>
      <c r="B4409" s="6" t="s">
        <v>10871</v>
      </c>
      <c r="C4409" s="6" t="s">
        <v>10872</v>
      </c>
      <c r="D4409" s="24">
        <v>133.80974879999999</v>
      </c>
      <c r="E4409" s="6" t="s">
        <v>5889</v>
      </c>
      <c r="F4409" s="6">
        <v>21</v>
      </c>
      <c r="G4409" s="8">
        <f t="shared" si="68"/>
        <v>133.80974879999999</v>
      </c>
    </row>
    <row r="4410" spans="1:7" x14ac:dyDescent="0.3">
      <c r="A4410" s="14" t="e">
        <f>VLOOKUP(B4410,'Relacion codigos'!$A:$B,2,FALSE)</f>
        <v>#N/A</v>
      </c>
      <c r="B4410" s="6" t="s">
        <v>10873</v>
      </c>
      <c r="C4410" s="6" t="s">
        <v>10874</v>
      </c>
      <c r="D4410" s="24">
        <v>154.2399222</v>
      </c>
      <c r="E4410" s="6" t="s">
        <v>5889</v>
      </c>
      <c r="F4410" s="6">
        <v>21</v>
      </c>
      <c r="G4410" s="8">
        <f t="shared" si="68"/>
        <v>154.2399222</v>
      </c>
    </row>
    <row r="4411" spans="1:7" x14ac:dyDescent="0.3">
      <c r="A4411" s="14" t="str">
        <f>VLOOKUP(B4411,'Relacion codigos'!$A:$B,2,FALSE)</f>
        <v>5563</v>
      </c>
      <c r="B4411" s="6" t="s">
        <v>1628</v>
      </c>
      <c r="C4411" s="6" t="s">
        <v>774</v>
      </c>
      <c r="D4411" s="24">
        <v>250.52522039999999</v>
      </c>
      <c r="E4411" s="6" t="s">
        <v>5889</v>
      </c>
      <c r="F4411" s="6">
        <v>21</v>
      </c>
      <c r="G4411" s="8">
        <f t="shared" si="68"/>
        <v>250.52522039999999</v>
      </c>
    </row>
    <row r="4412" spans="1:7" x14ac:dyDescent="0.3">
      <c r="A4412" s="14" t="str">
        <f>VLOOKUP(B4412,'Relacion codigos'!$A:$B,2,FALSE)</f>
        <v>5564</v>
      </c>
      <c r="B4412" s="6" t="s">
        <v>1629</v>
      </c>
      <c r="C4412" s="6" t="s">
        <v>775</v>
      </c>
      <c r="D4412" s="24">
        <v>312.00853319999999</v>
      </c>
      <c r="E4412" s="6" t="s">
        <v>5889</v>
      </c>
      <c r="F4412" s="6">
        <v>21</v>
      </c>
      <c r="G4412" s="8">
        <f t="shared" si="68"/>
        <v>312.00853319999999</v>
      </c>
    </row>
    <row r="4413" spans="1:7" x14ac:dyDescent="0.3">
      <c r="A4413" s="14" t="str">
        <f>VLOOKUP(B4413,'Relacion codigos'!$A:$B,2,FALSE)</f>
        <v>1947</v>
      </c>
      <c r="B4413" s="6" t="s">
        <v>1630</v>
      </c>
      <c r="C4413" s="6" t="s">
        <v>776</v>
      </c>
      <c r="D4413" s="24">
        <v>88.929968400000007</v>
      </c>
      <c r="E4413" s="6" t="s">
        <v>5889</v>
      </c>
      <c r="F4413" s="6">
        <v>21</v>
      </c>
      <c r="G4413" s="8">
        <f t="shared" si="68"/>
        <v>88.929968400000007</v>
      </c>
    </row>
    <row r="4414" spans="1:7" x14ac:dyDescent="0.3">
      <c r="A4414" s="14" t="str">
        <f>VLOOKUP(B4414,'Relacion codigos'!$A:$B,2,FALSE)</f>
        <v>168</v>
      </c>
      <c r="B4414" s="6" t="s">
        <v>1631</v>
      </c>
      <c r="C4414" s="6" t="s">
        <v>777</v>
      </c>
      <c r="D4414" s="24">
        <v>96.705936600000001</v>
      </c>
      <c r="E4414" s="6" t="s">
        <v>5889</v>
      </c>
      <c r="F4414" s="6">
        <v>21</v>
      </c>
      <c r="G4414" s="8">
        <f t="shared" si="68"/>
        <v>96.705936600000001</v>
      </c>
    </row>
    <row r="4415" spans="1:7" x14ac:dyDescent="0.3">
      <c r="A4415" s="14" t="str">
        <f>VLOOKUP(B4415,'Relacion codigos'!$A:$B,2,FALSE)</f>
        <v>1948</v>
      </c>
      <c r="B4415" s="6" t="s">
        <v>1632</v>
      </c>
      <c r="C4415" s="6" t="s">
        <v>778</v>
      </c>
      <c r="D4415" s="24">
        <v>94.900696800000006</v>
      </c>
      <c r="E4415" s="6" t="s">
        <v>5889</v>
      </c>
      <c r="F4415" s="6">
        <v>21</v>
      </c>
      <c r="G4415" s="8">
        <f t="shared" si="68"/>
        <v>94.900696800000006</v>
      </c>
    </row>
    <row r="4416" spans="1:7" x14ac:dyDescent="0.3">
      <c r="A4416" s="14" t="str">
        <f>VLOOKUP(B4416,'Relacion codigos'!$A:$B,2,FALSE)</f>
        <v>1950</v>
      </c>
      <c r="B4416" s="6" t="s">
        <v>1633</v>
      </c>
      <c r="C4416" s="6" t="s">
        <v>779</v>
      </c>
      <c r="D4416" s="24">
        <v>100.1820456</v>
      </c>
      <c r="E4416" s="6" t="s">
        <v>5889</v>
      </c>
      <c r="F4416" s="6">
        <v>21</v>
      </c>
      <c r="G4416" s="8">
        <f t="shared" si="68"/>
        <v>100.1820456</v>
      </c>
    </row>
    <row r="4417" spans="1:7" x14ac:dyDescent="0.3">
      <c r="A4417" s="14" t="str">
        <f>VLOOKUP(B4417,'Relacion codigos'!$A:$B,2,FALSE)</f>
        <v>1949</v>
      </c>
      <c r="B4417" s="6" t="s">
        <v>1634</v>
      </c>
      <c r="C4417" s="6" t="s">
        <v>780</v>
      </c>
      <c r="D4417" s="24">
        <v>131.86429620000001</v>
      </c>
      <c r="E4417" s="6" t="s">
        <v>5889</v>
      </c>
      <c r="F4417" s="6">
        <v>21</v>
      </c>
      <c r="G4417" s="8">
        <f t="shared" si="68"/>
        <v>131.86429620000001</v>
      </c>
    </row>
    <row r="4418" spans="1:7" x14ac:dyDescent="0.3">
      <c r="A4418" s="14" t="str">
        <f>VLOOKUP(B4418,'Relacion codigos'!$A:$B,2,FALSE)</f>
        <v>2491</v>
      </c>
      <c r="B4418" s="6" t="s">
        <v>1635</v>
      </c>
      <c r="C4418" s="6" t="s">
        <v>781</v>
      </c>
      <c r="D4418" s="24">
        <v>83.508406800000003</v>
      </c>
      <c r="E4418" s="6" t="s">
        <v>5889</v>
      </c>
      <c r="F4418" s="6">
        <v>21</v>
      </c>
      <c r="G4418" s="8">
        <f t="shared" ref="G4418:G4481" si="69">IF(E4418="Dolares",D4418*$G$1,D4418)</f>
        <v>83.508406800000003</v>
      </c>
    </row>
    <row r="4419" spans="1:7" x14ac:dyDescent="0.3">
      <c r="A4419" s="14" t="str">
        <f>VLOOKUP(B4419,'Relacion codigos'!$A:$B,2,FALSE)</f>
        <v>4014</v>
      </c>
      <c r="B4419" s="6" t="s">
        <v>1636</v>
      </c>
      <c r="C4419" s="6" t="s">
        <v>782</v>
      </c>
      <c r="D4419" s="24">
        <v>109.9093086</v>
      </c>
      <c r="E4419" s="6" t="s">
        <v>5889</v>
      </c>
      <c r="F4419" s="6">
        <v>21</v>
      </c>
      <c r="G4419" s="8">
        <f t="shared" si="69"/>
        <v>109.9093086</v>
      </c>
    </row>
    <row r="4420" spans="1:7" x14ac:dyDescent="0.3">
      <c r="A4420" s="14" t="str">
        <f>VLOOKUP(B4420,'Relacion codigos'!$A:$B,2,FALSE)</f>
        <v>1526</v>
      </c>
      <c r="B4420" s="6" t="s">
        <v>1637</v>
      </c>
      <c r="C4420" s="6" t="s">
        <v>783</v>
      </c>
      <c r="D4420" s="24">
        <v>109.9093086</v>
      </c>
      <c r="E4420" s="6" t="s">
        <v>5889</v>
      </c>
      <c r="F4420" s="6">
        <v>21</v>
      </c>
      <c r="G4420" s="8">
        <f t="shared" si="69"/>
        <v>109.9093086</v>
      </c>
    </row>
    <row r="4421" spans="1:7" x14ac:dyDescent="0.3">
      <c r="A4421" s="14" t="str">
        <f>VLOOKUP(B4421,'Relacion codigos'!$A:$B,2,FALSE)</f>
        <v>1952</v>
      </c>
      <c r="B4421" s="6" t="s">
        <v>1638</v>
      </c>
      <c r="C4421" s="6" t="s">
        <v>784</v>
      </c>
      <c r="D4421" s="24">
        <v>96.291140400000003</v>
      </c>
      <c r="E4421" s="6" t="s">
        <v>5889</v>
      </c>
      <c r="F4421" s="6">
        <v>21</v>
      </c>
      <c r="G4421" s="8">
        <f t="shared" si="69"/>
        <v>96.291140400000003</v>
      </c>
    </row>
    <row r="4422" spans="1:7" x14ac:dyDescent="0.3">
      <c r="A4422" s="14" t="str">
        <f>VLOOKUP(B4422,'Relacion codigos'!$A:$B,2,FALSE)</f>
        <v>1946</v>
      </c>
      <c r="B4422" s="6" t="s">
        <v>1639</v>
      </c>
      <c r="C4422" s="6" t="s">
        <v>785</v>
      </c>
      <c r="D4422" s="24">
        <v>97.821796800000001</v>
      </c>
      <c r="E4422" s="6" t="s">
        <v>5889</v>
      </c>
      <c r="F4422" s="6">
        <v>21</v>
      </c>
      <c r="G4422" s="8">
        <f t="shared" si="69"/>
        <v>97.821796800000001</v>
      </c>
    </row>
    <row r="4423" spans="1:7" x14ac:dyDescent="0.3">
      <c r="A4423" s="14" t="str">
        <f>VLOOKUP(B4423,'Relacion codigos'!$A:$B,2,FALSE)</f>
        <v>1951</v>
      </c>
      <c r="B4423" s="6" t="s">
        <v>1640</v>
      </c>
      <c r="C4423" s="6" t="s">
        <v>786</v>
      </c>
      <c r="D4423" s="24">
        <v>152.84363640000001</v>
      </c>
      <c r="E4423" s="6" t="s">
        <v>5889</v>
      </c>
      <c r="F4423" s="6">
        <v>21</v>
      </c>
      <c r="G4423" s="8">
        <f t="shared" si="69"/>
        <v>152.84363640000001</v>
      </c>
    </row>
    <row r="4424" spans="1:7" x14ac:dyDescent="0.3">
      <c r="A4424" s="14" t="str">
        <f>VLOOKUP(B4424,'Relacion codigos'!$A:$B,2,FALSE)</f>
        <v>5565</v>
      </c>
      <c r="B4424" s="6" t="s">
        <v>1641</v>
      </c>
      <c r="C4424" s="6" t="s">
        <v>787</v>
      </c>
      <c r="D4424" s="24">
        <v>342.79108500000001</v>
      </c>
      <c r="E4424" s="6" t="s">
        <v>5889</v>
      </c>
      <c r="F4424" s="6">
        <v>21</v>
      </c>
      <c r="G4424" s="8">
        <f t="shared" si="69"/>
        <v>342.79108500000001</v>
      </c>
    </row>
    <row r="4425" spans="1:7" x14ac:dyDescent="0.3">
      <c r="A4425" s="14" t="str">
        <f>VLOOKUP(B4425,'Relacion codigos'!$A:$B,2,FALSE)</f>
        <v>5566</v>
      </c>
      <c r="B4425" s="6" t="s">
        <v>1642</v>
      </c>
      <c r="C4425" s="6" t="s">
        <v>788</v>
      </c>
      <c r="D4425" s="24">
        <v>347.9964852</v>
      </c>
      <c r="E4425" s="6" t="s">
        <v>5889</v>
      </c>
      <c r="F4425" s="6">
        <v>21</v>
      </c>
      <c r="G4425" s="8">
        <f t="shared" si="69"/>
        <v>347.9964852</v>
      </c>
    </row>
    <row r="4426" spans="1:7" x14ac:dyDescent="0.3">
      <c r="A4426" s="14" t="str">
        <f>VLOOKUP(B4426,'Relacion codigos'!$A:$B,2,FALSE)</f>
        <v>1945</v>
      </c>
      <c r="B4426" s="6" t="s">
        <v>1643</v>
      </c>
      <c r="C4426" s="6" t="s">
        <v>789</v>
      </c>
      <c r="D4426" s="24">
        <v>108.17417519999999</v>
      </c>
      <c r="E4426" s="6" t="s">
        <v>5889</v>
      </c>
      <c r="F4426" s="6">
        <v>21</v>
      </c>
      <c r="G4426" s="8">
        <f t="shared" si="69"/>
        <v>108.17417519999999</v>
      </c>
    </row>
    <row r="4427" spans="1:7" x14ac:dyDescent="0.3">
      <c r="A4427" s="14" t="str">
        <f>VLOOKUP(B4427,'Relacion codigos'!$A:$B,2,FALSE)</f>
        <v>1942</v>
      </c>
      <c r="B4427" s="6" t="s">
        <v>1644</v>
      </c>
      <c r="C4427" s="6" t="s">
        <v>790</v>
      </c>
      <c r="D4427" s="24">
        <v>118.6609242</v>
      </c>
      <c r="E4427" s="6" t="s">
        <v>5889</v>
      </c>
      <c r="F4427" s="6">
        <v>21</v>
      </c>
      <c r="G4427" s="8">
        <f t="shared" si="69"/>
        <v>118.6609242</v>
      </c>
    </row>
    <row r="4428" spans="1:7" x14ac:dyDescent="0.3">
      <c r="A4428" s="14" t="str">
        <f>VLOOKUP(B4428,'Relacion codigos'!$A:$B,2,FALSE)</f>
        <v>1527</v>
      </c>
      <c r="B4428" s="6" t="s">
        <v>1645</v>
      </c>
      <c r="C4428" s="6" t="s">
        <v>791</v>
      </c>
      <c r="D4428" s="24">
        <v>118.6609242</v>
      </c>
      <c r="E4428" s="6" t="s">
        <v>5889</v>
      </c>
      <c r="F4428" s="6">
        <v>21</v>
      </c>
      <c r="G4428" s="8">
        <f t="shared" si="69"/>
        <v>118.6609242</v>
      </c>
    </row>
    <row r="4429" spans="1:7" x14ac:dyDescent="0.3">
      <c r="A4429" s="14" t="str">
        <f>VLOOKUP(B4429,'Relacion codigos'!$A:$B,2,FALSE)</f>
        <v>1943</v>
      </c>
      <c r="B4429" s="6" t="s">
        <v>1646</v>
      </c>
      <c r="C4429" s="6" t="s">
        <v>792</v>
      </c>
      <c r="D4429" s="24">
        <v>137.07553859999999</v>
      </c>
      <c r="E4429" s="6" t="s">
        <v>5889</v>
      </c>
      <c r="F4429" s="6">
        <v>21</v>
      </c>
      <c r="G4429" s="8">
        <f t="shared" si="69"/>
        <v>137.07553859999999</v>
      </c>
    </row>
    <row r="4430" spans="1:7" x14ac:dyDescent="0.3">
      <c r="A4430" s="14" t="str">
        <f>VLOOKUP(B4430,'Relacion codigos'!$A:$B,2,FALSE)</f>
        <v>1944</v>
      </c>
      <c r="B4430" s="6" t="s">
        <v>1647</v>
      </c>
      <c r="C4430" s="6" t="s">
        <v>793</v>
      </c>
      <c r="D4430" s="24">
        <v>178.47920999999999</v>
      </c>
      <c r="E4430" s="6" t="s">
        <v>5889</v>
      </c>
      <c r="F4430" s="6">
        <v>21</v>
      </c>
      <c r="G4430" s="8">
        <f t="shared" si="69"/>
        <v>178.47920999999999</v>
      </c>
    </row>
    <row r="4431" spans="1:7" x14ac:dyDescent="0.3">
      <c r="A4431" s="14" t="str">
        <f>VLOOKUP(B4431,'Relacion codigos'!$A:$B,2,FALSE)</f>
        <v>1941</v>
      </c>
      <c r="B4431" s="6" t="s">
        <v>1648</v>
      </c>
      <c r="C4431" s="6" t="s">
        <v>794</v>
      </c>
      <c r="D4431" s="24">
        <v>232.9460406</v>
      </c>
      <c r="E4431" s="6" t="s">
        <v>5889</v>
      </c>
      <c r="F4431" s="6">
        <v>21</v>
      </c>
      <c r="G4431" s="8">
        <f t="shared" si="69"/>
        <v>232.9460406</v>
      </c>
    </row>
    <row r="4432" spans="1:7" x14ac:dyDescent="0.3">
      <c r="A4432" s="14" t="str">
        <f>VLOOKUP(B4432,'Relacion codigos'!$A:$B,2,FALSE)</f>
        <v>4017</v>
      </c>
      <c r="B4432" s="6" t="s">
        <v>1649</v>
      </c>
      <c r="C4432" s="6" t="s">
        <v>795</v>
      </c>
      <c r="D4432" s="24">
        <v>118.6609242</v>
      </c>
      <c r="E4432" s="6" t="s">
        <v>5889</v>
      </c>
      <c r="F4432" s="6">
        <v>21</v>
      </c>
      <c r="G4432" s="8">
        <f t="shared" si="69"/>
        <v>118.6609242</v>
      </c>
    </row>
    <row r="4433" spans="1:7" x14ac:dyDescent="0.3">
      <c r="A4433" s="14" t="str">
        <f>VLOOKUP(B4433,'Relacion codigos'!$A:$B,2,FALSE)</f>
        <v>1528</v>
      </c>
      <c r="B4433" s="6" t="s">
        <v>1650</v>
      </c>
      <c r="C4433" s="6" t="s">
        <v>796</v>
      </c>
      <c r="D4433" s="24">
        <v>118.6609242</v>
      </c>
      <c r="E4433" s="6" t="s">
        <v>5889</v>
      </c>
      <c r="F4433" s="6">
        <v>21</v>
      </c>
      <c r="G4433" s="8">
        <f t="shared" si="69"/>
        <v>118.6609242</v>
      </c>
    </row>
    <row r="4434" spans="1:7" x14ac:dyDescent="0.3">
      <c r="A4434" s="14" t="str">
        <f>VLOOKUP(B4434,'Relacion codigos'!$A:$B,2,FALSE)</f>
        <v>4015</v>
      </c>
      <c r="B4434" s="6" t="s">
        <v>1651</v>
      </c>
      <c r="C4434" s="6" t="s">
        <v>797</v>
      </c>
      <c r="D4434" s="24">
        <v>254.90102820000001</v>
      </c>
      <c r="E4434" s="6" t="s">
        <v>5889</v>
      </c>
      <c r="F4434" s="6">
        <v>21</v>
      </c>
      <c r="G4434" s="8">
        <f t="shared" si="69"/>
        <v>254.90102820000001</v>
      </c>
    </row>
    <row r="4435" spans="1:7" x14ac:dyDescent="0.3">
      <c r="A4435" s="14" t="str">
        <f>VLOOKUP(B4435,'Relacion codigos'!$A:$B,2,FALSE)</f>
        <v>4016</v>
      </c>
      <c r="B4435" s="6" t="s">
        <v>1652</v>
      </c>
      <c r="C4435" s="6" t="s">
        <v>798</v>
      </c>
      <c r="D4435" s="24">
        <v>351.54270059999999</v>
      </c>
      <c r="E4435" s="6" t="s">
        <v>5889</v>
      </c>
      <c r="F4435" s="6">
        <v>21</v>
      </c>
      <c r="G4435" s="8">
        <f t="shared" si="69"/>
        <v>351.54270059999999</v>
      </c>
    </row>
    <row r="4436" spans="1:7" x14ac:dyDescent="0.3">
      <c r="A4436" s="14" t="str">
        <f>VLOOKUP(B4436,'Relacion codigos'!$A:$B,2,FALSE)</f>
        <v>8317</v>
      </c>
      <c r="B4436" s="6" t="s">
        <v>1723</v>
      </c>
      <c r="C4436" s="6" t="s">
        <v>1031</v>
      </c>
      <c r="D4436" s="24">
        <v>194.428416</v>
      </c>
      <c r="E4436" s="6" t="s">
        <v>5889</v>
      </c>
      <c r="F4436" s="6">
        <v>21</v>
      </c>
      <c r="G4436" s="8">
        <f t="shared" si="69"/>
        <v>194.428416</v>
      </c>
    </row>
    <row r="4437" spans="1:7" x14ac:dyDescent="0.3">
      <c r="A4437" s="14" t="str">
        <f>VLOOKUP(B4437,'Relacion codigos'!$A:$B,2,FALSE)</f>
        <v>8315</v>
      </c>
      <c r="B4437" s="6" t="s">
        <v>1724</v>
      </c>
      <c r="C4437" s="6" t="s">
        <v>1032</v>
      </c>
      <c r="D4437" s="24">
        <v>102.6591384</v>
      </c>
      <c r="E4437" s="6" t="s">
        <v>5889</v>
      </c>
      <c r="F4437" s="6">
        <v>21</v>
      </c>
      <c r="G4437" s="8">
        <f t="shared" si="69"/>
        <v>102.6591384</v>
      </c>
    </row>
    <row r="4438" spans="1:7" x14ac:dyDescent="0.3">
      <c r="A4438" s="14" t="str">
        <f>VLOOKUP(B4438,'Relacion codigos'!$A:$B,2,FALSE)</f>
        <v>8314</v>
      </c>
      <c r="B4438" s="6" t="s">
        <v>1725</v>
      </c>
      <c r="C4438" s="6" t="s">
        <v>1033</v>
      </c>
      <c r="D4438" s="24">
        <v>94.100315399999999</v>
      </c>
      <c r="E4438" s="6" t="s">
        <v>5889</v>
      </c>
      <c r="F4438" s="6">
        <v>21</v>
      </c>
      <c r="G4438" s="8">
        <f t="shared" si="69"/>
        <v>94.100315399999999</v>
      </c>
    </row>
    <row r="4439" spans="1:7" x14ac:dyDescent="0.3">
      <c r="A4439" s="14" t="str">
        <f>VLOOKUP(B4439,'Relacion codigos'!$A:$B,2,FALSE)</f>
        <v>8316</v>
      </c>
      <c r="B4439" s="6" t="s">
        <v>1726</v>
      </c>
      <c r="C4439" s="6" t="s">
        <v>1034</v>
      </c>
      <c r="D4439" s="24">
        <v>136.87690380000001</v>
      </c>
      <c r="E4439" s="6" t="s">
        <v>5889</v>
      </c>
      <c r="F4439" s="6">
        <v>21</v>
      </c>
      <c r="G4439" s="8">
        <f t="shared" si="69"/>
        <v>136.87690380000001</v>
      </c>
    </row>
    <row r="4440" spans="1:7" x14ac:dyDescent="0.3">
      <c r="A4440" s="14" t="str">
        <f>VLOOKUP(B4440,'Relacion codigos'!$A:$B,2,FALSE)</f>
        <v>8795</v>
      </c>
      <c r="B4440" s="6" t="s">
        <v>3393</v>
      </c>
      <c r="C4440" s="6" t="s">
        <v>1198</v>
      </c>
      <c r="D4440" s="24">
        <v>31488.486755114998</v>
      </c>
      <c r="E4440" s="6" t="s">
        <v>5889</v>
      </c>
      <c r="F4440" s="6">
        <v>21</v>
      </c>
      <c r="G4440" s="8">
        <f t="shared" si="69"/>
        <v>31488.486755114998</v>
      </c>
    </row>
    <row r="4441" spans="1:7" x14ac:dyDescent="0.3">
      <c r="A4441" s="14" t="str">
        <f>VLOOKUP(B4441,'Relacion codigos'!$A:$B,2,FALSE)</f>
        <v>8047</v>
      </c>
      <c r="B4441" s="6" t="s">
        <v>1623</v>
      </c>
      <c r="C4441" s="6" t="s">
        <v>1624</v>
      </c>
      <c r="D4441" s="24">
        <v>30290.47164</v>
      </c>
      <c r="E4441" s="6" t="s">
        <v>5889</v>
      </c>
      <c r="F4441" s="6">
        <v>21</v>
      </c>
      <c r="G4441" s="8">
        <f t="shared" si="69"/>
        <v>30290.47164</v>
      </c>
    </row>
    <row r="4442" spans="1:7" x14ac:dyDescent="0.3">
      <c r="A4442" s="14" t="str">
        <f>VLOOKUP(B4442,'Relacion codigos'!$A:$B,2,FALSE)</f>
        <v>8048</v>
      </c>
      <c r="B4442" s="6" t="s">
        <v>1625</v>
      </c>
      <c r="C4442" s="6" t="s">
        <v>1626</v>
      </c>
      <c r="D4442" s="24">
        <v>32037.99885</v>
      </c>
      <c r="E4442" s="6" t="s">
        <v>5889</v>
      </c>
      <c r="F4442" s="6">
        <v>21</v>
      </c>
      <c r="G4442" s="8">
        <f t="shared" si="69"/>
        <v>32037.99885</v>
      </c>
    </row>
    <row r="4443" spans="1:7" x14ac:dyDescent="0.3">
      <c r="A4443" s="14" t="str">
        <f>VLOOKUP(B4443,'Relacion codigos'!$A:$B,2,FALSE)</f>
        <v>8037</v>
      </c>
      <c r="B4443" s="6" t="s">
        <v>1627</v>
      </c>
      <c r="C4443" s="6" t="s">
        <v>1126</v>
      </c>
      <c r="D4443" s="24">
        <v>36179.910000000003</v>
      </c>
      <c r="E4443" s="6" t="s">
        <v>5889</v>
      </c>
      <c r="F4443" s="6">
        <v>21</v>
      </c>
      <c r="G4443" s="8">
        <f t="shared" si="69"/>
        <v>36179.910000000003</v>
      </c>
    </row>
    <row r="4444" spans="1:7" x14ac:dyDescent="0.3">
      <c r="A4444" s="14" t="str">
        <f>VLOOKUP(B4444,'Relacion codigos'!$A:$B,2,FALSE)</f>
        <v>644</v>
      </c>
      <c r="B4444" s="6" t="s">
        <v>1767</v>
      </c>
      <c r="C4444" s="6" t="s">
        <v>12337</v>
      </c>
      <c r="D4444" s="24">
        <v>1756.66115292841</v>
      </c>
      <c r="E4444" s="6" t="s">
        <v>5889</v>
      </c>
      <c r="F4444" s="6">
        <v>21</v>
      </c>
      <c r="G4444" s="8">
        <f t="shared" si="69"/>
        <v>1756.66115292841</v>
      </c>
    </row>
    <row r="4445" spans="1:7" x14ac:dyDescent="0.3">
      <c r="A4445" s="14" t="str">
        <f>VLOOKUP(B4445,'Relacion codigos'!$A:$B,2,FALSE)</f>
        <v>643</v>
      </c>
      <c r="B4445" s="6" t="s">
        <v>1768</v>
      </c>
      <c r="C4445" s="6" t="s">
        <v>12338</v>
      </c>
      <c r="D4445" s="24">
        <v>1159.5376000000001</v>
      </c>
      <c r="E4445" s="6" t="s">
        <v>5889</v>
      </c>
      <c r="F4445" s="6">
        <v>21</v>
      </c>
      <c r="G4445" s="8">
        <f t="shared" si="69"/>
        <v>1159.5376000000001</v>
      </c>
    </row>
    <row r="4446" spans="1:7" x14ac:dyDescent="0.3">
      <c r="A4446" s="14" t="str">
        <f>VLOOKUP(B4446,'Relacion codigos'!$A:$B,2,FALSE)</f>
        <v>645</v>
      </c>
      <c r="B4446" s="6" t="s">
        <v>1769</v>
      </c>
      <c r="C4446" s="6" t="s">
        <v>12339</v>
      </c>
      <c r="D4446" s="24">
        <v>883.42409999999995</v>
      </c>
      <c r="E4446" s="6" t="s">
        <v>5889</v>
      </c>
      <c r="F4446" s="6">
        <v>21</v>
      </c>
      <c r="G4446" s="8">
        <f t="shared" si="69"/>
        <v>883.42409999999995</v>
      </c>
    </row>
    <row r="4447" spans="1:7" x14ac:dyDescent="0.3">
      <c r="A4447" s="14" t="str">
        <f>VLOOKUP(B4447,'Relacion codigos'!$A:$B,2,FALSE)</f>
        <v>647</v>
      </c>
      <c r="B4447" s="6" t="s">
        <v>1770</v>
      </c>
      <c r="C4447" s="6" t="s">
        <v>12340</v>
      </c>
      <c r="D4447" s="24">
        <v>1048.6971770077701</v>
      </c>
      <c r="E4447" s="6" t="s">
        <v>5889</v>
      </c>
      <c r="F4447" s="6">
        <v>21</v>
      </c>
      <c r="G4447" s="8">
        <f t="shared" si="69"/>
        <v>1048.6971770077701</v>
      </c>
    </row>
    <row r="4448" spans="1:7" x14ac:dyDescent="0.3">
      <c r="A4448" s="14" t="str">
        <f>VLOOKUP(B4448,'Relacion codigos'!$A:$B,2,FALSE)</f>
        <v>6402</v>
      </c>
      <c r="B4448" s="6" t="s">
        <v>1771</v>
      </c>
      <c r="C4448" s="6" t="s">
        <v>12341</v>
      </c>
      <c r="D4448" s="24">
        <v>743.10413735999998</v>
      </c>
      <c r="E4448" s="6" t="s">
        <v>5889</v>
      </c>
      <c r="F4448" s="6">
        <v>21</v>
      </c>
      <c r="G4448" s="8">
        <f t="shared" si="69"/>
        <v>743.10413735999998</v>
      </c>
    </row>
    <row r="4449" spans="1:7" x14ac:dyDescent="0.3">
      <c r="A4449" s="14" t="str">
        <f>VLOOKUP(B4449,'Relacion codigos'!$A:$B,2,FALSE)</f>
        <v>648</v>
      </c>
      <c r="B4449" s="6" t="s">
        <v>1772</v>
      </c>
      <c r="C4449" s="6" t="s">
        <v>12342</v>
      </c>
      <c r="D4449" s="24">
        <v>1565.5565899999999</v>
      </c>
      <c r="E4449" s="6" t="s">
        <v>5889</v>
      </c>
      <c r="F4449" s="6">
        <v>21</v>
      </c>
      <c r="G4449" s="8">
        <f t="shared" si="69"/>
        <v>1565.5565899999999</v>
      </c>
    </row>
    <row r="4450" spans="1:7" x14ac:dyDescent="0.3">
      <c r="A4450" s="14" t="str">
        <f>VLOOKUP(B4450,'Relacion codigos'!$A:$B,2,FALSE)</f>
        <v>642</v>
      </c>
      <c r="B4450" s="6" t="s">
        <v>1773</v>
      </c>
      <c r="C4450" s="6" t="s">
        <v>12343</v>
      </c>
      <c r="D4450" s="24">
        <v>1458.10184</v>
      </c>
      <c r="E4450" s="6" t="s">
        <v>5889</v>
      </c>
      <c r="F4450" s="6">
        <v>21</v>
      </c>
      <c r="G4450" s="8">
        <f t="shared" si="69"/>
        <v>1458.10184</v>
      </c>
    </row>
    <row r="4451" spans="1:7" x14ac:dyDescent="0.3">
      <c r="A4451" s="14" t="str">
        <f>VLOOKUP(B4451,'Relacion codigos'!$A:$B,2,FALSE)</f>
        <v>8157</v>
      </c>
      <c r="B4451" s="6" t="s">
        <v>2398</v>
      </c>
      <c r="C4451" s="6" t="s">
        <v>1035</v>
      </c>
      <c r="D4451" s="24">
        <v>22702.699114945201</v>
      </c>
      <c r="E4451" s="6" t="s">
        <v>5889</v>
      </c>
      <c r="F4451" s="6">
        <v>21</v>
      </c>
      <c r="G4451" s="8">
        <f t="shared" si="69"/>
        <v>22702.699114945201</v>
      </c>
    </row>
    <row r="4452" spans="1:7" x14ac:dyDescent="0.3">
      <c r="A4452" s="14" t="e">
        <f>VLOOKUP(B4452,'Relacion codigos'!$A:$B,2,FALSE)</f>
        <v>#N/A</v>
      </c>
      <c r="B4452" s="6" t="s">
        <v>13837</v>
      </c>
      <c r="C4452" s="6" t="s">
        <v>13838</v>
      </c>
      <c r="D4452" s="24">
        <v>9946.6553968306707</v>
      </c>
      <c r="E4452" s="6" t="s">
        <v>5889</v>
      </c>
      <c r="F4452" s="6">
        <v>21</v>
      </c>
      <c r="G4452" s="8">
        <f t="shared" si="69"/>
        <v>9946.6553968306707</v>
      </c>
    </row>
    <row r="4453" spans="1:7" x14ac:dyDescent="0.3">
      <c r="A4453" s="14" t="str">
        <f>VLOOKUP(B4453,'Relacion codigos'!$A:$B,2,FALSE)</f>
        <v>9261</v>
      </c>
      <c r="B4453" s="6" t="s">
        <v>1417</v>
      </c>
      <c r="C4453" s="6" t="s">
        <v>13873</v>
      </c>
      <c r="D4453" s="24">
        <v>3.8909052000000002</v>
      </c>
      <c r="E4453" s="6" t="s">
        <v>5887</v>
      </c>
      <c r="F4453" s="6">
        <v>21</v>
      </c>
      <c r="G4453" s="8">
        <f t="shared" si="69"/>
        <v>6050.3575860000001</v>
      </c>
    </row>
    <row r="4454" spans="1:7" x14ac:dyDescent="0.3">
      <c r="A4454" s="14" t="str">
        <f>VLOOKUP(B4454,'Relacion codigos'!$A:$B,2,FALSE)</f>
        <v>9142</v>
      </c>
      <c r="B4454" s="6" t="s">
        <v>1382</v>
      </c>
      <c r="C4454" s="6" t="s">
        <v>13839</v>
      </c>
      <c r="D4454" s="24">
        <v>10.489530999999999</v>
      </c>
      <c r="E4454" s="6" t="s">
        <v>5887</v>
      </c>
      <c r="F4454" s="6">
        <v>21</v>
      </c>
      <c r="G4454" s="8">
        <f t="shared" si="69"/>
        <v>16311.220705</v>
      </c>
    </row>
    <row r="4455" spans="1:7" x14ac:dyDescent="0.3">
      <c r="A4455" s="14" t="str">
        <f>VLOOKUP(B4455,'Relacion codigos'!$A:$B,2,FALSE)</f>
        <v>2447</v>
      </c>
      <c r="B4455" s="6" t="s">
        <v>1386</v>
      </c>
      <c r="C4455" s="6" t="s">
        <v>13591</v>
      </c>
      <c r="D4455" s="24">
        <v>13.896089999999999</v>
      </c>
      <c r="E4455" s="6" t="s">
        <v>5887</v>
      </c>
      <c r="F4455" s="6">
        <v>21</v>
      </c>
      <c r="G4455" s="8">
        <f t="shared" si="69"/>
        <v>21608.41995</v>
      </c>
    </row>
    <row r="4456" spans="1:7" x14ac:dyDescent="0.3">
      <c r="A4456" s="14" t="str">
        <f>VLOOKUP(B4456,'Relacion codigos'!$A:$B,2,FALSE)</f>
        <v>9141</v>
      </c>
      <c r="B4456" s="6" t="s">
        <v>1388</v>
      </c>
      <c r="C4456" s="6" t="s">
        <v>13954</v>
      </c>
      <c r="D4456" s="24">
        <v>7473.5279385000003</v>
      </c>
      <c r="E4456" s="6" t="s">
        <v>5889</v>
      </c>
      <c r="F4456" s="6">
        <v>21</v>
      </c>
      <c r="G4456" s="8">
        <f t="shared" si="69"/>
        <v>7473.5279385000003</v>
      </c>
    </row>
    <row r="4457" spans="1:7" x14ac:dyDescent="0.3">
      <c r="A4457" s="14" t="str">
        <f>VLOOKUP(B4457,'Relacion codigos'!$A:$B,2,FALSE)</f>
        <v>8611</v>
      </c>
      <c r="B4457" s="6" t="s">
        <v>1390</v>
      </c>
      <c r="C4457" s="6" t="s">
        <v>12315</v>
      </c>
      <c r="D4457" s="24">
        <v>13.297080888</v>
      </c>
      <c r="E4457" s="6" t="s">
        <v>5887</v>
      </c>
      <c r="F4457" s="6">
        <v>21</v>
      </c>
      <c r="G4457" s="8">
        <f t="shared" si="69"/>
        <v>20676.96078084</v>
      </c>
    </row>
    <row r="4458" spans="1:7" x14ac:dyDescent="0.3">
      <c r="A4458" s="14" t="e">
        <f>VLOOKUP(B4458,'Relacion codigos'!$A:$B,2,FALSE)</f>
        <v>#N/A</v>
      </c>
      <c r="B4458" s="6" t="s">
        <v>11529</v>
      </c>
      <c r="C4458" s="6" t="s">
        <v>13735</v>
      </c>
      <c r="D4458" s="24">
        <v>14.939925000000001</v>
      </c>
      <c r="E4458" s="6" t="s">
        <v>5887</v>
      </c>
      <c r="F4458" s="6">
        <v>10.5</v>
      </c>
      <c r="G4458" s="8">
        <f t="shared" si="69"/>
        <v>23231.583375000002</v>
      </c>
    </row>
    <row r="4459" spans="1:7" x14ac:dyDescent="0.3">
      <c r="A4459" s="14" t="e">
        <f>VLOOKUP(B4459,'Relacion codigos'!$A:$B,2,FALSE)</f>
        <v>#N/A</v>
      </c>
      <c r="B4459" s="6" t="s">
        <v>10401</v>
      </c>
      <c r="C4459" s="6" t="s">
        <v>12760</v>
      </c>
      <c r="D4459" s="24">
        <v>18.41385</v>
      </c>
      <c r="E4459" s="6" t="s">
        <v>5887</v>
      </c>
      <c r="F4459" s="6">
        <v>10.5</v>
      </c>
      <c r="G4459" s="8">
        <f t="shared" si="69"/>
        <v>28633.536749999999</v>
      </c>
    </row>
    <row r="4460" spans="1:7" x14ac:dyDescent="0.3">
      <c r="A4460" s="14" t="e">
        <f>VLOOKUP(B4460,'Relacion codigos'!$A:$B,2,FALSE)</f>
        <v>#N/A</v>
      </c>
      <c r="B4460" s="6" t="s">
        <v>11638</v>
      </c>
      <c r="C4460" s="6" t="s">
        <v>13736</v>
      </c>
      <c r="D4460" s="24">
        <v>14.939925000000001</v>
      </c>
      <c r="E4460" s="6" t="s">
        <v>5887</v>
      </c>
      <c r="F4460" s="6">
        <v>10.5</v>
      </c>
      <c r="G4460" s="8">
        <f t="shared" si="69"/>
        <v>23231.583375000002</v>
      </c>
    </row>
    <row r="4461" spans="1:7" x14ac:dyDescent="0.3">
      <c r="A4461" s="14" t="e">
        <f>VLOOKUP(B4461,'Relacion codigos'!$A:$B,2,FALSE)</f>
        <v>#N/A</v>
      </c>
      <c r="B4461" s="6" t="s">
        <v>10402</v>
      </c>
      <c r="C4461" s="6" t="s">
        <v>12761</v>
      </c>
      <c r="D4461" s="24">
        <v>18.41385</v>
      </c>
      <c r="E4461" s="6" t="s">
        <v>5887</v>
      </c>
      <c r="F4461" s="6">
        <v>10.5</v>
      </c>
      <c r="G4461" s="8">
        <f t="shared" si="69"/>
        <v>28633.536749999999</v>
      </c>
    </row>
    <row r="4462" spans="1:7" x14ac:dyDescent="0.3">
      <c r="A4462" s="14" t="e">
        <f>VLOOKUP(B4462,'Relacion codigos'!$A:$B,2,FALSE)</f>
        <v>#N/A</v>
      </c>
      <c r="B4462" s="6" t="s">
        <v>10931</v>
      </c>
      <c r="C4462" s="6" t="s">
        <v>12762</v>
      </c>
      <c r="D4462" s="24">
        <v>12.933375</v>
      </c>
      <c r="E4462" s="6" t="s">
        <v>5887</v>
      </c>
      <c r="F4462" s="6">
        <v>10.5</v>
      </c>
      <c r="G4462" s="8">
        <f t="shared" si="69"/>
        <v>20111.398125</v>
      </c>
    </row>
    <row r="4463" spans="1:7" x14ac:dyDescent="0.3">
      <c r="A4463" s="14" t="e">
        <f>VLOOKUP(B4463,'Relacion codigos'!$A:$B,2,FALSE)</f>
        <v>#N/A</v>
      </c>
      <c r="B4463" s="6" t="s">
        <v>10932</v>
      </c>
      <c r="C4463" s="6" t="s">
        <v>12763</v>
      </c>
      <c r="D4463" s="24">
        <v>12.933375</v>
      </c>
      <c r="E4463" s="6" t="s">
        <v>5887</v>
      </c>
      <c r="F4463" s="6">
        <v>10.5</v>
      </c>
      <c r="G4463" s="8">
        <f t="shared" si="69"/>
        <v>20111.398125</v>
      </c>
    </row>
    <row r="4464" spans="1:7" x14ac:dyDescent="0.3">
      <c r="A4464" s="14" t="e">
        <f>VLOOKUP(B4464,'Relacion codigos'!$A:$B,2,FALSE)</f>
        <v>#N/A</v>
      </c>
      <c r="B4464" s="6" t="s">
        <v>12764</v>
      </c>
      <c r="C4464" s="6" t="s">
        <v>12765</v>
      </c>
      <c r="D4464" s="24">
        <v>12.933375</v>
      </c>
      <c r="E4464" s="6" t="s">
        <v>5887</v>
      </c>
      <c r="F4464" s="6">
        <v>10.5</v>
      </c>
      <c r="G4464" s="8">
        <f t="shared" si="69"/>
        <v>20111.398125</v>
      </c>
    </row>
    <row r="4465" spans="1:7" x14ac:dyDescent="0.3">
      <c r="A4465" s="14" t="e">
        <f>VLOOKUP(B4465,'Relacion codigos'!$A:$B,2,FALSE)</f>
        <v>#N/A</v>
      </c>
      <c r="B4465" s="6" t="s">
        <v>10933</v>
      </c>
      <c r="C4465" s="6" t="s">
        <v>12768</v>
      </c>
      <c r="D4465" s="24">
        <v>16.803149999999999</v>
      </c>
      <c r="E4465" s="6" t="s">
        <v>5887</v>
      </c>
      <c r="F4465" s="6">
        <v>10.5</v>
      </c>
      <c r="G4465" s="8">
        <f t="shared" si="69"/>
        <v>26128.898249999998</v>
      </c>
    </row>
    <row r="4466" spans="1:7" x14ac:dyDescent="0.3">
      <c r="A4466" s="14" t="str">
        <f>VLOOKUP(B4466,'Relacion codigos'!$A:$B,2,FALSE)</f>
        <v>892</v>
      </c>
      <c r="B4466" s="6" t="s">
        <v>5687</v>
      </c>
      <c r="C4466" s="6" t="s">
        <v>800</v>
      </c>
      <c r="D4466" s="24">
        <v>10.9908474</v>
      </c>
      <c r="E4466" s="6" t="s">
        <v>5887</v>
      </c>
      <c r="F4466" s="6">
        <v>21</v>
      </c>
      <c r="G4466" s="8">
        <f t="shared" si="69"/>
        <v>17090.767706999999</v>
      </c>
    </row>
    <row r="4467" spans="1:7" x14ac:dyDescent="0.3">
      <c r="A4467" s="14" t="str">
        <f>VLOOKUP(B4467,'Relacion codigos'!$A:$B,2,FALSE)</f>
        <v>890</v>
      </c>
      <c r="B4467" s="6" t="s">
        <v>5688</v>
      </c>
      <c r="C4467" s="6" t="s">
        <v>801</v>
      </c>
      <c r="D4467" s="24">
        <v>9.6237726000000006</v>
      </c>
      <c r="E4467" s="6" t="s">
        <v>5887</v>
      </c>
      <c r="F4467" s="6">
        <v>21</v>
      </c>
      <c r="G4467" s="8">
        <f t="shared" si="69"/>
        <v>14964.966393000001</v>
      </c>
    </row>
    <row r="4468" spans="1:7" x14ac:dyDescent="0.3">
      <c r="A4468" s="14" t="str">
        <f>VLOOKUP(B4468,'Relacion codigos'!$A:$B,2,FALSE)</f>
        <v>967</v>
      </c>
      <c r="B4468" s="6" t="s">
        <v>5689</v>
      </c>
      <c r="C4468" s="6" t="s">
        <v>802</v>
      </c>
      <c r="D4468" s="24">
        <v>13.236756</v>
      </c>
      <c r="E4468" s="6" t="s">
        <v>5887</v>
      </c>
      <c r="F4468" s="6">
        <v>21</v>
      </c>
      <c r="G4468" s="8">
        <f t="shared" si="69"/>
        <v>20583.155579999999</v>
      </c>
    </row>
    <row r="4469" spans="1:7" x14ac:dyDescent="0.3">
      <c r="A4469" s="14" t="str">
        <f>VLOOKUP(B4469,'Relacion codigos'!$A:$B,2,FALSE)</f>
        <v>891</v>
      </c>
      <c r="B4469" s="6" t="s">
        <v>5690</v>
      </c>
      <c r="C4469" s="6" t="s">
        <v>803</v>
      </c>
      <c r="D4469" s="24">
        <v>11.685234599999999</v>
      </c>
      <c r="E4469" s="6" t="s">
        <v>5887</v>
      </c>
      <c r="F4469" s="6">
        <v>21</v>
      </c>
      <c r="G4469" s="8">
        <f t="shared" si="69"/>
        <v>18170.539803</v>
      </c>
    </row>
    <row r="4470" spans="1:7" x14ac:dyDescent="0.3">
      <c r="A4470" s="14" t="str">
        <f>VLOOKUP(B4470,'Relacion codigos'!$A:$B,2,FALSE)</f>
        <v>2784</v>
      </c>
      <c r="B4470" s="6" t="s">
        <v>5691</v>
      </c>
      <c r="C4470" s="6" t="s">
        <v>804</v>
      </c>
      <c r="D4470" s="24">
        <v>8.8208874000000002</v>
      </c>
      <c r="E4470" s="6" t="s">
        <v>5887</v>
      </c>
      <c r="F4470" s="6">
        <v>21</v>
      </c>
      <c r="G4470" s="8">
        <f t="shared" si="69"/>
        <v>13716.479907000001</v>
      </c>
    </row>
    <row r="4471" spans="1:7" x14ac:dyDescent="0.3">
      <c r="A4471" s="14" t="e">
        <f>VLOOKUP(B4471,'Relacion codigos'!$A:$B,2,FALSE)</f>
        <v>#N/A</v>
      </c>
      <c r="B4471" s="6" t="s">
        <v>9593</v>
      </c>
      <c r="C4471" s="6" t="s">
        <v>9594</v>
      </c>
      <c r="D4471" s="24">
        <v>5.6635955999999998</v>
      </c>
      <c r="E4471" s="6" t="s">
        <v>5887</v>
      </c>
      <c r="F4471" s="6">
        <v>21</v>
      </c>
      <c r="G4471" s="8">
        <f t="shared" si="69"/>
        <v>8806.8911580000004</v>
      </c>
    </row>
    <row r="4472" spans="1:7" x14ac:dyDescent="0.3">
      <c r="A4472" s="14" t="str">
        <f>VLOOKUP(B4472,'Relacion codigos'!$A:$B,2,FALSE)</f>
        <v>1298</v>
      </c>
      <c r="B4472" s="6" t="s">
        <v>5697</v>
      </c>
      <c r="C4472" s="6" t="s">
        <v>805</v>
      </c>
      <c r="D4472" s="24">
        <v>5.6635955999999998</v>
      </c>
      <c r="E4472" s="6" t="s">
        <v>5887</v>
      </c>
      <c r="F4472" s="6">
        <v>21</v>
      </c>
      <c r="G4472" s="8">
        <f t="shared" si="69"/>
        <v>8806.8911580000004</v>
      </c>
    </row>
    <row r="4473" spans="1:7" x14ac:dyDescent="0.3">
      <c r="A4473" s="14" t="str">
        <f>VLOOKUP(B4473,'Relacion codigos'!$A:$B,2,FALSE)</f>
        <v>2960</v>
      </c>
      <c r="B4473" s="6" t="s">
        <v>5698</v>
      </c>
      <c r="C4473" s="6" t="s">
        <v>806</v>
      </c>
      <c r="D4473" s="24">
        <v>7.5948599999999997</v>
      </c>
      <c r="E4473" s="6" t="s">
        <v>5887</v>
      </c>
      <c r="F4473" s="6">
        <v>21</v>
      </c>
      <c r="G4473" s="8">
        <f t="shared" si="69"/>
        <v>11810.007299999999</v>
      </c>
    </row>
    <row r="4474" spans="1:7" x14ac:dyDescent="0.3">
      <c r="A4474" s="14" t="str">
        <f>VLOOKUP(B4474,'Relacion codigos'!$A:$B,2,FALSE)</f>
        <v>2961</v>
      </c>
      <c r="B4474" s="6" t="s">
        <v>5699</v>
      </c>
      <c r="C4474" s="6" t="s">
        <v>807</v>
      </c>
      <c r="D4474" s="24">
        <v>10.0577646</v>
      </c>
      <c r="E4474" s="6" t="s">
        <v>5887</v>
      </c>
      <c r="F4474" s="6">
        <v>21</v>
      </c>
      <c r="G4474" s="8">
        <f t="shared" si="69"/>
        <v>15639.823953000001</v>
      </c>
    </row>
    <row r="4475" spans="1:7" x14ac:dyDescent="0.3">
      <c r="A4475" s="14" t="str">
        <f>VLOOKUP(B4475,'Relacion codigos'!$A:$B,2,FALSE)</f>
        <v>2785</v>
      </c>
      <c r="B4475" s="6" t="s">
        <v>5700</v>
      </c>
      <c r="C4475" s="6" t="s">
        <v>808</v>
      </c>
      <c r="D4475" s="24">
        <v>7.2476664</v>
      </c>
      <c r="E4475" s="6" t="s">
        <v>5887</v>
      </c>
      <c r="F4475" s="6">
        <v>21</v>
      </c>
      <c r="G4475" s="8">
        <f t="shared" si="69"/>
        <v>11270.121252000001</v>
      </c>
    </row>
    <row r="4476" spans="1:7" x14ac:dyDescent="0.3">
      <c r="A4476" s="14" t="str">
        <f>VLOOKUP(B4476,'Relacion codigos'!$A:$B,2,FALSE)</f>
        <v>894</v>
      </c>
      <c r="B4476" s="6" t="s">
        <v>5701</v>
      </c>
      <c r="C4476" s="6" t="s">
        <v>809</v>
      </c>
      <c r="D4476" s="24">
        <v>6.4881804000000001</v>
      </c>
      <c r="E4476" s="6" t="s">
        <v>5887</v>
      </c>
      <c r="F4476" s="6">
        <v>21</v>
      </c>
      <c r="G4476" s="8">
        <f t="shared" si="69"/>
        <v>10089.120521999999</v>
      </c>
    </row>
    <row r="4477" spans="1:7" x14ac:dyDescent="0.3">
      <c r="A4477" s="14" t="str">
        <f>VLOOKUP(B4477,'Relacion codigos'!$A:$B,2,FALSE)</f>
        <v>887</v>
      </c>
      <c r="B4477" s="6" t="s">
        <v>5702</v>
      </c>
      <c r="C4477" s="6" t="s">
        <v>810</v>
      </c>
      <c r="D4477" s="24">
        <v>8.6906897999999995</v>
      </c>
      <c r="E4477" s="6" t="s">
        <v>5887</v>
      </c>
      <c r="F4477" s="6">
        <v>21</v>
      </c>
      <c r="G4477" s="8">
        <f t="shared" si="69"/>
        <v>13514.022638999999</v>
      </c>
    </row>
    <row r="4478" spans="1:7" x14ac:dyDescent="0.3">
      <c r="A4478" s="14" t="str">
        <f>VLOOKUP(B4478,'Relacion codigos'!$A:$B,2,FALSE)</f>
        <v>2963</v>
      </c>
      <c r="B4478" s="6" t="s">
        <v>5693</v>
      </c>
      <c r="C4478" s="6" t="s">
        <v>812</v>
      </c>
      <c r="D4478" s="24">
        <v>13.1933568</v>
      </c>
      <c r="E4478" s="6" t="s">
        <v>5887</v>
      </c>
      <c r="F4478" s="6">
        <v>21</v>
      </c>
      <c r="G4478" s="8">
        <f t="shared" si="69"/>
        <v>20515.669824000001</v>
      </c>
    </row>
    <row r="4479" spans="1:7" x14ac:dyDescent="0.3">
      <c r="A4479" s="14" t="str">
        <f>VLOOKUP(B4479,'Relacion codigos'!$A:$B,2,FALSE)</f>
        <v>2786</v>
      </c>
      <c r="B4479" s="6" t="s">
        <v>5694</v>
      </c>
      <c r="C4479" s="6" t="s">
        <v>813</v>
      </c>
      <c r="D4479" s="24">
        <v>11.945629800000001</v>
      </c>
      <c r="E4479" s="6" t="s">
        <v>5887</v>
      </c>
      <c r="F4479" s="6">
        <v>21</v>
      </c>
      <c r="G4479" s="8">
        <f t="shared" si="69"/>
        <v>18575.454339</v>
      </c>
    </row>
    <row r="4480" spans="1:7" x14ac:dyDescent="0.3">
      <c r="A4480" s="14" t="str">
        <f>VLOOKUP(B4480,'Relacion codigos'!$A:$B,2,FALSE)</f>
        <v>888</v>
      </c>
      <c r="B4480" s="6" t="s">
        <v>5695</v>
      </c>
      <c r="C4480" s="6" t="s">
        <v>814</v>
      </c>
      <c r="D4480" s="24">
        <v>14.940174600000001</v>
      </c>
      <c r="E4480" s="6" t="s">
        <v>5887</v>
      </c>
      <c r="F4480" s="6">
        <v>21</v>
      </c>
      <c r="G4480" s="8">
        <f t="shared" si="69"/>
        <v>23231.971503000001</v>
      </c>
    </row>
    <row r="4481" spans="1:7" x14ac:dyDescent="0.3">
      <c r="A4481" s="14" t="str">
        <f>VLOOKUP(B4481,'Relacion codigos'!$A:$B,2,FALSE)</f>
        <v>886</v>
      </c>
      <c r="B4481" s="6" t="s">
        <v>5696</v>
      </c>
      <c r="C4481" s="6" t="s">
        <v>815</v>
      </c>
      <c r="D4481" s="24">
        <v>11.1318948</v>
      </c>
      <c r="E4481" s="6" t="s">
        <v>5887</v>
      </c>
      <c r="F4481" s="6">
        <v>21</v>
      </c>
      <c r="G4481" s="8">
        <f t="shared" si="69"/>
        <v>17310.096414</v>
      </c>
    </row>
    <row r="4482" spans="1:7" x14ac:dyDescent="0.3">
      <c r="A4482" s="14" t="e">
        <f>VLOOKUP(B4482,'Relacion codigos'!$A:$B,2,FALSE)</f>
        <v>#N/A</v>
      </c>
      <c r="B4482" s="6" t="s">
        <v>10574</v>
      </c>
      <c r="C4482" s="6" t="s">
        <v>12966</v>
      </c>
      <c r="D4482" s="24">
        <v>10.988021444399999</v>
      </c>
      <c r="E4482" s="6" t="s">
        <v>5887</v>
      </c>
      <c r="F4482" s="6">
        <v>21</v>
      </c>
      <c r="G4482" s="8">
        <f t="shared" ref="G4482:G4545" si="70">IF(E4482="Dolares",D4482*$G$1,D4482)</f>
        <v>17086.373346041997</v>
      </c>
    </row>
    <row r="4483" spans="1:7" x14ac:dyDescent="0.3">
      <c r="A4483" s="14" t="e">
        <f>VLOOKUP(B4483,'Relacion codigos'!$A:$B,2,FALSE)</f>
        <v>#N/A</v>
      </c>
      <c r="B4483" s="6" t="s">
        <v>10033</v>
      </c>
      <c r="C4483" s="6" t="s">
        <v>11045</v>
      </c>
      <c r="D4483" s="24">
        <v>10.64910519855</v>
      </c>
      <c r="E4483" s="6" t="s">
        <v>5887</v>
      </c>
      <c r="F4483" s="6">
        <v>21</v>
      </c>
      <c r="G4483" s="8">
        <f t="shared" si="70"/>
        <v>16559.358583745248</v>
      </c>
    </row>
    <row r="4484" spans="1:7" x14ac:dyDescent="0.3">
      <c r="A4484" s="14" t="e">
        <f>VLOOKUP(B4484,'Relacion codigos'!$A:$B,2,FALSE)</f>
        <v>#N/A</v>
      </c>
      <c r="B4484" s="6" t="s">
        <v>12788</v>
      </c>
      <c r="C4484" s="6" t="s">
        <v>12789</v>
      </c>
      <c r="D4484" s="24">
        <v>9.2256569659800007</v>
      </c>
      <c r="E4484" s="6" t="s">
        <v>5887</v>
      </c>
      <c r="F4484" s="6">
        <v>21</v>
      </c>
      <c r="G4484" s="8">
        <f t="shared" si="70"/>
        <v>14345.896582098901</v>
      </c>
    </row>
    <row r="4485" spans="1:7" x14ac:dyDescent="0.3">
      <c r="A4485" s="14" t="e">
        <f>VLOOKUP(B4485,'Relacion codigos'!$A:$B,2,FALSE)</f>
        <v>#N/A</v>
      </c>
      <c r="B4485" s="6" t="s">
        <v>10034</v>
      </c>
      <c r="C4485" s="6" t="s">
        <v>11046</v>
      </c>
      <c r="D4485" s="24">
        <v>12.9603611007</v>
      </c>
      <c r="E4485" s="6" t="s">
        <v>5887</v>
      </c>
      <c r="F4485" s="6">
        <v>21</v>
      </c>
      <c r="G4485" s="8">
        <f t="shared" si="70"/>
        <v>20153.3615115885</v>
      </c>
    </row>
    <row r="4486" spans="1:7" x14ac:dyDescent="0.3">
      <c r="A4486" s="14" t="e">
        <f>VLOOKUP(B4486,'Relacion codigos'!$A:$B,2,FALSE)</f>
        <v>#N/A</v>
      </c>
      <c r="B4486" s="6" t="s">
        <v>10035</v>
      </c>
      <c r="C4486" s="6" t="s">
        <v>11047</v>
      </c>
      <c r="D4486" s="24">
        <v>10.900616728365</v>
      </c>
      <c r="E4486" s="6" t="s">
        <v>5887</v>
      </c>
      <c r="F4486" s="6">
        <v>21</v>
      </c>
      <c r="G4486" s="8">
        <f t="shared" si="70"/>
        <v>16950.459012607575</v>
      </c>
    </row>
    <row r="4487" spans="1:7" x14ac:dyDescent="0.3">
      <c r="A4487" s="14" t="e">
        <f>VLOOKUP(B4487,'Relacion codigos'!$A:$B,2,FALSE)</f>
        <v>#N/A</v>
      </c>
      <c r="B4487" s="6" t="s">
        <v>13834</v>
      </c>
      <c r="C4487" s="6" t="s">
        <v>13835</v>
      </c>
      <c r="D4487" s="24">
        <v>20.597188899104999</v>
      </c>
      <c r="E4487" s="6" t="s">
        <v>5887</v>
      </c>
      <c r="F4487" s="6">
        <v>21</v>
      </c>
      <c r="G4487" s="8">
        <f t="shared" si="70"/>
        <v>32028.628738108273</v>
      </c>
    </row>
    <row r="4488" spans="1:7" x14ac:dyDescent="0.3">
      <c r="A4488" s="14" t="e">
        <f>VLOOKUP(B4488,'Relacion codigos'!$A:$B,2,FALSE)</f>
        <v>#N/A</v>
      </c>
      <c r="B4488" s="6" t="s">
        <v>9672</v>
      </c>
      <c r="C4488" s="6" t="s">
        <v>11048</v>
      </c>
      <c r="D4488" s="24">
        <v>32.989546757699998</v>
      </c>
      <c r="E4488" s="6" t="s">
        <v>5887</v>
      </c>
      <c r="F4488" s="6">
        <v>21</v>
      </c>
      <c r="G4488" s="8">
        <f t="shared" si="70"/>
        <v>51298.745208223496</v>
      </c>
    </row>
    <row r="4489" spans="1:7" x14ac:dyDescent="0.3">
      <c r="A4489" s="14" t="e">
        <f>VLOOKUP(B4489,'Relacion codigos'!$A:$B,2,FALSE)</f>
        <v>#N/A</v>
      </c>
      <c r="B4489" s="6" t="s">
        <v>9671</v>
      </c>
      <c r="C4489" s="6" t="s">
        <v>12961</v>
      </c>
      <c r="D4489" s="24">
        <v>20.3502642057</v>
      </c>
      <c r="E4489" s="6" t="s">
        <v>5887</v>
      </c>
      <c r="F4489" s="6">
        <v>21</v>
      </c>
      <c r="G4489" s="8">
        <f t="shared" si="70"/>
        <v>31644.6608398635</v>
      </c>
    </row>
    <row r="4490" spans="1:7" x14ac:dyDescent="0.3">
      <c r="A4490" s="14" t="e">
        <f>VLOOKUP(B4490,'Relacion codigos'!$A:$B,2,FALSE)</f>
        <v>#N/A</v>
      </c>
      <c r="B4490" s="6" t="s">
        <v>9748</v>
      </c>
      <c r="C4490" s="6" t="s">
        <v>12073</v>
      </c>
      <c r="D4490" s="24">
        <v>16.4820321666</v>
      </c>
      <c r="E4490" s="6" t="s">
        <v>5887</v>
      </c>
      <c r="F4490" s="6">
        <v>21</v>
      </c>
      <c r="G4490" s="8">
        <f t="shared" si="70"/>
        <v>25629.560019062999</v>
      </c>
    </row>
    <row r="4491" spans="1:7" x14ac:dyDescent="0.3">
      <c r="A4491" s="14" t="e">
        <f>VLOOKUP(B4491,'Relacion codigos'!$A:$B,2,FALSE)</f>
        <v>#N/A</v>
      </c>
      <c r="B4491" s="6" t="s">
        <v>10575</v>
      </c>
      <c r="C4491" s="6" t="s">
        <v>12965</v>
      </c>
      <c r="D4491" s="24">
        <v>10.988021444399999</v>
      </c>
      <c r="E4491" s="6" t="s">
        <v>5887</v>
      </c>
      <c r="F4491" s="6">
        <v>21</v>
      </c>
      <c r="G4491" s="8">
        <f t="shared" si="70"/>
        <v>17086.373346041997</v>
      </c>
    </row>
    <row r="4492" spans="1:7" x14ac:dyDescent="0.3">
      <c r="A4492" s="14" t="e">
        <f>VLOOKUP(B4492,'Relacion codigos'!$A:$B,2,FALSE)</f>
        <v>#N/A</v>
      </c>
      <c r="B4492" s="6" t="s">
        <v>10785</v>
      </c>
      <c r="C4492" s="6" t="s">
        <v>10786</v>
      </c>
      <c r="D4492" s="24">
        <v>19.616370380100001</v>
      </c>
      <c r="E4492" s="6" t="s">
        <v>5887</v>
      </c>
      <c r="F4492" s="6">
        <v>21</v>
      </c>
      <c r="G4492" s="8">
        <f t="shared" si="70"/>
        <v>30503.455941055501</v>
      </c>
    </row>
    <row r="4493" spans="1:7" x14ac:dyDescent="0.3">
      <c r="A4493" s="14" t="e">
        <f>VLOOKUP(B4493,'Relacion codigos'!$A:$B,2,FALSE)</f>
        <v>#N/A</v>
      </c>
      <c r="B4493" s="6" t="s">
        <v>10036</v>
      </c>
      <c r="C4493" s="6" t="s">
        <v>10037</v>
      </c>
      <c r="D4493" s="24">
        <v>13.1947994061</v>
      </c>
      <c r="E4493" s="6" t="s">
        <v>5887</v>
      </c>
      <c r="F4493" s="6">
        <v>21</v>
      </c>
      <c r="G4493" s="8">
        <f t="shared" si="70"/>
        <v>20517.9130764855</v>
      </c>
    </row>
    <row r="4494" spans="1:7" x14ac:dyDescent="0.3">
      <c r="A4494" s="14" t="e">
        <f>VLOOKUP(B4494,'Relacion codigos'!$A:$B,2,FALSE)</f>
        <v>#N/A</v>
      </c>
      <c r="B4494" s="6" t="s">
        <v>10038</v>
      </c>
      <c r="C4494" s="6" t="s">
        <v>12317</v>
      </c>
      <c r="D4494" s="24">
        <v>17.9753022423</v>
      </c>
      <c r="E4494" s="6" t="s">
        <v>5887</v>
      </c>
      <c r="F4494" s="6">
        <v>21</v>
      </c>
      <c r="G4494" s="8">
        <f t="shared" si="70"/>
        <v>27951.594986776501</v>
      </c>
    </row>
    <row r="4495" spans="1:7" x14ac:dyDescent="0.3">
      <c r="A4495" s="14" t="e">
        <f>VLOOKUP(B4495,'Relacion codigos'!$A:$B,2,FALSE)</f>
        <v>#N/A</v>
      </c>
      <c r="B4495" s="6" t="s">
        <v>12344</v>
      </c>
      <c r="C4495" s="6" t="s">
        <v>12967</v>
      </c>
      <c r="D4495" s="24">
        <v>15.2181039114</v>
      </c>
      <c r="E4495" s="6" t="s">
        <v>5887</v>
      </c>
      <c r="F4495" s="6">
        <v>21</v>
      </c>
      <c r="G4495" s="8">
        <f t="shared" si="70"/>
        <v>23664.151582227001</v>
      </c>
    </row>
    <row r="4496" spans="1:7" x14ac:dyDescent="0.3">
      <c r="A4496" s="14" t="e">
        <f>VLOOKUP(B4496,'Relacion codigos'!$A:$B,2,FALSE)</f>
        <v>#N/A</v>
      </c>
      <c r="B4496" s="6" t="s">
        <v>12637</v>
      </c>
      <c r="C4496" s="6" t="s">
        <v>12638</v>
      </c>
      <c r="D4496" s="24">
        <v>25.518099894300001</v>
      </c>
      <c r="E4496" s="6" t="s">
        <v>5887</v>
      </c>
      <c r="F4496" s="6">
        <v>21</v>
      </c>
      <c r="G4496" s="8">
        <f t="shared" si="70"/>
        <v>39680.645335636502</v>
      </c>
    </row>
    <row r="4497" spans="1:7" x14ac:dyDescent="0.3">
      <c r="A4497" s="14" t="e">
        <f>VLOOKUP(B4497,'Relacion codigos'!$A:$B,2,FALSE)</f>
        <v>#N/A</v>
      </c>
      <c r="B4497" s="6" t="s">
        <v>12641</v>
      </c>
      <c r="C4497" s="6" t="s">
        <v>12642</v>
      </c>
      <c r="D4497" s="24">
        <v>11.97622986651</v>
      </c>
      <c r="E4497" s="6" t="s">
        <v>5887</v>
      </c>
      <c r="F4497" s="6">
        <v>21</v>
      </c>
      <c r="G4497" s="8">
        <f t="shared" si="70"/>
        <v>18623.03744242305</v>
      </c>
    </row>
    <row r="4498" spans="1:7" x14ac:dyDescent="0.3">
      <c r="A4498" s="14" t="e">
        <f>VLOOKUP(B4498,'Relacion codigos'!$A:$B,2,FALSE)</f>
        <v>#N/A</v>
      </c>
      <c r="B4498" s="6" t="s">
        <v>12639</v>
      </c>
      <c r="C4498" s="6" t="s">
        <v>12640</v>
      </c>
      <c r="D4498" s="24">
        <v>17.266890841199999</v>
      </c>
      <c r="E4498" s="6" t="s">
        <v>5887</v>
      </c>
      <c r="F4498" s="6">
        <v>21</v>
      </c>
      <c r="G4498" s="8">
        <f t="shared" si="70"/>
        <v>26850.015258066</v>
      </c>
    </row>
    <row r="4499" spans="1:7" x14ac:dyDescent="0.3">
      <c r="A4499" s="14" t="e">
        <f>VLOOKUP(B4499,'Relacion codigos'!$A:$B,2,FALSE)</f>
        <v>#N/A</v>
      </c>
      <c r="B4499" s="6" t="s">
        <v>12635</v>
      </c>
      <c r="C4499" s="6" t="s">
        <v>12636</v>
      </c>
      <c r="D4499" s="24">
        <v>24.7230482499</v>
      </c>
      <c r="E4499" s="6" t="s">
        <v>5887</v>
      </c>
      <c r="F4499" s="6">
        <v>21</v>
      </c>
      <c r="G4499" s="8">
        <f t="shared" si="70"/>
        <v>38444.340028594503</v>
      </c>
    </row>
    <row r="4500" spans="1:7" x14ac:dyDescent="0.3">
      <c r="A4500" s="14" t="str">
        <f>VLOOKUP(B4500,'Relacion codigos'!$A:$B,2,FALSE)</f>
        <v>767</v>
      </c>
      <c r="B4500" s="6" t="s">
        <v>5781</v>
      </c>
      <c r="C4500" s="6" t="s">
        <v>14012</v>
      </c>
      <c r="D4500" s="24">
        <v>4859.7819074999998</v>
      </c>
      <c r="E4500" s="6" t="s">
        <v>5889</v>
      </c>
      <c r="F4500" s="6">
        <v>21</v>
      </c>
      <c r="G4500" s="8">
        <f t="shared" si="70"/>
        <v>4859.7819074999998</v>
      </c>
    </row>
    <row r="4501" spans="1:7" x14ac:dyDescent="0.3">
      <c r="A4501" s="14" t="str">
        <f>VLOOKUP(B4501,'Relacion codigos'!$A:$B,2,FALSE)</f>
        <v>1810</v>
      </c>
      <c r="B4501" s="6" t="s">
        <v>5782</v>
      </c>
      <c r="C4501" s="6" t="s">
        <v>14013</v>
      </c>
      <c r="D4501" s="24">
        <v>5475.8105999999998</v>
      </c>
      <c r="E4501" s="6" t="s">
        <v>5889</v>
      </c>
      <c r="F4501" s="6">
        <v>21</v>
      </c>
      <c r="G4501" s="8">
        <f t="shared" si="70"/>
        <v>5475.8105999999998</v>
      </c>
    </row>
    <row r="4502" spans="1:7" x14ac:dyDescent="0.3">
      <c r="A4502" s="14" t="str">
        <f>VLOOKUP(B4502,'Relacion codigos'!$A:$B,2,FALSE)</f>
        <v>1809</v>
      </c>
      <c r="B4502" s="6" t="s">
        <v>5784</v>
      </c>
      <c r="C4502" s="6" t="s">
        <v>14014</v>
      </c>
      <c r="D4502" s="24">
        <v>5065.1248050000004</v>
      </c>
      <c r="E4502" s="6" t="s">
        <v>5889</v>
      </c>
      <c r="F4502" s="6">
        <v>21</v>
      </c>
      <c r="G4502" s="8">
        <f t="shared" si="70"/>
        <v>5065.1248050000004</v>
      </c>
    </row>
    <row r="4503" spans="1:7" x14ac:dyDescent="0.3">
      <c r="A4503" s="14" t="str">
        <f>VLOOKUP(B4503,'Relacion codigos'!$A:$B,2,FALSE)</f>
        <v>8435</v>
      </c>
      <c r="B4503" s="6" t="s">
        <v>2842</v>
      </c>
      <c r="C4503" s="6" t="s">
        <v>1127</v>
      </c>
      <c r="D4503" s="24">
        <v>1.0988899999999999</v>
      </c>
      <c r="E4503" s="6" t="s">
        <v>5887</v>
      </c>
      <c r="F4503" s="6">
        <v>21</v>
      </c>
      <c r="G4503" s="8">
        <f t="shared" si="70"/>
        <v>1708.7739499999998</v>
      </c>
    </row>
    <row r="4504" spans="1:7" x14ac:dyDescent="0.3">
      <c r="A4504" s="14" t="str">
        <f>VLOOKUP(B4504,'Relacion codigos'!$A:$B,2,FALSE)</f>
        <v>820</v>
      </c>
      <c r="B4504" s="6" t="s">
        <v>3589</v>
      </c>
      <c r="C4504" s="6" t="s">
        <v>9705</v>
      </c>
      <c r="D4504" s="24">
        <v>11321.627200000001</v>
      </c>
      <c r="E4504" s="6" t="s">
        <v>5889</v>
      </c>
      <c r="F4504" s="6">
        <v>21</v>
      </c>
      <c r="G4504" s="8">
        <f t="shared" si="70"/>
        <v>11321.627200000001</v>
      </c>
    </row>
    <row r="4505" spans="1:7" x14ac:dyDescent="0.3">
      <c r="A4505" s="14" t="e">
        <f>VLOOKUP(B4505,'Relacion codigos'!$A:$B,2,FALSE)</f>
        <v>#N/A</v>
      </c>
      <c r="B4505" s="6" t="s">
        <v>9706</v>
      </c>
      <c r="C4505" s="6" t="s">
        <v>9707</v>
      </c>
      <c r="D4505" s="24">
        <v>11321.627200000001</v>
      </c>
      <c r="E4505" s="6" t="s">
        <v>5889</v>
      </c>
      <c r="F4505" s="6">
        <v>21</v>
      </c>
      <c r="G4505" s="8">
        <f t="shared" si="70"/>
        <v>11321.627200000001</v>
      </c>
    </row>
    <row r="4506" spans="1:7" x14ac:dyDescent="0.3">
      <c r="A4506" s="14" t="str">
        <f>VLOOKUP(B4506,'Relacion codigos'!$A:$B,2,FALSE)</f>
        <v>1010</v>
      </c>
      <c r="B4506" s="6" t="s">
        <v>3590</v>
      </c>
      <c r="C4506" s="6" t="s">
        <v>9708</v>
      </c>
      <c r="D4506" s="24">
        <v>14712.328799999999</v>
      </c>
      <c r="E4506" s="6" t="s">
        <v>5889</v>
      </c>
      <c r="F4506" s="6">
        <v>21</v>
      </c>
      <c r="G4506" s="8">
        <f t="shared" si="70"/>
        <v>14712.328799999999</v>
      </c>
    </row>
    <row r="4507" spans="1:7" x14ac:dyDescent="0.3">
      <c r="A4507" s="14" t="e">
        <f>VLOOKUP(B4507,'Relacion codigos'!$A:$B,2,FALSE)</f>
        <v>#N/A</v>
      </c>
      <c r="B4507" s="6" t="s">
        <v>9709</v>
      </c>
      <c r="C4507" s="6" t="s">
        <v>9710</v>
      </c>
      <c r="D4507" s="24">
        <v>14712.328799999999</v>
      </c>
      <c r="E4507" s="6" t="s">
        <v>5889</v>
      </c>
      <c r="F4507" s="6">
        <v>21</v>
      </c>
      <c r="G4507" s="8">
        <f t="shared" si="70"/>
        <v>14712.328799999999</v>
      </c>
    </row>
    <row r="4508" spans="1:7" x14ac:dyDescent="0.3">
      <c r="A4508" s="14" t="str">
        <f>VLOOKUP(B4508,'Relacion codigos'!$A:$B,2,FALSE)</f>
        <v>819</v>
      </c>
      <c r="B4508" s="6" t="s">
        <v>3591</v>
      </c>
      <c r="C4508" s="6" t="s">
        <v>9944</v>
      </c>
      <c r="D4508" s="24">
        <v>11321.627200000001</v>
      </c>
      <c r="E4508" s="6" t="s">
        <v>5889</v>
      </c>
      <c r="F4508" s="6">
        <v>21</v>
      </c>
      <c r="G4508" s="8">
        <f t="shared" si="70"/>
        <v>11321.627200000001</v>
      </c>
    </row>
    <row r="4509" spans="1:7" x14ac:dyDescent="0.3">
      <c r="A4509" s="14" t="e">
        <f>VLOOKUP(B4509,'Relacion codigos'!$A:$B,2,FALSE)</f>
        <v>#N/A</v>
      </c>
      <c r="B4509" s="6" t="s">
        <v>10174</v>
      </c>
      <c r="C4509" s="6" t="s">
        <v>10175</v>
      </c>
      <c r="D4509" s="24">
        <v>11321.627200000001</v>
      </c>
      <c r="E4509" s="6" t="s">
        <v>5889</v>
      </c>
      <c r="F4509" s="6">
        <v>21</v>
      </c>
      <c r="G4509" s="8">
        <f t="shared" si="70"/>
        <v>11321.627200000001</v>
      </c>
    </row>
    <row r="4510" spans="1:7" x14ac:dyDescent="0.3">
      <c r="A4510" s="14" t="str">
        <f>VLOOKUP(B4510,'Relacion codigos'!$A:$B,2,FALSE)</f>
        <v>1811</v>
      </c>
      <c r="B4510" s="6" t="s">
        <v>3592</v>
      </c>
      <c r="C4510" s="6" t="s">
        <v>9711</v>
      </c>
      <c r="D4510" s="24">
        <v>14712.328799999999</v>
      </c>
      <c r="E4510" s="6" t="s">
        <v>5889</v>
      </c>
      <c r="F4510" s="6">
        <v>21</v>
      </c>
      <c r="G4510" s="8">
        <f t="shared" si="70"/>
        <v>14712.328799999999</v>
      </c>
    </row>
    <row r="4511" spans="1:7" x14ac:dyDescent="0.3">
      <c r="A4511" s="14" t="e">
        <f>VLOOKUP(B4511,'Relacion codigos'!$A:$B,2,FALSE)</f>
        <v>#N/A</v>
      </c>
      <c r="B4511" s="6" t="s">
        <v>9712</v>
      </c>
      <c r="C4511" s="6" t="s">
        <v>9713</v>
      </c>
      <c r="D4511" s="24">
        <v>14712.328799999999</v>
      </c>
      <c r="E4511" s="6" t="s">
        <v>5889</v>
      </c>
      <c r="F4511" s="6">
        <v>21</v>
      </c>
      <c r="G4511" s="8">
        <f t="shared" si="70"/>
        <v>14712.328799999999</v>
      </c>
    </row>
    <row r="4512" spans="1:7" x14ac:dyDescent="0.3">
      <c r="A4512" s="14" t="str">
        <f>VLOOKUP(B4512,'Relacion codigos'!$A:$B,2,FALSE)</f>
        <v>7225</v>
      </c>
      <c r="B4512" s="6" t="s">
        <v>3594</v>
      </c>
      <c r="C4512" s="6" t="s">
        <v>13275</v>
      </c>
      <c r="D4512" s="24">
        <v>4.3391853660167197</v>
      </c>
      <c r="E4512" s="6" t="s">
        <v>5887</v>
      </c>
      <c r="F4512" s="6">
        <v>21</v>
      </c>
      <c r="G4512" s="8">
        <f t="shared" si="70"/>
        <v>6747.4332441559991</v>
      </c>
    </row>
    <row r="4513" spans="1:7" x14ac:dyDescent="0.3">
      <c r="A4513" s="14" t="str">
        <f>VLOOKUP(B4513,'Relacion codigos'!$A:$B,2,FALSE)</f>
        <v>7224</v>
      </c>
      <c r="B4513" s="6" t="s">
        <v>3593</v>
      </c>
      <c r="C4513" s="6" t="s">
        <v>13276</v>
      </c>
      <c r="D4513" s="24">
        <v>3.4728090227272799</v>
      </c>
      <c r="E4513" s="6" t="s">
        <v>5887</v>
      </c>
      <c r="F4513" s="6">
        <v>21</v>
      </c>
      <c r="G4513" s="8">
        <f t="shared" si="70"/>
        <v>5400.2180303409204</v>
      </c>
    </row>
    <row r="4514" spans="1:7" x14ac:dyDescent="0.3">
      <c r="A4514" s="14" t="str">
        <f>VLOOKUP(B4514,'Relacion codigos'!$A:$B,2,FALSE)</f>
        <v>7223</v>
      </c>
      <c r="B4514" s="6" t="s">
        <v>3596</v>
      </c>
      <c r="C4514" s="6" t="s">
        <v>13277</v>
      </c>
      <c r="D4514" s="24">
        <v>4.4414629999999997</v>
      </c>
      <c r="E4514" s="6" t="s">
        <v>5887</v>
      </c>
      <c r="F4514" s="6">
        <v>21</v>
      </c>
      <c r="G4514" s="8">
        <f t="shared" si="70"/>
        <v>6906.4749649999994</v>
      </c>
    </row>
    <row r="4515" spans="1:7" x14ac:dyDescent="0.3">
      <c r="A4515" s="14" t="str">
        <f>VLOOKUP(B4515,'Relacion codigos'!$A:$B,2,FALSE)</f>
        <v>7222</v>
      </c>
      <c r="B4515" s="6" t="s">
        <v>3595</v>
      </c>
      <c r="C4515" s="6" t="s">
        <v>13278</v>
      </c>
      <c r="D4515" s="24">
        <v>3.7000600000000001</v>
      </c>
      <c r="E4515" s="6" t="s">
        <v>5887</v>
      </c>
      <c r="F4515" s="6">
        <v>21</v>
      </c>
      <c r="G4515" s="8">
        <f t="shared" si="70"/>
        <v>5753.5933000000005</v>
      </c>
    </row>
    <row r="4516" spans="1:7" x14ac:dyDescent="0.3">
      <c r="A4516" s="14" t="str">
        <f>VLOOKUP(B4516,'Relacion codigos'!$A:$B,2,FALSE)</f>
        <v>6739</v>
      </c>
      <c r="B4516" s="6" t="s">
        <v>3599</v>
      </c>
      <c r="C4516" s="6" t="s">
        <v>14015</v>
      </c>
      <c r="D4516" s="24">
        <v>6929.8813220000002</v>
      </c>
      <c r="E4516" s="6" t="s">
        <v>5889</v>
      </c>
      <c r="F4516" s="6">
        <v>21</v>
      </c>
      <c r="G4516" s="8">
        <f t="shared" si="70"/>
        <v>6929.8813220000002</v>
      </c>
    </row>
    <row r="4517" spans="1:7" x14ac:dyDescent="0.3">
      <c r="A4517" s="14" t="str">
        <f>VLOOKUP(B4517,'Relacion codigos'!$A:$B,2,FALSE)</f>
        <v>6738</v>
      </c>
      <c r="B4517" s="6" t="s">
        <v>3598</v>
      </c>
      <c r="C4517" s="6" t="s">
        <v>10719</v>
      </c>
      <c r="D4517" s="24">
        <v>6929.8813220000002</v>
      </c>
      <c r="E4517" s="6" t="s">
        <v>5889</v>
      </c>
      <c r="F4517" s="6">
        <v>21</v>
      </c>
      <c r="G4517" s="8">
        <f t="shared" si="70"/>
        <v>6929.8813220000002</v>
      </c>
    </row>
    <row r="4518" spans="1:7" x14ac:dyDescent="0.3">
      <c r="A4518" s="14" t="str">
        <f>VLOOKUP(B4518,'Relacion codigos'!$A:$B,2,FALSE)</f>
        <v>6744</v>
      </c>
      <c r="B4518" s="6" t="s">
        <v>1343</v>
      </c>
      <c r="C4518" s="6" t="s">
        <v>8780</v>
      </c>
      <c r="D4518" s="24">
        <v>23417.485000000001</v>
      </c>
      <c r="E4518" s="6" t="s">
        <v>5889</v>
      </c>
      <c r="F4518" s="6">
        <v>21</v>
      </c>
      <c r="G4518" s="8">
        <f t="shared" si="70"/>
        <v>23417.485000000001</v>
      </c>
    </row>
    <row r="4519" spans="1:7" x14ac:dyDescent="0.3">
      <c r="A4519" s="14" t="e">
        <f>VLOOKUP(B4519,'Relacion codigos'!$A:$B,2,FALSE)</f>
        <v>#N/A</v>
      </c>
      <c r="B4519" s="6" t="s">
        <v>9206</v>
      </c>
      <c r="C4519" s="6" t="s">
        <v>9225</v>
      </c>
      <c r="D4519" s="24">
        <v>55.321460999999999</v>
      </c>
      <c r="E4519" s="6" t="s">
        <v>5887</v>
      </c>
      <c r="F4519" s="6">
        <v>21</v>
      </c>
      <c r="G4519" s="8">
        <f t="shared" si="70"/>
        <v>86024.871855000005</v>
      </c>
    </row>
    <row r="4520" spans="1:7" x14ac:dyDescent="0.3">
      <c r="A4520" s="14" t="e">
        <f>VLOOKUP(B4520,'Relacion codigos'!$A:$B,2,FALSE)</f>
        <v>#N/A</v>
      </c>
      <c r="B4520" s="6" t="s">
        <v>9207</v>
      </c>
      <c r="C4520" s="6" t="s">
        <v>9985</v>
      </c>
      <c r="D4520" s="24">
        <v>21.895731000000001</v>
      </c>
      <c r="E4520" s="6" t="s">
        <v>5887</v>
      </c>
      <c r="F4520" s="6">
        <v>21</v>
      </c>
      <c r="G4520" s="8">
        <f t="shared" si="70"/>
        <v>34047.861705000003</v>
      </c>
    </row>
    <row r="4521" spans="1:7" x14ac:dyDescent="0.3">
      <c r="A4521" s="14" t="str">
        <f>VLOOKUP(B4521,'Relacion codigos'!$A:$B,2,FALSE)</f>
        <v>8862</v>
      </c>
      <c r="B4521" s="6" t="s">
        <v>4249</v>
      </c>
      <c r="C4521" s="6" t="s">
        <v>1128</v>
      </c>
      <c r="D4521" s="24">
        <v>60.016086000000001</v>
      </c>
      <c r="E4521" s="6" t="s">
        <v>5887</v>
      </c>
      <c r="F4521" s="6">
        <v>21</v>
      </c>
      <c r="G4521" s="8">
        <f t="shared" si="70"/>
        <v>93325.013730000006</v>
      </c>
    </row>
    <row r="4522" spans="1:7" x14ac:dyDescent="0.3">
      <c r="A4522" s="14" t="e">
        <f>VLOOKUP(B4522,'Relacion codigos'!$A:$B,2,FALSE)</f>
        <v>#N/A</v>
      </c>
      <c r="B4522" s="6" t="s">
        <v>10973</v>
      </c>
      <c r="C4522" s="6" t="s">
        <v>10974</v>
      </c>
      <c r="D4522" s="24">
        <v>25.188227999999999</v>
      </c>
      <c r="E4522" s="6" t="s">
        <v>5887</v>
      </c>
      <c r="F4522" s="6">
        <v>21</v>
      </c>
      <c r="G4522" s="8">
        <f t="shared" si="70"/>
        <v>39167.694539999997</v>
      </c>
    </row>
    <row r="4523" spans="1:7" x14ac:dyDescent="0.3">
      <c r="A4523" s="14" t="str">
        <f>VLOOKUP(B4523,'Relacion codigos'!$A:$B,2,FALSE)</f>
        <v>8860</v>
      </c>
      <c r="B4523" s="6" t="s">
        <v>4250</v>
      </c>
      <c r="C4523" s="6" t="s">
        <v>1129</v>
      </c>
      <c r="D4523" s="24">
        <v>41.951169</v>
      </c>
      <c r="E4523" s="6" t="s">
        <v>5887</v>
      </c>
      <c r="F4523" s="6">
        <v>21</v>
      </c>
      <c r="G4523" s="8">
        <f t="shared" si="70"/>
        <v>65234.067795000003</v>
      </c>
    </row>
    <row r="4524" spans="1:7" x14ac:dyDescent="0.3">
      <c r="A4524" s="14" t="str">
        <f>VLOOKUP(B4524,'Relacion codigos'!$A:$B,2,FALSE)</f>
        <v>8861</v>
      </c>
      <c r="B4524" s="6" t="s">
        <v>4251</v>
      </c>
      <c r="C4524" s="6" t="s">
        <v>1130</v>
      </c>
      <c r="D4524" s="24">
        <v>45.519083999999999</v>
      </c>
      <c r="E4524" s="6" t="s">
        <v>5887</v>
      </c>
      <c r="F4524" s="6">
        <v>21</v>
      </c>
      <c r="G4524" s="8">
        <f t="shared" si="70"/>
        <v>70782.175619999995</v>
      </c>
    </row>
    <row r="4525" spans="1:7" x14ac:dyDescent="0.3">
      <c r="A4525" s="14" t="e">
        <f>VLOOKUP(B4525,'Relacion codigos'!$A:$B,2,FALSE)</f>
        <v>#N/A</v>
      </c>
      <c r="B4525" s="6" t="s">
        <v>11669</v>
      </c>
      <c r="C4525" s="6" t="s">
        <v>11670</v>
      </c>
      <c r="D4525" s="24">
        <v>17.005964696500001</v>
      </c>
      <c r="E4525" s="6" t="s">
        <v>5887</v>
      </c>
      <c r="F4525" s="6">
        <v>21</v>
      </c>
      <c r="G4525" s="8">
        <f t="shared" si="70"/>
        <v>26444.275103057502</v>
      </c>
    </row>
    <row r="4526" spans="1:7" x14ac:dyDescent="0.3">
      <c r="A4526" s="14" t="e">
        <f>VLOOKUP(B4526,'Relacion codigos'!$A:$B,2,FALSE)</f>
        <v>#N/A</v>
      </c>
      <c r="B4526" s="6" t="s">
        <v>12505</v>
      </c>
      <c r="C4526" s="6" t="s">
        <v>12506</v>
      </c>
      <c r="D4526" s="24">
        <v>17.005964696500001</v>
      </c>
      <c r="E4526" s="6" t="s">
        <v>5887</v>
      </c>
      <c r="F4526" s="6">
        <v>21</v>
      </c>
      <c r="G4526" s="8">
        <f t="shared" si="70"/>
        <v>26444.275103057502</v>
      </c>
    </row>
    <row r="4527" spans="1:7" x14ac:dyDescent="0.3">
      <c r="A4527" s="14" t="str">
        <f>VLOOKUP(B4527,'Relacion codigos'!$A:$B,2,FALSE)</f>
        <v>9269</v>
      </c>
      <c r="B4527" s="6" t="s">
        <v>3056</v>
      </c>
      <c r="C4527" s="6" t="s">
        <v>1334</v>
      </c>
      <c r="D4527" s="24">
        <v>17.005964696500001</v>
      </c>
      <c r="E4527" s="6" t="s">
        <v>5887</v>
      </c>
      <c r="F4527" s="6">
        <v>21</v>
      </c>
      <c r="G4527" s="8">
        <f t="shared" si="70"/>
        <v>26444.275103057502</v>
      </c>
    </row>
    <row r="4528" spans="1:7" x14ac:dyDescent="0.3">
      <c r="A4528" s="14" t="str">
        <f>VLOOKUP(B4528,'Relacion codigos'!$A:$B,2,FALSE)</f>
        <v>7996</v>
      </c>
      <c r="B4528" s="6" t="s">
        <v>2488</v>
      </c>
      <c r="C4528" s="6" t="s">
        <v>1036</v>
      </c>
      <c r="D4528" s="24">
        <v>1526.4729675000001</v>
      </c>
      <c r="E4528" s="6" t="s">
        <v>5889</v>
      </c>
      <c r="F4528" s="6">
        <v>21</v>
      </c>
      <c r="G4528" s="8">
        <f t="shared" si="70"/>
        <v>1526.4729675000001</v>
      </c>
    </row>
    <row r="4529" spans="1:7" x14ac:dyDescent="0.3">
      <c r="A4529" s="14" t="str">
        <f>VLOOKUP(B4529,'Relacion codigos'!$A:$B,2,FALSE)</f>
        <v>7997</v>
      </c>
      <c r="B4529" s="6" t="s">
        <v>2489</v>
      </c>
      <c r="C4529" s="6" t="s">
        <v>1037</v>
      </c>
      <c r="D4529" s="24">
        <v>1997.5566779999999</v>
      </c>
      <c r="E4529" s="6" t="s">
        <v>5889</v>
      </c>
      <c r="F4529" s="6">
        <v>21</v>
      </c>
      <c r="G4529" s="8">
        <f t="shared" si="70"/>
        <v>1997.5566779999999</v>
      </c>
    </row>
    <row r="4530" spans="1:7" x14ac:dyDescent="0.3">
      <c r="A4530" s="14" t="str">
        <f>VLOOKUP(B4530,'Relacion codigos'!$A:$B,2,FALSE)</f>
        <v>7998</v>
      </c>
      <c r="B4530" s="6" t="s">
        <v>2490</v>
      </c>
      <c r="C4530" s="6" t="s">
        <v>1038</v>
      </c>
      <c r="D4530" s="24">
        <v>2478.0755414999999</v>
      </c>
      <c r="E4530" s="6" t="s">
        <v>5889</v>
      </c>
      <c r="F4530" s="6">
        <v>21</v>
      </c>
      <c r="G4530" s="8">
        <f t="shared" si="70"/>
        <v>2478.0755414999999</v>
      </c>
    </row>
    <row r="4531" spans="1:7" x14ac:dyDescent="0.3">
      <c r="A4531" s="14" t="str">
        <f>VLOOKUP(B4531,'Relacion codigos'!$A:$B,2,FALSE)</f>
        <v>7999</v>
      </c>
      <c r="B4531" s="6" t="s">
        <v>2491</v>
      </c>
      <c r="C4531" s="6" t="s">
        <v>1039</v>
      </c>
      <c r="D4531" s="24">
        <v>3683.0793675</v>
      </c>
      <c r="E4531" s="6" t="s">
        <v>5889</v>
      </c>
      <c r="F4531" s="6">
        <v>21</v>
      </c>
      <c r="G4531" s="8">
        <f t="shared" si="70"/>
        <v>3683.0793675</v>
      </c>
    </row>
    <row r="4532" spans="1:7" x14ac:dyDescent="0.3">
      <c r="A4532" s="14" t="str">
        <f>VLOOKUP(B4532,'Relacion codigos'!$A:$B,2,FALSE)</f>
        <v>8000</v>
      </c>
      <c r="B4532" s="6" t="s">
        <v>2492</v>
      </c>
      <c r="C4532" s="6" t="s">
        <v>1040</v>
      </c>
      <c r="D4532" s="24">
        <v>4971.6516915000002</v>
      </c>
      <c r="E4532" s="6" t="s">
        <v>5889</v>
      </c>
      <c r="F4532" s="6">
        <v>21</v>
      </c>
      <c r="G4532" s="8">
        <f t="shared" si="70"/>
        <v>4971.6516915000002</v>
      </c>
    </row>
    <row r="4533" spans="1:7" x14ac:dyDescent="0.3">
      <c r="A4533" s="14" t="str">
        <f>VLOOKUP(B4533,'Relacion codigos'!$A:$B,2,FALSE)</f>
        <v>7995</v>
      </c>
      <c r="B4533" s="6" t="s">
        <v>2493</v>
      </c>
      <c r="C4533" s="6" t="s">
        <v>1041</v>
      </c>
      <c r="D4533" s="24">
        <v>1120.7613885000001</v>
      </c>
      <c r="E4533" s="6" t="s">
        <v>5889</v>
      </c>
      <c r="F4533" s="6">
        <v>21</v>
      </c>
      <c r="G4533" s="8">
        <f t="shared" si="70"/>
        <v>1120.7613885000001</v>
      </c>
    </row>
    <row r="4534" spans="1:7" x14ac:dyDescent="0.3">
      <c r="A4534" s="14" t="str">
        <f>VLOOKUP(B4534,'Relacion codigos'!$A:$B,2,FALSE)</f>
        <v>6057</v>
      </c>
      <c r="B4534" s="6" t="s">
        <v>2494</v>
      </c>
      <c r="C4534" s="6" t="s">
        <v>1042</v>
      </c>
      <c r="D4534" s="24">
        <v>1233.9832245</v>
      </c>
      <c r="E4534" s="6" t="s">
        <v>5889</v>
      </c>
      <c r="F4534" s="6">
        <v>21</v>
      </c>
      <c r="G4534" s="8">
        <f t="shared" si="70"/>
        <v>1233.9832245</v>
      </c>
    </row>
    <row r="4535" spans="1:7" x14ac:dyDescent="0.3">
      <c r="A4535" s="14" t="str">
        <f>VLOOKUP(B4535,'Relacion codigos'!$A:$B,2,FALSE)</f>
        <v>8387</v>
      </c>
      <c r="B4535" s="6" t="s">
        <v>2495</v>
      </c>
      <c r="C4535" s="6" t="s">
        <v>1043</v>
      </c>
      <c r="D4535" s="24">
        <v>1438.8608325</v>
      </c>
      <c r="E4535" s="6" t="s">
        <v>5889</v>
      </c>
      <c r="F4535" s="6">
        <v>21</v>
      </c>
      <c r="G4535" s="8">
        <f t="shared" si="70"/>
        <v>1438.8608325</v>
      </c>
    </row>
    <row r="4536" spans="1:7" x14ac:dyDescent="0.3">
      <c r="A4536" s="14" t="str">
        <f>VLOOKUP(B4536,'Relacion codigos'!$A:$B,2,FALSE)</f>
        <v>2636</v>
      </c>
      <c r="B4536" s="6" t="s">
        <v>2496</v>
      </c>
      <c r="C4536" s="6" t="s">
        <v>1044</v>
      </c>
      <c r="D4536" s="24">
        <v>1599.2584334999999</v>
      </c>
      <c r="E4536" s="6" t="s">
        <v>5889</v>
      </c>
      <c r="F4536" s="6">
        <v>21</v>
      </c>
      <c r="G4536" s="8">
        <f t="shared" si="70"/>
        <v>1599.2584334999999</v>
      </c>
    </row>
    <row r="4537" spans="1:7" x14ac:dyDescent="0.3">
      <c r="A4537" s="14" t="str">
        <f>VLOOKUP(B4537,'Relacion codigos'!$A:$B,2,FALSE)</f>
        <v>2637</v>
      </c>
      <c r="B4537" s="6" t="s">
        <v>2497</v>
      </c>
      <c r="C4537" s="6" t="s">
        <v>1045</v>
      </c>
      <c r="D4537" s="24">
        <v>1986.0997064999999</v>
      </c>
      <c r="E4537" s="6" t="s">
        <v>5889</v>
      </c>
      <c r="F4537" s="6">
        <v>21</v>
      </c>
      <c r="G4537" s="8">
        <f t="shared" si="70"/>
        <v>1986.0997064999999</v>
      </c>
    </row>
    <row r="4538" spans="1:7" x14ac:dyDescent="0.3">
      <c r="A4538" s="14" t="e">
        <f>VLOOKUP(B4538,'Relacion codigos'!$A:$B,2,FALSE)</f>
        <v>#N/A</v>
      </c>
      <c r="B4538" s="6" t="s">
        <v>13903</v>
      </c>
      <c r="C4538" s="6" t="s">
        <v>13904</v>
      </c>
      <c r="D4538" s="24">
        <v>2769.2174055</v>
      </c>
      <c r="E4538" s="6" t="s">
        <v>5889</v>
      </c>
      <c r="F4538" s="6">
        <v>21</v>
      </c>
      <c r="G4538" s="8">
        <f t="shared" si="70"/>
        <v>2769.2174055</v>
      </c>
    </row>
    <row r="4539" spans="1:7" x14ac:dyDescent="0.3">
      <c r="A4539" s="14" t="e">
        <f>VLOOKUP(B4539,'Relacion codigos'!$A:$B,2,FALSE)</f>
        <v>#N/A</v>
      </c>
      <c r="B4539" s="6" t="s">
        <v>13751</v>
      </c>
      <c r="C4539" s="6" t="s">
        <v>13752</v>
      </c>
      <c r="D4539" s="24">
        <v>3214.6914149999998</v>
      </c>
      <c r="E4539" s="6" t="s">
        <v>5889</v>
      </c>
      <c r="F4539" s="6">
        <v>21</v>
      </c>
      <c r="G4539" s="8">
        <f t="shared" si="70"/>
        <v>3214.6914149999998</v>
      </c>
    </row>
    <row r="4540" spans="1:7" x14ac:dyDescent="0.3">
      <c r="A4540" s="14" t="e">
        <f>VLOOKUP(B4540,'Relacion codigos'!$A:$B,2,FALSE)</f>
        <v>#N/A</v>
      </c>
      <c r="B4540" s="6" t="s">
        <v>13110</v>
      </c>
      <c r="C4540" s="6" t="s">
        <v>13111</v>
      </c>
      <c r="D4540" s="24">
        <v>1618.1287394999999</v>
      </c>
      <c r="E4540" s="6" t="s">
        <v>5889</v>
      </c>
      <c r="F4540" s="6">
        <v>21</v>
      </c>
      <c r="G4540" s="8">
        <f t="shared" si="70"/>
        <v>1618.1287394999999</v>
      </c>
    </row>
    <row r="4541" spans="1:7" x14ac:dyDescent="0.3">
      <c r="A4541" s="14" t="e">
        <f>VLOOKUP(B4541,'Relacion codigos'!$A:$B,2,FALSE)</f>
        <v>#N/A</v>
      </c>
      <c r="B4541" s="6" t="s">
        <v>13112</v>
      </c>
      <c r="C4541" s="6" t="s">
        <v>13113</v>
      </c>
      <c r="D4541" s="24">
        <v>1400.446281</v>
      </c>
      <c r="E4541" s="6" t="s">
        <v>5889</v>
      </c>
      <c r="F4541" s="6">
        <v>21</v>
      </c>
      <c r="G4541" s="8">
        <f t="shared" si="70"/>
        <v>1400.446281</v>
      </c>
    </row>
    <row r="4542" spans="1:7" x14ac:dyDescent="0.3">
      <c r="A4542" s="14" t="e">
        <f>VLOOKUP(B4542,'Relacion codigos'!$A:$B,2,FALSE)</f>
        <v>#N/A</v>
      </c>
      <c r="B4542" s="6" t="s">
        <v>12322</v>
      </c>
      <c r="C4542" s="6" t="s">
        <v>12323</v>
      </c>
      <c r="D4542" s="24">
        <v>2165.4464831999999</v>
      </c>
      <c r="E4542" s="6" t="s">
        <v>5889</v>
      </c>
      <c r="F4542" s="6">
        <v>21</v>
      </c>
      <c r="G4542" s="8">
        <f t="shared" si="70"/>
        <v>2165.4464831999999</v>
      </c>
    </row>
    <row r="4543" spans="1:7" x14ac:dyDescent="0.3">
      <c r="A4543" s="14" t="str">
        <f>VLOOKUP(B4543,'Relacion codigos'!$A:$B,2,FALSE)</f>
        <v>717</v>
      </c>
      <c r="B4543" s="6" t="s">
        <v>1524</v>
      </c>
      <c r="C4543" s="6" t="s">
        <v>10720</v>
      </c>
      <c r="D4543" s="24">
        <v>1663.7083319999999</v>
      </c>
      <c r="E4543" s="6" t="s">
        <v>5889</v>
      </c>
      <c r="F4543" s="6">
        <v>21</v>
      </c>
      <c r="G4543" s="8">
        <f t="shared" si="70"/>
        <v>1663.7083319999999</v>
      </c>
    </row>
    <row r="4544" spans="1:7" x14ac:dyDescent="0.3">
      <c r="A4544" s="14" t="e">
        <f>VLOOKUP(B4544,'Relacion codigos'!$A:$B,2,FALSE)</f>
        <v>#N/A</v>
      </c>
      <c r="B4544" s="6" t="s">
        <v>13650</v>
      </c>
      <c r="C4544" s="6" t="s">
        <v>13651</v>
      </c>
      <c r="D4544" s="24">
        <v>2670.72</v>
      </c>
      <c r="E4544" s="6" t="s">
        <v>5889</v>
      </c>
      <c r="F4544" s="6">
        <v>21</v>
      </c>
      <c r="G4544" s="8">
        <f t="shared" si="70"/>
        <v>2670.72</v>
      </c>
    </row>
    <row r="4545" spans="1:7" x14ac:dyDescent="0.3">
      <c r="A4545" s="14" t="str">
        <f>VLOOKUP(B4545,'Relacion codigos'!$A:$B,2,FALSE)</f>
        <v>790</v>
      </c>
      <c r="B4545" s="6" t="s">
        <v>1525</v>
      </c>
      <c r="C4545" s="6" t="s">
        <v>10721</v>
      </c>
      <c r="D4545" s="24">
        <v>1663.7083319999999</v>
      </c>
      <c r="E4545" s="6" t="s">
        <v>5889</v>
      </c>
      <c r="F4545" s="6">
        <v>21</v>
      </c>
      <c r="G4545" s="8">
        <f t="shared" si="70"/>
        <v>1663.7083319999999</v>
      </c>
    </row>
    <row r="4546" spans="1:7" x14ac:dyDescent="0.3">
      <c r="A4546" s="14" t="str">
        <f>VLOOKUP(B4546,'Relacion codigos'!$A:$B,2,FALSE)</f>
        <v>5588</v>
      </c>
      <c r="B4546" s="6" t="s">
        <v>1522</v>
      </c>
      <c r="C4546" s="6" t="s">
        <v>816</v>
      </c>
      <c r="D4546" s="24">
        <v>4117.3580525999996</v>
      </c>
      <c r="E4546" s="6" t="s">
        <v>5889</v>
      </c>
      <c r="F4546" s="6">
        <v>21</v>
      </c>
      <c r="G4546" s="8">
        <f t="shared" ref="G4546:G4609" si="71">IF(E4546="Dolares",D4546*$G$1,D4546)</f>
        <v>4117.3580525999996</v>
      </c>
    </row>
    <row r="4547" spans="1:7" x14ac:dyDescent="0.3">
      <c r="A4547" s="14" t="str">
        <f>VLOOKUP(B4547,'Relacion codigos'!$A:$B,2,FALSE)</f>
        <v>6545</v>
      </c>
      <c r="B4547" s="6" t="s">
        <v>1523</v>
      </c>
      <c r="C4547" s="6" t="s">
        <v>817</v>
      </c>
      <c r="D4547" s="24">
        <v>4409.4672179999998</v>
      </c>
      <c r="E4547" s="6" t="s">
        <v>5889</v>
      </c>
      <c r="F4547" s="6">
        <v>21</v>
      </c>
      <c r="G4547" s="8">
        <f t="shared" si="71"/>
        <v>4409.4672179999998</v>
      </c>
    </row>
    <row r="4548" spans="1:7" x14ac:dyDescent="0.3">
      <c r="A4548" s="14" t="str">
        <f>VLOOKUP(B4548,'Relacion codigos'!$A:$B,2,FALSE)</f>
        <v>1960</v>
      </c>
      <c r="B4548" s="6" t="s">
        <v>5632</v>
      </c>
      <c r="C4548" s="6" t="s">
        <v>818</v>
      </c>
      <c r="D4548" s="24">
        <v>4.7513442687835701</v>
      </c>
      <c r="E4548" s="6" t="s">
        <v>5887</v>
      </c>
      <c r="F4548" s="6">
        <v>21</v>
      </c>
      <c r="G4548" s="8">
        <f t="shared" si="71"/>
        <v>7388.3403379584515</v>
      </c>
    </row>
    <row r="4549" spans="1:7" x14ac:dyDescent="0.3">
      <c r="A4549" s="14" t="str">
        <f>VLOOKUP(B4549,'Relacion codigos'!$A:$B,2,FALSE)</f>
        <v>1813</v>
      </c>
      <c r="B4549" s="6" t="s">
        <v>5633</v>
      </c>
      <c r="C4549" s="6" t="s">
        <v>11049</v>
      </c>
      <c r="D4549" s="24">
        <v>4.4955026792907899</v>
      </c>
      <c r="E4549" s="6" t="s">
        <v>5887</v>
      </c>
      <c r="F4549" s="6">
        <v>21</v>
      </c>
      <c r="G4549" s="8">
        <f t="shared" si="71"/>
        <v>6990.5066662971785</v>
      </c>
    </row>
    <row r="4550" spans="1:7" x14ac:dyDescent="0.3">
      <c r="A4550" s="14" t="str">
        <f>VLOOKUP(B4550,'Relacion codigos'!$A:$B,2,FALSE)</f>
        <v>2775</v>
      </c>
      <c r="B4550" s="6" t="s">
        <v>5634</v>
      </c>
      <c r="C4550" s="6" t="s">
        <v>819</v>
      </c>
      <c r="D4550" s="24">
        <v>4.8762005803298996</v>
      </c>
      <c r="E4550" s="6" t="s">
        <v>5887</v>
      </c>
      <c r="F4550" s="6">
        <v>21</v>
      </c>
      <c r="G4550" s="8">
        <f t="shared" si="71"/>
        <v>7582.491902412994</v>
      </c>
    </row>
    <row r="4551" spans="1:7" x14ac:dyDescent="0.3">
      <c r="A4551" s="14" t="str">
        <f>VLOOKUP(B4551,'Relacion codigos'!$A:$B,2,FALSE)</f>
        <v>2836</v>
      </c>
      <c r="B4551" s="6" t="s">
        <v>5635</v>
      </c>
      <c r="C4551" s="6" t="s">
        <v>13874</v>
      </c>
      <c r="D4551" s="24">
        <v>3.1047119044876101</v>
      </c>
      <c r="E4551" s="6" t="s">
        <v>5887</v>
      </c>
      <c r="F4551" s="6">
        <v>21</v>
      </c>
      <c r="G4551" s="8">
        <f t="shared" si="71"/>
        <v>4827.8270114782335</v>
      </c>
    </row>
    <row r="4552" spans="1:7" x14ac:dyDescent="0.3">
      <c r="A4552" s="14" t="str">
        <f>VLOOKUP(B4552,'Relacion codigos'!$A:$B,2,FALSE)</f>
        <v>539</v>
      </c>
      <c r="B4552" s="6" t="s">
        <v>5636</v>
      </c>
      <c r="C4552" s="6" t="s">
        <v>13875</v>
      </c>
      <c r="D4552" s="24">
        <v>3.9482803459259501</v>
      </c>
      <c r="E4552" s="6" t="s">
        <v>5887</v>
      </c>
      <c r="F4552" s="6">
        <v>21</v>
      </c>
      <c r="G4552" s="8">
        <f t="shared" si="71"/>
        <v>6139.5759379148521</v>
      </c>
    </row>
    <row r="4553" spans="1:7" x14ac:dyDescent="0.3">
      <c r="A4553" s="14" t="str">
        <f>VLOOKUP(B4553,'Relacion codigos'!$A:$B,2,FALSE)</f>
        <v>1957</v>
      </c>
      <c r="B4553" s="6" t="s">
        <v>5638</v>
      </c>
      <c r="C4553" s="6" t="s">
        <v>822</v>
      </c>
      <c r="D4553" s="24">
        <v>4.9034419199999997</v>
      </c>
      <c r="E4553" s="6" t="s">
        <v>5887</v>
      </c>
      <c r="F4553" s="6">
        <v>21</v>
      </c>
      <c r="G4553" s="8">
        <f t="shared" si="71"/>
        <v>7624.8521855999998</v>
      </c>
    </row>
    <row r="4554" spans="1:7" x14ac:dyDescent="0.3">
      <c r="A4554" s="14" t="str">
        <f>VLOOKUP(B4554,'Relacion codigos'!$A:$B,2,FALSE)</f>
        <v>366</v>
      </c>
      <c r="B4554" s="6" t="s">
        <v>5639</v>
      </c>
      <c r="C4554" s="6" t="s">
        <v>823</v>
      </c>
      <c r="D4554" s="24">
        <v>3.6889319999999999</v>
      </c>
      <c r="E4554" s="6" t="s">
        <v>5887</v>
      </c>
      <c r="F4554" s="6">
        <v>21</v>
      </c>
      <c r="G4554" s="8">
        <f t="shared" si="71"/>
        <v>5736.2892599999996</v>
      </c>
    </row>
    <row r="4555" spans="1:7" x14ac:dyDescent="0.3">
      <c r="A4555" s="14" t="str">
        <f>VLOOKUP(B4555,'Relacion codigos'!$A:$B,2,FALSE)</f>
        <v>7438</v>
      </c>
      <c r="B4555" s="6" t="s">
        <v>5640</v>
      </c>
      <c r="C4555" s="6" t="s">
        <v>824</v>
      </c>
      <c r="D4555" s="24">
        <v>6341.0571120000004</v>
      </c>
      <c r="E4555" s="6" t="s">
        <v>5889</v>
      </c>
      <c r="F4555" s="6">
        <v>21</v>
      </c>
      <c r="G4555" s="8">
        <f t="shared" si="71"/>
        <v>6341.0571120000004</v>
      </c>
    </row>
    <row r="4556" spans="1:7" x14ac:dyDescent="0.3">
      <c r="A4556" s="14" t="str">
        <f>VLOOKUP(B4556,'Relacion codigos'!$A:$B,2,FALSE)</f>
        <v>5400</v>
      </c>
      <c r="B4556" s="6" t="s">
        <v>5641</v>
      </c>
      <c r="C4556" s="6" t="s">
        <v>10560</v>
      </c>
      <c r="D4556" s="24">
        <v>2.2434048</v>
      </c>
      <c r="E4556" s="6" t="s">
        <v>5887</v>
      </c>
      <c r="F4556" s="6">
        <v>21</v>
      </c>
      <c r="G4556" s="8">
        <f t="shared" si="71"/>
        <v>3488.4944639999999</v>
      </c>
    </row>
    <row r="4557" spans="1:7" x14ac:dyDescent="0.3">
      <c r="A4557" s="14" t="str">
        <f>VLOOKUP(B4557,'Relacion codigos'!$A:$B,2,FALSE)</f>
        <v>5383</v>
      </c>
      <c r="B4557" s="6" t="s">
        <v>5643</v>
      </c>
      <c r="C4557" s="6" t="s">
        <v>10562</v>
      </c>
      <c r="D4557" s="24">
        <v>3.7456847999999998</v>
      </c>
      <c r="E4557" s="6" t="s">
        <v>5887</v>
      </c>
      <c r="F4557" s="6">
        <v>21</v>
      </c>
      <c r="G4557" s="8">
        <f t="shared" si="71"/>
        <v>5824.5398639999994</v>
      </c>
    </row>
    <row r="4558" spans="1:7" x14ac:dyDescent="0.3">
      <c r="A4558" s="14" t="str">
        <f>VLOOKUP(B4558,'Relacion codigos'!$A:$B,2,FALSE)</f>
        <v>5372</v>
      </c>
      <c r="B4558" s="6" t="s">
        <v>5646</v>
      </c>
      <c r="C4558" s="6" t="s">
        <v>11050</v>
      </c>
      <c r="D4558" s="24">
        <v>2.2434048095512402</v>
      </c>
      <c r="E4558" s="6" t="s">
        <v>5887</v>
      </c>
      <c r="F4558" s="6">
        <v>21</v>
      </c>
      <c r="G4558" s="8">
        <f t="shared" si="71"/>
        <v>3488.4944788521784</v>
      </c>
    </row>
    <row r="4559" spans="1:7" x14ac:dyDescent="0.3">
      <c r="A4559" s="14" t="str">
        <f>VLOOKUP(B4559,'Relacion codigos'!$A:$B,2,FALSE)</f>
        <v>7936</v>
      </c>
      <c r="B4559" s="6" t="s">
        <v>5384</v>
      </c>
      <c r="C4559" s="6" t="s">
        <v>10563</v>
      </c>
      <c r="D4559" s="24">
        <v>2.9106675000000002</v>
      </c>
      <c r="E4559" s="6" t="s">
        <v>5887</v>
      </c>
      <c r="F4559" s="6">
        <v>10.5</v>
      </c>
      <c r="G4559" s="8">
        <f t="shared" si="71"/>
        <v>4526.0879625000007</v>
      </c>
    </row>
    <row r="4560" spans="1:7" x14ac:dyDescent="0.3">
      <c r="A4560" s="14" t="e">
        <f>VLOOKUP(B4560,'Relacion codigos'!$A:$B,2,FALSE)</f>
        <v>#N/A</v>
      </c>
      <c r="B4560" s="6" t="s">
        <v>12974</v>
      </c>
      <c r="C4560" s="6" t="s">
        <v>12975</v>
      </c>
      <c r="D4560" s="24">
        <v>2.9106675000000002</v>
      </c>
      <c r="E4560" s="6" t="s">
        <v>5887</v>
      </c>
      <c r="F4560" s="6">
        <v>10.5</v>
      </c>
      <c r="G4560" s="8">
        <f t="shared" si="71"/>
        <v>4526.0879625000007</v>
      </c>
    </row>
    <row r="4561" spans="1:7" x14ac:dyDescent="0.3">
      <c r="A4561" s="14" t="str">
        <f>VLOOKUP(B4561,'Relacion codigos'!$A:$B,2,FALSE)</f>
        <v>6309</v>
      </c>
      <c r="B4561" s="6" t="s">
        <v>5385</v>
      </c>
      <c r="C4561" s="6" t="s">
        <v>13974</v>
      </c>
      <c r="D4561" s="24">
        <v>1.3240499999999999</v>
      </c>
      <c r="E4561" s="6" t="s">
        <v>5887</v>
      </c>
      <c r="F4561" s="6">
        <v>10.5</v>
      </c>
      <c r="G4561" s="8">
        <f t="shared" si="71"/>
        <v>2058.8977500000001</v>
      </c>
    </row>
    <row r="4562" spans="1:7" x14ac:dyDescent="0.3">
      <c r="A4562" s="14" t="e">
        <f>VLOOKUP(B4562,'Relacion codigos'!$A:$B,2,FALSE)</f>
        <v>#N/A</v>
      </c>
      <c r="B4562" s="6" t="s">
        <v>13975</v>
      </c>
      <c r="C4562" s="6" t="s">
        <v>10564</v>
      </c>
      <c r="D4562" s="24">
        <v>1.1893050000000001</v>
      </c>
      <c r="E4562" s="6" t="s">
        <v>5887</v>
      </c>
      <c r="F4562" s="6">
        <v>10.5</v>
      </c>
      <c r="G4562" s="8">
        <f t="shared" si="71"/>
        <v>1849.369275</v>
      </c>
    </row>
    <row r="4563" spans="1:7" x14ac:dyDescent="0.3">
      <c r="A4563" s="14" t="str">
        <f>VLOOKUP(B4563,'Relacion codigos'!$A:$B,2,FALSE)</f>
        <v>8286</v>
      </c>
      <c r="B4563" s="6" t="s">
        <v>5393</v>
      </c>
      <c r="C4563" s="6" t="s">
        <v>12882</v>
      </c>
      <c r="D4563" s="24">
        <v>1.1893050000000001</v>
      </c>
      <c r="E4563" s="6" t="s">
        <v>5887</v>
      </c>
      <c r="F4563" s="6">
        <v>10.5</v>
      </c>
      <c r="G4563" s="8">
        <f t="shared" si="71"/>
        <v>1849.369275</v>
      </c>
    </row>
    <row r="4564" spans="1:7" x14ac:dyDescent="0.3">
      <c r="A4564" s="14" t="str">
        <f>VLOOKUP(B4564,'Relacion codigos'!$A:$B,2,FALSE)</f>
        <v>6284</v>
      </c>
      <c r="B4564" s="6" t="s">
        <v>5386</v>
      </c>
      <c r="C4564" s="6" t="s">
        <v>10565</v>
      </c>
      <c r="D4564" s="24">
        <v>1.1893050000000001</v>
      </c>
      <c r="E4564" s="6" t="s">
        <v>5887</v>
      </c>
      <c r="F4564" s="6">
        <v>10.5</v>
      </c>
      <c r="G4564" s="8">
        <f t="shared" si="71"/>
        <v>1849.369275</v>
      </c>
    </row>
    <row r="4565" spans="1:7" x14ac:dyDescent="0.3">
      <c r="A4565" s="14" t="e">
        <f>VLOOKUP(B4565,'Relacion codigos'!$A:$B,2,FALSE)</f>
        <v>#N/A</v>
      </c>
      <c r="B4565" s="6" t="s">
        <v>10406</v>
      </c>
      <c r="C4565" s="6" t="s">
        <v>10407</v>
      </c>
      <c r="D4565" s="24">
        <v>1.3240499999999999</v>
      </c>
      <c r="E4565" s="6" t="s">
        <v>5887</v>
      </c>
      <c r="F4565" s="6">
        <v>10.5</v>
      </c>
      <c r="G4565" s="8">
        <f t="shared" si="71"/>
        <v>2058.8977500000001</v>
      </c>
    </row>
    <row r="4566" spans="1:7" x14ac:dyDescent="0.3">
      <c r="A4566" s="14" t="str">
        <f>VLOOKUP(B4566,'Relacion codigos'!$A:$B,2,FALSE)</f>
        <v>8640</v>
      </c>
      <c r="B4566" s="6" t="s">
        <v>5392</v>
      </c>
      <c r="C4566" s="6" t="s">
        <v>11434</v>
      </c>
      <c r="D4566" s="24">
        <v>2.9682542045</v>
      </c>
      <c r="E4566" s="6" t="s">
        <v>5887</v>
      </c>
      <c r="F4566" s="6">
        <v>10.5</v>
      </c>
      <c r="G4566" s="8">
        <f t="shared" si="71"/>
        <v>4615.6352879975002</v>
      </c>
    </row>
    <row r="4567" spans="1:7" x14ac:dyDescent="0.3">
      <c r="A4567" s="14" t="str">
        <f>VLOOKUP(B4567,'Relacion codigos'!$A:$B,2,FALSE)</f>
        <v>8589</v>
      </c>
      <c r="B4567" s="6" t="s">
        <v>5395</v>
      </c>
      <c r="C4567" s="6" t="s">
        <v>10568</v>
      </c>
      <c r="D4567" s="24">
        <v>1.2955363655000001</v>
      </c>
      <c r="E4567" s="6" t="s">
        <v>5887</v>
      </c>
      <c r="F4567" s="6">
        <v>10.5</v>
      </c>
      <c r="G4567" s="8">
        <f t="shared" si="71"/>
        <v>2014.5590483525002</v>
      </c>
    </row>
    <row r="4568" spans="1:7" x14ac:dyDescent="0.3">
      <c r="A4568" s="14" t="e">
        <f>VLOOKUP(B4568,'Relacion codigos'!$A:$B,2,FALSE)</f>
        <v>#N/A</v>
      </c>
      <c r="B4568" s="6" t="s">
        <v>9081</v>
      </c>
      <c r="C4568" s="6" t="s">
        <v>10569</v>
      </c>
      <c r="D4568" s="24">
        <v>2.0531160000000002</v>
      </c>
      <c r="E4568" s="6" t="s">
        <v>5887</v>
      </c>
      <c r="F4568" s="6">
        <v>10.5</v>
      </c>
      <c r="G4568" s="8">
        <f t="shared" si="71"/>
        <v>3192.5953800000002</v>
      </c>
    </row>
    <row r="4569" spans="1:7" x14ac:dyDescent="0.3">
      <c r="A4569" s="14" t="str">
        <f>VLOOKUP(B4569,'Relacion codigos'!$A:$B,2,FALSE)</f>
        <v>6218</v>
      </c>
      <c r="B4569" s="6" t="s">
        <v>5396</v>
      </c>
      <c r="C4569" s="6" t="s">
        <v>11269</v>
      </c>
      <c r="D4569" s="24">
        <v>9.6959654999999998</v>
      </c>
      <c r="E4569" s="6" t="s">
        <v>5887</v>
      </c>
      <c r="F4569" s="6">
        <v>10.5</v>
      </c>
      <c r="G4569" s="8">
        <f t="shared" si="71"/>
        <v>15077.2263525</v>
      </c>
    </row>
    <row r="4570" spans="1:7" x14ac:dyDescent="0.3">
      <c r="A4570" s="14" t="e">
        <f>VLOOKUP(B4570,'Relacion codigos'!$A:$B,2,FALSE)</f>
        <v>#N/A</v>
      </c>
      <c r="B4570" s="6" t="s">
        <v>9463</v>
      </c>
      <c r="C4570" s="6" t="s">
        <v>11436</v>
      </c>
      <c r="D4570" s="24">
        <v>16.4346</v>
      </c>
      <c r="E4570" s="6" t="s">
        <v>5887</v>
      </c>
      <c r="F4570" s="6">
        <v>10.5</v>
      </c>
      <c r="G4570" s="8">
        <f t="shared" si="71"/>
        <v>25555.803</v>
      </c>
    </row>
    <row r="4571" spans="1:7" x14ac:dyDescent="0.3">
      <c r="A4571" s="14" t="str">
        <f>VLOOKUP(B4571,'Relacion codigos'!$A:$B,2,FALSE)</f>
        <v>8590</v>
      </c>
      <c r="B4571" s="6" t="s">
        <v>5394</v>
      </c>
      <c r="C4571" s="6" t="s">
        <v>10876</v>
      </c>
      <c r="D4571" s="24">
        <v>1.5579234774999999</v>
      </c>
      <c r="E4571" s="6" t="s">
        <v>5887</v>
      </c>
      <c r="F4571" s="6">
        <v>10.5</v>
      </c>
      <c r="G4571" s="8">
        <f t="shared" si="71"/>
        <v>2422.5710075124998</v>
      </c>
    </row>
    <row r="4572" spans="1:7" x14ac:dyDescent="0.3">
      <c r="A4572" s="14" t="e">
        <f>VLOOKUP(B4572,'Relacion codigos'!$A:$B,2,FALSE)</f>
        <v>#N/A</v>
      </c>
      <c r="B4572" s="6" t="s">
        <v>10403</v>
      </c>
      <c r="C4572" s="6" t="s">
        <v>13876</v>
      </c>
      <c r="D4572" s="24">
        <v>1.9382999999999999</v>
      </c>
      <c r="E4572" s="6" t="s">
        <v>5887</v>
      </c>
      <c r="F4572" s="6">
        <v>10.5</v>
      </c>
      <c r="G4572" s="8">
        <f t="shared" si="71"/>
        <v>3014.0564999999997</v>
      </c>
    </row>
    <row r="4573" spans="1:7" x14ac:dyDescent="0.3">
      <c r="A4573" s="14" t="str">
        <f>VLOOKUP(B4573,'Relacion codigos'!$A:$B,2,FALSE)</f>
        <v>6082</v>
      </c>
      <c r="B4573" s="6" t="s">
        <v>5381</v>
      </c>
      <c r="C4573" s="6" t="s">
        <v>13877</v>
      </c>
      <c r="D4573" s="24">
        <v>1.3395330000000001</v>
      </c>
      <c r="E4573" s="6" t="s">
        <v>5887</v>
      </c>
      <c r="F4573" s="6">
        <v>10.5</v>
      </c>
      <c r="G4573" s="8">
        <f t="shared" si="71"/>
        <v>2082.9738150000003</v>
      </c>
    </row>
    <row r="4574" spans="1:7" x14ac:dyDescent="0.3">
      <c r="A4574" s="14" t="str">
        <f>VLOOKUP(B4574,'Relacion codigos'!$A:$B,2,FALSE)</f>
        <v>6898</v>
      </c>
      <c r="B4574" s="6" t="s">
        <v>3663</v>
      </c>
      <c r="C4574" s="6" t="s">
        <v>12580</v>
      </c>
      <c r="D4574" s="24">
        <v>1.3395330000000001</v>
      </c>
      <c r="E4574" s="6" t="s">
        <v>5887</v>
      </c>
      <c r="F4574" s="6">
        <v>10.5</v>
      </c>
      <c r="G4574" s="8">
        <f t="shared" si="71"/>
        <v>2082.9738150000003</v>
      </c>
    </row>
    <row r="4575" spans="1:7" x14ac:dyDescent="0.3">
      <c r="A4575" s="14" t="e">
        <f>VLOOKUP(B4575,'Relacion codigos'!$A:$B,2,FALSE)</f>
        <v>#N/A</v>
      </c>
      <c r="B4575" s="6" t="s">
        <v>10405</v>
      </c>
      <c r="C4575" s="6" t="s">
        <v>10877</v>
      </c>
      <c r="D4575" s="24">
        <v>1.945125</v>
      </c>
      <c r="E4575" s="6" t="s">
        <v>5887</v>
      </c>
      <c r="F4575" s="6">
        <v>10.5</v>
      </c>
      <c r="G4575" s="8">
        <f t="shared" si="71"/>
        <v>3024.6693749999999</v>
      </c>
    </row>
    <row r="4576" spans="1:7" x14ac:dyDescent="0.3">
      <c r="A4576" s="14" t="str">
        <f>VLOOKUP(B4576,'Relacion codigos'!$A:$B,2,FALSE)</f>
        <v>8820</v>
      </c>
      <c r="B4576" s="6" t="s">
        <v>5390</v>
      </c>
      <c r="C4576" s="6" t="s">
        <v>13878</v>
      </c>
      <c r="D4576" s="24">
        <v>1.53578919</v>
      </c>
      <c r="E4576" s="6" t="s">
        <v>5887</v>
      </c>
      <c r="F4576" s="6">
        <v>10.5</v>
      </c>
      <c r="G4576" s="8">
        <f t="shared" si="71"/>
        <v>2388.15219045</v>
      </c>
    </row>
    <row r="4577" spans="1:7" x14ac:dyDescent="0.3">
      <c r="A4577" s="14" t="str">
        <f>VLOOKUP(B4577,'Relacion codigos'!$A:$B,2,FALSE)</f>
        <v>782</v>
      </c>
      <c r="B4577" s="6" t="s">
        <v>2289</v>
      </c>
      <c r="C4577" s="6" t="s">
        <v>9528</v>
      </c>
      <c r="D4577" s="24">
        <v>85.629959999999997</v>
      </c>
      <c r="E4577" s="6" t="s">
        <v>5889</v>
      </c>
      <c r="F4577" s="6">
        <v>21</v>
      </c>
      <c r="G4577" s="8">
        <f t="shared" si="71"/>
        <v>85.629959999999997</v>
      </c>
    </row>
    <row r="4578" spans="1:7" x14ac:dyDescent="0.3">
      <c r="A4578" s="14" t="str">
        <f>VLOOKUP(B4578,'Relacion codigos'!$A:$B,2,FALSE)</f>
        <v>757</v>
      </c>
      <c r="B4578" s="6" t="s">
        <v>2290</v>
      </c>
      <c r="C4578" s="6" t="s">
        <v>825</v>
      </c>
      <c r="D4578" s="24">
        <v>0.54624568978548005</v>
      </c>
      <c r="E4578" s="6" t="s">
        <v>5887</v>
      </c>
      <c r="F4578" s="6">
        <v>21</v>
      </c>
      <c r="G4578" s="8">
        <f t="shared" si="71"/>
        <v>849.41204761642143</v>
      </c>
    </row>
    <row r="4579" spans="1:7" x14ac:dyDescent="0.3">
      <c r="A4579" s="14" t="str">
        <f>VLOOKUP(B4579,'Relacion codigos'!$A:$B,2,FALSE)</f>
        <v>756</v>
      </c>
      <c r="B4579" s="6" t="s">
        <v>2292</v>
      </c>
      <c r="C4579" s="6" t="s">
        <v>826</v>
      </c>
      <c r="D4579" s="24">
        <v>0.43913869616955498</v>
      </c>
      <c r="E4579" s="6" t="s">
        <v>5887</v>
      </c>
      <c r="F4579" s="6">
        <v>21</v>
      </c>
      <c r="G4579" s="8">
        <f t="shared" si="71"/>
        <v>682.86067254365798</v>
      </c>
    </row>
    <row r="4580" spans="1:7" x14ac:dyDescent="0.3">
      <c r="A4580" s="14" t="e">
        <f>VLOOKUP(B4580,'Relacion codigos'!$A:$B,2,FALSE)</f>
        <v>#N/A</v>
      </c>
      <c r="B4580" s="6" t="s">
        <v>10189</v>
      </c>
      <c r="C4580" s="6" t="s">
        <v>11671</v>
      </c>
      <c r="D4580" s="24">
        <v>1721.0046130875</v>
      </c>
      <c r="E4580" s="6" t="s">
        <v>5889</v>
      </c>
      <c r="F4580" s="6">
        <v>21</v>
      </c>
      <c r="G4580" s="8">
        <f t="shared" si="71"/>
        <v>1721.0046130875</v>
      </c>
    </row>
    <row r="4581" spans="1:7" x14ac:dyDescent="0.3">
      <c r="A4581" s="14" t="e">
        <f>VLOOKUP(B4581,'Relacion codigos'!$A:$B,2,FALSE)</f>
        <v>#N/A</v>
      </c>
      <c r="B4581" s="6" t="s">
        <v>11454</v>
      </c>
      <c r="C4581" s="6" t="s">
        <v>11672</v>
      </c>
      <c r="D4581" s="24">
        <v>1505.3122582875001</v>
      </c>
      <c r="E4581" s="6" t="s">
        <v>5889</v>
      </c>
      <c r="F4581" s="6">
        <v>21</v>
      </c>
      <c r="G4581" s="8">
        <f t="shared" si="71"/>
        <v>1505.3122582875001</v>
      </c>
    </row>
    <row r="4582" spans="1:7" x14ac:dyDescent="0.3">
      <c r="A4582" s="14" t="str">
        <f>VLOOKUP(B4582,'Relacion codigos'!$A:$B,2,FALSE)</f>
        <v>NUEVO</v>
      </c>
      <c r="B4582" s="6" t="s">
        <v>8758</v>
      </c>
      <c r="C4582" s="6" t="s">
        <v>11673</v>
      </c>
      <c r="D4582" s="24">
        <v>912.34559812500095</v>
      </c>
      <c r="E4582" s="6" t="s">
        <v>5889</v>
      </c>
      <c r="F4582" s="6">
        <v>21</v>
      </c>
      <c r="G4582" s="8">
        <f t="shared" si="71"/>
        <v>912.34559812500095</v>
      </c>
    </row>
    <row r="4583" spans="1:7" x14ac:dyDescent="0.3">
      <c r="A4583" s="14" t="e">
        <f>VLOOKUP(B4583,'Relacion codigos'!$A:$B,2,FALSE)</f>
        <v>#N/A</v>
      </c>
      <c r="B4583" s="6" t="s">
        <v>12177</v>
      </c>
      <c r="C4583" s="6" t="s">
        <v>12178</v>
      </c>
      <c r="D4583" s="24">
        <v>2442.2110581375</v>
      </c>
      <c r="E4583" s="6" t="s">
        <v>5889</v>
      </c>
      <c r="F4583" s="6">
        <v>21</v>
      </c>
      <c r="G4583" s="8">
        <f t="shared" si="71"/>
        <v>2442.2110581375</v>
      </c>
    </row>
    <row r="4584" spans="1:7" x14ac:dyDescent="0.3">
      <c r="A4584" s="14" t="str">
        <f>VLOOKUP(B4584,'Relacion codigos'!$A:$B,2,FALSE)</f>
        <v>9100</v>
      </c>
      <c r="B4584" s="6" t="s">
        <v>2303</v>
      </c>
      <c r="C4584" s="6" t="s">
        <v>11674</v>
      </c>
      <c r="D4584" s="24">
        <v>738.50488627499999</v>
      </c>
      <c r="E4584" s="6" t="s">
        <v>5889</v>
      </c>
      <c r="F4584" s="6">
        <v>21</v>
      </c>
      <c r="G4584" s="8">
        <f t="shared" si="71"/>
        <v>738.50488627499999</v>
      </c>
    </row>
    <row r="4585" spans="1:7" x14ac:dyDescent="0.3">
      <c r="A4585" s="14" t="str">
        <f>VLOOKUP(B4585,'Relacion codigos'!$A:$B,2,FALSE)</f>
        <v>9101</v>
      </c>
      <c r="B4585" s="6" t="s">
        <v>2304</v>
      </c>
      <c r="C4585" s="6" t="s">
        <v>11675</v>
      </c>
      <c r="D4585" s="24">
        <v>912.34559812500095</v>
      </c>
      <c r="E4585" s="6" t="s">
        <v>5889</v>
      </c>
      <c r="F4585" s="6">
        <v>21</v>
      </c>
      <c r="G4585" s="8">
        <f t="shared" si="71"/>
        <v>912.34559812500095</v>
      </c>
    </row>
    <row r="4586" spans="1:7" x14ac:dyDescent="0.3">
      <c r="A4586" s="14" t="e">
        <f>VLOOKUP(B4586,'Relacion codigos'!$A:$B,2,FALSE)</f>
        <v>#N/A</v>
      </c>
      <c r="B4586" s="6" t="s">
        <v>12664</v>
      </c>
      <c r="C4586" s="6" t="s">
        <v>12665</v>
      </c>
      <c r="D4586" s="24">
        <v>45.902999999999999</v>
      </c>
      <c r="E4586" s="6" t="s">
        <v>5889</v>
      </c>
      <c r="F4586" s="6">
        <v>21</v>
      </c>
      <c r="G4586" s="8">
        <f t="shared" si="71"/>
        <v>45.902999999999999</v>
      </c>
    </row>
    <row r="4587" spans="1:7" x14ac:dyDescent="0.3">
      <c r="A4587" s="14" t="e">
        <f>VLOOKUP(B4587,'Relacion codigos'!$A:$B,2,FALSE)</f>
        <v>#N/A</v>
      </c>
      <c r="B4587" s="6" t="s">
        <v>12666</v>
      </c>
      <c r="C4587" s="6" t="s">
        <v>12667</v>
      </c>
      <c r="D4587" s="24">
        <v>82.069000000000003</v>
      </c>
      <c r="E4587" s="6" t="s">
        <v>5889</v>
      </c>
      <c r="F4587" s="6">
        <v>21</v>
      </c>
      <c r="G4587" s="8">
        <f t="shared" si="71"/>
        <v>82.069000000000003</v>
      </c>
    </row>
    <row r="4588" spans="1:7" x14ac:dyDescent="0.3">
      <c r="A4588" s="14" t="e">
        <f>VLOOKUP(B4588,'Relacion codigos'!$A:$B,2,FALSE)</f>
        <v>#N/A</v>
      </c>
      <c r="B4588" s="6" t="s">
        <v>12668</v>
      </c>
      <c r="C4588" s="6" t="s">
        <v>12669</v>
      </c>
      <c r="D4588" s="24">
        <v>59.395699999999998</v>
      </c>
      <c r="E4588" s="6" t="s">
        <v>5889</v>
      </c>
      <c r="F4588" s="6">
        <v>21</v>
      </c>
      <c r="G4588" s="8">
        <f t="shared" si="71"/>
        <v>59.395699999999998</v>
      </c>
    </row>
    <row r="4589" spans="1:7" x14ac:dyDescent="0.3">
      <c r="A4589" s="14" t="str">
        <f>VLOOKUP(B4589,'Relacion codigos'!$A:$B,2,FALSE)</f>
        <v>3576</v>
      </c>
      <c r="B4589" s="6" t="s">
        <v>3864</v>
      </c>
      <c r="C4589" s="6" t="s">
        <v>827</v>
      </c>
      <c r="D4589" s="24">
        <v>5797.6880000000001</v>
      </c>
      <c r="E4589" s="6" t="s">
        <v>5889</v>
      </c>
      <c r="F4589" s="6">
        <v>21</v>
      </c>
      <c r="G4589" s="8">
        <f t="shared" si="71"/>
        <v>5797.6880000000001</v>
      </c>
    </row>
    <row r="4590" spans="1:7" x14ac:dyDescent="0.3">
      <c r="A4590" s="14" t="str">
        <f>VLOOKUP(B4590,'Relacion codigos'!$A:$B,2,FALSE)</f>
        <v>8080</v>
      </c>
      <c r="B4590" s="6" t="s">
        <v>3820</v>
      </c>
      <c r="C4590" s="6" t="s">
        <v>1335</v>
      </c>
      <c r="D4590" s="24">
        <v>15504.642400000001</v>
      </c>
      <c r="E4590" s="6" t="s">
        <v>5889</v>
      </c>
      <c r="F4590" s="6">
        <v>21</v>
      </c>
      <c r="G4590" s="8">
        <f t="shared" si="71"/>
        <v>15504.642400000001</v>
      </c>
    </row>
    <row r="4591" spans="1:7" x14ac:dyDescent="0.3">
      <c r="A4591" s="14" t="e">
        <f>VLOOKUP(B4591,'Relacion codigos'!$A:$B,2,FALSE)</f>
        <v>#N/A</v>
      </c>
      <c r="B4591" s="6" t="s">
        <v>13279</v>
      </c>
      <c r="C4591" s="6" t="s">
        <v>13280</v>
      </c>
      <c r="D4591" s="24">
        <v>856.85599999999999</v>
      </c>
      <c r="E4591" s="6" t="s">
        <v>5889</v>
      </c>
      <c r="F4591" s="6">
        <v>21</v>
      </c>
      <c r="G4591" s="8">
        <f t="shared" si="71"/>
        <v>856.85599999999999</v>
      </c>
    </row>
    <row r="4592" spans="1:7" x14ac:dyDescent="0.3">
      <c r="A4592" s="14" t="str">
        <f>VLOOKUP(B4592,'Relacion codigos'!$A:$B,2,FALSE)</f>
        <v>2164</v>
      </c>
      <c r="B4592" s="6" t="s">
        <v>2356</v>
      </c>
      <c r="C4592" s="6" t="s">
        <v>12769</v>
      </c>
      <c r="D4592" s="24">
        <v>102.51659873520001</v>
      </c>
      <c r="E4592" s="6" t="s">
        <v>5889</v>
      </c>
      <c r="F4592" s="6">
        <v>21</v>
      </c>
      <c r="G4592" s="8">
        <f t="shared" si="71"/>
        <v>102.51659873520001</v>
      </c>
    </row>
    <row r="4593" spans="1:7" x14ac:dyDescent="0.3">
      <c r="A4593" s="14" t="str">
        <f>VLOOKUP(B4593,'Relacion codigos'!$A:$B,2,FALSE)</f>
        <v>8693</v>
      </c>
      <c r="B4593" s="6" t="s">
        <v>2355</v>
      </c>
      <c r="C4593" s="6" t="s">
        <v>11051</v>
      </c>
      <c r="D4593" s="24">
        <v>128.340824672385</v>
      </c>
      <c r="E4593" s="6" t="s">
        <v>5889</v>
      </c>
      <c r="F4593" s="6">
        <v>21</v>
      </c>
      <c r="G4593" s="8">
        <f t="shared" si="71"/>
        <v>128.340824672385</v>
      </c>
    </row>
    <row r="4594" spans="1:7" x14ac:dyDescent="0.3">
      <c r="A4594" s="14" t="str">
        <f>VLOOKUP(B4594,'Relacion codigos'!$A:$B,2,FALSE)</f>
        <v>2165</v>
      </c>
      <c r="B4594" s="6" t="s">
        <v>2358</v>
      </c>
      <c r="C4594" s="6" t="s">
        <v>12770</v>
      </c>
      <c r="D4594" s="24">
        <v>107.2262415276</v>
      </c>
      <c r="E4594" s="6" t="s">
        <v>5889</v>
      </c>
      <c r="F4594" s="6">
        <v>21</v>
      </c>
      <c r="G4594" s="8">
        <f t="shared" si="71"/>
        <v>107.2262415276</v>
      </c>
    </row>
    <row r="4595" spans="1:7" x14ac:dyDescent="0.3">
      <c r="A4595" s="14" t="str">
        <f>VLOOKUP(B4595,'Relacion codigos'!$A:$B,2,FALSE)</f>
        <v>8694</v>
      </c>
      <c r="B4595" s="6" t="s">
        <v>2357</v>
      </c>
      <c r="C4595" s="6" t="s">
        <v>11052</v>
      </c>
      <c r="D4595" s="24">
        <v>129.77194749012</v>
      </c>
      <c r="E4595" s="6" t="s">
        <v>5889</v>
      </c>
      <c r="F4595" s="6">
        <v>21</v>
      </c>
      <c r="G4595" s="8">
        <f t="shared" si="71"/>
        <v>129.77194749012</v>
      </c>
    </row>
    <row r="4596" spans="1:7" x14ac:dyDescent="0.3">
      <c r="A4596" s="14" t="e">
        <f>VLOOKUP(B4596,'Relacion codigos'!$A:$B,2,FALSE)</f>
        <v>#N/A</v>
      </c>
      <c r="B4596" s="6" t="s">
        <v>13652</v>
      </c>
      <c r="C4596" s="6" t="s">
        <v>13653</v>
      </c>
      <c r="D4596" s="24">
        <v>117.94350704759999</v>
      </c>
      <c r="E4596" s="6" t="s">
        <v>5889</v>
      </c>
      <c r="F4596" s="6">
        <v>21</v>
      </c>
      <c r="G4596" s="8">
        <f t="shared" si="71"/>
        <v>117.94350704759999</v>
      </c>
    </row>
    <row r="4597" spans="1:7" x14ac:dyDescent="0.3">
      <c r="A4597" s="14" t="str">
        <f>VLOOKUP(B4597,'Relacion codigos'!$A:$B,2,FALSE)</f>
        <v>2166</v>
      </c>
      <c r="B4597" s="6" t="s">
        <v>2360</v>
      </c>
      <c r="C4597" s="6" t="s">
        <v>12771</v>
      </c>
      <c r="D4597" s="24">
        <v>142.65275810759999</v>
      </c>
      <c r="E4597" s="6" t="s">
        <v>5889</v>
      </c>
      <c r="F4597" s="6">
        <v>21</v>
      </c>
      <c r="G4597" s="8">
        <f t="shared" si="71"/>
        <v>142.65275810759999</v>
      </c>
    </row>
    <row r="4598" spans="1:7" x14ac:dyDescent="0.3">
      <c r="A4598" s="14" t="str">
        <f>VLOOKUP(B4598,'Relacion codigos'!$A:$B,2,FALSE)</f>
        <v>8695</v>
      </c>
      <c r="B4598" s="6" t="s">
        <v>2359</v>
      </c>
      <c r="C4598" s="6" t="s">
        <v>11053</v>
      </c>
      <c r="D4598" s="24">
        <v>176.17311021492</v>
      </c>
      <c r="E4598" s="6" t="s">
        <v>5889</v>
      </c>
      <c r="F4598" s="6">
        <v>21</v>
      </c>
      <c r="G4598" s="8">
        <f t="shared" si="71"/>
        <v>176.17311021492</v>
      </c>
    </row>
    <row r="4599" spans="1:7" x14ac:dyDescent="0.3">
      <c r="A4599" s="14" t="str">
        <f>VLOOKUP(B4599,'Relacion codigos'!$A:$B,2,FALSE)</f>
        <v>2167</v>
      </c>
      <c r="B4599" s="6" t="s">
        <v>2362</v>
      </c>
      <c r="C4599" s="6" t="s">
        <v>12772</v>
      </c>
      <c r="D4599" s="24">
        <v>154.56083090760001</v>
      </c>
      <c r="E4599" s="6" t="s">
        <v>5889</v>
      </c>
      <c r="F4599" s="6">
        <v>21</v>
      </c>
      <c r="G4599" s="8">
        <f t="shared" si="71"/>
        <v>154.56083090760001</v>
      </c>
    </row>
    <row r="4600" spans="1:7" x14ac:dyDescent="0.3">
      <c r="A4600" s="14" t="str">
        <f>VLOOKUP(B4600,'Relacion codigos'!$A:$B,2,FALSE)</f>
        <v>8741</v>
      </c>
      <c r="B4600" s="6" t="s">
        <v>2361</v>
      </c>
      <c r="C4600" s="6" t="s">
        <v>11054</v>
      </c>
      <c r="D4600" s="24">
        <v>200.59676570349001</v>
      </c>
      <c r="E4600" s="6" t="s">
        <v>5889</v>
      </c>
      <c r="F4600" s="6">
        <v>21</v>
      </c>
      <c r="G4600" s="8">
        <f t="shared" si="71"/>
        <v>200.59676570349001</v>
      </c>
    </row>
    <row r="4601" spans="1:7" x14ac:dyDescent="0.3">
      <c r="A4601" s="14" t="str">
        <f>VLOOKUP(B4601,'Relacion codigos'!$A:$B,2,FALSE)</f>
        <v>2390</v>
      </c>
      <c r="B4601" s="6" t="s">
        <v>2364</v>
      </c>
      <c r="C4601" s="6" t="s">
        <v>12773</v>
      </c>
      <c r="D4601" s="24">
        <v>374.61606221519997</v>
      </c>
      <c r="E4601" s="6" t="s">
        <v>5889</v>
      </c>
      <c r="F4601" s="6">
        <v>21</v>
      </c>
      <c r="G4601" s="8">
        <f t="shared" si="71"/>
        <v>374.61606221519997</v>
      </c>
    </row>
    <row r="4602" spans="1:7" x14ac:dyDescent="0.3">
      <c r="A4602" s="14" t="str">
        <f>VLOOKUP(B4602,'Relacion codigos'!$A:$B,2,FALSE)</f>
        <v>8742</v>
      </c>
      <c r="B4602" s="6" t="s">
        <v>2363</v>
      </c>
      <c r="C4602" s="6" t="s">
        <v>11055</v>
      </c>
      <c r="D4602" s="24">
        <v>532.26420709292995</v>
      </c>
      <c r="E4602" s="6" t="s">
        <v>5889</v>
      </c>
      <c r="F4602" s="6">
        <v>21</v>
      </c>
      <c r="G4602" s="8">
        <f t="shared" si="71"/>
        <v>532.26420709292995</v>
      </c>
    </row>
    <row r="4603" spans="1:7" x14ac:dyDescent="0.3">
      <c r="A4603" s="14" t="str">
        <f>VLOOKUP(B4603,'Relacion codigos'!$A:$B,2,FALSE)</f>
        <v>2391</v>
      </c>
      <c r="B4603" s="6" t="s">
        <v>2366</v>
      </c>
      <c r="C4603" s="6" t="s">
        <v>12774</v>
      </c>
      <c r="D4603" s="24">
        <v>450.48239402399997</v>
      </c>
      <c r="E4603" s="6" t="s">
        <v>5889</v>
      </c>
      <c r="F4603" s="6">
        <v>21</v>
      </c>
      <c r="G4603" s="8">
        <f t="shared" si="71"/>
        <v>450.48239402399997</v>
      </c>
    </row>
    <row r="4604" spans="1:7" x14ac:dyDescent="0.3">
      <c r="A4604" s="14" t="str">
        <f>VLOOKUP(B4604,'Relacion codigos'!$A:$B,2,FALSE)</f>
        <v>8743</v>
      </c>
      <c r="B4604" s="6" t="s">
        <v>2365</v>
      </c>
      <c r="C4604" s="6" t="s">
        <v>11056</v>
      </c>
      <c r="D4604" s="24">
        <v>730.4400425673</v>
      </c>
      <c r="E4604" s="6" t="s">
        <v>5889</v>
      </c>
      <c r="F4604" s="6">
        <v>21</v>
      </c>
      <c r="G4604" s="8">
        <f t="shared" si="71"/>
        <v>730.4400425673</v>
      </c>
    </row>
    <row r="4605" spans="1:7" x14ac:dyDescent="0.3">
      <c r="A4605" s="14" t="str">
        <f>VLOOKUP(B4605,'Relacion codigos'!$A:$B,2,FALSE)</f>
        <v>2392</v>
      </c>
      <c r="B4605" s="6" t="s">
        <v>2368</v>
      </c>
      <c r="C4605" s="6" t="s">
        <v>12775</v>
      </c>
      <c r="D4605" s="24">
        <v>717.58046692799996</v>
      </c>
      <c r="E4605" s="6" t="s">
        <v>5889</v>
      </c>
      <c r="F4605" s="6">
        <v>21</v>
      </c>
      <c r="G4605" s="8">
        <f t="shared" si="71"/>
        <v>717.58046692799996</v>
      </c>
    </row>
    <row r="4606" spans="1:7" x14ac:dyDescent="0.3">
      <c r="A4606" s="14" t="str">
        <f>VLOOKUP(B4606,'Relacion codigos'!$A:$B,2,FALSE)</f>
        <v>8744</v>
      </c>
      <c r="B4606" s="6" t="s">
        <v>2367</v>
      </c>
      <c r="C4606" s="6" t="s">
        <v>11057</v>
      </c>
      <c r="D4606" s="24">
        <v>1011.9929673128</v>
      </c>
      <c r="E4606" s="6" t="s">
        <v>5889</v>
      </c>
      <c r="F4606" s="6">
        <v>21</v>
      </c>
      <c r="G4606" s="8">
        <f t="shared" si="71"/>
        <v>1011.9929673128</v>
      </c>
    </row>
    <row r="4607" spans="1:7" x14ac:dyDescent="0.3">
      <c r="A4607" s="14" t="str">
        <f>VLOOKUP(B4607,'Relacion codigos'!$A:$B,2,FALSE)</f>
        <v>2602</v>
      </c>
      <c r="B4607" s="6" t="s">
        <v>2459</v>
      </c>
      <c r="C4607" s="6" t="s">
        <v>1046</v>
      </c>
      <c r="D4607" s="24">
        <v>5725.1160524999996</v>
      </c>
      <c r="E4607" s="6" t="s">
        <v>5889</v>
      </c>
      <c r="F4607" s="6">
        <v>21</v>
      </c>
      <c r="G4607" s="8">
        <f t="shared" si="71"/>
        <v>5725.1160524999996</v>
      </c>
    </row>
    <row r="4608" spans="1:7" x14ac:dyDescent="0.3">
      <c r="A4608" s="14" t="str">
        <f>VLOOKUP(B4608,'Relacion codigos'!$A:$B,2,FALSE)</f>
        <v>2603</v>
      </c>
      <c r="B4608" s="6" t="s">
        <v>2460</v>
      </c>
      <c r="C4608" s="6" t="s">
        <v>1047</v>
      </c>
      <c r="D4608" s="24">
        <v>6429.3828299999996</v>
      </c>
      <c r="E4608" s="6" t="s">
        <v>5889</v>
      </c>
      <c r="F4608" s="6">
        <v>21</v>
      </c>
      <c r="G4608" s="8">
        <f t="shared" si="71"/>
        <v>6429.3828299999996</v>
      </c>
    </row>
    <row r="4609" spans="1:7" x14ac:dyDescent="0.3">
      <c r="A4609" s="14" t="str">
        <f>VLOOKUP(B4609,'Relacion codigos'!$A:$B,2,FALSE)</f>
        <v>2604</v>
      </c>
      <c r="B4609" s="6" t="s">
        <v>2461</v>
      </c>
      <c r="C4609" s="6" t="s">
        <v>1048</v>
      </c>
      <c r="D4609" s="24">
        <v>7629.6690795000004</v>
      </c>
      <c r="E4609" s="6" t="s">
        <v>5889</v>
      </c>
      <c r="F4609" s="6">
        <v>21</v>
      </c>
      <c r="G4609" s="8">
        <f t="shared" si="71"/>
        <v>7629.6690795000004</v>
      </c>
    </row>
    <row r="4610" spans="1:7" x14ac:dyDescent="0.3">
      <c r="A4610" s="14" t="str">
        <f>VLOOKUP(B4610,'Relacion codigos'!$A:$B,2,FALSE)</f>
        <v>2605</v>
      </c>
      <c r="B4610" s="6" t="s">
        <v>2462</v>
      </c>
      <c r="C4610" s="6" t="s">
        <v>1049</v>
      </c>
      <c r="D4610" s="24">
        <v>9086.7262785000003</v>
      </c>
      <c r="E4610" s="6" t="s">
        <v>5889</v>
      </c>
      <c r="F4610" s="6">
        <v>21</v>
      </c>
      <c r="G4610" s="8">
        <f t="shared" ref="G4610:G4673" si="72">IF(E4610="Dolares",D4610*$G$1,D4610)</f>
        <v>9086.7262785000003</v>
      </c>
    </row>
    <row r="4611" spans="1:7" x14ac:dyDescent="0.3">
      <c r="A4611" s="14" t="str">
        <f>VLOOKUP(B4611,'Relacion codigos'!$A:$B,2,FALSE)</f>
        <v>2601</v>
      </c>
      <c r="B4611" s="6" t="s">
        <v>2463</v>
      </c>
      <c r="C4611" s="6" t="s">
        <v>1050</v>
      </c>
      <c r="D4611" s="24">
        <v>5204.8347585000001</v>
      </c>
      <c r="E4611" s="6" t="s">
        <v>5889</v>
      </c>
      <c r="F4611" s="6">
        <v>21</v>
      </c>
      <c r="G4611" s="8">
        <f t="shared" si="72"/>
        <v>5204.8347585000001</v>
      </c>
    </row>
    <row r="4612" spans="1:7" x14ac:dyDescent="0.3">
      <c r="A4612" s="14" t="e">
        <f>VLOOKUP(B4612,'Relacion codigos'!$A:$B,2,FALSE)</f>
        <v>#N/A</v>
      </c>
      <c r="B4612" s="6" t="s">
        <v>13436</v>
      </c>
      <c r="C4612" s="6" t="s">
        <v>13437</v>
      </c>
      <c r="D4612" s="24">
        <v>643.05627909508098</v>
      </c>
      <c r="E4612" s="6" t="s">
        <v>5889</v>
      </c>
      <c r="F4612" s="6">
        <v>21</v>
      </c>
      <c r="G4612" s="8">
        <f t="shared" si="72"/>
        <v>643.05627909508098</v>
      </c>
    </row>
    <row r="4613" spans="1:7" x14ac:dyDescent="0.3">
      <c r="A4613" s="14" t="e">
        <f>VLOOKUP(B4613,'Relacion codigos'!$A:$B,2,FALSE)</f>
        <v>#N/A</v>
      </c>
      <c r="B4613" s="6" t="s">
        <v>13438</v>
      </c>
      <c r="C4613" s="6" t="s">
        <v>13439</v>
      </c>
      <c r="D4613" s="24">
        <v>826.79356390443695</v>
      </c>
      <c r="E4613" s="6" t="s">
        <v>5889</v>
      </c>
      <c r="F4613" s="6">
        <v>21</v>
      </c>
      <c r="G4613" s="8">
        <f t="shared" si="72"/>
        <v>826.79356390443695</v>
      </c>
    </row>
    <row r="4614" spans="1:7" x14ac:dyDescent="0.3">
      <c r="A4614" s="14" t="e">
        <f>VLOOKUP(B4614,'Relacion codigos'!$A:$B,2,FALSE)</f>
        <v>#N/A</v>
      </c>
      <c r="B4614" s="6" t="s">
        <v>13440</v>
      </c>
      <c r="C4614" s="6" t="s">
        <v>13441</v>
      </c>
      <c r="D4614" s="24">
        <v>1369.0932908715599</v>
      </c>
      <c r="E4614" s="6" t="s">
        <v>5889</v>
      </c>
      <c r="F4614" s="6">
        <v>21</v>
      </c>
      <c r="G4614" s="8">
        <f t="shared" si="72"/>
        <v>1369.0932908715599</v>
      </c>
    </row>
    <row r="4615" spans="1:7" x14ac:dyDescent="0.3">
      <c r="A4615" s="14" t="e">
        <f>VLOOKUP(B4615,'Relacion codigos'!$A:$B,2,FALSE)</f>
        <v>#N/A</v>
      </c>
      <c r="B4615" s="6" t="s">
        <v>10190</v>
      </c>
      <c r="C4615" s="6" t="s">
        <v>10191</v>
      </c>
      <c r="D4615" s="24">
        <v>5774.4860852250004</v>
      </c>
      <c r="E4615" s="6" t="s">
        <v>5889</v>
      </c>
      <c r="F4615" s="6">
        <v>21</v>
      </c>
      <c r="G4615" s="8">
        <f t="shared" si="72"/>
        <v>5774.4860852250004</v>
      </c>
    </row>
    <row r="4616" spans="1:7" x14ac:dyDescent="0.3">
      <c r="A4616" s="14" t="e">
        <f>VLOOKUP(B4616,'Relacion codigos'!$A:$B,2,FALSE)</f>
        <v>#N/A</v>
      </c>
      <c r="B4616" s="6" t="s">
        <v>10192</v>
      </c>
      <c r="C4616" s="6" t="s">
        <v>10193</v>
      </c>
      <c r="D4616" s="24">
        <v>3932.8235066249999</v>
      </c>
      <c r="E4616" s="6" t="s">
        <v>5889</v>
      </c>
      <c r="F4616" s="6">
        <v>21</v>
      </c>
      <c r="G4616" s="8">
        <f t="shared" si="72"/>
        <v>3932.8235066249999</v>
      </c>
    </row>
    <row r="4617" spans="1:7" x14ac:dyDescent="0.3">
      <c r="A4617" s="14" t="str">
        <f>VLOOKUP(B4617,'Relacion codigos'!$A:$B,2,FALSE)</f>
        <v>9104</v>
      </c>
      <c r="B4617" s="6" t="s">
        <v>2308</v>
      </c>
      <c r="C4617" s="6" t="s">
        <v>1164</v>
      </c>
      <c r="D4617" s="24">
        <v>2719.1347808625001</v>
      </c>
      <c r="E4617" s="6" t="s">
        <v>5889</v>
      </c>
      <c r="F4617" s="6">
        <v>21</v>
      </c>
      <c r="G4617" s="8">
        <f t="shared" si="72"/>
        <v>2719.1347808625001</v>
      </c>
    </row>
    <row r="4618" spans="1:7" x14ac:dyDescent="0.3">
      <c r="A4618" s="14" t="str">
        <f>VLOOKUP(B4618,'Relacion codigos'!$A:$B,2,FALSE)</f>
        <v>9102</v>
      </c>
      <c r="B4618" s="6" t="s">
        <v>2309</v>
      </c>
      <c r="C4618" s="6" t="s">
        <v>1165</v>
      </c>
      <c r="D4618" s="24">
        <v>1932.6235982625001</v>
      </c>
      <c r="E4618" s="6" t="s">
        <v>5889</v>
      </c>
      <c r="F4618" s="6">
        <v>21</v>
      </c>
      <c r="G4618" s="8">
        <f t="shared" si="72"/>
        <v>1932.6235982625001</v>
      </c>
    </row>
    <row r="4619" spans="1:7" x14ac:dyDescent="0.3">
      <c r="A4619" s="14" t="str">
        <f>VLOOKUP(B4619,'Relacion codigos'!$A:$B,2,FALSE)</f>
        <v>9103</v>
      </c>
      <c r="B4619" s="6" t="s">
        <v>2310</v>
      </c>
      <c r="C4619" s="6" t="s">
        <v>1166</v>
      </c>
      <c r="D4619" s="24">
        <v>2264.1631798499998</v>
      </c>
      <c r="E4619" s="6" t="s">
        <v>5889</v>
      </c>
      <c r="F4619" s="6">
        <v>21</v>
      </c>
      <c r="G4619" s="8">
        <f t="shared" si="72"/>
        <v>2264.1631798499998</v>
      </c>
    </row>
    <row r="4620" spans="1:7" x14ac:dyDescent="0.3">
      <c r="A4620" s="14" t="e">
        <f>VLOOKUP(B4620,'Relacion codigos'!$A:$B,2,FALSE)</f>
        <v>#N/A</v>
      </c>
      <c r="B4620" s="6" t="s">
        <v>12281</v>
      </c>
      <c r="C4620" s="6" t="s">
        <v>12282</v>
      </c>
      <c r="D4620" s="24">
        <v>3.5428769999999998</v>
      </c>
      <c r="E4620" s="6" t="s">
        <v>5887</v>
      </c>
      <c r="F4620" s="6">
        <v>21</v>
      </c>
      <c r="G4620" s="8">
        <f t="shared" si="72"/>
        <v>5509.1737349999994</v>
      </c>
    </row>
    <row r="4621" spans="1:7" x14ac:dyDescent="0.3">
      <c r="A4621" s="14" t="e">
        <f>VLOOKUP(B4621,'Relacion codigos'!$A:$B,2,FALSE)</f>
        <v>#N/A</v>
      </c>
      <c r="B4621" s="6" t="s">
        <v>12283</v>
      </c>
      <c r="C4621" s="6" t="s">
        <v>12284</v>
      </c>
      <c r="D4621" s="24">
        <v>3.5428769999999998</v>
      </c>
      <c r="E4621" s="6" t="s">
        <v>5887</v>
      </c>
      <c r="F4621" s="6">
        <v>21</v>
      </c>
      <c r="G4621" s="8">
        <f t="shared" si="72"/>
        <v>5509.1737349999994</v>
      </c>
    </row>
    <row r="4622" spans="1:7" x14ac:dyDescent="0.3">
      <c r="A4622" s="14" t="str">
        <f>VLOOKUP(B4622,'Relacion codigos'!$A:$B,2,FALSE)</f>
        <v>1304</v>
      </c>
      <c r="B4622" s="6" t="s">
        <v>2265</v>
      </c>
      <c r="C4622" s="6" t="s">
        <v>828</v>
      </c>
      <c r="D4622" s="24">
        <v>403.35279075</v>
      </c>
      <c r="E4622" s="6" t="s">
        <v>5889</v>
      </c>
      <c r="F4622" s="6">
        <v>21</v>
      </c>
      <c r="G4622" s="8">
        <f t="shared" si="72"/>
        <v>403.35279075</v>
      </c>
    </row>
    <row r="4623" spans="1:7" x14ac:dyDescent="0.3">
      <c r="A4623" s="14" t="str">
        <f>VLOOKUP(B4623,'Relacion codigos'!$A:$B,2,FALSE)</f>
        <v>NUEVO</v>
      </c>
      <c r="B4623" s="6" t="s">
        <v>8772</v>
      </c>
      <c r="C4623" s="6" t="s">
        <v>8773</v>
      </c>
      <c r="D4623" s="24">
        <v>1136.65958826875</v>
      </c>
      <c r="E4623" s="6" t="s">
        <v>5889</v>
      </c>
      <c r="F4623" s="6">
        <v>21</v>
      </c>
      <c r="G4623" s="8">
        <f t="shared" si="72"/>
        <v>1136.65958826875</v>
      </c>
    </row>
    <row r="4624" spans="1:7" x14ac:dyDescent="0.3">
      <c r="A4624" s="14" t="str">
        <f>VLOOKUP(B4624,'Relacion codigos'!$A:$B,2,FALSE)</f>
        <v>NUEVO</v>
      </c>
      <c r="B4624" s="6" t="s">
        <v>8770</v>
      </c>
      <c r="C4624" s="6" t="s">
        <v>8771</v>
      </c>
      <c r="D4624" s="24">
        <v>740.53463347499996</v>
      </c>
      <c r="E4624" s="6" t="s">
        <v>5889</v>
      </c>
      <c r="F4624" s="6">
        <v>21</v>
      </c>
      <c r="G4624" s="8">
        <f t="shared" si="72"/>
        <v>740.53463347499996</v>
      </c>
    </row>
    <row r="4625" spans="1:7" x14ac:dyDescent="0.3">
      <c r="A4625" s="14" t="str">
        <f>VLOOKUP(B4625,'Relacion codigos'!$A:$B,2,FALSE)</f>
        <v>589</v>
      </c>
      <c r="B4625" s="6" t="s">
        <v>2266</v>
      </c>
      <c r="C4625" s="6" t="s">
        <v>829</v>
      </c>
      <c r="D4625" s="24">
        <v>249.5376625625</v>
      </c>
      <c r="E4625" s="6" t="s">
        <v>5889</v>
      </c>
      <c r="F4625" s="6">
        <v>21</v>
      </c>
      <c r="G4625" s="8">
        <f t="shared" si="72"/>
        <v>249.5376625625</v>
      </c>
    </row>
    <row r="4626" spans="1:7" x14ac:dyDescent="0.3">
      <c r="A4626" s="14" t="str">
        <f>VLOOKUP(B4626,'Relacion codigos'!$A:$B,2,FALSE)</f>
        <v>588</v>
      </c>
      <c r="B4626" s="6" t="s">
        <v>2267</v>
      </c>
      <c r="C4626" s="6" t="s">
        <v>830</v>
      </c>
      <c r="D4626" s="24">
        <v>237.47662323124999</v>
      </c>
      <c r="E4626" s="6" t="s">
        <v>5889</v>
      </c>
      <c r="F4626" s="6">
        <v>21</v>
      </c>
      <c r="G4626" s="8">
        <f t="shared" si="72"/>
        <v>237.47662323124999</v>
      </c>
    </row>
    <row r="4627" spans="1:7" x14ac:dyDescent="0.3">
      <c r="A4627" s="14" t="str">
        <f>VLOOKUP(B4627,'Relacion codigos'!$A:$B,2,FALSE)</f>
        <v>590</v>
      </c>
      <c r="B4627" s="6" t="s">
        <v>2268</v>
      </c>
      <c r="C4627" s="6" t="s">
        <v>831</v>
      </c>
      <c r="D4627" s="24">
        <v>319.73523391875</v>
      </c>
      <c r="E4627" s="6" t="s">
        <v>5889</v>
      </c>
      <c r="F4627" s="6">
        <v>21</v>
      </c>
      <c r="G4627" s="8">
        <f t="shared" si="72"/>
        <v>319.73523391875</v>
      </c>
    </row>
    <row r="4628" spans="1:7" x14ac:dyDescent="0.3">
      <c r="A4628" s="14" t="str">
        <f>VLOOKUP(B4628,'Relacion codigos'!$A:$B,2,FALSE)</f>
        <v>2597</v>
      </c>
      <c r="B4628" s="6" t="s">
        <v>2464</v>
      </c>
      <c r="C4628" s="6" t="s">
        <v>1051</v>
      </c>
      <c r="D4628" s="24">
        <v>4508.6552549999997</v>
      </c>
      <c r="E4628" s="6" t="s">
        <v>5889</v>
      </c>
      <c r="F4628" s="6">
        <v>21</v>
      </c>
      <c r="G4628" s="8">
        <f t="shared" si="72"/>
        <v>4508.6552549999997</v>
      </c>
    </row>
    <row r="4629" spans="1:7" x14ac:dyDescent="0.3">
      <c r="A4629" s="14" t="str">
        <f>VLOOKUP(B4629,'Relacion codigos'!$A:$B,2,FALSE)</f>
        <v>2598</v>
      </c>
      <c r="B4629" s="6" t="s">
        <v>2465</v>
      </c>
      <c r="C4629" s="6" t="s">
        <v>1052</v>
      </c>
      <c r="D4629" s="24">
        <v>5131.3753530000004</v>
      </c>
      <c r="E4629" s="6" t="s">
        <v>5889</v>
      </c>
      <c r="F4629" s="6">
        <v>21</v>
      </c>
      <c r="G4629" s="8">
        <f t="shared" si="72"/>
        <v>5131.3753530000004</v>
      </c>
    </row>
    <row r="4630" spans="1:7" x14ac:dyDescent="0.3">
      <c r="A4630" s="14" t="str">
        <f>VLOOKUP(B4630,'Relacion codigos'!$A:$B,2,FALSE)</f>
        <v>2599</v>
      </c>
      <c r="B4630" s="6" t="s">
        <v>2466</v>
      </c>
      <c r="C4630" s="6" t="s">
        <v>1053</v>
      </c>
      <c r="D4630" s="24">
        <v>5990.6482155000003</v>
      </c>
      <c r="E4630" s="6" t="s">
        <v>5889</v>
      </c>
      <c r="F4630" s="6">
        <v>21</v>
      </c>
      <c r="G4630" s="8">
        <f t="shared" si="72"/>
        <v>5990.6482155000003</v>
      </c>
    </row>
    <row r="4631" spans="1:7" x14ac:dyDescent="0.3">
      <c r="A4631" s="14" t="str">
        <f>VLOOKUP(B4631,'Relacion codigos'!$A:$B,2,FALSE)</f>
        <v>2600</v>
      </c>
      <c r="B4631" s="6" t="s">
        <v>2467</v>
      </c>
      <c r="C4631" s="6" t="s">
        <v>1054</v>
      </c>
      <c r="D4631" s="24">
        <v>7715.2593960000004</v>
      </c>
      <c r="E4631" s="6" t="s">
        <v>5889</v>
      </c>
      <c r="F4631" s="6">
        <v>21</v>
      </c>
      <c r="G4631" s="8">
        <f t="shared" si="72"/>
        <v>7715.2593960000004</v>
      </c>
    </row>
    <row r="4632" spans="1:7" x14ac:dyDescent="0.3">
      <c r="A4632" s="14" t="str">
        <f>VLOOKUP(B4632,'Relacion codigos'!$A:$B,2,FALSE)</f>
        <v>8006</v>
      </c>
      <c r="B4632" s="6" t="s">
        <v>2468</v>
      </c>
      <c r="C4632" s="6" t="s">
        <v>14027</v>
      </c>
      <c r="D4632" s="24">
        <v>15149.4860205</v>
      </c>
      <c r="E4632" s="6" t="s">
        <v>5889</v>
      </c>
      <c r="F4632" s="6">
        <v>21</v>
      </c>
      <c r="G4632" s="8">
        <f t="shared" si="72"/>
        <v>15149.4860205</v>
      </c>
    </row>
    <row r="4633" spans="1:7" x14ac:dyDescent="0.3">
      <c r="A4633" s="14" t="str">
        <f>VLOOKUP(B4633,'Relacion codigos'!$A:$B,2,FALSE)</f>
        <v>2596</v>
      </c>
      <c r="B4633" s="6" t="s">
        <v>2469</v>
      </c>
      <c r="C4633" s="6" t="s">
        <v>1055</v>
      </c>
      <c r="D4633" s="24">
        <v>3804.3884775000001</v>
      </c>
      <c r="E4633" s="6" t="s">
        <v>5889</v>
      </c>
      <c r="F4633" s="6">
        <v>21</v>
      </c>
      <c r="G4633" s="8">
        <f t="shared" si="72"/>
        <v>3804.3884775000001</v>
      </c>
    </row>
    <row r="4634" spans="1:7" x14ac:dyDescent="0.3">
      <c r="A4634" s="14" t="e">
        <f>VLOOKUP(B4634,'Relacion codigos'!$A:$B,2,FALSE)</f>
        <v>#N/A</v>
      </c>
      <c r="B4634" s="6" t="s">
        <v>13753</v>
      </c>
      <c r="C4634" s="6" t="s">
        <v>13754</v>
      </c>
      <c r="D4634" s="24">
        <v>20786.315998499998</v>
      </c>
      <c r="E4634" s="6" t="s">
        <v>5889</v>
      </c>
      <c r="F4634" s="6">
        <v>21</v>
      </c>
      <c r="G4634" s="8">
        <f t="shared" si="72"/>
        <v>20786.315998499998</v>
      </c>
    </row>
    <row r="4635" spans="1:7" x14ac:dyDescent="0.3">
      <c r="A4635" s="14" t="str">
        <f>VLOOKUP(B4635,'Relacion codigos'!$A:$B,2,FALSE)</f>
        <v>1242</v>
      </c>
      <c r="B4635" s="6" t="s">
        <v>5655</v>
      </c>
      <c r="C4635" s="6" t="s">
        <v>832</v>
      </c>
      <c r="D4635" s="24">
        <v>40.811438506889303</v>
      </c>
      <c r="E4635" s="6" t="s">
        <v>5889</v>
      </c>
      <c r="F4635" s="6">
        <v>21</v>
      </c>
      <c r="G4635" s="8">
        <f t="shared" si="72"/>
        <v>40.811438506889303</v>
      </c>
    </row>
    <row r="4636" spans="1:7" x14ac:dyDescent="0.3">
      <c r="A4636" s="14" t="e">
        <f>VLOOKUP(B4636,'Relacion codigos'!$A:$B,2,FALSE)</f>
        <v>#N/A</v>
      </c>
      <c r="B4636" s="6" t="s">
        <v>8964</v>
      </c>
      <c r="C4636" s="6" t="s">
        <v>9571</v>
      </c>
      <c r="D4636" s="24">
        <v>0.76783199999999996</v>
      </c>
      <c r="E4636" s="6" t="s">
        <v>5887</v>
      </c>
      <c r="F4636" s="6">
        <v>21</v>
      </c>
      <c r="G4636" s="8">
        <f t="shared" si="72"/>
        <v>1193.97876</v>
      </c>
    </row>
    <row r="4637" spans="1:7" x14ac:dyDescent="0.3">
      <c r="A4637" s="14" t="e">
        <f>VLOOKUP(B4637,'Relacion codigos'!$A:$B,2,FALSE)</f>
        <v>#N/A</v>
      </c>
      <c r="B4637" s="6" t="s">
        <v>8965</v>
      </c>
      <c r="C4637" s="6" t="s">
        <v>11865</v>
      </c>
      <c r="D4637" s="24">
        <v>0.774787</v>
      </c>
      <c r="E4637" s="6" t="s">
        <v>5887</v>
      </c>
      <c r="F4637" s="6">
        <v>21</v>
      </c>
      <c r="G4637" s="8">
        <f t="shared" si="72"/>
        <v>1204.7937850000001</v>
      </c>
    </row>
    <row r="4638" spans="1:7" x14ac:dyDescent="0.3">
      <c r="A4638" s="14" t="e">
        <f>VLOOKUP(B4638,'Relacion codigos'!$A:$B,2,FALSE)</f>
        <v>#N/A</v>
      </c>
      <c r="B4638" s="6" t="s">
        <v>13840</v>
      </c>
      <c r="C4638" s="6" t="s">
        <v>13841</v>
      </c>
      <c r="D4638" s="24">
        <v>10339.2195426709</v>
      </c>
      <c r="E4638" s="6" t="s">
        <v>5889</v>
      </c>
      <c r="F4638" s="6">
        <v>21</v>
      </c>
      <c r="G4638" s="8">
        <f t="shared" si="72"/>
        <v>10339.2195426709</v>
      </c>
    </row>
    <row r="4639" spans="1:7" x14ac:dyDescent="0.3">
      <c r="A4639" s="14" t="str">
        <f>VLOOKUP(B4639,'Relacion codigos'!$A:$B,2,FALSE)</f>
        <v>2789</v>
      </c>
      <c r="B4639" s="6" t="s">
        <v>1434</v>
      </c>
      <c r="C4639" s="6" t="s">
        <v>1336</v>
      </c>
      <c r="D4639" s="24">
        <v>914.22709950000001</v>
      </c>
      <c r="E4639" s="6" t="s">
        <v>5889</v>
      </c>
      <c r="F4639" s="6">
        <v>21</v>
      </c>
      <c r="G4639" s="8">
        <f t="shared" si="72"/>
        <v>914.22709950000001</v>
      </c>
    </row>
    <row r="4640" spans="1:7" x14ac:dyDescent="0.3">
      <c r="A4640" s="14" t="e">
        <f>VLOOKUP(B4640,'Relacion codigos'!$A:$B,2,FALSE)</f>
        <v>#N/A</v>
      </c>
      <c r="B4640" s="6" t="s">
        <v>13592</v>
      </c>
      <c r="C4640" s="6" t="s">
        <v>13593</v>
      </c>
      <c r="D4640" s="24">
        <v>34256.463519340999</v>
      </c>
      <c r="E4640" s="6" t="s">
        <v>5889</v>
      </c>
      <c r="F4640" s="6">
        <v>21</v>
      </c>
      <c r="G4640" s="8">
        <f t="shared" si="72"/>
        <v>34256.463519340999</v>
      </c>
    </row>
    <row r="4641" spans="1:7" x14ac:dyDescent="0.3">
      <c r="A4641" s="14" t="str">
        <f>VLOOKUP(B4641,'Relacion codigos'!$A:$B,2,FALSE)</f>
        <v>612</v>
      </c>
      <c r="B4641" s="6" t="s">
        <v>3335</v>
      </c>
      <c r="C4641" s="6" t="s">
        <v>833</v>
      </c>
      <c r="D4641" s="24">
        <v>12508.358850000001</v>
      </c>
      <c r="E4641" s="6" t="s">
        <v>5889</v>
      </c>
      <c r="F4641" s="6">
        <v>21</v>
      </c>
      <c r="G4641" s="8">
        <f t="shared" si="72"/>
        <v>12508.358850000001</v>
      </c>
    </row>
    <row r="4642" spans="1:7" x14ac:dyDescent="0.3">
      <c r="A4642" s="14" t="str">
        <f>VLOOKUP(B4642,'Relacion codigos'!$A:$B,2,FALSE)</f>
        <v>6277</v>
      </c>
      <c r="B4642" s="6" t="s">
        <v>2498</v>
      </c>
      <c r="C4642" s="6" t="s">
        <v>1056</v>
      </c>
      <c r="D4642" s="24">
        <v>1029.3399999999999</v>
      </c>
      <c r="E4642" s="6" t="s">
        <v>5889</v>
      </c>
      <c r="F4642" s="6">
        <v>21</v>
      </c>
      <c r="G4642" s="8">
        <f t="shared" si="72"/>
        <v>1029.3399999999999</v>
      </c>
    </row>
    <row r="4643" spans="1:7" x14ac:dyDescent="0.3">
      <c r="A4643" s="14" t="str">
        <f>VLOOKUP(B4643,'Relacion codigos'!$A:$B,2,FALSE)</f>
        <v>8414</v>
      </c>
      <c r="B4643" s="6" t="s">
        <v>2499</v>
      </c>
      <c r="C4643" s="6" t="s">
        <v>1057</v>
      </c>
      <c r="D4643" s="24">
        <v>2183.87</v>
      </c>
      <c r="E4643" s="6" t="s">
        <v>5889</v>
      </c>
      <c r="F4643" s="6">
        <v>21</v>
      </c>
      <c r="G4643" s="8">
        <f t="shared" si="72"/>
        <v>2183.87</v>
      </c>
    </row>
    <row r="4644" spans="1:7" x14ac:dyDescent="0.3">
      <c r="A4644" s="14" t="str">
        <f>VLOOKUP(B4644,'Relacion codigos'!$A:$B,2,FALSE)</f>
        <v>6278</v>
      </c>
      <c r="B4644" s="6" t="s">
        <v>2501</v>
      </c>
      <c r="C4644" s="6" t="s">
        <v>1058</v>
      </c>
      <c r="D4644" s="24">
        <v>1550.9649999999999</v>
      </c>
      <c r="E4644" s="6" t="s">
        <v>5889</v>
      </c>
      <c r="F4644" s="6">
        <v>21</v>
      </c>
      <c r="G4644" s="8">
        <f t="shared" si="72"/>
        <v>1550.9649999999999</v>
      </c>
    </row>
    <row r="4645" spans="1:7" x14ac:dyDescent="0.3">
      <c r="A4645" s="14" t="str">
        <f>VLOOKUP(B4645,'Relacion codigos'!$A:$B,2,FALSE)</f>
        <v>781</v>
      </c>
      <c r="B4645" s="6" t="s">
        <v>2500</v>
      </c>
      <c r="C4645" s="6" t="s">
        <v>9529</v>
      </c>
      <c r="D4645" s="24">
        <v>3504.0681</v>
      </c>
      <c r="E4645" s="6" t="s">
        <v>5889</v>
      </c>
      <c r="F4645" s="6">
        <v>21</v>
      </c>
      <c r="G4645" s="8">
        <f t="shared" si="72"/>
        <v>3504.0681</v>
      </c>
    </row>
    <row r="4646" spans="1:7" x14ac:dyDescent="0.3">
      <c r="A4646" s="14" t="str">
        <f>VLOOKUP(B4646,'Relacion codigos'!$A:$B,2,FALSE)</f>
        <v>6631</v>
      </c>
      <c r="B4646" s="6" t="s">
        <v>4289</v>
      </c>
      <c r="C4646" s="6" t="s">
        <v>834</v>
      </c>
      <c r="D4646" s="24">
        <v>3999.8954496338101</v>
      </c>
      <c r="E4646" s="6" t="s">
        <v>5889</v>
      </c>
      <c r="F4646" s="6">
        <v>21</v>
      </c>
      <c r="G4646" s="8">
        <f t="shared" si="72"/>
        <v>3999.8954496338101</v>
      </c>
    </row>
    <row r="4647" spans="1:7" x14ac:dyDescent="0.3">
      <c r="A4647" s="14" t="e">
        <f>VLOOKUP(B4647,'Relacion codigos'!$A:$B,2,FALSE)</f>
        <v>#N/A</v>
      </c>
      <c r="B4647" s="6" t="s">
        <v>8808</v>
      </c>
      <c r="C4647" s="6" t="s">
        <v>8809</v>
      </c>
      <c r="D4647" s="24">
        <v>43.232280000000003</v>
      </c>
      <c r="E4647" s="6" t="s">
        <v>5887</v>
      </c>
      <c r="F4647" s="6">
        <v>21</v>
      </c>
      <c r="G4647" s="8">
        <f t="shared" si="72"/>
        <v>67226.195400000011</v>
      </c>
    </row>
    <row r="4648" spans="1:7" x14ac:dyDescent="0.3">
      <c r="A4648" s="14" t="e">
        <f>VLOOKUP(B4648,'Relacion codigos'!$A:$B,2,FALSE)</f>
        <v>#N/A</v>
      </c>
      <c r="B4648" s="6" t="s">
        <v>9903</v>
      </c>
      <c r="C4648" s="6" t="s">
        <v>9904</v>
      </c>
      <c r="D4648" s="24">
        <v>77842.400597</v>
      </c>
      <c r="E4648" s="6" t="s">
        <v>5889</v>
      </c>
      <c r="F4648" s="6">
        <v>21</v>
      </c>
      <c r="G4648" s="8">
        <f t="shared" si="72"/>
        <v>77842.400597</v>
      </c>
    </row>
    <row r="4649" spans="1:7" x14ac:dyDescent="0.3">
      <c r="A4649" s="14" t="str">
        <f>VLOOKUP(B4649,'Relacion codigos'!$A:$B,2,FALSE)</f>
        <v>9128</v>
      </c>
      <c r="B4649" s="6" t="s">
        <v>3337</v>
      </c>
      <c r="C4649" s="6" t="s">
        <v>1183</v>
      </c>
      <c r="D4649" s="24">
        <v>215546.80056</v>
      </c>
      <c r="E4649" s="6" t="s">
        <v>5889</v>
      </c>
      <c r="F4649" s="6">
        <v>21</v>
      </c>
      <c r="G4649" s="8">
        <f t="shared" si="72"/>
        <v>215546.80056</v>
      </c>
    </row>
    <row r="4650" spans="1:7" x14ac:dyDescent="0.3">
      <c r="A4650" s="14" t="e">
        <f>VLOOKUP(B4650,'Relacion codigos'!$A:$B,2,FALSE)</f>
        <v>#N/A</v>
      </c>
      <c r="B4650" s="6" t="s">
        <v>8781</v>
      </c>
      <c r="C4650" s="6" t="s">
        <v>11385</v>
      </c>
      <c r="D4650" s="24">
        <v>123687.72</v>
      </c>
      <c r="E4650" s="6" t="s">
        <v>5889</v>
      </c>
      <c r="F4650" s="6">
        <v>21</v>
      </c>
      <c r="G4650" s="8">
        <f t="shared" si="72"/>
        <v>123687.72</v>
      </c>
    </row>
    <row r="4651" spans="1:7" x14ac:dyDescent="0.3">
      <c r="A4651" s="14" t="str">
        <f>VLOOKUP(B4651,'Relacion codigos'!$A:$B,2,FALSE)</f>
        <v>8837</v>
      </c>
      <c r="B4651" s="6" t="s">
        <v>3338</v>
      </c>
      <c r="C4651" s="6" t="s">
        <v>1131</v>
      </c>
      <c r="D4651" s="24">
        <v>140613.408</v>
      </c>
      <c r="E4651" s="6" t="s">
        <v>5889</v>
      </c>
      <c r="F4651" s="6">
        <v>21</v>
      </c>
      <c r="G4651" s="8">
        <f t="shared" si="72"/>
        <v>140613.408</v>
      </c>
    </row>
    <row r="4652" spans="1:7" x14ac:dyDescent="0.3">
      <c r="A4652" s="14" t="str">
        <f>VLOOKUP(B4652,'Relacion codigos'!$A:$B,2,FALSE)</f>
        <v>8836</v>
      </c>
      <c r="B4652" s="6" t="s">
        <v>3339</v>
      </c>
      <c r="C4652" s="6" t="s">
        <v>1132</v>
      </c>
      <c r="D4652" s="24">
        <v>117177.84</v>
      </c>
      <c r="E4652" s="6" t="s">
        <v>5889</v>
      </c>
      <c r="F4652" s="6">
        <v>21</v>
      </c>
      <c r="G4652" s="8">
        <f t="shared" si="72"/>
        <v>117177.84</v>
      </c>
    </row>
    <row r="4653" spans="1:7" x14ac:dyDescent="0.3">
      <c r="A4653" s="14" t="e">
        <f>VLOOKUP(B4653,'Relacion codigos'!$A:$B,2,FALSE)</f>
        <v>#N/A</v>
      </c>
      <c r="B4653" s="6" t="s">
        <v>8782</v>
      </c>
      <c r="C4653" s="6" t="s">
        <v>8783</v>
      </c>
      <c r="D4653" s="24">
        <v>117177.84</v>
      </c>
      <c r="E4653" s="6" t="s">
        <v>5889</v>
      </c>
      <c r="F4653" s="6">
        <v>21</v>
      </c>
      <c r="G4653" s="8">
        <f t="shared" si="72"/>
        <v>117177.84</v>
      </c>
    </row>
    <row r="4654" spans="1:7" x14ac:dyDescent="0.3">
      <c r="A4654" s="14" t="str">
        <f>VLOOKUP(B4654,'Relacion codigos'!$A:$B,2,FALSE)</f>
        <v>9120</v>
      </c>
      <c r="B4654" s="6" t="s">
        <v>3341</v>
      </c>
      <c r="C4654" s="6" t="s">
        <v>1181</v>
      </c>
      <c r="D4654" s="24">
        <v>145821.31200000001</v>
      </c>
      <c r="E4654" s="6" t="s">
        <v>5889</v>
      </c>
      <c r="F4654" s="6">
        <v>21</v>
      </c>
      <c r="G4654" s="8">
        <f t="shared" si="72"/>
        <v>145821.31200000001</v>
      </c>
    </row>
    <row r="4655" spans="1:7" x14ac:dyDescent="0.3">
      <c r="A4655" s="14" t="str">
        <f>VLOOKUP(B4655,'Relacion codigos'!$A:$B,2,FALSE)</f>
        <v>NUEVO</v>
      </c>
      <c r="B4655" s="6" t="s">
        <v>8754</v>
      </c>
      <c r="C4655" s="6" t="s">
        <v>8755</v>
      </c>
      <c r="D4655" s="24">
        <v>37652.621791199999</v>
      </c>
      <c r="E4655" s="6" t="s">
        <v>5889</v>
      </c>
      <c r="F4655" s="6">
        <v>21</v>
      </c>
      <c r="G4655" s="8">
        <f t="shared" si="72"/>
        <v>37652.621791199999</v>
      </c>
    </row>
    <row r="4656" spans="1:7" x14ac:dyDescent="0.3">
      <c r="B4656" s="6" t="s">
        <v>8756</v>
      </c>
      <c r="C4656" s="6" t="s">
        <v>8757</v>
      </c>
      <c r="D4656" s="24">
        <v>4317.6340934999998</v>
      </c>
      <c r="E4656" s="6" t="s">
        <v>5889</v>
      </c>
      <c r="F4656" s="6">
        <v>21</v>
      </c>
      <c r="G4656" s="8">
        <f t="shared" si="72"/>
        <v>4317.6340934999998</v>
      </c>
    </row>
    <row r="4657" spans="2:7" x14ac:dyDescent="0.3">
      <c r="B4657" s="6" t="s">
        <v>3550</v>
      </c>
      <c r="C4657" s="6" t="s">
        <v>835</v>
      </c>
      <c r="D4657" s="24">
        <v>674.49951659999999</v>
      </c>
      <c r="E4657" s="6" t="s">
        <v>5889</v>
      </c>
      <c r="F4657" s="6">
        <v>21</v>
      </c>
      <c r="G4657" s="8">
        <f t="shared" si="72"/>
        <v>674.49951659999999</v>
      </c>
    </row>
    <row r="4658" spans="2:7" x14ac:dyDescent="0.3">
      <c r="B4658" s="6" t="s">
        <v>3567</v>
      </c>
      <c r="C4658" s="6" t="s">
        <v>836</v>
      </c>
      <c r="D4658" s="24">
        <v>5.3256826524124099</v>
      </c>
      <c r="E4658" s="6" t="s">
        <v>5887</v>
      </c>
      <c r="F4658" s="6">
        <v>21</v>
      </c>
      <c r="G4658" s="8">
        <f t="shared" si="72"/>
        <v>8281.4365245012978</v>
      </c>
    </row>
    <row r="4659" spans="2:7" x14ac:dyDescent="0.3">
      <c r="B4659" s="6" t="s">
        <v>3568</v>
      </c>
      <c r="C4659" s="6" t="s">
        <v>837</v>
      </c>
      <c r="D4659" s="24">
        <v>5.8137570788040103</v>
      </c>
      <c r="E4659" s="6" t="s">
        <v>5887</v>
      </c>
      <c r="F4659" s="6">
        <v>21</v>
      </c>
      <c r="G4659" s="8">
        <f t="shared" si="72"/>
        <v>9040.3922575402357</v>
      </c>
    </row>
    <row r="4660" spans="2:7" x14ac:dyDescent="0.3">
      <c r="B4660" s="6" t="s">
        <v>3551</v>
      </c>
      <c r="C4660" s="6" t="s">
        <v>838</v>
      </c>
      <c r="D4660" s="24">
        <v>2621.7533225000002</v>
      </c>
      <c r="E4660" s="6" t="s">
        <v>5889</v>
      </c>
      <c r="F4660" s="6">
        <v>21</v>
      </c>
      <c r="G4660" s="8">
        <f t="shared" si="72"/>
        <v>2621.7533225000002</v>
      </c>
    </row>
    <row r="4661" spans="2:7" x14ac:dyDescent="0.3">
      <c r="B4661" s="6" t="s">
        <v>11846</v>
      </c>
      <c r="C4661" s="6" t="s">
        <v>11847</v>
      </c>
      <c r="D4661" s="24">
        <v>29.059372654000001</v>
      </c>
      <c r="E4661" s="6" t="s">
        <v>5887</v>
      </c>
      <c r="F4661" s="6">
        <v>21</v>
      </c>
      <c r="G4661" s="8">
        <f t="shared" si="72"/>
        <v>45187.324476970003</v>
      </c>
    </row>
    <row r="4662" spans="2:7" x14ac:dyDescent="0.3">
      <c r="B4662" s="6" t="s">
        <v>3061</v>
      </c>
      <c r="C4662" s="6" t="s">
        <v>8810</v>
      </c>
      <c r="D4662" s="24">
        <v>4965.8716691999998</v>
      </c>
      <c r="E4662" s="6" t="s">
        <v>5889</v>
      </c>
      <c r="F4662" s="6">
        <v>21</v>
      </c>
      <c r="G4662" s="8">
        <f t="shared" si="72"/>
        <v>4965.8716691999998</v>
      </c>
    </row>
    <row r="4663" spans="2:7" x14ac:dyDescent="0.3">
      <c r="B4663" s="6" t="s">
        <v>9581</v>
      </c>
      <c r="C4663" s="6" t="s">
        <v>13969</v>
      </c>
      <c r="D4663" s="24">
        <v>4.3297058823529397</v>
      </c>
      <c r="E4663" s="6" t="s">
        <v>5887</v>
      </c>
      <c r="F4663" s="6">
        <v>10.5</v>
      </c>
      <c r="G4663" s="8">
        <f t="shared" si="72"/>
        <v>6732.6926470588214</v>
      </c>
    </row>
    <row r="4664" spans="2:7" x14ac:dyDescent="0.3">
      <c r="B4664" s="6" t="s">
        <v>9579</v>
      </c>
      <c r="C4664" s="6" t="s">
        <v>9580</v>
      </c>
      <c r="D4664" s="24">
        <v>4.6163732517499998</v>
      </c>
      <c r="E4664" s="6" t="s">
        <v>5887</v>
      </c>
      <c r="F4664" s="6">
        <v>10.5</v>
      </c>
      <c r="G4664" s="8">
        <f t="shared" si="72"/>
        <v>7178.4604064712494</v>
      </c>
    </row>
    <row r="4665" spans="2:7" x14ac:dyDescent="0.3">
      <c r="B4665" s="6" t="s">
        <v>3425</v>
      </c>
      <c r="C4665" s="6" t="s">
        <v>1133</v>
      </c>
      <c r="D4665" s="24">
        <v>1329.7246076512799</v>
      </c>
      <c r="E4665" s="6" t="s">
        <v>5889</v>
      </c>
      <c r="F4665" s="6">
        <v>21</v>
      </c>
      <c r="G4665" s="8">
        <f t="shared" si="72"/>
        <v>1329.7246076512799</v>
      </c>
    </row>
    <row r="4666" spans="2:7" x14ac:dyDescent="0.3">
      <c r="B4666" s="6" t="s">
        <v>3426</v>
      </c>
      <c r="C4666" s="6" t="s">
        <v>839</v>
      </c>
      <c r="D4666" s="24">
        <v>0.31992999999999999</v>
      </c>
      <c r="E4666" s="6" t="s">
        <v>5887</v>
      </c>
      <c r="F4666" s="6">
        <v>21</v>
      </c>
      <c r="G4666" s="8">
        <f t="shared" si="72"/>
        <v>497.49115</v>
      </c>
    </row>
    <row r="4667" spans="2:7" x14ac:dyDescent="0.3">
      <c r="B4667" s="6" t="s">
        <v>3427</v>
      </c>
      <c r="C4667" s="6" t="s">
        <v>840</v>
      </c>
      <c r="D4667" s="24">
        <v>2717.6245199999998</v>
      </c>
      <c r="E4667" s="6" t="s">
        <v>5889</v>
      </c>
      <c r="F4667" s="6">
        <v>21</v>
      </c>
      <c r="G4667" s="8">
        <f t="shared" si="72"/>
        <v>2717.6245199999998</v>
      </c>
    </row>
    <row r="4668" spans="2:7" x14ac:dyDescent="0.3">
      <c r="B4668" s="6" t="s">
        <v>2806</v>
      </c>
      <c r="C4668" s="6" t="s">
        <v>1134</v>
      </c>
      <c r="D4668" s="24">
        <v>5.2729969995300001</v>
      </c>
      <c r="E4668" s="6" t="s">
        <v>5887</v>
      </c>
      <c r="F4668" s="6">
        <v>21</v>
      </c>
      <c r="G4668" s="8">
        <f t="shared" si="72"/>
        <v>8199.5103342691509</v>
      </c>
    </row>
    <row r="4669" spans="2:7" x14ac:dyDescent="0.3">
      <c r="B4669" s="6" t="s">
        <v>3428</v>
      </c>
      <c r="C4669" s="6" t="s">
        <v>841</v>
      </c>
      <c r="D4669" s="24">
        <v>769.91849999999999</v>
      </c>
      <c r="E4669" s="6" t="s">
        <v>5889</v>
      </c>
      <c r="F4669" s="6">
        <v>21</v>
      </c>
      <c r="G4669" s="8">
        <f t="shared" si="72"/>
        <v>769.91849999999999</v>
      </c>
    </row>
    <row r="4670" spans="2:7" x14ac:dyDescent="0.3">
      <c r="B4670" s="6" t="s">
        <v>3429</v>
      </c>
      <c r="C4670" s="6" t="s">
        <v>1135</v>
      </c>
      <c r="D4670" s="24">
        <v>1023.79108214496</v>
      </c>
      <c r="E4670" s="6" t="s">
        <v>5889</v>
      </c>
      <c r="F4670" s="6">
        <v>21</v>
      </c>
      <c r="G4670" s="8">
        <f t="shared" si="72"/>
        <v>1023.79108214496</v>
      </c>
    </row>
    <row r="4671" spans="2:7" x14ac:dyDescent="0.3">
      <c r="B4671" s="6" t="s">
        <v>1419</v>
      </c>
      <c r="C4671" s="6" t="s">
        <v>842</v>
      </c>
      <c r="D4671" s="24">
        <v>13.024767600000001</v>
      </c>
      <c r="E4671" s="6" t="s">
        <v>5887</v>
      </c>
      <c r="F4671" s="6">
        <v>21</v>
      </c>
      <c r="G4671" s="8">
        <f t="shared" si="72"/>
        <v>20253.513618000001</v>
      </c>
    </row>
    <row r="4672" spans="2:7" x14ac:dyDescent="0.3">
      <c r="B4672" s="6" t="s">
        <v>1420</v>
      </c>
      <c r="C4672" s="6" t="s">
        <v>843</v>
      </c>
      <c r="D4672" s="24">
        <v>12.589662799999999</v>
      </c>
      <c r="E4672" s="6" t="s">
        <v>5887</v>
      </c>
      <c r="F4672" s="6">
        <v>21</v>
      </c>
      <c r="G4672" s="8">
        <f t="shared" si="72"/>
        <v>19576.925653999999</v>
      </c>
    </row>
    <row r="4673" spans="2:7" x14ac:dyDescent="0.3">
      <c r="B4673" s="6" t="s">
        <v>1421</v>
      </c>
      <c r="C4673" s="6" t="s">
        <v>844</v>
      </c>
      <c r="D4673" s="24">
        <v>12.589662799999999</v>
      </c>
      <c r="E4673" s="6" t="s">
        <v>5887</v>
      </c>
      <c r="F4673" s="6">
        <v>21</v>
      </c>
      <c r="G4673" s="8">
        <f t="shared" si="72"/>
        <v>19576.925653999999</v>
      </c>
    </row>
  </sheetData>
  <sortState xmlns:xlrd2="http://schemas.microsoft.com/office/spreadsheetml/2017/richdata2" ref="B2:G4673">
    <sortCondition ref="C2:C4673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71"/>
  <sheetViews>
    <sheetView topLeftCell="A3934" workbookViewId="0">
      <selection activeCell="A3949" sqref="A3949"/>
    </sheetView>
  </sheetViews>
  <sheetFormatPr baseColWidth="10" defaultRowHeight="14.4" x14ac:dyDescent="0.3"/>
  <sheetData>
    <row r="1" spans="1:2" x14ac:dyDescent="0.3">
      <c r="A1" s="5" t="s">
        <v>5879</v>
      </c>
      <c r="B1" s="5" t="s">
        <v>5880</v>
      </c>
    </row>
    <row r="2" spans="1:2" x14ac:dyDescent="0.3">
      <c r="A2" s="11" t="s">
        <v>8776</v>
      </c>
      <c r="B2" t="s">
        <v>5881</v>
      </c>
    </row>
    <row r="3" spans="1:2" x14ac:dyDescent="0.3">
      <c r="A3" s="6" t="s">
        <v>1342</v>
      </c>
      <c r="B3" t="s">
        <v>4040</v>
      </c>
    </row>
    <row r="4" spans="1:2" x14ac:dyDescent="0.3">
      <c r="A4" s="6" t="s">
        <v>1431</v>
      </c>
      <c r="B4" t="s">
        <v>4128</v>
      </c>
    </row>
    <row r="5" spans="1:2" x14ac:dyDescent="0.3">
      <c r="A5" s="6" t="s">
        <v>2333</v>
      </c>
      <c r="B5" t="s">
        <v>3500</v>
      </c>
    </row>
    <row r="6" spans="1:2" x14ac:dyDescent="0.3">
      <c r="A6" s="6" t="s">
        <v>2334</v>
      </c>
      <c r="B6" t="s">
        <v>8284</v>
      </c>
    </row>
    <row r="7" spans="1:2" x14ac:dyDescent="0.3">
      <c r="A7" s="6" t="s">
        <v>2335</v>
      </c>
      <c r="B7" t="s">
        <v>8190</v>
      </c>
    </row>
    <row r="8" spans="1:2" x14ac:dyDescent="0.3">
      <c r="A8" s="6" t="s">
        <v>2336</v>
      </c>
      <c r="B8" t="s">
        <v>3727</v>
      </c>
    </row>
    <row r="9" spans="1:2" x14ac:dyDescent="0.3">
      <c r="A9" s="6" t="s">
        <v>2337</v>
      </c>
      <c r="B9" t="s">
        <v>8191</v>
      </c>
    </row>
    <row r="10" spans="1:2" x14ac:dyDescent="0.3">
      <c r="A10" s="6" t="s">
        <v>2338</v>
      </c>
      <c r="B10" t="s">
        <v>3728</v>
      </c>
    </row>
    <row r="11" spans="1:2" x14ac:dyDescent="0.3">
      <c r="A11" s="6" t="s">
        <v>2339</v>
      </c>
      <c r="B11" t="s">
        <v>8192</v>
      </c>
    </row>
    <row r="12" spans="1:2" x14ac:dyDescent="0.3">
      <c r="A12" s="6" t="s">
        <v>3342</v>
      </c>
      <c r="B12" t="s">
        <v>5881</v>
      </c>
    </row>
    <row r="13" spans="1:2" x14ac:dyDescent="0.3">
      <c r="A13" s="6" t="s">
        <v>3344</v>
      </c>
      <c r="B13" t="s">
        <v>8711</v>
      </c>
    </row>
    <row r="14" spans="1:2" x14ac:dyDescent="0.3">
      <c r="A14" s="6" t="s">
        <v>3345</v>
      </c>
      <c r="B14" t="s">
        <v>5881</v>
      </c>
    </row>
    <row r="15" spans="1:2" x14ac:dyDescent="0.3">
      <c r="A15" s="6" t="s">
        <v>2340</v>
      </c>
      <c r="B15" t="s">
        <v>3729</v>
      </c>
    </row>
    <row r="16" spans="1:2" x14ac:dyDescent="0.3">
      <c r="A16" s="6" t="s">
        <v>3346</v>
      </c>
      <c r="B16" t="s">
        <v>5881</v>
      </c>
    </row>
    <row r="17" spans="1:2" x14ac:dyDescent="0.3">
      <c r="A17" s="6" t="s">
        <v>3348</v>
      </c>
      <c r="B17" t="s">
        <v>5881</v>
      </c>
    </row>
    <row r="18" spans="1:2" x14ac:dyDescent="0.3">
      <c r="A18" s="6" t="s">
        <v>5882</v>
      </c>
      <c r="B18" t="s">
        <v>5881</v>
      </c>
    </row>
    <row r="19" spans="1:2" x14ac:dyDescent="0.3">
      <c r="A19" s="6" t="s">
        <v>5883</v>
      </c>
      <c r="B19" t="s">
        <v>5881</v>
      </c>
    </row>
    <row r="20" spans="1:2" x14ac:dyDescent="0.3">
      <c r="A20" s="6" t="s">
        <v>5884</v>
      </c>
      <c r="B20" t="s">
        <v>5881</v>
      </c>
    </row>
    <row r="21" spans="1:2" x14ac:dyDescent="0.3">
      <c r="A21" s="11" t="s">
        <v>8713</v>
      </c>
      <c r="B21" t="s">
        <v>5881</v>
      </c>
    </row>
    <row r="22" spans="1:2" x14ac:dyDescent="0.3">
      <c r="A22" s="11" t="s">
        <v>8714</v>
      </c>
      <c r="B22" t="s">
        <v>5881</v>
      </c>
    </row>
    <row r="23" spans="1:2" x14ac:dyDescent="0.3">
      <c r="A23" s="11" t="s">
        <v>8715</v>
      </c>
      <c r="B23" t="s">
        <v>5881</v>
      </c>
    </row>
    <row r="24" spans="1:2" x14ac:dyDescent="0.3">
      <c r="A24" s="11" t="s">
        <v>8716</v>
      </c>
      <c r="B24" t="s">
        <v>5881</v>
      </c>
    </row>
    <row r="25" spans="1:2" x14ac:dyDescent="0.3">
      <c r="A25" s="11" t="s">
        <v>8717</v>
      </c>
      <c r="B25" t="s">
        <v>5881</v>
      </c>
    </row>
    <row r="26" spans="1:2" x14ac:dyDescent="0.3">
      <c r="A26" s="6" t="s">
        <v>2341</v>
      </c>
      <c r="B26" t="s">
        <v>8142</v>
      </c>
    </row>
    <row r="27" spans="1:2" x14ac:dyDescent="0.3">
      <c r="A27" s="11" t="s">
        <v>8718</v>
      </c>
      <c r="B27" t="s">
        <v>5881</v>
      </c>
    </row>
    <row r="28" spans="1:2" x14ac:dyDescent="0.3">
      <c r="A28" s="11" t="s">
        <v>8719</v>
      </c>
      <c r="B28" t="s">
        <v>5881</v>
      </c>
    </row>
    <row r="29" spans="1:2" x14ac:dyDescent="0.3">
      <c r="A29" s="11" t="s">
        <v>8720</v>
      </c>
      <c r="B29" t="s">
        <v>5881</v>
      </c>
    </row>
    <row r="30" spans="1:2" x14ac:dyDescent="0.3">
      <c r="A30" s="11" t="s">
        <v>8721</v>
      </c>
      <c r="B30" t="s">
        <v>5881</v>
      </c>
    </row>
    <row r="31" spans="1:2" x14ac:dyDescent="0.3">
      <c r="A31" s="11" t="s">
        <v>8722</v>
      </c>
      <c r="B31" t="s">
        <v>5881</v>
      </c>
    </row>
    <row r="32" spans="1:2" x14ac:dyDescent="0.3">
      <c r="A32" s="11" t="s">
        <v>8723</v>
      </c>
      <c r="B32" t="s">
        <v>5881</v>
      </c>
    </row>
    <row r="33" spans="1:2" x14ac:dyDescent="0.3">
      <c r="A33" s="11" t="s">
        <v>8724</v>
      </c>
      <c r="B33" t="s">
        <v>5881</v>
      </c>
    </row>
    <row r="34" spans="1:2" x14ac:dyDescent="0.3">
      <c r="A34" s="11" t="s">
        <v>8725</v>
      </c>
      <c r="B34" t="s">
        <v>5881</v>
      </c>
    </row>
    <row r="35" spans="1:2" x14ac:dyDescent="0.3">
      <c r="A35" s="11" t="s">
        <v>8726</v>
      </c>
      <c r="B35" t="s">
        <v>5881</v>
      </c>
    </row>
    <row r="36" spans="1:2" x14ac:dyDescent="0.3">
      <c r="A36" s="11" t="s">
        <v>8727</v>
      </c>
      <c r="B36" t="s">
        <v>5881</v>
      </c>
    </row>
    <row r="37" spans="1:2" x14ac:dyDescent="0.3">
      <c r="A37" s="6" t="s">
        <v>2342</v>
      </c>
      <c r="B37" t="s">
        <v>3501</v>
      </c>
    </row>
    <row r="38" spans="1:2" x14ac:dyDescent="0.3">
      <c r="A38" s="11" t="s">
        <v>8728</v>
      </c>
      <c r="B38" t="s">
        <v>5881</v>
      </c>
    </row>
    <row r="39" spans="1:2" x14ac:dyDescent="0.3">
      <c r="A39" s="11" t="s">
        <v>8729</v>
      </c>
      <c r="B39" t="s">
        <v>5881</v>
      </c>
    </row>
    <row r="40" spans="1:2" x14ac:dyDescent="0.3">
      <c r="A40" s="11" t="s">
        <v>8730</v>
      </c>
      <c r="B40" t="s">
        <v>5881</v>
      </c>
    </row>
    <row r="41" spans="1:2" x14ac:dyDescent="0.3">
      <c r="A41" s="11" t="s">
        <v>8731</v>
      </c>
      <c r="B41" t="s">
        <v>5881</v>
      </c>
    </row>
    <row r="42" spans="1:2" x14ac:dyDescent="0.3">
      <c r="A42" s="11" t="s">
        <v>8732</v>
      </c>
      <c r="B42" t="s">
        <v>5881</v>
      </c>
    </row>
    <row r="43" spans="1:2" x14ac:dyDescent="0.3">
      <c r="A43" s="11" t="s">
        <v>8733</v>
      </c>
      <c r="B43" t="s">
        <v>5881</v>
      </c>
    </row>
    <row r="44" spans="1:2" x14ac:dyDescent="0.3">
      <c r="A44" s="11" t="s">
        <v>8734</v>
      </c>
      <c r="B44" t="s">
        <v>5881</v>
      </c>
    </row>
    <row r="45" spans="1:2" x14ac:dyDescent="0.3">
      <c r="A45" s="11" t="s">
        <v>8735</v>
      </c>
      <c r="B45" t="s">
        <v>5881</v>
      </c>
    </row>
    <row r="46" spans="1:2" x14ac:dyDescent="0.3">
      <c r="A46" s="11" t="s">
        <v>8736</v>
      </c>
      <c r="B46" t="s">
        <v>5881</v>
      </c>
    </row>
    <row r="47" spans="1:2" x14ac:dyDescent="0.3">
      <c r="A47" s="11" t="s">
        <v>8751</v>
      </c>
      <c r="B47" t="s">
        <v>5881</v>
      </c>
    </row>
    <row r="48" spans="1:2" x14ac:dyDescent="0.3">
      <c r="A48" s="6" t="s">
        <v>1432</v>
      </c>
      <c r="B48" t="s">
        <v>4386</v>
      </c>
    </row>
    <row r="49" spans="1:2" x14ac:dyDescent="0.3">
      <c r="A49" s="6" t="s">
        <v>2343</v>
      </c>
      <c r="B49" t="s">
        <v>8143</v>
      </c>
    </row>
    <row r="50" spans="1:2" x14ac:dyDescent="0.3">
      <c r="A50" s="11" t="s">
        <v>8752</v>
      </c>
      <c r="B50" t="s">
        <v>5881</v>
      </c>
    </row>
    <row r="51" spans="1:2" x14ac:dyDescent="0.3">
      <c r="A51" s="11" t="s">
        <v>8753</v>
      </c>
      <c r="B51" t="s">
        <v>5881</v>
      </c>
    </row>
    <row r="52" spans="1:2" x14ac:dyDescent="0.3">
      <c r="A52" s="11" t="s">
        <v>8754</v>
      </c>
      <c r="B52" t="s">
        <v>5881</v>
      </c>
    </row>
    <row r="53" spans="1:2" x14ac:dyDescent="0.3">
      <c r="A53" s="11" t="s">
        <v>8756</v>
      </c>
      <c r="B53" t="s">
        <v>5881</v>
      </c>
    </row>
    <row r="54" spans="1:2" x14ac:dyDescent="0.3">
      <c r="A54" s="11" t="s">
        <v>8758</v>
      </c>
      <c r="B54" t="s">
        <v>5881</v>
      </c>
    </row>
    <row r="55" spans="1:2" x14ac:dyDescent="0.3">
      <c r="A55" s="11" t="s">
        <v>8759</v>
      </c>
      <c r="B55" t="s">
        <v>5881</v>
      </c>
    </row>
    <row r="56" spans="1:2" x14ac:dyDescent="0.3">
      <c r="A56" s="11" t="s">
        <v>8761</v>
      </c>
      <c r="B56" t="s">
        <v>5881</v>
      </c>
    </row>
    <row r="57" spans="1:2" x14ac:dyDescent="0.3">
      <c r="A57" s="11" t="s">
        <v>8762</v>
      </c>
      <c r="B57" t="s">
        <v>5881</v>
      </c>
    </row>
    <row r="58" spans="1:2" x14ac:dyDescent="0.3">
      <c r="A58" s="11" t="s">
        <v>8763</v>
      </c>
      <c r="B58" t="s">
        <v>5881</v>
      </c>
    </row>
    <row r="59" spans="1:2" x14ac:dyDescent="0.3">
      <c r="A59" s="6" t="s">
        <v>2344</v>
      </c>
      <c r="B59" t="s">
        <v>3502</v>
      </c>
    </row>
    <row r="60" spans="1:2" x14ac:dyDescent="0.3">
      <c r="A60" s="11" t="s">
        <v>8764</v>
      </c>
      <c r="B60" t="s">
        <v>5881</v>
      </c>
    </row>
    <row r="61" spans="1:2" x14ac:dyDescent="0.3">
      <c r="A61" s="11" t="s">
        <v>8765</v>
      </c>
      <c r="B61" t="s">
        <v>5881</v>
      </c>
    </row>
    <row r="62" spans="1:2" x14ac:dyDescent="0.3">
      <c r="A62" s="11" t="s">
        <v>8766</v>
      </c>
      <c r="B62" t="s">
        <v>5881</v>
      </c>
    </row>
    <row r="63" spans="1:2" x14ac:dyDescent="0.3">
      <c r="A63" s="11" t="s">
        <v>8767</v>
      </c>
      <c r="B63" t="s">
        <v>5881</v>
      </c>
    </row>
    <row r="64" spans="1:2" x14ac:dyDescent="0.3">
      <c r="A64" s="11" t="s">
        <v>8768</v>
      </c>
      <c r="B64" t="s">
        <v>5881</v>
      </c>
    </row>
    <row r="65" spans="1:2" x14ac:dyDescent="0.3">
      <c r="A65" s="11" t="s">
        <v>8769</v>
      </c>
      <c r="B65" t="s">
        <v>5881</v>
      </c>
    </row>
    <row r="66" spans="1:2" x14ac:dyDescent="0.3">
      <c r="A66" s="11" t="s">
        <v>8770</v>
      </c>
      <c r="B66" t="s">
        <v>5881</v>
      </c>
    </row>
    <row r="67" spans="1:2" x14ac:dyDescent="0.3">
      <c r="A67" s="11" t="s">
        <v>8772</v>
      </c>
      <c r="B67" t="s">
        <v>5881</v>
      </c>
    </row>
    <row r="68" spans="1:2" x14ac:dyDescent="0.3">
      <c r="A68" s="6" t="s">
        <v>2345</v>
      </c>
      <c r="B68" t="s">
        <v>8144</v>
      </c>
    </row>
    <row r="69" spans="1:2" x14ac:dyDescent="0.3">
      <c r="A69" s="6" t="s">
        <v>2346</v>
      </c>
      <c r="B69" t="s">
        <v>3503</v>
      </c>
    </row>
    <row r="70" spans="1:2" x14ac:dyDescent="0.3">
      <c r="A70" s="6" t="s">
        <v>2347</v>
      </c>
      <c r="B70" t="s">
        <v>8182</v>
      </c>
    </row>
    <row r="71" spans="1:2" x14ac:dyDescent="0.3">
      <c r="A71" s="6" t="s">
        <v>2348</v>
      </c>
      <c r="B71" t="s">
        <v>3504</v>
      </c>
    </row>
    <row r="72" spans="1:2" x14ac:dyDescent="0.3">
      <c r="A72" s="6" t="s">
        <v>2349</v>
      </c>
      <c r="B72" t="s">
        <v>8183</v>
      </c>
    </row>
    <row r="73" spans="1:2" x14ac:dyDescent="0.3">
      <c r="A73" s="6" t="s">
        <v>2350</v>
      </c>
      <c r="B73" t="s">
        <v>3735</v>
      </c>
    </row>
    <row r="74" spans="1:2" x14ac:dyDescent="0.3">
      <c r="A74" s="6" t="s">
        <v>2351</v>
      </c>
      <c r="B74" t="s">
        <v>8184</v>
      </c>
    </row>
    <row r="75" spans="1:2" x14ac:dyDescent="0.3">
      <c r="A75" s="6" t="s">
        <v>2352</v>
      </c>
      <c r="B75" t="s">
        <v>3733</v>
      </c>
    </row>
    <row r="76" spans="1:2" x14ac:dyDescent="0.3">
      <c r="A76" s="6" t="s">
        <v>1433</v>
      </c>
      <c r="B76" t="s">
        <v>5356</v>
      </c>
    </row>
    <row r="77" spans="1:2" x14ac:dyDescent="0.3">
      <c r="A77" s="6" t="s">
        <v>2353</v>
      </c>
      <c r="B77" t="s">
        <v>8185</v>
      </c>
    </row>
    <row r="78" spans="1:2" x14ac:dyDescent="0.3">
      <c r="A78" s="6" t="s">
        <v>2354</v>
      </c>
      <c r="B78" t="s">
        <v>3734</v>
      </c>
    </row>
    <row r="79" spans="1:2" x14ac:dyDescent="0.3">
      <c r="A79" s="6" t="s">
        <v>2355</v>
      </c>
      <c r="B79" t="s">
        <v>8145</v>
      </c>
    </row>
    <row r="80" spans="1:2" x14ac:dyDescent="0.3">
      <c r="A80" s="6" t="s">
        <v>2356</v>
      </c>
      <c r="B80" t="s">
        <v>3505</v>
      </c>
    </row>
    <row r="81" spans="1:2" x14ac:dyDescent="0.3">
      <c r="A81" s="6" t="s">
        <v>2357</v>
      </c>
      <c r="B81" t="s">
        <v>8146</v>
      </c>
    </row>
    <row r="82" spans="1:2" x14ac:dyDescent="0.3">
      <c r="A82" s="6" t="s">
        <v>2358</v>
      </c>
      <c r="B82" t="s">
        <v>3506</v>
      </c>
    </row>
    <row r="83" spans="1:2" x14ac:dyDescent="0.3">
      <c r="A83" s="6" t="s">
        <v>2359</v>
      </c>
      <c r="B83" t="s">
        <v>8147</v>
      </c>
    </row>
    <row r="84" spans="1:2" x14ac:dyDescent="0.3">
      <c r="A84" s="6" t="s">
        <v>2360</v>
      </c>
      <c r="B84" t="s">
        <v>3507</v>
      </c>
    </row>
    <row r="85" spans="1:2" x14ac:dyDescent="0.3">
      <c r="A85" s="6" t="s">
        <v>2361</v>
      </c>
      <c r="B85" t="s">
        <v>8186</v>
      </c>
    </row>
    <row r="86" spans="1:2" x14ac:dyDescent="0.3">
      <c r="A86" s="6" t="s">
        <v>2362</v>
      </c>
      <c r="B86" t="s">
        <v>3508</v>
      </c>
    </row>
    <row r="87" spans="1:2" x14ac:dyDescent="0.3">
      <c r="A87" s="6" t="s">
        <v>1434</v>
      </c>
      <c r="B87" t="s">
        <v>4129</v>
      </c>
    </row>
    <row r="88" spans="1:2" x14ac:dyDescent="0.3">
      <c r="A88" s="6" t="s">
        <v>2363</v>
      </c>
      <c r="B88" t="s">
        <v>8187</v>
      </c>
    </row>
    <row r="89" spans="1:2" x14ac:dyDescent="0.3">
      <c r="A89" s="6" t="s">
        <v>2364</v>
      </c>
      <c r="B89" t="s">
        <v>3730</v>
      </c>
    </row>
    <row r="90" spans="1:2" x14ac:dyDescent="0.3">
      <c r="A90" s="6" t="s">
        <v>2365</v>
      </c>
      <c r="B90" t="s">
        <v>8188</v>
      </c>
    </row>
    <row r="91" spans="1:2" x14ac:dyDescent="0.3">
      <c r="A91" s="6" t="s">
        <v>2366</v>
      </c>
      <c r="B91" t="s">
        <v>3731</v>
      </c>
    </row>
    <row r="92" spans="1:2" x14ac:dyDescent="0.3">
      <c r="A92" s="6" t="s">
        <v>2367</v>
      </c>
      <c r="B92" t="s">
        <v>8189</v>
      </c>
    </row>
    <row r="93" spans="1:2" x14ac:dyDescent="0.3">
      <c r="A93" s="6" t="s">
        <v>2368</v>
      </c>
      <c r="B93" t="s">
        <v>3732</v>
      </c>
    </row>
    <row r="94" spans="1:2" x14ac:dyDescent="0.3">
      <c r="A94" s="6" t="s">
        <v>2369</v>
      </c>
      <c r="B94" t="s">
        <v>3724</v>
      </c>
    </row>
    <row r="95" spans="1:2" x14ac:dyDescent="0.3">
      <c r="A95" s="6" t="s">
        <v>2370</v>
      </c>
      <c r="B95" t="s">
        <v>3723</v>
      </c>
    </row>
    <row r="96" spans="1:2" x14ac:dyDescent="0.3">
      <c r="A96" s="6" t="s">
        <v>2371</v>
      </c>
      <c r="B96" t="s">
        <v>3722</v>
      </c>
    </row>
    <row r="97" spans="1:2" x14ac:dyDescent="0.3">
      <c r="A97" s="6" t="s">
        <v>2372</v>
      </c>
      <c r="B97" t="s">
        <v>3725</v>
      </c>
    </row>
    <row r="98" spans="1:2" x14ac:dyDescent="0.3">
      <c r="A98" s="6" t="s">
        <v>1435</v>
      </c>
      <c r="B98" t="s">
        <v>2440</v>
      </c>
    </row>
    <row r="99" spans="1:2" x14ac:dyDescent="0.3">
      <c r="A99" s="6" t="s">
        <v>2373</v>
      </c>
      <c r="B99" t="s">
        <v>3720</v>
      </c>
    </row>
    <row r="100" spans="1:2" x14ac:dyDescent="0.3">
      <c r="A100" s="6" t="s">
        <v>2374</v>
      </c>
      <c r="B100" t="s">
        <v>3741</v>
      </c>
    </row>
    <row r="101" spans="1:2" x14ac:dyDescent="0.3">
      <c r="A101" s="6" t="s">
        <v>2375</v>
      </c>
      <c r="B101" t="s">
        <v>3721</v>
      </c>
    </row>
    <row r="102" spans="1:2" x14ac:dyDescent="0.3">
      <c r="A102" s="6" t="s">
        <v>2376</v>
      </c>
      <c r="B102" t="s">
        <v>3513</v>
      </c>
    </row>
    <row r="103" spans="1:2" x14ac:dyDescent="0.3">
      <c r="A103" s="6" t="s">
        <v>2377</v>
      </c>
      <c r="B103" t="s">
        <v>3511</v>
      </c>
    </row>
    <row r="104" spans="1:2" x14ac:dyDescent="0.3">
      <c r="A104" s="6" t="s">
        <v>2378</v>
      </c>
      <c r="B104" t="s">
        <v>3510</v>
      </c>
    </row>
    <row r="105" spans="1:2" x14ac:dyDescent="0.3">
      <c r="A105" s="6" t="s">
        <v>2379</v>
      </c>
      <c r="B105" t="s">
        <v>3512</v>
      </c>
    </row>
    <row r="106" spans="1:2" x14ac:dyDescent="0.3">
      <c r="A106" s="6" t="s">
        <v>2380</v>
      </c>
      <c r="B106" t="s">
        <v>3192</v>
      </c>
    </row>
    <row r="107" spans="1:2" x14ac:dyDescent="0.3">
      <c r="A107" s="6" t="s">
        <v>2381</v>
      </c>
      <c r="B107" t="s">
        <v>3726</v>
      </c>
    </row>
    <row r="108" spans="1:2" x14ac:dyDescent="0.3">
      <c r="A108" s="6" t="s">
        <v>2382</v>
      </c>
      <c r="B108" t="s">
        <v>3509</v>
      </c>
    </row>
    <row r="109" spans="1:2" x14ac:dyDescent="0.3">
      <c r="A109" s="6" t="s">
        <v>1436</v>
      </c>
      <c r="B109" t="s">
        <v>1599</v>
      </c>
    </row>
    <row r="110" spans="1:2" x14ac:dyDescent="0.3">
      <c r="A110" s="6" t="s">
        <v>2383</v>
      </c>
      <c r="B110" t="s">
        <v>4842</v>
      </c>
    </row>
    <row r="111" spans="1:2" x14ac:dyDescent="0.3">
      <c r="A111" s="6" t="s">
        <v>2384</v>
      </c>
      <c r="B111" t="s">
        <v>3718</v>
      </c>
    </row>
    <row r="112" spans="1:2" x14ac:dyDescent="0.3">
      <c r="A112" s="6" t="s">
        <v>2385</v>
      </c>
      <c r="B112" t="s">
        <v>1730</v>
      </c>
    </row>
    <row r="113" spans="1:2" x14ac:dyDescent="0.3">
      <c r="A113" s="6" t="s">
        <v>2386</v>
      </c>
      <c r="B113" t="s">
        <v>8206</v>
      </c>
    </row>
    <row r="114" spans="1:2" x14ac:dyDescent="0.3">
      <c r="A114" s="6" t="s">
        <v>2387</v>
      </c>
      <c r="B114" t="s">
        <v>3514</v>
      </c>
    </row>
    <row r="115" spans="1:2" x14ac:dyDescent="0.3">
      <c r="A115" s="6" t="s">
        <v>2388</v>
      </c>
      <c r="B115" t="s">
        <v>3516</v>
      </c>
    </row>
    <row r="116" spans="1:2" x14ac:dyDescent="0.3">
      <c r="A116" s="6" t="s">
        <v>2389</v>
      </c>
      <c r="B116" t="s">
        <v>8207</v>
      </c>
    </row>
    <row r="117" spans="1:2" x14ac:dyDescent="0.3">
      <c r="A117" s="6" t="s">
        <v>2390</v>
      </c>
      <c r="B117" t="s">
        <v>8285</v>
      </c>
    </row>
    <row r="118" spans="1:2" x14ac:dyDescent="0.3">
      <c r="A118" s="6" t="s">
        <v>2391</v>
      </c>
      <c r="B118" t="s">
        <v>3717</v>
      </c>
    </row>
    <row r="119" spans="1:2" x14ac:dyDescent="0.3">
      <c r="A119" s="6" t="s">
        <v>2392</v>
      </c>
      <c r="B119" t="s">
        <v>3515</v>
      </c>
    </row>
    <row r="120" spans="1:2" x14ac:dyDescent="0.3">
      <c r="A120" s="6" t="s">
        <v>1437</v>
      </c>
      <c r="B120" t="s">
        <v>1647</v>
      </c>
    </row>
    <row r="121" spans="1:2" x14ac:dyDescent="0.3">
      <c r="A121" s="6" t="s">
        <v>2393</v>
      </c>
      <c r="B121" t="s">
        <v>3517</v>
      </c>
    </row>
    <row r="122" spans="1:2" x14ac:dyDescent="0.3">
      <c r="A122" s="6" t="s">
        <v>2394</v>
      </c>
      <c r="B122" t="s">
        <v>3719</v>
      </c>
    </row>
    <row r="123" spans="1:2" x14ac:dyDescent="0.3">
      <c r="A123" s="6" t="s">
        <v>2395</v>
      </c>
      <c r="B123" t="s">
        <v>8134</v>
      </c>
    </row>
    <row r="124" spans="1:2" x14ac:dyDescent="0.3">
      <c r="A124" s="6" t="s">
        <v>2396</v>
      </c>
      <c r="B124" t="s">
        <v>8135</v>
      </c>
    </row>
    <row r="125" spans="1:2" x14ac:dyDescent="0.3">
      <c r="A125" s="6" t="s">
        <v>2397</v>
      </c>
      <c r="B125" t="s">
        <v>4381</v>
      </c>
    </row>
    <row r="126" spans="1:2" x14ac:dyDescent="0.3">
      <c r="A126" s="6" t="s">
        <v>2398</v>
      </c>
      <c r="B126" t="s">
        <v>7675</v>
      </c>
    </row>
    <row r="127" spans="1:2" x14ac:dyDescent="0.3">
      <c r="A127" s="6" t="s">
        <v>2399</v>
      </c>
      <c r="B127" t="s">
        <v>7547</v>
      </c>
    </row>
    <row r="128" spans="1:2" x14ac:dyDescent="0.3">
      <c r="A128" s="6" t="s">
        <v>2400</v>
      </c>
      <c r="B128" t="s">
        <v>7548</v>
      </c>
    </row>
    <row r="129" spans="1:2" x14ac:dyDescent="0.3">
      <c r="A129" s="6" t="s">
        <v>2401</v>
      </c>
      <c r="B129" t="s">
        <v>7549</v>
      </c>
    </row>
    <row r="130" spans="1:2" x14ac:dyDescent="0.3">
      <c r="A130" s="6" t="s">
        <v>2402</v>
      </c>
      <c r="B130" t="s">
        <v>7550</v>
      </c>
    </row>
    <row r="131" spans="1:2" x14ac:dyDescent="0.3">
      <c r="A131" s="6" t="s">
        <v>1438</v>
      </c>
      <c r="B131" t="s">
        <v>7831</v>
      </c>
    </row>
    <row r="132" spans="1:2" x14ac:dyDescent="0.3">
      <c r="A132" s="6" t="s">
        <v>2403</v>
      </c>
      <c r="B132" t="s">
        <v>3617</v>
      </c>
    </row>
    <row r="133" spans="1:2" x14ac:dyDescent="0.3">
      <c r="A133" s="6" t="s">
        <v>2404</v>
      </c>
      <c r="B133" t="s">
        <v>3616</v>
      </c>
    </row>
    <row r="134" spans="1:2" x14ac:dyDescent="0.3">
      <c r="A134" s="6" t="s">
        <v>2405</v>
      </c>
      <c r="B134" t="s">
        <v>3383</v>
      </c>
    </row>
    <row r="135" spans="1:2" x14ac:dyDescent="0.3">
      <c r="A135" s="6" t="s">
        <v>2406</v>
      </c>
      <c r="B135" t="s">
        <v>3384</v>
      </c>
    </row>
    <row r="136" spans="1:2" x14ac:dyDescent="0.3">
      <c r="A136" s="6" t="s">
        <v>2407</v>
      </c>
      <c r="B136" t="s">
        <v>3385</v>
      </c>
    </row>
    <row r="137" spans="1:2" x14ac:dyDescent="0.3">
      <c r="A137" s="6" t="s">
        <v>2408</v>
      </c>
      <c r="B137" t="s">
        <v>3386</v>
      </c>
    </row>
    <row r="138" spans="1:2" x14ac:dyDescent="0.3">
      <c r="A138" s="6" t="s">
        <v>2409</v>
      </c>
      <c r="B138" t="s">
        <v>2268</v>
      </c>
    </row>
    <row r="139" spans="1:2" x14ac:dyDescent="0.3">
      <c r="A139" s="6" t="s">
        <v>2410</v>
      </c>
      <c r="B139" t="s">
        <v>3813</v>
      </c>
    </row>
    <row r="140" spans="1:2" x14ac:dyDescent="0.3">
      <c r="A140" s="6" t="s">
        <v>2411</v>
      </c>
      <c r="B140" t="s">
        <v>3814</v>
      </c>
    </row>
    <row r="141" spans="1:2" x14ac:dyDescent="0.3">
      <c r="A141" s="6" t="s">
        <v>2412</v>
      </c>
      <c r="B141" t="s">
        <v>3934</v>
      </c>
    </row>
    <row r="142" spans="1:2" x14ac:dyDescent="0.3">
      <c r="A142" s="6" t="s">
        <v>1439</v>
      </c>
      <c r="B142" t="s">
        <v>7060</v>
      </c>
    </row>
    <row r="143" spans="1:2" x14ac:dyDescent="0.3">
      <c r="A143" s="6" t="s">
        <v>2413</v>
      </c>
      <c r="B143" t="s">
        <v>3935</v>
      </c>
    </row>
    <row r="144" spans="1:2" x14ac:dyDescent="0.3">
      <c r="A144" s="6" t="s">
        <v>2414</v>
      </c>
      <c r="B144" t="s">
        <v>3422</v>
      </c>
    </row>
    <row r="145" spans="1:2" x14ac:dyDescent="0.3">
      <c r="A145" s="6" t="s">
        <v>2415</v>
      </c>
      <c r="B145" t="s">
        <v>7551</v>
      </c>
    </row>
    <row r="146" spans="1:2" x14ac:dyDescent="0.3">
      <c r="A146" s="6" t="s">
        <v>2416</v>
      </c>
      <c r="B146" t="s">
        <v>3395</v>
      </c>
    </row>
    <row r="147" spans="1:2" x14ac:dyDescent="0.3">
      <c r="A147" s="6" t="s">
        <v>2417</v>
      </c>
      <c r="B147" t="s">
        <v>3396</v>
      </c>
    </row>
    <row r="148" spans="1:2" x14ac:dyDescent="0.3">
      <c r="A148" s="6" t="s">
        <v>2418</v>
      </c>
      <c r="B148" t="s">
        <v>3420</v>
      </c>
    </row>
    <row r="149" spans="1:2" x14ac:dyDescent="0.3">
      <c r="A149" s="6" t="s">
        <v>2419</v>
      </c>
      <c r="B149" t="s">
        <v>3421</v>
      </c>
    </row>
    <row r="150" spans="1:2" x14ac:dyDescent="0.3">
      <c r="A150" s="6" t="s">
        <v>2420</v>
      </c>
      <c r="B150" t="s">
        <v>3394</v>
      </c>
    </row>
    <row r="151" spans="1:2" x14ac:dyDescent="0.3">
      <c r="A151" s="6" t="s">
        <v>2421</v>
      </c>
      <c r="B151" t="s">
        <v>3390</v>
      </c>
    </row>
    <row r="152" spans="1:2" x14ac:dyDescent="0.3">
      <c r="A152" s="6" t="s">
        <v>2422</v>
      </c>
      <c r="B152" t="s">
        <v>5792</v>
      </c>
    </row>
    <row r="153" spans="1:2" x14ac:dyDescent="0.3">
      <c r="A153" s="6" t="s">
        <v>1440</v>
      </c>
      <c r="B153" t="s">
        <v>7373</v>
      </c>
    </row>
    <row r="154" spans="1:2" x14ac:dyDescent="0.3">
      <c r="A154" s="6" t="s">
        <v>2423</v>
      </c>
      <c r="B154" t="s">
        <v>3391</v>
      </c>
    </row>
    <row r="155" spans="1:2" x14ac:dyDescent="0.3">
      <c r="A155" s="6" t="s">
        <v>2424</v>
      </c>
      <c r="B155" t="s">
        <v>3393</v>
      </c>
    </row>
    <row r="156" spans="1:2" x14ac:dyDescent="0.3">
      <c r="A156" s="6" t="s">
        <v>2425</v>
      </c>
      <c r="B156" t="s">
        <v>3389</v>
      </c>
    </row>
    <row r="157" spans="1:2" x14ac:dyDescent="0.3">
      <c r="A157" s="6" t="s">
        <v>2426</v>
      </c>
      <c r="B157" t="s">
        <v>7314</v>
      </c>
    </row>
    <row r="158" spans="1:2" x14ac:dyDescent="0.3">
      <c r="A158" s="6" t="s">
        <v>2427</v>
      </c>
      <c r="B158" t="s">
        <v>7553</v>
      </c>
    </row>
    <row r="159" spans="1:2" x14ac:dyDescent="0.3">
      <c r="A159" s="6" t="s">
        <v>2428</v>
      </c>
      <c r="B159" t="s">
        <v>7554</v>
      </c>
    </row>
    <row r="160" spans="1:2" x14ac:dyDescent="0.3">
      <c r="A160" s="6" t="s">
        <v>2429</v>
      </c>
      <c r="B160" t="s">
        <v>3979</v>
      </c>
    </row>
    <row r="161" spans="1:2" x14ac:dyDescent="0.3">
      <c r="A161" s="6" t="s">
        <v>2430</v>
      </c>
      <c r="B161" t="s">
        <v>3980</v>
      </c>
    </row>
    <row r="162" spans="1:2" x14ac:dyDescent="0.3">
      <c r="A162" s="6" t="s">
        <v>2431</v>
      </c>
      <c r="B162" t="s">
        <v>3981</v>
      </c>
    </row>
    <row r="163" spans="1:2" x14ac:dyDescent="0.3">
      <c r="A163" s="6" t="s">
        <v>2432</v>
      </c>
      <c r="B163" t="s">
        <v>3982</v>
      </c>
    </row>
    <row r="164" spans="1:2" x14ac:dyDescent="0.3">
      <c r="A164" s="6" t="s">
        <v>1343</v>
      </c>
      <c r="B164" t="s">
        <v>6839</v>
      </c>
    </row>
    <row r="165" spans="1:2" x14ac:dyDescent="0.3">
      <c r="A165" s="6" t="s">
        <v>1441</v>
      </c>
      <c r="B165" t="s">
        <v>6890</v>
      </c>
    </row>
    <row r="166" spans="1:2" x14ac:dyDescent="0.3">
      <c r="A166" s="6" t="s">
        <v>2433</v>
      </c>
      <c r="B166" t="s">
        <v>3978</v>
      </c>
    </row>
    <row r="167" spans="1:2" x14ac:dyDescent="0.3">
      <c r="A167" s="6" t="s">
        <v>2434</v>
      </c>
      <c r="B167" t="s">
        <v>3967</v>
      </c>
    </row>
    <row r="168" spans="1:2" x14ac:dyDescent="0.3">
      <c r="A168" s="6" t="s">
        <v>2435</v>
      </c>
      <c r="B168" t="s">
        <v>3968</v>
      </c>
    </row>
    <row r="169" spans="1:2" x14ac:dyDescent="0.3">
      <c r="A169" s="6" t="s">
        <v>2436</v>
      </c>
      <c r="B169" t="s">
        <v>3969</v>
      </c>
    </row>
    <row r="170" spans="1:2" x14ac:dyDescent="0.3">
      <c r="A170" s="6" t="s">
        <v>2437</v>
      </c>
      <c r="B170" t="s">
        <v>3970</v>
      </c>
    </row>
    <row r="171" spans="1:2" x14ac:dyDescent="0.3">
      <c r="A171" s="6" t="s">
        <v>2438</v>
      </c>
      <c r="B171" t="s">
        <v>3966</v>
      </c>
    </row>
    <row r="172" spans="1:2" x14ac:dyDescent="0.3">
      <c r="A172" s="6" t="s">
        <v>2439</v>
      </c>
      <c r="B172" t="s">
        <v>3952</v>
      </c>
    </row>
    <row r="173" spans="1:2" x14ac:dyDescent="0.3">
      <c r="A173" s="6" t="s">
        <v>2440</v>
      </c>
      <c r="B173" t="s">
        <v>3953</v>
      </c>
    </row>
    <row r="174" spans="1:2" x14ac:dyDescent="0.3">
      <c r="A174" s="6" t="s">
        <v>2441</v>
      </c>
      <c r="B174" t="s">
        <v>3954</v>
      </c>
    </row>
    <row r="175" spans="1:2" x14ac:dyDescent="0.3">
      <c r="A175" s="6" t="s">
        <v>2442</v>
      </c>
      <c r="B175" t="s">
        <v>3955</v>
      </c>
    </row>
    <row r="176" spans="1:2" x14ac:dyDescent="0.3">
      <c r="A176" s="6" t="s">
        <v>1442</v>
      </c>
      <c r="B176" t="s">
        <v>7061</v>
      </c>
    </row>
    <row r="177" spans="1:2" x14ac:dyDescent="0.3">
      <c r="A177" s="6" t="s">
        <v>2443</v>
      </c>
      <c r="B177" t="s">
        <v>3951</v>
      </c>
    </row>
    <row r="178" spans="1:2" x14ac:dyDescent="0.3">
      <c r="A178" s="6" t="s">
        <v>2444</v>
      </c>
      <c r="B178" t="s">
        <v>3946</v>
      </c>
    </row>
    <row r="179" spans="1:2" x14ac:dyDescent="0.3">
      <c r="A179" s="6" t="s">
        <v>2445</v>
      </c>
      <c r="B179" t="s">
        <v>3947</v>
      </c>
    </row>
    <row r="180" spans="1:2" x14ac:dyDescent="0.3">
      <c r="A180" s="6" t="s">
        <v>2446</v>
      </c>
      <c r="B180" t="s">
        <v>3948</v>
      </c>
    </row>
    <row r="181" spans="1:2" x14ac:dyDescent="0.3">
      <c r="A181" s="6" t="s">
        <v>2447</v>
      </c>
      <c r="B181" t="s">
        <v>3949</v>
      </c>
    </row>
    <row r="182" spans="1:2" x14ac:dyDescent="0.3">
      <c r="A182" s="6" t="s">
        <v>2448</v>
      </c>
      <c r="B182" t="s">
        <v>3950</v>
      </c>
    </row>
    <row r="183" spans="1:2" x14ac:dyDescent="0.3">
      <c r="A183" s="6" t="s">
        <v>2449</v>
      </c>
      <c r="B183" t="s">
        <v>3957</v>
      </c>
    </row>
    <row r="184" spans="1:2" x14ac:dyDescent="0.3">
      <c r="A184" s="6" t="s">
        <v>2450</v>
      </c>
      <c r="B184" t="s">
        <v>3958</v>
      </c>
    </row>
    <row r="185" spans="1:2" x14ac:dyDescent="0.3">
      <c r="A185" s="6" t="s">
        <v>2451</v>
      </c>
      <c r="B185" t="s">
        <v>3959</v>
      </c>
    </row>
    <row r="186" spans="1:2" x14ac:dyDescent="0.3">
      <c r="A186" s="6" t="s">
        <v>2452</v>
      </c>
      <c r="B186" t="s">
        <v>3960</v>
      </c>
    </row>
    <row r="187" spans="1:2" x14ac:dyDescent="0.3">
      <c r="A187" s="6" t="s">
        <v>1443</v>
      </c>
      <c r="B187" t="s">
        <v>2265</v>
      </c>
    </row>
    <row r="188" spans="1:2" x14ac:dyDescent="0.3">
      <c r="A188" s="6" t="s">
        <v>2453</v>
      </c>
      <c r="B188" t="s">
        <v>3956</v>
      </c>
    </row>
    <row r="189" spans="1:2" x14ac:dyDescent="0.3">
      <c r="A189" s="6" t="s">
        <v>2454</v>
      </c>
      <c r="B189" t="s">
        <v>3962</v>
      </c>
    </row>
    <row r="190" spans="1:2" x14ac:dyDescent="0.3">
      <c r="A190" s="6" t="s">
        <v>2455</v>
      </c>
      <c r="B190" t="s">
        <v>3963</v>
      </c>
    </row>
    <row r="191" spans="1:2" x14ac:dyDescent="0.3">
      <c r="A191" s="6" t="s">
        <v>2456</v>
      </c>
      <c r="B191" t="s">
        <v>3964</v>
      </c>
    </row>
    <row r="192" spans="1:2" x14ac:dyDescent="0.3">
      <c r="A192" s="6" t="s">
        <v>2457</v>
      </c>
      <c r="B192" t="s">
        <v>3965</v>
      </c>
    </row>
    <row r="193" spans="1:2" x14ac:dyDescent="0.3">
      <c r="A193" s="6" t="s">
        <v>2458</v>
      </c>
      <c r="B193" t="s">
        <v>3961</v>
      </c>
    </row>
    <row r="194" spans="1:2" x14ac:dyDescent="0.3">
      <c r="A194" s="6" t="s">
        <v>2459</v>
      </c>
      <c r="B194" t="s">
        <v>3942</v>
      </c>
    </row>
    <row r="195" spans="1:2" x14ac:dyDescent="0.3">
      <c r="A195" s="6" t="s">
        <v>2460</v>
      </c>
      <c r="B195" t="s">
        <v>3943</v>
      </c>
    </row>
    <row r="196" spans="1:2" x14ac:dyDescent="0.3">
      <c r="A196" s="6" t="s">
        <v>2461</v>
      </c>
      <c r="B196" t="s">
        <v>3944</v>
      </c>
    </row>
    <row r="197" spans="1:2" x14ac:dyDescent="0.3">
      <c r="A197" s="6" t="s">
        <v>2462</v>
      </c>
      <c r="B197" t="s">
        <v>3945</v>
      </c>
    </row>
    <row r="198" spans="1:2" x14ac:dyDescent="0.3">
      <c r="A198" s="6" t="s">
        <v>1444</v>
      </c>
      <c r="B198" t="s">
        <v>1540</v>
      </c>
    </row>
    <row r="199" spans="1:2" x14ac:dyDescent="0.3">
      <c r="A199" s="6" t="s">
        <v>2463</v>
      </c>
      <c r="B199" t="s">
        <v>3941</v>
      </c>
    </row>
    <row r="200" spans="1:2" x14ac:dyDescent="0.3">
      <c r="A200" s="6" t="s">
        <v>2464</v>
      </c>
      <c r="B200" t="s">
        <v>3937</v>
      </c>
    </row>
    <row r="201" spans="1:2" x14ac:dyDescent="0.3">
      <c r="A201" s="6" t="s">
        <v>2465</v>
      </c>
      <c r="B201" t="s">
        <v>3938</v>
      </c>
    </row>
    <row r="202" spans="1:2" x14ac:dyDescent="0.3">
      <c r="A202" s="6" t="s">
        <v>2466</v>
      </c>
      <c r="B202" t="s">
        <v>3939</v>
      </c>
    </row>
    <row r="203" spans="1:2" x14ac:dyDescent="0.3">
      <c r="A203" s="6" t="s">
        <v>2467</v>
      </c>
      <c r="B203" t="s">
        <v>3940</v>
      </c>
    </row>
    <row r="204" spans="1:2" x14ac:dyDescent="0.3">
      <c r="A204" s="6" t="s">
        <v>2468</v>
      </c>
      <c r="B204" t="s">
        <v>7552</v>
      </c>
    </row>
    <row r="205" spans="1:2" x14ac:dyDescent="0.3">
      <c r="A205" s="6" t="s">
        <v>2469</v>
      </c>
      <c r="B205" t="s">
        <v>3936</v>
      </c>
    </row>
    <row r="206" spans="1:2" x14ac:dyDescent="0.3">
      <c r="A206" s="6" t="s">
        <v>2470</v>
      </c>
      <c r="B206" t="s">
        <v>3984</v>
      </c>
    </row>
    <row r="207" spans="1:2" x14ac:dyDescent="0.3">
      <c r="A207" s="6" t="s">
        <v>2471</v>
      </c>
      <c r="B207" t="s">
        <v>3759</v>
      </c>
    </row>
    <row r="208" spans="1:2" x14ac:dyDescent="0.3">
      <c r="A208" s="6" t="s">
        <v>2472</v>
      </c>
      <c r="B208" t="s">
        <v>3757</v>
      </c>
    </row>
    <row r="209" spans="1:2" x14ac:dyDescent="0.3">
      <c r="A209" s="6" t="s">
        <v>1445</v>
      </c>
      <c r="B209" t="s">
        <v>2266</v>
      </c>
    </row>
    <row r="210" spans="1:2" x14ac:dyDescent="0.3">
      <c r="A210" s="6" t="s">
        <v>2473</v>
      </c>
      <c r="B210" t="s">
        <v>3756</v>
      </c>
    </row>
    <row r="211" spans="1:2" x14ac:dyDescent="0.3">
      <c r="A211" s="6" t="s">
        <v>2474</v>
      </c>
      <c r="B211" t="s">
        <v>3758</v>
      </c>
    </row>
    <row r="212" spans="1:2" x14ac:dyDescent="0.3">
      <c r="A212" s="6" t="s">
        <v>2475</v>
      </c>
      <c r="B212" t="s">
        <v>3983</v>
      </c>
    </row>
    <row r="213" spans="1:2" x14ac:dyDescent="0.3">
      <c r="A213" s="6" t="s">
        <v>2476</v>
      </c>
      <c r="B213" t="s">
        <v>7538</v>
      </c>
    </row>
    <row r="214" spans="1:2" x14ac:dyDescent="0.3">
      <c r="A214" s="6" t="s">
        <v>2477</v>
      </c>
      <c r="B214" t="s">
        <v>7313</v>
      </c>
    </row>
    <row r="215" spans="1:2" x14ac:dyDescent="0.3">
      <c r="A215" s="6" t="s">
        <v>2478</v>
      </c>
      <c r="B215" t="s">
        <v>3972</v>
      </c>
    </row>
    <row r="216" spans="1:2" x14ac:dyDescent="0.3">
      <c r="A216" s="6" t="s">
        <v>2479</v>
      </c>
      <c r="B216" t="s">
        <v>3973</v>
      </c>
    </row>
    <row r="217" spans="1:2" x14ac:dyDescent="0.3">
      <c r="A217" s="6" t="s">
        <v>2480</v>
      </c>
      <c r="B217" t="s">
        <v>3974</v>
      </c>
    </row>
    <row r="218" spans="1:2" x14ac:dyDescent="0.3">
      <c r="A218" s="6" t="s">
        <v>2481</v>
      </c>
      <c r="B218" t="s">
        <v>3975</v>
      </c>
    </row>
    <row r="219" spans="1:2" x14ac:dyDescent="0.3">
      <c r="A219" s="6" t="s">
        <v>2482</v>
      </c>
      <c r="B219" t="s">
        <v>3971</v>
      </c>
    </row>
    <row r="220" spans="1:2" x14ac:dyDescent="0.3">
      <c r="A220" s="6" t="s">
        <v>1446</v>
      </c>
      <c r="B220" t="s">
        <v>2267</v>
      </c>
    </row>
    <row r="221" spans="1:2" x14ac:dyDescent="0.3">
      <c r="A221" s="6" t="s">
        <v>2483</v>
      </c>
      <c r="B221" t="s">
        <v>7877</v>
      </c>
    </row>
    <row r="222" spans="1:2" x14ac:dyDescent="0.3">
      <c r="A222" s="6" t="s">
        <v>2484</v>
      </c>
      <c r="B222" t="s">
        <v>7879</v>
      </c>
    </row>
    <row r="223" spans="1:2" x14ac:dyDescent="0.3">
      <c r="A223" s="6" t="s">
        <v>2485</v>
      </c>
      <c r="B223" t="s">
        <v>7878</v>
      </c>
    </row>
    <row r="224" spans="1:2" x14ac:dyDescent="0.3">
      <c r="A224" s="6" t="s">
        <v>2486</v>
      </c>
      <c r="B224" t="s">
        <v>7539</v>
      </c>
    </row>
    <row r="225" spans="1:2" x14ac:dyDescent="0.3">
      <c r="A225" s="6" t="s">
        <v>2487</v>
      </c>
      <c r="B225" t="s">
        <v>7540</v>
      </c>
    </row>
    <row r="226" spans="1:2" x14ac:dyDescent="0.3">
      <c r="A226" s="6" t="s">
        <v>2488</v>
      </c>
      <c r="B226" t="s">
        <v>7542</v>
      </c>
    </row>
    <row r="227" spans="1:2" x14ac:dyDescent="0.3">
      <c r="A227" s="6" t="s">
        <v>2489</v>
      </c>
      <c r="B227" t="s">
        <v>7543</v>
      </c>
    </row>
    <row r="228" spans="1:2" x14ac:dyDescent="0.3">
      <c r="A228" s="6" t="s">
        <v>2490</v>
      </c>
      <c r="B228" t="s">
        <v>7544</v>
      </c>
    </row>
    <row r="229" spans="1:2" x14ac:dyDescent="0.3">
      <c r="A229" s="6" t="s">
        <v>2491</v>
      </c>
      <c r="B229" t="s">
        <v>7545</v>
      </c>
    </row>
    <row r="230" spans="1:2" x14ac:dyDescent="0.3">
      <c r="A230" s="6" t="s">
        <v>2492</v>
      </c>
      <c r="B230" t="s">
        <v>7546</v>
      </c>
    </row>
    <row r="231" spans="1:2" x14ac:dyDescent="0.3">
      <c r="A231" s="6" t="s">
        <v>1447</v>
      </c>
      <c r="B231" t="s">
        <v>1541</v>
      </c>
    </row>
    <row r="232" spans="1:2" x14ac:dyDescent="0.3">
      <c r="A232" s="6" t="s">
        <v>2493</v>
      </c>
      <c r="B232" t="s">
        <v>7541</v>
      </c>
    </row>
    <row r="233" spans="1:2" x14ac:dyDescent="0.3">
      <c r="A233" s="6" t="s">
        <v>2494</v>
      </c>
      <c r="B233" t="s">
        <v>6380</v>
      </c>
    </row>
    <row r="234" spans="1:2" x14ac:dyDescent="0.3">
      <c r="A234" s="6" t="s">
        <v>2495</v>
      </c>
      <c r="B234" t="s">
        <v>7876</v>
      </c>
    </row>
    <row r="235" spans="1:2" x14ac:dyDescent="0.3">
      <c r="A235" s="6" t="s">
        <v>2496</v>
      </c>
      <c r="B235" t="s">
        <v>3976</v>
      </c>
    </row>
    <row r="236" spans="1:2" x14ac:dyDescent="0.3">
      <c r="A236" s="6" t="s">
        <v>2497</v>
      </c>
      <c r="B236" t="s">
        <v>3977</v>
      </c>
    </row>
    <row r="237" spans="1:2" x14ac:dyDescent="0.3">
      <c r="A237" s="6" t="s">
        <v>2498</v>
      </c>
      <c r="B237" t="s">
        <v>6545</v>
      </c>
    </row>
    <row r="238" spans="1:2" x14ac:dyDescent="0.3">
      <c r="A238" s="6" t="s">
        <v>2499</v>
      </c>
      <c r="B238" t="s">
        <v>7901</v>
      </c>
    </row>
    <row r="239" spans="1:2" x14ac:dyDescent="0.3">
      <c r="A239" s="6" t="s">
        <v>2500</v>
      </c>
      <c r="B239" t="s">
        <v>2114</v>
      </c>
    </row>
    <row r="240" spans="1:2" x14ac:dyDescent="0.3">
      <c r="A240" s="6" t="s">
        <v>2501</v>
      </c>
      <c r="B240" t="s">
        <v>6546</v>
      </c>
    </row>
    <row r="241" spans="1:2" x14ac:dyDescent="0.3">
      <c r="A241" s="6" t="s">
        <v>2502</v>
      </c>
      <c r="B241" t="s">
        <v>7968</v>
      </c>
    </row>
    <row r="242" spans="1:2" x14ac:dyDescent="0.3">
      <c r="A242" s="6" t="s">
        <v>1448</v>
      </c>
      <c r="B242" t="s">
        <v>2269</v>
      </c>
    </row>
    <row r="243" spans="1:2" x14ac:dyDescent="0.3">
      <c r="A243" s="6" t="s">
        <v>2503</v>
      </c>
      <c r="B243" t="s">
        <v>6674</v>
      </c>
    </row>
    <row r="244" spans="1:2" x14ac:dyDescent="0.3">
      <c r="A244" s="6" t="s">
        <v>2504</v>
      </c>
      <c r="B244" t="s">
        <v>6172</v>
      </c>
    </row>
    <row r="245" spans="1:2" x14ac:dyDescent="0.3">
      <c r="A245" s="6" t="s">
        <v>2505</v>
      </c>
      <c r="B245" t="s">
        <v>7971</v>
      </c>
    </row>
    <row r="246" spans="1:2" x14ac:dyDescent="0.3">
      <c r="A246" s="6" t="s">
        <v>2506</v>
      </c>
      <c r="B246" t="s">
        <v>6675</v>
      </c>
    </row>
    <row r="247" spans="1:2" x14ac:dyDescent="0.3">
      <c r="A247" s="6" t="s">
        <v>2507</v>
      </c>
      <c r="B247" t="s">
        <v>6175</v>
      </c>
    </row>
    <row r="248" spans="1:2" x14ac:dyDescent="0.3">
      <c r="A248" s="6" t="s">
        <v>2508</v>
      </c>
      <c r="B248" t="s">
        <v>7969</v>
      </c>
    </row>
    <row r="249" spans="1:2" x14ac:dyDescent="0.3">
      <c r="A249" s="6" t="s">
        <v>2509</v>
      </c>
      <c r="B249" t="s">
        <v>6673</v>
      </c>
    </row>
    <row r="250" spans="1:2" x14ac:dyDescent="0.3">
      <c r="A250" s="6" t="s">
        <v>2510</v>
      </c>
      <c r="B250" t="s">
        <v>6173</v>
      </c>
    </row>
    <row r="251" spans="1:2" x14ac:dyDescent="0.3">
      <c r="A251" s="6" t="s">
        <v>2511</v>
      </c>
      <c r="B251" t="s">
        <v>3124</v>
      </c>
    </row>
    <row r="252" spans="1:2" x14ac:dyDescent="0.3">
      <c r="A252" s="6" t="s">
        <v>2512</v>
      </c>
      <c r="B252" t="s">
        <v>6176</v>
      </c>
    </row>
    <row r="253" spans="1:2" x14ac:dyDescent="0.3">
      <c r="A253" s="6" t="s">
        <v>1449</v>
      </c>
      <c r="B253" t="s">
        <v>1539</v>
      </c>
    </row>
    <row r="254" spans="1:2" x14ac:dyDescent="0.3">
      <c r="A254" s="6" t="s">
        <v>2513</v>
      </c>
      <c r="B254" t="s">
        <v>3122</v>
      </c>
    </row>
    <row r="255" spans="1:2" x14ac:dyDescent="0.3">
      <c r="A255" s="6" t="s">
        <v>2514</v>
      </c>
      <c r="B255" t="s">
        <v>3126</v>
      </c>
    </row>
    <row r="256" spans="1:2" x14ac:dyDescent="0.3">
      <c r="A256" s="6" t="s">
        <v>2515</v>
      </c>
      <c r="B256" t="s">
        <v>7237</v>
      </c>
    </row>
    <row r="257" spans="1:2" x14ac:dyDescent="0.3">
      <c r="A257" s="6" t="s">
        <v>2516</v>
      </c>
      <c r="B257" t="s">
        <v>8323</v>
      </c>
    </row>
    <row r="258" spans="1:2" x14ac:dyDescent="0.3">
      <c r="A258" s="6" t="s">
        <v>2517</v>
      </c>
      <c r="B258" t="s">
        <v>6874</v>
      </c>
    </row>
    <row r="259" spans="1:2" x14ac:dyDescent="0.3">
      <c r="A259" s="6" t="s">
        <v>2518</v>
      </c>
      <c r="B259" t="s">
        <v>1656</v>
      </c>
    </row>
    <row r="260" spans="1:2" x14ac:dyDescent="0.3">
      <c r="A260" s="6" t="s">
        <v>2519</v>
      </c>
      <c r="B260" t="s">
        <v>7967</v>
      </c>
    </row>
    <row r="261" spans="1:2" x14ac:dyDescent="0.3">
      <c r="A261" s="6" t="s">
        <v>2520</v>
      </c>
      <c r="B261" t="s">
        <v>2232</v>
      </c>
    </row>
    <row r="262" spans="1:2" x14ac:dyDescent="0.3">
      <c r="A262" s="6" t="s">
        <v>2521</v>
      </c>
      <c r="B262" t="s">
        <v>7972</v>
      </c>
    </row>
    <row r="263" spans="1:2" x14ac:dyDescent="0.3">
      <c r="A263" s="6" t="s">
        <v>2522</v>
      </c>
      <c r="B263" t="s">
        <v>1658</v>
      </c>
    </row>
    <row r="264" spans="1:2" x14ac:dyDescent="0.3">
      <c r="A264" s="6" t="s">
        <v>1450</v>
      </c>
      <c r="B264" t="s">
        <v>6937</v>
      </c>
    </row>
    <row r="265" spans="1:2" x14ac:dyDescent="0.3">
      <c r="A265" s="6" t="s">
        <v>2523</v>
      </c>
      <c r="B265" t="s">
        <v>7970</v>
      </c>
    </row>
    <row r="266" spans="1:2" x14ac:dyDescent="0.3">
      <c r="A266" s="6" t="s">
        <v>2524</v>
      </c>
      <c r="B266" t="s">
        <v>3123</v>
      </c>
    </row>
    <row r="267" spans="1:2" x14ac:dyDescent="0.3">
      <c r="A267" s="6" t="s">
        <v>2525</v>
      </c>
      <c r="B267" t="s">
        <v>3121</v>
      </c>
    </row>
    <row r="268" spans="1:2" x14ac:dyDescent="0.3">
      <c r="A268" s="6" t="s">
        <v>2526</v>
      </c>
      <c r="B268" t="s">
        <v>7973</v>
      </c>
    </row>
    <row r="269" spans="1:2" x14ac:dyDescent="0.3">
      <c r="A269" s="6" t="s">
        <v>2527</v>
      </c>
      <c r="B269" t="s">
        <v>3125</v>
      </c>
    </row>
    <row r="270" spans="1:2" x14ac:dyDescent="0.3">
      <c r="A270" s="6" t="s">
        <v>2528</v>
      </c>
      <c r="B270" t="s">
        <v>6174</v>
      </c>
    </row>
    <row r="271" spans="1:2" x14ac:dyDescent="0.3">
      <c r="A271" s="6" t="s">
        <v>2529</v>
      </c>
      <c r="B271" t="s">
        <v>3127</v>
      </c>
    </row>
    <row r="272" spans="1:2" x14ac:dyDescent="0.3">
      <c r="A272" s="6" t="s">
        <v>2530</v>
      </c>
      <c r="B272" t="s">
        <v>8325</v>
      </c>
    </row>
    <row r="273" spans="1:2" x14ac:dyDescent="0.3">
      <c r="A273" s="6" t="s">
        <v>2531</v>
      </c>
      <c r="B273" t="s">
        <v>8326</v>
      </c>
    </row>
    <row r="274" spans="1:2" x14ac:dyDescent="0.3">
      <c r="A274" s="6" t="s">
        <v>2532</v>
      </c>
      <c r="B274" t="s">
        <v>8327</v>
      </c>
    </row>
    <row r="275" spans="1:2" x14ac:dyDescent="0.3">
      <c r="A275" s="6" t="s">
        <v>1344</v>
      </c>
      <c r="B275" t="s">
        <v>7484</v>
      </c>
    </row>
    <row r="276" spans="1:2" x14ac:dyDescent="0.3">
      <c r="A276" s="6" t="s">
        <v>1451</v>
      </c>
      <c r="B276" t="s">
        <v>8250</v>
      </c>
    </row>
    <row r="277" spans="1:2" x14ac:dyDescent="0.3">
      <c r="A277" s="6" t="s">
        <v>2533</v>
      </c>
      <c r="B277" t="s">
        <v>8324</v>
      </c>
    </row>
    <row r="278" spans="1:2" x14ac:dyDescent="0.3">
      <c r="A278" s="6" t="s">
        <v>2534</v>
      </c>
      <c r="B278" t="s">
        <v>8329</v>
      </c>
    </row>
    <row r="279" spans="1:2" x14ac:dyDescent="0.3">
      <c r="A279" s="6" t="s">
        <v>2535</v>
      </c>
      <c r="B279" t="s">
        <v>8330</v>
      </c>
    </row>
    <row r="280" spans="1:2" x14ac:dyDescent="0.3">
      <c r="A280" s="6" t="s">
        <v>2536</v>
      </c>
      <c r="B280" t="s">
        <v>8328</v>
      </c>
    </row>
    <row r="281" spans="1:2" x14ac:dyDescent="0.3">
      <c r="A281" s="6" t="s">
        <v>2537</v>
      </c>
      <c r="B281" t="s">
        <v>8422</v>
      </c>
    </row>
    <row r="282" spans="1:2" x14ac:dyDescent="0.3">
      <c r="A282" s="6" t="s">
        <v>2538</v>
      </c>
      <c r="B282" t="s">
        <v>6682</v>
      </c>
    </row>
    <row r="283" spans="1:2" x14ac:dyDescent="0.3">
      <c r="A283" s="6" t="s">
        <v>2539</v>
      </c>
      <c r="B283" t="s">
        <v>6686</v>
      </c>
    </row>
    <row r="284" spans="1:2" x14ac:dyDescent="0.3">
      <c r="A284" s="6" t="s">
        <v>2540</v>
      </c>
      <c r="B284" t="s">
        <v>6683</v>
      </c>
    </row>
    <row r="285" spans="1:2" x14ac:dyDescent="0.3">
      <c r="A285" s="6" t="s">
        <v>2541</v>
      </c>
      <c r="B285" t="s">
        <v>6685</v>
      </c>
    </row>
    <row r="286" spans="1:2" x14ac:dyDescent="0.3">
      <c r="A286" s="6" t="s">
        <v>2542</v>
      </c>
      <c r="B286" t="s">
        <v>6684</v>
      </c>
    </row>
    <row r="287" spans="1:2" x14ac:dyDescent="0.3">
      <c r="A287" s="6" t="s">
        <v>1452</v>
      </c>
      <c r="B287" t="s">
        <v>1966</v>
      </c>
    </row>
    <row r="288" spans="1:2" x14ac:dyDescent="0.3">
      <c r="A288" s="6" t="s">
        <v>2543</v>
      </c>
      <c r="B288" t="s">
        <v>1780</v>
      </c>
    </row>
    <row r="289" spans="1:2" x14ac:dyDescent="0.3">
      <c r="A289" s="6" t="s">
        <v>2544</v>
      </c>
      <c r="B289" t="s">
        <v>1775</v>
      </c>
    </row>
    <row r="290" spans="1:2" x14ac:dyDescent="0.3">
      <c r="A290" s="6" t="s">
        <v>2545</v>
      </c>
      <c r="B290" t="s">
        <v>1781</v>
      </c>
    </row>
    <row r="291" spans="1:2" x14ac:dyDescent="0.3">
      <c r="A291" s="6" t="s">
        <v>2546</v>
      </c>
      <c r="B291" t="s">
        <v>1776</v>
      </c>
    </row>
    <row r="292" spans="1:2" x14ac:dyDescent="0.3">
      <c r="A292" s="6" t="s">
        <v>2547</v>
      </c>
      <c r="B292" t="s">
        <v>6889</v>
      </c>
    </row>
    <row r="293" spans="1:2" x14ac:dyDescent="0.3">
      <c r="A293" s="6" t="s">
        <v>2548</v>
      </c>
      <c r="B293" t="s">
        <v>6885</v>
      </c>
    </row>
    <row r="294" spans="1:2" x14ac:dyDescent="0.3">
      <c r="A294" s="6" t="s">
        <v>2549</v>
      </c>
      <c r="B294" t="s">
        <v>6886</v>
      </c>
    </row>
    <row r="295" spans="1:2" x14ac:dyDescent="0.3">
      <c r="A295" s="6" t="s">
        <v>2550</v>
      </c>
      <c r="B295" t="s">
        <v>8436</v>
      </c>
    </row>
    <row r="296" spans="1:2" x14ac:dyDescent="0.3">
      <c r="A296" s="6" t="s">
        <v>2551</v>
      </c>
      <c r="B296" t="s">
        <v>6888</v>
      </c>
    </row>
    <row r="297" spans="1:2" x14ac:dyDescent="0.3">
      <c r="A297" s="6" t="s">
        <v>2552</v>
      </c>
      <c r="B297" t="s">
        <v>6887</v>
      </c>
    </row>
    <row r="298" spans="1:2" x14ac:dyDescent="0.3">
      <c r="A298" s="6" t="s">
        <v>1453</v>
      </c>
      <c r="B298" t="s">
        <v>1965</v>
      </c>
    </row>
    <row r="299" spans="1:2" x14ac:dyDescent="0.3">
      <c r="A299" s="6" t="s">
        <v>2553</v>
      </c>
      <c r="B299" t="s">
        <v>3128</v>
      </c>
    </row>
    <row r="300" spans="1:2" x14ac:dyDescent="0.3">
      <c r="A300" s="6" t="s">
        <v>2554</v>
      </c>
      <c r="B300" t="s">
        <v>3129</v>
      </c>
    </row>
    <row r="301" spans="1:2" x14ac:dyDescent="0.3">
      <c r="A301" s="6" t="s">
        <v>2555</v>
      </c>
      <c r="B301" t="s">
        <v>3135</v>
      </c>
    </row>
    <row r="302" spans="1:2" x14ac:dyDescent="0.3">
      <c r="A302" s="6" t="s">
        <v>2556</v>
      </c>
      <c r="B302" t="s">
        <v>3133</v>
      </c>
    </row>
    <row r="303" spans="1:2" x14ac:dyDescent="0.3">
      <c r="A303" s="6" t="s">
        <v>2557</v>
      </c>
      <c r="B303" t="s">
        <v>3130</v>
      </c>
    </row>
    <row r="304" spans="1:2" x14ac:dyDescent="0.3">
      <c r="A304" s="6" t="s">
        <v>2558</v>
      </c>
      <c r="B304" t="s">
        <v>3136</v>
      </c>
    </row>
    <row r="305" spans="1:2" x14ac:dyDescent="0.3">
      <c r="A305" s="6" t="s">
        <v>2559</v>
      </c>
      <c r="B305" t="s">
        <v>2412</v>
      </c>
    </row>
    <row r="306" spans="1:2" x14ac:dyDescent="0.3">
      <c r="A306" s="6" t="s">
        <v>2560</v>
      </c>
      <c r="B306" t="s">
        <v>3543</v>
      </c>
    </row>
    <row r="307" spans="1:2" x14ac:dyDescent="0.3">
      <c r="A307" s="6" t="s">
        <v>2561</v>
      </c>
      <c r="B307" t="s">
        <v>3544</v>
      </c>
    </row>
    <row r="308" spans="1:2" x14ac:dyDescent="0.3">
      <c r="A308" s="6" t="s">
        <v>2562</v>
      </c>
      <c r="B308" t="s">
        <v>3545</v>
      </c>
    </row>
    <row r="309" spans="1:2" x14ac:dyDescent="0.3">
      <c r="A309" s="6" t="s">
        <v>1454</v>
      </c>
      <c r="B309" t="s">
        <v>3249</v>
      </c>
    </row>
    <row r="310" spans="1:2" x14ac:dyDescent="0.3">
      <c r="A310" s="6" t="s">
        <v>2563</v>
      </c>
      <c r="B310" t="s">
        <v>3461</v>
      </c>
    </row>
    <row r="311" spans="1:2" x14ac:dyDescent="0.3">
      <c r="A311" s="6" t="s">
        <v>2564</v>
      </c>
      <c r="B311" t="s">
        <v>3546</v>
      </c>
    </row>
    <row r="312" spans="1:2" x14ac:dyDescent="0.3">
      <c r="A312" s="6" t="s">
        <v>2565</v>
      </c>
      <c r="B312" t="s">
        <v>3462</v>
      </c>
    </row>
    <row r="313" spans="1:2" x14ac:dyDescent="0.3">
      <c r="A313" s="6" t="s">
        <v>2566</v>
      </c>
      <c r="B313" t="s">
        <v>3459</v>
      </c>
    </row>
    <row r="314" spans="1:2" x14ac:dyDescent="0.3">
      <c r="A314" s="6" t="s">
        <v>2567</v>
      </c>
      <c r="B314" t="s">
        <v>3547</v>
      </c>
    </row>
    <row r="315" spans="1:2" x14ac:dyDescent="0.3">
      <c r="A315" s="6" t="s">
        <v>2568</v>
      </c>
      <c r="B315" t="s">
        <v>3460</v>
      </c>
    </row>
    <row r="316" spans="1:2" x14ac:dyDescent="0.3">
      <c r="A316" s="6" t="s">
        <v>2569</v>
      </c>
      <c r="B316" t="s">
        <v>3464</v>
      </c>
    </row>
    <row r="317" spans="1:2" x14ac:dyDescent="0.3">
      <c r="A317" s="6" t="s">
        <v>2570</v>
      </c>
      <c r="B317" t="s">
        <v>3463</v>
      </c>
    </row>
    <row r="318" spans="1:2" x14ac:dyDescent="0.3">
      <c r="A318" s="6" t="s">
        <v>2571</v>
      </c>
      <c r="B318" t="s">
        <v>3152</v>
      </c>
    </row>
    <row r="319" spans="1:2" x14ac:dyDescent="0.3">
      <c r="A319" s="6" t="s">
        <v>2572</v>
      </c>
      <c r="B319" t="s">
        <v>3153</v>
      </c>
    </row>
    <row r="320" spans="1:2" x14ac:dyDescent="0.3">
      <c r="A320" s="6" t="s">
        <v>1455</v>
      </c>
      <c r="B320" t="s">
        <v>1974</v>
      </c>
    </row>
    <row r="321" spans="1:2" x14ac:dyDescent="0.3">
      <c r="A321" s="6" t="s">
        <v>2573</v>
      </c>
      <c r="B321" t="s">
        <v>3169</v>
      </c>
    </row>
    <row r="322" spans="1:2" x14ac:dyDescent="0.3">
      <c r="A322" s="6" t="s">
        <v>2574</v>
      </c>
      <c r="B322" t="s">
        <v>3166</v>
      </c>
    </row>
    <row r="323" spans="1:2" x14ac:dyDescent="0.3">
      <c r="A323" s="6" t="s">
        <v>2575</v>
      </c>
      <c r="B323" t="s">
        <v>3155</v>
      </c>
    </row>
    <row r="324" spans="1:2" x14ac:dyDescent="0.3">
      <c r="A324" s="6" t="s">
        <v>2576</v>
      </c>
      <c r="B324" t="s">
        <v>3193</v>
      </c>
    </row>
    <row r="325" spans="1:2" x14ac:dyDescent="0.3">
      <c r="A325" s="6" t="s">
        <v>2577</v>
      </c>
      <c r="B325" t="s">
        <v>1811</v>
      </c>
    </row>
    <row r="326" spans="1:2" x14ac:dyDescent="0.3">
      <c r="A326" s="6" t="s">
        <v>2578</v>
      </c>
      <c r="B326" t="s">
        <v>1812</v>
      </c>
    </row>
    <row r="327" spans="1:2" x14ac:dyDescent="0.3">
      <c r="A327" s="6" t="s">
        <v>2579</v>
      </c>
      <c r="B327" t="s">
        <v>1783</v>
      </c>
    </row>
    <row r="328" spans="1:2" x14ac:dyDescent="0.3">
      <c r="A328" s="6" t="s">
        <v>2580</v>
      </c>
      <c r="B328" t="s">
        <v>1777</v>
      </c>
    </row>
    <row r="329" spans="1:2" x14ac:dyDescent="0.3">
      <c r="A329" s="6" t="s">
        <v>2581</v>
      </c>
      <c r="B329" t="s">
        <v>1782</v>
      </c>
    </row>
    <row r="330" spans="1:2" x14ac:dyDescent="0.3">
      <c r="A330" s="6" t="s">
        <v>2582</v>
      </c>
      <c r="B330" t="s">
        <v>1778</v>
      </c>
    </row>
    <row r="331" spans="1:2" x14ac:dyDescent="0.3">
      <c r="A331" s="6" t="s">
        <v>1456</v>
      </c>
      <c r="B331" t="s">
        <v>8245</v>
      </c>
    </row>
    <row r="332" spans="1:2" x14ac:dyDescent="0.3">
      <c r="A332" s="6" t="s">
        <v>2583</v>
      </c>
      <c r="B332" t="s">
        <v>1784</v>
      </c>
    </row>
    <row r="333" spans="1:2" x14ac:dyDescent="0.3">
      <c r="A333" s="6" t="s">
        <v>2584</v>
      </c>
      <c r="B333" t="s">
        <v>1779</v>
      </c>
    </row>
    <row r="334" spans="1:2" x14ac:dyDescent="0.3">
      <c r="A334" s="6" t="s">
        <v>2585</v>
      </c>
      <c r="B334" t="s">
        <v>8415</v>
      </c>
    </row>
    <row r="335" spans="1:2" x14ac:dyDescent="0.3">
      <c r="A335" s="6" t="s">
        <v>2586</v>
      </c>
      <c r="B335" t="s">
        <v>8416</v>
      </c>
    </row>
    <row r="336" spans="1:2" x14ac:dyDescent="0.3">
      <c r="A336" s="6" t="s">
        <v>2587</v>
      </c>
      <c r="B336" t="s">
        <v>8417</v>
      </c>
    </row>
    <row r="337" spans="1:2" x14ac:dyDescent="0.3">
      <c r="A337" s="6" t="s">
        <v>2588</v>
      </c>
      <c r="B337" t="s">
        <v>8418</v>
      </c>
    </row>
    <row r="338" spans="1:2" x14ac:dyDescent="0.3">
      <c r="A338" s="6" t="s">
        <v>2589</v>
      </c>
      <c r="B338" t="s">
        <v>8420</v>
      </c>
    </row>
    <row r="339" spans="1:2" x14ac:dyDescent="0.3">
      <c r="A339" s="6" t="s">
        <v>2590</v>
      </c>
      <c r="B339" t="s">
        <v>8419</v>
      </c>
    </row>
    <row r="340" spans="1:2" x14ac:dyDescent="0.3">
      <c r="A340" s="6" t="s">
        <v>2591</v>
      </c>
      <c r="B340" t="s">
        <v>7461</v>
      </c>
    </row>
    <row r="341" spans="1:2" x14ac:dyDescent="0.3">
      <c r="A341" s="6" t="s">
        <v>2592</v>
      </c>
      <c r="B341" t="s">
        <v>8331</v>
      </c>
    </row>
    <row r="342" spans="1:2" x14ac:dyDescent="0.3">
      <c r="A342" s="6" t="s">
        <v>1457</v>
      </c>
      <c r="B342" t="s">
        <v>8246</v>
      </c>
    </row>
    <row r="343" spans="1:2" x14ac:dyDescent="0.3">
      <c r="A343" s="6" t="s">
        <v>2593</v>
      </c>
      <c r="B343" t="s">
        <v>8332</v>
      </c>
    </row>
    <row r="344" spans="1:2" x14ac:dyDescent="0.3">
      <c r="A344" s="6" t="s">
        <v>2594</v>
      </c>
      <c r="B344" t="s">
        <v>6876</v>
      </c>
    </row>
    <row r="345" spans="1:2" x14ac:dyDescent="0.3">
      <c r="A345" s="6" t="s">
        <v>2595</v>
      </c>
      <c r="B345" t="s">
        <v>8269</v>
      </c>
    </row>
    <row r="346" spans="1:2" x14ac:dyDescent="0.3">
      <c r="A346" s="6" t="s">
        <v>2596</v>
      </c>
      <c r="B346" t="s">
        <v>8270</v>
      </c>
    </row>
    <row r="347" spans="1:2" x14ac:dyDescent="0.3">
      <c r="A347" s="6" t="s">
        <v>2597</v>
      </c>
      <c r="B347" t="s">
        <v>8271</v>
      </c>
    </row>
    <row r="348" spans="1:2" x14ac:dyDescent="0.3">
      <c r="A348" s="6" t="s">
        <v>2598</v>
      </c>
      <c r="B348" t="s">
        <v>8272</v>
      </c>
    </row>
    <row r="349" spans="1:2" x14ac:dyDescent="0.3">
      <c r="A349" s="6" t="s">
        <v>2599</v>
      </c>
      <c r="B349" t="s">
        <v>7974</v>
      </c>
    </row>
    <row r="350" spans="1:2" x14ac:dyDescent="0.3">
      <c r="A350" s="6" t="s">
        <v>2600</v>
      </c>
      <c r="B350" t="s">
        <v>7907</v>
      </c>
    </row>
    <row r="351" spans="1:2" x14ac:dyDescent="0.3">
      <c r="A351" s="6" t="s">
        <v>2601</v>
      </c>
      <c r="B351" t="s">
        <v>3694</v>
      </c>
    </row>
    <row r="352" spans="1:2" x14ac:dyDescent="0.3">
      <c r="A352" s="6" t="s">
        <v>2602</v>
      </c>
      <c r="B352" t="s">
        <v>3693</v>
      </c>
    </row>
    <row r="353" spans="1:2" x14ac:dyDescent="0.3">
      <c r="A353" s="6" t="s">
        <v>1458</v>
      </c>
      <c r="B353" t="s">
        <v>8247</v>
      </c>
    </row>
    <row r="354" spans="1:2" x14ac:dyDescent="0.3">
      <c r="A354" s="6" t="s">
        <v>2603</v>
      </c>
      <c r="B354" t="s">
        <v>7887</v>
      </c>
    </row>
    <row r="355" spans="1:2" x14ac:dyDescent="0.3">
      <c r="A355" s="6" t="s">
        <v>2604</v>
      </c>
      <c r="B355" t="s">
        <v>8354</v>
      </c>
    </row>
    <row r="356" spans="1:2" x14ac:dyDescent="0.3">
      <c r="A356" s="6" t="s">
        <v>2605</v>
      </c>
      <c r="B356" t="s">
        <v>8355</v>
      </c>
    </row>
    <row r="357" spans="1:2" x14ac:dyDescent="0.3">
      <c r="A357" s="6" t="s">
        <v>2606</v>
      </c>
      <c r="B357" t="s">
        <v>2133</v>
      </c>
    </row>
    <row r="358" spans="1:2" x14ac:dyDescent="0.3">
      <c r="A358" s="6" t="s">
        <v>2607</v>
      </c>
      <c r="B358" t="s">
        <v>2131</v>
      </c>
    </row>
    <row r="359" spans="1:2" x14ac:dyDescent="0.3">
      <c r="A359" s="6" t="s">
        <v>2608</v>
      </c>
      <c r="B359" t="s">
        <v>6475</v>
      </c>
    </row>
    <row r="360" spans="1:2" x14ac:dyDescent="0.3">
      <c r="A360" s="6" t="s">
        <v>2609</v>
      </c>
      <c r="B360" t="s">
        <v>8098</v>
      </c>
    </row>
    <row r="361" spans="1:2" x14ac:dyDescent="0.3">
      <c r="A361" s="6" t="s">
        <v>2610</v>
      </c>
      <c r="B361" t="s">
        <v>6476</v>
      </c>
    </row>
    <row r="362" spans="1:2" x14ac:dyDescent="0.3">
      <c r="A362" s="6" t="s">
        <v>2611</v>
      </c>
      <c r="B362" t="s">
        <v>8099</v>
      </c>
    </row>
    <row r="363" spans="1:2" x14ac:dyDescent="0.3">
      <c r="A363" s="6" t="s">
        <v>2612</v>
      </c>
      <c r="B363" t="s">
        <v>2145</v>
      </c>
    </row>
    <row r="364" spans="1:2" x14ac:dyDescent="0.3">
      <c r="A364" s="6" t="s">
        <v>1459</v>
      </c>
      <c r="B364" t="s">
        <v>2758</v>
      </c>
    </row>
    <row r="365" spans="1:2" x14ac:dyDescent="0.3">
      <c r="A365" s="6" t="s">
        <v>2613</v>
      </c>
      <c r="B365" t="s">
        <v>2328</v>
      </c>
    </row>
    <row r="366" spans="1:2" x14ac:dyDescent="0.3">
      <c r="A366" s="6" t="s">
        <v>2614</v>
      </c>
      <c r="B366" t="s">
        <v>2143</v>
      </c>
    </row>
    <row r="367" spans="1:2" x14ac:dyDescent="0.3">
      <c r="A367" s="6" t="s">
        <v>2615</v>
      </c>
      <c r="B367" t="s">
        <v>7462</v>
      </c>
    </row>
    <row r="368" spans="1:2" x14ac:dyDescent="0.3">
      <c r="A368" s="6" t="s">
        <v>2616</v>
      </c>
      <c r="B368" t="s">
        <v>2144</v>
      </c>
    </row>
    <row r="369" spans="1:2" x14ac:dyDescent="0.3">
      <c r="A369" s="6" t="s">
        <v>2617</v>
      </c>
      <c r="B369" t="s">
        <v>2142</v>
      </c>
    </row>
    <row r="370" spans="1:2" x14ac:dyDescent="0.3">
      <c r="A370" s="6" t="s">
        <v>2618</v>
      </c>
      <c r="B370" t="s">
        <v>7460</v>
      </c>
    </row>
    <row r="371" spans="1:2" x14ac:dyDescent="0.3">
      <c r="A371" s="6" t="s">
        <v>2619</v>
      </c>
      <c r="B371" t="s">
        <v>7956</v>
      </c>
    </row>
    <row r="372" spans="1:2" x14ac:dyDescent="0.3">
      <c r="A372" s="6" t="s">
        <v>2620</v>
      </c>
      <c r="B372" t="s">
        <v>1520</v>
      </c>
    </row>
    <row r="373" spans="1:2" x14ac:dyDescent="0.3">
      <c r="A373" s="6" t="s">
        <v>2621</v>
      </c>
      <c r="B373" t="s">
        <v>1663</v>
      </c>
    </row>
    <row r="374" spans="1:2" x14ac:dyDescent="0.3">
      <c r="A374" s="6" t="s">
        <v>2622</v>
      </c>
      <c r="B374" t="s">
        <v>3227</v>
      </c>
    </row>
    <row r="375" spans="1:2" x14ac:dyDescent="0.3">
      <c r="A375" s="6" t="s">
        <v>1460</v>
      </c>
      <c r="B375" t="s">
        <v>2756</v>
      </c>
    </row>
    <row r="376" spans="1:2" x14ac:dyDescent="0.3">
      <c r="A376" s="6" t="s">
        <v>2623</v>
      </c>
      <c r="B376" t="s">
        <v>1521</v>
      </c>
    </row>
    <row r="377" spans="1:2" x14ac:dyDescent="0.3">
      <c r="A377" s="6" t="s">
        <v>2624</v>
      </c>
      <c r="B377" t="s">
        <v>1661</v>
      </c>
    </row>
    <row r="378" spans="1:2" x14ac:dyDescent="0.3">
      <c r="A378" s="6" t="s">
        <v>2625</v>
      </c>
      <c r="B378" t="s">
        <v>1518</v>
      </c>
    </row>
    <row r="379" spans="1:2" x14ac:dyDescent="0.3">
      <c r="A379" s="6" t="s">
        <v>2626</v>
      </c>
      <c r="B379" t="s">
        <v>1662</v>
      </c>
    </row>
    <row r="380" spans="1:2" x14ac:dyDescent="0.3">
      <c r="A380" s="6" t="s">
        <v>2627</v>
      </c>
      <c r="B380" t="s">
        <v>1519</v>
      </c>
    </row>
    <row r="381" spans="1:2" x14ac:dyDescent="0.3">
      <c r="A381" s="6" t="s">
        <v>2628</v>
      </c>
      <c r="B381" t="s">
        <v>1660</v>
      </c>
    </row>
    <row r="382" spans="1:2" x14ac:dyDescent="0.3">
      <c r="A382" s="6" t="s">
        <v>2629</v>
      </c>
      <c r="B382" t="s">
        <v>1517</v>
      </c>
    </row>
    <row r="383" spans="1:2" x14ac:dyDescent="0.3">
      <c r="A383" s="6" t="s">
        <v>2630</v>
      </c>
      <c r="B383" t="s">
        <v>8153</v>
      </c>
    </row>
    <row r="384" spans="1:2" x14ac:dyDescent="0.3">
      <c r="A384" s="6" t="s">
        <v>2631</v>
      </c>
      <c r="B384" t="s">
        <v>7955</v>
      </c>
    </row>
    <row r="385" spans="1:2" x14ac:dyDescent="0.3">
      <c r="A385" s="6" t="s">
        <v>2632</v>
      </c>
      <c r="B385" t="s">
        <v>8196</v>
      </c>
    </row>
    <row r="386" spans="1:2" x14ac:dyDescent="0.3">
      <c r="A386" s="6" t="s">
        <v>1345</v>
      </c>
      <c r="B386" t="s">
        <v>7889</v>
      </c>
    </row>
    <row r="387" spans="1:2" x14ac:dyDescent="0.3">
      <c r="A387" s="6" t="s">
        <v>1461</v>
      </c>
      <c r="B387" t="s">
        <v>2757</v>
      </c>
    </row>
    <row r="388" spans="1:2" x14ac:dyDescent="0.3">
      <c r="A388" s="6" t="s">
        <v>2633</v>
      </c>
      <c r="B388" t="s">
        <v>8194</v>
      </c>
    </row>
    <row r="389" spans="1:2" x14ac:dyDescent="0.3">
      <c r="A389" s="6" t="s">
        <v>2634</v>
      </c>
      <c r="B389" t="s">
        <v>8195</v>
      </c>
    </row>
    <row r="390" spans="1:2" x14ac:dyDescent="0.3">
      <c r="A390" s="6" t="s">
        <v>2635</v>
      </c>
      <c r="B390" t="s">
        <v>1926</v>
      </c>
    </row>
    <row r="391" spans="1:2" x14ac:dyDescent="0.3">
      <c r="A391" s="6" t="s">
        <v>2636</v>
      </c>
      <c r="B391" t="s">
        <v>1924</v>
      </c>
    </row>
    <row r="392" spans="1:2" x14ac:dyDescent="0.3">
      <c r="A392" s="6" t="s">
        <v>2637</v>
      </c>
      <c r="B392" t="s">
        <v>1925</v>
      </c>
    </row>
    <row r="393" spans="1:2" x14ac:dyDescent="0.3">
      <c r="A393" s="6" t="s">
        <v>2638</v>
      </c>
      <c r="B393" t="s">
        <v>4324</v>
      </c>
    </row>
    <row r="394" spans="1:2" x14ac:dyDescent="0.3">
      <c r="A394" s="6" t="s">
        <v>2639</v>
      </c>
      <c r="B394" t="s">
        <v>7251</v>
      </c>
    </row>
    <row r="395" spans="1:2" x14ac:dyDescent="0.3">
      <c r="A395" s="6" t="s">
        <v>2640</v>
      </c>
      <c r="B395" t="s">
        <v>6914</v>
      </c>
    </row>
    <row r="396" spans="1:2" x14ac:dyDescent="0.3">
      <c r="A396" s="6" t="s">
        <v>2641</v>
      </c>
      <c r="B396" t="s">
        <v>1524</v>
      </c>
    </row>
    <row r="397" spans="1:2" x14ac:dyDescent="0.3">
      <c r="A397" s="6" t="s">
        <v>2642</v>
      </c>
      <c r="B397" t="s">
        <v>7893</v>
      </c>
    </row>
    <row r="398" spans="1:2" x14ac:dyDescent="0.3">
      <c r="A398" s="6" t="s">
        <v>1462</v>
      </c>
      <c r="B398" t="s">
        <v>8566</v>
      </c>
    </row>
    <row r="399" spans="1:2" x14ac:dyDescent="0.3">
      <c r="A399" s="6" t="s">
        <v>2643</v>
      </c>
      <c r="B399" t="s">
        <v>7890</v>
      </c>
    </row>
    <row r="400" spans="1:2" x14ac:dyDescent="0.3">
      <c r="A400" s="6" t="s">
        <v>2644</v>
      </c>
      <c r="B400" t="s">
        <v>1522</v>
      </c>
    </row>
    <row r="401" spans="1:2" x14ac:dyDescent="0.3">
      <c r="A401" s="6" t="s">
        <v>2645</v>
      </c>
      <c r="B401" t="s">
        <v>7891</v>
      </c>
    </row>
    <row r="402" spans="1:2" x14ac:dyDescent="0.3">
      <c r="A402" s="6" t="s">
        <v>2646</v>
      </c>
      <c r="B402" t="s">
        <v>1523</v>
      </c>
    </row>
    <row r="403" spans="1:2" x14ac:dyDescent="0.3">
      <c r="A403" s="6" t="s">
        <v>2647</v>
      </c>
      <c r="B403" t="s">
        <v>7892</v>
      </c>
    </row>
    <row r="404" spans="1:2" x14ac:dyDescent="0.3">
      <c r="A404" s="6" t="s">
        <v>2648</v>
      </c>
      <c r="B404" t="s">
        <v>1623</v>
      </c>
    </row>
    <row r="405" spans="1:2" x14ac:dyDescent="0.3">
      <c r="A405" s="6" t="s">
        <v>2649</v>
      </c>
      <c r="B405" t="s">
        <v>7894</v>
      </c>
    </row>
    <row r="406" spans="1:2" x14ac:dyDescent="0.3">
      <c r="A406" s="6" t="s">
        <v>2650</v>
      </c>
      <c r="B406" t="s">
        <v>7690</v>
      </c>
    </row>
    <row r="407" spans="1:2" x14ac:dyDescent="0.3">
      <c r="A407" s="6" t="s">
        <v>2651</v>
      </c>
      <c r="B407" t="s">
        <v>1809</v>
      </c>
    </row>
    <row r="408" spans="1:2" x14ac:dyDescent="0.3">
      <c r="A408" s="6" t="s">
        <v>2652</v>
      </c>
      <c r="B408" t="s">
        <v>1719</v>
      </c>
    </row>
    <row r="409" spans="1:2" x14ac:dyDescent="0.3">
      <c r="A409" s="6" t="s">
        <v>1463</v>
      </c>
      <c r="B409" t="s">
        <v>3247</v>
      </c>
    </row>
    <row r="410" spans="1:2" x14ac:dyDescent="0.3">
      <c r="A410" s="6" t="s">
        <v>2653</v>
      </c>
      <c r="B410" t="s">
        <v>1729</v>
      </c>
    </row>
    <row r="411" spans="1:2" x14ac:dyDescent="0.3">
      <c r="A411" s="6" t="s">
        <v>2654</v>
      </c>
      <c r="B411" t="s">
        <v>1810</v>
      </c>
    </row>
    <row r="412" spans="1:2" x14ac:dyDescent="0.3">
      <c r="A412" s="6" t="s">
        <v>2655</v>
      </c>
      <c r="B412" t="s">
        <v>1738</v>
      </c>
    </row>
    <row r="413" spans="1:2" x14ac:dyDescent="0.3">
      <c r="A413" s="6" t="s">
        <v>2656</v>
      </c>
      <c r="B413" t="s">
        <v>1840</v>
      </c>
    </row>
    <row r="414" spans="1:2" x14ac:dyDescent="0.3">
      <c r="A414" s="6" t="s">
        <v>2657</v>
      </c>
      <c r="B414" t="s">
        <v>1808</v>
      </c>
    </row>
    <row r="415" spans="1:2" x14ac:dyDescent="0.3">
      <c r="A415" s="6" t="s">
        <v>2658</v>
      </c>
      <c r="B415" t="s">
        <v>1841</v>
      </c>
    </row>
    <row r="416" spans="1:2" x14ac:dyDescent="0.3">
      <c r="A416" s="6" t="s">
        <v>2659</v>
      </c>
      <c r="B416" t="s">
        <v>3539</v>
      </c>
    </row>
    <row r="417" spans="1:2" x14ac:dyDescent="0.3">
      <c r="A417" s="6" t="s">
        <v>2660</v>
      </c>
      <c r="B417" t="s">
        <v>8016</v>
      </c>
    </row>
    <row r="418" spans="1:2" x14ac:dyDescent="0.3">
      <c r="A418" s="6" t="s">
        <v>2661</v>
      </c>
      <c r="B418" t="s">
        <v>3656</v>
      </c>
    </row>
    <row r="419" spans="1:2" x14ac:dyDescent="0.3">
      <c r="A419" s="6" t="s">
        <v>2662</v>
      </c>
      <c r="B419" t="s">
        <v>8013</v>
      </c>
    </row>
    <row r="420" spans="1:2" x14ac:dyDescent="0.3">
      <c r="A420" s="6" t="s">
        <v>1464</v>
      </c>
      <c r="B420" t="s">
        <v>3248</v>
      </c>
    </row>
    <row r="421" spans="1:2" x14ac:dyDescent="0.3">
      <c r="A421" s="6" t="s">
        <v>2663</v>
      </c>
      <c r="B421" t="s">
        <v>3664</v>
      </c>
    </row>
    <row r="422" spans="1:2" x14ac:dyDescent="0.3">
      <c r="A422" s="6" t="s">
        <v>2664</v>
      </c>
      <c r="B422" t="s">
        <v>8014</v>
      </c>
    </row>
    <row r="423" spans="1:2" x14ac:dyDescent="0.3">
      <c r="A423" s="6" t="s">
        <v>2665</v>
      </c>
      <c r="B423" t="s">
        <v>3522</v>
      </c>
    </row>
    <row r="424" spans="1:2" x14ac:dyDescent="0.3">
      <c r="A424" s="6" t="s">
        <v>2666</v>
      </c>
      <c r="B424" t="s">
        <v>8015</v>
      </c>
    </row>
    <row r="425" spans="1:2" x14ac:dyDescent="0.3">
      <c r="A425" s="6" t="s">
        <v>2667</v>
      </c>
      <c r="B425" t="s">
        <v>3697</v>
      </c>
    </row>
    <row r="426" spans="1:2" x14ac:dyDescent="0.3">
      <c r="A426" s="6" t="s">
        <v>2668</v>
      </c>
      <c r="B426" t="s">
        <v>3676</v>
      </c>
    </row>
    <row r="427" spans="1:2" x14ac:dyDescent="0.3">
      <c r="A427" s="6" t="s">
        <v>2669</v>
      </c>
      <c r="B427" t="s">
        <v>3698</v>
      </c>
    </row>
    <row r="428" spans="1:2" x14ac:dyDescent="0.3">
      <c r="A428" s="6" t="s">
        <v>2670</v>
      </c>
      <c r="B428" t="s">
        <v>3657</v>
      </c>
    </row>
    <row r="429" spans="1:2" x14ac:dyDescent="0.3">
      <c r="A429" s="6" t="s">
        <v>2671</v>
      </c>
      <c r="B429" t="s">
        <v>3658</v>
      </c>
    </row>
    <row r="430" spans="1:2" x14ac:dyDescent="0.3">
      <c r="A430" s="6" t="s">
        <v>2672</v>
      </c>
      <c r="B430" t="s">
        <v>3695</v>
      </c>
    </row>
    <row r="431" spans="1:2" x14ac:dyDescent="0.3">
      <c r="A431" s="6" t="s">
        <v>1465</v>
      </c>
      <c r="B431" t="s">
        <v>2086</v>
      </c>
    </row>
    <row r="432" spans="1:2" x14ac:dyDescent="0.3">
      <c r="A432" s="6" t="s">
        <v>2673</v>
      </c>
      <c r="B432" t="s">
        <v>3696</v>
      </c>
    </row>
    <row r="433" spans="1:2" x14ac:dyDescent="0.3">
      <c r="A433" s="6" t="s">
        <v>2674</v>
      </c>
      <c r="B433" t="s">
        <v>3675</v>
      </c>
    </row>
    <row r="434" spans="1:2" x14ac:dyDescent="0.3">
      <c r="A434" s="6" t="s">
        <v>2675</v>
      </c>
      <c r="B434" t="s">
        <v>7358</v>
      </c>
    </row>
    <row r="435" spans="1:2" x14ac:dyDescent="0.3">
      <c r="A435" s="6" t="s">
        <v>2676</v>
      </c>
      <c r="B435" t="s">
        <v>7356</v>
      </c>
    </row>
    <row r="436" spans="1:2" x14ac:dyDescent="0.3">
      <c r="A436" s="6" t="s">
        <v>2677</v>
      </c>
      <c r="B436" t="s">
        <v>7357</v>
      </c>
    </row>
    <row r="437" spans="1:2" x14ac:dyDescent="0.3">
      <c r="A437" s="6" t="s">
        <v>2678</v>
      </c>
      <c r="B437" t="s">
        <v>7992</v>
      </c>
    </row>
    <row r="438" spans="1:2" x14ac:dyDescent="0.3">
      <c r="A438" s="6" t="s">
        <v>2679</v>
      </c>
      <c r="B438" t="s">
        <v>7989</v>
      </c>
    </row>
    <row r="439" spans="1:2" x14ac:dyDescent="0.3">
      <c r="A439" s="6" t="s">
        <v>2680</v>
      </c>
      <c r="B439" t="s">
        <v>7990</v>
      </c>
    </row>
    <row r="440" spans="1:2" x14ac:dyDescent="0.3">
      <c r="A440" s="6" t="s">
        <v>2681</v>
      </c>
      <c r="B440" t="s">
        <v>7991</v>
      </c>
    </row>
    <row r="441" spans="1:2" x14ac:dyDescent="0.3">
      <c r="A441" s="6" t="s">
        <v>2682</v>
      </c>
      <c r="B441" t="s">
        <v>7361</v>
      </c>
    </row>
    <row r="442" spans="1:2" x14ac:dyDescent="0.3">
      <c r="A442" s="6" t="s">
        <v>1466</v>
      </c>
      <c r="B442" t="s">
        <v>8248</v>
      </c>
    </row>
    <row r="443" spans="1:2" x14ac:dyDescent="0.3">
      <c r="A443" s="6" t="s">
        <v>2683</v>
      </c>
      <c r="B443" t="s">
        <v>7359</v>
      </c>
    </row>
    <row r="444" spans="1:2" x14ac:dyDescent="0.3">
      <c r="A444" s="6" t="s">
        <v>2684</v>
      </c>
      <c r="B444" t="s">
        <v>7360</v>
      </c>
    </row>
    <row r="445" spans="1:2" x14ac:dyDescent="0.3">
      <c r="A445" s="6" t="s">
        <v>2685</v>
      </c>
      <c r="B445" t="s">
        <v>7993</v>
      </c>
    </row>
    <row r="446" spans="1:2" x14ac:dyDescent="0.3">
      <c r="A446" s="6" t="s">
        <v>2686</v>
      </c>
      <c r="B446" t="s">
        <v>8007</v>
      </c>
    </row>
    <row r="447" spans="1:2" x14ac:dyDescent="0.3">
      <c r="A447" s="6" t="s">
        <v>2687</v>
      </c>
      <c r="B447" t="s">
        <v>3678</v>
      </c>
    </row>
    <row r="448" spans="1:2" x14ac:dyDescent="0.3">
      <c r="A448" s="6" t="s">
        <v>2688</v>
      </c>
      <c r="B448" t="s">
        <v>3684</v>
      </c>
    </row>
    <row r="449" spans="1:2" x14ac:dyDescent="0.3">
      <c r="A449" s="6" t="s">
        <v>2689</v>
      </c>
      <c r="B449" t="s">
        <v>8004</v>
      </c>
    </row>
    <row r="450" spans="1:2" x14ac:dyDescent="0.3">
      <c r="A450" s="6" t="s">
        <v>2690</v>
      </c>
      <c r="B450" t="s">
        <v>3699</v>
      </c>
    </row>
    <row r="451" spans="1:2" x14ac:dyDescent="0.3">
      <c r="A451" s="6" t="s">
        <v>2691</v>
      </c>
      <c r="B451" t="s">
        <v>3700</v>
      </c>
    </row>
    <row r="452" spans="1:2" x14ac:dyDescent="0.3">
      <c r="A452" s="6" t="s">
        <v>2692</v>
      </c>
      <c r="B452" t="s">
        <v>8005</v>
      </c>
    </row>
    <row r="453" spans="1:2" x14ac:dyDescent="0.3">
      <c r="A453" s="6" t="s">
        <v>1467</v>
      </c>
      <c r="B453" t="s">
        <v>8249</v>
      </c>
    </row>
    <row r="454" spans="1:2" x14ac:dyDescent="0.3">
      <c r="A454" s="6" t="s">
        <v>2693</v>
      </c>
      <c r="B454" t="s">
        <v>3702</v>
      </c>
    </row>
    <row r="455" spans="1:2" x14ac:dyDescent="0.3">
      <c r="A455" s="6" t="s">
        <v>2694</v>
      </c>
      <c r="B455" t="s">
        <v>8006</v>
      </c>
    </row>
    <row r="456" spans="1:2" x14ac:dyDescent="0.3">
      <c r="A456" s="6" t="s">
        <v>2695</v>
      </c>
      <c r="B456" t="s">
        <v>3689</v>
      </c>
    </row>
    <row r="457" spans="1:2" x14ac:dyDescent="0.3">
      <c r="A457" s="6" t="s">
        <v>2696</v>
      </c>
      <c r="B457" t="s">
        <v>3680</v>
      </c>
    </row>
    <row r="458" spans="1:2" x14ac:dyDescent="0.3">
      <c r="A458" s="6" t="s">
        <v>2697</v>
      </c>
      <c r="B458" t="s">
        <v>3690</v>
      </c>
    </row>
    <row r="459" spans="1:2" x14ac:dyDescent="0.3">
      <c r="A459" s="6" t="s">
        <v>2698</v>
      </c>
      <c r="B459" t="s">
        <v>3685</v>
      </c>
    </row>
    <row r="460" spans="1:2" x14ac:dyDescent="0.3">
      <c r="A460" s="6" t="s">
        <v>2699</v>
      </c>
      <c r="B460" t="s">
        <v>3686</v>
      </c>
    </row>
    <row r="461" spans="1:2" x14ac:dyDescent="0.3">
      <c r="A461" s="6" t="s">
        <v>2700</v>
      </c>
      <c r="B461" t="s">
        <v>3687</v>
      </c>
    </row>
    <row r="462" spans="1:2" x14ac:dyDescent="0.3">
      <c r="A462" s="6" t="s">
        <v>2701</v>
      </c>
      <c r="B462" t="s">
        <v>3688</v>
      </c>
    </row>
    <row r="463" spans="1:2" x14ac:dyDescent="0.3">
      <c r="A463" s="6" t="s">
        <v>2702</v>
      </c>
      <c r="B463" t="s">
        <v>8097</v>
      </c>
    </row>
    <row r="464" spans="1:2" x14ac:dyDescent="0.3">
      <c r="A464" s="6" t="s">
        <v>1468</v>
      </c>
      <c r="B464" t="s">
        <v>6224</v>
      </c>
    </row>
    <row r="465" spans="1:2" x14ac:dyDescent="0.3">
      <c r="A465" s="6" t="s">
        <v>2703</v>
      </c>
      <c r="B465" t="s">
        <v>7363</v>
      </c>
    </row>
    <row r="466" spans="1:2" x14ac:dyDescent="0.3">
      <c r="A466" s="6" t="s">
        <v>2704</v>
      </c>
      <c r="B466" t="s">
        <v>7362</v>
      </c>
    </row>
    <row r="467" spans="1:2" x14ac:dyDescent="0.3">
      <c r="A467" s="6" t="s">
        <v>2705</v>
      </c>
      <c r="B467" t="s">
        <v>3681</v>
      </c>
    </row>
    <row r="468" spans="1:2" x14ac:dyDescent="0.3">
      <c r="A468" s="6" t="s">
        <v>2706</v>
      </c>
      <c r="B468" t="s">
        <v>3692</v>
      </c>
    </row>
    <row r="469" spans="1:2" x14ac:dyDescent="0.3">
      <c r="A469" s="6" t="s">
        <v>2707</v>
      </c>
      <c r="B469" t="s">
        <v>8001</v>
      </c>
    </row>
    <row r="470" spans="1:2" x14ac:dyDescent="0.3">
      <c r="A470" s="6" t="s">
        <v>2708</v>
      </c>
      <c r="B470" t="s">
        <v>3673</v>
      </c>
    </row>
    <row r="471" spans="1:2" x14ac:dyDescent="0.3">
      <c r="A471" s="6" t="s">
        <v>2709</v>
      </c>
      <c r="B471" t="s">
        <v>3682</v>
      </c>
    </row>
    <row r="472" spans="1:2" x14ac:dyDescent="0.3">
      <c r="A472" s="6" t="s">
        <v>2710</v>
      </c>
      <c r="B472" t="s">
        <v>3674</v>
      </c>
    </row>
    <row r="473" spans="1:2" x14ac:dyDescent="0.3">
      <c r="A473" s="6" t="s">
        <v>2711</v>
      </c>
      <c r="B473" t="s">
        <v>3295</v>
      </c>
    </row>
    <row r="474" spans="1:2" x14ac:dyDescent="0.3">
      <c r="A474" s="6" t="s">
        <v>2712</v>
      </c>
      <c r="B474" t="s">
        <v>8000</v>
      </c>
    </row>
    <row r="475" spans="1:2" x14ac:dyDescent="0.3">
      <c r="A475" s="6" t="s">
        <v>1469</v>
      </c>
      <c r="B475" t="s">
        <v>6222</v>
      </c>
    </row>
    <row r="476" spans="1:2" x14ac:dyDescent="0.3">
      <c r="A476" s="6" t="s">
        <v>2713</v>
      </c>
      <c r="B476" t="s">
        <v>8003</v>
      </c>
    </row>
    <row r="477" spans="1:2" x14ac:dyDescent="0.3">
      <c r="A477" s="6" t="s">
        <v>2714</v>
      </c>
      <c r="B477" t="s">
        <v>7999</v>
      </c>
    </row>
    <row r="478" spans="1:2" x14ac:dyDescent="0.3">
      <c r="A478" s="6" t="s">
        <v>2715</v>
      </c>
      <c r="B478" t="s">
        <v>8008</v>
      </c>
    </row>
    <row r="479" spans="1:2" x14ac:dyDescent="0.3">
      <c r="A479" s="6" t="s">
        <v>2716</v>
      </c>
      <c r="B479" t="s">
        <v>8002</v>
      </c>
    </row>
    <row r="480" spans="1:2" x14ac:dyDescent="0.3">
      <c r="A480" s="6" t="s">
        <v>2717</v>
      </c>
      <c r="B480" t="s">
        <v>7895</v>
      </c>
    </row>
    <row r="481" spans="1:2" x14ac:dyDescent="0.3">
      <c r="A481" s="6" t="s">
        <v>2718</v>
      </c>
      <c r="B481" t="s">
        <v>7674</v>
      </c>
    </row>
    <row r="482" spans="1:2" x14ac:dyDescent="0.3">
      <c r="A482" s="6" t="s">
        <v>2719</v>
      </c>
      <c r="B482" t="s">
        <v>8009</v>
      </c>
    </row>
    <row r="483" spans="1:2" x14ac:dyDescent="0.3">
      <c r="A483" s="6" t="s">
        <v>2720</v>
      </c>
      <c r="B483" t="s">
        <v>8010</v>
      </c>
    </row>
    <row r="484" spans="1:2" x14ac:dyDescent="0.3">
      <c r="A484" s="6" t="s">
        <v>2721</v>
      </c>
      <c r="B484" t="s">
        <v>3528</v>
      </c>
    </row>
    <row r="485" spans="1:2" x14ac:dyDescent="0.3">
      <c r="A485" s="6" t="s">
        <v>2722</v>
      </c>
      <c r="B485" t="s">
        <v>3661</v>
      </c>
    </row>
    <row r="486" spans="1:2" x14ac:dyDescent="0.3">
      <c r="A486" s="6" t="s">
        <v>1470</v>
      </c>
      <c r="B486" t="s">
        <v>6225</v>
      </c>
    </row>
    <row r="487" spans="1:2" x14ac:dyDescent="0.3">
      <c r="A487" s="6" t="s">
        <v>2723</v>
      </c>
      <c r="B487" t="s">
        <v>3529</v>
      </c>
    </row>
    <row r="488" spans="1:2" x14ac:dyDescent="0.3">
      <c r="A488" s="6" t="s">
        <v>2724</v>
      </c>
      <c r="B488" t="s">
        <v>8011</v>
      </c>
    </row>
    <row r="489" spans="1:2" x14ac:dyDescent="0.3">
      <c r="A489" s="6" t="s">
        <v>2725</v>
      </c>
      <c r="B489" t="s">
        <v>8012</v>
      </c>
    </row>
    <row r="490" spans="1:2" x14ac:dyDescent="0.3">
      <c r="A490" s="6" t="s">
        <v>2726</v>
      </c>
      <c r="B490" t="s">
        <v>7354</v>
      </c>
    </row>
    <row r="491" spans="1:2" x14ac:dyDescent="0.3">
      <c r="A491" s="6" t="s">
        <v>2727</v>
      </c>
      <c r="B491" t="s">
        <v>7355</v>
      </c>
    </row>
    <row r="492" spans="1:2" x14ac:dyDescent="0.3">
      <c r="A492" s="6" t="s">
        <v>2728</v>
      </c>
      <c r="B492" t="s">
        <v>7725</v>
      </c>
    </row>
    <row r="493" spans="1:2" x14ac:dyDescent="0.3">
      <c r="A493" s="6" t="s">
        <v>2729</v>
      </c>
      <c r="B493" t="s">
        <v>8481</v>
      </c>
    </row>
    <row r="494" spans="1:2" x14ac:dyDescent="0.3">
      <c r="A494" s="6" t="s">
        <v>2730</v>
      </c>
      <c r="B494" t="s">
        <v>8479</v>
      </c>
    </row>
    <row r="495" spans="1:2" x14ac:dyDescent="0.3">
      <c r="A495" s="6" t="s">
        <v>2731</v>
      </c>
      <c r="B495" t="s">
        <v>8480</v>
      </c>
    </row>
    <row r="496" spans="1:2" x14ac:dyDescent="0.3">
      <c r="A496" s="6" t="s">
        <v>2732</v>
      </c>
      <c r="B496" t="s">
        <v>2177</v>
      </c>
    </row>
    <row r="497" spans="1:2" x14ac:dyDescent="0.3">
      <c r="A497" s="6" t="s">
        <v>1346</v>
      </c>
      <c r="B497" t="s">
        <v>6752</v>
      </c>
    </row>
    <row r="498" spans="1:2" x14ac:dyDescent="0.3">
      <c r="A498" s="6" t="s">
        <v>1471</v>
      </c>
      <c r="B498" t="s">
        <v>6223</v>
      </c>
    </row>
    <row r="499" spans="1:2" x14ac:dyDescent="0.3">
      <c r="A499" s="6" t="s">
        <v>2733</v>
      </c>
      <c r="B499" t="s">
        <v>1453</v>
      </c>
    </row>
    <row r="500" spans="1:2" x14ac:dyDescent="0.3">
      <c r="A500" s="6" t="s">
        <v>2734</v>
      </c>
      <c r="B500" t="s">
        <v>1447</v>
      </c>
    </row>
    <row r="501" spans="1:2" x14ac:dyDescent="0.3">
      <c r="A501" s="6" t="s">
        <v>2735</v>
      </c>
      <c r="B501" t="s">
        <v>2184</v>
      </c>
    </row>
    <row r="502" spans="1:2" x14ac:dyDescent="0.3">
      <c r="A502" s="6" t="s">
        <v>2736</v>
      </c>
      <c r="B502" t="s">
        <v>1454</v>
      </c>
    </row>
    <row r="503" spans="1:2" x14ac:dyDescent="0.3">
      <c r="A503" s="6" t="s">
        <v>2737</v>
      </c>
      <c r="B503" t="s">
        <v>2182</v>
      </c>
    </row>
    <row r="504" spans="1:2" x14ac:dyDescent="0.3">
      <c r="A504" s="6" t="s">
        <v>2738</v>
      </c>
      <c r="B504" t="s">
        <v>2181</v>
      </c>
    </row>
    <row r="505" spans="1:2" x14ac:dyDescent="0.3">
      <c r="A505" s="6" t="s">
        <v>2739</v>
      </c>
      <c r="B505" t="s">
        <v>2183</v>
      </c>
    </row>
    <row r="506" spans="1:2" x14ac:dyDescent="0.3">
      <c r="A506" s="6" t="s">
        <v>2740</v>
      </c>
      <c r="B506" t="s">
        <v>2045</v>
      </c>
    </row>
    <row r="507" spans="1:2" x14ac:dyDescent="0.3">
      <c r="A507" s="6" t="s">
        <v>2741</v>
      </c>
      <c r="B507" t="s">
        <v>2039</v>
      </c>
    </row>
    <row r="508" spans="1:2" x14ac:dyDescent="0.3">
      <c r="A508" s="6" t="s">
        <v>2742</v>
      </c>
      <c r="B508" t="s">
        <v>2037</v>
      </c>
    </row>
    <row r="509" spans="1:2" x14ac:dyDescent="0.3">
      <c r="A509" s="6" t="s">
        <v>1472</v>
      </c>
      <c r="B509" t="s">
        <v>6373</v>
      </c>
    </row>
    <row r="510" spans="1:2" x14ac:dyDescent="0.3">
      <c r="A510" s="6" t="s">
        <v>2743</v>
      </c>
      <c r="B510" t="s">
        <v>2041</v>
      </c>
    </row>
    <row r="511" spans="1:2" x14ac:dyDescent="0.3">
      <c r="A511" s="6" t="s">
        <v>2744</v>
      </c>
      <c r="B511" t="s">
        <v>2047</v>
      </c>
    </row>
    <row r="512" spans="1:2" x14ac:dyDescent="0.3">
      <c r="A512" s="6" t="s">
        <v>2745</v>
      </c>
      <c r="B512" t="s">
        <v>1914</v>
      </c>
    </row>
    <row r="513" spans="1:2" x14ac:dyDescent="0.3">
      <c r="A513" s="6" t="s">
        <v>2746</v>
      </c>
      <c r="B513" t="s">
        <v>1913</v>
      </c>
    </row>
    <row r="514" spans="1:2" x14ac:dyDescent="0.3">
      <c r="A514" s="6" t="s">
        <v>2747</v>
      </c>
      <c r="B514" t="s">
        <v>2046</v>
      </c>
    </row>
    <row r="515" spans="1:2" x14ac:dyDescent="0.3">
      <c r="A515" s="6" t="s">
        <v>2748</v>
      </c>
      <c r="B515" t="s">
        <v>8193</v>
      </c>
    </row>
    <row r="516" spans="1:2" x14ac:dyDescent="0.3">
      <c r="A516" s="6" t="s">
        <v>2749</v>
      </c>
      <c r="B516" t="s">
        <v>8677</v>
      </c>
    </row>
    <row r="517" spans="1:2" x14ac:dyDescent="0.3">
      <c r="A517" s="6" t="s">
        <v>2750</v>
      </c>
      <c r="B517" t="s">
        <v>8282</v>
      </c>
    </row>
    <row r="518" spans="1:2" x14ac:dyDescent="0.3">
      <c r="A518" s="6" t="s">
        <v>2751</v>
      </c>
      <c r="B518" t="s">
        <v>8283</v>
      </c>
    </row>
    <row r="519" spans="1:2" x14ac:dyDescent="0.3">
      <c r="A519" s="6" t="s">
        <v>2752</v>
      </c>
      <c r="B519" t="s">
        <v>8656</v>
      </c>
    </row>
    <row r="520" spans="1:2" x14ac:dyDescent="0.3">
      <c r="A520" s="6" t="s">
        <v>1473</v>
      </c>
      <c r="B520" t="s">
        <v>1551</v>
      </c>
    </row>
    <row r="521" spans="1:2" x14ac:dyDescent="0.3">
      <c r="A521" s="6" t="s">
        <v>2753</v>
      </c>
      <c r="B521" t="s">
        <v>3739</v>
      </c>
    </row>
    <row r="522" spans="1:2" x14ac:dyDescent="0.3">
      <c r="A522" s="6" t="s">
        <v>2754</v>
      </c>
      <c r="B522" t="s">
        <v>3494</v>
      </c>
    </row>
    <row r="523" spans="1:2" x14ac:dyDescent="0.3">
      <c r="A523" s="6" t="s">
        <v>2755</v>
      </c>
      <c r="B523" t="s">
        <v>3495</v>
      </c>
    </row>
    <row r="524" spans="1:2" x14ac:dyDescent="0.3">
      <c r="A524" s="6" t="s">
        <v>2756</v>
      </c>
      <c r="B524" t="s">
        <v>3496</v>
      </c>
    </row>
    <row r="525" spans="1:2" x14ac:dyDescent="0.3">
      <c r="A525" s="6" t="s">
        <v>2757</v>
      </c>
      <c r="B525" t="s">
        <v>3376</v>
      </c>
    </row>
    <row r="526" spans="1:2" x14ac:dyDescent="0.3">
      <c r="A526" s="6" t="s">
        <v>2758</v>
      </c>
      <c r="B526" t="s">
        <v>4370</v>
      </c>
    </row>
    <row r="527" spans="1:2" x14ac:dyDescent="0.3">
      <c r="A527" s="6" t="s">
        <v>2759</v>
      </c>
      <c r="B527" t="s">
        <v>4371</v>
      </c>
    </row>
    <row r="528" spans="1:2" x14ac:dyDescent="0.3">
      <c r="A528" s="6" t="s">
        <v>2760</v>
      </c>
      <c r="B528" t="s">
        <v>8139</v>
      </c>
    </row>
    <row r="529" spans="1:2" x14ac:dyDescent="0.3">
      <c r="A529" s="6" t="s">
        <v>2761</v>
      </c>
      <c r="B529" t="s">
        <v>8140</v>
      </c>
    </row>
    <row r="530" spans="1:2" x14ac:dyDescent="0.3">
      <c r="A530" s="6" t="s">
        <v>2762</v>
      </c>
      <c r="B530" t="s">
        <v>8141</v>
      </c>
    </row>
    <row r="531" spans="1:2" x14ac:dyDescent="0.3">
      <c r="A531" s="6" t="s">
        <v>1474</v>
      </c>
      <c r="B531" t="s">
        <v>2130</v>
      </c>
    </row>
    <row r="532" spans="1:2" x14ac:dyDescent="0.3">
      <c r="A532" s="6" t="s">
        <v>2763</v>
      </c>
      <c r="B532" t="s">
        <v>8457</v>
      </c>
    </row>
    <row r="533" spans="1:2" x14ac:dyDescent="0.3">
      <c r="A533" s="6" t="s">
        <v>2764</v>
      </c>
      <c r="B533" t="s">
        <v>8654</v>
      </c>
    </row>
    <row r="534" spans="1:2" x14ac:dyDescent="0.3">
      <c r="A534" s="6" t="s">
        <v>2765</v>
      </c>
      <c r="B534" t="s">
        <v>8655</v>
      </c>
    </row>
    <row r="535" spans="1:2" x14ac:dyDescent="0.3">
      <c r="A535" s="6" t="s">
        <v>2766</v>
      </c>
      <c r="B535" t="s">
        <v>3490</v>
      </c>
    </row>
    <row r="536" spans="1:2" x14ac:dyDescent="0.3">
      <c r="A536" s="6" t="s">
        <v>2767</v>
      </c>
      <c r="B536" t="s">
        <v>3491</v>
      </c>
    </row>
    <row r="537" spans="1:2" x14ac:dyDescent="0.3">
      <c r="A537" s="6" t="s">
        <v>2768</v>
      </c>
      <c r="B537" t="s">
        <v>3492</v>
      </c>
    </row>
    <row r="538" spans="1:2" x14ac:dyDescent="0.3">
      <c r="A538" s="6" t="s">
        <v>2769</v>
      </c>
      <c r="B538" t="s">
        <v>3493</v>
      </c>
    </row>
    <row r="539" spans="1:2" x14ac:dyDescent="0.3">
      <c r="A539" s="6" t="s">
        <v>2770</v>
      </c>
      <c r="B539" t="s">
        <v>3736</v>
      </c>
    </row>
    <row r="540" spans="1:2" x14ac:dyDescent="0.3">
      <c r="A540" s="6" t="s">
        <v>2771</v>
      </c>
      <c r="B540" t="s">
        <v>3737</v>
      </c>
    </row>
    <row r="541" spans="1:2" x14ac:dyDescent="0.3">
      <c r="A541" s="6" t="s">
        <v>2772</v>
      </c>
      <c r="B541" t="s">
        <v>3738</v>
      </c>
    </row>
    <row r="542" spans="1:2" x14ac:dyDescent="0.3">
      <c r="A542" s="6" t="s">
        <v>1475</v>
      </c>
      <c r="B542" t="s">
        <v>3548</v>
      </c>
    </row>
    <row r="543" spans="1:2" x14ac:dyDescent="0.3">
      <c r="A543" s="6" t="s">
        <v>2773</v>
      </c>
      <c r="B543" t="s">
        <v>3592</v>
      </c>
    </row>
    <row r="544" spans="1:2" x14ac:dyDescent="0.3">
      <c r="A544" s="6" t="s">
        <v>2774</v>
      </c>
      <c r="B544" t="s">
        <v>7882</v>
      </c>
    </row>
    <row r="545" spans="1:2" x14ac:dyDescent="0.3">
      <c r="A545" s="6" t="s">
        <v>2775</v>
      </c>
      <c r="B545" t="s">
        <v>8381</v>
      </c>
    </row>
    <row r="546" spans="1:2" x14ac:dyDescent="0.3">
      <c r="A546" s="6" t="s">
        <v>2776</v>
      </c>
      <c r="B546" t="s">
        <v>8380</v>
      </c>
    </row>
    <row r="547" spans="1:2" x14ac:dyDescent="0.3">
      <c r="A547" s="6" t="s">
        <v>2777</v>
      </c>
      <c r="B547" t="s">
        <v>8386</v>
      </c>
    </row>
    <row r="548" spans="1:2" x14ac:dyDescent="0.3">
      <c r="A548" s="6" t="s">
        <v>2779</v>
      </c>
      <c r="B548" t="s">
        <v>7883</v>
      </c>
    </row>
    <row r="549" spans="1:2" x14ac:dyDescent="0.3">
      <c r="A549" s="6" t="s">
        <v>2781</v>
      </c>
      <c r="B549" t="s">
        <v>7884</v>
      </c>
    </row>
    <row r="550" spans="1:2" x14ac:dyDescent="0.3">
      <c r="A550" s="6" t="s">
        <v>2783</v>
      </c>
      <c r="B550" t="s">
        <v>4345</v>
      </c>
    </row>
    <row r="551" spans="1:2" x14ac:dyDescent="0.3">
      <c r="A551" s="6" t="s">
        <v>2784</v>
      </c>
      <c r="B551" t="s">
        <v>4346</v>
      </c>
    </row>
    <row r="552" spans="1:2" x14ac:dyDescent="0.3">
      <c r="A552" s="6" t="s">
        <v>2785</v>
      </c>
      <c r="B552" t="s">
        <v>3898</v>
      </c>
    </row>
    <row r="553" spans="1:2" x14ac:dyDescent="0.3">
      <c r="A553" s="6" t="s">
        <v>1476</v>
      </c>
      <c r="B553" t="s">
        <v>6544</v>
      </c>
    </row>
    <row r="554" spans="1:2" x14ac:dyDescent="0.3">
      <c r="A554" s="6" t="s">
        <v>2786</v>
      </c>
      <c r="B554" t="s">
        <v>3895</v>
      </c>
    </row>
    <row r="555" spans="1:2" x14ac:dyDescent="0.3">
      <c r="A555" s="6" t="s">
        <v>2787</v>
      </c>
      <c r="B555" t="s">
        <v>3518</v>
      </c>
    </row>
    <row r="556" spans="1:2" x14ac:dyDescent="0.3">
      <c r="A556" s="6" t="s">
        <v>2788</v>
      </c>
      <c r="B556" t="s">
        <v>3594</v>
      </c>
    </row>
    <row r="557" spans="1:2" x14ac:dyDescent="0.3">
      <c r="A557" s="6" t="s">
        <v>2789</v>
      </c>
      <c r="B557" t="s">
        <v>3899</v>
      </c>
    </row>
    <row r="558" spans="1:2" x14ac:dyDescent="0.3">
      <c r="A558" s="6" t="s">
        <v>2790</v>
      </c>
      <c r="B558" t="s">
        <v>3455</v>
      </c>
    </row>
    <row r="559" spans="1:2" x14ac:dyDescent="0.3">
      <c r="A559" s="6" t="s">
        <v>2791</v>
      </c>
      <c r="B559" t="s">
        <v>3896</v>
      </c>
    </row>
    <row r="560" spans="1:2" x14ac:dyDescent="0.3">
      <c r="A560" s="6" t="s">
        <v>2792</v>
      </c>
      <c r="B560" t="s">
        <v>7885</v>
      </c>
    </row>
    <row r="561" spans="1:2" x14ac:dyDescent="0.3">
      <c r="A561" s="6" t="s">
        <v>2793</v>
      </c>
      <c r="B561" t="s">
        <v>7886</v>
      </c>
    </row>
    <row r="562" spans="1:2" x14ac:dyDescent="0.3">
      <c r="A562" s="6" t="s">
        <v>2794</v>
      </c>
      <c r="B562" t="s">
        <v>3595</v>
      </c>
    </row>
    <row r="563" spans="1:2" x14ac:dyDescent="0.3">
      <c r="A563" s="6" t="s">
        <v>2795</v>
      </c>
      <c r="B563" t="s">
        <v>7823</v>
      </c>
    </row>
    <row r="564" spans="1:2" x14ac:dyDescent="0.3">
      <c r="A564" s="6" t="s">
        <v>1477</v>
      </c>
      <c r="B564" t="s">
        <v>6543</v>
      </c>
    </row>
    <row r="565" spans="1:2" x14ac:dyDescent="0.3">
      <c r="A565" s="6" t="s">
        <v>2796</v>
      </c>
      <c r="B565" t="s">
        <v>8636</v>
      </c>
    </row>
    <row r="566" spans="1:2" x14ac:dyDescent="0.3">
      <c r="A566" s="6" t="s">
        <v>2797</v>
      </c>
      <c r="B566" t="s">
        <v>7824</v>
      </c>
    </row>
    <row r="567" spans="1:2" x14ac:dyDescent="0.3">
      <c r="A567" s="6" t="s">
        <v>2798</v>
      </c>
      <c r="B567" t="s">
        <v>7585</v>
      </c>
    </row>
    <row r="568" spans="1:2" x14ac:dyDescent="0.3">
      <c r="A568" s="6" t="s">
        <v>2799</v>
      </c>
      <c r="B568" t="s">
        <v>7533</v>
      </c>
    </row>
    <row r="569" spans="1:2" x14ac:dyDescent="0.3">
      <c r="A569" s="6" t="s">
        <v>2800</v>
      </c>
      <c r="B569" t="s">
        <v>7426</v>
      </c>
    </row>
    <row r="570" spans="1:2" x14ac:dyDescent="0.3">
      <c r="A570" s="6" t="s">
        <v>2801</v>
      </c>
      <c r="B570" t="s">
        <v>7683</v>
      </c>
    </row>
    <row r="571" spans="1:2" x14ac:dyDescent="0.3">
      <c r="A571" s="6" t="s">
        <v>2802</v>
      </c>
      <c r="B571" t="s">
        <v>7569</v>
      </c>
    </row>
    <row r="572" spans="1:2" x14ac:dyDescent="0.3">
      <c r="A572" s="6" t="s">
        <v>2803</v>
      </c>
      <c r="B572" t="s">
        <v>8254</v>
      </c>
    </row>
    <row r="573" spans="1:2" x14ac:dyDescent="0.3">
      <c r="A573" s="6" t="s">
        <v>2804</v>
      </c>
      <c r="B573" t="s">
        <v>7427</v>
      </c>
    </row>
    <row r="574" spans="1:2" x14ac:dyDescent="0.3">
      <c r="A574" s="6" t="s">
        <v>2805</v>
      </c>
      <c r="B574" t="s">
        <v>8166</v>
      </c>
    </row>
    <row r="575" spans="1:2" x14ac:dyDescent="0.3">
      <c r="A575" s="6" t="s">
        <v>1478</v>
      </c>
      <c r="B575" t="s">
        <v>1568</v>
      </c>
    </row>
    <row r="576" spans="1:2" x14ac:dyDescent="0.3">
      <c r="A576" s="6" t="s">
        <v>2806</v>
      </c>
      <c r="B576" t="s">
        <v>8308</v>
      </c>
    </row>
    <row r="577" spans="1:2" x14ac:dyDescent="0.3">
      <c r="A577" s="6" t="s">
        <v>2807</v>
      </c>
      <c r="B577" t="s">
        <v>7798</v>
      </c>
    </row>
    <row r="578" spans="1:2" x14ac:dyDescent="0.3">
      <c r="A578" s="6" t="s">
        <v>2808</v>
      </c>
      <c r="B578" t="s">
        <v>7796</v>
      </c>
    </row>
    <row r="579" spans="1:2" x14ac:dyDescent="0.3">
      <c r="A579" s="6" t="s">
        <v>2809</v>
      </c>
      <c r="B579" t="s">
        <v>7797</v>
      </c>
    </row>
    <row r="580" spans="1:2" x14ac:dyDescent="0.3">
      <c r="A580" s="6" t="s">
        <v>2810</v>
      </c>
      <c r="B580" t="s">
        <v>3056</v>
      </c>
    </row>
    <row r="581" spans="1:2" x14ac:dyDescent="0.3">
      <c r="A581" s="6" t="s">
        <v>2811</v>
      </c>
      <c r="B581" t="s">
        <v>4348</v>
      </c>
    </row>
    <row r="582" spans="1:2" x14ac:dyDescent="0.3">
      <c r="A582" s="6" t="s">
        <v>2812</v>
      </c>
      <c r="B582" t="s">
        <v>3031</v>
      </c>
    </row>
    <row r="583" spans="1:2" x14ac:dyDescent="0.3">
      <c r="A583" s="6" t="s">
        <v>2813</v>
      </c>
      <c r="B583" t="s">
        <v>3055</v>
      </c>
    </row>
    <row r="584" spans="1:2" x14ac:dyDescent="0.3">
      <c r="A584" s="6" t="s">
        <v>2814</v>
      </c>
      <c r="B584" t="s">
        <v>3189</v>
      </c>
    </row>
    <row r="585" spans="1:2" x14ac:dyDescent="0.3">
      <c r="A585" s="6" t="s">
        <v>2815</v>
      </c>
      <c r="B585" t="s">
        <v>4350</v>
      </c>
    </row>
    <row r="586" spans="1:2" x14ac:dyDescent="0.3">
      <c r="A586" s="6" t="s">
        <v>1479</v>
      </c>
      <c r="B586" t="s">
        <v>1969</v>
      </c>
    </row>
    <row r="587" spans="1:2" x14ac:dyDescent="0.3">
      <c r="A587" s="6" t="s">
        <v>2816</v>
      </c>
      <c r="B587" t="s">
        <v>3184</v>
      </c>
    </row>
    <row r="588" spans="1:2" x14ac:dyDescent="0.3">
      <c r="A588" s="6" t="s">
        <v>2817</v>
      </c>
      <c r="B588" t="s">
        <v>3190</v>
      </c>
    </row>
    <row r="589" spans="1:2" x14ac:dyDescent="0.3">
      <c r="A589" s="6" t="s">
        <v>2818</v>
      </c>
      <c r="B589" t="s">
        <v>3188</v>
      </c>
    </row>
    <row r="590" spans="1:2" x14ac:dyDescent="0.3">
      <c r="A590" s="6" t="s">
        <v>2819</v>
      </c>
      <c r="B590" t="s">
        <v>3181</v>
      </c>
    </row>
    <row r="591" spans="1:2" x14ac:dyDescent="0.3">
      <c r="A591" s="6" t="s">
        <v>2820</v>
      </c>
      <c r="B591" t="s">
        <v>4349</v>
      </c>
    </row>
    <row r="592" spans="1:2" x14ac:dyDescent="0.3">
      <c r="A592" s="6" t="s">
        <v>2821</v>
      </c>
      <c r="B592" t="s">
        <v>3057</v>
      </c>
    </row>
    <row r="593" spans="1:2" x14ac:dyDescent="0.3">
      <c r="A593" s="6" t="s">
        <v>2822</v>
      </c>
      <c r="B593" t="s">
        <v>3177</v>
      </c>
    </row>
    <row r="594" spans="1:2" x14ac:dyDescent="0.3">
      <c r="A594" s="6" t="s">
        <v>2823</v>
      </c>
      <c r="B594" t="s">
        <v>2117</v>
      </c>
    </row>
    <row r="595" spans="1:2" x14ac:dyDescent="0.3">
      <c r="A595" s="6" t="s">
        <v>2824</v>
      </c>
      <c r="B595" t="s">
        <v>3030</v>
      </c>
    </row>
    <row r="596" spans="1:2" x14ac:dyDescent="0.3">
      <c r="A596" s="6" t="s">
        <v>2825</v>
      </c>
      <c r="B596" t="s">
        <v>2810</v>
      </c>
    </row>
    <row r="597" spans="1:2" x14ac:dyDescent="0.3">
      <c r="A597" s="6" t="s">
        <v>1480</v>
      </c>
      <c r="B597" t="s">
        <v>1451</v>
      </c>
    </row>
    <row r="598" spans="1:2" x14ac:dyDescent="0.3">
      <c r="A598" s="6" t="s">
        <v>2826</v>
      </c>
      <c r="B598" t="s">
        <v>4347</v>
      </c>
    </row>
    <row r="599" spans="1:2" x14ac:dyDescent="0.3">
      <c r="A599" s="6" t="s">
        <v>2827</v>
      </c>
      <c r="B599" t="s">
        <v>2811</v>
      </c>
    </row>
    <row r="600" spans="1:2" x14ac:dyDescent="0.3">
      <c r="A600" s="6" t="s">
        <v>2828</v>
      </c>
      <c r="B600" t="s">
        <v>2812</v>
      </c>
    </row>
    <row r="601" spans="1:2" x14ac:dyDescent="0.3">
      <c r="A601" s="6" t="s">
        <v>2829</v>
      </c>
      <c r="B601" t="s">
        <v>6397</v>
      </c>
    </row>
    <row r="602" spans="1:2" x14ac:dyDescent="0.3">
      <c r="A602" s="6" t="s">
        <v>2830</v>
      </c>
      <c r="B602" t="s">
        <v>6398</v>
      </c>
    </row>
    <row r="603" spans="1:2" x14ac:dyDescent="0.3">
      <c r="A603" s="6" t="s">
        <v>2831</v>
      </c>
      <c r="B603" t="s">
        <v>6394</v>
      </c>
    </row>
    <row r="604" spans="1:2" x14ac:dyDescent="0.3">
      <c r="A604" s="6" t="s">
        <v>2832</v>
      </c>
      <c r="B604" t="s">
        <v>6399</v>
      </c>
    </row>
    <row r="605" spans="1:2" x14ac:dyDescent="0.3">
      <c r="A605" s="6" t="s">
        <v>2833</v>
      </c>
      <c r="B605" t="s">
        <v>6395</v>
      </c>
    </row>
    <row r="606" spans="1:2" x14ac:dyDescent="0.3">
      <c r="A606" s="6" t="s">
        <v>2834</v>
      </c>
      <c r="B606" t="s">
        <v>6396</v>
      </c>
    </row>
    <row r="607" spans="1:2" x14ac:dyDescent="0.3">
      <c r="A607" s="6" t="s">
        <v>2835</v>
      </c>
      <c r="B607" t="s">
        <v>7024</v>
      </c>
    </row>
    <row r="608" spans="1:2" x14ac:dyDescent="0.3">
      <c r="A608" s="6" t="s">
        <v>1347</v>
      </c>
      <c r="B608" t="s">
        <v>6878</v>
      </c>
    </row>
    <row r="609" spans="1:2" x14ac:dyDescent="0.3">
      <c r="A609" s="6" t="s">
        <v>1481</v>
      </c>
      <c r="B609" t="s">
        <v>6217</v>
      </c>
    </row>
    <row r="610" spans="1:2" x14ac:dyDescent="0.3">
      <c r="A610" s="6" t="s">
        <v>2836</v>
      </c>
      <c r="B610" t="s">
        <v>7025</v>
      </c>
    </row>
    <row r="611" spans="1:2" x14ac:dyDescent="0.3">
      <c r="A611" s="6" t="s">
        <v>2837</v>
      </c>
      <c r="B611" t="s">
        <v>7315</v>
      </c>
    </row>
    <row r="612" spans="1:2" x14ac:dyDescent="0.3">
      <c r="A612" s="6" t="s">
        <v>2838</v>
      </c>
      <c r="B612" t="s">
        <v>7022</v>
      </c>
    </row>
    <row r="613" spans="1:2" x14ac:dyDescent="0.3">
      <c r="A613" s="6" t="s">
        <v>2839</v>
      </c>
      <c r="B613" t="s">
        <v>7023</v>
      </c>
    </row>
    <row r="614" spans="1:2" x14ac:dyDescent="0.3">
      <c r="A614" s="6" t="s">
        <v>2840</v>
      </c>
      <c r="B614" t="s">
        <v>7919</v>
      </c>
    </row>
    <row r="615" spans="1:2" x14ac:dyDescent="0.3">
      <c r="A615" s="6" t="s">
        <v>2841</v>
      </c>
      <c r="B615" t="s">
        <v>7918</v>
      </c>
    </row>
    <row r="616" spans="1:2" x14ac:dyDescent="0.3">
      <c r="A616" s="6" t="s">
        <v>2842</v>
      </c>
      <c r="B616" t="s">
        <v>7920</v>
      </c>
    </row>
    <row r="617" spans="1:2" x14ac:dyDescent="0.3">
      <c r="A617" s="6" t="s">
        <v>2843</v>
      </c>
      <c r="B617" t="s">
        <v>3626</v>
      </c>
    </row>
    <row r="618" spans="1:2" x14ac:dyDescent="0.3">
      <c r="A618" s="6" t="s">
        <v>2844</v>
      </c>
      <c r="B618" t="s">
        <v>3627</v>
      </c>
    </row>
    <row r="619" spans="1:2" x14ac:dyDescent="0.3">
      <c r="A619" s="6" t="s">
        <v>2845</v>
      </c>
      <c r="B619" t="s">
        <v>3628</v>
      </c>
    </row>
    <row r="620" spans="1:2" x14ac:dyDescent="0.3">
      <c r="A620" s="6" t="s">
        <v>1482</v>
      </c>
      <c r="B620" t="s">
        <v>8639</v>
      </c>
    </row>
    <row r="621" spans="1:2" x14ac:dyDescent="0.3">
      <c r="A621" s="6" t="s">
        <v>2846</v>
      </c>
      <c r="B621" t="s">
        <v>3629</v>
      </c>
    </row>
    <row r="622" spans="1:2" x14ac:dyDescent="0.3">
      <c r="A622" s="6" t="s">
        <v>2847</v>
      </c>
      <c r="B622" t="s">
        <v>7793</v>
      </c>
    </row>
    <row r="623" spans="1:2" x14ac:dyDescent="0.3">
      <c r="A623" s="6" t="s">
        <v>2848</v>
      </c>
      <c r="B623" t="s">
        <v>7423</v>
      </c>
    </row>
    <row r="624" spans="1:2" x14ac:dyDescent="0.3">
      <c r="A624" s="6" t="s">
        <v>2849</v>
      </c>
      <c r="B624" t="s">
        <v>7916</v>
      </c>
    </row>
    <row r="625" spans="1:2" x14ac:dyDescent="0.3">
      <c r="A625" s="6" t="s">
        <v>2850</v>
      </c>
      <c r="B625" t="s">
        <v>7431</v>
      </c>
    </row>
    <row r="626" spans="1:2" x14ac:dyDescent="0.3">
      <c r="A626" s="6" t="s">
        <v>2851</v>
      </c>
      <c r="B626" t="s">
        <v>7430</v>
      </c>
    </row>
    <row r="627" spans="1:2" x14ac:dyDescent="0.3">
      <c r="A627" s="6" t="s">
        <v>2852</v>
      </c>
      <c r="B627" t="s">
        <v>7425</v>
      </c>
    </row>
    <row r="628" spans="1:2" x14ac:dyDescent="0.3">
      <c r="A628" s="6" t="s">
        <v>2853</v>
      </c>
      <c r="B628" t="s">
        <v>7499</v>
      </c>
    </row>
    <row r="629" spans="1:2" x14ac:dyDescent="0.3">
      <c r="A629" s="6" t="s">
        <v>2854</v>
      </c>
      <c r="B629" t="s">
        <v>7500</v>
      </c>
    </row>
    <row r="630" spans="1:2" x14ac:dyDescent="0.3">
      <c r="A630" s="6" t="s">
        <v>2855</v>
      </c>
      <c r="B630" t="s">
        <v>7498</v>
      </c>
    </row>
    <row r="631" spans="1:2" x14ac:dyDescent="0.3">
      <c r="A631" s="6" t="s">
        <v>1483</v>
      </c>
      <c r="B631" t="s">
        <v>6218</v>
      </c>
    </row>
    <row r="632" spans="1:2" x14ac:dyDescent="0.3">
      <c r="A632" s="6" t="s">
        <v>2856</v>
      </c>
      <c r="B632" t="s">
        <v>7959</v>
      </c>
    </row>
    <row r="633" spans="1:2" x14ac:dyDescent="0.3">
      <c r="A633" s="6" t="s">
        <v>2857</v>
      </c>
      <c r="B633" t="s">
        <v>7435</v>
      </c>
    </row>
    <row r="634" spans="1:2" x14ac:dyDescent="0.3">
      <c r="A634" s="6" t="s">
        <v>2858</v>
      </c>
      <c r="B634" t="s">
        <v>7828</v>
      </c>
    </row>
    <row r="635" spans="1:2" x14ac:dyDescent="0.3">
      <c r="A635" s="6" t="s">
        <v>2859</v>
      </c>
      <c r="B635" t="s">
        <v>7829</v>
      </c>
    </row>
    <row r="636" spans="1:2" x14ac:dyDescent="0.3">
      <c r="A636" s="6" t="s">
        <v>2860</v>
      </c>
      <c r="B636" t="s">
        <v>7830</v>
      </c>
    </row>
    <row r="637" spans="1:2" x14ac:dyDescent="0.3">
      <c r="A637" s="6" t="s">
        <v>2861</v>
      </c>
      <c r="B637" t="s">
        <v>7436</v>
      </c>
    </row>
    <row r="638" spans="1:2" x14ac:dyDescent="0.3">
      <c r="A638" s="6" t="s">
        <v>2862</v>
      </c>
      <c r="B638" t="s">
        <v>7433</v>
      </c>
    </row>
    <row r="639" spans="1:2" x14ac:dyDescent="0.3">
      <c r="A639" s="6" t="s">
        <v>2863</v>
      </c>
      <c r="B639" t="s">
        <v>7432</v>
      </c>
    </row>
    <row r="640" spans="1:2" x14ac:dyDescent="0.3">
      <c r="A640" s="6" t="s">
        <v>2864</v>
      </c>
      <c r="B640" t="s">
        <v>7434</v>
      </c>
    </row>
    <row r="641" spans="1:2" x14ac:dyDescent="0.3">
      <c r="A641" s="6" t="s">
        <v>2865</v>
      </c>
      <c r="B641" t="s">
        <v>7424</v>
      </c>
    </row>
    <row r="642" spans="1:2" x14ac:dyDescent="0.3">
      <c r="A642" s="6" t="s">
        <v>1484</v>
      </c>
      <c r="B642" t="s">
        <v>2664</v>
      </c>
    </row>
    <row r="643" spans="1:2" x14ac:dyDescent="0.3">
      <c r="A643" s="6" t="s">
        <v>2866</v>
      </c>
      <c r="B643" t="s">
        <v>8255</v>
      </c>
    </row>
    <row r="644" spans="1:2" x14ac:dyDescent="0.3">
      <c r="A644" s="6" t="s">
        <v>2867</v>
      </c>
      <c r="B644" t="s">
        <v>7960</v>
      </c>
    </row>
    <row r="645" spans="1:2" x14ac:dyDescent="0.3">
      <c r="A645" s="6" t="s">
        <v>2868</v>
      </c>
      <c r="B645" t="s">
        <v>7437</v>
      </c>
    </row>
    <row r="646" spans="1:2" x14ac:dyDescent="0.3">
      <c r="A646" s="6" t="s">
        <v>2869</v>
      </c>
      <c r="B646" t="s">
        <v>7439</v>
      </c>
    </row>
    <row r="647" spans="1:2" x14ac:dyDescent="0.3">
      <c r="A647" s="6" t="s">
        <v>2870</v>
      </c>
      <c r="B647" t="s">
        <v>7438</v>
      </c>
    </row>
    <row r="648" spans="1:2" x14ac:dyDescent="0.3">
      <c r="A648" s="6" t="s">
        <v>2871</v>
      </c>
      <c r="B648" t="s">
        <v>7440</v>
      </c>
    </row>
    <row r="649" spans="1:2" x14ac:dyDescent="0.3">
      <c r="A649" s="6" t="s">
        <v>2872</v>
      </c>
      <c r="B649" t="s">
        <v>8130</v>
      </c>
    </row>
    <row r="650" spans="1:2" x14ac:dyDescent="0.3">
      <c r="A650" s="6" t="s">
        <v>2873</v>
      </c>
      <c r="B650" t="s">
        <v>7964</v>
      </c>
    </row>
    <row r="651" spans="1:2" x14ac:dyDescent="0.3">
      <c r="A651" s="6" t="s">
        <v>2874</v>
      </c>
      <c r="B651" t="s">
        <v>7961</v>
      </c>
    </row>
    <row r="652" spans="1:2" x14ac:dyDescent="0.3">
      <c r="A652" s="6" t="s">
        <v>2875</v>
      </c>
      <c r="B652" t="s">
        <v>7963</v>
      </c>
    </row>
    <row r="653" spans="1:2" x14ac:dyDescent="0.3">
      <c r="A653" s="6" t="s">
        <v>1485</v>
      </c>
      <c r="B653" t="s">
        <v>1958</v>
      </c>
    </row>
    <row r="654" spans="1:2" x14ac:dyDescent="0.3">
      <c r="A654" s="6" t="s">
        <v>2876</v>
      </c>
      <c r="B654" t="s">
        <v>7962</v>
      </c>
    </row>
    <row r="655" spans="1:2" x14ac:dyDescent="0.3">
      <c r="A655" s="6" t="s">
        <v>2877</v>
      </c>
      <c r="B655" t="s">
        <v>3713</v>
      </c>
    </row>
    <row r="656" spans="1:2" x14ac:dyDescent="0.3">
      <c r="A656" s="6" t="s">
        <v>2878</v>
      </c>
      <c r="B656" t="s">
        <v>3712</v>
      </c>
    </row>
    <row r="657" spans="1:2" x14ac:dyDescent="0.3">
      <c r="A657" s="6" t="s">
        <v>2879</v>
      </c>
      <c r="B657" t="s">
        <v>3711</v>
      </c>
    </row>
    <row r="658" spans="1:2" x14ac:dyDescent="0.3">
      <c r="A658" s="6" t="s">
        <v>2880</v>
      </c>
      <c r="B658" t="s">
        <v>3710</v>
      </c>
    </row>
    <row r="659" spans="1:2" x14ac:dyDescent="0.3">
      <c r="A659" s="6" t="s">
        <v>2881</v>
      </c>
      <c r="B659" t="s">
        <v>3709</v>
      </c>
    </row>
    <row r="660" spans="1:2" x14ac:dyDescent="0.3">
      <c r="A660" s="6" t="s">
        <v>2882</v>
      </c>
      <c r="B660" t="s">
        <v>2408</v>
      </c>
    </row>
    <row r="661" spans="1:2" x14ac:dyDescent="0.3">
      <c r="A661" s="6" t="s">
        <v>2883</v>
      </c>
      <c r="B661" t="s">
        <v>3714</v>
      </c>
    </row>
    <row r="662" spans="1:2" x14ac:dyDescent="0.3">
      <c r="A662" s="6" t="s">
        <v>2884</v>
      </c>
      <c r="B662" t="s">
        <v>6392</v>
      </c>
    </row>
    <row r="663" spans="1:2" x14ac:dyDescent="0.3">
      <c r="A663" s="6" t="s">
        <v>2885</v>
      </c>
      <c r="B663" t="s">
        <v>6391</v>
      </c>
    </row>
    <row r="664" spans="1:2" x14ac:dyDescent="0.3">
      <c r="A664" s="6" t="s">
        <v>1486</v>
      </c>
      <c r="B664" t="s">
        <v>5139</v>
      </c>
    </row>
    <row r="665" spans="1:2" x14ac:dyDescent="0.3">
      <c r="A665" s="6" t="s">
        <v>2886</v>
      </c>
      <c r="B665" t="s">
        <v>7505</v>
      </c>
    </row>
    <row r="666" spans="1:2" x14ac:dyDescent="0.3">
      <c r="A666" s="6" t="s">
        <v>2887</v>
      </c>
      <c r="B666" t="s">
        <v>7506</v>
      </c>
    </row>
    <row r="667" spans="1:2" x14ac:dyDescent="0.3">
      <c r="A667" s="6" t="s">
        <v>2888</v>
      </c>
      <c r="B667" t="s">
        <v>7502</v>
      </c>
    </row>
    <row r="668" spans="1:2" x14ac:dyDescent="0.3">
      <c r="A668" s="6" t="s">
        <v>2889</v>
      </c>
      <c r="B668" t="s">
        <v>7504</v>
      </c>
    </row>
    <row r="669" spans="1:2" x14ac:dyDescent="0.3">
      <c r="A669" s="6" t="s">
        <v>2890</v>
      </c>
      <c r="B669" t="s">
        <v>7503</v>
      </c>
    </row>
    <row r="670" spans="1:2" x14ac:dyDescent="0.3">
      <c r="A670" s="6" t="s">
        <v>2891</v>
      </c>
      <c r="B670" t="s">
        <v>7422</v>
      </c>
    </row>
    <row r="671" spans="1:2" x14ac:dyDescent="0.3">
      <c r="A671" s="6" t="s">
        <v>2892</v>
      </c>
      <c r="B671" t="s">
        <v>3624</v>
      </c>
    </row>
    <row r="672" spans="1:2" x14ac:dyDescent="0.3">
      <c r="A672" s="6" t="s">
        <v>2893</v>
      </c>
      <c r="B672" t="s">
        <v>3623</v>
      </c>
    </row>
    <row r="673" spans="1:2" x14ac:dyDescent="0.3">
      <c r="A673" s="6" t="s">
        <v>2894</v>
      </c>
      <c r="B673" t="s">
        <v>3625</v>
      </c>
    </row>
    <row r="674" spans="1:2" x14ac:dyDescent="0.3">
      <c r="A674" s="6" t="s">
        <v>2895</v>
      </c>
      <c r="B674" t="s">
        <v>3635</v>
      </c>
    </row>
    <row r="675" spans="1:2" x14ac:dyDescent="0.3">
      <c r="A675" s="6" t="s">
        <v>1487</v>
      </c>
      <c r="B675" t="s">
        <v>5800</v>
      </c>
    </row>
    <row r="676" spans="1:2" x14ac:dyDescent="0.3">
      <c r="A676" s="6" t="s">
        <v>2896</v>
      </c>
      <c r="B676" t="s">
        <v>7490</v>
      </c>
    </row>
    <row r="677" spans="1:2" x14ac:dyDescent="0.3">
      <c r="A677" s="6" t="s">
        <v>2897</v>
      </c>
      <c r="B677" t="s">
        <v>3634</v>
      </c>
    </row>
    <row r="678" spans="1:2" x14ac:dyDescent="0.3">
      <c r="A678" s="6" t="s">
        <v>2898</v>
      </c>
      <c r="B678" t="s">
        <v>2410</v>
      </c>
    </row>
    <row r="679" spans="1:2" x14ac:dyDescent="0.3">
      <c r="A679" s="6" t="s">
        <v>2899</v>
      </c>
      <c r="B679" t="s">
        <v>7524</v>
      </c>
    </row>
    <row r="680" spans="1:2" x14ac:dyDescent="0.3">
      <c r="A680" s="6" t="s">
        <v>2900</v>
      </c>
      <c r="B680" t="s">
        <v>2118</v>
      </c>
    </row>
    <row r="681" spans="1:2" x14ac:dyDescent="0.3">
      <c r="A681" s="6" t="s">
        <v>2901</v>
      </c>
      <c r="B681" t="s">
        <v>7491</v>
      </c>
    </row>
    <row r="682" spans="1:2" x14ac:dyDescent="0.3">
      <c r="A682" s="6" t="s">
        <v>2902</v>
      </c>
      <c r="B682" t="s">
        <v>7487</v>
      </c>
    </row>
    <row r="683" spans="1:2" x14ac:dyDescent="0.3">
      <c r="A683" s="6" t="s">
        <v>2903</v>
      </c>
      <c r="B683" t="s">
        <v>7527</v>
      </c>
    </row>
    <row r="684" spans="1:2" x14ac:dyDescent="0.3">
      <c r="A684" s="6" t="s">
        <v>2904</v>
      </c>
      <c r="B684" t="s">
        <v>8123</v>
      </c>
    </row>
    <row r="685" spans="1:2" x14ac:dyDescent="0.3">
      <c r="A685" s="6" t="s">
        <v>2905</v>
      </c>
      <c r="B685" t="s">
        <v>7966</v>
      </c>
    </row>
    <row r="686" spans="1:2" x14ac:dyDescent="0.3">
      <c r="A686" s="6" t="s">
        <v>1488</v>
      </c>
      <c r="B686" t="s">
        <v>5140</v>
      </c>
    </row>
    <row r="687" spans="1:2" x14ac:dyDescent="0.3">
      <c r="A687" s="6" t="s">
        <v>2906</v>
      </c>
      <c r="B687" t="s">
        <v>8410</v>
      </c>
    </row>
    <row r="688" spans="1:2" x14ac:dyDescent="0.3">
      <c r="A688" s="6" t="s">
        <v>2907</v>
      </c>
      <c r="B688" t="s">
        <v>3643</v>
      </c>
    </row>
    <row r="689" spans="1:2" x14ac:dyDescent="0.3">
      <c r="A689" s="6" t="s">
        <v>2908</v>
      </c>
      <c r="B689" t="s">
        <v>3644</v>
      </c>
    </row>
    <row r="690" spans="1:2" x14ac:dyDescent="0.3">
      <c r="A690" s="6" t="s">
        <v>2909</v>
      </c>
      <c r="B690" t="s">
        <v>8309</v>
      </c>
    </row>
    <row r="691" spans="1:2" x14ac:dyDescent="0.3">
      <c r="A691" s="6" t="s">
        <v>2910</v>
      </c>
      <c r="B691" t="s">
        <v>8411</v>
      </c>
    </row>
    <row r="692" spans="1:2" x14ac:dyDescent="0.3">
      <c r="A692" s="6" t="s">
        <v>2911</v>
      </c>
      <c r="B692" t="s">
        <v>8256</v>
      </c>
    </row>
    <row r="693" spans="1:2" x14ac:dyDescent="0.3">
      <c r="A693" s="6" t="s">
        <v>2912</v>
      </c>
      <c r="B693" t="s">
        <v>3646</v>
      </c>
    </row>
    <row r="694" spans="1:2" x14ac:dyDescent="0.3">
      <c r="A694" s="6" t="s">
        <v>2913</v>
      </c>
      <c r="B694" t="s">
        <v>8705</v>
      </c>
    </row>
    <row r="695" spans="1:2" x14ac:dyDescent="0.3">
      <c r="A695" s="6" t="s">
        <v>2914</v>
      </c>
      <c r="B695" t="s">
        <v>8437</v>
      </c>
    </row>
    <row r="696" spans="1:2" x14ac:dyDescent="0.3">
      <c r="A696" s="6" t="s">
        <v>2915</v>
      </c>
      <c r="B696" t="s">
        <v>7516</v>
      </c>
    </row>
    <row r="697" spans="1:2" x14ac:dyDescent="0.3">
      <c r="A697" s="6" t="s">
        <v>1489</v>
      </c>
      <c r="B697" t="s">
        <v>2298</v>
      </c>
    </row>
    <row r="698" spans="1:2" x14ac:dyDescent="0.3">
      <c r="A698" s="6" t="s">
        <v>2916</v>
      </c>
      <c r="B698" t="s">
        <v>7525</v>
      </c>
    </row>
    <row r="699" spans="1:2" x14ac:dyDescent="0.3">
      <c r="A699" s="6" t="s">
        <v>2917</v>
      </c>
      <c r="B699" t="s">
        <v>7754</v>
      </c>
    </row>
    <row r="700" spans="1:2" x14ac:dyDescent="0.3">
      <c r="A700" s="6" t="s">
        <v>2918</v>
      </c>
      <c r="B700" t="s">
        <v>7459</v>
      </c>
    </row>
    <row r="701" spans="1:2" x14ac:dyDescent="0.3">
      <c r="A701" s="6" t="s">
        <v>2919</v>
      </c>
      <c r="B701" t="s">
        <v>3640</v>
      </c>
    </row>
    <row r="702" spans="1:2" x14ac:dyDescent="0.3">
      <c r="A702" s="6" t="s">
        <v>2920</v>
      </c>
      <c r="B702" t="s">
        <v>3642</v>
      </c>
    </row>
    <row r="703" spans="1:2" x14ac:dyDescent="0.3">
      <c r="A703" s="6" t="s">
        <v>2921</v>
      </c>
      <c r="B703" t="s">
        <v>3637</v>
      </c>
    </row>
    <row r="704" spans="1:2" x14ac:dyDescent="0.3">
      <c r="A704" s="6" t="s">
        <v>2922</v>
      </c>
      <c r="B704" t="s">
        <v>7523</v>
      </c>
    </row>
    <row r="705" spans="1:2" x14ac:dyDescent="0.3">
      <c r="A705" s="6" t="s">
        <v>2923</v>
      </c>
      <c r="B705" t="s">
        <v>2784</v>
      </c>
    </row>
    <row r="706" spans="1:2" x14ac:dyDescent="0.3">
      <c r="A706" s="6" t="s">
        <v>2924</v>
      </c>
      <c r="B706" t="s">
        <v>7652</v>
      </c>
    </row>
    <row r="707" spans="1:2" x14ac:dyDescent="0.3">
      <c r="A707" s="6" t="s">
        <v>2925</v>
      </c>
      <c r="B707" t="s">
        <v>8632</v>
      </c>
    </row>
    <row r="708" spans="1:2" x14ac:dyDescent="0.3">
      <c r="A708" s="6" t="s">
        <v>1490</v>
      </c>
      <c r="B708" t="s">
        <v>1550</v>
      </c>
    </row>
    <row r="709" spans="1:2" x14ac:dyDescent="0.3">
      <c r="A709" s="6" t="s">
        <v>2926</v>
      </c>
      <c r="B709" t="s">
        <v>7526</v>
      </c>
    </row>
    <row r="710" spans="1:2" x14ac:dyDescent="0.3">
      <c r="A710" s="6" t="s">
        <v>2927</v>
      </c>
      <c r="B710" t="s">
        <v>7695</v>
      </c>
    </row>
    <row r="711" spans="1:2" x14ac:dyDescent="0.3">
      <c r="A711" s="6" t="s">
        <v>2928</v>
      </c>
      <c r="B711" t="s">
        <v>7492</v>
      </c>
    </row>
    <row r="712" spans="1:2" x14ac:dyDescent="0.3">
      <c r="A712" s="6" t="s">
        <v>2929</v>
      </c>
      <c r="B712" t="s">
        <v>7965</v>
      </c>
    </row>
    <row r="713" spans="1:2" x14ac:dyDescent="0.3">
      <c r="A713" s="6" t="s">
        <v>2930</v>
      </c>
      <c r="B713" t="s">
        <v>3645</v>
      </c>
    </row>
    <row r="714" spans="1:2" x14ac:dyDescent="0.3">
      <c r="A714" s="6" t="s">
        <v>2931</v>
      </c>
      <c r="B714" t="s">
        <v>3647</v>
      </c>
    </row>
    <row r="715" spans="1:2" x14ac:dyDescent="0.3">
      <c r="A715" s="6" t="s">
        <v>2932</v>
      </c>
      <c r="B715" t="s">
        <v>3636</v>
      </c>
    </row>
    <row r="716" spans="1:2" x14ac:dyDescent="0.3">
      <c r="A716" s="6" t="s">
        <v>2933</v>
      </c>
      <c r="B716" t="s">
        <v>8287</v>
      </c>
    </row>
    <row r="717" spans="1:2" x14ac:dyDescent="0.3">
      <c r="A717" s="6" t="s">
        <v>2934</v>
      </c>
      <c r="B717" t="s">
        <v>7655</v>
      </c>
    </row>
    <row r="718" spans="1:2" x14ac:dyDescent="0.3">
      <c r="A718" s="6" t="s">
        <v>2935</v>
      </c>
      <c r="B718" t="s">
        <v>7732</v>
      </c>
    </row>
    <row r="719" spans="1:2" x14ac:dyDescent="0.3">
      <c r="A719" s="6" t="s">
        <v>1348</v>
      </c>
      <c r="B719" t="s">
        <v>4428</v>
      </c>
    </row>
    <row r="720" spans="1:2" x14ac:dyDescent="0.3">
      <c r="A720" s="6" t="s">
        <v>1491</v>
      </c>
      <c r="B720" t="s">
        <v>2129</v>
      </c>
    </row>
    <row r="721" spans="1:2" x14ac:dyDescent="0.3">
      <c r="A721" s="6" t="s">
        <v>2936</v>
      </c>
      <c r="B721" t="s">
        <v>7731</v>
      </c>
    </row>
    <row r="722" spans="1:2" x14ac:dyDescent="0.3">
      <c r="A722" s="6" t="s">
        <v>2937</v>
      </c>
      <c r="B722" t="s">
        <v>7733</v>
      </c>
    </row>
    <row r="723" spans="1:2" x14ac:dyDescent="0.3">
      <c r="A723" s="6" t="s">
        <v>2938</v>
      </c>
      <c r="B723" t="s">
        <v>7428</v>
      </c>
    </row>
    <row r="724" spans="1:2" x14ac:dyDescent="0.3">
      <c r="A724" s="6" t="s">
        <v>2939</v>
      </c>
      <c r="B724" t="s">
        <v>7827</v>
      </c>
    </row>
    <row r="725" spans="1:2" x14ac:dyDescent="0.3">
      <c r="A725" s="6" t="s">
        <v>2940</v>
      </c>
      <c r="B725" t="s">
        <v>7508</v>
      </c>
    </row>
    <row r="726" spans="1:2" x14ac:dyDescent="0.3">
      <c r="A726" s="6" t="s">
        <v>2941</v>
      </c>
      <c r="B726" t="s">
        <v>7421</v>
      </c>
    </row>
    <row r="727" spans="1:2" x14ac:dyDescent="0.3">
      <c r="A727" s="6" t="s">
        <v>2942</v>
      </c>
      <c r="B727" t="s">
        <v>7496</v>
      </c>
    </row>
    <row r="728" spans="1:2" x14ac:dyDescent="0.3">
      <c r="A728" s="6" t="s">
        <v>2943</v>
      </c>
      <c r="B728" t="s">
        <v>7497</v>
      </c>
    </row>
    <row r="729" spans="1:2" x14ac:dyDescent="0.3">
      <c r="A729" s="6" t="s">
        <v>2944</v>
      </c>
      <c r="B729" t="s">
        <v>7909</v>
      </c>
    </row>
    <row r="730" spans="1:2" x14ac:dyDescent="0.3">
      <c r="A730" s="6" t="s">
        <v>2945</v>
      </c>
      <c r="B730" t="s">
        <v>7724</v>
      </c>
    </row>
    <row r="731" spans="1:2" x14ac:dyDescent="0.3">
      <c r="A731" s="6" t="s">
        <v>1492</v>
      </c>
      <c r="B731" t="s">
        <v>1567</v>
      </c>
    </row>
    <row r="732" spans="1:2" x14ac:dyDescent="0.3">
      <c r="A732" s="6" t="s">
        <v>2946</v>
      </c>
      <c r="B732" t="s">
        <v>8534</v>
      </c>
    </row>
    <row r="733" spans="1:2" x14ac:dyDescent="0.3">
      <c r="A733" s="6" t="s">
        <v>2947</v>
      </c>
      <c r="B733" t="s">
        <v>8706</v>
      </c>
    </row>
    <row r="734" spans="1:2" x14ac:dyDescent="0.3">
      <c r="A734" s="6" t="s">
        <v>2948</v>
      </c>
      <c r="B734" t="s">
        <v>7910</v>
      </c>
    </row>
    <row r="735" spans="1:2" x14ac:dyDescent="0.3">
      <c r="A735" s="6" t="s">
        <v>2949</v>
      </c>
      <c r="B735" t="s">
        <v>7493</v>
      </c>
    </row>
    <row r="736" spans="1:2" x14ac:dyDescent="0.3">
      <c r="A736" s="6" t="s">
        <v>2950</v>
      </c>
      <c r="B736" t="s">
        <v>7494</v>
      </c>
    </row>
    <row r="737" spans="1:2" x14ac:dyDescent="0.3">
      <c r="A737" s="6" t="s">
        <v>2951</v>
      </c>
      <c r="B737" t="s">
        <v>7495</v>
      </c>
    </row>
    <row r="738" spans="1:2" x14ac:dyDescent="0.3">
      <c r="A738" s="6" t="s">
        <v>2952</v>
      </c>
      <c r="B738" t="s">
        <v>3445</v>
      </c>
    </row>
    <row r="739" spans="1:2" x14ac:dyDescent="0.3">
      <c r="A739" s="6" t="s">
        <v>2953</v>
      </c>
      <c r="B739" t="s">
        <v>3444</v>
      </c>
    </row>
    <row r="740" spans="1:2" x14ac:dyDescent="0.3">
      <c r="A740" s="6" t="s">
        <v>2954</v>
      </c>
      <c r="B740" t="s">
        <v>3186</v>
      </c>
    </row>
    <row r="741" spans="1:2" x14ac:dyDescent="0.3">
      <c r="A741" s="6" t="s">
        <v>2955</v>
      </c>
      <c r="B741" t="s">
        <v>3631</v>
      </c>
    </row>
    <row r="742" spans="1:2" x14ac:dyDescent="0.3">
      <c r="A742" s="6" t="s">
        <v>1493</v>
      </c>
      <c r="B742" t="s">
        <v>1970</v>
      </c>
    </row>
    <row r="743" spans="1:2" x14ac:dyDescent="0.3">
      <c r="A743" s="6" t="s">
        <v>2956</v>
      </c>
      <c r="B743" t="s">
        <v>3630</v>
      </c>
    </row>
    <row r="744" spans="1:2" x14ac:dyDescent="0.3">
      <c r="A744" s="6" t="s">
        <v>2957</v>
      </c>
      <c r="B744" t="s">
        <v>3633</v>
      </c>
    </row>
    <row r="745" spans="1:2" x14ac:dyDescent="0.3">
      <c r="A745" s="6" t="s">
        <v>2958</v>
      </c>
      <c r="B745" t="s">
        <v>3632</v>
      </c>
    </row>
    <row r="746" spans="1:2" x14ac:dyDescent="0.3">
      <c r="A746" s="6" t="s">
        <v>2959</v>
      </c>
      <c r="B746" t="s">
        <v>3639</v>
      </c>
    </row>
    <row r="747" spans="1:2" x14ac:dyDescent="0.3">
      <c r="A747" s="6" t="s">
        <v>2960</v>
      </c>
      <c r="B747" t="s">
        <v>3638</v>
      </c>
    </row>
    <row r="748" spans="1:2" x14ac:dyDescent="0.3">
      <c r="A748" s="6" t="s">
        <v>2961</v>
      </c>
      <c r="B748" t="s">
        <v>7646</v>
      </c>
    </row>
    <row r="749" spans="1:2" x14ac:dyDescent="0.3">
      <c r="A749" s="6" t="s">
        <v>2962</v>
      </c>
      <c r="B749" t="s">
        <v>7647</v>
      </c>
    </row>
    <row r="750" spans="1:2" x14ac:dyDescent="0.3">
      <c r="A750" s="6" t="s">
        <v>2963</v>
      </c>
      <c r="B750" t="s">
        <v>7648</v>
      </c>
    </row>
    <row r="751" spans="1:2" x14ac:dyDescent="0.3">
      <c r="A751" s="6" t="s">
        <v>2964</v>
      </c>
      <c r="B751" t="s">
        <v>7649</v>
      </c>
    </row>
    <row r="752" spans="1:2" x14ac:dyDescent="0.3">
      <c r="A752" s="6" t="s">
        <v>2965</v>
      </c>
      <c r="B752" t="s">
        <v>8412</v>
      </c>
    </row>
    <row r="753" spans="1:2" x14ac:dyDescent="0.3">
      <c r="A753" s="6" t="s">
        <v>1494</v>
      </c>
      <c r="B753" t="s">
        <v>1566</v>
      </c>
    </row>
    <row r="754" spans="1:2" x14ac:dyDescent="0.3">
      <c r="A754" s="6" t="s">
        <v>2966</v>
      </c>
      <c r="B754" t="s">
        <v>8019</v>
      </c>
    </row>
    <row r="755" spans="1:2" x14ac:dyDescent="0.3">
      <c r="A755" s="6" t="s">
        <v>2967</v>
      </c>
      <c r="B755" t="s">
        <v>8413</v>
      </c>
    </row>
    <row r="756" spans="1:2" x14ac:dyDescent="0.3">
      <c r="A756" s="6" t="s">
        <v>2968</v>
      </c>
      <c r="B756" t="s">
        <v>8414</v>
      </c>
    </row>
    <row r="757" spans="1:2" x14ac:dyDescent="0.3">
      <c r="A757" s="6" t="s">
        <v>2969</v>
      </c>
      <c r="B757" t="s">
        <v>2789</v>
      </c>
    </row>
    <row r="758" spans="1:2" x14ac:dyDescent="0.3">
      <c r="A758" s="6" t="s">
        <v>2970</v>
      </c>
      <c r="B758" t="s">
        <v>2824</v>
      </c>
    </row>
    <row r="759" spans="1:2" x14ac:dyDescent="0.3">
      <c r="A759" s="6" t="s">
        <v>2971</v>
      </c>
      <c r="B759" t="s">
        <v>3641</v>
      </c>
    </row>
    <row r="760" spans="1:2" x14ac:dyDescent="0.3">
      <c r="A760" s="6" t="s">
        <v>2972</v>
      </c>
      <c r="B760" t="s">
        <v>3179</v>
      </c>
    </row>
    <row r="761" spans="1:2" x14ac:dyDescent="0.3">
      <c r="A761" s="6" t="s">
        <v>2973</v>
      </c>
      <c r="B761" t="s">
        <v>2792</v>
      </c>
    </row>
    <row r="762" spans="1:2" x14ac:dyDescent="0.3">
      <c r="A762" s="6" t="s">
        <v>2974</v>
      </c>
      <c r="B762" t="s">
        <v>7697</v>
      </c>
    </row>
    <row r="763" spans="1:2" x14ac:dyDescent="0.3">
      <c r="A763" s="6" t="s">
        <v>2975</v>
      </c>
      <c r="B763" t="s">
        <v>7915</v>
      </c>
    </row>
    <row r="764" spans="1:2" x14ac:dyDescent="0.3">
      <c r="A764" s="6" t="s">
        <v>1495</v>
      </c>
      <c r="B764" t="s">
        <v>2028</v>
      </c>
    </row>
    <row r="765" spans="1:2" x14ac:dyDescent="0.3">
      <c r="A765" s="6" t="s">
        <v>2976</v>
      </c>
      <c r="B765" t="s">
        <v>7696</v>
      </c>
    </row>
    <row r="766" spans="1:2" x14ac:dyDescent="0.3">
      <c r="A766" s="6" t="s">
        <v>2977</v>
      </c>
      <c r="B766" t="s">
        <v>3161</v>
      </c>
    </row>
    <row r="767" spans="1:2" x14ac:dyDescent="0.3">
      <c r="A767" s="6" t="s">
        <v>2978</v>
      </c>
      <c r="B767" t="s">
        <v>7684</v>
      </c>
    </row>
    <row r="768" spans="1:2" x14ac:dyDescent="0.3">
      <c r="A768" s="6" t="s">
        <v>2979</v>
      </c>
      <c r="B768" t="s">
        <v>7766</v>
      </c>
    </row>
    <row r="769" spans="1:2" x14ac:dyDescent="0.3">
      <c r="A769" s="6" t="s">
        <v>2980</v>
      </c>
      <c r="B769" t="s">
        <v>3041</v>
      </c>
    </row>
    <row r="770" spans="1:2" x14ac:dyDescent="0.3">
      <c r="A770" s="6" t="s">
        <v>2981</v>
      </c>
      <c r="B770" t="s">
        <v>3442</v>
      </c>
    </row>
    <row r="771" spans="1:2" x14ac:dyDescent="0.3">
      <c r="A771" s="6" t="s">
        <v>2982</v>
      </c>
      <c r="B771" t="s">
        <v>7698</v>
      </c>
    </row>
    <row r="772" spans="1:2" x14ac:dyDescent="0.3">
      <c r="A772" s="6" t="s">
        <v>2983</v>
      </c>
      <c r="B772" t="s">
        <v>7767</v>
      </c>
    </row>
    <row r="773" spans="1:2" x14ac:dyDescent="0.3">
      <c r="A773" s="6" t="s">
        <v>2984</v>
      </c>
      <c r="B773" t="s">
        <v>8467</v>
      </c>
    </row>
    <row r="774" spans="1:2" x14ac:dyDescent="0.3">
      <c r="A774" s="6" t="s">
        <v>2985</v>
      </c>
      <c r="B774" t="s">
        <v>7768</v>
      </c>
    </row>
    <row r="775" spans="1:2" x14ac:dyDescent="0.3">
      <c r="A775" s="6" t="s">
        <v>1496</v>
      </c>
      <c r="B775" t="s">
        <v>6215</v>
      </c>
    </row>
    <row r="776" spans="1:2" x14ac:dyDescent="0.3">
      <c r="A776" s="6" t="s">
        <v>2986</v>
      </c>
      <c r="B776" t="s">
        <v>7518</v>
      </c>
    </row>
    <row r="777" spans="1:2" x14ac:dyDescent="0.3">
      <c r="A777" s="6" t="s">
        <v>2987</v>
      </c>
      <c r="B777" t="s">
        <v>7501</v>
      </c>
    </row>
    <row r="778" spans="1:2" x14ac:dyDescent="0.3">
      <c r="A778" s="6" t="s">
        <v>2988</v>
      </c>
      <c r="B778" t="s">
        <v>7519</v>
      </c>
    </row>
    <row r="779" spans="1:2" x14ac:dyDescent="0.3">
      <c r="A779" s="6" t="s">
        <v>2989</v>
      </c>
      <c r="B779" t="s">
        <v>7522</v>
      </c>
    </row>
    <row r="780" spans="1:2" x14ac:dyDescent="0.3">
      <c r="A780" s="6" t="s">
        <v>2990</v>
      </c>
      <c r="B780" t="s">
        <v>7520</v>
      </c>
    </row>
    <row r="781" spans="1:2" x14ac:dyDescent="0.3">
      <c r="A781" s="6" t="s">
        <v>2991</v>
      </c>
      <c r="B781" t="s">
        <v>7507</v>
      </c>
    </row>
    <row r="782" spans="1:2" x14ac:dyDescent="0.3">
      <c r="A782" s="6" t="s">
        <v>2992</v>
      </c>
      <c r="B782" t="s">
        <v>7521</v>
      </c>
    </row>
    <row r="783" spans="1:2" x14ac:dyDescent="0.3">
      <c r="A783" s="6" t="s">
        <v>2993</v>
      </c>
      <c r="B783" t="s">
        <v>7957</v>
      </c>
    </row>
    <row r="784" spans="1:2" x14ac:dyDescent="0.3">
      <c r="A784" s="6" t="s">
        <v>2994</v>
      </c>
      <c r="B784" t="s">
        <v>7958</v>
      </c>
    </row>
    <row r="785" spans="1:2" x14ac:dyDescent="0.3">
      <c r="A785" s="6" t="s">
        <v>2995</v>
      </c>
      <c r="B785" t="s">
        <v>8678</v>
      </c>
    </row>
    <row r="786" spans="1:2" x14ac:dyDescent="0.3">
      <c r="A786" s="6" t="s">
        <v>1497</v>
      </c>
      <c r="B786" t="s">
        <v>8638</v>
      </c>
    </row>
    <row r="787" spans="1:2" x14ac:dyDescent="0.3">
      <c r="A787" s="6" t="s">
        <v>2996</v>
      </c>
      <c r="B787" t="s">
        <v>7529</v>
      </c>
    </row>
    <row r="788" spans="1:2" x14ac:dyDescent="0.3">
      <c r="A788" s="6" t="s">
        <v>2997</v>
      </c>
      <c r="B788" t="s">
        <v>7694</v>
      </c>
    </row>
    <row r="789" spans="1:2" x14ac:dyDescent="0.3">
      <c r="A789" s="6" t="s">
        <v>2998</v>
      </c>
      <c r="B789" t="s">
        <v>7693</v>
      </c>
    </row>
    <row r="790" spans="1:2" x14ac:dyDescent="0.3">
      <c r="A790" s="6" t="s">
        <v>2999</v>
      </c>
      <c r="B790" t="s">
        <v>7457</v>
      </c>
    </row>
    <row r="791" spans="1:2" x14ac:dyDescent="0.3">
      <c r="A791" s="6" t="s">
        <v>3000</v>
      </c>
      <c r="B791" t="s">
        <v>8353</v>
      </c>
    </row>
    <row r="792" spans="1:2" x14ac:dyDescent="0.3">
      <c r="A792" s="6" t="s">
        <v>3001</v>
      </c>
      <c r="B792" t="s">
        <v>7650</v>
      </c>
    </row>
    <row r="793" spans="1:2" x14ac:dyDescent="0.3">
      <c r="A793" s="6" t="s">
        <v>3002</v>
      </c>
      <c r="B793" t="s">
        <v>7651</v>
      </c>
    </row>
    <row r="794" spans="1:2" x14ac:dyDescent="0.3">
      <c r="A794" s="6" t="s">
        <v>3003</v>
      </c>
      <c r="B794" t="s">
        <v>7488</v>
      </c>
    </row>
    <row r="795" spans="1:2" x14ac:dyDescent="0.3">
      <c r="A795" s="6" t="s">
        <v>3004</v>
      </c>
      <c r="B795" t="s">
        <v>7528</v>
      </c>
    </row>
    <row r="796" spans="1:2" x14ac:dyDescent="0.3">
      <c r="A796" s="6" t="s">
        <v>3005</v>
      </c>
      <c r="B796" t="s">
        <v>7489</v>
      </c>
    </row>
    <row r="797" spans="1:2" x14ac:dyDescent="0.3">
      <c r="A797" s="6" t="s">
        <v>1498</v>
      </c>
      <c r="B797" t="s">
        <v>6216</v>
      </c>
    </row>
    <row r="798" spans="1:2" x14ac:dyDescent="0.3">
      <c r="A798" s="6" t="s">
        <v>3006</v>
      </c>
      <c r="B798" t="s">
        <v>7692</v>
      </c>
    </row>
    <row r="799" spans="1:2" x14ac:dyDescent="0.3">
      <c r="A799" s="6" t="s">
        <v>3007</v>
      </c>
      <c r="B799" t="s">
        <v>7639</v>
      </c>
    </row>
    <row r="800" spans="1:2" x14ac:dyDescent="0.3">
      <c r="A800" s="6" t="s">
        <v>3008</v>
      </c>
      <c r="B800" t="s">
        <v>7640</v>
      </c>
    </row>
    <row r="801" spans="1:2" x14ac:dyDescent="0.3">
      <c r="A801" s="6" t="s">
        <v>3009</v>
      </c>
      <c r="B801" t="s">
        <v>7641</v>
      </c>
    </row>
    <row r="802" spans="1:2" x14ac:dyDescent="0.3">
      <c r="A802" s="6" t="s">
        <v>3010</v>
      </c>
      <c r="B802" t="s">
        <v>7642</v>
      </c>
    </row>
    <row r="803" spans="1:2" x14ac:dyDescent="0.3">
      <c r="A803" s="6" t="s">
        <v>3011</v>
      </c>
      <c r="B803" t="s">
        <v>7643</v>
      </c>
    </row>
    <row r="804" spans="1:2" x14ac:dyDescent="0.3">
      <c r="A804" s="6" t="s">
        <v>3012</v>
      </c>
      <c r="B804" t="s">
        <v>7637</v>
      </c>
    </row>
    <row r="805" spans="1:2" x14ac:dyDescent="0.3">
      <c r="A805" s="6" t="s">
        <v>3013</v>
      </c>
      <c r="B805" t="s">
        <v>7638</v>
      </c>
    </row>
    <row r="806" spans="1:2" x14ac:dyDescent="0.3">
      <c r="A806" s="6" t="s">
        <v>3014</v>
      </c>
      <c r="B806" t="s">
        <v>2807</v>
      </c>
    </row>
    <row r="807" spans="1:2" x14ac:dyDescent="0.3">
      <c r="A807" s="6" t="s">
        <v>3015</v>
      </c>
      <c r="B807" t="s">
        <v>2808</v>
      </c>
    </row>
    <row r="808" spans="1:2" x14ac:dyDescent="0.3">
      <c r="A808" s="6" t="s">
        <v>1499</v>
      </c>
      <c r="B808" t="s">
        <v>2258</v>
      </c>
    </row>
    <row r="809" spans="1:2" x14ac:dyDescent="0.3">
      <c r="A809" s="6" t="s">
        <v>3016</v>
      </c>
      <c r="B809" t="s">
        <v>2389</v>
      </c>
    </row>
    <row r="810" spans="1:2" x14ac:dyDescent="0.3">
      <c r="A810" s="6" t="s">
        <v>3017</v>
      </c>
      <c r="B810" t="s">
        <v>2809</v>
      </c>
    </row>
    <row r="811" spans="1:2" x14ac:dyDescent="0.3">
      <c r="A811" s="6" t="s">
        <v>3018</v>
      </c>
      <c r="B811" t="s">
        <v>2687</v>
      </c>
    </row>
    <row r="812" spans="1:2" x14ac:dyDescent="0.3">
      <c r="A812" s="6" t="s">
        <v>3019</v>
      </c>
      <c r="B812" t="s">
        <v>2805</v>
      </c>
    </row>
    <row r="813" spans="1:2" x14ac:dyDescent="0.3">
      <c r="A813" s="6" t="s">
        <v>3020</v>
      </c>
      <c r="B813" t="s">
        <v>2806</v>
      </c>
    </row>
    <row r="814" spans="1:2" x14ac:dyDescent="0.3">
      <c r="A814" s="6" t="s">
        <v>3021</v>
      </c>
      <c r="B814" t="s">
        <v>2837</v>
      </c>
    </row>
    <row r="815" spans="1:2" x14ac:dyDescent="0.3">
      <c r="A815" s="6" t="s">
        <v>3022</v>
      </c>
      <c r="B815" t="s">
        <v>2540</v>
      </c>
    </row>
    <row r="816" spans="1:2" x14ac:dyDescent="0.3">
      <c r="A816" s="6" t="s">
        <v>3023</v>
      </c>
      <c r="B816" t="s">
        <v>7721</v>
      </c>
    </row>
    <row r="817" spans="1:2" x14ac:dyDescent="0.3">
      <c r="A817" s="6" t="s">
        <v>3024</v>
      </c>
      <c r="B817" t="s">
        <v>3915</v>
      </c>
    </row>
    <row r="818" spans="1:2" x14ac:dyDescent="0.3">
      <c r="A818" s="6" t="s">
        <v>3025</v>
      </c>
      <c r="B818" t="s">
        <v>3905</v>
      </c>
    </row>
    <row r="819" spans="1:2" x14ac:dyDescent="0.3">
      <c r="A819" s="6" t="s">
        <v>1500</v>
      </c>
      <c r="B819" t="s">
        <v>1956</v>
      </c>
    </row>
    <row r="820" spans="1:2" x14ac:dyDescent="0.3">
      <c r="A820" s="6" t="s">
        <v>3026</v>
      </c>
      <c r="B820" t="s">
        <v>3911</v>
      </c>
    </row>
    <row r="821" spans="1:2" x14ac:dyDescent="0.3">
      <c r="A821" s="6" t="s">
        <v>3027</v>
      </c>
      <c r="B821" t="s">
        <v>2845</v>
      </c>
    </row>
    <row r="822" spans="1:2" x14ac:dyDescent="0.3">
      <c r="A822" s="6" t="s">
        <v>3028</v>
      </c>
      <c r="B822" t="s">
        <v>3913</v>
      </c>
    </row>
    <row r="823" spans="1:2" x14ac:dyDescent="0.3">
      <c r="A823" s="6" t="s">
        <v>3029</v>
      </c>
      <c r="B823" t="s">
        <v>2857</v>
      </c>
    </row>
    <row r="824" spans="1:2" x14ac:dyDescent="0.3">
      <c r="A824" s="6" t="s">
        <v>3030</v>
      </c>
      <c r="B824" t="s">
        <v>3916</v>
      </c>
    </row>
    <row r="825" spans="1:2" x14ac:dyDescent="0.3">
      <c r="A825" s="6" t="s">
        <v>3031</v>
      </c>
      <c r="B825" t="s">
        <v>3923</v>
      </c>
    </row>
    <row r="826" spans="1:2" x14ac:dyDescent="0.3">
      <c r="A826" s="6" t="s">
        <v>3032</v>
      </c>
      <c r="B826" t="s">
        <v>3906</v>
      </c>
    </row>
    <row r="827" spans="1:2" x14ac:dyDescent="0.3">
      <c r="A827" s="6" t="s">
        <v>3033</v>
      </c>
      <c r="B827" t="s">
        <v>3907</v>
      </c>
    </row>
    <row r="828" spans="1:2" x14ac:dyDescent="0.3">
      <c r="A828" s="6" t="s">
        <v>3034</v>
      </c>
      <c r="B828" t="s">
        <v>3909</v>
      </c>
    </row>
    <row r="829" spans="1:2" x14ac:dyDescent="0.3">
      <c r="A829" s="6" t="s">
        <v>3035</v>
      </c>
      <c r="B829" t="s">
        <v>3908</v>
      </c>
    </row>
    <row r="830" spans="1:2" x14ac:dyDescent="0.3">
      <c r="A830" s="6" t="s">
        <v>1349</v>
      </c>
      <c r="B830" t="s">
        <v>1901</v>
      </c>
    </row>
    <row r="831" spans="1:2" x14ac:dyDescent="0.3">
      <c r="A831" s="6" t="s">
        <v>1501</v>
      </c>
      <c r="B831" t="s">
        <v>1555</v>
      </c>
    </row>
    <row r="832" spans="1:2" x14ac:dyDescent="0.3">
      <c r="A832" s="6" t="s">
        <v>3036</v>
      </c>
      <c r="B832" t="s">
        <v>3910</v>
      </c>
    </row>
    <row r="833" spans="1:2" x14ac:dyDescent="0.3">
      <c r="A833" s="6" t="s">
        <v>3037</v>
      </c>
      <c r="B833" t="s">
        <v>3912</v>
      </c>
    </row>
    <row r="834" spans="1:2" x14ac:dyDescent="0.3">
      <c r="A834" s="6" t="s">
        <v>3038</v>
      </c>
      <c r="B834" t="s">
        <v>3904</v>
      </c>
    </row>
    <row r="835" spans="1:2" x14ac:dyDescent="0.3">
      <c r="A835" s="6" t="s">
        <v>3039</v>
      </c>
      <c r="B835" t="s">
        <v>2853</v>
      </c>
    </row>
    <row r="836" spans="1:2" x14ac:dyDescent="0.3">
      <c r="A836" s="6" t="s">
        <v>3040</v>
      </c>
      <c r="B836" t="s">
        <v>3914</v>
      </c>
    </row>
    <row r="837" spans="1:2" x14ac:dyDescent="0.3">
      <c r="A837" s="6" t="s">
        <v>3041</v>
      </c>
      <c r="B837" t="s">
        <v>3358</v>
      </c>
    </row>
    <row r="838" spans="1:2" x14ac:dyDescent="0.3">
      <c r="A838" s="6" t="s">
        <v>3042</v>
      </c>
      <c r="B838" t="s">
        <v>2856</v>
      </c>
    </row>
    <row r="839" spans="1:2" x14ac:dyDescent="0.3">
      <c r="A839" s="6" t="s">
        <v>3043</v>
      </c>
      <c r="B839" t="s">
        <v>3917</v>
      </c>
    </row>
    <row r="840" spans="1:2" x14ac:dyDescent="0.3">
      <c r="A840" s="6" t="s">
        <v>3044</v>
      </c>
      <c r="B840" t="s">
        <v>3918</v>
      </c>
    </row>
    <row r="841" spans="1:2" x14ac:dyDescent="0.3">
      <c r="A841" s="6" t="s">
        <v>3045</v>
      </c>
      <c r="B841" t="s">
        <v>3919</v>
      </c>
    </row>
    <row r="842" spans="1:2" x14ac:dyDescent="0.3">
      <c r="A842" s="6" t="s">
        <v>1502</v>
      </c>
      <c r="B842" t="s">
        <v>1554</v>
      </c>
    </row>
    <row r="843" spans="1:2" x14ac:dyDescent="0.3">
      <c r="A843" s="6" t="s">
        <v>3046</v>
      </c>
      <c r="B843" t="s">
        <v>3920</v>
      </c>
    </row>
    <row r="844" spans="1:2" x14ac:dyDescent="0.3">
      <c r="A844" s="6" t="s">
        <v>3047</v>
      </c>
      <c r="B844" t="s">
        <v>3921</v>
      </c>
    </row>
    <row r="845" spans="1:2" x14ac:dyDescent="0.3">
      <c r="A845" s="6" t="s">
        <v>3048</v>
      </c>
      <c r="B845" t="s">
        <v>2858</v>
      </c>
    </row>
    <row r="846" spans="1:2" x14ac:dyDescent="0.3">
      <c r="A846" s="6" t="s">
        <v>3049</v>
      </c>
      <c r="B846" t="s">
        <v>3926</v>
      </c>
    </row>
    <row r="847" spans="1:2" x14ac:dyDescent="0.3">
      <c r="A847" s="6" t="s">
        <v>3050</v>
      </c>
      <c r="B847" t="s">
        <v>3922</v>
      </c>
    </row>
    <row r="848" spans="1:2" x14ac:dyDescent="0.3">
      <c r="A848" s="6" t="s">
        <v>3051</v>
      </c>
      <c r="B848" t="s">
        <v>3928</v>
      </c>
    </row>
    <row r="849" spans="1:2" x14ac:dyDescent="0.3">
      <c r="A849" s="6" t="s">
        <v>3052</v>
      </c>
      <c r="B849" t="s">
        <v>2790</v>
      </c>
    </row>
    <row r="850" spans="1:2" x14ac:dyDescent="0.3">
      <c r="A850" s="6" t="s">
        <v>3053</v>
      </c>
      <c r="B850" t="s">
        <v>3622</v>
      </c>
    </row>
    <row r="851" spans="1:2" x14ac:dyDescent="0.3">
      <c r="A851" s="6" t="s">
        <v>3054</v>
      </c>
      <c r="B851" t="s">
        <v>3573</v>
      </c>
    </row>
    <row r="852" spans="1:2" x14ac:dyDescent="0.3">
      <c r="A852" s="6" t="s">
        <v>3055</v>
      </c>
      <c r="B852" t="s">
        <v>7663</v>
      </c>
    </row>
    <row r="853" spans="1:2" x14ac:dyDescent="0.3">
      <c r="A853" s="6" t="s">
        <v>1503</v>
      </c>
      <c r="B853" t="s">
        <v>5138</v>
      </c>
    </row>
    <row r="854" spans="1:2" x14ac:dyDescent="0.3">
      <c r="A854" s="6" t="s">
        <v>3056</v>
      </c>
      <c r="B854" t="s">
        <v>8666</v>
      </c>
    </row>
    <row r="855" spans="1:2" x14ac:dyDescent="0.3">
      <c r="A855" s="6" t="s">
        <v>3057</v>
      </c>
      <c r="B855" t="s">
        <v>8427</v>
      </c>
    </row>
    <row r="856" spans="1:2" x14ac:dyDescent="0.3">
      <c r="A856" s="6" t="s">
        <v>3058</v>
      </c>
      <c r="B856" t="s">
        <v>7790</v>
      </c>
    </row>
    <row r="857" spans="1:2" x14ac:dyDescent="0.3">
      <c r="A857" s="6" t="s">
        <v>3059</v>
      </c>
      <c r="B857" t="s">
        <v>8369</v>
      </c>
    </row>
    <row r="858" spans="1:2" x14ac:dyDescent="0.3">
      <c r="A858" s="6" t="s">
        <v>3060</v>
      </c>
      <c r="B858" t="s">
        <v>7791</v>
      </c>
    </row>
    <row r="859" spans="1:2" x14ac:dyDescent="0.3">
      <c r="A859" s="6" t="s">
        <v>3061</v>
      </c>
      <c r="B859" t="s">
        <v>7664</v>
      </c>
    </row>
    <row r="860" spans="1:2" x14ac:dyDescent="0.3">
      <c r="A860" s="6" t="s">
        <v>3062</v>
      </c>
      <c r="B860" t="s">
        <v>8628</v>
      </c>
    </row>
    <row r="861" spans="1:2" x14ac:dyDescent="0.3">
      <c r="A861" s="6" t="s">
        <v>3064</v>
      </c>
      <c r="B861" t="s">
        <v>8701</v>
      </c>
    </row>
    <row r="862" spans="1:2" x14ac:dyDescent="0.3">
      <c r="A862" s="6" t="s">
        <v>3065</v>
      </c>
      <c r="B862" t="s">
        <v>8700</v>
      </c>
    </row>
    <row r="863" spans="1:2" x14ac:dyDescent="0.3">
      <c r="A863" s="6" t="s">
        <v>3066</v>
      </c>
      <c r="B863" t="s">
        <v>8699</v>
      </c>
    </row>
    <row r="864" spans="1:2" x14ac:dyDescent="0.3">
      <c r="A864" s="6" t="s">
        <v>1504</v>
      </c>
      <c r="B864" t="s">
        <v>4143</v>
      </c>
    </row>
    <row r="865" spans="1:2" x14ac:dyDescent="0.3">
      <c r="A865" s="6" t="s">
        <v>3067</v>
      </c>
      <c r="B865" t="s">
        <v>7486</v>
      </c>
    </row>
    <row r="866" spans="1:2" x14ac:dyDescent="0.3">
      <c r="A866" s="6" t="s">
        <v>3068</v>
      </c>
      <c r="B866" t="s">
        <v>8698</v>
      </c>
    </row>
    <row r="867" spans="1:2" x14ac:dyDescent="0.3">
      <c r="A867" s="6" t="s">
        <v>3069</v>
      </c>
      <c r="B867" t="s">
        <v>7571</v>
      </c>
    </row>
    <row r="868" spans="1:2" x14ac:dyDescent="0.3">
      <c r="A868" s="6" t="s">
        <v>3070</v>
      </c>
      <c r="B868" t="s">
        <v>8067</v>
      </c>
    </row>
    <row r="869" spans="1:2" x14ac:dyDescent="0.3">
      <c r="A869" s="6" t="s">
        <v>3071</v>
      </c>
      <c r="B869" t="s">
        <v>8068</v>
      </c>
    </row>
    <row r="870" spans="1:2" x14ac:dyDescent="0.3">
      <c r="A870" s="6" t="s">
        <v>3072</v>
      </c>
      <c r="B870" t="s">
        <v>8702</v>
      </c>
    </row>
    <row r="871" spans="1:2" x14ac:dyDescent="0.3">
      <c r="A871" s="6" t="s">
        <v>3073</v>
      </c>
      <c r="B871" t="s">
        <v>8274</v>
      </c>
    </row>
    <row r="872" spans="1:2" x14ac:dyDescent="0.3">
      <c r="A872" s="6" t="s">
        <v>3074</v>
      </c>
      <c r="B872" t="s">
        <v>7458</v>
      </c>
    </row>
    <row r="873" spans="1:2" x14ac:dyDescent="0.3">
      <c r="A873" s="6" t="s">
        <v>3075</v>
      </c>
      <c r="B873" t="s">
        <v>7418</v>
      </c>
    </row>
    <row r="874" spans="1:2" x14ac:dyDescent="0.3">
      <c r="A874" s="6" t="s">
        <v>3076</v>
      </c>
      <c r="B874" t="s">
        <v>7419</v>
      </c>
    </row>
    <row r="875" spans="1:2" x14ac:dyDescent="0.3">
      <c r="A875" s="6" t="s">
        <v>1505</v>
      </c>
      <c r="B875" t="s">
        <v>4486</v>
      </c>
    </row>
    <row r="876" spans="1:2" x14ac:dyDescent="0.3">
      <c r="A876" s="6" t="s">
        <v>3077</v>
      </c>
      <c r="B876" t="s">
        <v>7581</v>
      </c>
    </row>
    <row r="877" spans="1:2" x14ac:dyDescent="0.3">
      <c r="A877" s="6" t="s">
        <v>3078</v>
      </c>
      <c r="B877" t="s">
        <v>7420</v>
      </c>
    </row>
    <row r="878" spans="1:2" x14ac:dyDescent="0.3">
      <c r="A878" s="6" t="s">
        <v>3079</v>
      </c>
      <c r="B878" t="s">
        <v>7755</v>
      </c>
    </row>
    <row r="879" spans="1:2" x14ac:dyDescent="0.3">
      <c r="A879" s="6" t="s">
        <v>3080</v>
      </c>
      <c r="B879" t="s">
        <v>7474</v>
      </c>
    </row>
    <row r="880" spans="1:2" x14ac:dyDescent="0.3">
      <c r="A880" s="6" t="s">
        <v>3081</v>
      </c>
      <c r="B880" t="s">
        <v>7582</v>
      </c>
    </row>
    <row r="881" spans="1:2" x14ac:dyDescent="0.3">
      <c r="A881" s="6" t="s">
        <v>3082</v>
      </c>
      <c r="B881" t="s">
        <v>7583</v>
      </c>
    </row>
    <row r="882" spans="1:2" x14ac:dyDescent="0.3">
      <c r="A882" s="6" t="s">
        <v>3083</v>
      </c>
      <c r="B882" t="s">
        <v>8066</v>
      </c>
    </row>
    <row r="883" spans="1:2" x14ac:dyDescent="0.3">
      <c r="A883" s="6" t="s">
        <v>3084</v>
      </c>
      <c r="B883" t="s">
        <v>3708</v>
      </c>
    </row>
    <row r="884" spans="1:2" x14ac:dyDescent="0.3">
      <c r="A884" s="6" t="s">
        <v>3085</v>
      </c>
      <c r="B884" t="s">
        <v>3703</v>
      </c>
    </row>
    <row r="885" spans="1:2" x14ac:dyDescent="0.3">
      <c r="A885" s="6" t="s">
        <v>3086</v>
      </c>
      <c r="B885" t="s">
        <v>3706</v>
      </c>
    </row>
    <row r="886" spans="1:2" x14ac:dyDescent="0.3">
      <c r="A886" s="6" t="s">
        <v>1506</v>
      </c>
      <c r="B886" t="s">
        <v>5981</v>
      </c>
    </row>
    <row r="887" spans="1:2" x14ac:dyDescent="0.3">
      <c r="A887" s="6" t="s">
        <v>3087</v>
      </c>
      <c r="B887" t="s">
        <v>3704</v>
      </c>
    </row>
    <row r="888" spans="1:2" x14ac:dyDescent="0.3">
      <c r="A888" s="6" t="s">
        <v>3088</v>
      </c>
      <c r="B888" t="s">
        <v>3705</v>
      </c>
    </row>
    <row r="889" spans="1:2" x14ac:dyDescent="0.3">
      <c r="A889" s="6" t="s">
        <v>3089</v>
      </c>
      <c r="B889" t="s">
        <v>3707</v>
      </c>
    </row>
    <row r="890" spans="1:2" x14ac:dyDescent="0.3">
      <c r="A890" s="6" t="s">
        <v>3090</v>
      </c>
      <c r="B890" t="s">
        <v>4484</v>
      </c>
    </row>
    <row r="891" spans="1:2" x14ac:dyDescent="0.3">
      <c r="A891" s="6" t="s">
        <v>3091</v>
      </c>
      <c r="B891" t="s">
        <v>8017</v>
      </c>
    </row>
    <row r="892" spans="1:2" x14ac:dyDescent="0.3">
      <c r="A892" s="6" t="s">
        <v>3092</v>
      </c>
      <c r="B892" t="s">
        <v>3132</v>
      </c>
    </row>
    <row r="893" spans="1:2" x14ac:dyDescent="0.3">
      <c r="A893" s="6" t="s">
        <v>3093</v>
      </c>
      <c r="B893" t="s">
        <v>3901</v>
      </c>
    </row>
    <row r="894" spans="1:2" x14ac:dyDescent="0.3">
      <c r="A894" s="6" t="s">
        <v>3094</v>
      </c>
      <c r="B894" t="s">
        <v>3903</v>
      </c>
    </row>
    <row r="895" spans="1:2" x14ac:dyDescent="0.3">
      <c r="A895" s="6" t="s">
        <v>3095</v>
      </c>
      <c r="B895" t="s">
        <v>3902</v>
      </c>
    </row>
    <row r="896" spans="1:2" x14ac:dyDescent="0.3">
      <c r="A896" s="6" t="s">
        <v>3096</v>
      </c>
      <c r="B896" t="s">
        <v>3357</v>
      </c>
    </row>
    <row r="897" spans="1:2" x14ac:dyDescent="0.3">
      <c r="A897" s="6" t="s">
        <v>1507</v>
      </c>
      <c r="B897" t="s">
        <v>2297</v>
      </c>
    </row>
    <row r="898" spans="1:2" x14ac:dyDescent="0.3">
      <c r="A898" s="6" t="s">
        <v>3097</v>
      </c>
      <c r="B898" t="s">
        <v>3900</v>
      </c>
    </row>
    <row r="899" spans="1:2" x14ac:dyDescent="0.3">
      <c r="A899" s="6" t="s">
        <v>3098</v>
      </c>
      <c r="B899" t="s">
        <v>3924</v>
      </c>
    </row>
    <row r="900" spans="1:2" x14ac:dyDescent="0.3">
      <c r="A900" s="6" t="s">
        <v>3099</v>
      </c>
      <c r="B900" t="s">
        <v>2787</v>
      </c>
    </row>
    <row r="901" spans="1:2" x14ac:dyDescent="0.3">
      <c r="A901" s="6" t="s">
        <v>3100</v>
      </c>
      <c r="B901" t="s">
        <v>2785</v>
      </c>
    </row>
    <row r="902" spans="1:2" x14ac:dyDescent="0.3">
      <c r="A902" s="6" t="s">
        <v>3101</v>
      </c>
      <c r="B902" t="s">
        <v>2788</v>
      </c>
    </row>
    <row r="903" spans="1:2" x14ac:dyDescent="0.3">
      <c r="A903" s="6" t="s">
        <v>3102</v>
      </c>
      <c r="B903" t="s">
        <v>2073</v>
      </c>
    </row>
    <row r="904" spans="1:2" x14ac:dyDescent="0.3">
      <c r="A904" s="6" t="s">
        <v>3103</v>
      </c>
      <c r="B904" t="s">
        <v>2063</v>
      </c>
    </row>
    <row r="905" spans="1:2" x14ac:dyDescent="0.3">
      <c r="A905" s="6" t="s">
        <v>3104</v>
      </c>
      <c r="B905" t="s">
        <v>2064</v>
      </c>
    </row>
    <row r="906" spans="1:2" x14ac:dyDescent="0.3">
      <c r="A906" s="6" t="s">
        <v>3105</v>
      </c>
      <c r="B906" t="s">
        <v>2065</v>
      </c>
    </row>
    <row r="907" spans="1:2" x14ac:dyDescent="0.3">
      <c r="A907" s="6" t="s">
        <v>3106</v>
      </c>
      <c r="B907" t="s">
        <v>1873</v>
      </c>
    </row>
    <row r="908" spans="1:2" x14ac:dyDescent="0.3">
      <c r="A908" s="6" t="s">
        <v>1508</v>
      </c>
      <c r="B908" t="s">
        <v>7311</v>
      </c>
    </row>
    <row r="909" spans="1:2" x14ac:dyDescent="0.3">
      <c r="A909" s="6" t="s">
        <v>3107</v>
      </c>
      <c r="B909" t="s">
        <v>3749</v>
      </c>
    </row>
    <row r="910" spans="1:2" x14ac:dyDescent="0.3">
      <c r="A910" s="6" t="s">
        <v>3108</v>
      </c>
      <c r="B910" t="s">
        <v>3599</v>
      </c>
    </row>
    <row r="911" spans="1:2" x14ac:dyDescent="0.3">
      <c r="A911" s="6" t="s">
        <v>3109</v>
      </c>
      <c r="B911" t="s">
        <v>7799</v>
      </c>
    </row>
    <row r="912" spans="1:2" x14ac:dyDescent="0.3">
      <c r="A912" s="6" t="s">
        <v>3110</v>
      </c>
      <c r="B912" t="s">
        <v>7800</v>
      </c>
    </row>
    <row r="913" spans="1:2" x14ac:dyDescent="0.3">
      <c r="A913" s="6" t="s">
        <v>3111</v>
      </c>
      <c r="B913" t="s">
        <v>3648</v>
      </c>
    </row>
    <row r="914" spans="1:2" x14ac:dyDescent="0.3">
      <c r="A914" s="6" t="s">
        <v>3112</v>
      </c>
      <c r="B914" t="s">
        <v>3649</v>
      </c>
    </row>
    <row r="915" spans="1:2" x14ac:dyDescent="0.3">
      <c r="A915" s="6" t="s">
        <v>3113</v>
      </c>
      <c r="B915" t="s">
        <v>8356</v>
      </c>
    </row>
    <row r="916" spans="1:2" x14ac:dyDescent="0.3">
      <c r="A916" s="6" t="s">
        <v>3114</v>
      </c>
      <c r="B916" t="s">
        <v>3549</v>
      </c>
    </row>
    <row r="917" spans="1:2" x14ac:dyDescent="0.3">
      <c r="A917" s="6" t="s">
        <v>3115</v>
      </c>
      <c r="B917" t="s">
        <v>8081</v>
      </c>
    </row>
    <row r="918" spans="1:2" x14ac:dyDescent="0.3">
      <c r="A918" s="6" t="s">
        <v>3116</v>
      </c>
      <c r="B918" t="s">
        <v>8357</v>
      </c>
    </row>
    <row r="919" spans="1:2" x14ac:dyDescent="0.3">
      <c r="A919" s="6" t="s">
        <v>1509</v>
      </c>
      <c r="B919" t="s">
        <v>1552</v>
      </c>
    </row>
    <row r="920" spans="1:2" x14ac:dyDescent="0.3">
      <c r="A920" s="6" t="s">
        <v>3117</v>
      </c>
      <c r="B920" t="s">
        <v>8082</v>
      </c>
    </row>
    <row r="921" spans="1:2" x14ac:dyDescent="0.3">
      <c r="A921" s="6" t="s">
        <v>3118</v>
      </c>
      <c r="B921" t="s">
        <v>8083</v>
      </c>
    </row>
    <row r="922" spans="1:2" x14ac:dyDescent="0.3">
      <c r="A922" s="6" t="s">
        <v>3119</v>
      </c>
      <c r="B922" t="s">
        <v>8358</v>
      </c>
    </row>
    <row r="923" spans="1:2" x14ac:dyDescent="0.3">
      <c r="A923" s="6" t="s">
        <v>3120</v>
      </c>
      <c r="B923" t="s">
        <v>3550</v>
      </c>
    </row>
    <row r="924" spans="1:2" x14ac:dyDescent="0.3">
      <c r="A924" s="6" t="s">
        <v>3121</v>
      </c>
      <c r="B924" t="s">
        <v>8084</v>
      </c>
    </row>
    <row r="925" spans="1:2" x14ac:dyDescent="0.3">
      <c r="A925" s="6" t="s">
        <v>3122</v>
      </c>
      <c r="B925" t="s">
        <v>8359</v>
      </c>
    </row>
    <row r="926" spans="1:2" x14ac:dyDescent="0.3">
      <c r="A926" s="6" t="s">
        <v>3123</v>
      </c>
      <c r="B926" t="s">
        <v>3551</v>
      </c>
    </row>
    <row r="927" spans="1:2" x14ac:dyDescent="0.3">
      <c r="A927" s="6" t="s">
        <v>3124</v>
      </c>
      <c r="B927" t="s">
        <v>8522</v>
      </c>
    </row>
    <row r="928" spans="1:2" x14ac:dyDescent="0.3">
      <c r="A928" s="6" t="s">
        <v>3125</v>
      </c>
      <c r="B928" t="s">
        <v>7455</v>
      </c>
    </row>
    <row r="929" spans="1:2" x14ac:dyDescent="0.3">
      <c r="A929" s="6" t="s">
        <v>3126</v>
      </c>
      <c r="B929" t="s">
        <v>3552</v>
      </c>
    </row>
    <row r="930" spans="1:2" x14ac:dyDescent="0.3">
      <c r="A930" s="6" t="s">
        <v>1510</v>
      </c>
      <c r="B930" t="s">
        <v>1953</v>
      </c>
    </row>
    <row r="931" spans="1:2" x14ac:dyDescent="0.3">
      <c r="A931" s="6" t="s">
        <v>3127</v>
      </c>
      <c r="B931" t="s">
        <v>8085</v>
      </c>
    </row>
    <row r="932" spans="1:2" x14ac:dyDescent="0.3">
      <c r="A932" s="6" t="s">
        <v>3128</v>
      </c>
      <c r="B932" t="s">
        <v>8086</v>
      </c>
    </row>
    <row r="933" spans="1:2" x14ac:dyDescent="0.3">
      <c r="A933" s="6" t="s">
        <v>3129</v>
      </c>
      <c r="B933" t="s">
        <v>4841</v>
      </c>
    </row>
    <row r="934" spans="1:2" x14ac:dyDescent="0.3">
      <c r="A934" s="6" t="s">
        <v>3130</v>
      </c>
      <c r="B934" t="s">
        <v>3567</v>
      </c>
    </row>
    <row r="935" spans="1:2" x14ac:dyDescent="0.3">
      <c r="A935" s="6" t="s">
        <v>3131</v>
      </c>
      <c r="B935" t="s">
        <v>8521</v>
      </c>
    </row>
    <row r="936" spans="1:2" x14ac:dyDescent="0.3">
      <c r="A936" s="6" t="s">
        <v>3132</v>
      </c>
      <c r="B936" t="s">
        <v>8087</v>
      </c>
    </row>
    <row r="937" spans="1:2" x14ac:dyDescent="0.3">
      <c r="A937" s="6" t="s">
        <v>3133</v>
      </c>
      <c r="B937" t="s">
        <v>3553</v>
      </c>
    </row>
    <row r="938" spans="1:2" x14ac:dyDescent="0.3">
      <c r="A938" s="6" t="s">
        <v>3134</v>
      </c>
      <c r="B938" t="s">
        <v>6159</v>
      </c>
    </row>
    <row r="939" spans="1:2" x14ac:dyDescent="0.3">
      <c r="A939" s="6" t="s">
        <v>3135</v>
      </c>
      <c r="B939" t="s">
        <v>6469</v>
      </c>
    </row>
    <row r="940" spans="1:2" x14ac:dyDescent="0.3">
      <c r="A940" s="6" t="s">
        <v>3136</v>
      </c>
      <c r="B940" t="s">
        <v>3566</v>
      </c>
    </row>
    <row r="941" spans="1:2" x14ac:dyDescent="0.3">
      <c r="A941" s="6" t="s">
        <v>1350</v>
      </c>
      <c r="B941" t="s">
        <v>2026</v>
      </c>
    </row>
    <row r="942" spans="1:2" x14ac:dyDescent="0.3">
      <c r="A942" s="6" t="s">
        <v>1511</v>
      </c>
      <c r="B942" t="s">
        <v>1553</v>
      </c>
    </row>
    <row r="943" spans="1:2" x14ac:dyDescent="0.3">
      <c r="A943" s="6" t="s">
        <v>3137</v>
      </c>
      <c r="B943" t="s">
        <v>1500</v>
      </c>
    </row>
    <row r="944" spans="1:2" x14ac:dyDescent="0.3">
      <c r="A944" s="6" t="s">
        <v>3138</v>
      </c>
      <c r="B944" t="s">
        <v>6832</v>
      </c>
    </row>
    <row r="945" spans="1:2" x14ac:dyDescent="0.3">
      <c r="A945" s="6" t="s">
        <v>3139</v>
      </c>
      <c r="B945" t="s">
        <v>4193</v>
      </c>
    </row>
    <row r="946" spans="1:2" x14ac:dyDescent="0.3">
      <c r="A946" s="6" t="s">
        <v>3140</v>
      </c>
      <c r="B946" t="s">
        <v>4194</v>
      </c>
    </row>
    <row r="947" spans="1:2" x14ac:dyDescent="0.3">
      <c r="A947" s="6" t="s">
        <v>3141</v>
      </c>
      <c r="B947" t="s">
        <v>8088</v>
      </c>
    </row>
    <row r="948" spans="1:2" x14ac:dyDescent="0.3">
      <c r="A948" s="6" t="s">
        <v>3142</v>
      </c>
      <c r="B948" t="s">
        <v>4195</v>
      </c>
    </row>
    <row r="949" spans="1:2" x14ac:dyDescent="0.3">
      <c r="A949" s="6" t="s">
        <v>3143</v>
      </c>
      <c r="B949" t="s">
        <v>7676</v>
      </c>
    </row>
    <row r="950" spans="1:2" x14ac:dyDescent="0.3">
      <c r="A950" s="6" t="s">
        <v>3144</v>
      </c>
      <c r="B950" t="s">
        <v>4188</v>
      </c>
    </row>
    <row r="951" spans="1:2" x14ac:dyDescent="0.3">
      <c r="A951" s="6" t="s">
        <v>3145</v>
      </c>
      <c r="B951" t="s">
        <v>4200</v>
      </c>
    </row>
    <row r="952" spans="1:2" x14ac:dyDescent="0.3">
      <c r="A952" s="6" t="s">
        <v>3146</v>
      </c>
      <c r="B952" t="s">
        <v>4196</v>
      </c>
    </row>
    <row r="953" spans="1:2" x14ac:dyDescent="0.3">
      <c r="A953" s="6" t="s">
        <v>1512</v>
      </c>
      <c r="B953" t="s">
        <v>1946</v>
      </c>
    </row>
    <row r="954" spans="1:2" x14ac:dyDescent="0.3">
      <c r="A954" s="6" t="s">
        <v>3147</v>
      </c>
      <c r="B954" t="s">
        <v>7677</v>
      </c>
    </row>
    <row r="955" spans="1:2" x14ac:dyDescent="0.3">
      <c r="A955" s="6" t="s">
        <v>3148</v>
      </c>
      <c r="B955" t="s">
        <v>4199</v>
      </c>
    </row>
    <row r="956" spans="1:2" x14ac:dyDescent="0.3">
      <c r="A956" s="6" t="s">
        <v>3149</v>
      </c>
      <c r="B956" t="s">
        <v>6932</v>
      </c>
    </row>
    <row r="957" spans="1:2" x14ac:dyDescent="0.3">
      <c r="A957" s="6" t="s">
        <v>3150</v>
      </c>
      <c r="B957" t="s">
        <v>3554</v>
      </c>
    </row>
    <row r="958" spans="1:2" x14ac:dyDescent="0.3">
      <c r="A958" s="6" t="s">
        <v>3151</v>
      </c>
      <c r="B958" t="s">
        <v>3555</v>
      </c>
    </row>
    <row r="959" spans="1:2" x14ac:dyDescent="0.3">
      <c r="A959" s="6" t="s">
        <v>3152</v>
      </c>
      <c r="B959" t="s">
        <v>3556</v>
      </c>
    </row>
    <row r="960" spans="1:2" x14ac:dyDescent="0.3">
      <c r="A960" s="6" t="s">
        <v>3153</v>
      </c>
      <c r="B960" t="s">
        <v>2364</v>
      </c>
    </row>
    <row r="961" spans="1:2" x14ac:dyDescent="0.3">
      <c r="A961" s="6" t="s">
        <v>3154</v>
      </c>
      <c r="B961" t="s">
        <v>2840</v>
      </c>
    </row>
    <row r="962" spans="1:2" x14ac:dyDescent="0.3">
      <c r="A962" s="6" t="s">
        <v>3155</v>
      </c>
      <c r="B962" t="s">
        <v>2841</v>
      </c>
    </row>
    <row r="963" spans="1:2" x14ac:dyDescent="0.3">
      <c r="A963" s="6" t="s">
        <v>3156</v>
      </c>
      <c r="B963" t="s">
        <v>3540</v>
      </c>
    </row>
    <row r="964" spans="1:2" x14ac:dyDescent="0.3">
      <c r="A964" s="6" t="s">
        <v>1513</v>
      </c>
      <c r="B964" t="s">
        <v>2568</v>
      </c>
    </row>
    <row r="965" spans="1:2" x14ac:dyDescent="0.3">
      <c r="A965" s="6" t="s">
        <v>3157</v>
      </c>
      <c r="B965" t="s">
        <v>2361</v>
      </c>
    </row>
    <row r="966" spans="1:2" x14ac:dyDescent="0.3">
      <c r="A966" s="6" t="s">
        <v>3158</v>
      </c>
      <c r="B966" t="s">
        <v>1724</v>
      </c>
    </row>
    <row r="967" spans="1:2" x14ac:dyDescent="0.3">
      <c r="A967" s="6" t="s">
        <v>3159</v>
      </c>
      <c r="B967" t="s">
        <v>2362</v>
      </c>
    </row>
    <row r="968" spans="1:2" x14ac:dyDescent="0.3">
      <c r="A968" s="6" t="s">
        <v>3160</v>
      </c>
      <c r="B968" t="s">
        <v>7666</v>
      </c>
    </row>
    <row r="969" spans="1:2" x14ac:dyDescent="0.3">
      <c r="A969" s="6" t="s">
        <v>3161</v>
      </c>
      <c r="B969" t="s">
        <v>7667</v>
      </c>
    </row>
    <row r="970" spans="1:2" x14ac:dyDescent="0.3">
      <c r="A970" s="6" t="s">
        <v>3162</v>
      </c>
      <c r="B970" t="s">
        <v>8100</v>
      </c>
    </row>
    <row r="971" spans="1:2" x14ac:dyDescent="0.3">
      <c r="A971" s="6" t="s">
        <v>3163</v>
      </c>
      <c r="B971" t="s">
        <v>8216</v>
      </c>
    </row>
    <row r="972" spans="1:2" x14ac:dyDescent="0.3">
      <c r="A972" s="6" t="s">
        <v>3164</v>
      </c>
      <c r="B972" t="s">
        <v>3561</v>
      </c>
    </row>
    <row r="973" spans="1:2" x14ac:dyDescent="0.3">
      <c r="A973" s="6" t="s">
        <v>3165</v>
      </c>
      <c r="B973" t="s">
        <v>6400</v>
      </c>
    </row>
    <row r="974" spans="1:2" x14ac:dyDescent="0.3">
      <c r="A974" s="6" t="s">
        <v>3166</v>
      </c>
      <c r="B974" t="s">
        <v>8092</v>
      </c>
    </row>
    <row r="975" spans="1:2" x14ac:dyDescent="0.3">
      <c r="A975" s="6" t="s">
        <v>1514</v>
      </c>
      <c r="B975" t="s">
        <v>3310</v>
      </c>
    </row>
    <row r="976" spans="1:2" x14ac:dyDescent="0.3">
      <c r="A976" s="6" t="s">
        <v>3167</v>
      </c>
      <c r="B976" t="s">
        <v>8091</v>
      </c>
    </row>
    <row r="977" spans="1:2" x14ac:dyDescent="0.3">
      <c r="A977" s="6" t="s">
        <v>3168</v>
      </c>
      <c r="B977" t="s">
        <v>8230</v>
      </c>
    </row>
    <row r="978" spans="1:2" x14ac:dyDescent="0.3">
      <c r="A978" s="6" t="s">
        <v>3169</v>
      </c>
      <c r="B978" t="s">
        <v>8231</v>
      </c>
    </row>
    <row r="979" spans="1:2" x14ac:dyDescent="0.3">
      <c r="A979" s="6" t="s">
        <v>3170</v>
      </c>
      <c r="B979" t="s">
        <v>3747</v>
      </c>
    </row>
    <row r="980" spans="1:2" x14ac:dyDescent="0.3">
      <c r="A980" s="6" t="s">
        <v>3171</v>
      </c>
      <c r="B980" t="s">
        <v>3526</v>
      </c>
    </row>
    <row r="981" spans="1:2" x14ac:dyDescent="0.3">
      <c r="A981" s="6" t="s">
        <v>3172</v>
      </c>
      <c r="B981" t="s">
        <v>3526</v>
      </c>
    </row>
    <row r="982" spans="1:2" x14ac:dyDescent="0.3">
      <c r="A982" s="6" t="s">
        <v>3173</v>
      </c>
      <c r="B982" t="s">
        <v>7977</v>
      </c>
    </row>
    <row r="983" spans="1:2" x14ac:dyDescent="0.3">
      <c r="A983" s="6" t="s">
        <v>3174</v>
      </c>
      <c r="B983" t="s">
        <v>8089</v>
      </c>
    </row>
    <row r="984" spans="1:2" x14ac:dyDescent="0.3">
      <c r="A984" s="6" t="s">
        <v>3175</v>
      </c>
      <c r="B984" t="s">
        <v>8090</v>
      </c>
    </row>
    <row r="985" spans="1:2" x14ac:dyDescent="0.3">
      <c r="A985" s="6" t="s">
        <v>3176</v>
      </c>
      <c r="B985" t="s">
        <v>8093</v>
      </c>
    </row>
    <row r="986" spans="1:2" x14ac:dyDescent="0.3">
      <c r="A986" s="6" t="s">
        <v>1515</v>
      </c>
      <c r="B986" t="s">
        <v>1947</v>
      </c>
    </row>
    <row r="987" spans="1:2" x14ac:dyDescent="0.3">
      <c r="A987" s="6" t="s">
        <v>3177</v>
      </c>
      <c r="B987" t="s">
        <v>3748</v>
      </c>
    </row>
    <row r="988" spans="1:2" x14ac:dyDescent="0.3">
      <c r="A988" s="6" t="s">
        <v>3178</v>
      </c>
      <c r="B988" t="s">
        <v>3527</v>
      </c>
    </row>
    <row r="989" spans="1:2" x14ac:dyDescent="0.3">
      <c r="A989" s="6" t="s">
        <v>3179</v>
      </c>
      <c r="B989" t="s">
        <v>7978</v>
      </c>
    </row>
    <row r="990" spans="1:2" x14ac:dyDescent="0.3">
      <c r="A990" s="6" t="s">
        <v>3180</v>
      </c>
      <c r="B990" t="s">
        <v>8094</v>
      </c>
    </row>
    <row r="991" spans="1:2" x14ac:dyDescent="0.3">
      <c r="A991" s="6" t="s">
        <v>3181</v>
      </c>
      <c r="B991" t="s">
        <v>7979</v>
      </c>
    </row>
    <row r="992" spans="1:2" x14ac:dyDescent="0.3">
      <c r="A992" s="6" t="s">
        <v>3182</v>
      </c>
      <c r="B992" t="s">
        <v>8095</v>
      </c>
    </row>
    <row r="993" spans="1:2" x14ac:dyDescent="0.3">
      <c r="A993" s="6" t="s">
        <v>3183</v>
      </c>
      <c r="B993" t="s">
        <v>7980</v>
      </c>
    </row>
    <row r="994" spans="1:2" x14ac:dyDescent="0.3">
      <c r="A994" s="6" t="s">
        <v>3184</v>
      </c>
      <c r="B994" t="s">
        <v>2216</v>
      </c>
    </row>
    <row r="995" spans="1:2" x14ac:dyDescent="0.3">
      <c r="A995" s="6" t="s">
        <v>3185</v>
      </c>
      <c r="B995" t="s">
        <v>8096</v>
      </c>
    </row>
    <row r="996" spans="1:2" x14ac:dyDescent="0.3">
      <c r="A996" s="6" t="s">
        <v>3186</v>
      </c>
      <c r="B996" t="s">
        <v>4844</v>
      </c>
    </row>
    <row r="997" spans="1:2" x14ac:dyDescent="0.3">
      <c r="A997" s="6" t="s">
        <v>1516</v>
      </c>
      <c r="B997" t="s">
        <v>1949</v>
      </c>
    </row>
    <row r="998" spans="1:2" x14ac:dyDescent="0.3">
      <c r="A998" s="6" t="s">
        <v>3187</v>
      </c>
      <c r="B998" t="s">
        <v>6680</v>
      </c>
    </row>
    <row r="999" spans="1:2" x14ac:dyDescent="0.3">
      <c r="A999" s="6" t="s">
        <v>3188</v>
      </c>
      <c r="B999" t="s">
        <v>6681</v>
      </c>
    </row>
    <row r="1000" spans="1:2" x14ac:dyDescent="0.3">
      <c r="A1000" s="6" t="s">
        <v>3189</v>
      </c>
      <c r="B1000" t="s">
        <v>6604</v>
      </c>
    </row>
    <row r="1001" spans="1:2" x14ac:dyDescent="0.3">
      <c r="A1001" s="6" t="s">
        <v>3190</v>
      </c>
      <c r="B1001" t="s">
        <v>6679</v>
      </c>
    </row>
    <row r="1002" spans="1:2" x14ac:dyDescent="0.3">
      <c r="A1002" s="6" t="s">
        <v>3191</v>
      </c>
      <c r="B1002" t="s">
        <v>6678</v>
      </c>
    </row>
    <row r="1003" spans="1:2" x14ac:dyDescent="0.3">
      <c r="A1003" s="6" t="s">
        <v>3192</v>
      </c>
      <c r="B1003" t="s">
        <v>7903</v>
      </c>
    </row>
    <row r="1004" spans="1:2" x14ac:dyDescent="0.3">
      <c r="A1004" s="6" t="s">
        <v>3193</v>
      </c>
      <c r="B1004" t="s">
        <v>7904</v>
      </c>
    </row>
    <row r="1005" spans="1:2" x14ac:dyDescent="0.3">
      <c r="A1005" s="6" t="s">
        <v>3194</v>
      </c>
      <c r="B1005" t="s">
        <v>7905</v>
      </c>
    </row>
    <row r="1006" spans="1:2" x14ac:dyDescent="0.3">
      <c r="A1006" s="6" t="s">
        <v>3195</v>
      </c>
      <c r="B1006" t="s">
        <v>7906</v>
      </c>
    </row>
    <row r="1007" spans="1:2" x14ac:dyDescent="0.3">
      <c r="A1007" s="6" t="s">
        <v>3196</v>
      </c>
      <c r="B1007" t="s">
        <v>7350</v>
      </c>
    </row>
    <row r="1008" spans="1:2" x14ac:dyDescent="0.3">
      <c r="A1008" s="6" t="s">
        <v>1517</v>
      </c>
      <c r="B1008" t="s">
        <v>1948</v>
      </c>
    </row>
    <row r="1009" spans="1:2" x14ac:dyDescent="0.3">
      <c r="A1009" s="6" t="s">
        <v>3197</v>
      </c>
      <c r="B1009" t="s">
        <v>6414</v>
      </c>
    </row>
    <row r="1010" spans="1:2" x14ac:dyDescent="0.3">
      <c r="A1010" s="6" t="s">
        <v>3198</v>
      </c>
      <c r="B1010" t="s">
        <v>6875</v>
      </c>
    </row>
    <row r="1011" spans="1:2" x14ac:dyDescent="0.3">
      <c r="A1011" s="6" t="s">
        <v>3199</v>
      </c>
      <c r="B1011" t="s">
        <v>7348</v>
      </c>
    </row>
    <row r="1012" spans="1:2" x14ac:dyDescent="0.3">
      <c r="A1012" s="6" t="s">
        <v>3200</v>
      </c>
      <c r="B1012" t="s">
        <v>6877</v>
      </c>
    </row>
    <row r="1013" spans="1:2" x14ac:dyDescent="0.3">
      <c r="A1013" s="6" t="s">
        <v>3201</v>
      </c>
      <c r="B1013" t="s">
        <v>7349</v>
      </c>
    </row>
    <row r="1014" spans="1:2" x14ac:dyDescent="0.3">
      <c r="A1014" s="6" t="s">
        <v>3202</v>
      </c>
      <c r="B1014" t="s">
        <v>6411</v>
      </c>
    </row>
    <row r="1015" spans="1:2" x14ac:dyDescent="0.3">
      <c r="A1015" s="6" t="s">
        <v>3203</v>
      </c>
      <c r="B1015" t="s">
        <v>7897</v>
      </c>
    </row>
    <row r="1016" spans="1:2" x14ac:dyDescent="0.3">
      <c r="A1016" s="6" t="s">
        <v>3204</v>
      </c>
      <c r="B1016" t="s">
        <v>7908</v>
      </c>
    </row>
    <row r="1017" spans="1:2" x14ac:dyDescent="0.3">
      <c r="A1017" s="6" t="s">
        <v>3205</v>
      </c>
      <c r="B1017" t="s">
        <v>3316</v>
      </c>
    </row>
    <row r="1018" spans="1:2" x14ac:dyDescent="0.3">
      <c r="A1018" s="6" t="s">
        <v>3206</v>
      </c>
      <c r="B1018" t="s">
        <v>3524</v>
      </c>
    </row>
    <row r="1019" spans="1:2" x14ac:dyDescent="0.3">
      <c r="A1019" s="6" t="s">
        <v>1518</v>
      </c>
      <c r="B1019" t="s">
        <v>6670</v>
      </c>
    </row>
    <row r="1020" spans="1:2" x14ac:dyDescent="0.3">
      <c r="A1020" s="6" t="s">
        <v>3207</v>
      </c>
      <c r="B1020" t="s">
        <v>3746</v>
      </c>
    </row>
    <row r="1021" spans="1:2" x14ac:dyDescent="0.3">
      <c r="A1021" s="6" t="s">
        <v>3208</v>
      </c>
      <c r="B1021" t="s">
        <v>3525</v>
      </c>
    </row>
    <row r="1022" spans="1:2" x14ac:dyDescent="0.3">
      <c r="A1022" s="6" t="s">
        <v>3209</v>
      </c>
      <c r="B1022" t="s">
        <v>7975</v>
      </c>
    </row>
    <row r="1023" spans="1:2" x14ac:dyDescent="0.3">
      <c r="A1023" s="6" t="s">
        <v>3210</v>
      </c>
      <c r="B1023" t="s">
        <v>7976</v>
      </c>
    </row>
    <row r="1024" spans="1:2" x14ac:dyDescent="0.3">
      <c r="A1024" s="6" t="s">
        <v>3211</v>
      </c>
      <c r="B1024" t="s">
        <v>2215</v>
      </c>
    </row>
    <row r="1025" spans="1:2" x14ac:dyDescent="0.3">
      <c r="A1025" s="6" t="s">
        <v>3212</v>
      </c>
      <c r="B1025" t="s">
        <v>4843</v>
      </c>
    </row>
    <row r="1026" spans="1:2" x14ac:dyDescent="0.3">
      <c r="A1026" s="6" t="s">
        <v>3213</v>
      </c>
      <c r="B1026" t="s">
        <v>3751</v>
      </c>
    </row>
    <row r="1027" spans="1:2" x14ac:dyDescent="0.3">
      <c r="A1027" s="6" t="s">
        <v>3214</v>
      </c>
      <c r="B1027" t="s">
        <v>7985</v>
      </c>
    </row>
    <row r="1028" spans="1:2" x14ac:dyDescent="0.3">
      <c r="A1028" s="6" t="s">
        <v>3215</v>
      </c>
      <c r="B1028" t="s">
        <v>7986</v>
      </c>
    </row>
    <row r="1029" spans="1:2" x14ac:dyDescent="0.3">
      <c r="A1029" s="6" t="s">
        <v>3216</v>
      </c>
      <c r="B1029" t="s">
        <v>7981</v>
      </c>
    </row>
    <row r="1030" spans="1:2" x14ac:dyDescent="0.3">
      <c r="A1030" s="6" t="s">
        <v>1519</v>
      </c>
      <c r="B1030" t="s">
        <v>6669</v>
      </c>
    </row>
    <row r="1031" spans="1:2" x14ac:dyDescent="0.3">
      <c r="A1031" s="6" t="s">
        <v>3217</v>
      </c>
      <c r="B1031" t="s">
        <v>7987</v>
      </c>
    </row>
    <row r="1032" spans="1:2" x14ac:dyDescent="0.3">
      <c r="A1032" s="6" t="s">
        <v>3218</v>
      </c>
      <c r="B1032" t="s">
        <v>7988</v>
      </c>
    </row>
    <row r="1033" spans="1:2" x14ac:dyDescent="0.3">
      <c r="A1033" s="6" t="s">
        <v>3219</v>
      </c>
      <c r="B1033" t="s">
        <v>8199</v>
      </c>
    </row>
    <row r="1034" spans="1:2" x14ac:dyDescent="0.3">
      <c r="A1034" s="6" t="s">
        <v>3220</v>
      </c>
      <c r="B1034" t="s">
        <v>3752</v>
      </c>
    </row>
    <row r="1035" spans="1:2" x14ac:dyDescent="0.3">
      <c r="A1035" s="6" t="s">
        <v>3221</v>
      </c>
      <c r="B1035" t="s">
        <v>7982</v>
      </c>
    </row>
    <row r="1036" spans="1:2" x14ac:dyDescent="0.3">
      <c r="A1036" s="6" t="s">
        <v>3222</v>
      </c>
      <c r="B1036" t="s">
        <v>8200</v>
      </c>
    </row>
    <row r="1037" spans="1:2" x14ac:dyDescent="0.3">
      <c r="A1037" s="6" t="s">
        <v>3223</v>
      </c>
      <c r="B1037" t="s">
        <v>7983</v>
      </c>
    </row>
    <row r="1038" spans="1:2" x14ac:dyDescent="0.3">
      <c r="A1038" s="6" t="s">
        <v>3224</v>
      </c>
      <c r="B1038" t="s">
        <v>8201</v>
      </c>
    </row>
    <row r="1039" spans="1:2" x14ac:dyDescent="0.3">
      <c r="A1039" s="6" t="s">
        <v>3225</v>
      </c>
      <c r="B1039" t="s">
        <v>3750</v>
      </c>
    </row>
    <row r="1040" spans="1:2" x14ac:dyDescent="0.3">
      <c r="A1040" s="6" t="s">
        <v>3226</v>
      </c>
      <c r="B1040" t="s">
        <v>7984</v>
      </c>
    </row>
    <row r="1041" spans="1:2" x14ac:dyDescent="0.3">
      <c r="A1041" s="6" t="s">
        <v>1520</v>
      </c>
      <c r="B1041" t="s">
        <v>3312</v>
      </c>
    </row>
    <row r="1042" spans="1:2" x14ac:dyDescent="0.3">
      <c r="A1042" s="6" t="s">
        <v>3227</v>
      </c>
      <c r="B1042" t="s">
        <v>7353</v>
      </c>
    </row>
    <row r="1043" spans="1:2" x14ac:dyDescent="0.3">
      <c r="A1043" s="6" t="s">
        <v>3228</v>
      </c>
      <c r="B1043" t="s">
        <v>6676</v>
      </c>
    </row>
    <row r="1044" spans="1:2" x14ac:dyDescent="0.3">
      <c r="A1044" s="6" t="s">
        <v>3229</v>
      </c>
      <c r="B1044" t="s">
        <v>7233</v>
      </c>
    </row>
    <row r="1045" spans="1:2" x14ac:dyDescent="0.3">
      <c r="A1045" s="6" t="s">
        <v>3230</v>
      </c>
      <c r="B1045" t="s">
        <v>6677</v>
      </c>
    </row>
    <row r="1046" spans="1:2" x14ac:dyDescent="0.3">
      <c r="A1046" s="6" t="s">
        <v>3231</v>
      </c>
      <c r="B1046" t="s">
        <v>7238</v>
      </c>
    </row>
    <row r="1047" spans="1:2" x14ac:dyDescent="0.3">
      <c r="A1047" s="6" t="s">
        <v>3232</v>
      </c>
      <c r="B1047" t="s">
        <v>7351</v>
      </c>
    </row>
    <row r="1048" spans="1:2" x14ac:dyDescent="0.3">
      <c r="A1048" s="6" t="s">
        <v>3233</v>
      </c>
      <c r="B1048" t="s">
        <v>7234</v>
      </c>
    </row>
    <row r="1049" spans="1:2" x14ac:dyDescent="0.3">
      <c r="A1049" s="6" t="s">
        <v>3234</v>
      </c>
      <c r="B1049" t="s">
        <v>6632</v>
      </c>
    </row>
    <row r="1050" spans="1:2" x14ac:dyDescent="0.3">
      <c r="A1050" s="6" t="s">
        <v>3235</v>
      </c>
      <c r="B1050" t="s">
        <v>7352</v>
      </c>
    </row>
    <row r="1051" spans="1:2" x14ac:dyDescent="0.3">
      <c r="A1051" s="6" t="s">
        <v>3236</v>
      </c>
      <c r="B1051" t="s">
        <v>3597</v>
      </c>
    </row>
    <row r="1052" spans="1:2" x14ac:dyDescent="0.3">
      <c r="A1052" s="6" t="s">
        <v>1351</v>
      </c>
      <c r="B1052" t="s">
        <v>5348</v>
      </c>
    </row>
    <row r="1053" spans="1:2" x14ac:dyDescent="0.3">
      <c r="A1053" s="6" t="s">
        <v>1521</v>
      </c>
      <c r="B1053" t="s">
        <v>3311</v>
      </c>
    </row>
    <row r="1054" spans="1:2" x14ac:dyDescent="0.3">
      <c r="A1054" s="6" t="s">
        <v>3237</v>
      </c>
      <c r="B1054" t="s">
        <v>7574</v>
      </c>
    </row>
    <row r="1055" spans="1:2" x14ac:dyDescent="0.3">
      <c r="A1055" s="6" t="s">
        <v>3238</v>
      </c>
      <c r="B1055" t="s">
        <v>7575</v>
      </c>
    </row>
    <row r="1056" spans="1:2" x14ac:dyDescent="0.3">
      <c r="A1056" s="6" t="s">
        <v>3239</v>
      </c>
      <c r="B1056" t="s">
        <v>7576</v>
      </c>
    </row>
    <row r="1057" spans="1:2" x14ac:dyDescent="0.3">
      <c r="A1057" s="6" t="s">
        <v>3240</v>
      </c>
      <c r="B1057" t="s">
        <v>3669</v>
      </c>
    </row>
    <row r="1058" spans="1:2" x14ac:dyDescent="0.3">
      <c r="A1058" s="6" t="s">
        <v>3241</v>
      </c>
      <c r="B1058" t="s">
        <v>3671</v>
      </c>
    </row>
    <row r="1059" spans="1:2" x14ac:dyDescent="0.3">
      <c r="A1059" s="6" t="s">
        <v>3242</v>
      </c>
      <c r="B1059" t="s">
        <v>3665</v>
      </c>
    </row>
    <row r="1060" spans="1:2" x14ac:dyDescent="0.3">
      <c r="A1060" s="6" t="s">
        <v>3243</v>
      </c>
      <c r="B1060" t="s">
        <v>3667</v>
      </c>
    </row>
    <row r="1061" spans="1:2" x14ac:dyDescent="0.3">
      <c r="A1061" s="6" t="s">
        <v>3244</v>
      </c>
      <c r="B1061" t="s">
        <v>3670</v>
      </c>
    </row>
    <row r="1062" spans="1:2" x14ac:dyDescent="0.3">
      <c r="A1062" s="6" t="s">
        <v>3245</v>
      </c>
      <c r="B1062" t="s">
        <v>3672</v>
      </c>
    </row>
    <row r="1063" spans="1:2" x14ac:dyDescent="0.3">
      <c r="A1063" s="6" t="s">
        <v>3246</v>
      </c>
      <c r="B1063" t="s">
        <v>3666</v>
      </c>
    </row>
    <row r="1064" spans="1:2" x14ac:dyDescent="0.3">
      <c r="A1064" s="6" t="s">
        <v>1522</v>
      </c>
      <c r="B1064" t="s">
        <v>6302</v>
      </c>
    </row>
    <row r="1065" spans="1:2" x14ac:dyDescent="0.3">
      <c r="A1065" s="6" t="s">
        <v>3247</v>
      </c>
      <c r="B1065" t="s">
        <v>3668</v>
      </c>
    </row>
    <row r="1066" spans="1:2" x14ac:dyDescent="0.3">
      <c r="A1066" s="6" t="s">
        <v>3248</v>
      </c>
      <c r="B1066" t="s">
        <v>7485</v>
      </c>
    </row>
    <row r="1067" spans="1:2" x14ac:dyDescent="0.3">
      <c r="A1067" s="6" t="s">
        <v>3249</v>
      </c>
      <c r="B1067" t="s">
        <v>6426</v>
      </c>
    </row>
    <row r="1068" spans="1:2" x14ac:dyDescent="0.3">
      <c r="A1068" s="6" t="s">
        <v>3250</v>
      </c>
      <c r="B1068" t="s">
        <v>6425</v>
      </c>
    </row>
    <row r="1069" spans="1:2" x14ac:dyDescent="0.3">
      <c r="A1069" s="6" t="s">
        <v>3251</v>
      </c>
      <c r="B1069" t="s">
        <v>3558</v>
      </c>
    </row>
    <row r="1070" spans="1:2" x14ac:dyDescent="0.3">
      <c r="A1070" s="6" t="s">
        <v>3252</v>
      </c>
      <c r="B1070" t="s">
        <v>6424</v>
      </c>
    </row>
    <row r="1071" spans="1:2" x14ac:dyDescent="0.3">
      <c r="A1071" s="6" t="s">
        <v>3253</v>
      </c>
      <c r="B1071" t="s">
        <v>3596</v>
      </c>
    </row>
    <row r="1072" spans="1:2" x14ac:dyDescent="0.3">
      <c r="A1072" s="6" t="s">
        <v>3254</v>
      </c>
      <c r="B1072" t="s">
        <v>3598</v>
      </c>
    </row>
    <row r="1073" spans="1:2" x14ac:dyDescent="0.3">
      <c r="A1073" s="6" t="s">
        <v>3255</v>
      </c>
      <c r="B1073" t="s">
        <v>8335</v>
      </c>
    </row>
    <row r="1074" spans="1:2" x14ac:dyDescent="0.3">
      <c r="A1074" s="6" t="s">
        <v>3256</v>
      </c>
      <c r="B1074" t="s">
        <v>7873</v>
      </c>
    </row>
    <row r="1075" spans="1:2" x14ac:dyDescent="0.3">
      <c r="A1075" s="6" t="s">
        <v>1523</v>
      </c>
      <c r="B1075" t="s">
        <v>6672</v>
      </c>
    </row>
    <row r="1076" spans="1:2" x14ac:dyDescent="0.3">
      <c r="A1076" s="6" t="s">
        <v>3257</v>
      </c>
      <c r="B1076" t="s">
        <v>1844</v>
      </c>
    </row>
    <row r="1077" spans="1:2" x14ac:dyDescent="0.3">
      <c r="A1077" s="6" t="s">
        <v>3258</v>
      </c>
      <c r="B1077" t="s">
        <v>7874</v>
      </c>
    </row>
    <row r="1078" spans="1:2" x14ac:dyDescent="0.3">
      <c r="A1078" s="6" t="s">
        <v>3259</v>
      </c>
      <c r="B1078" t="s">
        <v>2689</v>
      </c>
    </row>
    <row r="1079" spans="1:2" x14ac:dyDescent="0.3">
      <c r="A1079" s="6" t="s">
        <v>3260</v>
      </c>
      <c r="B1079" t="s">
        <v>2217</v>
      </c>
    </row>
    <row r="1080" spans="1:2" x14ac:dyDescent="0.3">
      <c r="A1080" s="6" t="s">
        <v>3261</v>
      </c>
      <c r="B1080" t="s">
        <v>8336</v>
      </c>
    </row>
    <row r="1081" spans="1:2" x14ac:dyDescent="0.3">
      <c r="A1081" s="6" t="s">
        <v>3262</v>
      </c>
      <c r="B1081" t="s">
        <v>5332</v>
      </c>
    </row>
    <row r="1082" spans="1:2" x14ac:dyDescent="0.3">
      <c r="A1082" s="6" t="s">
        <v>3263</v>
      </c>
      <c r="B1082" t="s">
        <v>2279</v>
      </c>
    </row>
    <row r="1083" spans="1:2" x14ac:dyDescent="0.3">
      <c r="A1083" s="6" t="s">
        <v>3264</v>
      </c>
      <c r="B1083" t="s">
        <v>4438</v>
      </c>
    </row>
    <row r="1084" spans="1:2" x14ac:dyDescent="0.3">
      <c r="A1084" s="6" t="s">
        <v>3265</v>
      </c>
      <c r="B1084" t="s">
        <v>4426</v>
      </c>
    </row>
    <row r="1085" spans="1:2" x14ac:dyDescent="0.3">
      <c r="A1085" s="6" t="s">
        <v>3266</v>
      </c>
      <c r="B1085" t="s">
        <v>4427</v>
      </c>
    </row>
    <row r="1086" spans="1:2" x14ac:dyDescent="0.3">
      <c r="A1086" s="6" t="s">
        <v>1524</v>
      </c>
      <c r="B1086" t="s">
        <v>2050</v>
      </c>
    </row>
    <row r="1087" spans="1:2" x14ac:dyDescent="0.3">
      <c r="A1087" s="6" t="s">
        <v>3267</v>
      </c>
      <c r="B1087" t="s">
        <v>8577</v>
      </c>
    </row>
    <row r="1088" spans="1:2" x14ac:dyDescent="0.3">
      <c r="A1088" s="6" t="s">
        <v>3268</v>
      </c>
      <c r="B1088" t="s">
        <v>8576</v>
      </c>
    </row>
    <row r="1089" spans="1:2" x14ac:dyDescent="0.3">
      <c r="A1089" s="6" t="s">
        <v>3269</v>
      </c>
      <c r="B1089" t="s">
        <v>8575</v>
      </c>
    </row>
    <row r="1090" spans="1:2" x14ac:dyDescent="0.3">
      <c r="A1090" s="6" t="s">
        <v>3270</v>
      </c>
      <c r="B1090" t="s">
        <v>2284</v>
      </c>
    </row>
    <row r="1091" spans="1:2" x14ac:dyDescent="0.3">
      <c r="A1091" s="6" t="s">
        <v>3271</v>
      </c>
      <c r="B1091" t="s">
        <v>2285</v>
      </c>
    </row>
    <row r="1092" spans="1:2" x14ac:dyDescent="0.3">
      <c r="A1092" s="6" t="s">
        <v>3272</v>
      </c>
      <c r="B1092" t="s">
        <v>2124</v>
      </c>
    </row>
    <row r="1093" spans="1:2" x14ac:dyDescent="0.3">
      <c r="A1093" s="6" t="s">
        <v>3273</v>
      </c>
      <c r="B1093" t="s">
        <v>8574</v>
      </c>
    </row>
    <row r="1094" spans="1:2" x14ac:dyDescent="0.3">
      <c r="A1094" s="6" t="s">
        <v>3274</v>
      </c>
      <c r="B1094" t="s">
        <v>2282</v>
      </c>
    </row>
    <row r="1095" spans="1:2" x14ac:dyDescent="0.3">
      <c r="A1095" s="6" t="s">
        <v>3275</v>
      </c>
      <c r="B1095" t="s">
        <v>2071</v>
      </c>
    </row>
    <row r="1096" spans="1:2" x14ac:dyDescent="0.3">
      <c r="A1096" s="6" t="s">
        <v>3276</v>
      </c>
      <c r="B1096" t="s">
        <v>8578</v>
      </c>
    </row>
    <row r="1097" spans="1:2" x14ac:dyDescent="0.3">
      <c r="A1097" s="6" t="s">
        <v>1525</v>
      </c>
      <c r="B1097" t="s">
        <v>2123</v>
      </c>
    </row>
    <row r="1098" spans="1:2" x14ac:dyDescent="0.3">
      <c r="A1098" s="6" t="s">
        <v>3277</v>
      </c>
      <c r="B1098" t="s">
        <v>2872</v>
      </c>
    </row>
    <row r="1099" spans="1:2" x14ac:dyDescent="0.3">
      <c r="A1099" s="6" t="s">
        <v>3278</v>
      </c>
      <c r="B1099" t="s">
        <v>2869</v>
      </c>
    </row>
    <row r="1100" spans="1:2" x14ac:dyDescent="0.3">
      <c r="A1100" s="6" t="s">
        <v>3279</v>
      </c>
      <c r="B1100" t="s">
        <v>2870</v>
      </c>
    </row>
    <row r="1101" spans="1:2" x14ac:dyDescent="0.3">
      <c r="A1101" s="6" t="s">
        <v>3280</v>
      </c>
      <c r="B1101" t="s">
        <v>2871</v>
      </c>
    </row>
    <row r="1102" spans="1:2" x14ac:dyDescent="0.3">
      <c r="A1102" s="6" t="s">
        <v>3281</v>
      </c>
      <c r="B1102" t="s">
        <v>8618</v>
      </c>
    </row>
    <row r="1103" spans="1:2" x14ac:dyDescent="0.3">
      <c r="A1103" s="6" t="s">
        <v>3282</v>
      </c>
      <c r="B1103" t="s">
        <v>8615</v>
      </c>
    </row>
    <row r="1104" spans="1:2" x14ac:dyDescent="0.3">
      <c r="A1104" s="6" t="s">
        <v>3283</v>
      </c>
      <c r="B1104" t="s">
        <v>8616</v>
      </c>
    </row>
    <row r="1105" spans="1:2" x14ac:dyDescent="0.3">
      <c r="A1105" s="6" t="s">
        <v>3284</v>
      </c>
      <c r="B1105" t="s">
        <v>8617</v>
      </c>
    </row>
    <row r="1106" spans="1:2" x14ac:dyDescent="0.3">
      <c r="A1106" s="6" t="s">
        <v>3285</v>
      </c>
      <c r="B1106" t="s">
        <v>3446</v>
      </c>
    </row>
    <row r="1107" spans="1:2" x14ac:dyDescent="0.3">
      <c r="A1107" s="6" t="s">
        <v>3286</v>
      </c>
      <c r="B1107" t="s">
        <v>4218</v>
      </c>
    </row>
    <row r="1108" spans="1:2" x14ac:dyDescent="0.3">
      <c r="A1108" s="6" t="s">
        <v>1526</v>
      </c>
      <c r="B1108" t="s">
        <v>2668</v>
      </c>
    </row>
    <row r="1109" spans="1:2" x14ac:dyDescent="0.3">
      <c r="A1109" s="6" t="s">
        <v>3287</v>
      </c>
      <c r="B1109" t="s">
        <v>4213</v>
      </c>
    </row>
    <row r="1110" spans="1:2" x14ac:dyDescent="0.3">
      <c r="A1110" s="6" t="s">
        <v>3288</v>
      </c>
      <c r="B1110" t="s">
        <v>4215</v>
      </c>
    </row>
    <row r="1111" spans="1:2" x14ac:dyDescent="0.3">
      <c r="A1111" s="6" t="s">
        <v>3289</v>
      </c>
      <c r="B1111" t="s">
        <v>8241</v>
      </c>
    </row>
    <row r="1112" spans="1:2" x14ac:dyDescent="0.3">
      <c r="A1112" s="6" t="s">
        <v>3290</v>
      </c>
      <c r="B1112" t="s">
        <v>8538</v>
      </c>
    </row>
    <row r="1113" spans="1:2" x14ac:dyDescent="0.3">
      <c r="A1113" s="6" t="s">
        <v>3291</v>
      </c>
      <c r="B1113" t="s">
        <v>8167</v>
      </c>
    </row>
    <row r="1114" spans="1:2" x14ac:dyDescent="0.3">
      <c r="A1114" s="6" t="s">
        <v>3292</v>
      </c>
      <c r="B1114" t="s">
        <v>8579</v>
      </c>
    </row>
    <row r="1115" spans="1:2" x14ac:dyDescent="0.3">
      <c r="A1115" s="6" t="s">
        <v>3293</v>
      </c>
      <c r="B1115" t="s">
        <v>8581</v>
      </c>
    </row>
    <row r="1116" spans="1:2" x14ac:dyDescent="0.3">
      <c r="A1116" s="6" t="s">
        <v>3294</v>
      </c>
      <c r="B1116" t="s">
        <v>8580</v>
      </c>
    </row>
    <row r="1117" spans="1:2" x14ac:dyDescent="0.3">
      <c r="A1117" s="6" t="s">
        <v>3295</v>
      </c>
      <c r="B1117" t="s">
        <v>3134</v>
      </c>
    </row>
    <row r="1118" spans="1:2" x14ac:dyDescent="0.3">
      <c r="A1118" s="6" t="s">
        <v>3296</v>
      </c>
      <c r="B1118" t="s">
        <v>6177</v>
      </c>
    </row>
    <row r="1119" spans="1:2" x14ac:dyDescent="0.3">
      <c r="A1119" s="6" t="s">
        <v>1527</v>
      </c>
      <c r="B1119" t="s">
        <v>2202</v>
      </c>
    </row>
    <row r="1120" spans="1:2" x14ac:dyDescent="0.3">
      <c r="A1120" s="6" t="s">
        <v>3297</v>
      </c>
      <c r="B1120" t="s">
        <v>6178</v>
      </c>
    </row>
    <row r="1121" spans="1:2" x14ac:dyDescent="0.3">
      <c r="A1121" s="6" t="s">
        <v>3298</v>
      </c>
      <c r="B1121" t="s">
        <v>6179</v>
      </c>
    </row>
    <row r="1122" spans="1:2" x14ac:dyDescent="0.3">
      <c r="A1122" s="6" t="s">
        <v>3299</v>
      </c>
      <c r="B1122" t="s">
        <v>6180</v>
      </c>
    </row>
    <row r="1123" spans="1:2" x14ac:dyDescent="0.3">
      <c r="A1123" s="6" t="s">
        <v>3300</v>
      </c>
      <c r="B1123" t="s">
        <v>7248</v>
      </c>
    </row>
    <row r="1124" spans="1:2" x14ac:dyDescent="0.3">
      <c r="A1124" s="6" t="s">
        <v>3301</v>
      </c>
      <c r="B1124" t="s">
        <v>7249</v>
      </c>
    </row>
    <row r="1125" spans="1:2" x14ac:dyDescent="0.3">
      <c r="A1125" s="6" t="s">
        <v>3302</v>
      </c>
      <c r="B1125" t="s">
        <v>8181</v>
      </c>
    </row>
    <row r="1126" spans="1:2" x14ac:dyDescent="0.3">
      <c r="A1126" s="6" t="s">
        <v>3303</v>
      </c>
      <c r="B1126" t="s">
        <v>7247</v>
      </c>
    </row>
    <row r="1127" spans="1:2" x14ac:dyDescent="0.3">
      <c r="A1127" s="6" t="s">
        <v>3304</v>
      </c>
      <c r="B1127" t="s">
        <v>8620</v>
      </c>
    </row>
    <row r="1128" spans="1:2" x14ac:dyDescent="0.3">
      <c r="A1128" s="6" t="s">
        <v>3305</v>
      </c>
      <c r="B1128" t="s">
        <v>8621</v>
      </c>
    </row>
    <row r="1129" spans="1:2" x14ac:dyDescent="0.3">
      <c r="A1129" s="6" t="s">
        <v>3306</v>
      </c>
      <c r="B1129" t="s">
        <v>8622</v>
      </c>
    </row>
    <row r="1130" spans="1:2" x14ac:dyDescent="0.3">
      <c r="A1130" s="6" t="s">
        <v>1528</v>
      </c>
      <c r="B1130" t="s">
        <v>2670</v>
      </c>
    </row>
    <row r="1131" spans="1:2" x14ac:dyDescent="0.3">
      <c r="A1131" s="6" t="s">
        <v>3307</v>
      </c>
      <c r="B1131" t="s">
        <v>8619</v>
      </c>
    </row>
    <row r="1132" spans="1:2" x14ac:dyDescent="0.3">
      <c r="A1132" s="6" t="s">
        <v>3308</v>
      </c>
      <c r="B1132" t="s">
        <v>7250</v>
      </c>
    </row>
    <row r="1133" spans="1:2" x14ac:dyDescent="0.3">
      <c r="A1133" s="6" t="s">
        <v>3309</v>
      </c>
      <c r="B1133" t="s">
        <v>7371</v>
      </c>
    </row>
    <row r="1134" spans="1:2" x14ac:dyDescent="0.3">
      <c r="A1134" s="6" t="s">
        <v>3310</v>
      </c>
      <c r="B1134" t="s">
        <v>1580</v>
      </c>
    </row>
    <row r="1135" spans="1:2" x14ac:dyDescent="0.3">
      <c r="A1135" s="6" t="s">
        <v>3311</v>
      </c>
      <c r="B1135" t="s">
        <v>1579</v>
      </c>
    </row>
    <row r="1136" spans="1:2" x14ac:dyDescent="0.3">
      <c r="A1136" s="6" t="s">
        <v>3312</v>
      </c>
      <c r="B1136" t="s">
        <v>8257</v>
      </c>
    </row>
    <row r="1137" spans="1:2" x14ac:dyDescent="0.3">
      <c r="A1137" s="6" t="s">
        <v>3313</v>
      </c>
      <c r="B1137" t="s">
        <v>5188</v>
      </c>
    </row>
    <row r="1138" spans="1:2" x14ac:dyDescent="0.3">
      <c r="A1138" s="6" t="s">
        <v>3314</v>
      </c>
      <c r="B1138" t="s">
        <v>8211</v>
      </c>
    </row>
    <row r="1139" spans="1:2" x14ac:dyDescent="0.3">
      <c r="A1139" s="6" t="s">
        <v>3315</v>
      </c>
      <c r="B1139" t="s">
        <v>8210</v>
      </c>
    </row>
    <row r="1140" spans="1:2" x14ac:dyDescent="0.3">
      <c r="A1140" s="6" t="s">
        <v>3316</v>
      </c>
      <c r="B1140" t="s">
        <v>8212</v>
      </c>
    </row>
    <row r="1141" spans="1:2" x14ac:dyDescent="0.3">
      <c r="A1141" s="6" t="s">
        <v>1529</v>
      </c>
      <c r="B1141" t="s">
        <v>8242</v>
      </c>
    </row>
    <row r="1142" spans="1:2" x14ac:dyDescent="0.3">
      <c r="A1142" s="6" t="s">
        <v>3317</v>
      </c>
      <c r="B1142" t="s">
        <v>8544</v>
      </c>
    </row>
    <row r="1143" spans="1:2" x14ac:dyDescent="0.3">
      <c r="A1143" s="6" t="s">
        <v>3318</v>
      </c>
      <c r="B1143" t="s">
        <v>6319</v>
      </c>
    </row>
    <row r="1144" spans="1:2" x14ac:dyDescent="0.3">
      <c r="A1144" s="6" t="s">
        <v>3319</v>
      </c>
      <c r="B1144" t="s">
        <v>8208</v>
      </c>
    </row>
    <row r="1145" spans="1:2" x14ac:dyDescent="0.3">
      <c r="A1145" s="6" t="s">
        <v>3320</v>
      </c>
      <c r="B1145" t="s">
        <v>8209</v>
      </c>
    </row>
    <row r="1146" spans="1:2" x14ac:dyDescent="0.3">
      <c r="A1146" s="6" t="s">
        <v>3321</v>
      </c>
      <c r="B1146" t="s">
        <v>8557</v>
      </c>
    </row>
    <row r="1147" spans="1:2" x14ac:dyDescent="0.3">
      <c r="A1147" s="6" t="s">
        <v>3322</v>
      </c>
      <c r="B1147" t="s">
        <v>7954</v>
      </c>
    </row>
    <row r="1148" spans="1:2" x14ac:dyDescent="0.3">
      <c r="A1148" s="6" t="s">
        <v>3323</v>
      </c>
      <c r="B1148" t="s">
        <v>8571</v>
      </c>
    </row>
    <row r="1149" spans="1:2" x14ac:dyDescent="0.3">
      <c r="A1149" s="6" t="s">
        <v>3324</v>
      </c>
      <c r="B1149" t="s">
        <v>8570</v>
      </c>
    </row>
    <row r="1150" spans="1:2" x14ac:dyDescent="0.3">
      <c r="A1150" s="6" t="s">
        <v>3325</v>
      </c>
      <c r="B1150" t="s">
        <v>8567</v>
      </c>
    </row>
    <row r="1151" spans="1:2" x14ac:dyDescent="0.3">
      <c r="A1151" s="6" t="s">
        <v>3326</v>
      </c>
      <c r="B1151" t="s">
        <v>8572</v>
      </c>
    </row>
    <row r="1152" spans="1:2" x14ac:dyDescent="0.3">
      <c r="A1152" s="6" t="s">
        <v>1530</v>
      </c>
      <c r="B1152" t="s">
        <v>8687</v>
      </c>
    </row>
    <row r="1153" spans="1:2" x14ac:dyDescent="0.3">
      <c r="A1153" s="6" t="s">
        <v>3327</v>
      </c>
      <c r="B1153" t="s">
        <v>8652</v>
      </c>
    </row>
    <row r="1154" spans="1:2" x14ac:dyDescent="0.3">
      <c r="A1154" s="6" t="s">
        <v>3328</v>
      </c>
      <c r="B1154" t="s">
        <v>8582</v>
      </c>
    </row>
    <row r="1155" spans="1:2" x14ac:dyDescent="0.3">
      <c r="A1155" s="6" t="s">
        <v>3329</v>
      </c>
      <c r="B1155" t="s">
        <v>8583</v>
      </c>
    </row>
    <row r="1156" spans="1:2" x14ac:dyDescent="0.3">
      <c r="A1156" s="6" t="s">
        <v>3330</v>
      </c>
      <c r="B1156" t="s">
        <v>8312</v>
      </c>
    </row>
    <row r="1157" spans="1:2" x14ac:dyDescent="0.3">
      <c r="A1157" s="6" t="s">
        <v>3331</v>
      </c>
      <c r="B1157" t="s">
        <v>8279</v>
      </c>
    </row>
    <row r="1158" spans="1:2" x14ac:dyDescent="0.3">
      <c r="A1158" s="6" t="s">
        <v>3332</v>
      </c>
      <c r="B1158" t="s">
        <v>8313</v>
      </c>
    </row>
    <row r="1159" spans="1:2" x14ac:dyDescent="0.3">
      <c r="A1159" s="6" t="s">
        <v>3333</v>
      </c>
      <c r="B1159" t="s">
        <v>4818</v>
      </c>
    </row>
    <row r="1160" spans="1:2" x14ac:dyDescent="0.3">
      <c r="A1160" s="6" t="s">
        <v>3334</v>
      </c>
      <c r="B1160" t="s">
        <v>8197</v>
      </c>
    </row>
    <row r="1161" spans="1:2" x14ac:dyDescent="0.3">
      <c r="A1161" s="6" t="s">
        <v>3335</v>
      </c>
      <c r="B1161" t="s">
        <v>1945</v>
      </c>
    </row>
    <row r="1162" spans="1:2" x14ac:dyDescent="0.3">
      <c r="A1162" s="6" t="s">
        <v>3336</v>
      </c>
      <c r="B1162" t="s">
        <v>8527</v>
      </c>
    </row>
    <row r="1163" spans="1:2" x14ac:dyDescent="0.3">
      <c r="A1163" s="6" t="s">
        <v>1352</v>
      </c>
      <c r="B1163" t="s">
        <v>4290</v>
      </c>
    </row>
    <row r="1164" spans="1:2" x14ac:dyDescent="0.3">
      <c r="A1164" s="6" t="s">
        <v>1531</v>
      </c>
      <c r="B1164" t="s">
        <v>4377</v>
      </c>
    </row>
    <row r="1165" spans="1:2" x14ac:dyDescent="0.3">
      <c r="A1165" s="6" t="s">
        <v>3337</v>
      </c>
      <c r="B1165" t="s">
        <v>8528</v>
      </c>
    </row>
    <row r="1166" spans="1:2" x14ac:dyDescent="0.3">
      <c r="A1166" s="6" t="s">
        <v>3338</v>
      </c>
      <c r="B1166" t="s">
        <v>8268</v>
      </c>
    </row>
    <row r="1167" spans="1:2" x14ac:dyDescent="0.3">
      <c r="A1167" s="6" t="s">
        <v>3339</v>
      </c>
      <c r="B1167" t="s">
        <v>8267</v>
      </c>
    </row>
    <row r="1168" spans="1:2" x14ac:dyDescent="0.3">
      <c r="A1168" s="6" t="s">
        <v>3340</v>
      </c>
      <c r="B1168" t="s">
        <v>8519</v>
      </c>
    </row>
    <row r="1169" spans="1:2" x14ac:dyDescent="0.3">
      <c r="A1169" s="6" t="s">
        <v>3341</v>
      </c>
      <c r="B1169" t="s">
        <v>8520</v>
      </c>
    </row>
    <row r="1170" spans="1:2" x14ac:dyDescent="0.3">
      <c r="A1170" s="6" t="s">
        <v>3349</v>
      </c>
      <c r="B1170" t="s">
        <v>8373</v>
      </c>
    </row>
    <row r="1171" spans="1:2" x14ac:dyDescent="0.3">
      <c r="A1171" s="6" t="s">
        <v>3350</v>
      </c>
      <c r="B1171" t="s">
        <v>8371</v>
      </c>
    </row>
    <row r="1172" spans="1:2" x14ac:dyDescent="0.3">
      <c r="A1172" s="6" t="s">
        <v>3351</v>
      </c>
      <c r="B1172" t="s">
        <v>8372</v>
      </c>
    </row>
    <row r="1173" spans="1:2" x14ac:dyDescent="0.3">
      <c r="A1173" s="6" t="s">
        <v>3352</v>
      </c>
      <c r="B1173" t="s">
        <v>4397</v>
      </c>
    </row>
    <row r="1174" spans="1:2" x14ac:dyDescent="0.3">
      <c r="A1174" s="6" t="s">
        <v>3353</v>
      </c>
      <c r="B1174" t="s">
        <v>8704</v>
      </c>
    </row>
    <row r="1175" spans="1:2" x14ac:dyDescent="0.3">
      <c r="A1175" s="6" t="s">
        <v>1532</v>
      </c>
      <c r="B1175" t="s">
        <v>7947</v>
      </c>
    </row>
    <row r="1176" spans="1:2" x14ac:dyDescent="0.3">
      <c r="A1176" s="6" t="s">
        <v>3354</v>
      </c>
      <c r="B1176" t="s">
        <v>8314</v>
      </c>
    </row>
    <row r="1177" spans="1:2" x14ac:dyDescent="0.3">
      <c r="A1177" s="6" t="s">
        <v>3355</v>
      </c>
      <c r="B1177" t="s">
        <v>8342</v>
      </c>
    </row>
    <row r="1178" spans="1:2" x14ac:dyDescent="0.3">
      <c r="A1178" s="6" t="s">
        <v>3356</v>
      </c>
      <c r="B1178" t="s">
        <v>8509</v>
      </c>
    </row>
    <row r="1179" spans="1:2" x14ac:dyDescent="0.3">
      <c r="A1179" s="6" t="s">
        <v>3357</v>
      </c>
      <c r="B1179" t="s">
        <v>8340</v>
      </c>
    </row>
    <row r="1180" spans="1:2" x14ac:dyDescent="0.3">
      <c r="A1180" s="6" t="s">
        <v>3358</v>
      </c>
      <c r="B1180" t="s">
        <v>8650</v>
      </c>
    </row>
    <row r="1181" spans="1:2" x14ac:dyDescent="0.3">
      <c r="A1181" s="6" t="s">
        <v>3359</v>
      </c>
      <c r="B1181" t="s">
        <v>8338</v>
      </c>
    </row>
    <row r="1182" spans="1:2" x14ac:dyDescent="0.3">
      <c r="A1182" s="6" t="s">
        <v>5790</v>
      </c>
      <c r="B1182" t="s">
        <v>8347</v>
      </c>
    </row>
    <row r="1183" spans="1:2" x14ac:dyDescent="0.3">
      <c r="A1183" s="6" t="s">
        <v>3360</v>
      </c>
      <c r="B1183" t="s">
        <v>8345</v>
      </c>
    </row>
    <row r="1184" spans="1:2" x14ac:dyDescent="0.3">
      <c r="A1184" s="6" t="s">
        <v>3361</v>
      </c>
      <c r="B1184" t="s">
        <v>8510</v>
      </c>
    </row>
    <row r="1185" spans="1:2" x14ac:dyDescent="0.3">
      <c r="A1185" s="6" t="s">
        <v>3362</v>
      </c>
      <c r="B1185" t="s">
        <v>8651</v>
      </c>
    </row>
    <row r="1186" spans="1:2" x14ac:dyDescent="0.3">
      <c r="A1186" s="6" t="s">
        <v>1533</v>
      </c>
      <c r="B1186" t="s">
        <v>7945</v>
      </c>
    </row>
    <row r="1187" spans="1:2" x14ac:dyDescent="0.3">
      <c r="A1187" s="6" t="s">
        <v>3363</v>
      </c>
      <c r="B1187" t="s">
        <v>8339</v>
      </c>
    </row>
    <row r="1188" spans="1:2" x14ac:dyDescent="0.3">
      <c r="A1188" s="6" t="s">
        <v>3364</v>
      </c>
      <c r="B1188" t="s">
        <v>8343</v>
      </c>
    </row>
    <row r="1189" spans="1:2" x14ac:dyDescent="0.3">
      <c r="A1189" s="6" t="s">
        <v>3365</v>
      </c>
      <c r="B1189" t="s">
        <v>8409</v>
      </c>
    </row>
    <row r="1190" spans="1:2" x14ac:dyDescent="0.3">
      <c r="A1190" s="6" t="s">
        <v>3366</v>
      </c>
      <c r="B1190" t="s">
        <v>8341</v>
      </c>
    </row>
    <row r="1191" spans="1:2" x14ac:dyDescent="0.3">
      <c r="A1191" s="6" t="s">
        <v>5791</v>
      </c>
      <c r="B1191" t="s">
        <v>8348</v>
      </c>
    </row>
    <row r="1192" spans="1:2" x14ac:dyDescent="0.3">
      <c r="A1192" s="6" t="s">
        <v>3367</v>
      </c>
      <c r="B1192" t="s">
        <v>8346</v>
      </c>
    </row>
    <row r="1193" spans="1:2" x14ac:dyDescent="0.3">
      <c r="A1193" s="6" t="s">
        <v>3368</v>
      </c>
      <c r="B1193" t="s">
        <v>8344</v>
      </c>
    </row>
    <row r="1194" spans="1:2" x14ac:dyDescent="0.3">
      <c r="A1194" s="6" t="s">
        <v>3369</v>
      </c>
      <c r="B1194" t="s">
        <v>8226</v>
      </c>
    </row>
    <row r="1195" spans="1:2" x14ac:dyDescent="0.3">
      <c r="A1195" s="6" t="s">
        <v>3370</v>
      </c>
      <c r="B1195" t="s">
        <v>8276</v>
      </c>
    </row>
    <row r="1196" spans="1:2" x14ac:dyDescent="0.3">
      <c r="A1196" s="6" t="s">
        <v>3371</v>
      </c>
      <c r="B1196" t="s">
        <v>8277</v>
      </c>
    </row>
    <row r="1197" spans="1:2" x14ac:dyDescent="0.3">
      <c r="A1197" s="6" t="s">
        <v>1534</v>
      </c>
      <c r="B1197" t="s">
        <v>7948</v>
      </c>
    </row>
    <row r="1198" spans="1:2" x14ac:dyDescent="0.3">
      <c r="A1198" s="6" t="s">
        <v>3372</v>
      </c>
      <c r="B1198" t="s">
        <v>8315</v>
      </c>
    </row>
    <row r="1199" spans="1:2" x14ac:dyDescent="0.3">
      <c r="A1199" s="6" t="s">
        <v>3373</v>
      </c>
      <c r="B1199" t="s">
        <v>8273</v>
      </c>
    </row>
    <row r="1200" spans="1:2" x14ac:dyDescent="0.3">
      <c r="A1200" s="6" t="s">
        <v>3374</v>
      </c>
      <c r="B1200" t="s">
        <v>8227</v>
      </c>
    </row>
    <row r="1201" spans="1:2" x14ac:dyDescent="0.3">
      <c r="A1201" s="6" t="s">
        <v>3375</v>
      </c>
      <c r="B1201" t="s">
        <v>8228</v>
      </c>
    </row>
    <row r="1202" spans="1:2" x14ac:dyDescent="0.3">
      <c r="A1202" s="6" t="s">
        <v>3376</v>
      </c>
      <c r="B1202" t="s">
        <v>8280</v>
      </c>
    </row>
    <row r="1203" spans="1:2" x14ac:dyDescent="0.3">
      <c r="A1203" s="6" t="s">
        <v>3377</v>
      </c>
      <c r="B1203" t="s">
        <v>8694</v>
      </c>
    </row>
    <row r="1204" spans="1:2" x14ac:dyDescent="0.3">
      <c r="A1204" s="6" t="s">
        <v>3378</v>
      </c>
      <c r="B1204" t="s">
        <v>8293</v>
      </c>
    </row>
    <row r="1205" spans="1:2" x14ac:dyDescent="0.3">
      <c r="A1205" s="6" t="s">
        <v>3379</v>
      </c>
      <c r="B1205" t="s">
        <v>8671</v>
      </c>
    </row>
    <row r="1206" spans="1:2" x14ac:dyDescent="0.3">
      <c r="A1206" s="6" t="s">
        <v>3380</v>
      </c>
      <c r="B1206" t="s">
        <v>8291</v>
      </c>
    </row>
    <row r="1207" spans="1:2" x14ac:dyDescent="0.3">
      <c r="A1207" s="6" t="s">
        <v>1535</v>
      </c>
      <c r="B1207" t="s">
        <v>7946</v>
      </c>
    </row>
    <row r="1208" spans="1:2" x14ac:dyDescent="0.3">
      <c r="A1208" s="6" t="s">
        <v>3381</v>
      </c>
      <c r="B1208" t="s">
        <v>8693</v>
      </c>
    </row>
    <row r="1209" spans="1:2" x14ac:dyDescent="0.3">
      <c r="A1209" s="6" t="s">
        <v>3382</v>
      </c>
      <c r="B1209" t="s">
        <v>8292</v>
      </c>
    </row>
    <row r="1210" spans="1:2" x14ac:dyDescent="0.3">
      <c r="A1210" s="6" t="s">
        <v>3383</v>
      </c>
      <c r="B1210" t="s">
        <v>8653</v>
      </c>
    </row>
    <row r="1211" spans="1:2" x14ac:dyDescent="0.3">
      <c r="A1211" s="6" t="s">
        <v>3384</v>
      </c>
      <c r="B1211" t="s">
        <v>8318</v>
      </c>
    </row>
    <row r="1212" spans="1:2" x14ac:dyDescent="0.3">
      <c r="A1212" s="6" t="s">
        <v>3385</v>
      </c>
      <c r="B1212" t="s">
        <v>8695</v>
      </c>
    </row>
    <row r="1213" spans="1:2" x14ac:dyDescent="0.3">
      <c r="A1213" s="6" t="s">
        <v>3386</v>
      </c>
      <c r="B1213" t="s">
        <v>8316</v>
      </c>
    </row>
    <row r="1214" spans="1:2" x14ac:dyDescent="0.3">
      <c r="A1214" s="6" t="s">
        <v>3387</v>
      </c>
      <c r="B1214" t="s">
        <v>8689</v>
      </c>
    </row>
    <row r="1215" spans="1:2" x14ac:dyDescent="0.3">
      <c r="A1215" s="6" t="s">
        <v>3388</v>
      </c>
      <c r="B1215" t="s">
        <v>8317</v>
      </c>
    </row>
    <row r="1216" spans="1:2" x14ac:dyDescent="0.3">
      <c r="A1216" s="6" t="s">
        <v>3389</v>
      </c>
      <c r="B1216" t="s">
        <v>8690</v>
      </c>
    </row>
    <row r="1217" spans="1:2" x14ac:dyDescent="0.3">
      <c r="A1217" s="6" t="s">
        <v>3390</v>
      </c>
      <c r="B1217" t="s">
        <v>8637</v>
      </c>
    </row>
    <row r="1218" spans="1:2" x14ac:dyDescent="0.3">
      <c r="A1218" s="6" t="s">
        <v>1536</v>
      </c>
      <c r="B1218" t="s">
        <v>7953</v>
      </c>
    </row>
    <row r="1219" spans="1:2" x14ac:dyDescent="0.3">
      <c r="A1219" s="6" t="s">
        <v>5792</v>
      </c>
      <c r="B1219" t="s">
        <v>8349</v>
      </c>
    </row>
    <row r="1220" spans="1:2" x14ac:dyDescent="0.3">
      <c r="A1220" s="6" t="s">
        <v>3391</v>
      </c>
      <c r="B1220" t="s">
        <v>8278</v>
      </c>
    </row>
    <row r="1221" spans="1:2" x14ac:dyDescent="0.3">
      <c r="A1221" s="6" t="s">
        <v>3393</v>
      </c>
      <c r="B1221" t="s">
        <v>8229</v>
      </c>
    </row>
    <row r="1222" spans="1:2" x14ac:dyDescent="0.3">
      <c r="A1222" s="6" t="s">
        <v>3394</v>
      </c>
      <c r="B1222" t="s">
        <v>8554</v>
      </c>
    </row>
    <row r="1223" spans="1:2" x14ac:dyDescent="0.3">
      <c r="A1223" s="6" t="s">
        <v>3395</v>
      </c>
      <c r="B1223" t="s">
        <v>8548</v>
      </c>
    </row>
    <row r="1224" spans="1:2" x14ac:dyDescent="0.3">
      <c r="A1224" s="6" t="s">
        <v>3396</v>
      </c>
      <c r="B1224" t="s">
        <v>8549</v>
      </c>
    </row>
    <row r="1225" spans="1:2" x14ac:dyDescent="0.3">
      <c r="A1225" s="6" t="s">
        <v>3397</v>
      </c>
      <c r="B1225" t="s">
        <v>8550</v>
      </c>
    </row>
    <row r="1226" spans="1:2" x14ac:dyDescent="0.3">
      <c r="A1226" s="6" t="s">
        <v>3398</v>
      </c>
      <c r="B1226" t="s">
        <v>8551</v>
      </c>
    </row>
    <row r="1227" spans="1:2" x14ac:dyDescent="0.3">
      <c r="A1227" s="6" t="s">
        <v>3399</v>
      </c>
      <c r="B1227" t="s">
        <v>8552</v>
      </c>
    </row>
    <row r="1228" spans="1:2" x14ac:dyDescent="0.3">
      <c r="A1228" s="6" t="s">
        <v>3400</v>
      </c>
      <c r="B1228" t="s">
        <v>8553</v>
      </c>
    </row>
    <row r="1229" spans="1:2" x14ac:dyDescent="0.3">
      <c r="A1229" s="6" t="s">
        <v>1537</v>
      </c>
      <c r="B1229" t="s">
        <v>7951</v>
      </c>
    </row>
    <row r="1230" spans="1:2" x14ac:dyDescent="0.3">
      <c r="A1230" s="6" t="s">
        <v>3401</v>
      </c>
      <c r="B1230" t="s">
        <v>2648</v>
      </c>
    </row>
    <row r="1231" spans="1:2" x14ac:dyDescent="0.3">
      <c r="A1231" s="6" t="s">
        <v>3402</v>
      </c>
      <c r="B1231" t="s">
        <v>2728</v>
      </c>
    </row>
    <row r="1232" spans="1:2" x14ac:dyDescent="0.3">
      <c r="A1232" s="6" t="s">
        <v>3403</v>
      </c>
      <c r="B1232" t="s">
        <v>8275</v>
      </c>
    </row>
    <row r="1233" spans="1:2" x14ac:dyDescent="0.3">
      <c r="A1233" s="6" t="s">
        <v>3404</v>
      </c>
      <c r="B1233" t="s">
        <v>4127</v>
      </c>
    </row>
    <row r="1234" spans="1:2" x14ac:dyDescent="0.3">
      <c r="A1234" s="6" t="s">
        <v>3405</v>
      </c>
      <c r="B1234" t="s">
        <v>8669</v>
      </c>
    </row>
    <row r="1235" spans="1:2" x14ac:dyDescent="0.3">
      <c r="A1235" s="6" t="s">
        <v>3406</v>
      </c>
      <c r="B1235" t="s">
        <v>8670</v>
      </c>
    </row>
    <row r="1236" spans="1:2" x14ac:dyDescent="0.3">
      <c r="A1236" s="6" t="s">
        <v>3407</v>
      </c>
      <c r="B1236" t="s">
        <v>8668</v>
      </c>
    </row>
    <row r="1237" spans="1:2" x14ac:dyDescent="0.3">
      <c r="A1237" s="6" t="s">
        <v>3408</v>
      </c>
      <c r="B1237" t="s">
        <v>8667</v>
      </c>
    </row>
    <row r="1238" spans="1:2" x14ac:dyDescent="0.3">
      <c r="A1238" s="6" t="s">
        <v>3409</v>
      </c>
      <c r="B1238" t="s">
        <v>8258</v>
      </c>
    </row>
    <row r="1239" spans="1:2" x14ac:dyDescent="0.3">
      <c r="A1239" s="6" t="s">
        <v>3410</v>
      </c>
      <c r="B1239" t="s">
        <v>7665</v>
      </c>
    </row>
    <row r="1240" spans="1:2" x14ac:dyDescent="0.3">
      <c r="A1240" s="6" t="s">
        <v>1538</v>
      </c>
      <c r="B1240" t="s">
        <v>7952</v>
      </c>
    </row>
    <row r="1241" spans="1:2" x14ac:dyDescent="0.3">
      <c r="A1241" s="6" t="s">
        <v>5793</v>
      </c>
      <c r="B1241" t="s">
        <v>8545</v>
      </c>
    </row>
    <row r="1242" spans="1:2" x14ac:dyDescent="0.3">
      <c r="A1242" s="6" t="s">
        <v>3411</v>
      </c>
      <c r="B1242" t="s">
        <v>8547</v>
      </c>
    </row>
    <row r="1243" spans="1:2" x14ac:dyDescent="0.3">
      <c r="A1243" s="6" t="s">
        <v>3412</v>
      </c>
      <c r="B1243" t="s">
        <v>8546</v>
      </c>
    </row>
    <row r="1244" spans="1:2" x14ac:dyDescent="0.3">
      <c r="A1244" s="6" t="s">
        <v>3413</v>
      </c>
      <c r="B1244" t="s">
        <v>8555</v>
      </c>
    </row>
    <row r="1245" spans="1:2" x14ac:dyDescent="0.3">
      <c r="A1245" s="6" t="s">
        <v>3414</v>
      </c>
      <c r="B1245" t="s">
        <v>8568</v>
      </c>
    </row>
    <row r="1246" spans="1:2" x14ac:dyDescent="0.3">
      <c r="A1246" s="6" t="s">
        <v>3415</v>
      </c>
      <c r="B1246" t="s">
        <v>8569</v>
      </c>
    </row>
    <row r="1247" spans="1:2" x14ac:dyDescent="0.3">
      <c r="A1247" s="6" t="s">
        <v>3416</v>
      </c>
      <c r="B1247" t="s">
        <v>2203</v>
      </c>
    </row>
    <row r="1248" spans="1:2" x14ac:dyDescent="0.3">
      <c r="A1248" s="6" t="s">
        <v>3417</v>
      </c>
      <c r="B1248" t="s">
        <v>1548</v>
      </c>
    </row>
    <row r="1249" spans="1:2" x14ac:dyDescent="0.3">
      <c r="A1249" s="6" t="s">
        <v>3418</v>
      </c>
      <c r="B1249" t="s">
        <v>8125</v>
      </c>
    </row>
    <row r="1250" spans="1:2" x14ac:dyDescent="0.3">
      <c r="A1250" s="6" t="s">
        <v>3419</v>
      </c>
      <c r="B1250" t="s">
        <v>8124</v>
      </c>
    </row>
    <row r="1251" spans="1:2" x14ac:dyDescent="0.3">
      <c r="A1251" s="6" t="s">
        <v>1539</v>
      </c>
      <c r="B1251" t="s">
        <v>7949</v>
      </c>
    </row>
    <row r="1252" spans="1:2" x14ac:dyDescent="0.3">
      <c r="A1252" s="6" t="s">
        <v>3420</v>
      </c>
      <c r="B1252" t="s">
        <v>2111</v>
      </c>
    </row>
    <row r="1253" spans="1:2" x14ac:dyDescent="0.3">
      <c r="A1253" s="6" t="s">
        <v>3421</v>
      </c>
      <c r="B1253" t="s">
        <v>2113</v>
      </c>
    </row>
    <row r="1254" spans="1:2" x14ac:dyDescent="0.3">
      <c r="A1254" s="6" t="s">
        <v>3422</v>
      </c>
      <c r="B1254" t="s">
        <v>2112</v>
      </c>
    </row>
    <row r="1255" spans="1:2" x14ac:dyDescent="0.3">
      <c r="A1255" s="6" t="s">
        <v>3423</v>
      </c>
      <c r="B1255" t="s">
        <v>1549</v>
      </c>
    </row>
    <row r="1256" spans="1:2" x14ac:dyDescent="0.3">
      <c r="A1256" s="6" t="s">
        <v>3424</v>
      </c>
      <c r="B1256" t="s">
        <v>1964</v>
      </c>
    </row>
    <row r="1257" spans="1:2" x14ac:dyDescent="0.3">
      <c r="A1257" s="6" t="s">
        <v>3425</v>
      </c>
      <c r="B1257" t="s">
        <v>8173</v>
      </c>
    </row>
    <row r="1258" spans="1:2" x14ac:dyDescent="0.3">
      <c r="A1258" s="6" t="s">
        <v>3426</v>
      </c>
      <c r="B1258" t="s">
        <v>5197</v>
      </c>
    </row>
    <row r="1259" spans="1:2" x14ac:dyDescent="0.3">
      <c r="A1259" s="6" t="s">
        <v>3427</v>
      </c>
      <c r="B1259" t="s">
        <v>2228</v>
      </c>
    </row>
    <row r="1260" spans="1:2" x14ac:dyDescent="0.3">
      <c r="A1260" s="6" t="s">
        <v>3428</v>
      </c>
      <c r="B1260" t="s">
        <v>1867</v>
      </c>
    </row>
    <row r="1261" spans="1:2" x14ac:dyDescent="0.3">
      <c r="A1261" s="6" t="s">
        <v>3429</v>
      </c>
      <c r="B1261" t="s">
        <v>1984</v>
      </c>
    </row>
    <row r="1262" spans="1:2" x14ac:dyDescent="0.3">
      <c r="A1262" s="6" t="s">
        <v>1540</v>
      </c>
      <c r="B1262" t="s">
        <v>7950</v>
      </c>
    </row>
    <row r="1263" spans="1:2" x14ac:dyDescent="0.3">
      <c r="A1263" s="6" t="s">
        <v>3430</v>
      </c>
      <c r="B1263" t="s">
        <v>8128</v>
      </c>
    </row>
    <row r="1264" spans="1:2" x14ac:dyDescent="0.3">
      <c r="A1264" s="6" t="s">
        <v>3431</v>
      </c>
      <c r="B1264" t="s">
        <v>8176</v>
      </c>
    </row>
    <row r="1265" spans="1:2" x14ac:dyDescent="0.3">
      <c r="A1265" s="6" t="s">
        <v>3432</v>
      </c>
      <c r="B1265" t="s">
        <v>8177</v>
      </c>
    </row>
    <row r="1266" spans="1:2" x14ac:dyDescent="0.3">
      <c r="A1266" s="6" t="s">
        <v>3433</v>
      </c>
      <c r="B1266" t="s">
        <v>8295</v>
      </c>
    </row>
    <row r="1267" spans="1:2" x14ac:dyDescent="0.3">
      <c r="A1267" s="6" t="s">
        <v>3434</v>
      </c>
      <c r="B1267" t="s">
        <v>8178</v>
      </c>
    </row>
    <row r="1268" spans="1:2" x14ac:dyDescent="0.3">
      <c r="A1268" s="6" t="s">
        <v>3435</v>
      </c>
      <c r="B1268" t="s">
        <v>7794</v>
      </c>
    </row>
    <row r="1269" spans="1:2" x14ac:dyDescent="0.3">
      <c r="A1269" s="6" t="s">
        <v>3436</v>
      </c>
      <c r="B1269" t="s">
        <v>8169</v>
      </c>
    </row>
    <row r="1270" spans="1:2" x14ac:dyDescent="0.3">
      <c r="A1270" s="6" t="s">
        <v>3437</v>
      </c>
      <c r="B1270" t="s">
        <v>8179</v>
      </c>
    </row>
    <row r="1271" spans="1:2" x14ac:dyDescent="0.3">
      <c r="A1271" s="6" t="s">
        <v>3438</v>
      </c>
      <c r="B1271" t="s">
        <v>8129</v>
      </c>
    </row>
    <row r="1272" spans="1:2" x14ac:dyDescent="0.3">
      <c r="A1272" s="6" t="s">
        <v>3439</v>
      </c>
      <c r="B1272" t="s">
        <v>6742</v>
      </c>
    </row>
    <row r="1273" spans="1:2" x14ac:dyDescent="0.3">
      <c r="A1273" s="6" t="s">
        <v>1353</v>
      </c>
      <c r="B1273" t="s">
        <v>6753</v>
      </c>
    </row>
    <row r="1274" spans="1:2" x14ac:dyDescent="0.3">
      <c r="A1274" s="6" t="s">
        <v>1541</v>
      </c>
      <c r="B1274" t="s">
        <v>8018</v>
      </c>
    </row>
    <row r="1275" spans="1:2" x14ac:dyDescent="0.3">
      <c r="A1275" s="6" t="s">
        <v>3440</v>
      </c>
      <c r="B1275" t="s">
        <v>6733</v>
      </c>
    </row>
    <row r="1276" spans="1:2" x14ac:dyDescent="0.3">
      <c r="A1276" s="6" t="s">
        <v>3441</v>
      </c>
      <c r="B1276" t="s">
        <v>6743</v>
      </c>
    </row>
    <row r="1277" spans="1:2" x14ac:dyDescent="0.3">
      <c r="A1277" s="6" t="s">
        <v>3442</v>
      </c>
      <c r="B1277" t="s">
        <v>6729</v>
      </c>
    </row>
    <row r="1278" spans="1:2" x14ac:dyDescent="0.3">
      <c r="A1278" s="6" t="s">
        <v>3443</v>
      </c>
      <c r="B1278" t="s">
        <v>6739</v>
      </c>
    </row>
    <row r="1279" spans="1:2" x14ac:dyDescent="0.3">
      <c r="A1279" s="6" t="s">
        <v>3445</v>
      </c>
      <c r="B1279" t="s">
        <v>6763</v>
      </c>
    </row>
    <row r="1280" spans="1:2" x14ac:dyDescent="0.3">
      <c r="A1280" s="6" t="s">
        <v>3446</v>
      </c>
      <c r="B1280" t="s">
        <v>7588</v>
      </c>
    </row>
    <row r="1281" spans="1:2" x14ac:dyDescent="0.3">
      <c r="A1281" s="6" t="s">
        <v>3447</v>
      </c>
      <c r="B1281" t="s">
        <v>6879</v>
      </c>
    </row>
    <row r="1282" spans="1:2" x14ac:dyDescent="0.3">
      <c r="A1282" s="6" t="s">
        <v>3448</v>
      </c>
      <c r="B1282" t="s">
        <v>6322</v>
      </c>
    </row>
    <row r="1283" spans="1:2" x14ac:dyDescent="0.3">
      <c r="A1283" s="6" t="s">
        <v>3449</v>
      </c>
      <c r="B1283" t="s">
        <v>1747</v>
      </c>
    </row>
    <row r="1284" spans="1:2" x14ac:dyDescent="0.3">
      <c r="A1284" s="6" t="s">
        <v>1542</v>
      </c>
      <c r="B1284" t="s">
        <v>6229</v>
      </c>
    </row>
    <row r="1285" spans="1:2" x14ac:dyDescent="0.3">
      <c r="A1285" s="6" t="s">
        <v>3450</v>
      </c>
      <c r="B1285" t="s">
        <v>2539</v>
      </c>
    </row>
    <row r="1286" spans="1:2" x14ac:dyDescent="0.3">
      <c r="A1286" s="6" t="s">
        <v>3451</v>
      </c>
      <c r="B1286" t="s">
        <v>6234</v>
      </c>
    </row>
    <row r="1287" spans="1:2" x14ac:dyDescent="0.3">
      <c r="A1287" s="6" t="s">
        <v>3452</v>
      </c>
      <c r="B1287" t="s">
        <v>7756</v>
      </c>
    </row>
    <row r="1288" spans="1:2" x14ac:dyDescent="0.3">
      <c r="A1288" s="6" t="s">
        <v>3453</v>
      </c>
      <c r="B1288" t="s">
        <v>7757</v>
      </c>
    </row>
    <row r="1289" spans="1:2" x14ac:dyDescent="0.3">
      <c r="A1289" s="6" t="s">
        <v>3454</v>
      </c>
      <c r="B1289" t="s">
        <v>2395</v>
      </c>
    </row>
    <row r="1290" spans="1:2" x14ac:dyDescent="0.3">
      <c r="A1290" s="6" t="s">
        <v>3455</v>
      </c>
      <c r="B1290" t="s">
        <v>7775</v>
      </c>
    </row>
    <row r="1291" spans="1:2" x14ac:dyDescent="0.3">
      <c r="A1291" s="6" t="s">
        <v>3456</v>
      </c>
      <c r="B1291" t="s">
        <v>6121</v>
      </c>
    </row>
    <row r="1292" spans="1:2" x14ac:dyDescent="0.3">
      <c r="A1292" s="6" t="s">
        <v>3457</v>
      </c>
      <c r="B1292" t="s">
        <v>2419</v>
      </c>
    </row>
    <row r="1293" spans="1:2" x14ac:dyDescent="0.3">
      <c r="A1293" s="6" t="s">
        <v>3458</v>
      </c>
      <c r="B1293" t="s">
        <v>2421</v>
      </c>
    </row>
    <row r="1294" spans="1:2" x14ac:dyDescent="0.3">
      <c r="A1294" s="6" t="s">
        <v>3459</v>
      </c>
      <c r="B1294" t="s">
        <v>2420</v>
      </c>
    </row>
    <row r="1295" spans="1:2" x14ac:dyDescent="0.3">
      <c r="A1295" s="6" t="s">
        <v>1543</v>
      </c>
      <c r="B1295" t="s">
        <v>6230</v>
      </c>
    </row>
    <row r="1296" spans="1:2" x14ac:dyDescent="0.3">
      <c r="A1296" s="6" t="s">
        <v>3460</v>
      </c>
      <c r="B1296" t="s">
        <v>2571</v>
      </c>
    </row>
    <row r="1297" spans="1:2" x14ac:dyDescent="0.3">
      <c r="A1297" s="6" t="s">
        <v>3461</v>
      </c>
      <c r="B1297" t="s">
        <v>2573</v>
      </c>
    </row>
    <row r="1298" spans="1:2" x14ac:dyDescent="0.3">
      <c r="A1298" s="6" t="s">
        <v>3462</v>
      </c>
      <c r="B1298" t="s">
        <v>2572</v>
      </c>
    </row>
    <row r="1299" spans="1:2" x14ac:dyDescent="0.3">
      <c r="A1299" s="6" t="s">
        <v>3463</v>
      </c>
      <c r="B1299" t="s">
        <v>7077</v>
      </c>
    </row>
    <row r="1300" spans="1:2" x14ac:dyDescent="0.3">
      <c r="A1300" s="6" t="s">
        <v>3464</v>
      </c>
      <c r="B1300" t="s">
        <v>7479</v>
      </c>
    </row>
    <row r="1301" spans="1:2" x14ac:dyDescent="0.3">
      <c r="A1301" s="6" t="s">
        <v>3465</v>
      </c>
      <c r="B1301" t="s">
        <v>7394</v>
      </c>
    </row>
    <row r="1302" spans="1:2" x14ac:dyDescent="0.3">
      <c r="A1302" s="6" t="s">
        <v>3466</v>
      </c>
      <c r="B1302" t="s">
        <v>6751</v>
      </c>
    </row>
    <row r="1303" spans="1:2" x14ac:dyDescent="0.3">
      <c r="A1303" s="6" t="s">
        <v>3467</v>
      </c>
      <c r="B1303" t="s">
        <v>1466</v>
      </c>
    </row>
    <row r="1304" spans="1:2" x14ac:dyDescent="0.3">
      <c r="A1304" s="6" t="s">
        <v>3468</v>
      </c>
      <c r="B1304" t="s">
        <v>1525</v>
      </c>
    </row>
    <row r="1305" spans="1:2" x14ac:dyDescent="0.3">
      <c r="A1305" s="6" t="s">
        <v>3469</v>
      </c>
      <c r="B1305" t="s">
        <v>1526</v>
      </c>
    </row>
    <row r="1306" spans="1:2" x14ac:dyDescent="0.3">
      <c r="A1306" s="6" t="s">
        <v>1544</v>
      </c>
      <c r="B1306" t="s">
        <v>3764</v>
      </c>
    </row>
    <row r="1307" spans="1:2" x14ac:dyDescent="0.3">
      <c r="A1307" s="6" t="s">
        <v>3470</v>
      </c>
      <c r="B1307" t="s">
        <v>2726</v>
      </c>
    </row>
    <row r="1308" spans="1:2" x14ac:dyDescent="0.3">
      <c r="A1308" s="6" t="s">
        <v>3471</v>
      </c>
      <c r="B1308" t="s">
        <v>4487</v>
      </c>
    </row>
    <row r="1309" spans="1:2" x14ac:dyDescent="0.3">
      <c r="A1309" s="6" t="s">
        <v>3472</v>
      </c>
      <c r="B1309" t="s">
        <v>2727</v>
      </c>
    </row>
    <row r="1310" spans="1:2" x14ac:dyDescent="0.3">
      <c r="A1310" s="6" t="s">
        <v>3473</v>
      </c>
      <c r="B1310" t="s">
        <v>2108</v>
      </c>
    </row>
    <row r="1311" spans="1:2" x14ac:dyDescent="0.3">
      <c r="A1311" s="6" t="s">
        <v>3474</v>
      </c>
      <c r="B1311" t="s">
        <v>2109</v>
      </c>
    </row>
    <row r="1312" spans="1:2" x14ac:dyDescent="0.3">
      <c r="A1312" s="6" t="s">
        <v>3475</v>
      </c>
      <c r="B1312" t="s">
        <v>1960</v>
      </c>
    </row>
    <row r="1313" spans="1:2" x14ac:dyDescent="0.3">
      <c r="A1313" s="6" t="s">
        <v>3476</v>
      </c>
      <c r="B1313" t="s">
        <v>1546</v>
      </c>
    </row>
    <row r="1314" spans="1:2" x14ac:dyDescent="0.3">
      <c r="A1314" s="6" t="s">
        <v>3478</v>
      </c>
      <c r="B1314" t="s">
        <v>1950</v>
      </c>
    </row>
    <row r="1315" spans="1:2" x14ac:dyDescent="0.3">
      <c r="A1315" s="6" t="s">
        <v>3479</v>
      </c>
      <c r="B1315" t="s">
        <v>1547</v>
      </c>
    </row>
    <row r="1316" spans="1:2" x14ac:dyDescent="0.3">
      <c r="A1316" s="6" t="s">
        <v>3480</v>
      </c>
      <c r="B1316" t="s">
        <v>7170</v>
      </c>
    </row>
    <row r="1317" spans="1:2" x14ac:dyDescent="0.3">
      <c r="A1317" s="6" t="s">
        <v>1545</v>
      </c>
      <c r="B1317" t="s">
        <v>3763</v>
      </c>
    </row>
    <row r="1318" spans="1:2" x14ac:dyDescent="0.3">
      <c r="A1318" s="6" t="s">
        <v>3481</v>
      </c>
      <c r="B1318" t="s">
        <v>2013</v>
      </c>
    </row>
    <row r="1319" spans="1:2" x14ac:dyDescent="0.3">
      <c r="A1319" s="6" t="s">
        <v>3482</v>
      </c>
      <c r="B1319" t="s">
        <v>6433</v>
      </c>
    </row>
    <row r="1320" spans="1:2" x14ac:dyDescent="0.3">
      <c r="A1320" s="6" t="s">
        <v>3483</v>
      </c>
      <c r="B1320" t="s">
        <v>2001</v>
      </c>
    </row>
    <row r="1321" spans="1:2" x14ac:dyDescent="0.3">
      <c r="A1321" s="6" t="s">
        <v>3484</v>
      </c>
      <c r="B1321" t="s">
        <v>1951</v>
      </c>
    </row>
    <row r="1322" spans="1:2" x14ac:dyDescent="0.3">
      <c r="A1322" s="6" t="s">
        <v>3485</v>
      </c>
      <c r="B1322" t="s">
        <v>2052</v>
      </c>
    </row>
    <row r="1323" spans="1:2" x14ac:dyDescent="0.3">
      <c r="A1323" s="6" t="s">
        <v>3486</v>
      </c>
      <c r="B1323" t="s">
        <v>2151</v>
      </c>
    </row>
    <row r="1324" spans="1:2" x14ac:dyDescent="0.3">
      <c r="A1324" s="6" t="s">
        <v>3487</v>
      </c>
      <c r="B1324" t="s">
        <v>1961</v>
      </c>
    </row>
    <row r="1325" spans="1:2" x14ac:dyDescent="0.3">
      <c r="A1325" s="6" t="s">
        <v>3488</v>
      </c>
      <c r="B1325" t="s">
        <v>8641</v>
      </c>
    </row>
    <row r="1326" spans="1:2" x14ac:dyDescent="0.3">
      <c r="A1326" s="6" t="s">
        <v>3489</v>
      </c>
      <c r="B1326" t="s">
        <v>8642</v>
      </c>
    </row>
    <row r="1327" spans="1:2" x14ac:dyDescent="0.3">
      <c r="A1327" s="6" t="s">
        <v>3490</v>
      </c>
      <c r="B1327" t="s">
        <v>8643</v>
      </c>
    </row>
    <row r="1328" spans="1:2" x14ac:dyDescent="0.3">
      <c r="A1328" s="6" t="s">
        <v>1546</v>
      </c>
      <c r="B1328" t="s">
        <v>3766</v>
      </c>
    </row>
    <row r="1329" spans="1:2" x14ac:dyDescent="0.3">
      <c r="A1329" s="6" t="s">
        <v>3491</v>
      </c>
      <c r="B1329" t="s">
        <v>8644</v>
      </c>
    </row>
    <row r="1330" spans="1:2" x14ac:dyDescent="0.3">
      <c r="A1330" s="6" t="s">
        <v>3492</v>
      </c>
      <c r="B1330" t="s">
        <v>8645</v>
      </c>
    </row>
    <row r="1331" spans="1:2" x14ac:dyDescent="0.3">
      <c r="A1331" s="6" t="s">
        <v>3493</v>
      </c>
      <c r="B1331" t="s">
        <v>8646</v>
      </c>
    </row>
    <row r="1332" spans="1:2" x14ac:dyDescent="0.3">
      <c r="A1332" s="6" t="s">
        <v>3494</v>
      </c>
      <c r="B1332" t="s">
        <v>8647</v>
      </c>
    </row>
    <row r="1333" spans="1:2" x14ac:dyDescent="0.3">
      <c r="A1333" s="6" t="s">
        <v>3495</v>
      </c>
      <c r="B1333" t="s">
        <v>8648</v>
      </c>
    </row>
    <row r="1334" spans="1:2" x14ac:dyDescent="0.3">
      <c r="A1334" s="6" t="s">
        <v>3496</v>
      </c>
      <c r="B1334" t="s">
        <v>7197</v>
      </c>
    </row>
    <row r="1335" spans="1:2" x14ac:dyDescent="0.3">
      <c r="A1335" s="6" t="s">
        <v>3497</v>
      </c>
      <c r="B1335" t="s">
        <v>2543</v>
      </c>
    </row>
    <row r="1336" spans="1:2" x14ac:dyDescent="0.3">
      <c r="A1336" s="6" t="s">
        <v>3498</v>
      </c>
      <c r="B1336" t="s">
        <v>6145</v>
      </c>
    </row>
    <row r="1337" spans="1:2" x14ac:dyDescent="0.3">
      <c r="A1337" s="6" t="s">
        <v>3499</v>
      </c>
      <c r="B1337" t="s">
        <v>6146</v>
      </c>
    </row>
    <row r="1338" spans="1:2" x14ac:dyDescent="0.3">
      <c r="A1338" s="6" t="s">
        <v>3500</v>
      </c>
      <c r="B1338" t="s">
        <v>6147</v>
      </c>
    </row>
    <row r="1339" spans="1:2" x14ac:dyDescent="0.3">
      <c r="A1339" s="6" t="s">
        <v>1547</v>
      </c>
      <c r="B1339" t="s">
        <v>3765</v>
      </c>
    </row>
    <row r="1340" spans="1:2" x14ac:dyDescent="0.3">
      <c r="A1340" s="6" t="s">
        <v>3501</v>
      </c>
      <c r="B1340" t="s">
        <v>8110</v>
      </c>
    </row>
    <row r="1341" spans="1:2" x14ac:dyDescent="0.3">
      <c r="A1341" s="6" t="s">
        <v>3502</v>
      </c>
      <c r="B1341" t="s">
        <v>7397</v>
      </c>
    </row>
    <row r="1342" spans="1:2" x14ac:dyDescent="0.3">
      <c r="A1342" s="6" t="s">
        <v>3503</v>
      </c>
      <c r="B1342" t="s">
        <v>7212</v>
      </c>
    </row>
    <row r="1343" spans="1:2" x14ac:dyDescent="0.3">
      <c r="A1343" s="6" t="s">
        <v>3504</v>
      </c>
      <c r="B1343" t="s">
        <v>8111</v>
      </c>
    </row>
    <row r="1344" spans="1:2" x14ac:dyDescent="0.3">
      <c r="A1344" s="6" t="s">
        <v>3505</v>
      </c>
      <c r="B1344" t="s">
        <v>8305</v>
      </c>
    </row>
    <row r="1345" spans="1:2" x14ac:dyDescent="0.3">
      <c r="A1345" s="6" t="s">
        <v>3506</v>
      </c>
      <c r="B1345" t="s">
        <v>7239</v>
      </c>
    </row>
    <row r="1346" spans="1:2" x14ac:dyDescent="0.3">
      <c r="A1346" s="6" t="s">
        <v>3507</v>
      </c>
      <c r="B1346" t="s">
        <v>7211</v>
      </c>
    </row>
    <row r="1347" spans="1:2" x14ac:dyDescent="0.3">
      <c r="A1347" s="6" t="s">
        <v>3508</v>
      </c>
      <c r="B1347" t="s">
        <v>8251</v>
      </c>
    </row>
    <row r="1348" spans="1:2" x14ac:dyDescent="0.3">
      <c r="A1348" s="6" t="s">
        <v>3509</v>
      </c>
      <c r="B1348" t="s">
        <v>7902</v>
      </c>
    </row>
    <row r="1349" spans="1:2" x14ac:dyDescent="0.3">
      <c r="A1349" s="6" t="s">
        <v>3510</v>
      </c>
      <c r="B1349" t="s">
        <v>7688</v>
      </c>
    </row>
    <row r="1350" spans="1:2" x14ac:dyDescent="0.3">
      <c r="A1350" s="6" t="s">
        <v>1548</v>
      </c>
      <c r="B1350" t="s">
        <v>3768</v>
      </c>
    </row>
    <row r="1351" spans="1:2" x14ac:dyDescent="0.3">
      <c r="A1351" s="6" t="s">
        <v>3511</v>
      </c>
      <c r="B1351" t="s">
        <v>6471</v>
      </c>
    </row>
    <row r="1352" spans="1:2" x14ac:dyDescent="0.3">
      <c r="A1352" s="6" t="s">
        <v>3512</v>
      </c>
      <c r="B1352" t="s">
        <v>6550</v>
      </c>
    </row>
    <row r="1353" spans="1:2" x14ac:dyDescent="0.3">
      <c r="A1353" s="6" t="s">
        <v>3513</v>
      </c>
      <c r="B1353" t="s">
        <v>7236</v>
      </c>
    </row>
    <row r="1354" spans="1:2" x14ac:dyDescent="0.3">
      <c r="A1354" s="6" t="s">
        <v>3514</v>
      </c>
      <c r="B1354" t="s">
        <v>6472</v>
      </c>
    </row>
    <row r="1355" spans="1:2" x14ac:dyDescent="0.3">
      <c r="A1355" s="6" t="s">
        <v>3515</v>
      </c>
      <c r="B1355" t="s">
        <v>6747</v>
      </c>
    </row>
    <row r="1356" spans="1:2" x14ac:dyDescent="0.3">
      <c r="A1356" s="6" t="s">
        <v>3516</v>
      </c>
      <c r="B1356" t="s">
        <v>6748</v>
      </c>
    </row>
    <row r="1357" spans="1:2" x14ac:dyDescent="0.3">
      <c r="A1357" s="6" t="s">
        <v>3517</v>
      </c>
      <c r="B1357" t="s">
        <v>6749</v>
      </c>
    </row>
    <row r="1358" spans="1:2" x14ac:dyDescent="0.3">
      <c r="A1358" s="6" t="s">
        <v>3518</v>
      </c>
      <c r="B1358" t="s">
        <v>6746</v>
      </c>
    </row>
    <row r="1359" spans="1:2" x14ac:dyDescent="0.3">
      <c r="A1359" s="6" t="s">
        <v>3519</v>
      </c>
      <c r="B1359" t="s">
        <v>6320</v>
      </c>
    </row>
    <row r="1360" spans="1:2" x14ac:dyDescent="0.3">
      <c r="A1360" s="6" t="s">
        <v>3520</v>
      </c>
      <c r="B1360" t="s">
        <v>7310</v>
      </c>
    </row>
    <row r="1361" spans="1:2" x14ac:dyDescent="0.3">
      <c r="A1361" s="6" t="s">
        <v>1549</v>
      </c>
      <c r="B1361" t="s">
        <v>3767</v>
      </c>
    </row>
    <row r="1362" spans="1:2" x14ac:dyDescent="0.3">
      <c r="A1362" s="6" t="s">
        <v>3521</v>
      </c>
      <c r="B1362" t="s">
        <v>1874</v>
      </c>
    </row>
    <row r="1363" spans="1:2" x14ac:dyDescent="0.3">
      <c r="A1363" s="6" t="s">
        <v>3522</v>
      </c>
      <c r="B1363" t="s">
        <v>8240</v>
      </c>
    </row>
    <row r="1364" spans="1:2" x14ac:dyDescent="0.3">
      <c r="A1364" s="6" t="s">
        <v>3523</v>
      </c>
      <c r="B1364" t="s">
        <v>8434</v>
      </c>
    </row>
    <row r="1365" spans="1:2" x14ac:dyDescent="0.3">
      <c r="A1365" s="6" t="s">
        <v>3524</v>
      </c>
      <c r="B1365" t="s">
        <v>8239</v>
      </c>
    </row>
    <row r="1366" spans="1:2" x14ac:dyDescent="0.3">
      <c r="A1366" s="6" t="s">
        <v>3525</v>
      </c>
      <c r="B1366" t="s">
        <v>8426</v>
      </c>
    </row>
    <row r="1367" spans="1:2" x14ac:dyDescent="0.3">
      <c r="A1367" s="6" t="s">
        <v>3526</v>
      </c>
      <c r="B1367" t="s">
        <v>6127</v>
      </c>
    </row>
    <row r="1368" spans="1:2" x14ac:dyDescent="0.3">
      <c r="A1368" s="6" t="s">
        <v>3527</v>
      </c>
      <c r="B1368" t="s">
        <v>6128</v>
      </c>
    </row>
    <row r="1369" spans="1:2" x14ac:dyDescent="0.3">
      <c r="A1369" s="6" t="s">
        <v>3528</v>
      </c>
      <c r="B1369" t="s">
        <v>6130</v>
      </c>
    </row>
    <row r="1370" spans="1:2" x14ac:dyDescent="0.3">
      <c r="A1370" s="6" t="s">
        <v>3529</v>
      </c>
      <c r="B1370" t="s">
        <v>6131</v>
      </c>
    </row>
    <row r="1371" spans="1:2" x14ac:dyDescent="0.3">
      <c r="A1371" s="6" t="s">
        <v>3530</v>
      </c>
      <c r="B1371" t="s">
        <v>1916</v>
      </c>
    </row>
    <row r="1372" spans="1:2" x14ac:dyDescent="0.3">
      <c r="A1372" s="6" t="s">
        <v>1550</v>
      </c>
      <c r="B1372" t="s">
        <v>3770</v>
      </c>
    </row>
    <row r="1373" spans="1:2" x14ac:dyDescent="0.3">
      <c r="A1373" s="6" t="s">
        <v>3531</v>
      </c>
      <c r="B1373" t="s">
        <v>1920</v>
      </c>
    </row>
    <row r="1374" spans="1:2" x14ac:dyDescent="0.3">
      <c r="A1374" s="6" t="s">
        <v>3532</v>
      </c>
      <c r="B1374" t="s">
        <v>6410</v>
      </c>
    </row>
    <row r="1375" spans="1:2" x14ac:dyDescent="0.3">
      <c r="A1375" s="6" t="s">
        <v>3533</v>
      </c>
      <c r="B1375" t="s">
        <v>5325</v>
      </c>
    </row>
    <row r="1376" spans="1:2" x14ac:dyDescent="0.3">
      <c r="A1376" s="6" t="s">
        <v>3534</v>
      </c>
      <c r="B1376" t="s">
        <v>1915</v>
      </c>
    </row>
    <row r="1377" spans="1:2" x14ac:dyDescent="0.3">
      <c r="A1377" s="6" t="s">
        <v>3535</v>
      </c>
      <c r="B1377" t="s">
        <v>6564</v>
      </c>
    </row>
    <row r="1378" spans="1:2" x14ac:dyDescent="0.3">
      <c r="A1378" s="6" t="s">
        <v>3536</v>
      </c>
      <c r="B1378" t="s">
        <v>7758</v>
      </c>
    </row>
    <row r="1379" spans="1:2" x14ac:dyDescent="0.3">
      <c r="A1379" s="6" t="s">
        <v>3537</v>
      </c>
      <c r="B1379" t="s">
        <v>7840</v>
      </c>
    </row>
    <row r="1380" spans="1:2" x14ac:dyDescent="0.3">
      <c r="A1380" s="6" t="s">
        <v>3538</v>
      </c>
      <c r="B1380" t="s">
        <v>5938</v>
      </c>
    </row>
    <row r="1381" spans="1:2" x14ac:dyDescent="0.3">
      <c r="A1381" s="6" t="s">
        <v>3539</v>
      </c>
      <c r="B1381" t="s">
        <v>7856</v>
      </c>
    </row>
    <row r="1382" spans="1:2" x14ac:dyDescent="0.3">
      <c r="A1382" s="6" t="s">
        <v>3540</v>
      </c>
      <c r="B1382" t="s">
        <v>8198</v>
      </c>
    </row>
    <row r="1383" spans="1:2" x14ac:dyDescent="0.3">
      <c r="A1383" s="9" t="s">
        <v>3540</v>
      </c>
      <c r="B1383">
        <v>8243</v>
      </c>
    </row>
    <row r="1384" spans="1:2" x14ac:dyDescent="0.3">
      <c r="A1384" s="6" t="s">
        <v>1354</v>
      </c>
      <c r="B1384" t="s">
        <v>3864</v>
      </c>
    </row>
    <row r="1385" spans="1:2" x14ac:dyDescent="0.3">
      <c r="A1385" s="6" t="s">
        <v>1551</v>
      </c>
      <c r="B1385" t="s">
        <v>3769</v>
      </c>
    </row>
    <row r="1386" spans="1:2" x14ac:dyDescent="0.3">
      <c r="A1386" s="6" t="s">
        <v>3541</v>
      </c>
      <c r="B1386" t="s">
        <v>8203</v>
      </c>
    </row>
    <row r="1387" spans="1:2" x14ac:dyDescent="0.3">
      <c r="A1387" s="6" t="s">
        <v>3542</v>
      </c>
      <c r="B1387" t="s">
        <v>8204</v>
      </c>
    </row>
    <row r="1388" spans="1:2" x14ac:dyDescent="0.3">
      <c r="A1388" s="6" t="s">
        <v>3543</v>
      </c>
      <c r="B1388" t="s">
        <v>8174</v>
      </c>
    </row>
    <row r="1389" spans="1:2" x14ac:dyDescent="0.3">
      <c r="A1389" s="6" t="s">
        <v>3544</v>
      </c>
      <c r="B1389" t="s">
        <v>8175</v>
      </c>
    </row>
    <row r="1390" spans="1:2" x14ac:dyDescent="0.3">
      <c r="A1390" s="6" t="s">
        <v>3545</v>
      </c>
      <c r="B1390" t="s">
        <v>6312</v>
      </c>
    </row>
    <row r="1391" spans="1:2" x14ac:dyDescent="0.3">
      <c r="A1391" s="6" t="s">
        <v>3546</v>
      </c>
      <c r="B1391" t="s">
        <v>5322</v>
      </c>
    </row>
    <row r="1392" spans="1:2" x14ac:dyDescent="0.3">
      <c r="A1392" s="6" t="s">
        <v>3547</v>
      </c>
      <c r="B1392" t="s">
        <v>5311</v>
      </c>
    </row>
    <row r="1393" spans="1:2" x14ac:dyDescent="0.3">
      <c r="A1393" s="6" t="s">
        <v>3548</v>
      </c>
      <c r="B1393" t="s">
        <v>5323</v>
      </c>
    </row>
    <row r="1394" spans="1:2" x14ac:dyDescent="0.3">
      <c r="A1394" s="6" t="s">
        <v>3549</v>
      </c>
      <c r="B1394" t="s">
        <v>5324</v>
      </c>
    </row>
    <row r="1395" spans="1:2" x14ac:dyDescent="0.3">
      <c r="A1395" s="6" t="s">
        <v>3550</v>
      </c>
      <c r="B1395" t="s">
        <v>7417</v>
      </c>
    </row>
    <row r="1396" spans="1:2" x14ac:dyDescent="0.3">
      <c r="A1396" s="6" t="s">
        <v>1552</v>
      </c>
      <c r="B1396" t="s">
        <v>3881</v>
      </c>
    </row>
    <row r="1397" spans="1:2" x14ac:dyDescent="0.3">
      <c r="A1397" s="6" t="s">
        <v>3551</v>
      </c>
      <c r="B1397" t="s">
        <v>4862</v>
      </c>
    </row>
    <row r="1398" spans="1:2" x14ac:dyDescent="0.3">
      <c r="A1398" s="6" t="s">
        <v>3552</v>
      </c>
      <c r="B1398" t="s">
        <v>6237</v>
      </c>
    </row>
    <row r="1399" spans="1:2" x14ac:dyDescent="0.3">
      <c r="A1399" s="6" t="s">
        <v>3553</v>
      </c>
      <c r="B1399" t="s">
        <v>6235</v>
      </c>
    </row>
    <row r="1400" spans="1:2" x14ac:dyDescent="0.3">
      <c r="A1400" s="6" t="s">
        <v>3554</v>
      </c>
      <c r="B1400" t="s">
        <v>6098</v>
      </c>
    </row>
    <row r="1401" spans="1:2" x14ac:dyDescent="0.3">
      <c r="A1401" s="6" t="s">
        <v>3555</v>
      </c>
      <c r="B1401" t="s">
        <v>6099</v>
      </c>
    </row>
    <row r="1402" spans="1:2" x14ac:dyDescent="0.3">
      <c r="A1402" s="6" t="s">
        <v>3556</v>
      </c>
      <c r="B1402" t="s">
        <v>5299</v>
      </c>
    </row>
    <row r="1403" spans="1:2" x14ac:dyDescent="0.3">
      <c r="A1403" s="6" t="s">
        <v>3557</v>
      </c>
      <c r="B1403" t="s">
        <v>8136</v>
      </c>
    </row>
    <row r="1404" spans="1:2" x14ac:dyDescent="0.3">
      <c r="A1404" s="6" t="s">
        <v>3559</v>
      </c>
      <c r="B1404" t="s">
        <v>3848</v>
      </c>
    </row>
    <row r="1405" spans="1:2" x14ac:dyDescent="0.3">
      <c r="A1405" s="6" t="s">
        <v>1553</v>
      </c>
      <c r="B1405" t="s">
        <v>3138</v>
      </c>
    </row>
    <row r="1406" spans="1:2" x14ac:dyDescent="0.3">
      <c r="A1406" s="6" t="s">
        <v>3560</v>
      </c>
      <c r="B1406" t="s">
        <v>3164</v>
      </c>
    </row>
    <row r="1407" spans="1:2" x14ac:dyDescent="0.3">
      <c r="A1407" s="6" t="s">
        <v>3561</v>
      </c>
      <c r="B1407" t="s">
        <v>3847</v>
      </c>
    </row>
    <row r="1408" spans="1:2" x14ac:dyDescent="0.3">
      <c r="A1408" s="6" t="s">
        <v>3562</v>
      </c>
      <c r="B1408" t="s">
        <v>3151</v>
      </c>
    </row>
    <row r="1409" spans="1:2" x14ac:dyDescent="0.3">
      <c r="A1409" s="6" t="s">
        <v>3563</v>
      </c>
      <c r="B1409" t="s">
        <v>3159</v>
      </c>
    </row>
    <row r="1410" spans="1:2" x14ac:dyDescent="0.3">
      <c r="A1410" s="6" t="s">
        <v>3564</v>
      </c>
      <c r="B1410" t="s">
        <v>3885</v>
      </c>
    </row>
    <row r="1411" spans="1:2" x14ac:dyDescent="0.3">
      <c r="A1411" s="6" t="s">
        <v>3565</v>
      </c>
      <c r="B1411" t="s">
        <v>4434</v>
      </c>
    </row>
    <row r="1412" spans="1:2" x14ac:dyDescent="0.3">
      <c r="A1412" s="6" t="s">
        <v>3566</v>
      </c>
      <c r="B1412" t="s">
        <v>5977</v>
      </c>
    </row>
    <row r="1413" spans="1:2" x14ac:dyDescent="0.3">
      <c r="A1413" s="6" t="s">
        <v>3567</v>
      </c>
      <c r="B1413" t="s">
        <v>2560</v>
      </c>
    </row>
    <row r="1414" spans="1:2" x14ac:dyDescent="0.3">
      <c r="A1414" s="6" t="s">
        <v>3568</v>
      </c>
      <c r="B1414" t="s">
        <v>2561</v>
      </c>
    </row>
    <row r="1415" spans="1:2" x14ac:dyDescent="0.3">
      <c r="A1415" s="6" t="s">
        <v>3569</v>
      </c>
      <c r="B1415" t="s">
        <v>6315</v>
      </c>
    </row>
    <row r="1416" spans="1:2" x14ac:dyDescent="0.3">
      <c r="A1416" s="6" t="s">
        <v>1554</v>
      </c>
      <c r="B1416" t="s">
        <v>3026</v>
      </c>
    </row>
    <row r="1417" spans="1:2" x14ac:dyDescent="0.3">
      <c r="A1417" s="6" t="s">
        <v>3570</v>
      </c>
      <c r="B1417" t="s">
        <v>6314</v>
      </c>
    </row>
    <row r="1418" spans="1:2" x14ac:dyDescent="0.3">
      <c r="A1418" s="6" t="s">
        <v>3571</v>
      </c>
      <c r="B1418" t="s">
        <v>7057</v>
      </c>
    </row>
    <row r="1419" spans="1:2" x14ac:dyDescent="0.3">
      <c r="A1419" s="6" t="s">
        <v>3572</v>
      </c>
      <c r="B1419" t="s">
        <v>6317</v>
      </c>
    </row>
    <row r="1420" spans="1:2" x14ac:dyDescent="0.3">
      <c r="A1420" s="6" t="s">
        <v>3573</v>
      </c>
      <c r="B1420" t="s">
        <v>6316</v>
      </c>
    </row>
    <row r="1421" spans="1:2" x14ac:dyDescent="0.3">
      <c r="A1421" s="6" t="s">
        <v>3574</v>
      </c>
      <c r="B1421" t="s">
        <v>6255</v>
      </c>
    </row>
    <row r="1422" spans="1:2" x14ac:dyDescent="0.3">
      <c r="A1422" s="6" t="s">
        <v>3575</v>
      </c>
      <c r="B1422" t="s">
        <v>7936</v>
      </c>
    </row>
    <row r="1423" spans="1:2" x14ac:dyDescent="0.3">
      <c r="A1423" s="6" t="s">
        <v>3576</v>
      </c>
      <c r="B1423" t="s">
        <v>7937</v>
      </c>
    </row>
    <row r="1424" spans="1:2" x14ac:dyDescent="0.3">
      <c r="A1424" s="6" t="s">
        <v>3577</v>
      </c>
      <c r="B1424" t="s">
        <v>7938</v>
      </c>
    </row>
    <row r="1425" spans="1:2" x14ac:dyDescent="0.3">
      <c r="A1425" s="6" t="s">
        <v>3578</v>
      </c>
      <c r="B1425" t="s">
        <v>6238</v>
      </c>
    </row>
    <row r="1426" spans="1:2" x14ac:dyDescent="0.3">
      <c r="A1426" s="6" t="s">
        <v>3579</v>
      </c>
      <c r="B1426" t="s">
        <v>7200</v>
      </c>
    </row>
    <row r="1427" spans="1:2" x14ac:dyDescent="0.3">
      <c r="A1427" s="6" t="s">
        <v>1555</v>
      </c>
      <c r="B1427" t="s">
        <v>4191</v>
      </c>
    </row>
    <row r="1428" spans="1:2" x14ac:dyDescent="0.3">
      <c r="A1428" s="6" t="s">
        <v>3580</v>
      </c>
      <c r="B1428" t="s">
        <v>7201</v>
      </c>
    </row>
    <row r="1429" spans="1:2" x14ac:dyDescent="0.3">
      <c r="A1429" s="6" t="s">
        <v>3581</v>
      </c>
      <c r="B1429" t="s">
        <v>6577</v>
      </c>
    </row>
    <row r="1430" spans="1:2" x14ac:dyDescent="0.3">
      <c r="A1430" s="6" t="s">
        <v>3582</v>
      </c>
      <c r="B1430" t="s">
        <v>6576</v>
      </c>
    </row>
    <row r="1431" spans="1:2" x14ac:dyDescent="0.3">
      <c r="A1431" s="6" t="s">
        <v>3583</v>
      </c>
      <c r="B1431" t="s">
        <v>2485</v>
      </c>
    </row>
    <row r="1432" spans="1:2" x14ac:dyDescent="0.3">
      <c r="A1432" s="6" t="s">
        <v>3584</v>
      </c>
      <c r="B1432" t="s">
        <v>2484</v>
      </c>
    </row>
    <row r="1433" spans="1:2" x14ac:dyDescent="0.3">
      <c r="A1433" s="6" t="s">
        <v>3585</v>
      </c>
      <c r="B1433" t="s">
        <v>2302</v>
      </c>
    </row>
    <row r="1434" spans="1:2" x14ac:dyDescent="0.3">
      <c r="A1434" s="6" t="s">
        <v>3586</v>
      </c>
      <c r="B1434" t="s">
        <v>2483</v>
      </c>
    </row>
    <row r="1435" spans="1:2" x14ac:dyDescent="0.3">
      <c r="A1435" s="6" t="s">
        <v>3587</v>
      </c>
      <c r="B1435" t="s">
        <v>2626</v>
      </c>
    </row>
    <row r="1436" spans="1:2" x14ac:dyDescent="0.3">
      <c r="A1436" s="6" t="s">
        <v>3588</v>
      </c>
      <c r="B1436" t="s">
        <v>6837</v>
      </c>
    </row>
    <row r="1437" spans="1:2" x14ac:dyDescent="0.3">
      <c r="A1437" s="6" t="s">
        <v>3589</v>
      </c>
      <c r="B1437" t="s">
        <v>2153</v>
      </c>
    </row>
    <row r="1438" spans="1:2" x14ac:dyDescent="0.3">
      <c r="A1438" s="6" t="s">
        <v>1556</v>
      </c>
      <c r="B1438" t="s">
        <v>3771</v>
      </c>
    </row>
    <row r="1439" spans="1:2" x14ac:dyDescent="0.3">
      <c r="A1439" s="6" t="s">
        <v>3590</v>
      </c>
      <c r="B1439" t="s">
        <v>2343</v>
      </c>
    </row>
    <row r="1440" spans="1:2" x14ac:dyDescent="0.3">
      <c r="A1440" s="6" t="s">
        <v>3591</v>
      </c>
      <c r="B1440" t="s">
        <v>2152</v>
      </c>
    </row>
    <row r="1441" spans="1:2" x14ac:dyDescent="0.3">
      <c r="A1441" s="6" t="s">
        <v>3592</v>
      </c>
      <c r="B1441" t="s">
        <v>3148</v>
      </c>
    </row>
    <row r="1442" spans="1:2" x14ac:dyDescent="0.3">
      <c r="A1442" s="6" t="s">
        <v>3593</v>
      </c>
      <c r="B1442" t="s">
        <v>7209</v>
      </c>
    </row>
    <row r="1443" spans="1:2" x14ac:dyDescent="0.3">
      <c r="A1443" s="6" t="s">
        <v>3594</v>
      </c>
      <c r="B1443" t="s">
        <v>7210</v>
      </c>
    </row>
    <row r="1444" spans="1:2" x14ac:dyDescent="0.3">
      <c r="A1444" s="6" t="s">
        <v>3595</v>
      </c>
      <c r="B1444" t="s">
        <v>7207</v>
      </c>
    </row>
    <row r="1445" spans="1:2" x14ac:dyDescent="0.3">
      <c r="A1445" s="6" t="s">
        <v>3596</v>
      </c>
      <c r="B1445" t="s">
        <v>7208</v>
      </c>
    </row>
    <row r="1446" spans="1:2" x14ac:dyDescent="0.3">
      <c r="A1446" s="6" t="s">
        <v>3597</v>
      </c>
      <c r="B1446" t="s">
        <v>4287</v>
      </c>
    </row>
    <row r="1447" spans="1:2" x14ac:dyDescent="0.3">
      <c r="A1447" s="6" t="s">
        <v>3598</v>
      </c>
      <c r="B1447" t="s">
        <v>6833</v>
      </c>
    </row>
    <row r="1448" spans="1:2" x14ac:dyDescent="0.3">
      <c r="A1448" s="6" t="s">
        <v>3599</v>
      </c>
      <c r="B1448" t="s">
        <v>6834</v>
      </c>
    </row>
    <row r="1449" spans="1:2" x14ac:dyDescent="0.3">
      <c r="A1449" s="6" t="s">
        <v>1557</v>
      </c>
      <c r="B1449" t="s">
        <v>3774</v>
      </c>
    </row>
    <row r="1450" spans="1:2" x14ac:dyDescent="0.3">
      <c r="A1450" s="6" t="s">
        <v>3600</v>
      </c>
      <c r="B1450" t="s">
        <v>4994</v>
      </c>
    </row>
    <row r="1451" spans="1:2" x14ac:dyDescent="0.3">
      <c r="A1451" s="6" t="s">
        <v>3601</v>
      </c>
      <c r="B1451" t="s">
        <v>4294</v>
      </c>
    </row>
    <row r="1452" spans="1:2" x14ac:dyDescent="0.3">
      <c r="A1452" s="6" t="s">
        <v>3602</v>
      </c>
      <c r="B1452" t="s">
        <v>4285</v>
      </c>
    </row>
    <row r="1453" spans="1:2" x14ac:dyDescent="0.3">
      <c r="A1453" s="6" t="s">
        <v>3603</v>
      </c>
      <c r="B1453" t="s">
        <v>1911</v>
      </c>
    </row>
    <row r="1454" spans="1:2" x14ac:dyDescent="0.3">
      <c r="A1454" s="6" t="s">
        <v>3604</v>
      </c>
      <c r="B1454" t="s">
        <v>1910</v>
      </c>
    </row>
    <row r="1455" spans="1:2" x14ac:dyDescent="0.3">
      <c r="A1455" s="6" t="s">
        <v>3605</v>
      </c>
      <c r="B1455" t="s">
        <v>6133</v>
      </c>
    </row>
    <row r="1456" spans="1:2" x14ac:dyDescent="0.3">
      <c r="A1456" s="6" t="s">
        <v>3606</v>
      </c>
      <c r="B1456" t="s">
        <v>6931</v>
      </c>
    </row>
    <row r="1457" spans="1:2" x14ac:dyDescent="0.3">
      <c r="A1457" s="6" t="s">
        <v>3607</v>
      </c>
      <c r="B1457" t="s">
        <v>4280</v>
      </c>
    </row>
    <row r="1458" spans="1:2" x14ac:dyDescent="0.3">
      <c r="A1458" s="6" t="s">
        <v>3608</v>
      </c>
      <c r="B1458" t="s">
        <v>4281</v>
      </c>
    </row>
    <row r="1459" spans="1:2" x14ac:dyDescent="0.3">
      <c r="A1459" s="6" t="s">
        <v>3609</v>
      </c>
      <c r="B1459" t="s">
        <v>6124</v>
      </c>
    </row>
    <row r="1460" spans="1:2" x14ac:dyDescent="0.3">
      <c r="A1460" s="6" t="s">
        <v>1558</v>
      </c>
      <c r="B1460" t="s">
        <v>3773</v>
      </c>
    </row>
    <row r="1461" spans="1:2" x14ac:dyDescent="0.3">
      <c r="A1461" s="6" t="s">
        <v>3610</v>
      </c>
      <c r="B1461" t="s">
        <v>7243</v>
      </c>
    </row>
    <row r="1462" spans="1:2" x14ac:dyDescent="0.3">
      <c r="A1462" s="6" t="s">
        <v>3611</v>
      </c>
      <c r="B1462" t="s">
        <v>6597</v>
      </c>
    </row>
    <row r="1463" spans="1:2" x14ac:dyDescent="0.3">
      <c r="A1463" s="6" t="s">
        <v>3612</v>
      </c>
      <c r="B1463" t="s">
        <v>7242</v>
      </c>
    </row>
    <row r="1464" spans="1:2" x14ac:dyDescent="0.3">
      <c r="A1464" s="6" t="s">
        <v>3613</v>
      </c>
      <c r="B1464" t="s">
        <v>6595</v>
      </c>
    </row>
    <row r="1465" spans="1:2" x14ac:dyDescent="0.3">
      <c r="A1465" s="6" t="s">
        <v>3614</v>
      </c>
      <c r="B1465" t="s">
        <v>6596</v>
      </c>
    </row>
    <row r="1466" spans="1:2" x14ac:dyDescent="0.3">
      <c r="A1466" s="6" t="s">
        <v>3615</v>
      </c>
      <c r="B1466" t="s">
        <v>7167</v>
      </c>
    </row>
    <row r="1467" spans="1:2" x14ac:dyDescent="0.3">
      <c r="A1467" s="6" t="s">
        <v>3616</v>
      </c>
      <c r="B1467" t="s">
        <v>6598</v>
      </c>
    </row>
    <row r="1468" spans="1:2" x14ac:dyDescent="0.3">
      <c r="A1468" s="6" t="s">
        <v>3617</v>
      </c>
      <c r="B1468" t="s">
        <v>7051</v>
      </c>
    </row>
    <row r="1469" spans="1:2" x14ac:dyDescent="0.3">
      <c r="A1469" s="6" t="s">
        <v>3618</v>
      </c>
      <c r="B1469" t="s">
        <v>7365</v>
      </c>
    </row>
    <row r="1470" spans="1:2" x14ac:dyDescent="0.3">
      <c r="A1470" s="6" t="s">
        <v>3619</v>
      </c>
      <c r="B1470" t="s">
        <v>7366</v>
      </c>
    </row>
    <row r="1471" spans="1:2" x14ac:dyDescent="0.3">
      <c r="A1471" s="6" t="s">
        <v>1559</v>
      </c>
      <c r="B1471" t="s">
        <v>2496</v>
      </c>
    </row>
    <row r="1472" spans="1:2" x14ac:dyDescent="0.3">
      <c r="A1472" s="6" t="s">
        <v>3620</v>
      </c>
      <c r="B1472" t="s">
        <v>8421</v>
      </c>
    </row>
    <row r="1473" spans="1:2" x14ac:dyDescent="0.3">
      <c r="A1473" s="6" t="s">
        <v>3621</v>
      </c>
      <c r="B1473" t="s">
        <v>7364</v>
      </c>
    </row>
    <row r="1474" spans="1:2" x14ac:dyDescent="0.3">
      <c r="A1474" s="6" t="s">
        <v>3622</v>
      </c>
      <c r="B1474" t="s">
        <v>7869</v>
      </c>
    </row>
    <row r="1475" spans="1:2" x14ac:dyDescent="0.3">
      <c r="A1475" s="6" t="s">
        <v>3623</v>
      </c>
      <c r="B1475" t="s">
        <v>7850</v>
      </c>
    </row>
    <row r="1476" spans="1:2" x14ac:dyDescent="0.3">
      <c r="A1476" s="6" t="s">
        <v>3624</v>
      </c>
      <c r="B1476" t="s">
        <v>8432</v>
      </c>
    </row>
    <row r="1477" spans="1:2" x14ac:dyDescent="0.3">
      <c r="A1477" s="6" t="s">
        <v>3625</v>
      </c>
      <c r="B1477" t="s">
        <v>6548</v>
      </c>
    </row>
    <row r="1478" spans="1:2" x14ac:dyDescent="0.3">
      <c r="A1478" s="6" t="s">
        <v>3626</v>
      </c>
      <c r="B1478" t="s">
        <v>6549</v>
      </c>
    </row>
    <row r="1479" spans="1:2" x14ac:dyDescent="0.3">
      <c r="A1479" s="6" t="s">
        <v>3627</v>
      </c>
      <c r="B1479" t="s">
        <v>8433</v>
      </c>
    </row>
    <row r="1480" spans="1:2" x14ac:dyDescent="0.3">
      <c r="A1480" s="6" t="s">
        <v>3628</v>
      </c>
      <c r="B1480" t="s">
        <v>7511</v>
      </c>
    </row>
    <row r="1481" spans="1:2" x14ac:dyDescent="0.3">
      <c r="A1481" s="6" t="s">
        <v>3629</v>
      </c>
      <c r="B1481" t="s">
        <v>8351</v>
      </c>
    </row>
    <row r="1482" spans="1:2" x14ac:dyDescent="0.3">
      <c r="A1482" s="6" t="s">
        <v>1560</v>
      </c>
      <c r="B1482" t="s">
        <v>1995</v>
      </c>
    </row>
    <row r="1483" spans="1:2" x14ac:dyDescent="0.3">
      <c r="A1483" s="6" t="s">
        <v>3630</v>
      </c>
      <c r="B1483" t="s">
        <v>8352</v>
      </c>
    </row>
    <row r="1484" spans="1:2" x14ac:dyDescent="0.3">
      <c r="A1484" s="6" t="s">
        <v>3631</v>
      </c>
      <c r="B1484" t="s">
        <v>8350</v>
      </c>
    </row>
    <row r="1485" spans="1:2" x14ac:dyDescent="0.3">
      <c r="A1485" s="6" t="s">
        <v>3632</v>
      </c>
      <c r="B1485" t="s">
        <v>7028</v>
      </c>
    </row>
    <row r="1486" spans="1:2" x14ac:dyDescent="0.3">
      <c r="A1486" s="6" t="s">
        <v>3633</v>
      </c>
      <c r="B1486" t="s">
        <v>8623</v>
      </c>
    </row>
    <row r="1487" spans="1:2" x14ac:dyDescent="0.3">
      <c r="A1487" s="6" t="s">
        <v>3634</v>
      </c>
      <c r="B1487" t="s">
        <v>6419</v>
      </c>
    </row>
    <row r="1488" spans="1:2" x14ac:dyDescent="0.3">
      <c r="A1488" s="6" t="s">
        <v>3635</v>
      </c>
      <c r="B1488" t="s">
        <v>6418</v>
      </c>
    </row>
    <row r="1489" spans="1:2" x14ac:dyDescent="0.3">
      <c r="A1489" s="6" t="s">
        <v>3636</v>
      </c>
      <c r="B1489" t="s">
        <v>6417</v>
      </c>
    </row>
    <row r="1490" spans="1:2" x14ac:dyDescent="0.3">
      <c r="A1490" s="6" t="s">
        <v>3637</v>
      </c>
      <c r="B1490" t="s">
        <v>6620</v>
      </c>
    </row>
    <row r="1491" spans="1:2" x14ac:dyDescent="0.3">
      <c r="A1491" s="6" t="s">
        <v>3638</v>
      </c>
      <c r="B1491" t="s">
        <v>6615</v>
      </c>
    </row>
    <row r="1492" spans="1:2" x14ac:dyDescent="0.3">
      <c r="A1492" s="6" t="s">
        <v>3639</v>
      </c>
      <c r="B1492" t="s">
        <v>6618</v>
      </c>
    </row>
    <row r="1493" spans="1:2" x14ac:dyDescent="0.3">
      <c r="A1493" s="6" t="s">
        <v>1355</v>
      </c>
      <c r="B1493" t="s">
        <v>3865</v>
      </c>
    </row>
    <row r="1494" spans="1:2" x14ac:dyDescent="0.3">
      <c r="A1494" s="6" t="s">
        <v>1561</v>
      </c>
      <c r="B1494" t="s">
        <v>2497</v>
      </c>
    </row>
    <row r="1495" spans="1:2" x14ac:dyDescent="0.3">
      <c r="A1495" s="6" t="s">
        <v>3640</v>
      </c>
      <c r="B1495" t="s">
        <v>6613</v>
      </c>
    </row>
    <row r="1496" spans="1:2" x14ac:dyDescent="0.3">
      <c r="A1496" s="6" t="s">
        <v>3641</v>
      </c>
      <c r="B1496" t="s">
        <v>6619</v>
      </c>
    </row>
    <row r="1497" spans="1:2" x14ac:dyDescent="0.3">
      <c r="A1497" s="6" t="s">
        <v>3642</v>
      </c>
      <c r="B1497" t="s">
        <v>6614</v>
      </c>
    </row>
    <row r="1498" spans="1:2" x14ac:dyDescent="0.3">
      <c r="A1498" s="6" t="s">
        <v>3643</v>
      </c>
      <c r="B1498" t="s">
        <v>7068</v>
      </c>
    </row>
    <row r="1499" spans="1:2" x14ac:dyDescent="0.3">
      <c r="A1499" s="6" t="s">
        <v>3644</v>
      </c>
      <c r="B1499" t="s">
        <v>7066</v>
      </c>
    </row>
    <row r="1500" spans="1:2" x14ac:dyDescent="0.3">
      <c r="A1500" s="6" t="s">
        <v>3645</v>
      </c>
      <c r="B1500" t="s">
        <v>8558</v>
      </c>
    </row>
    <row r="1501" spans="1:2" x14ac:dyDescent="0.3">
      <c r="A1501" s="6" t="s">
        <v>3646</v>
      </c>
      <c r="B1501" t="s">
        <v>8559</v>
      </c>
    </row>
    <row r="1502" spans="1:2" x14ac:dyDescent="0.3">
      <c r="A1502" s="6" t="s">
        <v>3647</v>
      </c>
      <c r="B1502" t="s">
        <v>7067</v>
      </c>
    </row>
    <row r="1503" spans="1:2" x14ac:dyDescent="0.3">
      <c r="A1503" s="6" t="s">
        <v>3648</v>
      </c>
      <c r="B1503" t="s">
        <v>7065</v>
      </c>
    </row>
    <row r="1504" spans="1:2" x14ac:dyDescent="0.3">
      <c r="A1504" s="6" t="s">
        <v>3649</v>
      </c>
      <c r="B1504" t="s">
        <v>3296</v>
      </c>
    </row>
    <row r="1505" spans="1:2" x14ac:dyDescent="0.3">
      <c r="A1505" s="6" t="s">
        <v>1562</v>
      </c>
      <c r="B1505" t="s">
        <v>2042</v>
      </c>
    </row>
    <row r="1506" spans="1:2" x14ac:dyDescent="0.3">
      <c r="A1506" s="6" t="s">
        <v>3650</v>
      </c>
      <c r="B1506" t="s">
        <v>2078</v>
      </c>
    </row>
    <row r="1507" spans="1:2" x14ac:dyDescent="0.3">
      <c r="A1507" s="6" t="s">
        <v>3651</v>
      </c>
      <c r="B1507" t="s">
        <v>2079</v>
      </c>
    </row>
    <row r="1508" spans="1:2" x14ac:dyDescent="0.3">
      <c r="A1508" s="6" t="s">
        <v>3652</v>
      </c>
      <c r="B1508" t="s">
        <v>2080</v>
      </c>
    </row>
    <row r="1509" spans="1:2" x14ac:dyDescent="0.3">
      <c r="A1509" s="6" t="s">
        <v>3653</v>
      </c>
      <c r="B1509" t="s">
        <v>6617</v>
      </c>
    </row>
    <row r="1510" spans="1:2" x14ac:dyDescent="0.3">
      <c r="A1510" s="6" t="s">
        <v>3654</v>
      </c>
      <c r="B1510" t="s">
        <v>6616</v>
      </c>
    </row>
    <row r="1511" spans="1:2" x14ac:dyDescent="0.3">
      <c r="A1511" s="6" t="s">
        <v>3655</v>
      </c>
      <c r="B1511" t="s">
        <v>7075</v>
      </c>
    </row>
    <row r="1512" spans="1:2" x14ac:dyDescent="0.3">
      <c r="A1512" s="6" t="s">
        <v>3656</v>
      </c>
      <c r="B1512" t="s">
        <v>7076</v>
      </c>
    </row>
    <row r="1513" spans="1:2" x14ac:dyDescent="0.3">
      <c r="A1513" s="6" t="s">
        <v>3657</v>
      </c>
      <c r="B1513" t="s">
        <v>7074</v>
      </c>
    </row>
    <row r="1514" spans="1:2" x14ac:dyDescent="0.3">
      <c r="A1514" s="6" t="s">
        <v>3658</v>
      </c>
      <c r="B1514" t="s">
        <v>6621</v>
      </c>
    </row>
    <row r="1515" spans="1:2" x14ac:dyDescent="0.3">
      <c r="A1515" s="6" t="s">
        <v>3659</v>
      </c>
      <c r="B1515" t="s">
        <v>6557</v>
      </c>
    </row>
    <row r="1516" spans="1:2" x14ac:dyDescent="0.3">
      <c r="A1516" s="6" t="s">
        <v>1563</v>
      </c>
      <c r="B1516" t="s">
        <v>8243</v>
      </c>
    </row>
    <row r="1517" spans="1:2" x14ac:dyDescent="0.3">
      <c r="A1517" s="6" t="s">
        <v>3660</v>
      </c>
      <c r="B1517" t="s">
        <v>6512</v>
      </c>
    </row>
    <row r="1518" spans="1:2" x14ac:dyDescent="0.3">
      <c r="A1518" s="6" t="s">
        <v>3661</v>
      </c>
      <c r="B1518" t="s">
        <v>7073</v>
      </c>
    </row>
    <row r="1519" spans="1:2" x14ac:dyDescent="0.3">
      <c r="A1519" s="6" t="s">
        <v>3662</v>
      </c>
      <c r="B1519" t="s">
        <v>6541</v>
      </c>
    </row>
    <row r="1520" spans="1:2" x14ac:dyDescent="0.3">
      <c r="A1520" s="6" t="s">
        <v>3663</v>
      </c>
      <c r="B1520" t="s">
        <v>6951</v>
      </c>
    </row>
    <row r="1521" spans="1:2" x14ac:dyDescent="0.3">
      <c r="A1521" s="6" t="s">
        <v>3664</v>
      </c>
      <c r="B1521" t="s">
        <v>6540</v>
      </c>
    </row>
    <row r="1522" spans="1:2" x14ac:dyDescent="0.3">
      <c r="A1522" s="6" t="s">
        <v>3665</v>
      </c>
      <c r="B1522" t="s">
        <v>2821</v>
      </c>
    </row>
    <row r="1523" spans="1:2" x14ac:dyDescent="0.3">
      <c r="A1523" s="6" t="s">
        <v>3666</v>
      </c>
      <c r="B1523" t="s">
        <v>3889</v>
      </c>
    </row>
    <row r="1524" spans="1:2" x14ac:dyDescent="0.3">
      <c r="A1524" s="6" t="s">
        <v>3667</v>
      </c>
      <c r="B1524" t="s">
        <v>3888</v>
      </c>
    </row>
    <row r="1525" spans="1:2" x14ac:dyDescent="0.3">
      <c r="A1525" s="6" t="s">
        <v>3668</v>
      </c>
      <c r="B1525" t="s">
        <v>2822</v>
      </c>
    </row>
    <row r="1526" spans="1:2" x14ac:dyDescent="0.3">
      <c r="A1526" s="6" t="s">
        <v>3669</v>
      </c>
      <c r="B1526" t="s">
        <v>6077</v>
      </c>
    </row>
    <row r="1527" spans="1:2" x14ac:dyDescent="0.3">
      <c r="A1527" s="6" t="s">
        <v>1564</v>
      </c>
      <c r="B1527" t="s">
        <v>8244</v>
      </c>
    </row>
    <row r="1528" spans="1:2" x14ac:dyDescent="0.3">
      <c r="A1528" s="6" t="s">
        <v>3670</v>
      </c>
      <c r="B1528" t="s">
        <v>4546</v>
      </c>
    </row>
    <row r="1529" spans="1:2" x14ac:dyDescent="0.3">
      <c r="A1529" s="6" t="s">
        <v>3671</v>
      </c>
      <c r="B1529" t="s">
        <v>4816</v>
      </c>
    </row>
    <row r="1530" spans="1:2" x14ac:dyDescent="0.3">
      <c r="A1530" s="6" t="s">
        <v>3672</v>
      </c>
      <c r="B1530" t="s">
        <v>7605</v>
      </c>
    </row>
    <row r="1531" spans="1:2" x14ac:dyDescent="0.3">
      <c r="A1531" s="6" t="s">
        <v>3673</v>
      </c>
      <c r="B1531" t="s">
        <v>6732</v>
      </c>
    </row>
    <row r="1532" spans="1:2" x14ac:dyDescent="0.3">
      <c r="A1532" s="6" t="s">
        <v>3674</v>
      </c>
      <c r="B1532" t="s">
        <v>4872</v>
      </c>
    </row>
    <row r="1533" spans="1:2" x14ac:dyDescent="0.3">
      <c r="A1533" s="6" t="s">
        <v>3675</v>
      </c>
      <c r="B1533" t="s">
        <v>8180</v>
      </c>
    </row>
    <row r="1534" spans="1:2" x14ac:dyDescent="0.3">
      <c r="A1534" s="6" t="s">
        <v>3676</v>
      </c>
      <c r="B1534" t="s">
        <v>7660</v>
      </c>
    </row>
    <row r="1535" spans="1:2" x14ac:dyDescent="0.3">
      <c r="A1535" s="6" t="s">
        <v>3677</v>
      </c>
      <c r="B1535" t="s">
        <v>7046</v>
      </c>
    </row>
    <row r="1536" spans="1:2" x14ac:dyDescent="0.3">
      <c r="A1536" s="6" t="s">
        <v>3678</v>
      </c>
      <c r="B1536" t="s">
        <v>7048</v>
      </c>
    </row>
    <row r="1537" spans="1:2" x14ac:dyDescent="0.3">
      <c r="A1537" s="6" t="s">
        <v>3679</v>
      </c>
      <c r="B1537" t="s">
        <v>7047</v>
      </c>
    </row>
    <row r="1538" spans="1:2" x14ac:dyDescent="0.3">
      <c r="A1538" s="6" t="s">
        <v>1565</v>
      </c>
      <c r="B1538" t="s">
        <v>1635</v>
      </c>
    </row>
    <row r="1539" spans="1:2" x14ac:dyDescent="0.3">
      <c r="A1539" s="6" t="s">
        <v>3680</v>
      </c>
      <c r="B1539" t="s">
        <v>7045</v>
      </c>
    </row>
    <row r="1540" spans="1:2" x14ac:dyDescent="0.3">
      <c r="A1540" s="6" t="s">
        <v>3681</v>
      </c>
      <c r="B1540" t="s">
        <v>7085</v>
      </c>
    </row>
    <row r="1541" spans="1:2" x14ac:dyDescent="0.3">
      <c r="A1541" s="6" t="s">
        <v>3682</v>
      </c>
      <c r="B1541" t="s">
        <v>7086</v>
      </c>
    </row>
    <row r="1542" spans="1:2" x14ac:dyDescent="0.3">
      <c r="A1542" s="6" t="s">
        <v>3683</v>
      </c>
      <c r="B1542" t="s">
        <v>7052</v>
      </c>
    </row>
    <row r="1543" spans="1:2" x14ac:dyDescent="0.3">
      <c r="A1543" s="6" t="s">
        <v>3684</v>
      </c>
      <c r="B1543" t="s">
        <v>7053</v>
      </c>
    </row>
    <row r="1544" spans="1:2" x14ac:dyDescent="0.3">
      <c r="A1544" s="6" t="s">
        <v>3685</v>
      </c>
      <c r="B1544" t="s">
        <v>7054</v>
      </c>
    </row>
    <row r="1545" spans="1:2" x14ac:dyDescent="0.3">
      <c r="A1545" s="6" t="s">
        <v>3686</v>
      </c>
      <c r="B1545" t="s">
        <v>4873</v>
      </c>
    </row>
    <row r="1546" spans="1:2" x14ac:dyDescent="0.3">
      <c r="A1546" s="6" t="s">
        <v>3687</v>
      </c>
      <c r="B1546" t="s">
        <v>6734</v>
      </c>
    </row>
    <row r="1547" spans="1:2" x14ac:dyDescent="0.3">
      <c r="A1547" s="6" t="s">
        <v>3688</v>
      </c>
      <c r="B1547" t="s">
        <v>6737</v>
      </c>
    </row>
    <row r="1548" spans="1:2" x14ac:dyDescent="0.3">
      <c r="A1548" s="6" t="s">
        <v>3689</v>
      </c>
      <c r="B1548" t="s">
        <v>6738</v>
      </c>
    </row>
    <row r="1549" spans="1:2" x14ac:dyDescent="0.3">
      <c r="A1549" s="6" t="s">
        <v>1566</v>
      </c>
      <c r="B1549" t="s">
        <v>1636</v>
      </c>
    </row>
    <row r="1550" spans="1:2" x14ac:dyDescent="0.3">
      <c r="A1550" s="6" t="s">
        <v>3690</v>
      </c>
      <c r="B1550" t="s">
        <v>7764</v>
      </c>
    </row>
    <row r="1551" spans="1:2" x14ac:dyDescent="0.3">
      <c r="A1551" s="6" t="s">
        <v>3691</v>
      </c>
      <c r="B1551" t="s">
        <v>7783</v>
      </c>
    </row>
    <row r="1552" spans="1:2" x14ac:dyDescent="0.3">
      <c r="A1552" s="6" t="s">
        <v>3692</v>
      </c>
      <c r="B1552" t="s">
        <v>7759</v>
      </c>
    </row>
    <row r="1553" spans="1:2" x14ac:dyDescent="0.3">
      <c r="A1553" s="6" t="s">
        <v>3693</v>
      </c>
      <c r="B1553" t="s">
        <v>7760</v>
      </c>
    </row>
    <row r="1554" spans="1:2" x14ac:dyDescent="0.3">
      <c r="A1554" s="6" t="s">
        <v>3694</v>
      </c>
      <c r="B1554" t="s">
        <v>8294</v>
      </c>
    </row>
    <row r="1555" spans="1:2" x14ac:dyDescent="0.3">
      <c r="A1555" s="6" t="s">
        <v>3695</v>
      </c>
      <c r="B1555" t="s">
        <v>7598</v>
      </c>
    </row>
    <row r="1556" spans="1:2" x14ac:dyDescent="0.3">
      <c r="A1556" s="6" t="s">
        <v>3696</v>
      </c>
      <c r="B1556" t="s">
        <v>7765</v>
      </c>
    </row>
    <row r="1557" spans="1:2" x14ac:dyDescent="0.3">
      <c r="A1557" s="6" t="s">
        <v>3697</v>
      </c>
      <c r="B1557" t="s">
        <v>7402</v>
      </c>
    </row>
    <row r="1558" spans="1:2" x14ac:dyDescent="0.3">
      <c r="A1558" s="6" t="s">
        <v>3698</v>
      </c>
      <c r="B1558" t="s">
        <v>7761</v>
      </c>
    </row>
    <row r="1559" spans="1:2" x14ac:dyDescent="0.3">
      <c r="A1559" s="6" t="s">
        <v>3699</v>
      </c>
      <c r="B1559" t="s">
        <v>6558</v>
      </c>
    </row>
    <row r="1560" spans="1:2" x14ac:dyDescent="0.3">
      <c r="A1560" s="6" t="s">
        <v>1567</v>
      </c>
      <c r="B1560" t="s">
        <v>1631</v>
      </c>
    </row>
    <row r="1561" spans="1:2" x14ac:dyDescent="0.3">
      <c r="A1561" s="6" t="s">
        <v>3700</v>
      </c>
      <c r="B1561" t="s">
        <v>8685</v>
      </c>
    </row>
    <row r="1562" spans="1:2" x14ac:dyDescent="0.3">
      <c r="A1562" s="6" t="s">
        <v>3701</v>
      </c>
      <c r="B1562" t="s">
        <v>7453</v>
      </c>
    </row>
    <row r="1563" spans="1:2" x14ac:dyDescent="0.3">
      <c r="A1563" s="6" t="s">
        <v>3702</v>
      </c>
      <c r="B1563" t="s">
        <v>7845</v>
      </c>
    </row>
    <row r="1564" spans="1:2" x14ac:dyDescent="0.3">
      <c r="A1564" s="6" t="s">
        <v>3703</v>
      </c>
      <c r="B1564" t="s">
        <v>7839</v>
      </c>
    </row>
    <row r="1565" spans="1:2" x14ac:dyDescent="0.3">
      <c r="A1565" s="6" t="s">
        <v>3704</v>
      </c>
      <c r="B1565" t="s">
        <v>7838</v>
      </c>
    </row>
    <row r="1566" spans="1:2" x14ac:dyDescent="0.3">
      <c r="A1566" s="6" t="s">
        <v>3705</v>
      </c>
      <c r="B1566" t="s">
        <v>7855</v>
      </c>
    </row>
    <row r="1567" spans="1:2" x14ac:dyDescent="0.3">
      <c r="A1567" s="6" t="s">
        <v>3706</v>
      </c>
      <c r="B1567" t="s">
        <v>1740</v>
      </c>
    </row>
    <row r="1568" spans="1:2" x14ac:dyDescent="0.3">
      <c r="A1568" s="6" t="s">
        <v>3707</v>
      </c>
      <c r="B1568" t="s">
        <v>7656</v>
      </c>
    </row>
    <row r="1569" spans="1:2" x14ac:dyDescent="0.3">
      <c r="A1569" s="6" t="s">
        <v>3708</v>
      </c>
      <c r="B1569" t="s">
        <v>7619</v>
      </c>
    </row>
    <row r="1570" spans="1:2" x14ac:dyDescent="0.3">
      <c r="A1570" s="6" t="s">
        <v>3709</v>
      </c>
      <c r="B1570" t="s">
        <v>7657</v>
      </c>
    </row>
    <row r="1571" spans="1:2" x14ac:dyDescent="0.3">
      <c r="A1571" s="6" t="s">
        <v>1568</v>
      </c>
      <c r="B1571" t="s">
        <v>8107</v>
      </c>
    </row>
    <row r="1572" spans="1:2" x14ac:dyDescent="0.3">
      <c r="A1572" s="6" t="s">
        <v>3710</v>
      </c>
      <c r="B1572" t="s">
        <v>7620</v>
      </c>
    </row>
    <row r="1573" spans="1:2" x14ac:dyDescent="0.3">
      <c r="A1573" s="6" t="s">
        <v>3711</v>
      </c>
      <c r="B1573" t="s">
        <v>7658</v>
      </c>
    </row>
    <row r="1574" spans="1:2" x14ac:dyDescent="0.3">
      <c r="A1574" s="6" t="s">
        <v>3712</v>
      </c>
      <c r="B1574" t="s">
        <v>7621</v>
      </c>
    </row>
    <row r="1575" spans="1:2" x14ac:dyDescent="0.3">
      <c r="A1575" s="6" t="s">
        <v>3713</v>
      </c>
      <c r="B1575" t="s">
        <v>7659</v>
      </c>
    </row>
    <row r="1576" spans="1:2" x14ac:dyDescent="0.3">
      <c r="A1576" s="6" t="s">
        <v>3714</v>
      </c>
      <c r="B1576" t="s">
        <v>7622</v>
      </c>
    </row>
    <row r="1577" spans="1:2" x14ac:dyDescent="0.3">
      <c r="A1577" s="6" t="s">
        <v>3715</v>
      </c>
      <c r="B1577" t="s">
        <v>7623</v>
      </c>
    </row>
    <row r="1578" spans="1:2" x14ac:dyDescent="0.3">
      <c r="A1578" s="6" t="s">
        <v>3716</v>
      </c>
      <c r="B1578" t="s">
        <v>7614</v>
      </c>
    </row>
    <row r="1579" spans="1:2" x14ac:dyDescent="0.3">
      <c r="A1579" s="6" t="s">
        <v>3717</v>
      </c>
      <c r="B1579" t="s">
        <v>7899</v>
      </c>
    </row>
    <row r="1580" spans="1:2" x14ac:dyDescent="0.3">
      <c r="A1580" s="6" t="s">
        <v>3718</v>
      </c>
      <c r="B1580" t="s">
        <v>1918</v>
      </c>
    </row>
    <row r="1581" spans="1:2" x14ac:dyDescent="0.3">
      <c r="A1581" s="6" t="s">
        <v>3719</v>
      </c>
      <c r="B1581" t="s">
        <v>6856</v>
      </c>
    </row>
    <row r="1582" spans="1:2" x14ac:dyDescent="0.3">
      <c r="A1582" s="6" t="s">
        <v>1569</v>
      </c>
      <c r="B1582" t="s">
        <v>5177</v>
      </c>
    </row>
    <row r="1583" spans="1:2" x14ac:dyDescent="0.3">
      <c r="A1583" s="6" t="s">
        <v>3720</v>
      </c>
      <c r="B1583" t="s">
        <v>7241</v>
      </c>
    </row>
    <row r="1584" spans="1:2" x14ac:dyDescent="0.3">
      <c r="A1584" s="6" t="s">
        <v>3721</v>
      </c>
      <c r="B1584" t="s">
        <v>7031</v>
      </c>
    </row>
    <row r="1585" spans="1:2" x14ac:dyDescent="0.3">
      <c r="A1585" s="6" t="s">
        <v>3722</v>
      </c>
      <c r="B1585" t="s">
        <v>7032</v>
      </c>
    </row>
    <row r="1586" spans="1:2" x14ac:dyDescent="0.3">
      <c r="A1586" s="6" t="s">
        <v>3723</v>
      </c>
      <c r="B1586" t="s">
        <v>7033</v>
      </c>
    </row>
    <row r="1587" spans="1:2" x14ac:dyDescent="0.3">
      <c r="A1587" s="6" t="s">
        <v>3724</v>
      </c>
      <c r="B1587" t="s">
        <v>7034</v>
      </c>
    </row>
    <row r="1588" spans="1:2" x14ac:dyDescent="0.3">
      <c r="A1588" s="6" t="s">
        <v>3725</v>
      </c>
      <c r="B1588" t="s">
        <v>8170</v>
      </c>
    </row>
    <row r="1589" spans="1:2" x14ac:dyDescent="0.3">
      <c r="A1589" s="6" t="s">
        <v>3726</v>
      </c>
      <c r="B1589" t="s">
        <v>7762</v>
      </c>
    </row>
    <row r="1590" spans="1:2" x14ac:dyDescent="0.3">
      <c r="A1590" s="6" t="s">
        <v>3727</v>
      </c>
      <c r="B1590" t="s">
        <v>7604</v>
      </c>
    </row>
    <row r="1591" spans="1:2" x14ac:dyDescent="0.3">
      <c r="A1591" s="6" t="s">
        <v>3728</v>
      </c>
      <c r="B1591" t="s">
        <v>7603</v>
      </c>
    </row>
    <row r="1592" spans="1:2" x14ac:dyDescent="0.3">
      <c r="A1592" s="6" t="s">
        <v>3729</v>
      </c>
      <c r="B1592" t="s">
        <v>7602</v>
      </c>
    </row>
    <row r="1593" spans="1:2" x14ac:dyDescent="0.3">
      <c r="A1593" s="6" t="s">
        <v>1570</v>
      </c>
      <c r="B1593" t="s">
        <v>5180</v>
      </c>
    </row>
    <row r="1594" spans="1:2" x14ac:dyDescent="0.3">
      <c r="A1594" s="6" t="s">
        <v>3730</v>
      </c>
      <c r="B1594" t="s">
        <v>7606</v>
      </c>
    </row>
    <row r="1595" spans="1:2" x14ac:dyDescent="0.3">
      <c r="A1595" s="6" t="s">
        <v>3731</v>
      </c>
      <c r="B1595" t="s">
        <v>7763</v>
      </c>
    </row>
    <row r="1596" spans="1:2" x14ac:dyDescent="0.3">
      <c r="A1596" s="6" t="s">
        <v>3732</v>
      </c>
      <c r="B1596" t="s">
        <v>7613</v>
      </c>
    </row>
    <row r="1597" spans="1:2" x14ac:dyDescent="0.3">
      <c r="A1597" s="6" t="s">
        <v>3733</v>
      </c>
      <c r="B1597" t="s">
        <v>7661</v>
      </c>
    </row>
    <row r="1598" spans="1:2" x14ac:dyDescent="0.3">
      <c r="A1598" s="6" t="s">
        <v>3734</v>
      </c>
      <c r="B1598" t="s">
        <v>7784</v>
      </c>
    </row>
    <row r="1599" spans="1:2" x14ac:dyDescent="0.3">
      <c r="A1599" s="6" t="s">
        <v>3735</v>
      </c>
      <c r="B1599" t="s">
        <v>7607</v>
      </c>
    </row>
    <row r="1600" spans="1:2" x14ac:dyDescent="0.3">
      <c r="A1600" s="6" t="s">
        <v>3736</v>
      </c>
      <c r="B1600" t="s">
        <v>7608</v>
      </c>
    </row>
    <row r="1601" spans="1:2" x14ac:dyDescent="0.3">
      <c r="A1601" s="6" t="s">
        <v>3737</v>
      </c>
      <c r="B1601" t="s">
        <v>8683</v>
      </c>
    </row>
    <row r="1602" spans="1:2" x14ac:dyDescent="0.3">
      <c r="A1602" s="6" t="s">
        <v>3738</v>
      </c>
      <c r="B1602" t="s">
        <v>8684</v>
      </c>
    </row>
    <row r="1603" spans="1:2" x14ac:dyDescent="0.3">
      <c r="A1603" s="6" t="s">
        <v>3739</v>
      </c>
      <c r="B1603" t="s">
        <v>7399</v>
      </c>
    </row>
    <row r="1604" spans="1:2" x14ac:dyDescent="0.3">
      <c r="A1604" s="6" t="s">
        <v>1356</v>
      </c>
      <c r="B1604" t="s">
        <v>1806</v>
      </c>
    </row>
    <row r="1605" spans="1:2" x14ac:dyDescent="0.3">
      <c r="A1605" s="6" t="s">
        <v>1571</v>
      </c>
      <c r="B1605" t="s">
        <v>7302</v>
      </c>
    </row>
    <row r="1606" spans="1:2" x14ac:dyDescent="0.3">
      <c r="A1606" s="6" t="s">
        <v>3740</v>
      </c>
      <c r="B1606" t="s">
        <v>7415</v>
      </c>
    </row>
    <row r="1607" spans="1:2" x14ac:dyDescent="0.3">
      <c r="A1607" s="6" t="s">
        <v>3741</v>
      </c>
      <c r="B1607" t="s">
        <v>7411</v>
      </c>
    </row>
    <row r="1608" spans="1:2" x14ac:dyDescent="0.3">
      <c r="A1608" s="6" t="s">
        <v>3742</v>
      </c>
      <c r="B1608" t="s">
        <v>7404</v>
      </c>
    </row>
    <row r="1609" spans="1:2" x14ac:dyDescent="0.3">
      <c r="A1609" s="6" t="s">
        <v>3743</v>
      </c>
      <c r="B1609" t="s">
        <v>7416</v>
      </c>
    </row>
    <row r="1610" spans="1:2" x14ac:dyDescent="0.3">
      <c r="A1610" s="6" t="s">
        <v>3744</v>
      </c>
      <c r="B1610" t="s">
        <v>4867</v>
      </c>
    </row>
    <row r="1611" spans="1:2" x14ac:dyDescent="0.3">
      <c r="A1611" s="6" t="s">
        <v>3745</v>
      </c>
      <c r="B1611" t="s">
        <v>4868</v>
      </c>
    </row>
    <row r="1612" spans="1:2" x14ac:dyDescent="0.3">
      <c r="A1612" s="6" t="s">
        <v>3746</v>
      </c>
      <c r="B1612" t="s">
        <v>7090</v>
      </c>
    </row>
    <row r="1613" spans="1:2" x14ac:dyDescent="0.3">
      <c r="A1613" s="6" t="s">
        <v>3747</v>
      </c>
      <c r="B1613" t="s">
        <v>4869</v>
      </c>
    </row>
    <row r="1614" spans="1:2" x14ac:dyDescent="0.3">
      <c r="A1614" s="6" t="s">
        <v>3748</v>
      </c>
      <c r="B1614" t="s">
        <v>7021</v>
      </c>
    </row>
    <row r="1615" spans="1:2" x14ac:dyDescent="0.3">
      <c r="A1615" s="6" t="s">
        <v>3749</v>
      </c>
      <c r="B1615" t="s">
        <v>6855</v>
      </c>
    </row>
    <row r="1616" spans="1:2" x14ac:dyDescent="0.3">
      <c r="A1616" s="6" t="s">
        <v>1572</v>
      </c>
      <c r="B1616" t="s">
        <v>7303</v>
      </c>
    </row>
    <row r="1617" spans="1:2" x14ac:dyDescent="0.3">
      <c r="A1617" s="6" t="s">
        <v>3750</v>
      </c>
      <c r="B1617" t="s">
        <v>6852</v>
      </c>
    </row>
    <row r="1618" spans="1:2" x14ac:dyDescent="0.3">
      <c r="A1618" s="6" t="s">
        <v>3751</v>
      </c>
      <c r="B1618" t="s">
        <v>6850</v>
      </c>
    </row>
    <row r="1619" spans="1:2" x14ac:dyDescent="0.3">
      <c r="A1619" s="6" t="s">
        <v>3752</v>
      </c>
      <c r="B1619" t="s">
        <v>6358</v>
      </c>
    </row>
    <row r="1620" spans="1:2" x14ac:dyDescent="0.3">
      <c r="A1620" s="6" t="s">
        <v>3753</v>
      </c>
      <c r="B1620" t="s">
        <v>6851</v>
      </c>
    </row>
    <row r="1621" spans="1:2" x14ac:dyDescent="0.3">
      <c r="A1621" s="6" t="s">
        <v>3754</v>
      </c>
      <c r="B1621" t="s">
        <v>6857</v>
      </c>
    </row>
    <row r="1622" spans="1:2" x14ac:dyDescent="0.3">
      <c r="A1622" s="6" t="s">
        <v>3755</v>
      </c>
      <c r="B1622" t="s">
        <v>6860</v>
      </c>
    </row>
    <row r="1623" spans="1:2" x14ac:dyDescent="0.3">
      <c r="A1623" s="6" t="s">
        <v>3756</v>
      </c>
      <c r="B1623" t="s">
        <v>6863</v>
      </c>
    </row>
    <row r="1624" spans="1:2" x14ac:dyDescent="0.3">
      <c r="A1624" s="6" t="s">
        <v>3757</v>
      </c>
      <c r="B1624" t="s">
        <v>6357</v>
      </c>
    </row>
    <row r="1625" spans="1:2" x14ac:dyDescent="0.3">
      <c r="A1625" s="6" t="s">
        <v>3758</v>
      </c>
      <c r="B1625" t="s">
        <v>6858</v>
      </c>
    </row>
    <row r="1626" spans="1:2" x14ac:dyDescent="0.3">
      <c r="A1626" s="6" t="s">
        <v>3759</v>
      </c>
      <c r="B1626" t="s">
        <v>6859</v>
      </c>
    </row>
    <row r="1627" spans="1:2" x14ac:dyDescent="0.3">
      <c r="A1627" s="6" t="s">
        <v>1573</v>
      </c>
      <c r="B1627" t="s">
        <v>6588</v>
      </c>
    </row>
    <row r="1628" spans="1:2" x14ac:dyDescent="0.3">
      <c r="A1628" s="6" t="s">
        <v>3760</v>
      </c>
      <c r="B1628" t="s">
        <v>6853</v>
      </c>
    </row>
    <row r="1629" spans="1:2" x14ac:dyDescent="0.3">
      <c r="A1629" s="6" t="s">
        <v>3761</v>
      </c>
      <c r="B1629" t="s">
        <v>6952</v>
      </c>
    </row>
    <row r="1630" spans="1:2" x14ac:dyDescent="0.3">
      <c r="A1630" s="6" t="s">
        <v>3762</v>
      </c>
      <c r="B1630" t="s">
        <v>6267</v>
      </c>
    </row>
    <row r="1631" spans="1:2" x14ac:dyDescent="0.3">
      <c r="A1631" s="6" t="s">
        <v>3763</v>
      </c>
      <c r="B1631" t="s">
        <v>8202</v>
      </c>
    </row>
    <row r="1632" spans="1:2" x14ac:dyDescent="0.3">
      <c r="A1632" s="6" t="s">
        <v>3764</v>
      </c>
      <c r="B1632" t="s">
        <v>8363</v>
      </c>
    </row>
    <row r="1633" spans="1:2" x14ac:dyDescent="0.3">
      <c r="A1633" s="6" t="s">
        <v>3765</v>
      </c>
      <c r="B1633" t="s">
        <v>6861</v>
      </c>
    </row>
    <row r="1634" spans="1:2" x14ac:dyDescent="0.3">
      <c r="A1634" s="6" t="s">
        <v>3766</v>
      </c>
      <c r="B1634" t="s">
        <v>3893</v>
      </c>
    </row>
    <row r="1635" spans="1:2" x14ac:dyDescent="0.3">
      <c r="A1635" s="6" t="s">
        <v>3767</v>
      </c>
      <c r="B1635" t="s">
        <v>3894</v>
      </c>
    </row>
    <row r="1636" spans="1:2" x14ac:dyDescent="0.3">
      <c r="A1636" s="6" t="s">
        <v>3768</v>
      </c>
      <c r="B1636" t="s">
        <v>3887</v>
      </c>
    </row>
    <row r="1637" spans="1:2" x14ac:dyDescent="0.3">
      <c r="A1637" s="6" t="s">
        <v>3769</v>
      </c>
      <c r="B1637" t="s">
        <v>6103</v>
      </c>
    </row>
    <row r="1638" spans="1:2" x14ac:dyDescent="0.3">
      <c r="A1638" s="6" t="s">
        <v>1574</v>
      </c>
      <c r="B1638" t="s">
        <v>6219</v>
      </c>
    </row>
    <row r="1639" spans="1:2" x14ac:dyDescent="0.3">
      <c r="A1639" s="6" t="s">
        <v>3770</v>
      </c>
      <c r="B1639" t="s">
        <v>6051</v>
      </c>
    </row>
    <row r="1640" spans="1:2" x14ac:dyDescent="0.3">
      <c r="A1640" s="6" t="s">
        <v>3771</v>
      </c>
      <c r="B1640" t="s">
        <v>6953</v>
      </c>
    </row>
    <row r="1641" spans="1:2" x14ac:dyDescent="0.3">
      <c r="A1641" s="6" t="s">
        <v>3772</v>
      </c>
      <c r="B1641" t="s">
        <v>8233</v>
      </c>
    </row>
    <row r="1642" spans="1:2" x14ac:dyDescent="0.3">
      <c r="A1642" s="6" t="s">
        <v>3773</v>
      </c>
      <c r="B1642" t="s">
        <v>8297</v>
      </c>
    </row>
    <row r="1643" spans="1:2" x14ac:dyDescent="0.3">
      <c r="A1643" s="6" t="s">
        <v>3774</v>
      </c>
      <c r="B1643" t="s">
        <v>7610</v>
      </c>
    </row>
    <row r="1644" spans="1:2" x14ac:dyDescent="0.3">
      <c r="A1644" s="6" t="s">
        <v>3775</v>
      </c>
      <c r="B1644" t="s">
        <v>7609</v>
      </c>
    </row>
    <row r="1645" spans="1:2" x14ac:dyDescent="0.3">
      <c r="A1645" s="6" t="s">
        <v>3776</v>
      </c>
      <c r="B1645" t="s">
        <v>8303</v>
      </c>
    </row>
    <row r="1646" spans="1:2" x14ac:dyDescent="0.3">
      <c r="A1646" s="6" t="s">
        <v>3777</v>
      </c>
      <c r="B1646" t="s">
        <v>8304</v>
      </c>
    </row>
    <row r="1647" spans="1:2" x14ac:dyDescent="0.3">
      <c r="A1647" s="6" t="s">
        <v>3778</v>
      </c>
      <c r="B1647" t="s">
        <v>8321</v>
      </c>
    </row>
    <row r="1648" spans="1:2" x14ac:dyDescent="0.3">
      <c r="A1648" s="6" t="s">
        <v>3779</v>
      </c>
      <c r="B1648" t="s">
        <v>7580</v>
      </c>
    </row>
    <row r="1649" spans="1:2" x14ac:dyDescent="0.3">
      <c r="A1649" s="6" t="s">
        <v>1575</v>
      </c>
      <c r="B1649" t="s">
        <v>6220</v>
      </c>
    </row>
    <row r="1650" spans="1:2" x14ac:dyDescent="0.3">
      <c r="A1650" s="6" t="s">
        <v>3780</v>
      </c>
      <c r="B1650" t="s">
        <v>7409</v>
      </c>
    </row>
    <row r="1651" spans="1:2" x14ac:dyDescent="0.3">
      <c r="A1651" s="6" t="s">
        <v>3781</v>
      </c>
      <c r="B1651" t="s">
        <v>7398</v>
      </c>
    </row>
    <row r="1652" spans="1:2" x14ac:dyDescent="0.3">
      <c r="A1652" s="6" t="s">
        <v>3782</v>
      </c>
      <c r="B1652" t="s">
        <v>1917</v>
      </c>
    </row>
    <row r="1653" spans="1:2" x14ac:dyDescent="0.3">
      <c r="A1653" s="6" t="s">
        <v>3783</v>
      </c>
      <c r="B1653" t="s">
        <v>6270</v>
      </c>
    </row>
    <row r="1654" spans="1:2" x14ac:dyDescent="0.3">
      <c r="A1654" s="6" t="s">
        <v>3784</v>
      </c>
      <c r="B1654" t="s">
        <v>6868</v>
      </c>
    </row>
    <row r="1655" spans="1:2" x14ac:dyDescent="0.3">
      <c r="A1655" s="6" t="s">
        <v>3785</v>
      </c>
      <c r="B1655" t="s">
        <v>6869</v>
      </c>
    </row>
    <row r="1656" spans="1:2" x14ac:dyDescent="0.3">
      <c r="A1656" s="6" t="s">
        <v>3786</v>
      </c>
      <c r="B1656" t="s">
        <v>7612</v>
      </c>
    </row>
    <row r="1657" spans="1:2" x14ac:dyDescent="0.3">
      <c r="A1657" s="6" t="s">
        <v>3787</v>
      </c>
      <c r="B1657" t="s">
        <v>7611</v>
      </c>
    </row>
    <row r="1658" spans="1:2" x14ac:dyDescent="0.3">
      <c r="A1658" s="6" t="s">
        <v>3788</v>
      </c>
      <c r="B1658" t="s">
        <v>7414</v>
      </c>
    </row>
    <row r="1659" spans="1:2" x14ac:dyDescent="0.3">
      <c r="A1659" s="6" t="s">
        <v>3789</v>
      </c>
      <c r="B1659" t="s">
        <v>7403</v>
      </c>
    </row>
    <row r="1660" spans="1:2" x14ac:dyDescent="0.3">
      <c r="A1660" s="6" t="s">
        <v>1576</v>
      </c>
      <c r="B1660" t="s">
        <v>6227</v>
      </c>
    </row>
    <row r="1661" spans="1:2" x14ac:dyDescent="0.3">
      <c r="A1661" s="6" t="s">
        <v>3790</v>
      </c>
      <c r="B1661" t="s">
        <v>7630</v>
      </c>
    </row>
    <row r="1662" spans="1:2" x14ac:dyDescent="0.3">
      <c r="A1662" s="6" t="s">
        <v>3791</v>
      </c>
      <c r="B1662" t="s">
        <v>7629</v>
      </c>
    </row>
    <row r="1663" spans="1:2" x14ac:dyDescent="0.3">
      <c r="A1663" s="6" t="s">
        <v>3792</v>
      </c>
      <c r="B1663" t="s">
        <v>7628</v>
      </c>
    </row>
    <row r="1664" spans="1:2" x14ac:dyDescent="0.3">
      <c r="A1664" s="6" t="s">
        <v>3793</v>
      </c>
      <c r="B1664" t="s">
        <v>7579</v>
      </c>
    </row>
    <row r="1665" spans="1:2" x14ac:dyDescent="0.3">
      <c r="A1665" s="6" t="s">
        <v>3794</v>
      </c>
      <c r="B1665" t="s">
        <v>7700</v>
      </c>
    </row>
    <row r="1666" spans="1:2" x14ac:dyDescent="0.3">
      <c r="A1666" s="6" t="s">
        <v>3795</v>
      </c>
      <c r="B1666" t="s">
        <v>7467</v>
      </c>
    </row>
    <row r="1667" spans="1:2" x14ac:dyDescent="0.3">
      <c r="A1667" s="6" t="s">
        <v>3796</v>
      </c>
      <c r="B1667" t="s">
        <v>7405</v>
      </c>
    </row>
    <row r="1668" spans="1:2" x14ac:dyDescent="0.3">
      <c r="A1668" s="6" t="s">
        <v>3797</v>
      </c>
      <c r="B1668" t="s">
        <v>7410</v>
      </c>
    </row>
    <row r="1669" spans="1:2" x14ac:dyDescent="0.3">
      <c r="A1669" s="6" t="s">
        <v>3798</v>
      </c>
      <c r="B1669" t="s">
        <v>7466</v>
      </c>
    </row>
    <row r="1670" spans="1:2" x14ac:dyDescent="0.3">
      <c r="A1670" s="6" t="s">
        <v>3799</v>
      </c>
      <c r="B1670" t="s">
        <v>7464</v>
      </c>
    </row>
    <row r="1671" spans="1:2" x14ac:dyDescent="0.3">
      <c r="A1671" s="6" t="s">
        <v>1577</v>
      </c>
      <c r="B1671" t="s">
        <v>6226</v>
      </c>
    </row>
    <row r="1672" spans="1:2" x14ac:dyDescent="0.3">
      <c r="A1672" s="6" t="s">
        <v>3800</v>
      </c>
      <c r="B1672" t="s">
        <v>7465</v>
      </c>
    </row>
    <row r="1673" spans="1:2" x14ac:dyDescent="0.3">
      <c r="A1673" s="6" t="s">
        <v>3801</v>
      </c>
      <c r="B1673" t="s">
        <v>7468</v>
      </c>
    </row>
    <row r="1674" spans="1:2" x14ac:dyDescent="0.3">
      <c r="A1674" s="6" t="s">
        <v>3802</v>
      </c>
      <c r="B1674" t="s">
        <v>7469</v>
      </c>
    </row>
    <row r="1675" spans="1:2" x14ac:dyDescent="0.3">
      <c r="A1675" s="6" t="s">
        <v>3803</v>
      </c>
      <c r="B1675" t="s">
        <v>7470</v>
      </c>
    </row>
    <row r="1676" spans="1:2" x14ac:dyDescent="0.3">
      <c r="A1676" s="6" t="s">
        <v>3804</v>
      </c>
      <c r="B1676" t="s">
        <v>7471</v>
      </c>
    </row>
    <row r="1677" spans="1:2" x14ac:dyDescent="0.3">
      <c r="A1677" s="6" t="s">
        <v>3805</v>
      </c>
      <c r="B1677" t="s">
        <v>7472</v>
      </c>
    </row>
    <row r="1678" spans="1:2" x14ac:dyDescent="0.3">
      <c r="A1678" s="6" t="s">
        <v>3806</v>
      </c>
      <c r="B1678" t="s">
        <v>7473</v>
      </c>
    </row>
    <row r="1679" spans="1:2" x14ac:dyDescent="0.3">
      <c r="A1679" s="6" t="s">
        <v>3807</v>
      </c>
      <c r="B1679" t="s">
        <v>7400</v>
      </c>
    </row>
    <row r="1680" spans="1:2" x14ac:dyDescent="0.3">
      <c r="A1680" s="6" t="s">
        <v>3808</v>
      </c>
      <c r="B1680" t="s">
        <v>7412</v>
      </c>
    </row>
    <row r="1681" spans="1:2" x14ac:dyDescent="0.3">
      <c r="A1681" s="6" t="s">
        <v>3809</v>
      </c>
      <c r="B1681" t="s">
        <v>7401</v>
      </c>
    </row>
    <row r="1682" spans="1:2" x14ac:dyDescent="0.3">
      <c r="A1682" s="6" t="s">
        <v>1578</v>
      </c>
      <c r="B1682" t="s">
        <v>8367</v>
      </c>
    </row>
    <row r="1683" spans="1:2" x14ac:dyDescent="0.3">
      <c r="A1683" s="6" t="s">
        <v>3810</v>
      </c>
      <c r="B1683" t="s">
        <v>7413</v>
      </c>
    </row>
    <row r="1684" spans="1:2" x14ac:dyDescent="0.3">
      <c r="A1684" s="6" t="s">
        <v>3811</v>
      </c>
      <c r="B1684" t="s">
        <v>7627</v>
      </c>
    </row>
    <row r="1685" spans="1:2" x14ac:dyDescent="0.3">
      <c r="A1685" s="6" t="s">
        <v>3812</v>
      </c>
      <c r="B1685" t="s">
        <v>1741</v>
      </c>
    </row>
    <row r="1686" spans="1:2" x14ac:dyDescent="0.3">
      <c r="A1686" s="6" t="s">
        <v>3813</v>
      </c>
      <c r="B1686" t="s">
        <v>6862</v>
      </c>
    </row>
    <row r="1687" spans="1:2" x14ac:dyDescent="0.3">
      <c r="A1687" s="6" t="s">
        <v>3814</v>
      </c>
      <c r="B1687" t="s">
        <v>6864</v>
      </c>
    </row>
    <row r="1688" spans="1:2" x14ac:dyDescent="0.3">
      <c r="A1688" s="6" t="s">
        <v>3815</v>
      </c>
      <c r="B1688" t="s">
        <v>4870</v>
      </c>
    </row>
    <row r="1689" spans="1:2" x14ac:dyDescent="0.3">
      <c r="A1689" s="6" t="s">
        <v>3816</v>
      </c>
      <c r="B1689" t="s">
        <v>4871</v>
      </c>
    </row>
    <row r="1690" spans="1:2" x14ac:dyDescent="0.3">
      <c r="A1690" s="6" t="s">
        <v>3817</v>
      </c>
      <c r="B1690" t="s">
        <v>8686</v>
      </c>
    </row>
    <row r="1691" spans="1:2" x14ac:dyDescent="0.3">
      <c r="A1691" s="6" t="s">
        <v>3818</v>
      </c>
      <c r="B1691" t="s">
        <v>8300</v>
      </c>
    </row>
    <row r="1692" spans="1:2" x14ac:dyDescent="0.3">
      <c r="A1692" s="6" t="s">
        <v>3819</v>
      </c>
      <c r="B1692" t="s">
        <v>8296</v>
      </c>
    </row>
    <row r="1693" spans="1:2" x14ac:dyDescent="0.3">
      <c r="A1693" s="6" t="s">
        <v>1579</v>
      </c>
      <c r="B1693" t="s">
        <v>6221</v>
      </c>
    </row>
    <row r="1694" spans="1:2" x14ac:dyDescent="0.3">
      <c r="A1694" s="6" t="s">
        <v>3820</v>
      </c>
      <c r="B1694" t="s">
        <v>7599</v>
      </c>
    </row>
    <row r="1695" spans="1:2" x14ac:dyDescent="0.3">
      <c r="A1695" s="6" t="s">
        <v>3821</v>
      </c>
      <c r="B1695" t="s">
        <v>7685</v>
      </c>
    </row>
    <row r="1696" spans="1:2" x14ac:dyDescent="0.3">
      <c r="A1696" s="6" t="s">
        <v>3822</v>
      </c>
      <c r="B1696" t="s">
        <v>7686</v>
      </c>
    </row>
    <row r="1697" spans="1:2" x14ac:dyDescent="0.3">
      <c r="A1697" s="6" t="s">
        <v>3823</v>
      </c>
      <c r="B1697" t="s">
        <v>7589</v>
      </c>
    </row>
    <row r="1698" spans="1:2" x14ac:dyDescent="0.3">
      <c r="A1698" s="6" t="s">
        <v>3824</v>
      </c>
      <c r="B1698" t="s">
        <v>8302</v>
      </c>
    </row>
    <row r="1699" spans="1:2" x14ac:dyDescent="0.3">
      <c r="A1699" s="6" t="s">
        <v>3825</v>
      </c>
      <c r="B1699" t="s">
        <v>6882</v>
      </c>
    </row>
    <row r="1700" spans="1:2" x14ac:dyDescent="0.3">
      <c r="A1700" s="6" t="s">
        <v>3826</v>
      </c>
      <c r="B1700" t="s">
        <v>6884</v>
      </c>
    </row>
    <row r="1701" spans="1:2" x14ac:dyDescent="0.3">
      <c r="A1701" s="6" t="s">
        <v>3827</v>
      </c>
      <c r="B1701" t="s">
        <v>6644</v>
      </c>
    </row>
    <row r="1702" spans="1:2" x14ac:dyDescent="0.3">
      <c r="A1702" s="6" t="s">
        <v>3828</v>
      </c>
      <c r="B1702" t="s">
        <v>6646</v>
      </c>
    </row>
    <row r="1703" spans="1:2" x14ac:dyDescent="0.3">
      <c r="A1703" s="6" t="s">
        <v>3829</v>
      </c>
      <c r="B1703" t="s">
        <v>6645</v>
      </c>
    </row>
    <row r="1704" spans="1:2" x14ac:dyDescent="0.3">
      <c r="A1704" s="6" t="s">
        <v>1580</v>
      </c>
      <c r="B1704" t="s">
        <v>6228</v>
      </c>
    </row>
    <row r="1705" spans="1:2" x14ac:dyDescent="0.3">
      <c r="A1705" s="6" t="s">
        <v>3830</v>
      </c>
      <c r="B1705" t="s">
        <v>6643</v>
      </c>
    </row>
    <row r="1706" spans="1:2" x14ac:dyDescent="0.3">
      <c r="A1706" s="6" t="s">
        <v>3831</v>
      </c>
      <c r="B1706" t="s">
        <v>6881</v>
      </c>
    </row>
    <row r="1707" spans="1:2" x14ac:dyDescent="0.3">
      <c r="A1707" s="6" t="s">
        <v>3832</v>
      </c>
      <c r="B1707" t="s">
        <v>6883</v>
      </c>
    </row>
    <row r="1708" spans="1:2" x14ac:dyDescent="0.3">
      <c r="A1708" s="6" t="s">
        <v>3833</v>
      </c>
      <c r="B1708" t="s">
        <v>8561</v>
      </c>
    </row>
    <row r="1709" spans="1:2" x14ac:dyDescent="0.3">
      <c r="A1709" s="6" t="s">
        <v>3834</v>
      </c>
      <c r="B1709" t="s">
        <v>8562</v>
      </c>
    </row>
    <row r="1710" spans="1:2" x14ac:dyDescent="0.3">
      <c r="A1710" s="6" t="s">
        <v>3835</v>
      </c>
      <c r="B1710" t="s">
        <v>8560</v>
      </c>
    </row>
    <row r="1711" spans="1:2" x14ac:dyDescent="0.3">
      <c r="A1711" s="6" t="s">
        <v>3836</v>
      </c>
      <c r="B1711" t="s">
        <v>4874</v>
      </c>
    </row>
    <row r="1712" spans="1:2" x14ac:dyDescent="0.3">
      <c r="A1712" s="6" t="s">
        <v>3837</v>
      </c>
      <c r="B1712" t="s">
        <v>6650</v>
      </c>
    </row>
    <row r="1713" spans="1:2" x14ac:dyDescent="0.3">
      <c r="A1713" s="6" t="s">
        <v>3838</v>
      </c>
      <c r="B1713" t="s">
        <v>4875</v>
      </c>
    </row>
    <row r="1714" spans="1:2" x14ac:dyDescent="0.3">
      <c r="A1714" s="6" t="s">
        <v>3839</v>
      </c>
      <c r="B1714" t="s">
        <v>5974</v>
      </c>
    </row>
    <row r="1715" spans="1:2" x14ac:dyDescent="0.3">
      <c r="A1715" s="6" t="s">
        <v>1357</v>
      </c>
      <c r="B1715" t="s">
        <v>3862</v>
      </c>
    </row>
    <row r="1716" spans="1:2" x14ac:dyDescent="0.3">
      <c r="A1716" s="6" t="s">
        <v>1581</v>
      </c>
      <c r="B1716" t="s">
        <v>6624</v>
      </c>
    </row>
    <row r="1717" spans="1:2" x14ac:dyDescent="0.3">
      <c r="A1717" s="6" t="s">
        <v>3840</v>
      </c>
      <c r="B1717" t="s">
        <v>5975</v>
      </c>
    </row>
    <row r="1718" spans="1:2" x14ac:dyDescent="0.3">
      <c r="A1718" s="6" t="s">
        <v>3841</v>
      </c>
      <c r="B1718" t="s">
        <v>8435</v>
      </c>
    </row>
    <row r="1719" spans="1:2" x14ac:dyDescent="0.3">
      <c r="A1719" s="6" t="s">
        <v>3842</v>
      </c>
      <c r="B1719" t="s">
        <v>2649</v>
      </c>
    </row>
    <row r="1720" spans="1:2" x14ac:dyDescent="0.3">
      <c r="A1720" s="6" t="s">
        <v>3843</v>
      </c>
      <c r="B1720" t="s">
        <v>1592</v>
      </c>
    </row>
    <row r="1721" spans="1:2" x14ac:dyDescent="0.3">
      <c r="A1721" s="6" t="s">
        <v>3844</v>
      </c>
      <c r="B1721" t="s">
        <v>4876</v>
      </c>
    </row>
    <row r="1722" spans="1:2" x14ac:dyDescent="0.3">
      <c r="A1722" s="6" t="s">
        <v>3845</v>
      </c>
      <c r="B1722" t="s">
        <v>4877</v>
      </c>
    </row>
    <row r="1723" spans="1:2" x14ac:dyDescent="0.3">
      <c r="A1723" s="6" t="s">
        <v>3846</v>
      </c>
      <c r="B1723" t="s">
        <v>6268</v>
      </c>
    </row>
    <row r="1724" spans="1:2" x14ac:dyDescent="0.3">
      <c r="A1724" s="6" t="s">
        <v>3847</v>
      </c>
      <c r="B1724" t="s">
        <v>4351</v>
      </c>
    </row>
    <row r="1725" spans="1:2" x14ac:dyDescent="0.3">
      <c r="A1725" s="6" t="s">
        <v>3848</v>
      </c>
      <c r="B1725" t="s">
        <v>6269</v>
      </c>
    </row>
    <row r="1726" spans="1:2" x14ac:dyDescent="0.3">
      <c r="A1726" s="6" t="s">
        <v>3849</v>
      </c>
      <c r="B1726" t="s">
        <v>4480</v>
      </c>
    </row>
    <row r="1727" spans="1:2" x14ac:dyDescent="0.3">
      <c r="A1727" s="6" t="s">
        <v>1582</v>
      </c>
      <c r="B1727" t="s">
        <v>6625</v>
      </c>
    </row>
    <row r="1728" spans="1:2" x14ac:dyDescent="0.3">
      <c r="A1728" s="6" t="s">
        <v>3850</v>
      </c>
      <c r="B1728" t="s">
        <v>4485</v>
      </c>
    </row>
    <row r="1729" spans="1:2" x14ac:dyDescent="0.3">
      <c r="A1729" s="6" t="s">
        <v>3851</v>
      </c>
      <c r="B1729" t="s">
        <v>4855</v>
      </c>
    </row>
    <row r="1730" spans="1:2" x14ac:dyDescent="0.3">
      <c r="A1730" s="6" t="s">
        <v>3852</v>
      </c>
      <c r="B1730" t="s">
        <v>6866</v>
      </c>
    </row>
    <row r="1731" spans="1:2" x14ac:dyDescent="0.3">
      <c r="A1731" s="6" t="s">
        <v>3853</v>
      </c>
      <c r="B1731" t="s">
        <v>6772</v>
      </c>
    </row>
    <row r="1732" spans="1:2" x14ac:dyDescent="0.3">
      <c r="A1732" s="6" t="s">
        <v>3854</v>
      </c>
      <c r="B1732" t="s">
        <v>7169</v>
      </c>
    </row>
    <row r="1733" spans="1:2" x14ac:dyDescent="0.3">
      <c r="A1733" s="6" t="s">
        <v>3855</v>
      </c>
      <c r="B1733" t="s">
        <v>6849</v>
      </c>
    </row>
    <row r="1734" spans="1:2" x14ac:dyDescent="0.3">
      <c r="A1734" s="6" t="s">
        <v>3856</v>
      </c>
      <c r="B1734" t="s">
        <v>6848</v>
      </c>
    </row>
    <row r="1735" spans="1:2" x14ac:dyDescent="0.3">
      <c r="A1735" s="6" t="s">
        <v>3857</v>
      </c>
      <c r="B1735" t="s">
        <v>6771</v>
      </c>
    </row>
    <row r="1736" spans="1:2" x14ac:dyDescent="0.3">
      <c r="A1736" s="6" t="s">
        <v>3858</v>
      </c>
      <c r="B1736" t="s">
        <v>6384</v>
      </c>
    </row>
    <row r="1737" spans="1:2" x14ac:dyDescent="0.3">
      <c r="A1737" s="6" t="s">
        <v>3859</v>
      </c>
      <c r="B1737" t="s">
        <v>5941</v>
      </c>
    </row>
    <row r="1738" spans="1:2" x14ac:dyDescent="0.3">
      <c r="A1738" s="6" t="s">
        <v>1583</v>
      </c>
      <c r="B1738" t="s">
        <v>6626</v>
      </c>
    </row>
    <row r="1739" spans="1:2" x14ac:dyDescent="0.3">
      <c r="A1739" s="6" t="s">
        <v>3860</v>
      </c>
      <c r="B1739" t="s">
        <v>6559</v>
      </c>
    </row>
    <row r="1740" spans="1:2" x14ac:dyDescent="0.3">
      <c r="A1740" s="6" t="s">
        <v>3861</v>
      </c>
      <c r="B1740" t="s">
        <v>6560</v>
      </c>
    </row>
    <row r="1741" spans="1:2" x14ac:dyDescent="0.3">
      <c r="A1741" s="6" t="s">
        <v>3862</v>
      </c>
      <c r="B1741" t="s">
        <v>7699</v>
      </c>
    </row>
    <row r="1742" spans="1:2" x14ac:dyDescent="0.3">
      <c r="A1742" s="6" t="s">
        <v>3863</v>
      </c>
      <c r="B1742" t="s">
        <v>6266</v>
      </c>
    </row>
    <row r="1743" spans="1:2" x14ac:dyDescent="0.3">
      <c r="A1743" s="6" t="s">
        <v>3864</v>
      </c>
      <c r="B1743" t="s">
        <v>4861</v>
      </c>
    </row>
    <row r="1744" spans="1:2" x14ac:dyDescent="0.3">
      <c r="A1744" s="6" t="s">
        <v>3865</v>
      </c>
      <c r="B1744" t="s">
        <v>6081</v>
      </c>
    </row>
    <row r="1745" spans="1:2" x14ac:dyDescent="0.3">
      <c r="A1745" s="6" t="s">
        <v>3866</v>
      </c>
      <c r="B1745" t="s">
        <v>7625</v>
      </c>
    </row>
    <row r="1746" spans="1:2" x14ac:dyDescent="0.3">
      <c r="A1746" s="6" t="s">
        <v>3867</v>
      </c>
      <c r="B1746" t="s">
        <v>6566</v>
      </c>
    </row>
    <row r="1747" spans="1:2" x14ac:dyDescent="0.3">
      <c r="A1747" s="6" t="s">
        <v>3868</v>
      </c>
      <c r="B1747" t="s">
        <v>6880</v>
      </c>
    </row>
    <row r="1748" spans="1:2" x14ac:dyDescent="0.3">
      <c r="A1748" s="6" t="s">
        <v>3869</v>
      </c>
      <c r="B1748" t="s">
        <v>6567</v>
      </c>
    </row>
    <row r="1749" spans="1:2" x14ac:dyDescent="0.3">
      <c r="A1749" s="6" t="s">
        <v>1584</v>
      </c>
      <c r="B1749" t="s">
        <v>2029</v>
      </c>
    </row>
    <row r="1750" spans="1:2" x14ac:dyDescent="0.3">
      <c r="A1750" s="6" t="s">
        <v>3870</v>
      </c>
      <c r="B1750" t="s">
        <v>6872</v>
      </c>
    </row>
    <row r="1751" spans="1:2" x14ac:dyDescent="0.3">
      <c r="A1751" s="6" t="s">
        <v>3871</v>
      </c>
      <c r="B1751" t="s">
        <v>6873</v>
      </c>
    </row>
    <row r="1752" spans="1:2" x14ac:dyDescent="0.3">
      <c r="A1752" s="6" t="s">
        <v>3872</v>
      </c>
      <c r="B1752" t="s">
        <v>6765</v>
      </c>
    </row>
    <row r="1753" spans="1:2" x14ac:dyDescent="0.3">
      <c r="A1753" s="6" t="s">
        <v>3873</v>
      </c>
      <c r="B1753" t="s">
        <v>6766</v>
      </c>
    </row>
    <row r="1754" spans="1:2" x14ac:dyDescent="0.3">
      <c r="A1754" s="6" t="s">
        <v>3874</v>
      </c>
      <c r="B1754" t="s">
        <v>6767</v>
      </c>
    </row>
    <row r="1755" spans="1:2" x14ac:dyDescent="0.3">
      <c r="A1755" s="6" t="s">
        <v>3875</v>
      </c>
      <c r="B1755" t="s">
        <v>6096</v>
      </c>
    </row>
    <row r="1756" spans="1:2" x14ac:dyDescent="0.3">
      <c r="A1756" s="6" t="s">
        <v>3876</v>
      </c>
      <c r="B1756" t="s">
        <v>6095</v>
      </c>
    </row>
    <row r="1757" spans="1:2" x14ac:dyDescent="0.3">
      <c r="A1757" s="6" t="s">
        <v>3877</v>
      </c>
      <c r="B1757" t="s">
        <v>6705</v>
      </c>
    </row>
    <row r="1758" spans="1:2" x14ac:dyDescent="0.3">
      <c r="A1758" s="6" t="s">
        <v>3878</v>
      </c>
      <c r="B1758" t="s">
        <v>7586</v>
      </c>
    </row>
    <row r="1759" spans="1:2" x14ac:dyDescent="0.3">
      <c r="A1759" s="6" t="s">
        <v>3879</v>
      </c>
      <c r="B1759" t="s">
        <v>6453</v>
      </c>
    </row>
    <row r="1760" spans="1:2" x14ac:dyDescent="0.3">
      <c r="A1760" s="6" t="s">
        <v>1585</v>
      </c>
      <c r="B1760" t="s">
        <v>7168</v>
      </c>
    </row>
    <row r="1761" spans="1:2" x14ac:dyDescent="0.3">
      <c r="A1761" s="6" t="s">
        <v>3880</v>
      </c>
      <c r="B1761" t="s">
        <v>7587</v>
      </c>
    </row>
    <row r="1762" spans="1:2" x14ac:dyDescent="0.3">
      <c r="A1762" s="6" t="s">
        <v>3881</v>
      </c>
      <c r="B1762" t="s">
        <v>6768</v>
      </c>
    </row>
    <row r="1763" spans="1:2" x14ac:dyDescent="0.3">
      <c r="A1763" s="6" t="s">
        <v>3882</v>
      </c>
      <c r="B1763" t="s">
        <v>6769</v>
      </c>
    </row>
    <row r="1764" spans="1:2" x14ac:dyDescent="0.3">
      <c r="A1764" s="6" t="s">
        <v>3883</v>
      </c>
      <c r="B1764" t="s">
        <v>6770</v>
      </c>
    </row>
    <row r="1765" spans="1:2" x14ac:dyDescent="0.3">
      <c r="A1765" s="6" t="s">
        <v>3884</v>
      </c>
      <c r="B1765" t="s">
        <v>6079</v>
      </c>
    </row>
    <row r="1766" spans="1:2" x14ac:dyDescent="0.3">
      <c r="A1766" s="6" t="s">
        <v>3885</v>
      </c>
      <c r="B1766" t="s">
        <v>6080</v>
      </c>
    </row>
    <row r="1767" spans="1:2" x14ac:dyDescent="0.3">
      <c r="A1767" s="6" t="s">
        <v>3886</v>
      </c>
      <c r="B1767" t="s">
        <v>6082</v>
      </c>
    </row>
    <row r="1768" spans="1:2" x14ac:dyDescent="0.3">
      <c r="A1768" s="6" t="s">
        <v>3887</v>
      </c>
      <c r="B1768" t="s">
        <v>6083</v>
      </c>
    </row>
    <row r="1769" spans="1:2" x14ac:dyDescent="0.3">
      <c r="A1769" s="6" t="s">
        <v>3888</v>
      </c>
      <c r="B1769" t="s">
        <v>8232</v>
      </c>
    </row>
    <row r="1770" spans="1:2" x14ac:dyDescent="0.3">
      <c r="A1770" s="6" t="s">
        <v>3889</v>
      </c>
      <c r="B1770" t="s">
        <v>6078</v>
      </c>
    </row>
    <row r="1771" spans="1:2" x14ac:dyDescent="0.3">
      <c r="A1771" s="6" t="s">
        <v>1586</v>
      </c>
      <c r="B1771" t="s">
        <v>8027</v>
      </c>
    </row>
    <row r="1772" spans="1:2" x14ac:dyDescent="0.3">
      <c r="A1772" s="6" t="s">
        <v>3890</v>
      </c>
      <c r="B1772" t="s">
        <v>8362</v>
      </c>
    </row>
    <row r="1773" spans="1:2" x14ac:dyDescent="0.3">
      <c r="A1773" s="6" t="s">
        <v>3891</v>
      </c>
      <c r="B1773" t="s">
        <v>8360</v>
      </c>
    </row>
    <row r="1774" spans="1:2" x14ac:dyDescent="0.3">
      <c r="A1774" s="6" t="s">
        <v>3892</v>
      </c>
      <c r="B1774" t="s">
        <v>8361</v>
      </c>
    </row>
    <row r="1775" spans="1:2" x14ac:dyDescent="0.3">
      <c r="A1775" s="6" t="s">
        <v>3893</v>
      </c>
      <c r="B1775" t="s">
        <v>6084</v>
      </c>
    </row>
    <row r="1776" spans="1:2" x14ac:dyDescent="0.3">
      <c r="A1776" s="6" t="s">
        <v>3894</v>
      </c>
      <c r="B1776" t="s">
        <v>6085</v>
      </c>
    </row>
    <row r="1777" spans="1:2" x14ac:dyDescent="0.3">
      <c r="A1777" s="6" t="s">
        <v>3895</v>
      </c>
      <c r="B1777" t="s">
        <v>6323</v>
      </c>
    </row>
    <row r="1778" spans="1:2" x14ac:dyDescent="0.3">
      <c r="A1778" s="6" t="s">
        <v>3896</v>
      </c>
      <c r="B1778" t="s">
        <v>6843</v>
      </c>
    </row>
    <row r="1779" spans="1:2" x14ac:dyDescent="0.3">
      <c r="A1779" s="6" t="s">
        <v>3897</v>
      </c>
      <c r="B1779" t="s">
        <v>6867</v>
      </c>
    </row>
    <row r="1780" spans="1:2" x14ac:dyDescent="0.3">
      <c r="A1780" s="6" t="s">
        <v>3898</v>
      </c>
      <c r="B1780" t="s">
        <v>6844</v>
      </c>
    </row>
    <row r="1781" spans="1:2" x14ac:dyDescent="0.3">
      <c r="A1781" s="6" t="s">
        <v>3899</v>
      </c>
      <c r="B1781" t="s">
        <v>6841</v>
      </c>
    </row>
    <row r="1782" spans="1:2" x14ac:dyDescent="0.3">
      <c r="A1782" s="6" t="s">
        <v>1587</v>
      </c>
      <c r="B1782" t="s">
        <v>3313</v>
      </c>
    </row>
    <row r="1783" spans="1:2" x14ac:dyDescent="0.3">
      <c r="A1783" s="6" t="s">
        <v>3900</v>
      </c>
      <c r="B1783" t="s">
        <v>6842</v>
      </c>
    </row>
    <row r="1784" spans="1:2" x14ac:dyDescent="0.3">
      <c r="A1784" s="6" t="s">
        <v>3901</v>
      </c>
      <c r="B1784" t="s">
        <v>6764</v>
      </c>
    </row>
    <row r="1785" spans="1:2" x14ac:dyDescent="0.3">
      <c r="A1785" s="6" t="s">
        <v>3902</v>
      </c>
      <c r="B1785" t="s">
        <v>6762</v>
      </c>
    </row>
    <row r="1786" spans="1:2" x14ac:dyDescent="0.3">
      <c r="A1786" s="6" t="s">
        <v>3903</v>
      </c>
      <c r="B1786" t="s">
        <v>6091</v>
      </c>
    </row>
    <row r="1787" spans="1:2" x14ac:dyDescent="0.3">
      <c r="A1787" s="6" t="s">
        <v>3904</v>
      </c>
      <c r="B1787" t="s">
        <v>6088</v>
      </c>
    </row>
    <row r="1788" spans="1:2" x14ac:dyDescent="0.3">
      <c r="A1788" s="6" t="s">
        <v>3905</v>
      </c>
      <c r="B1788" t="s">
        <v>6093</v>
      </c>
    </row>
    <row r="1789" spans="1:2" x14ac:dyDescent="0.3">
      <c r="A1789" s="6" t="s">
        <v>3906</v>
      </c>
      <c r="B1789" t="s">
        <v>6090</v>
      </c>
    </row>
    <row r="1790" spans="1:2" x14ac:dyDescent="0.3">
      <c r="A1790" s="6" t="s">
        <v>3907</v>
      </c>
      <c r="B1790" t="s">
        <v>6089</v>
      </c>
    </row>
    <row r="1791" spans="1:2" x14ac:dyDescent="0.3">
      <c r="A1791" s="6" t="s">
        <v>3908</v>
      </c>
      <c r="B1791" t="s">
        <v>6092</v>
      </c>
    </row>
    <row r="1792" spans="1:2" x14ac:dyDescent="0.3">
      <c r="A1792" s="6" t="s">
        <v>3909</v>
      </c>
      <c r="B1792" t="s">
        <v>6647</v>
      </c>
    </row>
    <row r="1793" spans="1:2" x14ac:dyDescent="0.3">
      <c r="A1793" s="6" t="s">
        <v>1588</v>
      </c>
      <c r="B1793" t="s">
        <v>8376</v>
      </c>
    </row>
    <row r="1794" spans="1:2" x14ac:dyDescent="0.3">
      <c r="A1794" s="6" t="s">
        <v>3910</v>
      </c>
      <c r="B1794" t="s">
        <v>6162</v>
      </c>
    </row>
    <row r="1795" spans="1:2" x14ac:dyDescent="0.3">
      <c r="A1795" s="6" t="s">
        <v>3911</v>
      </c>
      <c r="B1795" t="s">
        <v>6086</v>
      </c>
    </row>
    <row r="1796" spans="1:2" x14ac:dyDescent="0.3">
      <c r="A1796" s="6" t="s">
        <v>3912</v>
      </c>
      <c r="B1796" t="s">
        <v>6087</v>
      </c>
    </row>
    <row r="1797" spans="1:2" x14ac:dyDescent="0.3">
      <c r="A1797" s="6" t="s">
        <v>3913</v>
      </c>
      <c r="B1797" t="s">
        <v>6754</v>
      </c>
    </row>
    <row r="1798" spans="1:2" x14ac:dyDescent="0.3">
      <c r="A1798" s="6" t="s">
        <v>3914</v>
      </c>
      <c r="B1798" t="s">
        <v>6755</v>
      </c>
    </row>
    <row r="1799" spans="1:2" x14ac:dyDescent="0.3">
      <c r="A1799" s="6" t="s">
        <v>3915</v>
      </c>
      <c r="B1799" t="s">
        <v>6756</v>
      </c>
    </row>
    <row r="1800" spans="1:2" x14ac:dyDescent="0.3">
      <c r="A1800" s="6" t="s">
        <v>3916</v>
      </c>
      <c r="B1800" t="s">
        <v>6757</v>
      </c>
    </row>
    <row r="1801" spans="1:2" x14ac:dyDescent="0.3">
      <c r="A1801" s="6" t="s">
        <v>3917</v>
      </c>
      <c r="B1801" t="s">
        <v>6758</v>
      </c>
    </row>
    <row r="1802" spans="1:2" x14ac:dyDescent="0.3">
      <c r="A1802" s="6" t="s">
        <v>3918</v>
      </c>
      <c r="B1802" t="s">
        <v>6854</v>
      </c>
    </row>
    <row r="1803" spans="1:2" x14ac:dyDescent="0.3">
      <c r="A1803" s="6" t="s">
        <v>3919</v>
      </c>
      <c r="B1803" t="s">
        <v>6759</v>
      </c>
    </row>
    <row r="1804" spans="1:2" x14ac:dyDescent="0.3">
      <c r="A1804" s="6" t="s">
        <v>1589</v>
      </c>
      <c r="B1804" t="s">
        <v>8377</v>
      </c>
    </row>
    <row r="1805" spans="1:2" x14ac:dyDescent="0.3">
      <c r="A1805" s="6" t="s">
        <v>3920</v>
      </c>
      <c r="B1805" t="s">
        <v>6760</v>
      </c>
    </row>
    <row r="1806" spans="1:2" x14ac:dyDescent="0.3">
      <c r="A1806" s="6" t="s">
        <v>3921</v>
      </c>
      <c r="B1806" t="s">
        <v>6761</v>
      </c>
    </row>
    <row r="1807" spans="1:2" x14ac:dyDescent="0.3">
      <c r="A1807" s="6" t="s">
        <v>3922</v>
      </c>
      <c r="B1807" t="s">
        <v>4878</v>
      </c>
    </row>
    <row r="1808" spans="1:2" x14ac:dyDescent="0.3">
      <c r="A1808" s="6" t="s">
        <v>3923</v>
      </c>
      <c r="B1808" t="s">
        <v>4879</v>
      </c>
    </row>
    <row r="1809" spans="1:2" x14ac:dyDescent="0.3">
      <c r="A1809" s="6" t="s">
        <v>3924</v>
      </c>
      <c r="B1809" t="s">
        <v>8259</v>
      </c>
    </row>
    <row r="1810" spans="1:2" x14ac:dyDescent="0.3">
      <c r="A1810" s="6" t="s">
        <v>3925</v>
      </c>
      <c r="B1810" t="s">
        <v>8260</v>
      </c>
    </row>
    <row r="1811" spans="1:2" x14ac:dyDescent="0.3">
      <c r="A1811" s="6" t="s">
        <v>3926</v>
      </c>
      <c r="B1811" t="s">
        <v>8261</v>
      </c>
    </row>
    <row r="1812" spans="1:2" x14ac:dyDescent="0.3">
      <c r="A1812" s="6" t="s">
        <v>3927</v>
      </c>
      <c r="B1812" t="s">
        <v>8264</v>
      </c>
    </row>
    <row r="1813" spans="1:2" x14ac:dyDescent="0.3">
      <c r="A1813" s="6" t="s">
        <v>3928</v>
      </c>
      <c r="B1813" t="s">
        <v>8265</v>
      </c>
    </row>
    <row r="1814" spans="1:2" x14ac:dyDescent="0.3">
      <c r="A1814" s="6" t="s">
        <v>3929</v>
      </c>
      <c r="B1814" t="s">
        <v>8266</v>
      </c>
    </row>
    <row r="1815" spans="1:2" x14ac:dyDescent="0.3">
      <c r="A1815" s="6" t="s">
        <v>1590</v>
      </c>
      <c r="B1815" t="s">
        <v>8378</v>
      </c>
    </row>
    <row r="1816" spans="1:2" x14ac:dyDescent="0.3">
      <c r="A1816" s="6" t="s">
        <v>3930</v>
      </c>
      <c r="B1816" t="s">
        <v>8262</v>
      </c>
    </row>
    <row r="1817" spans="1:2" x14ac:dyDescent="0.3">
      <c r="A1817" s="6" t="s">
        <v>3931</v>
      </c>
      <c r="B1817" t="s">
        <v>8263</v>
      </c>
    </row>
    <row r="1818" spans="1:2" x14ac:dyDescent="0.3">
      <c r="A1818" s="6" t="s">
        <v>3932</v>
      </c>
      <c r="B1818" t="s">
        <v>3874</v>
      </c>
    </row>
    <row r="1819" spans="1:2" x14ac:dyDescent="0.3">
      <c r="A1819" s="6" t="s">
        <v>3933</v>
      </c>
      <c r="B1819" t="s">
        <v>7407</v>
      </c>
    </row>
    <row r="1820" spans="1:2" x14ac:dyDescent="0.3">
      <c r="A1820" s="6" t="s">
        <v>3934</v>
      </c>
      <c r="B1820" t="s">
        <v>8205</v>
      </c>
    </row>
    <row r="1821" spans="1:2" x14ac:dyDescent="0.3">
      <c r="A1821" s="6" t="s">
        <v>3935</v>
      </c>
      <c r="B1821" t="s">
        <v>7616</v>
      </c>
    </row>
    <row r="1822" spans="1:2" x14ac:dyDescent="0.3">
      <c r="A1822" s="6" t="s">
        <v>3936</v>
      </c>
      <c r="B1822" t="s">
        <v>7615</v>
      </c>
    </row>
    <row r="1823" spans="1:2" x14ac:dyDescent="0.3">
      <c r="A1823" s="6" t="s">
        <v>3937</v>
      </c>
      <c r="B1823" t="s">
        <v>8127</v>
      </c>
    </row>
    <row r="1824" spans="1:2" x14ac:dyDescent="0.3">
      <c r="A1824" s="6" t="s">
        <v>3938</v>
      </c>
      <c r="B1824" t="s">
        <v>8401</v>
      </c>
    </row>
    <row r="1825" spans="1:2" x14ac:dyDescent="0.3">
      <c r="A1825" s="6" t="s">
        <v>3939</v>
      </c>
      <c r="B1825" t="s">
        <v>8322</v>
      </c>
    </row>
    <row r="1826" spans="1:2" x14ac:dyDescent="0.3">
      <c r="A1826" s="6" t="s">
        <v>1358</v>
      </c>
      <c r="B1826" t="s">
        <v>1813</v>
      </c>
    </row>
    <row r="1827" spans="1:2" x14ac:dyDescent="0.3">
      <c r="A1827" s="6" t="s">
        <v>1591</v>
      </c>
      <c r="B1827" t="s">
        <v>2290</v>
      </c>
    </row>
    <row r="1828" spans="1:2" x14ac:dyDescent="0.3">
      <c r="A1828" s="6" t="s">
        <v>3940</v>
      </c>
      <c r="B1828" t="s">
        <v>7618</v>
      </c>
    </row>
    <row r="1829" spans="1:2" x14ac:dyDescent="0.3">
      <c r="A1829" s="6" t="s">
        <v>3941</v>
      </c>
      <c r="B1829" t="s">
        <v>7617</v>
      </c>
    </row>
    <row r="1830" spans="1:2" x14ac:dyDescent="0.3">
      <c r="A1830" s="6" t="s">
        <v>3942</v>
      </c>
      <c r="B1830" t="s">
        <v>8298</v>
      </c>
    </row>
    <row r="1831" spans="1:2" x14ac:dyDescent="0.3">
      <c r="A1831" s="6" t="s">
        <v>3943</v>
      </c>
      <c r="B1831" t="s">
        <v>4858</v>
      </c>
    </row>
    <row r="1832" spans="1:2" x14ac:dyDescent="0.3">
      <c r="A1832" s="6" t="s">
        <v>3944</v>
      </c>
      <c r="B1832" t="s">
        <v>4859</v>
      </c>
    </row>
    <row r="1833" spans="1:2" x14ac:dyDescent="0.3">
      <c r="A1833" s="6" t="s">
        <v>3945</v>
      </c>
      <c r="B1833" t="s">
        <v>4860</v>
      </c>
    </row>
    <row r="1834" spans="1:2" x14ac:dyDescent="0.3">
      <c r="A1834" s="6" t="s">
        <v>3946</v>
      </c>
      <c r="B1834" t="s">
        <v>7624</v>
      </c>
    </row>
    <row r="1835" spans="1:2" x14ac:dyDescent="0.3">
      <c r="A1835" s="6" t="s">
        <v>3947</v>
      </c>
      <c r="B1835" t="s">
        <v>7597</v>
      </c>
    </row>
    <row r="1836" spans="1:2" x14ac:dyDescent="0.3">
      <c r="A1836" s="6" t="s">
        <v>3948</v>
      </c>
      <c r="B1836" t="s">
        <v>7596</v>
      </c>
    </row>
    <row r="1837" spans="1:2" x14ac:dyDescent="0.3">
      <c r="A1837" s="6" t="s">
        <v>3949</v>
      </c>
      <c r="B1837" t="s">
        <v>7626</v>
      </c>
    </row>
    <row r="1838" spans="1:2" x14ac:dyDescent="0.3">
      <c r="A1838" s="6" t="s">
        <v>1592</v>
      </c>
      <c r="B1838" t="s">
        <v>8514</v>
      </c>
    </row>
    <row r="1839" spans="1:2" x14ac:dyDescent="0.3">
      <c r="A1839" s="6" t="s">
        <v>3950</v>
      </c>
      <c r="B1839" t="s">
        <v>7601</v>
      </c>
    </row>
    <row r="1840" spans="1:2" x14ac:dyDescent="0.3">
      <c r="A1840" s="6" t="s">
        <v>3951</v>
      </c>
      <c r="B1840" t="s">
        <v>7600</v>
      </c>
    </row>
    <row r="1841" spans="1:2" x14ac:dyDescent="0.3">
      <c r="A1841" s="6" t="s">
        <v>3952</v>
      </c>
      <c r="B1841" t="s">
        <v>8400</v>
      </c>
    </row>
    <row r="1842" spans="1:2" x14ac:dyDescent="0.3">
      <c r="A1842" s="6" t="s">
        <v>3953</v>
      </c>
      <c r="B1842" t="s">
        <v>6741</v>
      </c>
    </row>
    <row r="1843" spans="1:2" x14ac:dyDescent="0.3">
      <c r="A1843" s="6" t="s">
        <v>3954</v>
      </c>
      <c r="B1843" t="s">
        <v>6740</v>
      </c>
    </row>
    <row r="1844" spans="1:2" x14ac:dyDescent="0.3">
      <c r="A1844" s="6" t="s">
        <v>3955</v>
      </c>
      <c r="B1844" t="s">
        <v>7055</v>
      </c>
    </row>
    <row r="1845" spans="1:2" x14ac:dyDescent="0.3">
      <c r="A1845" s="6" t="s">
        <v>3956</v>
      </c>
      <c r="B1845" t="s">
        <v>7087</v>
      </c>
    </row>
    <row r="1846" spans="1:2" x14ac:dyDescent="0.3">
      <c r="A1846" s="6" t="s">
        <v>3957</v>
      </c>
      <c r="B1846" t="s">
        <v>7079</v>
      </c>
    </row>
    <row r="1847" spans="1:2" x14ac:dyDescent="0.3">
      <c r="A1847" s="6" t="s">
        <v>3958</v>
      </c>
      <c r="B1847" t="s">
        <v>7020</v>
      </c>
    </row>
    <row r="1848" spans="1:2" x14ac:dyDescent="0.3">
      <c r="A1848" s="6" t="s">
        <v>3959</v>
      </c>
      <c r="B1848" t="s">
        <v>7017</v>
      </c>
    </row>
    <row r="1849" spans="1:2" x14ac:dyDescent="0.3">
      <c r="A1849" s="6" t="s">
        <v>1593</v>
      </c>
      <c r="B1849" t="s">
        <v>2291</v>
      </c>
    </row>
    <row r="1850" spans="1:2" x14ac:dyDescent="0.3">
      <c r="A1850" s="6" t="s">
        <v>3960</v>
      </c>
      <c r="B1850" t="s">
        <v>7089</v>
      </c>
    </row>
    <row r="1851" spans="1:2" x14ac:dyDescent="0.3">
      <c r="A1851" s="6" t="s">
        <v>3961</v>
      </c>
      <c r="B1851" t="s">
        <v>7050</v>
      </c>
    </row>
    <row r="1852" spans="1:2" x14ac:dyDescent="0.3">
      <c r="A1852" s="6" t="s">
        <v>3962</v>
      </c>
      <c r="B1852" t="s">
        <v>6938</v>
      </c>
    </row>
    <row r="1853" spans="1:2" x14ac:dyDescent="0.3">
      <c r="A1853" s="6" t="s">
        <v>3963</v>
      </c>
      <c r="B1853" t="s">
        <v>6939</v>
      </c>
    </row>
    <row r="1854" spans="1:2" x14ac:dyDescent="0.3">
      <c r="A1854" s="6" t="s">
        <v>3964</v>
      </c>
      <c r="B1854" t="s">
        <v>6930</v>
      </c>
    </row>
    <row r="1855" spans="1:2" x14ac:dyDescent="0.3">
      <c r="A1855" s="6" t="s">
        <v>3965</v>
      </c>
      <c r="B1855" t="s">
        <v>6928</v>
      </c>
    </row>
    <row r="1856" spans="1:2" x14ac:dyDescent="0.3">
      <c r="A1856" s="6" t="s">
        <v>3966</v>
      </c>
      <c r="B1856" t="s">
        <v>6578</v>
      </c>
    </row>
    <row r="1857" spans="1:2" x14ac:dyDescent="0.3">
      <c r="A1857" s="6" t="s">
        <v>3967</v>
      </c>
      <c r="B1857" t="s">
        <v>6579</v>
      </c>
    </row>
    <row r="1858" spans="1:2" x14ac:dyDescent="0.3">
      <c r="A1858" s="6" t="s">
        <v>3968</v>
      </c>
      <c r="B1858" t="s">
        <v>6736</v>
      </c>
    </row>
    <row r="1859" spans="1:2" x14ac:dyDescent="0.3">
      <c r="A1859" s="6" t="s">
        <v>3969</v>
      </c>
      <c r="B1859" t="s">
        <v>6735</v>
      </c>
    </row>
    <row r="1860" spans="1:2" x14ac:dyDescent="0.3">
      <c r="A1860" s="6" t="s">
        <v>1594</v>
      </c>
      <c r="B1860" t="s">
        <v>8234</v>
      </c>
    </row>
    <row r="1861" spans="1:2" x14ac:dyDescent="0.3">
      <c r="A1861" s="6" t="s">
        <v>3970</v>
      </c>
      <c r="B1861" t="s">
        <v>6537</v>
      </c>
    </row>
    <row r="1862" spans="1:2" x14ac:dyDescent="0.3">
      <c r="A1862" s="6" t="s">
        <v>3971</v>
      </c>
      <c r="B1862" t="s">
        <v>6535</v>
      </c>
    </row>
    <row r="1863" spans="1:2" x14ac:dyDescent="0.3">
      <c r="A1863" s="6" t="s">
        <v>3972</v>
      </c>
      <c r="B1863" t="s">
        <v>6536</v>
      </c>
    </row>
    <row r="1864" spans="1:2" x14ac:dyDescent="0.3">
      <c r="A1864" s="6" t="s">
        <v>3973</v>
      </c>
      <c r="B1864" t="s">
        <v>6969</v>
      </c>
    </row>
    <row r="1865" spans="1:2" x14ac:dyDescent="0.3">
      <c r="A1865" s="6" t="s">
        <v>3974</v>
      </c>
      <c r="B1865" t="s">
        <v>8424</v>
      </c>
    </row>
    <row r="1866" spans="1:2" x14ac:dyDescent="0.3">
      <c r="A1866" s="6" t="s">
        <v>3975</v>
      </c>
      <c r="B1866" t="s">
        <v>8525</v>
      </c>
    </row>
    <row r="1867" spans="1:2" x14ac:dyDescent="0.3">
      <c r="A1867" s="6" t="s">
        <v>3976</v>
      </c>
      <c r="B1867" t="s">
        <v>8524</v>
      </c>
    </row>
    <row r="1868" spans="1:2" x14ac:dyDescent="0.3">
      <c r="A1868" s="6" t="s">
        <v>3977</v>
      </c>
      <c r="B1868" t="s">
        <v>6694</v>
      </c>
    </row>
    <row r="1869" spans="1:2" x14ac:dyDescent="0.3">
      <c r="A1869" s="6" t="s">
        <v>3978</v>
      </c>
      <c r="B1869" t="s">
        <v>7056</v>
      </c>
    </row>
    <row r="1870" spans="1:2" x14ac:dyDescent="0.3">
      <c r="A1870" s="6" t="s">
        <v>3979</v>
      </c>
      <c r="B1870" t="s">
        <v>6531</v>
      </c>
    </row>
    <row r="1871" spans="1:2" x14ac:dyDescent="0.3">
      <c r="A1871" s="6" t="s">
        <v>1595</v>
      </c>
      <c r="B1871" t="s">
        <v>6589</v>
      </c>
    </row>
    <row r="1872" spans="1:2" x14ac:dyDescent="0.3">
      <c r="A1872" s="6" t="s">
        <v>3980</v>
      </c>
      <c r="B1872" t="s">
        <v>6532</v>
      </c>
    </row>
    <row r="1873" spans="1:2" x14ac:dyDescent="0.3">
      <c r="A1873" s="6" t="s">
        <v>3981</v>
      </c>
      <c r="B1873" t="s">
        <v>6533</v>
      </c>
    </row>
    <row r="1874" spans="1:2" x14ac:dyDescent="0.3">
      <c r="A1874" s="6" t="s">
        <v>3982</v>
      </c>
      <c r="B1874" t="s">
        <v>8364</v>
      </c>
    </row>
    <row r="1875" spans="1:2" x14ac:dyDescent="0.3">
      <c r="A1875" s="6" t="s">
        <v>3983</v>
      </c>
      <c r="B1875" t="s">
        <v>8455</v>
      </c>
    </row>
    <row r="1876" spans="1:2" x14ac:dyDescent="0.3">
      <c r="A1876" s="6" t="s">
        <v>3984</v>
      </c>
      <c r="B1876" t="s">
        <v>7160</v>
      </c>
    </row>
    <row r="1877" spans="1:2" x14ac:dyDescent="0.3">
      <c r="A1877" s="6" t="s">
        <v>3985</v>
      </c>
      <c r="B1877" t="s">
        <v>7161</v>
      </c>
    </row>
    <row r="1878" spans="1:2" x14ac:dyDescent="0.3">
      <c r="A1878" s="6" t="s">
        <v>3986</v>
      </c>
      <c r="B1878" t="s">
        <v>8365</v>
      </c>
    </row>
    <row r="1879" spans="1:2" x14ac:dyDescent="0.3">
      <c r="A1879" s="6" t="s">
        <v>3987</v>
      </c>
      <c r="B1879" t="s">
        <v>7162</v>
      </c>
    </row>
    <row r="1880" spans="1:2" x14ac:dyDescent="0.3">
      <c r="A1880" s="6" t="s">
        <v>3988</v>
      </c>
      <c r="B1880" t="s">
        <v>7163</v>
      </c>
    </row>
    <row r="1881" spans="1:2" x14ac:dyDescent="0.3">
      <c r="A1881" s="6" t="s">
        <v>3989</v>
      </c>
      <c r="B1881" t="s">
        <v>7164</v>
      </c>
    </row>
    <row r="1882" spans="1:2" x14ac:dyDescent="0.3">
      <c r="A1882" s="6" t="s">
        <v>1596</v>
      </c>
      <c r="B1882" t="s">
        <v>8366</v>
      </c>
    </row>
    <row r="1883" spans="1:2" x14ac:dyDescent="0.3">
      <c r="A1883" s="6" t="s">
        <v>3990</v>
      </c>
      <c r="B1883" t="s">
        <v>7165</v>
      </c>
    </row>
    <row r="1884" spans="1:2" x14ac:dyDescent="0.3">
      <c r="A1884" s="6" t="s">
        <v>3991</v>
      </c>
      <c r="B1884" t="s">
        <v>8456</v>
      </c>
    </row>
    <row r="1885" spans="1:2" x14ac:dyDescent="0.3">
      <c r="A1885" s="6" t="s">
        <v>3992</v>
      </c>
      <c r="B1885" t="s">
        <v>7166</v>
      </c>
    </row>
    <row r="1886" spans="1:2" x14ac:dyDescent="0.3">
      <c r="A1886" s="6" t="s">
        <v>3993</v>
      </c>
      <c r="B1886" t="s">
        <v>6132</v>
      </c>
    </row>
    <row r="1887" spans="1:2" x14ac:dyDescent="0.3">
      <c r="A1887" s="6" t="s">
        <v>3994</v>
      </c>
      <c r="B1887" t="s">
        <v>6402</v>
      </c>
    </row>
    <row r="1888" spans="1:2" x14ac:dyDescent="0.3">
      <c r="A1888" s="6" t="s">
        <v>3995</v>
      </c>
      <c r="B1888" t="s">
        <v>6403</v>
      </c>
    </row>
    <row r="1889" spans="1:2" x14ac:dyDescent="0.3">
      <c r="A1889" s="6" t="s">
        <v>3996</v>
      </c>
      <c r="B1889" t="s">
        <v>6305</v>
      </c>
    </row>
    <row r="1890" spans="1:2" x14ac:dyDescent="0.3">
      <c r="A1890" s="6" t="s">
        <v>3997</v>
      </c>
      <c r="B1890" t="s">
        <v>6306</v>
      </c>
    </row>
    <row r="1891" spans="1:2" x14ac:dyDescent="0.3">
      <c r="A1891" s="6" t="s">
        <v>3998</v>
      </c>
      <c r="B1891" t="s">
        <v>7803</v>
      </c>
    </row>
    <row r="1892" spans="1:2" x14ac:dyDescent="0.3">
      <c r="A1892" s="6" t="s">
        <v>3999</v>
      </c>
      <c r="B1892" t="s">
        <v>6696</v>
      </c>
    </row>
    <row r="1893" spans="1:2" x14ac:dyDescent="0.3">
      <c r="A1893" s="6" t="s">
        <v>1597</v>
      </c>
      <c r="B1893" t="s">
        <v>8640</v>
      </c>
    </row>
    <row r="1894" spans="1:2" x14ac:dyDescent="0.3">
      <c r="A1894" s="6" t="s">
        <v>4000</v>
      </c>
      <c r="B1894" t="s">
        <v>6695</v>
      </c>
    </row>
    <row r="1895" spans="1:2" x14ac:dyDescent="0.3">
      <c r="A1895" s="6" t="s">
        <v>4001</v>
      </c>
      <c r="B1895" t="s">
        <v>6954</v>
      </c>
    </row>
    <row r="1896" spans="1:2" x14ac:dyDescent="0.3">
      <c r="A1896" s="6" t="s">
        <v>4002</v>
      </c>
      <c r="B1896" t="s">
        <v>7804</v>
      </c>
    </row>
    <row r="1897" spans="1:2" x14ac:dyDescent="0.3">
      <c r="A1897" s="6" t="s">
        <v>4003</v>
      </c>
      <c r="B1897" t="s">
        <v>6580</v>
      </c>
    </row>
    <row r="1898" spans="1:2" x14ac:dyDescent="0.3">
      <c r="A1898" s="6" t="s">
        <v>4004</v>
      </c>
      <c r="B1898" t="s">
        <v>6574</v>
      </c>
    </row>
    <row r="1899" spans="1:2" x14ac:dyDescent="0.3">
      <c r="A1899" s="6" t="s">
        <v>4005</v>
      </c>
      <c r="B1899" t="s">
        <v>7703</v>
      </c>
    </row>
    <row r="1900" spans="1:2" x14ac:dyDescent="0.3">
      <c r="A1900" s="6" t="s">
        <v>4006</v>
      </c>
      <c r="B1900" t="s">
        <v>7852</v>
      </c>
    </row>
    <row r="1901" spans="1:2" x14ac:dyDescent="0.3">
      <c r="A1901" s="6" t="s">
        <v>4007</v>
      </c>
      <c r="B1901" t="s">
        <v>7159</v>
      </c>
    </row>
    <row r="1902" spans="1:2" x14ac:dyDescent="0.3">
      <c r="A1902" s="6" t="s">
        <v>4008</v>
      </c>
      <c r="B1902" t="s">
        <v>7801</v>
      </c>
    </row>
    <row r="1903" spans="1:2" x14ac:dyDescent="0.3">
      <c r="A1903" s="6" t="s">
        <v>4009</v>
      </c>
      <c r="B1903" t="s">
        <v>7802</v>
      </c>
    </row>
    <row r="1904" spans="1:2" x14ac:dyDescent="0.3">
      <c r="A1904" s="6" t="s">
        <v>1598</v>
      </c>
      <c r="B1904" t="s">
        <v>4483</v>
      </c>
    </row>
    <row r="1905" spans="1:2" x14ac:dyDescent="0.3">
      <c r="A1905" s="6" t="s">
        <v>4010</v>
      </c>
      <c r="B1905" t="s">
        <v>6835</v>
      </c>
    </row>
    <row r="1906" spans="1:2" x14ac:dyDescent="0.3">
      <c r="A1906" s="6" t="s">
        <v>4011</v>
      </c>
      <c r="B1906" t="s">
        <v>6836</v>
      </c>
    </row>
    <row r="1907" spans="1:2" x14ac:dyDescent="0.3">
      <c r="A1907" s="6" t="s">
        <v>4012</v>
      </c>
      <c r="B1907" t="s">
        <v>6534</v>
      </c>
    </row>
    <row r="1908" spans="1:2" x14ac:dyDescent="0.3">
      <c r="A1908" s="6" t="s">
        <v>4013</v>
      </c>
      <c r="B1908" t="s">
        <v>6575</v>
      </c>
    </row>
    <row r="1909" spans="1:2" x14ac:dyDescent="0.3">
      <c r="A1909" s="6" t="s">
        <v>4014</v>
      </c>
      <c r="B1909" t="s">
        <v>6530</v>
      </c>
    </row>
    <row r="1910" spans="1:2" x14ac:dyDescent="0.3">
      <c r="A1910" s="6" t="s">
        <v>4015</v>
      </c>
      <c r="B1910" t="s">
        <v>6528</v>
      </c>
    </row>
    <row r="1911" spans="1:2" x14ac:dyDescent="0.3">
      <c r="A1911" s="6" t="s">
        <v>4016</v>
      </c>
      <c r="B1911" t="s">
        <v>6529</v>
      </c>
    </row>
    <row r="1912" spans="1:2" x14ac:dyDescent="0.3">
      <c r="A1912" s="6" t="s">
        <v>4017</v>
      </c>
      <c r="B1912" t="s">
        <v>6526</v>
      </c>
    </row>
    <row r="1913" spans="1:2" x14ac:dyDescent="0.3">
      <c r="A1913" s="6" t="s">
        <v>4018</v>
      </c>
      <c r="B1913" t="s">
        <v>6527</v>
      </c>
    </row>
    <row r="1914" spans="1:2" x14ac:dyDescent="0.3">
      <c r="A1914" s="6" t="s">
        <v>4019</v>
      </c>
      <c r="B1914" t="s">
        <v>6581</v>
      </c>
    </row>
    <row r="1915" spans="1:2" x14ac:dyDescent="0.3">
      <c r="A1915" s="6" t="s">
        <v>1599</v>
      </c>
      <c r="B1915" t="s">
        <v>7534</v>
      </c>
    </row>
    <row r="1916" spans="1:2" x14ac:dyDescent="0.3">
      <c r="A1916" s="6" t="s">
        <v>4020</v>
      </c>
      <c r="B1916" t="s">
        <v>7158</v>
      </c>
    </row>
    <row r="1917" spans="1:2" x14ac:dyDescent="0.3">
      <c r="A1917" s="6" t="s">
        <v>4021</v>
      </c>
      <c r="B1917" t="s">
        <v>7157</v>
      </c>
    </row>
    <row r="1918" spans="1:2" x14ac:dyDescent="0.3">
      <c r="A1918" s="6" t="s">
        <v>4022</v>
      </c>
      <c r="B1918" t="s">
        <v>8423</v>
      </c>
    </row>
    <row r="1919" spans="1:2" x14ac:dyDescent="0.3">
      <c r="A1919" s="6" t="s">
        <v>4023</v>
      </c>
      <c r="B1919" t="s">
        <v>7702</v>
      </c>
    </row>
    <row r="1920" spans="1:2" x14ac:dyDescent="0.3">
      <c r="A1920" s="6" t="s">
        <v>4024</v>
      </c>
      <c r="B1920" t="s">
        <v>6697</v>
      </c>
    </row>
    <row r="1921" spans="1:2" x14ac:dyDescent="0.3">
      <c r="A1921" s="6" t="s">
        <v>4025</v>
      </c>
      <c r="B1921" t="s">
        <v>6261</v>
      </c>
    </row>
    <row r="1922" spans="1:2" x14ac:dyDescent="0.3">
      <c r="A1922" s="6" t="s">
        <v>4026</v>
      </c>
      <c r="B1922" t="s">
        <v>6264</v>
      </c>
    </row>
    <row r="1923" spans="1:2" x14ac:dyDescent="0.3">
      <c r="A1923" s="6" t="s">
        <v>4027</v>
      </c>
      <c r="B1923" t="s">
        <v>6257</v>
      </c>
    </row>
    <row r="1924" spans="1:2" x14ac:dyDescent="0.3">
      <c r="A1924" s="6" t="s">
        <v>4028</v>
      </c>
      <c r="B1924" t="s">
        <v>8425</v>
      </c>
    </row>
    <row r="1925" spans="1:2" x14ac:dyDescent="0.3">
      <c r="A1925" s="6" t="s">
        <v>4029</v>
      </c>
      <c r="B1925" t="s">
        <v>6582</v>
      </c>
    </row>
    <row r="1926" spans="1:2" x14ac:dyDescent="0.3">
      <c r="A1926" s="6" t="s">
        <v>1600</v>
      </c>
      <c r="B1926" t="s">
        <v>2288</v>
      </c>
    </row>
    <row r="1927" spans="1:2" x14ac:dyDescent="0.3">
      <c r="A1927" s="6" t="s">
        <v>4030</v>
      </c>
      <c r="B1927" t="s">
        <v>6583</v>
      </c>
    </row>
    <row r="1928" spans="1:2" x14ac:dyDescent="0.3">
      <c r="A1928" s="6" t="s">
        <v>4031</v>
      </c>
      <c r="B1928" t="s">
        <v>7567</v>
      </c>
    </row>
    <row r="1929" spans="1:2" x14ac:dyDescent="0.3">
      <c r="A1929" s="6" t="s">
        <v>4032</v>
      </c>
      <c r="B1929" t="s">
        <v>8526</v>
      </c>
    </row>
    <row r="1930" spans="1:2" x14ac:dyDescent="0.3">
      <c r="A1930" s="6" t="s">
        <v>4033</v>
      </c>
      <c r="B1930" t="s">
        <v>6263</v>
      </c>
    </row>
    <row r="1931" spans="1:2" x14ac:dyDescent="0.3">
      <c r="A1931" s="6" t="s">
        <v>4034</v>
      </c>
      <c r="B1931" t="s">
        <v>6262</v>
      </c>
    </row>
    <row r="1932" spans="1:2" x14ac:dyDescent="0.3">
      <c r="A1932" s="6" t="s">
        <v>4035</v>
      </c>
      <c r="B1932" t="s">
        <v>6260</v>
      </c>
    </row>
    <row r="1933" spans="1:2" x14ac:dyDescent="0.3">
      <c r="A1933" s="6" t="s">
        <v>4036</v>
      </c>
      <c r="B1933" t="s">
        <v>6431</v>
      </c>
    </row>
    <row r="1934" spans="1:2" x14ac:dyDescent="0.3">
      <c r="A1934" s="6" t="s">
        <v>4037</v>
      </c>
      <c r="B1934" t="s">
        <v>6430</v>
      </c>
    </row>
    <row r="1935" spans="1:2" x14ac:dyDescent="0.3">
      <c r="A1935" s="6" t="s">
        <v>4038</v>
      </c>
      <c r="B1935" t="s">
        <v>6927</v>
      </c>
    </row>
    <row r="1936" spans="1:2" x14ac:dyDescent="0.3">
      <c r="A1936" s="6" t="s">
        <v>4039</v>
      </c>
      <c r="B1936" t="s">
        <v>6926</v>
      </c>
    </row>
    <row r="1937" spans="1:2" x14ac:dyDescent="0.3">
      <c r="A1937" s="6" t="s">
        <v>1359</v>
      </c>
      <c r="B1937" t="s">
        <v>3863</v>
      </c>
    </row>
    <row r="1938" spans="1:2" x14ac:dyDescent="0.3">
      <c r="A1938" s="6" t="s">
        <v>1601</v>
      </c>
      <c r="B1938" t="s">
        <v>8152</v>
      </c>
    </row>
    <row r="1939" spans="1:2" x14ac:dyDescent="0.3">
      <c r="A1939" s="6" t="s">
        <v>4040</v>
      </c>
      <c r="B1939" t="s">
        <v>7235</v>
      </c>
    </row>
    <row r="1940" spans="1:2" x14ac:dyDescent="0.3">
      <c r="A1940" s="6" t="s">
        <v>4041</v>
      </c>
      <c r="B1940" t="s">
        <v>7701</v>
      </c>
    </row>
    <row r="1941" spans="1:2" x14ac:dyDescent="0.3">
      <c r="A1941" s="6" t="s">
        <v>4042</v>
      </c>
      <c r="B1941" t="s">
        <v>7584</v>
      </c>
    </row>
    <row r="1942" spans="1:2" x14ac:dyDescent="0.3">
      <c r="A1942" s="6" t="s">
        <v>4043</v>
      </c>
      <c r="B1942" t="s">
        <v>7515</v>
      </c>
    </row>
    <row r="1943" spans="1:2" x14ac:dyDescent="0.3">
      <c r="A1943" s="6" t="s">
        <v>4044</v>
      </c>
      <c r="B1943" t="s">
        <v>6923</v>
      </c>
    </row>
    <row r="1944" spans="1:2" x14ac:dyDescent="0.3">
      <c r="A1944" s="6" t="s">
        <v>4045</v>
      </c>
      <c r="B1944" t="s">
        <v>6924</v>
      </c>
    </row>
    <row r="1945" spans="1:2" x14ac:dyDescent="0.3">
      <c r="A1945" s="6" t="s">
        <v>4046</v>
      </c>
      <c r="B1945" t="s">
        <v>6925</v>
      </c>
    </row>
    <row r="1946" spans="1:2" x14ac:dyDescent="0.3">
      <c r="A1946" s="6" t="s">
        <v>4047</v>
      </c>
      <c r="B1946" t="s">
        <v>7058</v>
      </c>
    </row>
    <row r="1947" spans="1:2" x14ac:dyDescent="0.3">
      <c r="A1947" s="6" t="s">
        <v>4048</v>
      </c>
      <c r="B1947" t="s">
        <v>7019</v>
      </c>
    </row>
    <row r="1948" spans="1:2" x14ac:dyDescent="0.3">
      <c r="A1948" s="6" t="s">
        <v>4049</v>
      </c>
      <c r="B1948" t="s">
        <v>7088</v>
      </c>
    </row>
    <row r="1949" spans="1:2" x14ac:dyDescent="0.3">
      <c r="A1949" s="6" t="s">
        <v>1602</v>
      </c>
      <c r="B1949" t="s">
        <v>8151</v>
      </c>
    </row>
    <row r="1950" spans="1:2" x14ac:dyDescent="0.3">
      <c r="A1950" s="6" t="s">
        <v>4050</v>
      </c>
      <c r="B1950" t="s">
        <v>7018</v>
      </c>
    </row>
    <row r="1951" spans="1:2" x14ac:dyDescent="0.3">
      <c r="A1951" s="6" t="s">
        <v>4051</v>
      </c>
      <c r="B1951" t="s">
        <v>7049</v>
      </c>
    </row>
    <row r="1952" spans="1:2" x14ac:dyDescent="0.3">
      <c r="A1952" s="6" t="s">
        <v>4052</v>
      </c>
      <c r="B1952" t="s">
        <v>6731</v>
      </c>
    </row>
    <row r="1953" spans="1:2" x14ac:dyDescent="0.3">
      <c r="A1953" s="6" t="s">
        <v>4053</v>
      </c>
      <c r="B1953" t="s">
        <v>6120</v>
      </c>
    </row>
    <row r="1954" spans="1:2" x14ac:dyDescent="0.3">
      <c r="A1954" s="6" t="s">
        <v>4054</v>
      </c>
      <c r="B1954" t="s">
        <v>5921</v>
      </c>
    </row>
    <row r="1955" spans="1:2" x14ac:dyDescent="0.3">
      <c r="A1955" s="6" t="s">
        <v>4055</v>
      </c>
      <c r="B1955" t="s">
        <v>5987</v>
      </c>
    </row>
    <row r="1956" spans="1:2" x14ac:dyDescent="0.3">
      <c r="A1956" s="6" t="s">
        <v>4056</v>
      </c>
      <c r="B1956" t="s">
        <v>5920</v>
      </c>
    </row>
    <row r="1957" spans="1:2" x14ac:dyDescent="0.3">
      <c r="A1957" s="6" t="s">
        <v>4057</v>
      </c>
      <c r="B1957" t="s">
        <v>5988</v>
      </c>
    </row>
    <row r="1958" spans="1:2" x14ac:dyDescent="0.3">
      <c r="A1958" s="6" t="s">
        <v>4058</v>
      </c>
      <c r="B1958" t="s">
        <v>5922</v>
      </c>
    </row>
    <row r="1959" spans="1:2" x14ac:dyDescent="0.3">
      <c r="A1959" s="6" t="s">
        <v>4059</v>
      </c>
      <c r="B1959" t="s">
        <v>6845</v>
      </c>
    </row>
    <row r="1960" spans="1:2" x14ac:dyDescent="0.3">
      <c r="A1960" s="6" t="s">
        <v>1603</v>
      </c>
      <c r="B1960" t="s">
        <v>2289</v>
      </c>
    </row>
    <row r="1961" spans="1:2" x14ac:dyDescent="0.3">
      <c r="A1961" s="6" t="s">
        <v>4060</v>
      </c>
      <c r="B1961" t="s">
        <v>6847</v>
      </c>
    </row>
    <row r="1962" spans="1:2" x14ac:dyDescent="0.3">
      <c r="A1962" s="6" t="s">
        <v>4061</v>
      </c>
      <c r="B1962" t="s">
        <v>3388</v>
      </c>
    </row>
    <row r="1963" spans="1:2" x14ac:dyDescent="0.3">
      <c r="A1963" s="6" t="s">
        <v>4062</v>
      </c>
      <c r="B1963" t="s">
        <v>3371</v>
      </c>
    </row>
    <row r="1964" spans="1:2" x14ac:dyDescent="0.3">
      <c r="A1964" s="6" t="s">
        <v>4063</v>
      </c>
      <c r="B1964" t="s">
        <v>7374</v>
      </c>
    </row>
    <row r="1965" spans="1:2" x14ac:dyDescent="0.3">
      <c r="A1965" s="6" t="s">
        <v>4064</v>
      </c>
      <c r="B1965" t="s">
        <v>5934</v>
      </c>
    </row>
    <row r="1966" spans="1:2" x14ac:dyDescent="0.3">
      <c r="A1966" s="6" t="s">
        <v>4065</v>
      </c>
      <c r="B1966" t="s">
        <v>3370</v>
      </c>
    </row>
    <row r="1967" spans="1:2" x14ac:dyDescent="0.3">
      <c r="A1967" s="6" t="s">
        <v>4066</v>
      </c>
      <c r="B1967" t="s">
        <v>7514</v>
      </c>
    </row>
    <row r="1968" spans="1:2" x14ac:dyDescent="0.3">
      <c r="A1968" s="6" t="s">
        <v>4067</v>
      </c>
      <c r="B1968" t="s">
        <v>6846</v>
      </c>
    </row>
    <row r="1969" spans="1:2" x14ac:dyDescent="0.3">
      <c r="A1969" s="6" t="s">
        <v>4068</v>
      </c>
      <c r="B1969" t="s">
        <v>6073</v>
      </c>
    </row>
    <row r="1970" spans="1:2" x14ac:dyDescent="0.3">
      <c r="A1970" s="6" t="s">
        <v>4069</v>
      </c>
      <c r="B1970" t="s">
        <v>6106</v>
      </c>
    </row>
    <row r="1971" spans="1:2" x14ac:dyDescent="0.3">
      <c r="A1971" s="6" t="s">
        <v>1604</v>
      </c>
      <c r="B1971" t="s">
        <v>8021</v>
      </c>
    </row>
    <row r="1972" spans="1:2" x14ac:dyDescent="0.3">
      <c r="A1972" s="6" t="s">
        <v>4070</v>
      </c>
      <c r="B1972" t="s">
        <v>6072</v>
      </c>
    </row>
    <row r="1973" spans="1:2" x14ac:dyDescent="0.3">
      <c r="A1973" s="6" t="s">
        <v>4071</v>
      </c>
      <c r="B1973" t="s">
        <v>6074</v>
      </c>
    </row>
    <row r="1974" spans="1:2" x14ac:dyDescent="0.3">
      <c r="A1974" s="6" t="s">
        <v>4072</v>
      </c>
      <c r="B1974" t="s">
        <v>4318</v>
      </c>
    </row>
    <row r="1975" spans="1:2" x14ac:dyDescent="0.3">
      <c r="A1975" s="6" t="s">
        <v>4073</v>
      </c>
      <c r="B1975" t="s">
        <v>5368</v>
      </c>
    </row>
    <row r="1976" spans="1:2" x14ac:dyDescent="0.3">
      <c r="A1976" s="6" t="s">
        <v>4074</v>
      </c>
      <c r="B1976" t="s">
        <v>6104</v>
      </c>
    </row>
    <row r="1977" spans="1:2" x14ac:dyDescent="0.3">
      <c r="A1977" s="6" t="s">
        <v>4075</v>
      </c>
      <c r="B1977" t="s">
        <v>6071</v>
      </c>
    </row>
    <row r="1978" spans="1:2" x14ac:dyDescent="0.3">
      <c r="A1978" s="6" t="s">
        <v>4076</v>
      </c>
      <c r="B1978" t="s">
        <v>4319</v>
      </c>
    </row>
    <row r="1979" spans="1:2" x14ac:dyDescent="0.3">
      <c r="A1979" s="6" t="s">
        <v>4077</v>
      </c>
      <c r="B1979" t="s">
        <v>5370</v>
      </c>
    </row>
    <row r="1980" spans="1:2" x14ac:dyDescent="0.3">
      <c r="A1980" s="6" t="s">
        <v>4078</v>
      </c>
      <c r="B1980" t="s">
        <v>4863</v>
      </c>
    </row>
    <row r="1981" spans="1:2" x14ac:dyDescent="0.3">
      <c r="A1981" s="6" t="s">
        <v>4079</v>
      </c>
      <c r="B1981" t="s">
        <v>4866</v>
      </c>
    </row>
    <row r="1982" spans="1:2" x14ac:dyDescent="0.3">
      <c r="A1982" s="6" t="s">
        <v>1605</v>
      </c>
      <c r="B1982" t="s">
        <v>3276</v>
      </c>
    </row>
    <row r="1983" spans="1:2" x14ac:dyDescent="0.3">
      <c r="A1983" s="6" t="s">
        <v>4080</v>
      </c>
      <c r="B1983" t="s">
        <v>5936</v>
      </c>
    </row>
    <row r="1984" spans="1:2" x14ac:dyDescent="0.3">
      <c r="A1984" s="6" t="s">
        <v>4081</v>
      </c>
      <c r="B1984" t="s">
        <v>4864</v>
      </c>
    </row>
    <row r="1985" spans="1:2" x14ac:dyDescent="0.3">
      <c r="A1985" s="6" t="s">
        <v>4082</v>
      </c>
      <c r="B1985" t="s">
        <v>4865</v>
      </c>
    </row>
    <row r="1986" spans="1:2" x14ac:dyDescent="0.3">
      <c r="A1986" s="6" t="s">
        <v>4083</v>
      </c>
      <c r="B1986" t="s">
        <v>4152</v>
      </c>
    </row>
    <row r="1987" spans="1:2" x14ac:dyDescent="0.3">
      <c r="A1987" s="6" t="s">
        <v>4084</v>
      </c>
      <c r="B1987" t="s">
        <v>1527</v>
      </c>
    </row>
    <row r="1988" spans="1:2" x14ac:dyDescent="0.3">
      <c r="A1988" s="6" t="s">
        <v>4085</v>
      </c>
      <c r="B1988" t="s">
        <v>1797</v>
      </c>
    </row>
    <row r="1989" spans="1:2" x14ac:dyDescent="0.3">
      <c r="A1989" s="6" t="s">
        <v>4086</v>
      </c>
      <c r="B1989" t="s">
        <v>6256</v>
      </c>
    </row>
    <row r="1990" spans="1:2" x14ac:dyDescent="0.3">
      <c r="A1990" s="6" t="s">
        <v>4087</v>
      </c>
      <c r="B1990" t="s">
        <v>6254</v>
      </c>
    </row>
    <row r="1991" spans="1:2" x14ac:dyDescent="0.3">
      <c r="A1991" s="6" t="s">
        <v>4088</v>
      </c>
      <c r="B1991" t="s">
        <v>7406</v>
      </c>
    </row>
    <row r="1992" spans="1:2" x14ac:dyDescent="0.3">
      <c r="A1992" s="6" t="s">
        <v>4089</v>
      </c>
      <c r="B1992" t="s">
        <v>5929</v>
      </c>
    </row>
    <row r="1993" spans="1:2" x14ac:dyDescent="0.3">
      <c r="A1993" s="6" t="s">
        <v>1606</v>
      </c>
      <c r="B1993" t="s">
        <v>2434</v>
      </c>
    </row>
    <row r="1994" spans="1:2" x14ac:dyDescent="0.3">
      <c r="A1994" s="6" t="s">
        <v>4090</v>
      </c>
      <c r="B1994" t="s">
        <v>8389</v>
      </c>
    </row>
    <row r="1995" spans="1:2" x14ac:dyDescent="0.3">
      <c r="A1995" s="6" t="s">
        <v>4091</v>
      </c>
      <c r="B1995" t="s">
        <v>6105</v>
      </c>
    </row>
    <row r="1996" spans="1:2" x14ac:dyDescent="0.3">
      <c r="A1996" s="6" t="s">
        <v>4092</v>
      </c>
      <c r="B1996" t="s">
        <v>7772</v>
      </c>
    </row>
    <row r="1997" spans="1:2" x14ac:dyDescent="0.3">
      <c r="A1997" s="6" t="s">
        <v>4093</v>
      </c>
      <c r="B1997" t="s">
        <v>7771</v>
      </c>
    </row>
    <row r="1998" spans="1:2" x14ac:dyDescent="0.3">
      <c r="A1998" s="6" t="s">
        <v>4094</v>
      </c>
      <c r="B1998" t="s">
        <v>7773</v>
      </c>
    </row>
    <row r="1999" spans="1:2" x14ac:dyDescent="0.3">
      <c r="A1999" s="6" t="s">
        <v>4095</v>
      </c>
      <c r="B1999" t="s">
        <v>5926</v>
      </c>
    </row>
    <row r="2000" spans="1:2" x14ac:dyDescent="0.3">
      <c r="A2000" s="6" t="s">
        <v>4096</v>
      </c>
      <c r="B2000" t="s">
        <v>6140</v>
      </c>
    </row>
    <row r="2001" spans="1:2" x14ac:dyDescent="0.3">
      <c r="A2001" s="6" t="s">
        <v>4097</v>
      </c>
      <c r="B2001" t="s">
        <v>7770</v>
      </c>
    </row>
    <row r="2002" spans="1:2" x14ac:dyDescent="0.3">
      <c r="A2002" s="6" t="s">
        <v>4098</v>
      </c>
      <c r="B2002" t="s">
        <v>7785</v>
      </c>
    </row>
    <row r="2003" spans="1:2" x14ac:dyDescent="0.3">
      <c r="A2003" s="6" t="s">
        <v>4099</v>
      </c>
      <c r="B2003" t="s">
        <v>5976</v>
      </c>
    </row>
    <row r="2004" spans="1:2" x14ac:dyDescent="0.3">
      <c r="A2004" s="6" t="s">
        <v>1607</v>
      </c>
      <c r="B2004" t="s">
        <v>8165</v>
      </c>
    </row>
    <row r="2005" spans="1:2" x14ac:dyDescent="0.3">
      <c r="A2005" s="6" t="s">
        <v>4100</v>
      </c>
      <c r="B2005" t="s">
        <v>6259</v>
      </c>
    </row>
    <row r="2006" spans="1:2" x14ac:dyDescent="0.3">
      <c r="A2006" s="6" t="s">
        <v>4101</v>
      </c>
      <c r="B2006" t="s">
        <v>5149</v>
      </c>
    </row>
    <row r="2007" spans="1:2" x14ac:dyDescent="0.3">
      <c r="A2007" s="6" t="s">
        <v>4102</v>
      </c>
      <c r="B2007" t="s">
        <v>6070</v>
      </c>
    </row>
    <row r="2008" spans="1:2" x14ac:dyDescent="0.3">
      <c r="A2008" s="6" t="s">
        <v>4103</v>
      </c>
      <c r="B2008" t="s">
        <v>6704</v>
      </c>
    </row>
    <row r="2009" spans="1:2" x14ac:dyDescent="0.3">
      <c r="A2009" s="6" t="s">
        <v>4104</v>
      </c>
      <c r="B2009" t="s">
        <v>6102</v>
      </c>
    </row>
    <row r="2010" spans="1:2" x14ac:dyDescent="0.3">
      <c r="A2010" s="6" t="s">
        <v>4105</v>
      </c>
      <c r="B2010" t="s">
        <v>6069</v>
      </c>
    </row>
    <row r="2011" spans="1:2" x14ac:dyDescent="0.3">
      <c r="A2011" s="6" t="s">
        <v>4106</v>
      </c>
      <c r="B2011" t="s">
        <v>6258</v>
      </c>
    </row>
    <row r="2012" spans="1:2" x14ac:dyDescent="0.3">
      <c r="A2012" s="6" t="s">
        <v>4107</v>
      </c>
      <c r="B2012" t="s">
        <v>7513</v>
      </c>
    </row>
    <row r="2013" spans="1:2" x14ac:dyDescent="0.3">
      <c r="A2013" s="6" t="s">
        <v>4108</v>
      </c>
      <c r="B2013" t="s">
        <v>5369</v>
      </c>
    </row>
    <row r="2014" spans="1:2" x14ac:dyDescent="0.3">
      <c r="A2014" s="6" t="s">
        <v>4109</v>
      </c>
      <c r="B2014" t="s">
        <v>4314</v>
      </c>
    </row>
    <row r="2015" spans="1:2" x14ac:dyDescent="0.3">
      <c r="A2015" s="6" t="s">
        <v>1608</v>
      </c>
      <c r="B2015" t="s">
        <v>3572</v>
      </c>
    </row>
    <row r="2016" spans="1:2" x14ac:dyDescent="0.3">
      <c r="A2016" s="6" t="s">
        <v>4110</v>
      </c>
      <c r="B2016" t="s">
        <v>5365</v>
      </c>
    </row>
    <row r="2017" spans="1:2" x14ac:dyDescent="0.3">
      <c r="A2017" s="6" t="s">
        <v>4111</v>
      </c>
      <c r="B2017" t="s">
        <v>4317</v>
      </c>
    </row>
    <row r="2018" spans="1:2" x14ac:dyDescent="0.3">
      <c r="A2018" s="6" t="s">
        <v>4112</v>
      </c>
      <c r="B2018" t="s">
        <v>4315</v>
      </c>
    </row>
    <row r="2019" spans="1:2" x14ac:dyDescent="0.3">
      <c r="A2019" s="6" t="s">
        <v>4113</v>
      </c>
      <c r="B2019" t="s">
        <v>5366</v>
      </c>
    </row>
    <row r="2020" spans="1:2" x14ac:dyDescent="0.3">
      <c r="A2020" s="6" t="s">
        <v>4114</v>
      </c>
      <c r="B2020" t="s">
        <v>5367</v>
      </c>
    </row>
    <row r="2021" spans="1:2" x14ac:dyDescent="0.3">
      <c r="A2021" s="6" t="s">
        <v>4115</v>
      </c>
      <c r="B2021" t="s">
        <v>4316</v>
      </c>
    </row>
    <row r="2022" spans="1:2" x14ac:dyDescent="0.3">
      <c r="A2022" s="6" t="s">
        <v>4116</v>
      </c>
      <c r="B2022" t="s">
        <v>6252</v>
      </c>
    </row>
    <row r="2023" spans="1:2" x14ac:dyDescent="0.3">
      <c r="A2023" s="6" t="s">
        <v>4117</v>
      </c>
      <c r="B2023" t="s">
        <v>6125</v>
      </c>
    </row>
    <row r="2024" spans="1:2" x14ac:dyDescent="0.3">
      <c r="A2024" s="6" t="s">
        <v>4118</v>
      </c>
      <c r="B2024" t="s">
        <v>6126</v>
      </c>
    </row>
    <row r="2025" spans="1:2" x14ac:dyDescent="0.3">
      <c r="A2025" s="6" t="s">
        <v>4119</v>
      </c>
      <c r="B2025" t="s">
        <v>6253</v>
      </c>
    </row>
    <row r="2026" spans="1:2" x14ac:dyDescent="0.3">
      <c r="A2026" s="6" t="s">
        <v>1609</v>
      </c>
      <c r="B2026" t="s">
        <v>1935</v>
      </c>
    </row>
    <row r="2027" spans="1:2" x14ac:dyDescent="0.3">
      <c r="A2027" s="6" t="s">
        <v>4120</v>
      </c>
      <c r="B2027" t="s">
        <v>6251</v>
      </c>
    </row>
    <row r="2028" spans="1:2" x14ac:dyDescent="0.3">
      <c r="A2028" s="6" t="s">
        <v>4121</v>
      </c>
      <c r="B2028" t="s">
        <v>6631</v>
      </c>
    </row>
    <row r="2029" spans="1:2" x14ac:dyDescent="0.3">
      <c r="A2029" s="6" t="s">
        <v>4122</v>
      </c>
      <c r="B2029" t="s">
        <v>5923</v>
      </c>
    </row>
    <row r="2030" spans="1:2" x14ac:dyDescent="0.3">
      <c r="A2030" s="6" t="s">
        <v>4123</v>
      </c>
      <c r="B2030" t="s">
        <v>7043</v>
      </c>
    </row>
    <row r="2031" spans="1:2" x14ac:dyDescent="0.3">
      <c r="A2031" s="6" t="s">
        <v>4124</v>
      </c>
      <c r="B2031" t="s">
        <v>7040</v>
      </c>
    </row>
    <row r="2032" spans="1:2" x14ac:dyDescent="0.3">
      <c r="A2032" s="6" t="s">
        <v>4125</v>
      </c>
      <c r="B2032" t="s">
        <v>7039</v>
      </c>
    </row>
    <row r="2033" spans="1:2" x14ac:dyDescent="0.3">
      <c r="A2033" s="6" t="s">
        <v>4126</v>
      </c>
      <c r="B2033" t="s">
        <v>7042</v>
      </c>
    </row>
    <row r="2034" spans="1:2" x14ac:dyDescent="0.3">
      <c r="A2034" s="6" t="s">
        <v>4127</v>
      </c>
      <c r="B2034" t="s">
        <v>7041</v>
      </c>
    </row>
    <row r="2035" spans="1:2" x14ac:dyDescent="0.3">
      <c r="A2035" s="6" t="s">
        <v>4128</v>
      </c>
      <c r="B2035" t="s">
        <v>7044</v>
      </c>
    </row>
    <row r="2036" spans="1:2" x14ac:dyDescent="0.3">
      <c r="A2036" s="6" t="s">
        <v>4129</v>
      </c>
      <c r="B2036" t="s">
        <v>7035</v>
      </c>
    </row>
    <row r="2037" spans="1:2" x14ac:dyDescent="0.3">
      <c r="A2037" s="6" t="s">
        <v>1610</v>
      </c>
      <c r="B2037" t="s">
        <v>1940</v>
      </c>
    </row>
    <row r="2038" spans="1:2" x14ac:dyDescent="0.3">
      <c r="A2038" s="6" t="s">
        <v>4130</v>
      </c>
      <c r="B2038" t="s">
        <v>7037</v>
      </c>
    </row>
    <row r="2039" spans="1:2" x14ac:dyDescent="0.3">
      <c r="A2039" s="6" t="s">
        <v>4131</v>
      </c>
      <c r="B2039" t="s">
        <v>7036</v>
      </c>
    </row>
    <row r="2040" spans="1:2" x14ac:dyDescent="0.3">
      <c r="A2040" s="6" t="s">
        <v>4132</v>
      </c>
      <c r="B2040" t="s">
        <v>7038</v>
      </c>
    </row>
    <row r="2041" spans="1:2" x14ac:dyDescent="0.3">
      <c r="A2041" s="6" t="s">
        <v>4133</v>
      </c>
      <c r="B2041" t="s">
        <v>8079</v>
      </c>
    </row>
    <row r="2042" spans="1:2" x14ac:dyDescent="0.3">
      <c r="A2042" s="6" t="s">
        <v>4134</v>
      </c>
      <c r="B2042" t="s">
        <v>2390</v>
      </c>
    </row>
    <row r="2043" spans="1:2" x14ac:dyDescent="0.3">
      <c r="A2043" s="6" t="s">
        <v>4135</v>
      </c>
      <c r="B2043" t="s">
        <v>2391</v>
      </c>
    </row>
    <row r="2044" spans="1:2" x14ac:dyDescent="0.3">
      <c r="A2044" s="6" t="s">
        <v>4136</v>
      </c>
      <c r="B2044" t="s">
        <v>2393</v>
      </c>
    </row>
    <row r="2045" spans="1:2" x14ac:dyDescent="0.3">
      <c r="A2045" s="6" t="s">
        <v>4137</v>
      </c>
      <c r="B2045" t="s">
        <v>2394</v>
      </c>
    </row>
    <row r="2046" spans="1:2" x14ac:dyDescent="0.3">
      <c r="A2046" s="6" t="s">
        <v>4138</v>
      </c>
      <c r="B2046" t="s">
        <v>8286</v>
      </c>
    </row>
    <row r="2047" spans="1:2" x14ac:dyDescent="0.3">
      <c r="A2047" s="6" t="s">
        <v>4139</v>
      </c>
      <c r="B2047" t="s">
        <v>2709</v>
      </c>
    </row>
    <row r="2048" spans="1:2" x14ac:dyDescent="0.3">
      <c r="A2048" s="6" t="s">
        <v>1360</v>
      </c>
      <c r="B2048" t="s">
        <v>3867</v>
      </c>
    </row>
    <row r="2049" spans="1:2" x14ac:dyDescent="0.3">
      <c r="A2049" s="6" t="s">
        <v>1611</v>
      </c>
      <c r="B2049" t="s">
        <v>1942</v>
      </c>
    </row>
    <row r="2050" spans="1:2" x14ac:dyDescent="0.3">
      <c r="A2050" s="6" t="s">
        <v>4140</v>
      </c>
      <c r="B2050" t="s">
        <v>6906</v>
      </c>
    </row>
    <row r="2051" spans="1:2" x14ac:dyDescent="0.3">
      <c r="A2051" s="6" t="s">
        <v>4141</v>
      </c>
      <c r="B2051" t="s">
        <v>3071</v>
      </c>
    </row>
    <row r="2052" spans="1:2" x14ac:dyDescent="0.3">
      <c r="A2052" s="6" t="s">
        <v>4142</v>
      </c>
      <c r="B2052" t="s">
        <v>7644</v>
      </c>
    </row>
    <row r="2053" spans="1:2" x14ac:dyDescent="0.3">
      <c r="A2053" s="6" t="s">
        <v>4143</v>
      </c>
      <c r="B2053" t="s">
        <v>7645</v>
      </c>
    </row>
    <row r="2054" spans="1:2" x14ac:dyDescent="0.3">
      <c r="A2054" s="6" t="s">
        <v>4144</v>
      </c>
      <c r="B2054" t="s">
        <v>6936</v>
      </c>
    </row>
    <row r="2055" spans="1:2" x14ac:dyDescent="0.3">
      <c r="A2055" s="6" t="s">
        <v>4145</v>
      </c>
      <c r="B2055" t="s">
        <v>7787</v>
      </c>
    </row>
    <row r="2056" spans="1:2" x14ac:dyDescent="0.3">
      <c r="A2056" s="6" t="s">
        <v>4146</v>
      </c>
      <c r="B2056" t="s">
        <v>7788</v>
      </c>
    </row>
    <row r="2057" spans="1:2" x14ac:dyDescent="0.3">
      <c r="A2057" s="6" t="s">
        <v>4147</v>
      </c>
      <c r="B2057" t="s">
        <v>7789</v>
      </c>
    </row>
    <row r="2058" spans="1:2" x14ac:dyDescent="0.3">
      <c r="A2058" s="6" t="s">
        <v>4148</v>
      </c>
      <c r="B2058" t="s">
        <v>8168</v>
      </c>
    </row>
    <row r="2059" spans="1:2" x14ac:dyDescent="0.3">
      <c r="A2059" s="6" t="s">
        <v>4149</v>
      </c>
      <c r="B2059" t="s">
        <v>8126</v>
      </c>
    </row>
    <row r="2060" spans="1:2" x14ac:dyDescent="0.3">
      <c r="A2060" s="6" t="s">
        <v>1612</v>
      </c>
      <c r="B2060" t="s">
        <v>1941</v>
      </c>
    </row>
    <row r="2061" spans="1:2" x14ac:dyDescent="0.3">
      <c r="A2061" s="6" t="s">
        <v>4150</v>
      </c>
      <c r="B2061" t="s">
        <v>6949</v>
      </c>
    </row>
    <row r="2062" spans="1:2" x14ac:dyDescent="0.3">
      <c r="A2062" s="6" t="s">
        <v>4151</v>
      </c>
      <c r="B2062" t="s">
        <v>6950</v>
      </c>
    </row>
    <row r="2063" spans="1:2" x14ac:dyDescent="0.3">
      <c r="A2063" s="6" t="s">
        <v>4152</v>
      </c>
      <c r="B2063" t="s">
        <v>7825</v>
      </c>
    </row>
    <row r="2064" spans="1:2" x14ac:dyDescent="0.3">
      <c r="A2064" s="6" t="s">
        <v>4153</v>
      </c>
      <c r="B2064" t="s">
        <v>2839</v>
      </c>
    </row>
    <row r="2065" spans="1:2" x14ac:dyDescent="0.3">
      <c r="A2065" s="6" t="s">
        <v>4154</v>
      </c>
      <c r="B2065" t="s">
        <v>3892</v>
      </c>
    </row>
    <row r="2066" spans="1:2" x14ac:dyDescent="0.3">
      <c r="A2066" s="6" t="s">
        <v>4155</v>
      </c>
      <c r="B2066" t="s">
        <v>5927</v>
      </c>
    </row>
    <row r="2067" spans="1:2" x14ac:dyDescent="0.3">
      <c r="A2067" s="6" t="s">
        <v>4156</v>
      </c>
      <c r="B2067" t="s">
        <v>7463</v>
      </c>
    </row>
    <row r="2068" spans="1:2" x14ac:dyDescent="0.3">
      <c r="A2068" s="6" t="s">
        <v>4157</v>
      </c>
      <c r="B2068" t="s">
        <v>7454</v>
      </c>
    </row>
    <row r="2069" spans="1:2" x14ac:dyDescent="0.3">
      <c r="A2069" s="6" t="s">
        <v>4158</v>
      </c>
      <c r="B2069" t="s">
        <v>4477</v>
      </c>
    </row>
    <row r="2070" spans="1:2" x14ac:dyDescent="0.3">
      <c r="A2070" s="6" t="s">
        <v>4159</v>
      </c>
      <c r="B2070" t="s">
        <v>4476</v>
      </c>
    </row>
    <row r="2071" spans="1:2" x14ac:dyDescent="0.3">
      <c r="A2071" s="6" t="s">
        <v>1613</v>
      </c>
      <c r="B2071" t="s">
        <v>4950</v>
      </c>
    </row>
    <row r="2072" spans="1:2" x14ac:dyDescent="0.3">
      <c r="A2072" s="6" t="s">
        <v>4160</v>
      </c>
      <c r="B2072" t="s">
        <v>6168</v>
      </c>
    </row>
    <row r="2073" spans="1:2" x14ac:dyDescent="0.3">
      <c r="A2073" s="6" t="s">
        <v>4161</v>
      </c>
      <c r="B2073" t="s">
        <v>6324</v>
      </c>
    </row>
    <row r="2074" spans="1:2" x14ac:dyDescent="0.3">
      <c r="A2074" s="6" t="s">
        <v>4162</v>
      </c>
      <c r="B2074" t="s">
        <v>6325</v>
      </c>
    </row>
    <row r="2075" spans="1:2" x14ac:dyDescent="0.3">
      <c r="A2075" s="6" t="s">
        <v>4163</v>
      </c>
      <c r="B2075" t="s">
        <v>8299</v>
      </c>
    </row>
    <row r="2076" spans="1:2" x14ac:dyDescent="0.3">
      <c r="A2076" s="6" t="s">
        <v>4164</v>
      </c>
      <c r="B2076" t="s">
        <v>7769</v>
      </c>
    </row>
    <row r="2077" spans="1:2" x14ac:dyDescent="0.3">
      <c r="A2077" s="6" t="s">
        <v>4165</v>
      </c>
      <c r="B2077" t="s">
        <v>7592</v>
      </c>
    </row>
    <row r="2078" spans="1:2" x14ac:dyDescent="0.3">
      <c r="A2078" s="6" t="s">
        <v>4166</v>
      </c>
      <c r="B2078" t="s">
        <v>7590</v>
      </c>
    </row>
    <row r="2079" spans="1:2" x14ac:dyDescent="0.3">
      <c r="A2079" s="6" t="s">
        <v>4167</v>
      </c>
      <c r="B2079" t="s">
        <v>7591</v>
      </c>
    </row>
    <row r="2080" spans="1:2" x14ac:dyDescent="0.3">
      <c r="A2080" s="6" t="s">
        <v>4168</v>
      </c>
      <c r="B2080" t="s">
        <v>7595</v>
      </c>
    </row>
    <row r="2081" spans="1:2" x14ac:dyDescent="0.3">
      <c r="A2081" s="6" t="s">
        <v>4169</v>
      </c>
      <c r="B2081" t="s">
        <v>7593</v>
      </c>
    </row>
    <row r="2082" spans="1:2" x14ac:dyDescent="0.3">
      <c r="A2082" s="6" t="s">
        <v>1614</v>
      </c>
      <c r="B2082" t="s">
        <v>3320</v>
      </c>
    </row>
    <row r="2083" spans="1:2" x14ac:dyDescent="0.3">
      <c r="A2083" s="6" t="s">
        <v>4170</v>
      </c>
      <c r="B2083" t="s">
        <v>7594</v>
      </c>
    </row>
    <row r="2084" spans="1:2" x14ac:dyDescent="0.3">
      <c r="A2084" s="6" t="s">
        <v>4171</v>
      </c>
      <c r="B2084" t="s">
        <v>7244</v>
      </c>
    </row>
    <row r="2085" spans="1:2" x14ac:dyDescent="0.3">
      <c r="A2085" s="6" t="s">
        <v>4172</v>
      </c>
      <c r="B2085" t="s">
        <v>6379</v>
      </c>
    </row>
    <row r="2086" spans="1:2" x14ac:dyDescent="0.3">
      <c r="A2086" s="6" t="s">
        <v>4173</v>
      </c>
      <c r="B2086" t="s">
        <v>6313</v>
      </c>
    </row>
    <row r="2087" spans="1:2" x14ac:dyDescent="0.3">
      <c r="A2087" s="6" t="s">
        <v>4174</v>
      </c>
      <c r="B2087" t="s">
        <v>5150</v>
      </c>
    </row>
    <row r="2088" spans="1:2" x14ac:dyDescent="0.3">
      <c r="A2088" s="6" t="s">
        <v>4175</v>
      </c>
      <c r="B2088" t="s">
        <v>5918</v>
      </c>
    </row>
    <row r="2089" spans="1:2" x14ac:dyDescent="0.3">
      <c r="A2089" s="6" t="s">
        <v>4176</v>
      </c>
      <c r="B2089" t="s">
        <v>5933</v>
      </c>
    </row>
    <row r="2090" spans="1:2" x14ac:dyDescent="0.3">
      <c r="A2090" s="6" t="s">
        <v>4177</v>
      </c>
      <c r="B2090" t="s">
        <v>5931</v>
      </c>
    </row>
    <row r="2091" spans="1:2" x14ac:dyDescent="0.3">
      <c r="A2091" s="6" t="s">
        <v>4178</v>
      </c>
      <c r="B2091" t="s">
        <v>5919</v>
      </c>
    </row>
    <row r="2092" spans="1:2" x14ac:dyDescent="0.3">
      <c r="A2092" s="6" t="s">
        <v>4179</v>
      </c>
      <c r="B2092" t="s">
        <v>5924</v>
      </c>
    </row>
    <row r="2093" spans="1:2" x14ac:dyDescent="0.3">
      <c r="A2093" s="6" t="s">
        <v>1615</v>
      </c>
      <c r="B2093" t="s">
        <v>1954</v>
      </c>
    </row>
    <row r="2094" spans="1:2" x14ac:dyDescent="0.3">
      <c r="A2094" s="6" t="s">
        <v>4180</v>
      </c>
      <c r="B2094" t="s">
        <v>5925</v>
      </c>
    </row>
    <row r="2095" spans="1:2" x14ac:dyDescent="0.3">
      <c r="A2095" s="6" t="s">
        <v>4181</v>
      </c>
      <c r="B2095" t="s">
        <v>7687</v>
      </c>
    </row>
    <row r="2096" spans="1:2" x14ac:dyDescent="0.3">
      <c r="A2096" s="6" t="s">
        <v>4182</v>
      </c>
      <c r="B2096" t="s">
        <v>5930</v>
      </c>
    </row>
    <row r="2097" spans="1:2" x14ac:dyDescent="0.3">
      <c r="A2097" s="6" t="s">
        <v>4183</v>
      </c>
      <c r="B2097" t="s">
        <v>5917</v>
      </c>
    </row>
    <row r="2098" spans="1:2" x14ac:dyDescent="0.3">
      <c r="A2098" s="6" t="s">
        <v>4184</v>
      </c>
      <c r="B2098" t="s">
        <v>7326</v>
      </c>
    </row>
    <row r="2099" spans="1:2" x14ac:dyDescent="0.3">
      <c r="A2099" s="6" t="s">
        <v>4185</v>
      </c>
      <c r="B2099" t="s">
        <v>4479</v>
      </c>
    </row>
    <row r="2100" spans="1:2" x14ac:dyDescent="0.3">
      <c r="A2100" s="6" t="s">
        <v>4186</v>
      </c>
      <c r="B2100" t="s">
        <v>6167</v>
      </c>
    </row>
    <row r="2101" spans="1:2" x14ac:dyDescent="0.3">
      <c r="A2101" s="6" t="s">
        <v>4187</v>
      </c>
      <c r="B2101" t="s">
        <v>4478</v>
      </c>
    </row>
    <row r="2102" spans="1:2" x14ac:dyDescent="0.3">
      <c r="A2102" s="6" t="s">
        <v>4188</v>
      </c>
      <c r="B2102" t="s">
        <v>4883</v>
      </c>
    </row>
    <row r="2103" spans="1:2" x14ac:dyDescent="0.3">
      <c r="A2103" s="6" t="s">
        <v>4189</v>
      </c>
      <c r="B2103" t="s">
        <v>4884</v>
      </c>
    </row>
    <row r="2104" spans="1:2" x14ac:dyDescent="0.3">
      <c r="A2104" s="6" t="s">
        <v>1616</v>
      </c>
      <c r="B2104" t="s">
        <v>1905</v>
      </c>
    </row>
    <row r="2105" spans="1:2" x14ac:dyDescent="0.3">
      <c r="A2105" s="6" t="s">
        <v>4190</v>
      </c>
      <c r="B2105" t="s">
        <v>4887</v>
      </c>
    </row>
    <row r="2106" spans="1:2" x14ac:dyDescent="0.3">
      <c r="A2106" s="6" t="s">
        <v>4191</v>
      </c>
      <c r="B2106" t="s">
        <v>4888</v>
      </c>
    </row>
    <row r="2107" spans="1:2" x14ac:dyDescent="0.3">
      <c r="A2107" s="6" t="s">
        <v>4192</v>
      </c>
      <c r="B2107" t="s">
        <v>6479</v>
      </c>
    </row>
    <row r="2108" spans="1:2" x14ac:dyDescent="0.3">
      <c r="A2108" s="6" t="s">
        <v>4193</v>
      </c>
      <c r="B2108" t="s">
        <v>6477</v>
      </c>
    </row>
    <row r="2109" spans="1:2" x14ac:dyDescent="0.3">
      <c r="A2109" s="6" t="s">
        <v>4194</v>
      </c>
      <c r="B2109" t="s">
        <v>6480</v>
      </c>
    </row>
    <row r="2110" spans="1:2" x14ac:dyDescent="0.3">
      <c r="A2110" s="6" t="s">
        <v>4195</v>
      </c>
      <c r="B2110" t="s">
        <v>6489</v>
      </c>
    </row>
    <row r="2111" spans="1:2" x14ac:dyDescent="0.3">
      <c r="A2111" s="6" t="s">
        <v>4196</v>
      </c>
      <c r="B2111" t="s">
        <v>6481</v>
      </c>
    </row>
    <row r="2112" spans="1:2" x14ac:dyDescent="0.3">
      <c r="A2112" s="6" t="s">
        <v>4197</v>
      </c>
      <c r="B2112" t="s">
        <v>6488</v>
      </c>
    </row>
    <row r="2113" spans="1:2" x14ac:dyDescent="0.3">
      <c r="A2113" s="6" t="s">
        <v>4198</v>
      </c>
      <c r="B2113" t="s">
        <v>6478</v>
      </c>
    </row>
    <row r="2114" spans="1:2" x14ac:dyDescent="0.3">
      <c r="A2114" s="6" t="s">
        <v>4199</v>
      </c>
      <c r="B2114" t="s">
        <v>6493</v>
      </c>
    </row>
    <row r="2115" spans="1:2" x14ac:dyDescent="0.3">
      <c r="A2115" s="6" t="s">
        <v>1617</v>
      </c>
      <c r="B2115" t="s">
        <v>6473</v>
      </c>
    </row>
    <row r="2116" spans="1:2" x14ac:dyDescent="0.3">
      <c r="A2116" s="6" t="s">
        <v>4200</v>
      </c>
      <c r="B2116" t="s">
        <v>6492</v>
      </c>
    </row>
    <row r="2117" spans="1:2" x14ac:dyDescent="0.3">
      <c r="A2117" s="6" t="s">
        <v>4201</v>
      </c>
      <c r="B2117" t="s">
        <v>7080</v>
      </c>
    </row>
    <row r="2118" spans="1:2" x14ac:dyDescent="0.3">
      <c r="A2118" s="6" t="s">
        <v>4202</v>
      </c>
      <c r="B2118" t="s">
        <v>6487</v>
      </c>
    </row>
    <row r="2119" spans="1:2" x14ac:dyDescent="0.3">
      <c r="A2119" s="6" t="s">
        <v>4203</v>
      </c>
      <c r="B2119" t="s">
        <v>6326</v>
      </c>
    </row>
    <row r="2120" spans="1:2" x14ac:dyDescent="0.3">
      <c r="A2120" s="6" t="s">
        <v>4204</v>
      </c>
      <c r="B2120" t="s">
        <v>6483</v>
      </c>
    </row>
    <row r="2121" spans="1:2" x14ac:dyDescent="0.3">
      <c r="A2121" s="6" t="s">
        <v>4205</v>
      </c>
      <c r="B2121" t="s">
        <v>6482</v>
      </c>
    </row>
    <row r="2122" spans="1:2" x14ac:dyDescent="0.3">
      <c r="A2122" s="6" t="s">
        <v>4206</v>
      </c>
      <c r="B2122" t="s">
        <v>6485</v>
      </c>
    </row>
    <row r="2123" spans="1:2" x14ac:dyDescent="0.3">
      <c r="A2123" s="6" t="s">
        <v>4207</v>
      </c>
      <c r="B2123" t="s">
        <v>6486</v>
      </c>
    </row>
    <row r="2124" spans="1:2" x14ac:dyDescent="0.3">
      <c r="A2124" s="6" t="s">
        <v>4208</v>
      </c>
      <c r="B2124" t="s">
        <v>6484</v>
      </c>
    </row>
    <row r="2125" spans="1:2" x14ac:dyDescent="0.3">
      <c r="A2125" s="6" t="s">
        <v>4209</v>
      </c>
      <c r="B2125" t="s">
        <v>6491</v>
      </c>
    </row>
    <row r="2126" spans="1:2" x14ac:dyDescent="0.3">
      <c r="A2126" s="6" t="s">
        <v>1618</v>
      </c>
      <c r="B2126" t="s">
        <v>8660</v>
      </c>
    </row>
    <row r="2127" spans="1:2" x14ac:dyDescent="0.3">
      <c r="A2127" s="6" t="s">
        <v>4210</v>
      </c>
      <c r="B2127" t="s">
        <v>6490</v>
      </c>
    </row>
    <row r="2128" spans="1:2" x14ac:dyDescent="0.3">
      <c r="A2128" s="6" t="s">
        <v>4211</v>
      </c>
      <c r="B2128" t="s">
        <v>6494</v>
      </c>
    </row>
    <row r="2129" spans="1:2" x14ac:dyDescent="0.3">
      <c r="A2129" s="6" t="s">
        <v>4212</v>
      </c>
      <c r="B2129" t="s">
        <v>6301</v>
      </c>
    </row>
    <row r="2130" spans="1:2" x14ac:dyDescent="0.3">
      <c r="A2130" s="6" t="s">
        <v>4213</v>
      </c>
      <c r="B2130" t="s">
        <v>6514</v>
      </c>
    </row>
    <row r="2131" spans="1:2" x14ac:dyDescent="0.3">
      <c r="A2131" s="6" t="s">
        <v>4214</v>
      </c>
      <c r="B2131" t="s">
        <v>6565</v>
      </c>
    </row>
    <row r="2132" spans="1:2" x14ac:dyDescent="0.3">
      <c r="A2132" s="6" t="s">
        <v>4215</v>
      </c>
      <c r="B2132" t="s">
        <v>6161</v>
      </c>
    </row>
    <row r="2133" spans="1:2" x14ac:dyDescent="0.3">
      <c r="A2133" s="6" t="s">
        <v>4216</v>
      </c>
      <c r="B2133" t="s">
        <v>6160</v>
      </c>
    </row>
    <row r="2134" spans="1:2" x14ac:dyDescent="0.3">
      <c r="A2134" s="6" t="s">
        <v>4217</v>
      </c>
      <c r="B2134" t="s">
        <v>8664</v>
      </c>
    </row>
    <row r="2135" spans="1:2" x14ac:dyDescent="0.3">
      <c r="A2135" s="6" t="s">
        <v>4218</v>
      </c>
      <c r="B2135" t="s">
        <v>8665</v>
      </c>
    </row>
    <row r="2136" spans="1:2" x14ac:dyDescent="0.3">
      <c r="A2136" s="6" t="s">
        <v>4219</v>
      </c>
      <c r="B2136" t="s">
        <v>8682</v>
      </c>
    </row>
    <row r="2137" spans="1:2" x14ac:dyDescent="0.3">
      <c r="A2137" s="6" t="s">
        <v>1619</v>
      </c>
      <c r="B2137" t="s">
        <v>1987</v>
      </c>
    </row>
    <row r="2138" spans="1:2" x14ac:dyDescent="0.3">
      <c r="A2138" s="6" t="s">
        <v>4220</v>
      </c>
      <c r="B2138" t="s">
        <v>8662</v>
      </c>
    </row>
    <row r="2139" spans="1:2" x14ac:dyDescent="0.3">
      <c r="A2139" s="6" t="s">
        <v>4221</v>
      </c>
      <c r="B2139" t="s">
        <v>8696</v>
      </c>
    </row>
    <row r="2140" spans="1:2" x14ac:dyDescent="0.3">
      <c r="A2140" s="6" t="s">
        <v>4222</v>
      </c>
      <c r="B2140" t="s">
        <v>8663</v>
      </c>
    </row>
    <row r="2141" spans="1:2" x14ac:dyDescent="0.3">
      <c r="A2141" s="6" t="s">
        <v>4223</v>
      </c>
      <c r="B2141" t="s">
        <v>7774</v>
      </c>
    </row>
    <row r="2142" spans="1:2" x14ac:dyDescent="0.3">
      <c r="A2142" s="6" t="s">
        <v>4224</v>
      </c>
      <c r="B2142" t="s">
        <v>6265</v>
      </c>
    </row>
    <row r="2143" spans="1:2" x14ac:dyDescent="0.3">
      <c r="A2143" s="6" t="s">
        <v>4225</v>
      </c>
      <c r="B2143" t="s">
        <v>6122</v>
      </c>
    </row>
    <row r="2144" spans="1:2" x14ac:dyDescent="0.3">
      <c r="A2144" s="6" t="s">
        <v>4226</v>
      </c>
      <c r="B2144" t="s">
        <v>6123</v>
      </c>
    </row>
    <row r="2145" spans="1:2" x14ac:dyDescent="0.3">
      <c r="A2145" s="6" t="s">
        <v>4227</v>
      </c>
      <c r="B2145" t="s">
        <v>6169</v>
      </c>
    </row>
    <row r="2146" spans="1:2" x14ac:dyDescent="0.3">
      <c r="A2146" s="6" t="s">
        <v>4228</v>
      </c>
      <c r="B2146" t="s">
        <v>5935</v>
      </c>
    </row>
    <row r="2147" spans="1:2" x14ac:dyDescent="0.3">
      <c r="A2147" s="6" t="s">
        <v>4229</v>
      </c>
      <c r="B2147" t="s">
        <v>5989</v>
      </c>
    </row>
    <row r="2148" spans="1:2" x14ac:dyDescent="0.3">
      <c r="A2148" s="6" t="s">
        <v>1620</v>
      </c>
      <c r="B2148" t="s">
        <v>8659</v>
      </c>
    </row>
    <row r="2149" spans="1:2" x14ac:dyDescent="0.3">
      <c r="A2149" s="6" t="s">
        <v>4230</v>
      </c>
      <c r="B2149" t="s">
        <v>6142</v>
      </c>
    </row>
    <row r="2150" spans="1:2" x14ac:dyDescent="0.3">
      <c r="A2150" s="6" t="s">
        <v>4231</v>
      </c>
      <c r="B2150" t="s">
        <v>5932</v>
      </c>
    </row>
    <row r="2151" spans="1:2" x14ac:dyDescent="0.3">
      <c r="A2151" s="6" t="s">
        <v>4232</v>
      </c>
      <c r="B2151" t="s">
        <v>4270</v>
      </c>
    </row>
    <row r="2152" spans="1:2" x14ac:dyDescent="0.3">
      <c r="A2152" s="6" t="s">
        <v>4233</v>
      </c>
      <c r="B2152" t="s">
        <v>3471</v>
      </c>
    </row>
    <row r="2153" spans="1:2" x14ac:dyDescent="0.3">
      <c r="A2153" s="6" t="s">
        <v>4234</v>
      </c>
      <c r="B2153" t="s">
        <v>5338</v>
      </c>
    </row>
    <row r="2154" spans="1:2" x14ac:dyDescent="0.3">
      <c r="A2154" s="6" t="s">
        <v>4235</v>
      </c>
      <c r="B2154" t="s">
        <v>2661</v>
      </c>
    </row>
    <row r="2155" spans="1:2" x14ac:dyDescent="0.3">
      <c r="A2155" s="6" t="s">
        <v>4236</v>
      </c>
      <c r="B2155" t="s">
        <v>4889</v>
      </c>
    </row>
    <row r="2156" spans="1:2" x14ac:dyDescent="0.3">
      <c r="A2156" s="6" t="s">
        <v>4237</v>
      </c>
      <c r="B2156" t="s">
        <v>4890</v>
      </c>
    </row>
    <row r="2157" spans="1:2" x14ac:dyDescent="0.3">
      <c r="A2157" s="6" t="s">
        <v>4238</v>
      </c>
      <c r="B2157" t="s">
        <v>4891</v>
      </c>
    </row>
    <row r="2158" spans="1:2" x14ac:dyDescent="0.3">
      <c r="A2158" s="6" t="s">
        <v>4239</v>
      </c>
      <c r="B2158" t="s">
        <v>8649</v>
      </c>
    </row>
    <row r="2159" spans="1:2" x14ac:dyDescent="0.3">
      <c r="A2159" s="6" t="s">
        <v>1361</v>
      </c>
      <c r="B2159" t="s">
        <v>3866</v>
      </c>
    </row>
    <row r="2160" spans="1:2" x14ac:dyDescent="0.3">
      <c r="A2160" s="6" t="s">
        <v>1621</v>
      </c>
      <c r="B2160" t="s">
        <v>3654</v>
      </c>
    </row>
    <row r="2161" spans="1:2" x14ac:dyDescent="0.3">
      <c r="A2161" s="6" t="s">
        <v>4240</v>
      </c>
      <c r="B2161" t="s">
        <v>7199</v>
      </c>
    </row>
    <row r="2162" spans="1:2" x14ac:dyDescent="0.3">
      <c r="A2162" s="6" t="s">
        <v>4241</v>
      </c>
      <c r="B2162" t="s">
        <v>6698</v>
      </c>
    </row>
    <row r="2163" spans="1:2" x14ac:dyDescent="0.3">
      <c r="A2163" s="6" t="s">
        <v>4242</v>
      </c>
      <c r="B2163" t="s">
        <v>7857</v>
      </c>
    </row>
    <row r="2164" spans="1:2" x14ac:dyDescent="0.3">
      <c r="A2164" s="6" t="s">
        <v>4243</v>
      </c>
      <c r="B2164" t="s">
        <v>5482</v>
      </c>
    </row>
    <row r="2165" spans="1:2" x14ac:dyDescent="0.3">
      <c r="A2165" s="6" t="s">
        <v>4244</v>
      </c>
      <c r="B2165" t="s">
        <v>7204</v>
      </c>
    </row>
    <row r="2166" spans="1:2" x14ac:dyDescent="0.3">
      <c r="A2166" s="6" t="s">
        <v>4245</v>
      </c>
      <c r="B2166" t="s">
        <v>7198</v>
      </c>
    </row>
    <row r="2167" spans="1:2" x14ac:dyDescent="0.3">
      <c r="A2167" s="6" t="s">
        <v>4246</v>
      </c>
      <c r="B2167" t="s">
        <v>8109</v>
      </c>
    </row>
    <row r="2168" spans="1:2" x14ac:dyDescent="0.3">
      <c r="A2168" s="6" t="s">
        <v>4247</v>
      </c>
      <c r="B2168" t="s">
        <v>7861</v>
      </c>
    </row>
    <row r="2169" spans="1:2" x14ac:dyDescent="0.3">
      <c r="A2169" s="6" t="s">
        <v>4248</v>
      </c>
      <c r="B2169" t="s">
        <v>7030</v>
      </c>
    </row>
    <row r="2170" spans="1:2" x14ac:dyDescent="0.3">
      <c r="A2170" s="6" t="s">
        <v>4249</v>
      </c>
      <c r="B2170" t="s">
        <v>8290</v>
      </c>
    </row>
    <row r="2171" spans="1:2" x14ac:dyDescent="0.3">
      <c r="A2171" s="6" t="s">
        <v>1622</v>
      </c>
      <c r="B2171" t="s">
        <v>1952</v>
      </c>
    </row>
    <row r="2172" spans="1:2" x14ac:dyDescent="0.3">
      <c r="A2172" s="6" t="s">
        <v>4250</v>
      </c>
      <c r="B2172" t="s">
        <v>8288</v>
      </c>
    </row>
    <row r="2173" spans="1:2" x14ac:dyDescent="0.3">
      <c r="A2173" s="6" t="s">
        <v>4251</v>
      </c>
      <c r="B2173" t="s">
        <v>8289</v>
      </c>
    </row>
    <row r="2174" spans="1:2" x14ac:dyDescent="0.3">
      <c r="A2174" s="6" t="s">
        <v>4252</v>
      </c>
      <c r="B2174" t="s">
        <v>7806</v>
      </c>
    </row>
    <row r="2175" spans="1:2" x14ac:dyDescent="0.3">
      <c r="A2175" s="6" t="s">
        <v>4253</v>
      </c>
      <c r="B2175" t="s">
        <v>7805</v>
      </c>
    </row>
    <row r="2176" spans="1:2" x14ac:dyDescent="0.3">
      <c r="A2176" s="6" t="s">
        <v>4254</v>
      </c>
      <c r="B2176" t="s">
        <v>6236</v>
      </c>
    </row>
    <row r="2177" spans="1:2" x14ac:dyDescent="0.3">
      <c r="A2177" s="6" t="s">
        <v>4255</v>
      </c>
      <c r="B2177" t="s">
        <v>7853</v>
      </c>
    </row>
    <row r="2178" spans="1:2" x14ac:dyDescent="0.3">
      <c r="A2178" s="6" t="s">
        <v>4256</v>
      </c>
      <c r="B2178" t="s">
        <v>3853</v>
      </c>
    </row>
    <row r="2179" spans="1:2" x14ac:dyDescent="0.3">
      <c r="A2179" s="6" t="s">
        <v>4257</v>
      </c>
      <c r="B2179" t="s">
        <v>3850</v>
      </c>
    </row>
    <row r="2180" spans="1:2" x14ac:dyDescent="0.3">
      <c r="A2180" s="6" t="s">
        <v>4258</v>
      </c>
      <c r="B2180" t="s">
        <v>3009</v>
      </c>
    </row>
    <row r="2181" spans="1:2" x14ac:dyDescent="0.3">
      <c r="A2181" s="6" t="s">
        <v>4259</v>
      </c>
      <c r="B2181" t="s">
        <v>3858</v>
      </c>
    </row>
    <row r="2182" spans="1:2" x14ac:dyDescent="0.3">
      <c r="A2182" s="6" t="s">
        <v>1623</v>
      </c>
      <c r="B2182" t="s">
        <v>7577</v>
      </c>
    </row>
    <row r="2183" spans="1:2" x14ac:dyDescent="0.3">
      <c r="A2183" s="6" t="s">
        <v>4260</v>
      </c>
      <c r="B2183" t="s">
        <v>3010</v>
      </c>
    </row>
    <row r="2184" spans="1:2" x14ac:dyDescent="0.3">
      <c r="A2184" s="6" t="s">
        <v>4261</v>
      </c>
      <c r="B2184" t="s">
        <v>3854</v>
      </c>
    </row>
    <row r="2185" spans="1:2" x14ac:dyDescent="0.3">
      <c r="A2185" s="6" t="s">
        <v>4262</v>
      </c>
      <c r="B2185" t="s">
        <v>3851</v>
      </c>
    </row>
    <row r="2186" spans="1:2" x14ac:dyDescent="0.3">
      <c r="A2186" s="6" t="s">
        <v>4263</v>
      </c>
      <c r="B2186" t="s">
        <v>3859</v>
      </c>
    </row>
    <row r="2187" spans="1:2" x14ac:dyDescent="0.3">
      <c r="A2187" s="6" t="s">
        <v>4264</v>
      </c>
      <c r="B2187" t="s">
        <v>3011</v>
      </c>
    </row>
    <row r="2188" spans="1:2" x14ac:dyDescent="0.3">
      <c r="A2188" s="6" t="s">
        <v>4265</v>
      </c>
      <c r="B2188" t="s">
        <v>3012</v>
      </c>
    </row>
    <row r="2189" spans="1:2" x14ac:dyDescent="0.3">
      <c r="A2189" s="6" t="s">
        <v>4266</v>
      </c>
      <c r="B2189" t="s">
        <v>3852</v>
      </c>
    </row>
    <row r="2190" spans="1:2" x14ac:dyDescent="0.3">
      <c r="A2190" s="6" t="s">
        <v>4267</v>
      </c>
      <c r="B2190" t="s">
        <v>3839</v>
      </c>
    </row>
    <row r="2191" spans="1:2" x14ac:dyDescent="0.3">
      <c r="A2191" s="6" t="s">
        <v>4268</v>
      </c>
      <c r="B2191" t="s">
        <v>3013</v>
      </c>
    </row>
    <row r="2192" spans="1:2" x14ac:dyDescent="0.3">
      <c r="A2192" s="6" t="s">
        <v>4269</v>
      </c>
      <c r="B2192" t="s">
        <v>3857</v>
      </c>
    </row>
    <row r="2193" spans="1:2" x14ac:dyDescent="0.3">
      <c r="A2193" s="6" t="s">
        <v>1625</v>
      </c>
      <c r="B2193" t="s">
        <v>7578</v>
      </c>
    </row>
    <row r="2194" spans="1:2" x14ac:dyDescent="0.3">
      <c r="A2194" s="6" t="s">
        <v>4270</v>
      </c>
      <c r="B2194" t="s">
        <v>3856</v>
      </c>
    </row>
    <row r="2195" spans="1:2" x14ac:dyDescent="0.3">
      <c r="A2195" s="6" t="s">
        <v>4271</v>
      </c>
      <c r="B2195" t="s">
        <v>3448</v>
      </c>
    </row>
    <row r="2196" spans="1:2" x14ac:dyDescent="0.3">
      <c r="A2196" s="6" t="s">
        <v>4272</v>
      </c>
      <c r="B2196" t="s">
        <v>2110</v>
      </c>
    </row>
    <row r="2197" spans="1:2" x14ac:dyDescent="0.3">
      <c r="A2197" s="6" t="s">
        <v>4273</v>
      </c>
      <c r="B2197" t="s">
        <v>4192</v>
      </c>
    </row>
    <row r="2198" spans="1:2" x14ac:dyDescent="0.3">
      <c r="A2198" s="6" t="s">
        <v>4274</v>
      </c>
      <c r="B2198" t="s">
        <v>6165</v>
      </c>
    </row>
    <row r="2199" spans="1:2" x14ac:dyDescent="0.3">
      <c r="A2199" s="6" t="s">
        <v>4275</v>
      </c>
      <c r="B2199" t="s">
        <v>6164</v>
      </c>
    </row>
    <row r="2200" spans="1:2" x14ac:dyDescent="0.3">
      <c r="A2200" s="6" t="s">
        <v>4276</v>
      </c>
      <c r="B2200" t="s">
        <v>4189</v>
      </c>
    </row>
    <row r="2201" spans="1:2" x14ac:dyDescent="0.3">
      <c r="A2201" s="6" t="s">
        <v>4277</v>
      </c>
      <c r="B2201" t="s">
        <v>3208</v>
      </c>
    </row>
    <row r="2202" spans="1:2" x14ac:dyDescent="0.3">
      <c r="A2202" s="6" t="s">
        <v>4278</v>
      </c>
      <c r="B2202" t="s">
        <v>3861</v>
      </c>
    </row>
    <row r="2203" spans="1:2" x14ac:dyDescent="0.3">
      <c r="A2203" s="6" t="s">
        <v>4279</v>
      </c>
      <c r="B2203" t="s">
        <v>7202</v>
      </c>
    </row>
    <row r="2204" spans="1:2" x14ac:dyDescent="0.3">
      <c r="A2204" s="6" t="s">
        <v>1627</v>
      </c>
      <c r="B2204" t="s">
        <v>7570</v>
      </c>
    </row>
    <row r="2205" spans="1:2" x14ac:dyDescent="0.3">
      <c r="A2205" s="6" t="s">
        <v>4280</v>
      </c>
      <c r="B2205" t="s">
        <v>7203</v>
      </c>
    </row>
    <row r="2206" spans="1:2" x14ac:dyDescent="0.3">
      <c r="A2206" s="6" t="s">
        <v>4281</v>
      </c>
      <c r="B2206" t="s">
        <v>6745</v>
      </c>
    </row>
    <row r="2207" spans="1:2" x14ac:dyDescent="0.3">
      <c r="A2207" s="6" t="s">
        <v>4282</v>
      </c>
      <c r="B2207" t="s">
        <v>8301</v>
      </c>
    </row>
    <row r="2208" spans="1:2" x14ac:dyDescent="0.3">
      <c r="A2208" s="6" t="s">
        <v>4283</v>
      </c>
      <c r="B2208" t="s">
        <v>7854</v>
      </c>
    </row>
    <row r="2209" spans="1:2" x14ac:dyDescent="0.3">
      <c r="A2209" s="6" t="s">
        <v>4284</v>
      </c>
      <c r="B2209" t="s">
        <v>7896</v>
      </c>
    </row>
    <row r="2210" spans="1:2" x14ac:dyDescent="0.3">
      <c r="A2210" s="6" t="s">
        <v>4285</v>
      </c>
      <c r="B2210" t="s">
        <v>8171</v>
      </c>
    </row>
    <row r="2211" spans="1:2" x14ac:dyDescent="0.3">
      <c r="A2211" s="6" t="s">
        <v>4286</v>
      </c>
      <c r="B2211" t="s">
        <v>7786</v>
      </c>
    </row>
    <row r="2212" spans="1:2" x14ac:dyDescent="0.3">
      <c r="A2212" s="6" t="s">
        <v>4287</v>
      </c>
      <c r="B2212" t="s">
        <v>8028</v>
      </c>
    </row>
    <row r="2213" spans="1:2" x14ac:dyDescent="0.3">
      <c r="A2213" s="6" t="s">
        <v>4288</v>
      </c>
      <c r="B2213" t="s">
        <v>6744</v>
      </c>
    </row>
    <row r="2214" spans="1:2" x14ac:dyDescent="0.3">
      <c r="A2214" s="6" t="s">
        <v>4289</v>
      </c>
      <c r="B2214" t="s">
        <v>6730</v>
      </c>
    </row>
    <row r="2215" spans="1:2" x14ac:dyDescent="0.3">
      <c r="A2215" s="6" t="s">
        <v>1628</v>
      </c>
      <c r="B2215" t="s">
        <v>6277</v>
      </c>
    </row>
    <row r="2216" spans="1:2" x14ac:dyDescent="0.3">
      <c r="A2216" s="6" t="s">
        <v>4290</v>
      </c>
      <c r="B2216" t="s">
        <v>8672</v>
      </c>
    </row>
    <row r="2217" spans="1:2" x14ac:dyDescent="0.3">
      <c r="A2217" s="6" t="s">
        <v>4291</v>
      </c>
      <c r="B2217" t="s">
        <v>6964</v>
      </c>
    </row>
    <row r="2218" spans="1:2" x14ac:dyDescent="0.3">
      <c r="A2218" s="6" t="s">
        <v>4292</v>
      </c>
      <c r="B2218" t="s">
        <v>8310</v>
      </c>
    </row>
    <row r="2219" spans="1:2" x14ac:dyDescent="0.3">
      <c r="A2219" s="6" t="s">
        <v>4293</v>
      </c>
      <c r="B2219" t="s">
        <v>8311</v>
      </c>
    </row>
    <row r="2220" spans="1:2" x14ac:dyDescent="0.3">
      <c r="A2220" s="6" t="s">
        <v>4294</v>
      </c>
      <c r="B2220" t="s">
        <v>6960</v>
      </c>
    </row>
    <row r="2221" spans="1:2" x14ac:dyDescent="0.3">
      <c r="A2221" s="6" t="s">
        <v>4295</v>
      </c>
      <c r="B2221" t="s">
        <v>8453</v>
      </c>
    </row>
    <row r="2222" spans="1:2" x14ac:dyDescent="0.3">
      <c r="A2222" s="6" t="s">
        <v>4296</v>
      </c>
      <c r="B2222" t="s">
        <v>8450</v>
      </c>
    </row>
    <row r="2223" spans="1:2" x14ac:dyDescent="0.3">
      <c r="A2223" s="6" t="s">
        <v>4297</v>
      </c>
      <c r="B2223" t="s">
        <v>8451</v>
      </c>
    </row>
    <row r="2224" spans="1:2" x14ac:dyDescent="0.3">
      <c r="A2224" s="6" t="s">
        <v>4298</v>
      </c>
      <c r="B2224" t="s">
        <v>8454</v>
      </c>
    </row>
    <row r="2225" spans="1:2" x14ac:dyDescent="0.3">
      <c r="A2225" s="6" t="s">
        <v>4299</v>
      </c>
      <c r="B2225" t="s">
        <v>8452</v>
      </c>
    </row>
    <row r="2226" spans="1:2" x14ac:dyDescent="0.3">
      <c r="A2226" s="6" t="s">
        <v>1629</v>
      </c>
      <c r="B2226" t="s">
        <v>6278</v>
      </c>
    </row>
    <row r="2227" spans="1:2" x14ac:dyDescent="0.3">
      <c r="A2227" s="6" t="s">
        <v>4300</v>
      </c>
      <c r="B2227" t="s">
        <v>8448</v>
      </c>
    </row>
    <row r="2228" spans="1:2" x14ac:dyDescent="0.3">
      <c r="A2228" s="6" t="s">
        <v>4301</v>
      </c>
      <c r="B2228" t="s">
        <v>8449</v>
      </c>
    </row>
    <row r="2229" spans="1:2" x14ac:dyDescent="0.3">
      <c r="A2229" s="6" t="s">
        <v>4302</v>
      </c>
      <c r="B2229" t="s">
        <v>7478</v>
      </c>
    </row>
    <row r="2230" spans="1:2" x14ac:dyDescent="0.3">
      <c r="A2230" s="6" t="s">
        <v>4303</v>
      </c>
      <c r="B2230" t="s">
        <v>5192</v>
      </c>
    </row>
    <row r="2231" spans="1:2" x14ac:dyDescent="0.3">
      <c r="A2231" s="6" t="s">
        <v>4304</v>
      </c>
      <c r="B2231" t="s">
        <v>5192</v>
      </c>
    </row>
    <row r="2232" spans="1:2" x14ac:dyDescent="0.3">
      <c r="A2232" s="6" t="s">
        <v>4305</v>
      </c>
      <c r="B2232" t="s">
        <v>5193</v>
      </c>
    </row>
    <row r="2233" spans="1:2" x14ac:dyDescent="0.3">
      <c r="A2233" s="6" t="s">
        <v>4306</v>
      </c>
      <c r="B2233" t="s">
        <v>5193</v>
      </c>
    </row>
    <row r="2234" spans="1:2" x14ac:dyDescent="0.3">
      <c r="A2234" s="6" t="s">
        <v>4307</v>
      </c>
      <c r="B2234" t="s">
        <v>6273</v>
      </c>
    </row>
    <row r="2235" spans="1:2" x14ac:dyDescent="0.3">
      <c r="A2235" s="6" t="s">
        <v>4308</v>
      </c>
      <c r="B2235" t="s">
        <v>6273</v>
      </c>
    </row>
    <row r="2236" spans="1:2" x14ac:dyDescent="0.3">
      <c r="A2236" s="6" t="s">
        <v>4309</v>
      </c>
      <c r="B2236" t="s">
        <v>6239</v>
      </c>
    </row>
    <row r="2237" spans="1:2" x14ac:dyDescent="0.3">
      <c r="A2237" s="6" t="s">
        <v>1630</v>
      </c>
      <c r="B2237" t="s">
        <v>3284</v>
      </c>
    </row>
    <row r="2238" spans="1:2" x14ac:dyDescent="0.3">
      <c r="A2238" s="6" t="s">
        <v>4310</v>
      </c>
      <c r="B2238" t="s">
        <v>6239</v>
      </c>
    </row>
    <row r="2239" spans="1:2" x14ac:dyDescent="0.3">
      <c r="A2239" s="6" t="s">
        <v>4311</v>
      </c>
      <c r="B2239" t="s">
        <v>4311</v>
      </c>
    </row>
    <row r="2240" spans="1:2" x14ac:dyDescent="0.3">
      <c r="A2240" s="6" t="s">
        <v>4312</v>
      </c>
      <c r="B2240" t="s">
        <v>4312</v>
      </c>
    </row>
    <row r="2241" spans="1:2" x14ac:dyDescent="0.3">
      <c r="A2241" s="6" t="s">
        <v>4313</v>
      </c>
      <c r="B2241" t="s">
        <v>5881</v>
      </c>
    </row>
    <row r="2242" spans="1:2" x14ac:dyDescent="0.3">
      <c r="A2242" s="11" t="s">
        <v>4314</v>
      </c>
      <c r="B2242" t="s">
        <v>5881</v>
      </c>
    </row>
    <row r="2243" spans="1:2" x14ac:dyDescent="0.3">
      <c r="A2243" s="6" t="s">
        <v>4315</v>
      </c>
      <c r="B2243" t="s">
        <v>4315</v>
      </c>
    </row>
    <row r="2244" spans="1:2" x14ac:dyDescent="0.3">
      <c r="A2244" s="11" t="s">
        <v>4316</v>
      </c>
      <c r="B2244" t="s">
        <v>5881</v>
      </c>
    </row>
    <row r="2245" spans="1:2" x14ac:dyDescent="0.3">
      <c r="A2245" s="11" t="s">
        <v>4317</v>
      </c>
      <c r="B2245" t="s">
        <v>5881</v>
      </c>
    </row>
    <row r="2246" spans="1:2" x14ac:dyDescent="0.3">
      <c r="A2246" s="6" t="s">
        <v>4318</v>
      </c>
      <c r="B2246" t="s">
        <v>4318</v>
      </c>
    </row>
    <row r="2247" spans="1:2" x14ac:dyDescent="0.3">
      <c r="A2247" s="11" t="s">
        <v>4319</v>
      </c>
      <c r="B2247" t="s">
        <v>5881</v>
      </c>
    </row>
    <row r="2248" spans="1:2" x14ac:dyDescent="0.3">
      <c r="A2248" s="6" t="s">
        <v>1631</v>
      </c>
      <c r="B2248" t="s">
        <v>1499</v>
      </c>
    </row>
    <row r="2249" spans="1:2" x14ac:dyDescent="0.3">
      <c r="A2249" s="6" t="s">
        <v>4320</v>
      </c>
      <c r="B2249" t="s">
        <v>4320</v>
      </c>
    </row>
    <row r="2250" spans="1:2" x14ac:dyDescent="0.3">
      <c r="A2250" s="6" t="s">
        <v>4321</v>
      </c>
      <c r="B2250" t="s">
        <v>4321</v>
      </c>
    </row>
    <row r="2251" spans="1:2" x14ac:dyDescent="0.3">
      <c r="A2251" s="6" t="s">
        <v>4322</v>
      </c>
      <c r="B2251" t="s">
        <v>5881</v>
      </c>
    </row>
    <row r="2252" spans="1:2" x14ac:dyDescent="0.3">
      <c r="A2252" s="11" t="s">
        <v>4323</v>
      </c>
      <c r="B2252" t="s">
        <v>5881</v>
      </c>
    </row>
    <row r="2253" spans="1:2" x14ac:dyDescent="0.3">
      <c r="A2253" s="11" t="s">
        <v>4324</v>
      </c>
      <c r="B2253" t="s">
        <v>5881</v>
      </c>
    </row>
    <row r="2254" spans="1:2" x14ac:dyDescent="0.3">
      <c r="A2254" s="11" t="s">
        <v>4325</v>
      </c>
      <c r="B2254" t="s">
        <v>5881</v>
      </c>
    </row>
    <row r="2255" spans="1:2" x14ac:dyDescent="0.3">
      <c r="A2255" s="11" t="s">
        <v>4326</v>
      </c>
      <c r="B2255" t="s">
        <v>5881</v>
      </c>
    </row>
    <row r="2256" spans="1:2" x14ac:dyDescent="0.3">
      <c r="A2256" s="6" t="s">
        <v>4327</v>
      </c>
      <c r="B2256" t="s">
        <v>4327</v>
      </c>
    </row>
    <row r="2257" spans="1:2" x14ac:dyDescent="0.3">
      <c r="A2257" s="6" t="s">
        <v>4328</v>
      </c>
      <c r="B2257" t="s">
        <v>4328</v>
      </c>
    </row>
    <row r="2258" spans="1:2" x14ac:dyDescent="0.3">
      <c r="A2258" s="6" t="s">
        <v>4329</v>
      </c>
      <c r="B2258" t="s">
        <v>5881</v>
      </c>
    </row>
    <row r="2259" spans="1:2" x14ac:dyDescent="0.3">
      <c r="A2259" s="6" t="s">
        <v>1632</v>
      </c>
      <c r="B2259" t="s">
        <v>3285</v>
      </c>
    </row>
    <row r="2260" spans="1:2" x14ac:dyDescent="0.3">
      <c r="A2260" s="11" t="s">
        <v>4330</v>
      </c>
      <c r="B2260" t="s">
        <v>5881</v>
      </c>
    </row>
    <row r="2261" spans="1:2" x14ac:dyDescent="0.3">
      <c r="A2261" s="11" t="s">
        <v>4331</v>
      </c>
      <c r="B2261" t="s">
        <v>5881</v>
      </c>
    </row>
    <row r="2262" spans="1:2" x14ac:dyDescent="0.3">
      <c r="A2262" s="11" t="s">
        <v>4332</v>
      </c>
      <c r="B2262" t="s">
        <v>5881</v>
      </c>
    </row>
    <row r="2263" spans="1:2" x14ac:dyDescent="0.3">
      <c r="A2263" s="11" t="s">
        <v>4333</v>
      </c>
      <c r="B2263" t="s">
        <v>5881</v>
      </c>
    </row>
    <row r="2264" spans="1:2" x14ac:dyDescent="0.3">
      <c r="A2264" s="6" t="s">
        <v>4334</v>
      </c>
      <c r="B2264" t="s">
        <v>4334</v>
      </c>
    </row>
    <row r="2265" spans="1:2" x14ac:dyDescent="0.3">
      <c r="A2265" s="11" t="s">
        <v>4335</v>
      </c>
      <c r="B2265" t="s">
        <v>5881</v>
      </c>
    </row>
    <row r="2266" spans="1:2" x14ac:dyDescent="0.3">
      <c r="A2266" s="6" t="s">
        <v>4336</v>
      </c>
      <c r="B2266" t="s">
        <v>4336</v>
      </c>
    </row>
    <row r="2267" spans="1:2" x14ac:dyDescent="0.3">
      <c r="A2267" s="6" t="s">
        <v>4337</v>
      </c>
      <c r="B2267" t="s">
        <v>4337</v>
      </c>
    </row>
    <row r="2268" spans="1:2" x14ac:dyDescent="0.3">
      <c r="A2268" s="6" t="s">
        <v>4338</v>
      </c>
      <c r="B2268" t="s">
        <v>5881</v>
      </c>
    </row>
    <row r="2269" spans="1:2" x14ac:dyDescent="0.3">
      <c r="A2269" s="6" t="s">
        <v>4339</v>
      </c>
      <c r="B2269" t="s">
        <v>6628</v>
      </c>
    </row>
    <row r="2270" spans="1:2" x14ac:dyDescent="0.3">
      <c r="A2270" s="6" t="s">
        <v>1362</v>
      </c>
      <c r="B2270" t="s">
        <v>4072</v>
      </c>
    </row>
    <row r="2271" spans="1:2" x14ac:dyDescent="0.3">
      <c r="A2271" s="6" t="s">
        <v>1633</v>
      </c>
      <c r="B2271" t="s">
        <v>3287</v>
      </c>
    </row>
    <row r="2272" spans="1:2" x14ac:dyDescent="0.3">
      <c r="A2272" s="11" t="s">
        <v>4340</v>
      </c>
      <c r="B2272" t="s">
        <v>5881</v>
      </c>
    </row>
    <row r="2273" spans="1:2" x14ac:dyDescent="0.3">
      <c r="A2273" s="6" t="s">
        <v>4341</v>
      </c>
      <c r="B2273" t="s">
        <v>4341</v>
      </c>
    </row>
    <row r="2274" spans="1:2" x14ac:dyDescent="0.3">
      <c r="A2274" s="6" t="s">
        <v>4342</v>
      </c>
      <c r="B2274" t="s">
        <v>4342</v>
      </c>
    </row>
    <row r="2275" spans="1:2" x14ac:dyDescent="0.3">
      <c r="A2275" s="6" t="s">
        <v>4343</v>
      </c>
      <c r="B2275" t="s">
        <v>5881</v>
      </c>
    </row>
    <row r="2276" spans="1:2" x14ac:dyDescent="0.3">
      <c r="A2276" s="11" t="s">
        <v>4344</v>
      </c>
      <c r="B2276" t="s">
        <v>5881</v>
      </c>
    </row>
    <row r="2277" spans="1:2" x14ac:dyDescent="0.3">
      <c r="A2277" s="11" t="s">
        <v>4345</v>
      </c>
      <c r="B2277" t="s">
        <v>5881</v>
      </c>
    </row>
    <row r="2278" spans="1:2" x14ac:dyDescent="0.3">
      <c r="A2278" s="11" t="s">
        <v>4346</v>
      </c>
      <c r="B2278" t="s">
        <v>5881</v>
      </c>
    </row>
    <row r="2279" spans="1:2" x14ac:dyDescent="0.3">
      <c r="A2279" s="11" t="s">
        <v>4347</v>
      </c>
      <c r="B2279" t="s">
        <v>5881</v>
      </c>
    </row>
    <row r="2280" spans="1:2" x14ac:dyDescent="0.3">
      <c r="A2280" s="11" t="s">
        <v>4348</v>
      </c>
      <c r="B2280" t="s">
        <v>5881</v>
      </c>
    </row>
    <row r="2281" spans="1:2" x14ac:dyDescent="0.3">
      <c r="A2281" s="11" t="s">
        <v>4349</v>
      </c>
      <c r="B2281" t="s">
        <v>5881</v>
      </c>
    </row>
    <row r="2282" spans="1:2" x14ac:dyDescent="0.3">
      <c r="A2282" s="6" t="s">
        <v>1634</v>
      </c>
      <c r="B2282" t="s">
        <v>3286</v>
      </c>
    </row>
    <row r="2283" spans="1:2" x14ac:dyDescent="0.3">
      <c r="A2283" s="6" t="s">
        <v>4350</v>
      </c>
      <c r="B2283" t="s">
        <v>4350</v>
      </c>
    </row>
    <row r="2284" spans="1:2" x14ac:dyDescent="0.3">
      <c r="A2284" s="6" t="s">
        <v>4351</v>
      </c>
      <c r="B2284" t="s">
        <v>4351</v>
      </c>
    </row>
    <row r="2285" spans="1:2" x14ac:dyDescent="0.3">
      <c r="A2285" s="6" t="s">
        <v>4352</v>
      </c>
      <c r="B2285" t="s">
        <v>5881</v>
      </c>
    </row>
    <row r="2286" spans="1:2" x14ac:dyDescent="0.3">
      <c r="A2286" s="11" t="s">
        <v>4353</v>
      </c>
      <c r="B2286" t="s">
        <v>5881</v>
      </c>
    </row>
    <row r="2287" spans="1:2" x14ac:dyDescent="0.3">
      <c r="A2287" s="11" t="s">
        <v>4354</v>
      </c>
      <c r="B2287" t="s">
        <v>5881</v>
      </c>
    </row>
    <row r="2288" spans="1:2" x14ac:dyDescent="0.3">
      <c r="A2288" s="6" t="s">
        <v>4355</v>
      </c>
      <c r="B2288" t="s">
        <v>5881</v>
      </c>
    </row>
    <row r="2289" spans="1:2" x14ac:dyDescent="0.3">
      <c r="A2289" s="6" t="s">
        <v>4356</v>
      </c>
      <c r="B2289" t="s">
        <v>6840</v>
      </c>
    </row>
    <row r="2290" spans="1:2" x14ac:dyDescent="0.3">
      <c r="A2290" s="6" t="s">
        <v>4357</v>
      </c>
      <c r="B2290" t="s">
        <v>5881</v>
      </c>
    </row>
    <row r="2291" spans="1:2" x14ac:dyDescent="0.3">
      <c r="A2291" s="6" t="s">
        <v>4358</v>
      </c>
      <c r="B2291" t="s">
        <v>4358</v>
      </c>
    </row>
    <row r="2292" spans="1:2" x14ac:dyDescent="0.3">
      <c r="A2292" s="6" t="s">
        <v>4359</v>
      </c>
      <c r="B2292" t="s">
        <v>4359</v>
      </c>
    </row>
    <row r="2293" spans="1:2" x14ac:dyDescent="0.3">
      <c r="A2293" s="6" t="s">
        <v>1635</v>
      </c>
      <c r="B2293" t="s">
        <v>3831</v>
      </c>
    </row>
    <row r="2294" spans="1:2" x14ac:dyDescent="0.3">
      <c r="A2294" s="11" t="s">
        <v>4360</v>
      </c>
      <c r="B2294" t="s">
        <v>5881</v>
      </c>
    </row>
    <row r="2295" spans="1:2" x14ac:dyDescent="0.3">
      <c r="A2295" s="11" t="s">
        <v>4361</v>
      </c>
      <c r="B2295" t="s">
        <v>5881</v>
      </c>
    </row>
    <row r="2296" spans="1:2" x14ac:dyDescent="0.3">
      <c r="A2296" s="11" t="s">
        <v>4362</v>
      </c>
      <c r="B2296" t="s">
        <v>5881</v>
      </c>
    </row>
    <row r="2297" spans="1:2" x14ac:dyDescent="0.3">
      <c r="A2297" s="11" t="s">
        <v>4363</v>
      </c>
      <c r="B2297" t="s">
        <v>5881</v>
      </c>
    </row>
    <row r="2298" spans="1:2" x14ac:dyDescent="0.3">
      <c r="A2298" s="11" t="s">
        <v>4364</v>
      </c>
      <c r="B2298" t="s">
        <v>5881</v>
      </c>
    </row>
    <row r="2299" spans="1:2" x14ac:dyDescent="0.3">
      <c r="A2299" s="11" t="s">
        <v>4365</v>
      </c>
      <c r="B2299" t="s">
        <v>5881</v>
      </c>
    </row>
    <row r="2300" spans="1:2" x14ac:dyDescent="0.3">
      <c r="A2300" s="6" t="s">
        <v>4366</v>
      </c>
      <c r="B2300" t="s">
        <v>4366</v>
      </c>
    </row>
    <row r="2301" spans="1:2" x14ac:dyDescent="0.3">
      <c r="A2301" s="6" t="s">
        <v>4367</v>
      </c>
      <c r="B2301" t="s">
        <v>4367</v>
      </c>
    </row>
    <row r="2302" spans="1:2" x14ac:dyDescent="0.3">
      <c r="A2302" s="6" t="s">
        <v>4368</v>
      </c>
      <c r="B2302" t="s">
        <v>5881</v>
      </c>
    </row>
    <row r="2303" spans="1:2" x14ac:dyDescent="0.3">
      <c r="A2303" s="11" t="s">
        <v>4369</v>
      </c>
      <c r="B2303" t="s">
        <v>5881</v>
      </c>
    </row>
    <row r="2304" spans="1:2" x14ac:dyDescent="0.3">
      <c r="A2304" s="6" t="s">
        <v>1636</v>
      </c>
      <c r="B2304" t="s">
        <v>5300</v>
      </c>
    </row>
    <row r="2305" spans="1:2" x14ac:dyDescent="0.3">
      <c r="A2305" s="11" t="s">
        <v>4370</v>
      </c>
      <c r="B2305" t="s">
        <v>5881</v>
      </c>
    </row>
    <row r="2306" spans="1:2" x14ac:dyDescent="0.3">
      <c r="A2306" s="11" t="s">
        <v>4371</v>
      </c>
      <c r="B2306" t="s">
        <v>5881</v>
      </c>
    </row>
    <row r="2307" spans="1:2" x14ac:dyDescent="0.3">
      <c r="A2307" s="11" t="s">
        <v>4372</v>
      </c>
      <c r="B2307" t="s">
        <v>5881</v>
      </c>
    </row>
    <row r="2308" spans="1:2" x14ac:dyDescent="0.3">
      <c r="A2308" s="6" t="s">
        <v>4373</v>
      </c>
      <c r="B2308" t="s">
        <v>5881</v>
      </c>
    </row>
    <row r="2309" spans="1:2" x14ac:dyDescent="0.3">
      <c r="A2309" s="6" t="s">
        <v>4374</v>
      </c>
      <c r="B2309" t="s">
        <v>5881</v>
      </c>
    </row>
    <row r="2310" spans="1:2" x14ac:dyDescent="0.3">
      <c r="A2310" s="6" t="s">
        <v>4375</v>
      </c>
      <c r="B2310" t="s">
        <v>5881</v>
      </c>
    </row>
    <row r="2311" spans="1:2" x14ac:dyDescent="0.3">
      <c r="A2311" s="11" t="s">
        <v>4376</v>
      </c>
      <c r="B2311" t="s">
        <v>5881</v>
      </c>
    </row>
    <row r="2312" spans="1:2" x14ac:dyDescent="0.3">
      <c r="A2312" s="11" t="s">
        <v>4377</v>
      </c>
      <c r="B2312" t="s">
        <v>5881</v>
      </c>
    </row>
    <row r="2313" spans="1:2" x14ac:dyDescent="0.3">
      <c r="A2313" s="11" t="s">
        <v>4378</v>
      </c>
      <c r="B2313" t="s">
        <v>5881</v>
      </c>
    </row>
    <row r="2314" spans="1:2" x14ac:dyDescent="0.3">
      <c r="A2314" s="11" t="s">
        <v>4379</v>
      </c>
      <c r="B2314" t="s">
        <v>5881</v>
      </c>
    </row>
    <row r="2315" spans="1:2" x14ac:dyDescent="0.3">
      <c r="A2315" s="6" t="s">
        <v>1637</v>
      </c>
      <c r="B2315" t="s">
        <v>2862</v>
      </c>
    </row>
    <row r="2316" spans="1:2" x14ac:dyDescent="0.3">
      <c r="A2316" s="11" t="s">
        <v>4380</v>
      </c>
      <c r="B2316" t="s">
        <v>5881</v>
      </c>
    </row>
    <row r="2317" spans="1:2" x14ac:dyDescent="0.3">
      <c r="A2317" s="11" t="s">
        <v>4381</v>
      </c>
      <c r="B2317" t="s">
        <v>5881</v>
      </c>
    </row>
    <row r="2318" spans="1:2" x14ac:dyDescent="0.3">
      <c r="A2318" s="6" t="s">
        <v>4382</v>
      </c>
      <c r="B2318" t="s">
        <v>7059</v>
      </c>
    </row>
    <row r="2319" spans="1:2" x14ac:dyDescent="0.3">
      <c r="A2319" s="6" t="s">
        <v>4383</v>
      </c>
      <c r="B2319" t="s">
        <v>6602</v>
      </c>
    </row>
    <row r="2320" spans="1:2" x14ac:dyDescent="0.3">
      <c r="A2320" s="6" t="s">
        <v>4384</v>
      </c>
      <c r="B2320" t="s">
        <v>7898</v>
      </c>
    </row>
    <row r="2321" spans="1:2" x14ac:dyDescent="0.3">
      <c r="A2321" s="6" t="s">
        <v>4385</v>
      </c>
      <c r="B2321" t="s">
        <v>6542</v>
      </c>
    </row>
    <row r="2322" spans="1:2" x14ac:dyDescent="0.3">
      <c r="A2322" s="6" t="s">
        <v>4386</v>
      </c>
      <c r="B2322" t="s">
        <v>8306</v>
      </c>
    </row>
    <row r="2323" spans="1:2" x14ac:dyDescent="0.3">
      <c r="A2323" s="6" t="s">
        <v>4387</v>
      </c>
      <c r="B2323" t="s">
        <v>6250</v>
      </c>
    </row>
    <row r="2324" spans="1:2" x14ac:dyDescent="0.3">
      <c r="A2324" s="11" t="s">
        <v>4388</v>
      </c>
      <c r="B2324" t="s">
        <v>5881</v>
      </c>
    </row>
    <row r="2325" spans="1:2" x14ac:dyDescent="0.3">
      <c r="A2325" s="6" t="s">
        <v>4389</v>
      </c>
      <c r="B2325" t="s">
        <v>6467</v>
      </c>
    </row>
    <row r="2326" spans="1:2" x14ac:dyDescent="0.3">
      <c r="A2326" s="6" t="s">
        <v>1638</v>
      </c>
      <c r="B2326" t="s">
        <v>3289</v>
      </c>
    </row>
    <row r="2327" spans="1:2" x14ac:dyDescent="0.3">
      <c r="A2327" s="6" t="s">
        <v>4390</v>
      </c>
      <c r="B2327" t="s">
        <v>6458</v>
      </c>
    </row>
    <row r="2328" spans="1:2" x14ac:dyDescent="0.3">
      <c r="A2328" s="6" t="s">
        <v>4391</v>
      </c>
      <c r="B2328" t="s">
        <v>5881</v>
      </c>
    </row>
    <row r="2329" spans="1:2" x14ac:dyDescent="0.3">
      <c r="A2329" s="6" t="s">
        <v>4392</v>
      </c>
      <c r="B2329" t="s">
        <v>5881</v>
      </c>
    </row>
    <row r="2330" spans="1:2" x14ac:dyDescent="0.3">
      <c r="A2330" s="6" t="s">
        <v>4393</v>
      </c>
      <c r="B2330" t="s">
        <v>6459</v>
      </c>
    </row>
    <row r="2331" spans="1:2" x14ac:dyDescent="0.3">
      <c r="A2331" s="6" t="s">
        <v>4394</v>
      </c>
      <c r="B2331" t="s">
        <v>8379</v>
      </c>
    </row>
    <row r="2332" spans="1:2" x14ac:dyDescent="0.3">
      <c r="A2332" s="6" t="s">
        <v>4395</v>
      </c>
      <c r="B2332" t="s">
        <v>6427</v>
      </c>
    </row>
    <row r="2333" spans="1:2" x14ac:dyDescent="0.3">
      <c r="A2333" s="6" t="s">
        <v>4396</v>
      </c>
      <c r="B2333" t="s">
        <v>6460</v>
      </c>
    </row>
    <row r="2334" spans="1:2" x14ac:dyDescent="0.3">
      <c r="A2334" s="6" t="s">
        <v>4397</v>
      </c>
      <c r="B2334" t="s">
        <v>5881</v>
      </c>
    </row>
    <row r="2335" spans="1:2" x14ac:dyDescent="0.3">
      <c r="A2335" s="6" t="s">
        <v>4398</v>
      </c>
      <c r="B2335" t="s">
        <v>5881</v>
      </c>
    </row>
    <row r="2336" spans="1:2" x14ac:dyDescent="0.3">
      <c r="A2336" s="11" t="s">
        <v>4399</v>
      </c>
      <c r="B2336" t="s">
        <v>5881</v>
      </c>
    </row>
    <row r="2337" spans="1:2" x14ac:dyDescent="0.3">
      <c r="A2337" s="6" t="s">
        <v>1639</v>
      </c>
      <c r="B2337" t="s">
        <v>3283</v>
      </c>
    </row>
    <row r="2338" spans="1:2" x14ac:dyDescent="0.3">
      <c r="A2338" s="11" t="s">
        <v>4400</v>
      </c>
      <c r="B2338" t="s">
        <v>5881</v>
      </c>
    </row>
    <row r="2339" spans="1:2" x14ac:dyDescent="0.3">
      <c r="A2339" s="6" t="s">
        <v>4401</v>
      </c>
      <c r="B2339" t="s">
        <v>7480</v>
      </c>
    </row>
    <row r="2340" spans="1:2" x14ac:dyDescent="0.3">
      <c r="A2340" s="11" t="s">
        <v>4402</v>
      </c>
      <c r="B2340" t="s">
        <v>5881</v>
      </c>
    </row>
    <row r="2341" spans="1:2" x14ac:dyDescent="0.3">
      <c r="A2341" s="6" t="s">
        <v>4403</v>
      </c>
      <c r="B2341" t="s">
        <v>6629</v>
      </c>
    </row>
    <row r="2342" spans="1:2" x14ac:dyDescent="0.3">
      <c r="A2342" s="6" t="s">
        <v>4404</v>
      </c>
      <c r="B2342" t="s">
        <v>5881</v>
      </c>
    </row>
    <row r="2343" spans="1:2" x14ac:dyDescent="0.3">
      <c r="A2343" s="6" t="s">
        <v>4405</v>
      </c>
      <c r="B2343" t="s">
        <v>6463</v>
      </c>
    </row>
    <row r="2344" spans="1:2" x14ac:dyDescent="0.3">
      <c r="A2344" s="6" t="s">
        <v>4406</v>
      </c>
      <c r="B2344" t="s">
        <v>7808</v>
      </c>
    </row>
    <row r="2345" spans="1:2" x14ac:dyDescent="0.3">
      <c r="A2345" s="6" t="s">
        <v>4407</v>
      </c>
      <c r="B2345" t="s">
        <v>7705</v>
      </c>
    </row>
    <row r="2346" spans="1:2" x14ac:dyDescent="0.3">
      <c r="A2346" s="6" t="s">
        <v>4408</v>
      </c>
      <c r="B2346" t="s">
        <v>6464</v>
      </c>
    </row>
    <row r="2347" spans="1:2" x14ac:dyDescent="0.3">
      <c r="A2347" s="6" t="s">
        <v>4409</v>
      </c>
      <c r="B2347" t="s">
        <v>5881</v>
      </c>
    </row>
    <row r="2348" spans="1:2" x14ac:dyDescent="0.3">
      <c r="A2348" s="6" t="s">
        <v>1640</v>
      </c>
      <c r="B2348" t="s">
        <v>3288</v>
      </c>
    </row>
    <row r="2349" spans="1:2" x14ac:dyDescent="0.3">
      <c r="A2349" s="6" t="s">
        <v>4410</v>
      </c>
      <c r="B2349" t="s">
        <v>5881</v>
      </c>
    </row>
    <row r="2350" spans="1:2" x14ac:dyDescent="0.3">
      <c r="A2350" s="11" t="s">
        <v>4411</v>
      </c>
      <c r="B2350" t="s">
        <v>5881</v>
      </c>
    </row>
    <row r="2351" spans="1:2" x14ac:dyDescent="0.3">
      <c r="A2351" s="11" t="s">
        <v>4412</v>
      </c>
      <c r="B2351" t="s">
        <v>5881</v>
      </c>
    </row>
    <row r="2352" spans="1:2" x14ac:dyDescent="0.3">
      <c r="A2352" s="6" t="s">
        <v>4413</v>
      </c>
      <c r="B2352" t="s">
        <v>6465</v>
      </c>
    </row>
    <row r="2353" spans="1:2" x14ac:dyDescent="0.3">
      <c r="A2353" s="6" t="s">
        <v>4414</v>
      </c>
      <c r="B2353" t="s">
        <v>7913</v>
      </c>
    </row>
    <row r="2354" spans="1:2" x14ac:dyDescent="0.3">
      <c r="A2354" s="6" t="s">
        <v>4415</v>
      </c>
      <c r="B2354" t="s">
        <v>6466</v>
      </c>
    </row>
    <row r="2355" spans="1:2" x14ac:dyDescent="0.3">
      <c r="A2355" s="6" t="s">
        <v>4416</v>
      </c>
      <c r="B2355" t="s">
        <v>5881</v>
      </c>
    </row>
    <row r="2356" spans="1:2" x14ac:dyDescent="0.3">
      <c r="A2356" s="6" t="s">
        <v>4417</v>
      </c>
      <c r="B2356" t="s">
        <v>5881</v>
      </c>
    </row>
    <row r="2357" spans="1:2" x14ac:dyDescent="0.3">
      <c r="A2357" s="6" t="s">
        <v>4418</v>
      </c>
      <c r="B2357" t="s">
        <v>5881</v>
      </c>
    </row>
    <row r="2358" spans="1:2" x14ac:dyDescent="0.3">
      <c r="A2358" s="6" t="s">
        <v>4419</v>
      </c>
      <c r="B2358" t="s">
        <v>7807</v>
      </c>
    </row>
    <row r="2359" spans="1:2" x14ac:dyDescent="0.3">
      <c r="A2359" s="6" t="s">
        <v>1641</v>
      </c>
      <c r="B2359" t="s">
        <v>6279</v>
      </c>
    </row>
    <row r="2360" spans="1:2" x14ac:dyDescent="0.3">
      <c r="A2360" s="6" t="s">
        <v>4420</v>
      </c>
      <c r="B2360" t="s">
        <v>8511</v>
      </c>
    </row>
    <row r="2361" spans="1:2" x14ac:dyDescent="0.3">
      <c r="A2361" s="6" t="s">
        <v>4421</v>
      </c>
      <c r="B2361" t="s">
        <v>8512</v>
      </c>
    </row>
    <row r="2362" spans="1:2" x14ac:dyDescent="0.3">
      <c r="A2362" s="11" t="s">
        <v>4422</v>
      </c>
      <c r="B2362" t="s">
        <v>5881</v>
      </c>
    </row>
    <row r="2363" spans="1:2" x14ac:dyDescent="0.3">
      <c r="A2363" s="11" t="s">
        <v>4423</v>
      </c>
      <c r="B2363" t="s">
        <v>5881</v>
      </c>
    </row>
    <row r="2364" spans="1:2" x14ac:dyDescent="0.3">
      <c r="A2364" s="11" t="s">
        <v>4424</v>
      </c>
      <c r="B2364" t="s">
        <v>5881</v>
      </c>
    </row>
    <row r="2365" spans="1:2" x14ac:dyDescent="0.3">
      <c r="A2365" s="6" t="s">
        <v>4425</v>
      </c>
      <c r="B2365" t="s">
        <v>5881</v>
      </c>
    </row>
    <row r="2366" spans="1:2" x14ac:dyDescent="0.3">
      <c r="A2366" s="6" t="s">
        <v>4426</v>
      </c>
      <c r="B2366" t="s">
        <v>5881</v>
      </c>
    </row>
    <row r="2367" spans="1:2" x14ac:dyDescent="0.3">
      <c r="A2367" s="6" t="s">
        <v>4427</v>
      </c>
      <c r="B2367" t="s">
        <v>6461</v>
      </c>
    </row>
    <row r="2368" spans="1:2" x14ac:dyDescent="0.3">
      <c r="A2368" s="6" t="s">
        <v>4428</v>
      </c>
      <c r="B2368" t="s">
        <v>7568</v>
      </c>
    </row>
    <row r="2369" spans="1:2" x14ac:dyDescent="0.3">
      <c r="A2369" s="6" t="s">
        <v>4429</v>
      </c>
      <c r="B2369" t="s">
        <v>7704</v>
      </c>
    </row>
    <row r="2370" spans="1:2" x14ac:dyDescent="0.3">
      <c r="A2370" s="6" t="s">
        <v>1642</v>
      </c>
      <c r="B2370" t="s">
        <v>6280</v>
      </c>
    </row>
    <row r="2371" spans="1:2" x14ac:dyDescent="0.3">
      <c r="A2371" s="6" t="s">
        <v>4430</v>
      </c>
      <c r="B2371" t="s">
        <v>6462</v>
      </c>
    </row>
    <row r="2372" spans="1:2" x14ac:dyDescent="0.3">
      <c r="A2372" s="6" t="s">
        <v>4431</v>
      </c>
      <c r="B2372" t="s">
        <v>5881</v>
      </c>
    </row>
    <row r="2373" spans="1:2" x14ac:dyDescent="0.3">
      <c r="A2373" s="11" t="s">
        <v>4432</v>
      </c>
      <c r="B2373" t="s">
        <v>5881</v>
      </c>
    </row>
    <row r="2374" spans="1:2" x14ac:dyDescent="0.3">
      <c r="A2374" s="6" t="s">
        <v>4433</v>
      </c>
      <c r="B2374" t="s">
        <v>5881</v>
      </c>
    </row>
    <row r="2375" spans="1:2" x14ac:dyDescent="0.3">
      <c r="A2375" s="6" t="s">
        <v>4434</v>
      </c>
      <c r="B2375" t="s">
        <v>5881</v>
      </c>
    </row>
    <row r="2376" spans="1:2" x14ac:dyDescent="0.3">
      <c r="A2376" s="6" t="s">
        <v>4435</v>
      </c>
      <c r="B2376" t="s">
        <v>7940</v>
      </c>
    </row>
    <row r="2377" spans="1:2" x14ac:dyDescent="0.3">
      <c r="A2377" s="6" t="s">
        <v>4436</v>
      </c>
      <c r="B2377" t="s">
        <v>6393</v>
      </c>
    </row>
    <row r="2378" spans="1:2" x14ac:dyDescent="0.3">
      <c r="A2378" s="6" t="s">
        <v>4438</v>
      </c>
      <c r="B2378" t="s">
        <v>7871</v>
      </c>
    </row>
    <row r="2379" spans="1:2" x14ac:dyDescent="0.3">
      <c r="A2379" s="6" t="s">
        <v>1363</v>
      </c>
      <c r="B2379" t="s">
        <v>3372</v>
      </c>
    </row>
    <row r="2380" spans="1:2" x14ac:dyDescent="0.3">
      <c r="A2380" s="6" t="s">
        <v>1643</v>
      </c>
      <c r="B2380" t="s">
        <v>3282</v>
      </c>
    </row>
    <row r="2381" spans="1:2" x14ac:dyDescent="0.3">
      <c r="A2381" s="6" t="s">
        <v>4439</v>
      </c>
      <c r="B2381" t="s">
        <v>8172</v>
      </c>
    </row>
    <row r="2382" spans="1:2" x14ac:dyDescent="0.3">
      <c r="A2382" s="6" t="s">
        <v>4440</v>
      </c>
      <c r="B2382" t="s">
        <v>6378</v>
      </c>
    </row>
    <row r="2383" spans="1:2" x14ac:dyDescent="0.3">
      <c r="A2383" s="6" t="s">
        <v>4441</v>
      </c>
      <c r="B2383" t="s">
        <v>8459</v>
      </c>
    </row>
    <row r="2384" spans="1:2" x14ac:dyDescent="0.3">
      <c r="A2384" s="6" t="s">
        <v>4442</v>
      </c>
      <c r="B2384" t="s">
        <v>7872</v>
      </c>
    </row>
    <row r="2385" spans="1:2" x14ac:dyDescent="0.3">
      <c r="A2385" s="6" t="s">
        <v>4443</v>
      </c>
      <c r="B2385" t="s">
        <v>6561</v>
      </c>
    </row>
    <row r="2386" spans="1:2" x14ac:dyDescent="0.3">
      <c r="A2386" s="6" t="s">
        <v>4444</v>
      </c>
      <c r="B2386" t="s">
        <v>8460</v>
      </c>
    </row>
    <row r="2387" spans="1:2" x14ac:dyDescent="0.3">
      <c r="A2387" s="6" t="s">
        <v>1644</v>
      </c>
      <c r="B2387" t="s">
        <v>3279</v>
      </c>
    </row>
    <row r="2388" spans="1:2" x14ac:dyDescent="0.3">
      <c r="A2388" s="6" t="s">
        <v>4445</v>
      </c>
      <c r="B2388" t="s">
        <v>7875</v>
      </c>
    </row>
    <row r="2389" spans="1:2" x14ac:dyDescent="0.3">
      <c r="A2389" s="6" t="s">
        <v>4446</v>
      </c>
      <c r="B2389" t="s">
        <v>7941</v>
      </c>
    </row>
    <row r="2390" spans="1:2" x14ac:dyDescent="0.3">
      <c r="A2390" s="6" t="s">
        <v>4447</v>
      </c>
      <c r="B2390" t="s">
        <v>6242</v>
      </c>
    </row>
    <row r="2391" spans="1:2" x14ac:dyDescent="0.3">
      <c r="A2391" s="6" t="s">
        <v>4448</v>
      </c>
      <c r="B2391" t="s">
        <v>6933</v>
      </c>
    </row>
    <row r="2392" spans="1:2" x14ac:dyDescent="0.3">
      <c r="A2392" s="6" t="s">
        <v>4449</v>
      </c>
      <c r="B2392" t="s">
        <v>7870</v>
      </c>
    </row>
    <row r="2393" spans="1:2" x14ac:dyDescent="0.3">
      <c r="A2393" s="6" t="s">
        <v>4450</v>
      </c>
      <c r="B2393" t="s">
        <v>8122</v>
      </c>
    </row>
    <row r="2394" spans="1:2" x14ac:dyDescent="0.3">
      <c r="A2394" s="6" t="s">
        <v>1645</v>
      </c>
      <c r="B2394" t="s">
        <v>2863</v>
      </c>
    </row>
    <row r="2395" spans="1:2" x14ac:dyDescent="0.3">
      <c r="A2395" s="6" t="s">
        <v>4451</v>
      </c>
      <c r="B2395" t="s">
        <v>6562</v>
      </c>
    </row>
    <row r="2396" spans="1:2" x14ac:dyDescent="0.3">
      <c r="A2396" s="6" t="s">
        <v>4452</v>
      </c>
      <c r="B2396" t="s">
        <v>8472</v>
      </c>
    </row>
    <row r="2397" spans="1:2" x14ac:dyDescent="0.3">
      <c r="A2397" s="6" t="s">
        <v>4453</v>
      </c>
      <c r="B2397" t="s">
        <v>7835</v>
      </c>
    </row>
    <row r="2398" spans="1:2" x14ac:dyDescent="0.3">
      <c r="A2398" s="6" t="s">
        <v>4454</v>
      </c>
      <c r="B2398" t="s">
        <v>6551</v>
      </c>
    </row>
    <row r="2399" spans="1:2" x14ac:dyDescent="0.3">
      <c r="A2399" s="6" t="s">
        <v>4455</v>
      </c>
      <c r="B2399" t="s">
        <v>8679</v>
      </c>
    </row>
    <row r="2400" spans="1:2" x14ac:dyDescent="0.3">
      <c r="A2400" s="6" t="s">
        <v>4456</v>
      </c>
      <c r="B2400" t="s">
        <v>7312</v>
      </c>
    </row>
    <row r="2401" spans="1:2" x14ac:dyDescent="0.3">
      <c r="A2401" s="6" t="s">
        <v>4457</v>
      </c>
      <c r="B2401" t="s">
        <v>6600</v>
      </c>
    </row>
    <row r="2402" spans="1:2" x14ac:dyDescent="0.3">
      <c r="A2402" s="6" t="s">
        <v>4458</v>
      </c>
      <c r="B2402" t="s">
        <v>7836</v>
      </c>
    </row>
    <row r="2403" spans="1:2" x14ac:dyDescent="0.3">
      <c r="A2403" s="6" t="s">
        <v>4459</v>
      </c>
      <c r="B2403" t="s">
        <v>6639</v>
      </c>
    </row>
    <row r="2404" spans="1:2" x14ac:dyDescent="0.3">
      <c r="A2404" s="6" t="s">
        <v>4460</v>
      </c>
      <c r="B2404" t="s">
        <v>6630</v>
      </c>
    </row>
    <row r="2405" spans="1:2" x14ac:dyDescent="0.3">
      <c r="A2405" s="6" t="s">
        <v>1646</v>
      </c>
      <c r="B2405" t="s">
        <v>3280</v>
      </c>
    </row>
    <row r="2406" spans="1:2" x14ac:dyDescent="0.3">
      <c r="A2406" s="6" t="s">
        <v>4461</v>
      </c>
      <c r="B2406" t="s">
        <v>7837</v>
      </c>
    </row>
    <row r="2407" spans="1:2" x14ac:dyDescent="0.3">
      <c r="A2407" s="6" t="s">
        <v>4462</v>
      </c>
      <c r="B2407" t="s">
        <v>8370</v>
      </c>
    </row>
    <row r="2408" spans="1:2" x14ac:dyDescent="0.3">
      <c r="A2408" s="6" t="s">
        <v>4463</v>
      </c>
      <c r="B2408" t="s">
        <v>7631</v>
      </c>
    </row>
    <row r="2409" spans="1:2" x14ac:dyDescent="0.3">
      <c r="A2409" s="6" t="s">
        <v>4464</v>
      </c>
      <c r="B2409" t="s">
        <v>6539</v>
      </c>
    </row>
    <row r="2410" spans="1:2" x14ac:dyDescent="0.3">
      <c r="A2410" s="6" t="s">
        <v>4465</v>
      </c>
      <c r="B2410" t="s">
        <v>7632</v>
      </c>
    </row>
    <row r="2411" spans="1:2" x14ac:dyDescent="0.3">
      <c r="A2411" s="6" t="s">
        <v>4466</v>
      </c>
      <c r="B2411" t="s">
        <v>6422</v>
      </c>
    </row>
    <row r="2412" spans="1:2" x14ac:dyDescent="0.3">
      <c r="A2412" s="6" t="s">
        <v>4467</v>
      </c>
      <c r="B2412" t="s">
        <v>6423</v>
      </c>
    </row>
    <row r="2413" spans="1:2" x14ac:dyDescent="0.3">
      <c r="A2413" s="6" t="s">
        <v>4468</v>
      </c>
      <c r="B2413" t="s">
        <v>7187</v>
      </c>
    </row>
    <row r="2414" spans="1:2" x14ac:dyDescent="0.3">
      <c r="A2414" s="6" t="s">
        <v>5794</v>
      </c>
      <c r="B2414" t="s">
        <v>7932</v>
      </c>
    </row>
    <row r="2415" spans="1:2" x14ac:dyDescent="0.3">
      <c r="A2415" s="6" t="s">
        <v>4470</v>
      </c>
      <c r="B2415" t="s">
        <v>7011</v>
      </c>
    </row>
    <row r="2416" spans="1:2" x14ac:dyDescent="0.3">
      <c r="A2416" s="6" t="s">
        <v>1647</v>
      </c>
      <c r="B2416" t="s">
        <v>3281</v>
      </c>
    </row>
    <row r="2417" spans="1:2" x14ac:dyDescent="0.3">
      <c r="A2417" s="6" t="s">
        <v>4471</v>
      </c>
      <c r="B2417" t="s">
        <v>3409</v>
      </c>
    </row>
    <row r="2418" spans="1:2" x14ac:dyDescent="0.3">
      <c r="A2418" s="6" t="s">
        <v>4472</v>
      </c>
      <c r="B2418" t="s">
        <v>2469</v>
      </c>
    </row>
    <row r="2419" spans="1:2" x14ac:dyDescent="0.3">
      <c r="A2419" s="6" t="s">
        <v>4473</v>
      </c>
      <c r="B2419" t="s">
        <v>7190</v>
      </c>
    </row>
    <row r="2420" spans="1:2" x14ac:dyDescent="0.3">
      <c r="A2420" s="6" t="s">
        <v>5795</v>
      </c>
      <c r="B2420" t="s">
        <v>7933</v>
      </c>
    </row>
    <row r="2421" spans="1:2" x14ac:dyDescent="0.3">
      <c r="A2421" s="6" t="s">
        <v>4475</v>
      </c>
      <c r="B2421" t="s">
        <v>7012</v>
      </c>
    </row>
    <row r="2422" spans="1:2" x14ac:dyDescent="0.3">
      <c r="A2422" s="6" t="s">
        <v>4476</v>
      </c>
      <c r="B2422" t="s">
        <v>3417</v>
      </c>
    </row>
    <row r="2423" spans="1:2" x14ac:dyDescent="0.3">
      <c r="A2423" s="6" t="s">
        <v>4477</v>
      </c>
      <c r="B2423" t="s">
        <v>2470</v>
      </c>
    </row>
    <row r="2424" spans="1:2" x14ac:dyDescent="0.3">
      <c r="A2424" s="6" t="s">
        <v>4478</v>
      </c>
      <c r="B2424" t="s">
        <v>7013</v>
      </c>
    </row>
    <row r="2425" spans="1:2" x14ac:dyDescent="0.3">
      <c r="A2425" s="6" t="s">
        <v>4479</v>
      </c>
      <c r="B2425" t="s">
        <v>3406</v>
      </c>
    </row>
    <row r="2426" spans="1:2" x14ac:dyDescent="0.3">
      <c r="A2426" s="6" t="s">
        <v>4480</v>
      </c>
      <c r="B2426" t="s">
        <v>2471</v>
      </c>
    </row>
    <row r="2427" spans="1:2" x14ac:dyDescent="0.3">
      <c r="A2427" s="6" t="s">
        <v>1648</v>
      </c>
      <c r="B2427" t="s">
        <v>3278</v>
      </c>
    </row>
    <row r="2428" spans="1:2" x14ac:dyDescent="0.3">
      <c r="A2428" s="6" t="s">
        <v>5796</v>
      </c>
      <c r="B2428" t="s">
        <v>6903</v>
      </c>
    </row>
    <row r="2429" spans="1:2" x14ac:dyDescent="0.3">
      <c r="A2429" s="6" t="s">
        <v>5797</v>
      </c>
      <c r="B2429" t="s">
        <v>8368</v>
      </c>
    </row>
    <row r="2430" spans="1:2" x14ac:dyDescent="0.3">
      <c r="A2430" s="6" t="s">
        <v>4481</v>
      </c>
      <c r="B2430" t="s">
        <v>8712</v>
      </c>
    </row>
    <row r="2431" spans="1:2" x14ac:dyDescent="0.3">
      <c r="A2431" s="6" t="s">
        <v>4482</v>
      </c>
      <c r="B2431" t="s">
        <v>7188</v>
      </c>
    </row>
    <row r="2432" spans="1:2" x14ac:dyDescent="0.3">
      <c r="A2432" s="6" t="s">
        <v>5798</v>
      </c>
      <c r="B2432" t="s">
        <v>8224</v>
      </c>
    </row>
    <row r="2433" spans="1:2" x14ac:dyDescent="0.3">
      <c r="A2433" s="6" t="s">
        <v>4483</v>
      </c>
      <c r="B2433" t="s">
        <v>7014</v>
      </c>
    </row>
    <row r="2434" spans="1:2" x14ac:dyDescent="0.3">
      <c r="A2434" s="6" t="s">
        <v>4484</v>
      </c>
      <c r="B2434" t="s">
        <v>8673</v>
      </c>
    </row>
    <row r="2435" spans="1:2" x14ac:dyDescent="0.3">
      <c r="A2435" s="6" t="s">
        <v>4485</v>
      </c>
      <c r="B2435" t="s">
        <v>7189</v>
      </c>
    </row>
    <row r="2436" spans="1:2" x14ac:dyDescent="0.3">
      <c r="A2436" s="6" t="s">
        <v>5799</v>
      </c>
      <c r="B2436" t="s">
        <v>7934</v>
      </c>
    </row>
    <row r="2437" spans="1:2" x14ac:dyDescent="0.3">
      <c r="A2437" s="6" t="s">
        <v>4486</v>
      </c>
      <c r="B2437" t="s">
        <v>7015</v>
      </c>
    </row>
    <row r="2438" spans="1:2" x14ac:dyDescent="0.3">
      <c r="A2438" s="6" t="s">
        <v>1649</v>
      </c>
      <c r="B2438" t="s">
        <v>5303</v>
      </c>
    </row>
    <row r="2439" spans="1:2" x14ac:dyDescent="0.3">
      <c r="A2439" s="6" t="s">
        <v>5800</v>
      </c>
      <c r="B2439" t="s">
        <v>8405</v>
      </c>
    </row>
    <row r="2440" spans="1:2" x14ac:dyDescent="0.3">
      <c r="A2440" s="6" t="s">
        <v>4487</v>
      </c>
      <c r="B2440" t="s">
        <v>2472</v>
      </c>
    </row>
    <row r="2441" spans="1:2" x14ac:dyDescent="0.3">
      <c r="A2441" s="6" t="s">
        <v>4488</v>
      </c>
      <c r="B2441" t="s">
        <v>7016</v>
      </c>
    </row>
    <row r="2442" spans="1:2" x14ac:dyDescent="0.3">
      <c r="A2442" s="6" t="s">
        <v>4489</v>
      </c>
      <c r="B2442" t="s">
        <v>3419</v>
      </c>
    </row>
    <row r="2443" spans="1:2" x14ac:dyDescent="0.3">
      <c r="A2443" s="6" t="s">
        <v>5801</v>
      </c>
      <c r="B2443" t="s">
        <v>8468</v>
      </c>
    </row>
    <row r="2444" spans="1:2" x14ac:dyDescent="0.3">
      <c r="A2444" s="6" t="s">
        <v>4490</v>
      </c>
      <c r="B2444" t="s">
        <v>2473</v>
      </c>
    </row>
    <row r="2445" spans="1:2" x14ac:dyDescent="0.3">
      <c r="A2445" s="6" t="s">
        <v>5802</v>
      </c>
      <c r="B2445" t="s">
        <v>7826</v>
      </c>
    </row>
    <row r="2446" spans="1:2" x14ac:dyDescent="0.3">
      <c r="A2446" s="6" t="s">
        <v>5803</v>
      </c>
      <c r="B2446" t="s">
        <v>6904</v>
      </c>
    </row>
    <row r="2447" spans="1:2" x14ac:dyDescent="0.3">
      <c r="A2447" s="6" t="s">
        <v>5804</v>
      </c>
      <c r="B2447" t="s">
        <v>6905</v>
      </c>
    </row>
    <row r="2448" spans="1:2" x14ac:dyDescent="0.3">
      <c r="A2448" s="6" t="s">
        <v>4491</v>
      </c>
      <c r="B2448" t="s">
        <v>7912</v>
      </c>
    </row>
    <row r="2449" spans="1:2" x14ac:dyDescent="0.3">
      <c r="A2449" s="6" t="s">
        <v>1650</v>
      </c>
      <c r="B2449" t="s">
        <v>2864</v>
      </c>
    </row>
    <row r="2450" spans="1:2" x14ac:dyDescent="0.3">
      <c r="A2450" s="6" t="s">
        <v>5805</v>
      </c>
      <c r="B2450" t="s">
        <v>8026</v>
      </c>
    </row>
    <row r="2451" spans="1:2" x14ac:dyDescent="0.3">
      <c r="A2451" s="6" t="s">
        <v>4492</v>
      </c>
      <c r="B2451" t="s">
        <v>1801</v>
      </c>
    </row>
    <row r="2452" spans="1:2" x14ac:dyDescent="0.3">
      <c r="A2452" s="6" t="s">
        <v>4493</v>
      </c>
      <c r="B2452" t="s">
        <v>3430</v>
      </c>
    </row>
    <row r="2453" spans="1:2" x14ac:dyDescent="0.3">
      <c r="A2453" s="6" t="s">
        <v>4494</v>
      </c>
      <c r="B2453" t="s">
        <v>6983</v>
      </c>
    </row>
    <row r="2454" spans="1:2" x14ac:dyDescent="0.3">
      <c r="A2454" s="6" t="s">
        <v>5806</v>
      </c>
      <c r="B2454" t="s">
        <v>3439</v>
      </c>
    </row>
    <row r="2455" spans="1:2" x14ac:dyDescent="0.3">
      <c r="A2455" s="6" t="s">
        <v>4495</v>
      </c>
      <c r="B2455" t="s">
        <v>1594</v>
      </c>
    </row>
    <row r="2456" spans="1:2" x14ac:dyDescent="0.3">
      <c r="A2456" s="6" t="s">
        <v>4496</v>
      </c>
      <c r="B2456" t="s">
        <v>6984</v>
      </c>
    </row>
    <row r="2457" spans="1:2" x14ac:dyDescent="0.3">
      <c r="A2457" s="6" t="s">
        <v>4497</v>
      </c>
      <c r="B2457" t="s">
        <v>3413</v>
      </c>
    </row>
    <row r="2458" spans="1:2" x14ac:dyDescent="0.3">
      <c r="A2458" s="6" t="s">
        <v>4498</v>
      </c>
      <c r="B2458" t="s">
        <v>1595</v>
      </c>
    </row>
    <row r="2459" spans="1:2" x14ac:dyDescent="0.3">
      <c r="A2459" s="6" t="s">
        <v>4499</v>
      </c>
      <c r="B2459" t="s">
        <v>6985</v>
      </c>
    </row>
    <row r="2460" spans="1:2" x14ac:dyDescent="0.3">
      <c r="A2460" s="6" t="s">
        <v>1651</v>
      </c>
      <c r="B2460" t="s">
        <v>5301</v>
      </c>
    </row>
    <row r="2461" spans="1:2" x14ac:dyDescent="0.3">
      <c r="A2461" s="6" t="s">
        <v>4500</v>
      </c>
      <c r="B2461" t="s">
        <v>3429</v>
      </c>
    </row>
    <row r="2462" spans="1:2" x14ac:dyDescent="0.3">
      <c r="A2462" s="6" t="s">
        <v>4501</v>
      </c>
      <c r="B2462" t="s">
        <v>1596</v>
      </c>
    </row>
    <row r="2463" spans="1:2" x14ac:dyDescent="0.3">
      <c r="A2463" s="6" t="s">
        <v>4502</v>
      </c>
      <c r="B2463" t="s">
        <v>6986</v>
      </c>
    </row>
    <row r="2464" spans="1:2" x14ac:dyDescent="0.3">
      <c r="A2464" s="6" t="s">
        <v>5807</v>
      </c>
      <c r="B2464" t="s">
        <v>3440</v>
      </c>
    </row>
    <row r="2465" spans="1:2" x14ac:dyDescent="0.3">
      <c r="A2465" s="6" t="s">
        <v>4503</v>
      </c>
      <c r="B2465" t="s">
        <v>1597</v>
      </c>
    </row>
    <row r="2466" spans="1:2" x14ac:dyDescent="0.3">
      <c r="A2466" s="6" t="s">
        <v>4504</v>
      </c>
      <c r="B2466" t="s">
        <v>6987</v>
      </c>
    </row>
    <row r="2467" spans="1:2" x14ac:dyDescent="0.3">
      <c r="A2467" s="6" t="s">
        <v>4505</v>
      </c>
      <c r="B2467" t="s">
        <v>3411</v>
      </c>
    </row>
    <row r="2468" spans="1:2" x14ac:dyDescent="0.3">
      <c r="A2468" s="6" t="s">
        <v>4506</v>
      </c>
      <c r="B2468" t="s">
        <v>1598</v>
      </c>
    </row>
    <row r="2469" spans="1:2" x14ac:dyDescent="0.3">
      <c r="A2469" s="6" t="s">
        <v>4507</v>
      </c>
      <c r="B2469" t="s">
        <v>6988</v>
      </c>
    </row>
    <row r="2470" spans="1:2" x14ac:dyDescent="0.3">
      <c r="A2470" s="6" t="s">
        <v>4508</v>
      </c>
      <c r="B2470" t="s">
        <v>3414</v>
      </c>
    </row>
    <row r="2471" spans="1:2" x14ac:dyDescent="0.3">
      <c r="A2471" s="6" t="s">
        <v>1652</v>
      </c>
      <c r="B2471" t="s">
        <v>5302</v>
      </c>
    </row>
    <row r="2472" spans="1:2" x14ac:dyDescent="0.3">
      <c r="A2472" s="6" t="s">
        <v>4509</v>
      </c>
      <c r="B2472" t="s">
        <v>1609</v>
      </c>
    </row>
    <row r="2473" spans="1:2" x14ac:dyDescent="0.3">
      <c r="A2473" s="6" t="s">
        <v>4510</v>
      </c>
      <c r="B2473" t="s">
        <v>1593</v>
      </c>
    </row>
    <row r="2474" spans="1:2" x14ac:dyDescent="0.3">
      <c r="A2474" s="6" t="s">
        <v>4511</v>
      </c>
      <c r="B2474" t="s">
        <v>6989</v>
      </c>
    </row>
    <row r="2475" spans="1:2" x14ac:dyDescent="0.3">
      <c r="A2475" s="6" t="s">
        <v>4512</v>
      </c>
      <c r="B2475" t="s">
        <v>3400</v>
      </c>
    </row>
    <row r="2476" spans="1:2" x14ac:dyDescent="0.3">
      <c r="A2476" s="6" t="s">
        <v>4513</v>
      </c>
      <c r="B2476" t="s">
        <v>1615</v>
      </c>
    </row>
    <row r="2477" spans="1:2" x14ac:dyDescent="0.3">
      <c r="A2477" s="6" t="s">
        <v>4514</v>
      </c>
      <c r="B2477" t="s">
        <v>6990</v>
      </c>
    </row>
    <row r="2478" spans="1:2" x14ac:dyDescent="0.3">
      <c r="A2478" s="6" t="s">
        <v>4515</v>
      </c>
      <c r="B2478" t="s">
        <v>5793</v>
      </c>
    </row>
    <row r="2479" spans="1:2" x14ac:dyDescent="0.3">
      <c r="A2479" s="6" t="s">
        <v>4516</v>
      </c>
      <c r="B2479" t="s">
        <v>2475</v>
      </c>
    </row>
    <row r="2480" spans="1:2" x14ac:dyDescent="0.3">
      <c r="A2480" s="6" t="s">
        <v>5808</v>
      </c>
      <c r="B2480" t="s">
        <v>6891</v>
      </c>
    </row>
    <row r="2481" spans="1:2" x14ac:dyDescent="0.3">
      <c r="A2481" s="6" t="s">
        <v>5809</v>
      </c>
      <c r="B2481" t="s">
        <v>6892</v>
      </c>
    </row>
    <row r="2482" spans="1:2" x14ac:dyDescent="0.3">
      <c r="A2482" s="6" t="s">
        <v>1364</v>
      </c>
      <c r="B2482" t="s">
        <v>5937</v>
      </c>
    </row>
    <row r="2483" spans="1:2" x14ac:dyDescent="0.3">
      <c r="A2483" s="6" t="s">
        <v>1653</v>
      </c>
      <c r="B2483" t="s">
        <v>4988</v>
      </c>
    </row>
    <row r="2484" spans="1:2" x14ac:dyDescent="0.3">
      <c r="A2484" s="6" t="s">
        <v>5810</v>
      </c>
      <c r="B2484" t="s">
        <v>6893</v>
      </c>
    </row>
    <row r="2485" spans="1:2" x14ac:dyDescent="0.3">
      <c r="A2485" s="6" t="s">
        <v>5811</v>
      </c>
      <c r="B2485" t="s">
        <v>6894</v>
      </c>
    </row>
    <row r="2486" spans="1:2" x14ac:dyDescent="0.3">
      <c r="A2486" s="6" t="s">
        <v>5812</v>
      </c>
      <c r="B2486" t="s">
        <v>6895</v>
      </c>
    </row>
    <row r="2487" spans="1:2" x14ac:dyDescent="0.3">
      <c r="A2487" s="6" t="s">
        <v>4517</v>
      </c>
      <c r="B2487" t="s">
        <v>3401</v>
      </c>
    </row>
    <row r="2488" spans="1:2" x14ac:dyDescent="0.3">
      <c r="A2488" s="6" t="s">
        <v>4518</v>
      </c>
      <c r="B2488" t="s">
        <v>6991</v>
      </c>
    </row>
    <row r="2489" spans="1:2" x14ac:dyDescent="0.3">
      <c r="A2489" s="6" t="s">
        <v>4519</v>
      </c>
      <c r="B2489" t="s">
        <v>3424</v>
      </c>
    </row>
    <row r="2490" spans="1:2" x14ac:dyDescent="0.3">
      <c r="A2490" s="6" t="s">
        <v>4520</v>
      </c>
      <c r="B2490" t="s">
        <v>1617</v>
      </c>
    </row>
    <row r="2491" spans="1:2" x14ac:dyDescent="0.3">
      <c r="A2491" s="6" t="s">
        <v>4521</v>
      </c>
      <c r="B2491" t="s">
        <v>6992</v>
      </c>
    </row>
    <row r="2492" spans="1:2" x14ac:dyDescent="0.3">
      <c r="A2492" s="6" t="s">
        <v>4522</v>
      </c>
      <c r="B2492" t="s">
        <v>1884</v>
      </c>
    </row>
    <row r="2493" spans="1:2" x14ac:dyDescent="0.3">
      <c r="A2493" s="6" t="s">
        <v>4523</v>
      </c>
      <c r="B2493" t="s">
        <v>6993</v>
      </c>
    </row>
    <row r="2494" spans="1:2" x14ac:dyDescent="0.3">
      <c r="A2494" s="6" t="s">
        <v>1654</v>
      </c>
      <c r="B2494" t="s">
        <v>4989</v>
      </c>
    </row>
    <row r="2495" spans="1:2" x14ac:dyDescent="0.3">
      <c r="A2495" s="6" t="s">
        <v>5813</v>
      </c>
      <c r="B2495" t="s">
        <v>3438</v>
      </c>
    </row>
    <row r="2496" spans="1:2" x14ac:dyDescent="0.3">
      <c r="A2496" s="6" t="s">
        <v>4524</v>
      </c>
      <c r="B2496" t="s">
        <v>1998</v>
      </c>
    </row>
    <row r="2497" spans="1:2" x14ac:dyDescent="0.3">
      <c r="A2497" s="6" t="s">
        <v>4525</v>
      </c>
      <c r="B2497" t="s">
        <v>6994</v>
      </c>
    </row>
    <row r="2498" spans="1:2" x14ac:dyDescent="0.3">
      <c r="A2498" s="6" t="s">
        <v>5814</v>
      </c>
      <c r="B2498" t="s">
        <v>3435</v>
      </c>
    </row>
    <row r="2499" spans="1:2" x14ac:dyDescent="0.3">
      <c r="A2499" s="6" t="s">
        <v>4526</v>
      </c>
      <c r="B2499" t="s">
        <v>2014</v>
      </c>
    </row>
    <row r="2500" spans="1:2" x14ac:dyDescent="0.3">
      <c r="A2500" s="6" t="s">
        <v>4527</v>
      </c>
      <c r="B2500" t="s">
        <v>6995</v>
      </c>
    </row>
    <row r="2501" spans="1:2" x14ac:dyDescent="0.3">
      <c r="A2501" s="6" t="s">
        <v>4528</v>
      </c>
      <c r="B2501" t="s">
        <v>3428</v>
      </c>
    </row>
    <row r="2502" spans="1:2" x14ac:dyDescent="0.3">
      <c r="A2502" s="6" t="s">
        <v>4529</v>
      </c>
      <c r="B2502" t="s">
        <v>2338</v>
      </c>
    </row>
    <row r="2503" spans="1:2" x14ac:dyDescent="0.3">
      <c r="A2503" s="6" t="s">
        <v>4530</v>
      </c>
      <c r="B2503" t="s">
        <v>6996</v>
      </c>
    </row>
    <row r="2504" spans="1:2" x14ac:dyDescent="0.3">
      <c r="A2504" s="6" t="s">
        <v>5815</v>
      </c>
      <c r="B2504" t="s">
        <v>3437</v>
      </c>
    </row>
    <row r="2505" spans="1:2" x14ac:dyDescent="0.3">
      <c r="A2505" s="6" t="s">
        <v>1655</v>
      </c>
      <c r="B2505" t="s">
        <v>5308</v>
      </c>
    </row>
    <row r="2506" spans="1:2" x14ac:dyDescent="0.3">
      <c r="A2506" s="6" t="s">
        <v>4531</v>
      </c>
      <c r="B2506" t="s">
        <v>2345</v>
      </c>
    </row>
    <row r="2507" spans="1:2" x14ac:dyDescent="0.3">
      <c r="A2507" s="6" t="s">
        <v>4532</v>
      </c>
      <c r="B2507" t="s">
        <v>1616</v>
      </c>
    </row>
    <row r="2508" spans="1:2" x14ac:dyDescent="0.3">
      <c r="A2508" s="6" t="s">
        <v>4533</v>
      </c>
      <c r="B2508" t="s">
        <v>6997</v>
      </c>
    </row>
    <row r="2509" spans="1:2" x14ac:dyDescent="0.3">
      <c r="A2509" s="6" t="s">
        <v>4534</v>
      </c>
      <c r="B2509" t="s">
        <v>3412</v>
      </c>
    </row>
    <row r="2510" spans="1:2" x14ac:dyDescent="0.3">
      <c r="A2510" s="6" t="s">
        <v>4535</v>
      </c>
      <c r="B2510" t="s">
        <v>2350</v>
      </c>
    </row>
    <row r="2511" spans="1:2" x14ac:dyDescent="0.3">
      <c r="A2511" s="6" t="s">
        <v>4536</v>
      </c>
      <c r="B2511" t="s">
        <v>6998</v>
      </c>
    </row>
    <row r="2512" spans="1:2" x14ac:dyDescent="0.3">
      <c r="A2512" s="6" t="s">
        <v>4537</v>
      </c>
      <c r="B2512" t="s">
        <v>3408</v>
      </c>
    </row>
    <row r="2513" spans="1:2" x14ac:dyDescent="0.3">
      <c r="A2513" s="6" t="s">
        <v>4538</v>
      </c>
      <c r="B2513" t="s">
        <v>2351</v>
      </c>
    </row>
    <row r="2514" spans="1:2" x14ac:dyDescent="0.3">
      <c r="A2514" s="6" t="s">
        <v>5816</v>
      </c>
      <c r="B2514" t="s">
        <v>6896</v>
      </c>
    </row>
    <row r="2515" spans="1:2" x14ac:dyDescent="0.3">
      <c r="A2515" s="6" t="s">
        <v>5817</v>
      </c>
      <c r="B2515" t="s">
        <v>6897</v>
      </c>
    </row>
    <row r="2516" spans="1:2" x14ac:dyDescent="0.3">
      <c r="A2516" s="6" t="s">
        <v>1656</v>
      </c>
      <c r="B2516" t="s">
        <v>4991</v>
      </c>
    </row>
    <row r="2517" spans="1:2" x14ac:dyDescent="0.3">
      <c r="A2517" s="6" t="s">
        <v>5818</v>
      </c>
      <c r="B2517" t="s">
        <v>6898</v>
      </c>
    </row>
    <row r="2518" spans="1:2" x14ac:dyDescent="0.3">
      <c r="A2518" s="6" t="s">
        <v>5819</v>
      </c>
      <c r="B2518" t="s">
        <v>6899</v>
      </c>
    </row>
    <row r="2519" spans="1:2" x14ac:dyDescent="0.3">
      <c r="A2519" s="6" t="s">
        <v>4539</v>
      </c>
      <c r="B2519" t="s">
        <v>3432</v>
      </c>
    </row>
    <row r="2520" spans="1:2" x14ac:dyDescent="0.3">
      <c r="A2520" s="6" t="s">
        <v>4540</v>
      </c>
      <c r="B2520" t="s">
        <v>6999</v>
      </c>
    </row>
    <row r="2521" spans="1:2" x14ac:dyDescent="0.3">
      <c r="A2521" s="6" t="s">
        <v>4541</v>
      </c>
      <c r="B2521" t="s">
        <v>3410</v>
      </c>
    </row>
    <row r="2522" spans="1:2" x14ac:dyDescent="0.3">
      <c r="A2522" s="6" t="s">
        <v>4542</v>
      </c>
      <c r="B2522" t="s">
        <v>1855</v>
      </c>
    </row>
    <row r="2523" spans="1:2" x14ac:dyDescent="0.3">
      <c r="A2523" s="6" t="s">
        <v>4543</v>
      </c>
      <c r="B2523" t="s">
        <v>3789</v>
      </c>
    </row>
    <row r="2524" spans="1:2" x14ac:dyDescent="0.3">
      <c r="A2524" s="6" t="s">
        <v>4544</v>
      </c>
      <c r="B2524" t="s">
        <v>7000</v>
      </c>
    </row>
    <row r="2525" spans="1:2" x14ac:dyDescent="0.3">
      <c r="A2525" s="6" t="s">
        <v>4545</v>
      </c>
      <c r="B2525" t="s">
        <v>3407</v>
      </c>
    </row>
    <row r="2526" spans="1:2" x14ac:dyDescent="0.3">
      <c r="A2526" s="6" t="s">
        <v>4546</v>
      </c>
      <c r="B2526" t="s">
        <v>7001</v>
      </c>
    </row>
    <row r="2527" spans="1:2" x14ac:dyDescent="0.3">
      <c r="A2527" s="6" t="s">
        <v>1657</v>
      </c>
      <c r="B2527" t="s">
        <v>4990</v>
      </c>
    </row>
    <row r="2528" spans="1:2" x14ac:dyDescent="0.3">
      <c r="A2528" s="6" t="s">
        <v>4547</v>
      </c>
      <c r="B2528" t="s">
        <v>3431</v>
      </c>
    </row>
    <row r="2529" spans="1:2" x14ac:dyDescent="0.3">
      <c r="A2529" s="6" t="s">
        <v>4548</v>
      </c>
      <c r="B2529" t="s">
        <v>3790</v>
      </c>
    </row>
    <row r="2530" spans="1:2" x14ac:dyDescent="0.3">
      <c r="A2530" s="6" t="s">
        <v>4549</v>
      </c>
      <c r="B2530" t="s">
        <v>7002</v>
      </c>
    </row>
    <row r="2531" spans="1:2" x14ac:dyDescent="0.3">
      <c r="A2531" s="6" t="s">
        <v>4550</v>
      </c>
      <c r="B2531" t="s">
        <v>3398</v>
      </c>
    </row>
    <row r="2532" spans="1:2" x14ac:dyDescent="0.3">
      <c r="A2532" s="6" t="s">
        <v>4551</v>
      </c>
      <c r="B2532" t="s">
        <v>3791</v>
      </c>
    </row>
    <row r="2533" spans="1:2" x14ac:dyDescent="0.3">
      <c r="A2533" s="6" t="s">
        <v>4552</v>
      </c>
      <c r="B2533" t="s">
        <v>3397</v>
      </c>
    </row>
    <row r="2534" spans="1:2" x14ac:dyDescent="0.3">
      <c r="A2534" s="6" t="s">
        <v>4553</v>
      </c>
      <c r="B2534" t="s">
        <v>3792</v>
      </c>
    </row>
    <row r="2535" spans="1:2" x14ac:dyDescent="0.3">
      <c r="A2535" s="6" t="s">
        <v>4554</v>
      </c>
      <c r="B2535" t="s">
        <v>3793</v>
      </c>
    </row>
    <row r="2536" spans="1:2" x14ac:dyDescent="0.3">
      <c r="A2536" s="6" t="s">
        <v>4555</v>
      </c>
      <c r="B2536" t="s">
        <v>3404</v>
      </c>
    </row>
    <row r="2537" spans="1:2" x14ac:dyDescent="0.3">
      <c r="A2537" s="6" t="s">
        <v>4556</v>
      </c>
      <c r="B2537" t="s">
        <v>3794</v>
      </c>
    </row>
    <row r="2538" spans="1:2" x14ac:dyDescent="0.3">
      <c r="A2538" s="6" t="s">
        <v>1658</v>
      </c>
      <c r="B2538" t="s">
        <v>7900</v>
      </c>
    </row>
    <row r="2539" spans="1:2" x14ac:dyDescent="0.3">
      <c r="A2539" s="6" t="s">
        <v>4557</v>
      </c>
      <c r="B2539" t="s">
        <v>3403</v>
      </c>
    </row>
    <row r="2540" spans="1:2" x14ac:dyDescent="0.3">
      <c r="A2540" s="6" t="s">
        <v>5820</v>
      </c>
      <c r="B2540" t="s">
        <v>6900</v>
      </c>
    </row>
    <row r="2541" spans="1:2" x14ac:dyDescent="0.3">
      <c r="A2541" s="6" t="s">
        <v>5821</v>
      </c>
      <c r="B2541" t="s">
        <v>6901</v>
      </c>
    </row>
    <row r="2542" spans="1:2" x14ac:dyDescent="0.3">
      <c r="A2542" s="6" t="s">
        <v>5822</v>
      </c>
      <c r="B2542" t="s">
        <v>6902</v>
      </c>
    </row>
    <row r="2543" spans="1:2" x14ac:dyDescent="0.3">
      <c r="A2543" s="6" t="s">
        <v>4558</v>
      </c>
      <c r="B2543" t="s">
        <v>7003</v>
      </c>
    </row>
    <row r="2544" spans="1:2" x14ac:dyDescent="0.3">
      <c r="A2544" s="6" t="s">
        <v>4559</v>
      </c>
      <c r="B2544" t="s">
        <v>3402</v>
      </c>
    </row>
    <row r="2545" spans="1:2" x14ac:dyDescent="0.3">
      <c r="A2545" s="6" t="s">
        <v>4560</v>
      </c>
      <c r="B2545" t="s">
        <v>2407</v>
      </c>
    </row>
    <row r="2546" spans="1:2" x14ac:dyDescent="0.3">
      <c r="A2546" s="6" t="s">
        <v>4561</v>
      </c>
      <c r="B2546" t="s">
        <v>3795</v>
      </c>
    </row>
    <row r="2547" spans="1:2" x14ac:dyDescent="0.3">
      <c r="A2547" s="6" t="s">
        <v>4562</v>
      </c>
      <c r="B2547" t="s">
        <v>7004</v>
      </c>
    </row>
    <row r="2548" spans="1:2" x14ac:dyDescent="0.3">
      <c r="A2548" s="6" t="s">
        <v>4563</v>
      </c>
      <c r="B2548" t="s">
        <v>3427</v>
      </c>
    </row>
    <row r="2549" spans="1:2" x14ac:dyDescent="0.3">
      <c r="A2549" s="6" t="s">
        <v>1659</v>
      </c>
      <c r="B2549" t="s">
        <v>7809</v>
      </c>
    </row>
    <row r="2550" spans="1:2" x14ac:dyDescent="0.3">
      <c r="A2550" s="6" t="s">
        <v>4564</v>
      </c>
      <c r="B2550" t="s">
        <v>2439</v>
      </c>
    </row>
    <row r="2551" spans="1:2" x14ac:dyDescent="0.3">
      <c r="A2551" s="6" t="s">
        <v>4565</v>
      </c>
      <c r="B2551" t="s">
        <v>7005</v>
      </c>
    </row>
    <row r="2552" spans="1:2" x14ac:dyDescent="0.3">
      <c r="A2552" s="6" t="s">
        <v>4566</v>
      </c>
      <c r="B2552" t="s">
        <v>3426</v>
      </c>
    </row>
    <row r="2553" spans="1:2" x14ac:dyDescent="0.3">
      <c r="A2553" s="6" t="s">
        <v>4567</v>
      </c>
      <c r="B2553" t="s">
        <v>2442</v>
      </c>
    </row>
    <row r="2554" spans="1:2" x14ac:dyDescent="0.3">
      <c r="A2554" s="6" t="s">
        <v>4568</v>
      </c>
      <c r="B2554" t="s">
        <v>8445</v>
      </c>
    </row>
    <row r="2555" spans="1:2" x14ac:dyDescent="0.3">
      <c r="A2555" s="6" t="s">
        <v>4569</v>
      </c>
      <c r="B2555" t="s">
        <v>8674</v>
      </c>
    </row>
    <row r="2556" spans="1:2" x14ac:dyDescent="0.3">
      <c r="A2556" s="6" t="s">
        <v>4570</v>
      </c>
      <c r="B2556" t="s">
        <v>7171</v>
      </c>
    </row>
    <row r="2557" spans="1:2" x14ac:dyDescent="0.3">
      <c r="A2557" s="6" t="s">
        <v>4571</v>
      </c>
      <c r="B2557" t="s">
        <v>8675</v>
      </c>
    </row>
    <row r="2558" spans="1:2" x14ac:dyDescent="0.3">
      <c r="A2558" s="6" t="s">
        <v>4572</v>
      </c>
      <c r="B2558" t="s">
        <v>7172</v>
      </c>
    </row>
    <row r="2559" spans="1:2" x14ac:dyDescent="0.3">
      <c r="A2559" s="6" t="s">
        <v>4573</v>
      </c>
      <c r="B2559" t="s">
        <v>7173</v>
      </c>
    </row>
    <row r="2560" spans="1:2" x14ac:dyDescent="0.3">
      <c r="A2560" s="6" t="s">
        <v>1660</v>
      </c>
      <c r="B2560" t="s">
        <v>3369</v>
      </c>
    </row>
    <row r="2561" spans="1:2" x14ac:dyDescent="0.3">
      <c r="A2561" s="6" t="s">
        <v>4574</v>
      </c>
      <c r="B2561" t="s">
        <v>7174</v>
      </c>
    </row>
    <row r="2562" spans="1:2" x14ac:dyDescent="0.3">
      <c r="A2562" s="6" t="s">
        <v>4575</v>
      </c>
      <c r="B2562" t="s">
        <v>8446</v>
      </c>
    </row>
    <row r="2563" spans="1:2" x14ac:dyDescent="0.3">
      <c r="A2563" s="6" t="s">
        <v>4576</v>
      </c>
      <c r="B2563" t="s">
        <v>8676</v>
      </c>
    </row>
    <row r="2564" spans="1:2" x14ac:dyDescent="0.3">
      <c r="A2564" s="6" t="s">
        <v>4577</v>
      </c>
      <c r="B2564" t="s">
        <v>7175</v>
      </c>
    </row>
    <row r="2565" spans="1:2" x14ac:dyDescent="0.3">
      <c r="A2565" s="6" t="s">
        <v>5823</v>
      </c>
      <c r="B2565" t="s">
        <v>8403</v>
      </c>
    </row>
    <row r="2566" spans="1:2" x14ac:dyDescent="0.3">
      <c r="A2566" s="6" t="s">
        <v>4578</v>
      </c>
      <c r="B2566" t="s">
        <v>7176</v>
      </c>
    </row>
    <row r="2567" spans="1:2" x14ac:dyDescent="0.3">
      <c r="A2567" s="6" t="s">
        <v>5824</v>
      </c>
      <c r="B2567" t="s">
        <v>8469</v>
      </c>
    </row>
    <row r="2568" spans="1:2" x14ac:dyDescent="0.3">
      <c r="A2568" s="6" t="s">
        <v>4579</v>
      </c>
      <c r="B2568" t="s">
        <v>7177</v>
      </c>
    </row>
    <row r="2569" spans="1:2" x14ac:dyDescent="0.3">
      <c r="A2569" s="6" t="s">
        <v>4581</v>
      </c>
      <c r="B2569" t="s">
        <v>7180</v>
      </c>
    </row>
    <row r="2570" spans="1:2" x14ac:dyDescent="0.3">
      <c r="A2570" s="6" t="s">
        <v>4582</v>
      </c>
      <c r="B2570" t="s">
        <v>7178</v>
      </c>
    </row>
    <row r="2571" spans="1:2" x14ac:dyDescent="0.3">
      <c r="A2571" s="6" t="s">
        <v>1661</v>
      </c>
      <c r="B2571" t="s">
        <v>3373</v>
      </c>
    </row>
    <row r="2572" spans="1:2" x14ac:dyDescent="0.3">
      <c r="A2572" s="6" t="s">
        <v>4583</v>
      </c>
      <c r="B2572" t="s">
        <v>7179</v>
      </c>
    </row>
    <row r="2573" spans="1:2" x14ac:dyDescent="0.3">
      <c r="A2573" s="6" t="s">
        <v>4584</v>
      </c>
      <c r="B2573" t="s">
        <v>8707</v>
      </c>
    </row>
    <row r="2574" spans="1:2" x14ac:dyDescent="0.3">
      <c r="A2574" s="6" t="s">
        <v>4585</v>
      </c>
      <c r="B2574" t="s">
        <v>8708</v>
      </c>
    </row>
    <row r="2575" spans="1:2" x14ac:dyDescent="0.3">
      <c r="A2575" s="6" t="s">
        <v>5825</v>
      </c>
      <c r="B2575" t="s">
        <v>8470</v>
      </c>
    </row>
    <row r="2576" spans="1:2" x14ac:dyDescent="0.3">
      <c r="A2576" s="6" t="s">
        <v>4586</v>
      </c>
      <c r="B2576" t="s">
        <v>8447</v>
      </c>
    </row>
    <row r="2577" spans="1:2" x14ac:dyDescent="0.3">
      <c r="A2577" s="6" t="s">
        <v>4587</v>
      </c>
      <c r="B2577" t="s">
        <v>7181</v>
      </c>
    </row>
    <row r="2578" spans="1:2" x14ac:dyDescent="0.3">
      <c r="A2578" s="6" t="s">
        <v>4588</v>
      </c>
      <c r="B2578" t="s">
        <v>7184</v>
      </c>
    </row>
    <row r="2579" spans="1:2" x14ac:dyDescent="0.3">
      <c r="A2579" s="6" t="s">
        <v>4589</v>
      </c>
      <c r="B2579" t="s">
        <v>7183</v>
      </c>
    </row>
    <row r="2580" spans="1:2" x14ac:dyDescent="0.3">
      <c r="A2580" s="6" t="s">
        <v>4590</v>
      </c>
      <c r="B2580" t="s">
        <v>7006</v>
      </c>
    </row>
    <row r="2581" spans="1:2" x14ac:dyDescent="0.3">
      <c r="A2581" s="6" t="s">
        <v>5826</v>
      </c>
      <c r="B2581" t="s">
        <v>3434</v>
      </c>
    </row>
    <row r="2582" spans="1:2" x14ac:dyDescent="0.3">
      <c r="A2582" s="6" t="s">
        <v>1662</v>
      </c>
      <c r="B2582" t="s">
        <v>7810</v>
      </c>
    </row>
    <row r="2583" spans="1:2" x14ac:dyDescent="0.3">
      <c r="A2583" s="6" t="s">
        <v>4591</v>
      </c>
      <c r="B2583" t="s">
        <v>8471</v>
      </c>
    </row>
    <row r="2584" spans="1:2" x14ac:dyDescent="0.3">
      <c r="A2584" s="6" t="s">
        <v>4592</v>
      </c>
      <c r="B2584" t="s">
        <v>2444</v>
      </c>
    </row>
    <row r="2585" spans="1:2" x14ac:dyDescent="0.3">
      <c r="A2585" s="6" t="s">
        <v>4593</v>
      </c>
      <c r="B2585" t="s">
        <v>7182</v>
      </c>
    </row>
    <row r="2586" spans="1:2" x14ac:dyDescent="0.3">
      <c r="A2586" s="6" t="s">
        <v>4594</v>
      </c>
      <c r="B2586" t="s">
        <v>7007</v>
      </c>
    </row>
    <row r="2587" spans="1:2" x14ac:dyDescent="0.3">
      <c r="A2587" s="6" t="s">
        <v>5827</v>
      </c>
      <c r="B2587" t="s">
        <v>8404</v>
      </c>
    </row>
    <row r="2588" spans="1:2" x14ac:dyDescent="0.3">
      <c r="A2588" s="6" t="s">
        <v>4595</v>
      </c>
      <c r="B2588" t="s">
        <v>2450</v>
      </c>
    </row>
    <row r="2589" spans="1:2" x14ac:dyDescent="0.3">
      <c r="A2589" s="6" t="s">
        <v>4596</v>
      </c>
      <c r="B2589" t="s">
        <v>7185</v>
      </c>
    </row>
    <row r="2590" spans="1:2" x14ac:dyDescent="0.3">
      <c r="A2590" s="6" t="s">
        <v>4597</v>
      </c>
      <c r="B2590" t="s">
        <v>7008</v>
      </c>
    </row>
    <row r="2591" spans="1:2" x14ac:dyDescent="0.3">
      <c r="A2591" s="6" t="s">
        <v>5828</v>
      </c>
      <c r="B2591" t="s">
        <v>3433</v>
      </c>
    </row>
    <row r="2592" spans="1:2" x14ac:dyDescent="0.3">
      <c r="A2592" s="6" t="s">
        <v>5829</v>
      </c>
      <c r="B2592" t="s">
        <v>8333</v>
      </c>
    </row>
    <row r="2593" spans="1:2" x14ac:dyDescent="0.3">
      <c r="A2593" s="6" t="s">
        <v>1365</v>
      </c>
      <c r="B2593" t="s">
        <v>4291</v>
      </c>
    </row>
    <row r="2594" spans="1:2" x14ac:dyDescent="0.3">
      <c r="A2594" s="6" t="s">
        <v>1663</v>
      </c>
      <c r="B2594" t="s">
        <v>7814</v>
      </c>
    </row>
    <row r="2595" spans="1:2" x14ac:dyDescent="0.3">
      <c r="A2595" s="6" t="s">
        <v>4598</v>
      </c>
      <c r="B2595" t="s">
        <v>2455</v>
      </c>
    </row>
    <row r="2596" spans="1:2" x14ac:dyDescent="0.3">
      <c r="A2596" s="6" t="s">
        <v>4599</v>
      </c>
      <c r="B2596" t="s">
        <v>2352</v>
      </c>
    </row>
    <row r="2597" spans="1:2" x14ac:dyDescent="0.3">
      <c r="A2597" s="6" t="s">
        <v>4600</v>
      </c>
      <c r="B2597" t="s">
        <v>7186</v>
      </c>
    </row>
    <row r="2598" spans="1:2" x14ac:dyDescent="0.3">
      <c r="A2598" s="6" t="s">
        <v>4601</v>
      </c>
      <c r="B2598" t="s">
        <v>7009</v>
      </c>
    </row>
    <row r="2599" spans="1:2" x14ac:dyDescent="0.3">
      <c r="A2599" s="6" t="s">
        <v>4602</v>
      </c>
      <c r="B2599" t="s">
        <v>3399</v>
      </c>
    </row>
    <row r="2600" spans="1:2" x14ac:dyDescent="0.3">
      <c r="A2600" s="6" t="s">
        <v>4603</v>
      </c>
      <c r="B2600" t="s">
        <v>2456</v>
      </c>
    </row>
    <row r="2601" spans="1:2" x14ac:dyDescent="0.3">
      <c r="A2601" s="6" t="s">
        <v>4604</v>
      </c>
      <c r="B2601" t="s">
        <v>3425</v>
      </c>
    </row>
    <row r="2602" spans="1:2" x14ac:dyDescent="0.3">
      <c r="A2602" s="6" t="s">
        <v>4605</v>
      </c>
      <c r="B2602" t="s">
        <v>7010</v>
      </c>
    </row>
    <row r="2603" spans="1:2" x14ac:dyDescent="0.3">
      <c r="A2603" s="6" t="s">
        <v>5830</v>
      </c>
      <c r="B2603" t="s">
        <v>8334</v>
      </c>
    </row>
    <row r="2604" spans="1:2" x14ac:dyDescent="0.3">
      <c r="A2604" s="6" t="s">
        <v>4606</v>
      </c>
      <c r="B2604" t="s">
        <v>2468</v>
      </c>
    </row>
    <row r="2605" spans="1:2" x14ac:dyDescent="0.3">
      <c r="A2605" s="6" t="s">
        <v>1664</v>
      </c>
      <c r="B2605" t="s">
        <v>7815</v>
      </c>
    </row>
    <row r="2606" spans="1:2" x14ac:dyDescent="0.3">
      <c r="A2606" s="6" t="s">
        <v>4607</v>
      </c>
      <c r="B2606" t="s">
        <v>3796</v>
      </c>
    </row>
    <row r="2607" spans="1:2" x14ac:dyDescent="0.3">
      <c r="A2607" s="6" t="s">
        <v>5831</v>
      </c>
      <c r="B2607" t="s">
        <v>8223</v>
      </c>
    </row>
    <row r="2608" spans="1:2" x14ac:dyDescent="0.3">
      <c r="A2608" s="6" t="s">
        <v>4608</v>
      </c>
      <c r="B2608" t="s">
        <v>7922</v>
      </c>
    </row>
    <row r="2609" spans="1:2" x14ac:dyDescent="0.3">
      <c r="A2609" s="6" t="s">
        <v>4609</v>
      </c>
      <c r="B2609" t="s">
        <v>7923</v>
      </c>
    </row>
    <row r="2610" spans="1:2" x14ac:dyDescent="0.3">
      <c r="A2610" s="6" t="s">
        <v>5832</v>
      </c>
      <c r="B2610" t="s">
        <v>7924</v>
      </c>
    </row>
    <row r="2611" spans="1:2" x14ac:dyDescent="0.3">
      <c r="A2611" s="6" t="s">
        <v>5833</v>
      </c>
      <c r="B2611" t="s">
        <v>7925</v>
      </c>
    </row>
    <row r="2612" spans="1:2" x14ac:dyDescent="0.3">
      <c r="A2612" s="6" t="s">
        <v>5834</v>
      </c>
      <c r="B2612" t="s">
        <v>7926</v>
      </c>
    </row>
    <row r="2613" spans="1:2" x14ac:dyDescent="0.3">
      <c r="A2613" s="6" t="s">
        <v>5835</v>
      </c>
      <c r="B2613" t="s">
        <v>8444</v>
      </c>
    </row>
    <row r="2614" spans="1:2" x14ac:dyDescent="0.3">
      <c r="A2614" s="6" t="s">
        <v>5836</v>
      </c>
      <c r="B2614" t="s">
        <v>7795</v>
      </c>
    </row>
    <row r="2615" spans="1:2" x14ac:dyDescent="0.3">
      <c r="A2615" s="6" t="s">
        <v>5837</v>
      </c>
      <c r="B2615" t="s">
        <v>7927</v>
      </c>
    </row>
    <row r="2616" spans="1:2" x14ac:dyDescent="0.3">
      <c r="A2616" s="6" t="s">
        <v>1665</v>
      </c>
      <c r="B2616" t="s">
        <v>7811</v>
      </c>
    </row>
    <row r="2617" spans="1:2" x14ac:dyDescent="0.3">
      <c r="A2617" s="6" t="s">
        <v>5838</v>
      </c>
      <c r="B2617" t="s">
        <v>3834</v>
      </c>
    </row>
    <row r="2618" spans="1:2" x14ac:dyDescent="0.3">
      <c r="A2618" s="6" t="s">
        <v>4610</v>
      </c>
      <c r="B2618" t="s">
        <v>1760</v>
      </c>
    </row>
    <row r="2619" spans="1:2" x14ac:dyDescent="0.3">
      <c r="A2619" s="6" t="s">
        <v>5839</v>
      </c>
      <c r="B2619" t="s">
        <v>7928</v>
      </c>
    </row>
    <row r="2620" spans="1:2" x14ac:dyDescent="0.3">
      <c r="A2620" s="6" t="s">
        <v>5840</v>
      </c>
      <c r="B2620" t="s">
        <v>7929</v>
      </c>
    </row>
    <row r="2621" spans="1:2" x14ac:dyDescent="0.3">
      <c r="A2621" s="6" t="s">
        <v>5841</v>
      </c>
      <c r="B2621" t="s">
        <v>7930</v>
      </c>
    </row>
    <row r="2622" spans="1:2" x14ac:dyDescent="0.3">
      <c r="A2622" s="6" t="s">
        <v>5842</v>
      </c>
      <c r="B2622" t="s">
        <v>7931</v>
      </c>
    </row>
    <row r="2623" spans="1:2" x14ac:dyDescent="0.3">
      <c r="A2623" s="6" t="s">
        <v>4611</v>
      </c>
      <c r="B2623" t="s">
        <v>1878</v>
      </c>
    </row>
    <row r="2624" spans="1:2" x14ac:dyDescent="0.3">
      <c r="A2624" s="6" t="s">
        <v>4612</v>
      </c>
      <c r="B2624" t="s">
        <v>3350</v>
      </c>
    </row>
    <row r="2625" spans="1:2" x14ac:dyDescent="0.3">
      <c r="A2625" s="6" t="s">
        <v>4613</v>
      </c>
      <c r="B2625" t="s">
        <v>3351</v>
      </c>
    </row>
    <row r="2626" spans="1:2" x14ac:dyDescent="0.3">
      <c r="A2626" s="6" t="s">
        <v>4614</v>
      </c>
      <c r="B2626" t="s">
        <v>3352</v>
      </c>
    </row>
    <row r="2627" spans="1:2" x14ac:dyDescent="0.3">
      <c r="A2627" s="6" t="s">
        <v>1666</v>
      </c>
      <c r="B2627" t="s">
        <v>7812</v>
      </c>
    </row>
    <row r="2628" spans="1:2" x14ac:dyDescent="0.3">
      <c r="A2628" s="6" t="s">
        <v>4615</v>
      </c>
      <c r="B2628" t="s">
        <v>3353</v>
      </c>
    </row>
    <row r="2629" spans="1:2" x14ac:dyDescent="0.3">
      <c r="A2629" s="6" t="s">
        <v>4616</v>
      </c>
      <c r="B2629" t="s">
        <v>3354</v>
      </c>
    </row>
    <row r="2630" spans="1:2" x14ac:dyDescent="0.3">
      <c r="A2630" s="6" t="s">
        <v>4617</v>
      </c>
      <c r="B2630" t="s">
        <v>4182</v>
      </c>
    </row>
    <row r="2631" spans="1:2" x14ac:dyDescent="0.3">
      <c r="A2631" s="6" t="s">
        <v>4618</v>
      </c>
      <c r="B2631" t="s">
        <v>4181</v>
      </c>
    </row>
    <row r="2632" spans="1:2" x14ac:dyDescent="0.3">
      <c r="A2632" s="6" t="s">
        <v>4619</v>
      </c>
      <c r="B2632" t="s">
        <v>5914</v>
      </c>
    </row>
    <row r="2633" spans="1:2" x14ac:dyDescent="0.3">
      <c r="A2633" s="6" t="s">
        <v>4620</v>
      </c>
      <c r="B2633" t="s">
        <v>4183</v>
      </c>
    </row>
    <row r="2634" spans="1:2" x14ac:dyDescent="0.3">
      <c r="A2634" s="6" t="s">
        <v>4621</v>
      </c>
      <c r="B2634" t="s">
        <v>5141</v>
      </c>
    </row>
    <row r="2635" spans="1:2" x14ac:dyDescent="0.3">
      <c r="A2635" s="6" t="s">
        <v>4622</v>
      </c>
      <c r="B2635" t="s">
        <v>5142</v>
      </c>
    </row>
    <row r="2636" spans="1:2" x14ac:dyDescent="0.3">
      <c r="A2636" s="6" t="s">
        <v>4623</v>
      </c>
      <c r="B2636" t="s">
        <v>5143</v>
      </c>
    </row>
    <row r="2637" spans="1:2" x14ac:dyDescent="0.3">
      <c r="A2637" s="6" t="s">
        <v>4624</v>
      </c>
      <c r="B2637" t="s">
        <v>5915</v>
      </c>
    </row>
    <row r="2638" spans="1:2" x14ac:dyDescent="0.3">
      <c r="A2638" s="6" t="s">
        <v>1667</v>
      </c>
      <c r="B2638" t="s">
        <v>7813</v>
      </c>
    </row>
    <row r="2639" spans="1:2" x14ac:dyDescent="0.3">
      <c r="A2639" s="6" t="s">
        <v>4625</v>
      </c>
      <c r="B2639" t="s">
        <v>5144</v>
      </c>
    </row>
    <row r="2640" spans="1:2" x14ac:dyDescent="0.3">
      <c r="A2640" s="6" t="s">
        <v>4626</v>
      </c>
      <c r="B2640" t="s">
        <v>4184</v>
      </c>
    </row>
    <row r="2641" spans="1:2" x14ac:dyDescent="0.3">
      <c r="A2641" s="6" t="s">
        <v>4627</v>
      </c>
      <c r="B2641" t="s">
        <v>6372</v>
      </c>
    </row>
    <row r="2642" spans="1:2" x14ac:dyDescent="0.3">
      <c r="A2642" s="6" t="s">
        <v>4628</v>
      </c>
      <c r="B2642" t="s">
        <v>6367</v>
      </c>
    </row>
    <row r="2643" spans="1:2" x14ac:dyDescent="0.3">
      <c r="A2643" s="6" t="s">
        <v>4629</v>
      </c>
      <c r="B2643" t="s">
        <v>6368</v>
      </c>
    </row>
    <row r="2644" spans="1:2" x14ac:dyDescent="0.3">
      <c r="A2644" s="6" t="s">
        <v>4630</v>
      </c>
      <c r="B2644" t="s">
        <v>6383</v>
      </c>
    </row>
    <row r="2645" spans="1:2" x14ac:dyDescent="0.3">
      <c r="A2645" s="6" t="s">
        <v>4631</v>
      </c>
      <c r="B2645" t="s">
        <v>6363</v>
      </c>
    </row>
    <row r="2646" spans="1:2" x14ac:dyDescent="0.3">
      <c r="A2646" s="6" t="s">
        <v>4632</v>
      </c>
      <c r="B2646" t="s">
        <v>6360</v>
      </c>
    </row>
    <row r="2647" spans="1:2" x14ac:dyDescent="0.3">
      <c r="A2647" s="6" t="s">
        <v>4633</v>
      </c>
      <c r="B2647" t="s">
        <v>6364</v>
      </c>
    </row>
    <row r="2648" spans="1:2" x14ac:dyDescent="0.3">
      <c r="A2648" s="6" t="s">
        <v>4634</v>
      </c>
      <c r="B2648" t="s">
        <v>6361</v>
      </c>
    </row>
    <row r="2649" spans="1:2" x14ac:dyDescent="0.3">
      <c r="A2649" s="6" t="s">
        <v>1668</v>
      </c>
      <c r="B2649" t="s">
        <v>3823</v>
      </c>
    </row>
    <row r="2650" spans="1:2" x14ac:dyDescent="0.3">
      <c r="A2650" s="6" t="s">
        <v>4635</v>
      </c>
      <c r="B2650" t="s">
        <v>6365</v>
      </c>
    </row>
    <row r="2651" spans="1:2" x14ac:dyDescent="0.3">
      <c r="A2651" s="6" t="s">
        <v>4636</v>
      </c>
      <c r="B2651" t="s">
        <v>6362</v>
      </c>
    </row>
    <row r="2652" spans="1:2" x14ac:dyDescent="0.3">
      <c r="A2652" s="6" t="s">
        <v>4637</v>
      </c>
      <c r="B2652" t="s">
        <v>6366</v>
      </c>
    </row>
    <row r="2653" spans="1:2" x14ac:dyDescent="0.3">
      <c r="A2653" s="6" t="s">
        <v>4638</v>
      </c>
      <c r="B2653" t="s">
        <v>4145</v>
      </c>
    </row>
    <row r="2654" spans="1:2" x14ac:dyDescent="0.3">
      <c r="A2654" s="6" t="s">
        <v>4639</v>
      </c>
      <c r="B2654" t="s">
        <v>4142</v>
      </c>
    </row>
    <row r="2655" spans="1:2" x14ac:dyDescent="0.3">
      <c r="A2655" s="6" t="s">
        <v>4640</v>
      </c>
      <c r="B2655" t="s">
        <v>4141</v>
      </c>
    </row>
    <row r="2656" spans="1:2" x14ac:dyDescent="0.3">
      <c r="A2656" s="6" t="s">
        <v>4641</v>
      </c>
      <c r="B2656" t="s">
        <v>6156</v>
      </c>
    </row>
    <row r="2657" spans="1:2" x14ac:dyDescent="0.3">
      <c r="A2657" s="6" t="s">
        <v>4642</v>
      </c>
      <c r="B2657" t="s">
        <v>4144</v>
      </c>
    </row>
    <row r="2658" spans="1:2" x14ac:dyDescent="0.3">
      <c r="A2658" s="6" t="s">
        <v>4643</v>
      </c>
      <c r="B2658" t="s">
        <v>4146</v>
      </c>
    </row>
    <row r="2659" spans="1:2" x14ac:dyDescent="0.3">
      <c r="A2659" s="6" t="s">
        <v>4644</v>
      </c>
      <c r="B2659" t="s">
        <v>4140</v>
      </c>
    </row>
    <row r="2660" spans="1:2" x14ac:dyDescent="0.3">
      <c r="A2660" s="6" t="s">
        <v>1669</v>
      </c>
      <c r="B2660" t="s">
        <v>1470</v>
      </c>
    </row>
    <row r="2661" spans="1:2" x14ac:dyDescent="0.3">
      <c r="A2661" s="6" t="s">
        <v>4645</v>
      </c>
      <c r="B2661" t="s">
        <v>4205</v>
      </c>
    </row>
    <row r="2662" spans="1:2" x14ac:dyDescent="0.3">
      <c r="A2662" s="6" t="s">
        <v>4646</v>
      </c>
      <c r="B2662" t="s">
        <v>6382</v>
      </c>
    </row>
    <row r="2663" spans="1:2" x14ac:dyDescent="0.3">
      <c r="A2663" s="6" t="s">
        <v>4647</v>
      </c>
      <c r="B2663" t="s">
        <v>2678</v>
      </c>
    </row>
    <row r="2664" spans="1:2" x14ac:dyDescent="0.3">
      <c r="A2664" s="6" t="s">
        <v>4648</v>
      </c>
      <c r="B2664" t="s">
        <v>2201</v>
      </c>
    </row>
    <row r="2665" spans="1:2" x14ac:dyDescent="0.3">
      <c r="A2665" s="6" t="s">
        <v>4649</v>
      </c>
      <c r="B2665" t="s">
        <v>2435</v>
      </c>
    </row>
    <row r="2666" spans="1:2" x14ac:dyDescent="0.3">
      <c r="A2666" s="6" t="s">
        <v>4650</v>
      </c>
      <c r="B2666" t="s">
        <v>5996</v>
      </c>
    </row>
    <row r="2667" spans="1:2" x14ac:dyDescent="0.3">
      <c r="A2667" s="6" t="s">
        <v>4651</v>
      </c>
      <c r="B2667" t="s">
        <v>5997</v>
      </c>
    </row>
    <row r="2668" spans="1:2" x14ac:dyDescent="0.3">
      <c r="A2668" s="6" t="s">
        <v>4652</v>
      </c>
      <c r="B2668" t="s">
        <v>5998</v>
      </c>
    </row>
    <row r="2669" spans="1:2" x14ac:dyDescent="0.3">
      <c r="A2669" s="6" t="s">
        <v>4653</v>
      </c>
      <c r="B2669" t="s">
        <v>5999</v>
      </c>
    </row>
    <row r="2670" spans="1:2" x14ac:dyDescent="0.3">
      <c r="A2670" s="6" t="s">
        <v>4654</v>
      </c>
      <c r="B2670" t="s">
        <v>2696</v>
      </c>
    </row>
    <row r="2671" spans="1:2" x14ac:dyDescent="0.3">
      <c r="A2671" s="6" t="s">
        <v>1670</v>
      </c>
      <c r="B2671" t="s">
        <v>3824</v>
      </c>
    </row>
    <row r="2672" spans="1:2" x14ac:dyDescent="0.3">
      <c r="A2672" s="6" t="s">
        <v>4655</v>
      </c>
      <c r="B2672" t="s">
        <v>2303</v>
      </c>
    </row>
    <row r="2673" spans="1:2" x14ac:dyDescent="0.3">
      <c r="A2673" s="6" t="s">
        <v>4656</v>
      </c>
      <c r="B2673" t="s">
        <v>2011</v>
      </c>
    </row>
    <row r="2674" spans="1:2" x14ac:dyDescent="0.3">
      <c r="A2674" s="6" t="s">
        <v>4657</v>
      </c>
      <c r="B2674" t="s">
        <v>2025</v>
      </c>
    </row>
    <row r="2675" spans="1:2" x14ac:dyDescent="0.3">
      <c r="A2675" s="6" t="s">
        <v>4658</v>
      </c>
      <c r="B2675" t="s">
        <v>2019</v>
      </c>
    </row>
    <row r="2676" spans="1:2" x14ac:dyDescent="0.3">
      <c r="A2676" s="6" t="s">
        <v>4659</v>
      </c>
      <c r="B2676" t="s">
        <v>8221</v>
      </c>
    </row>
    <row r="2677" spans="1:2" x14ac:dyDescent="0.3">
      <c r="A2677" s="6" t="s">
        <v>4660</v>
      </c>
      <c r="B2677" t="s">
        <v>8220</v>
      </c>
    </row>
    <row r="2678" spans="1:2" x14ac:dyDescent="0.3">
      <c r="A2678" s="6" t="s">
        <v>4661</v>
      </c>
      <c r="B2678" t="s">
        <v>8281</v>
      </c>
    </row>
    <row r="2679" spans="1:2" x14ac:dyDescent="0.3">
      <c r="A2679" s="6" t="s">
        <v>4662</v>
      </c>
      <c r="B2679" t="s">
        <v>8218</v>
      </c>
    </row>
    <row r="2680" spans="1:2" x14ac:dyDescent="0.3">
      <c r="A2680" s="6" t="s">
        <v>4663</v>
      </c>
      <c r="B2680" t="s">
        <v>8222</v>
      </c>
    </row>
    <row r="2681" spans="1:2" x14ac:dyDescent="0.3">
      <c r="A2681" s="6" t="s">
        <v>4664</v>
      </c>
      <c r="B2681" t="s">
        <v>8337</v>
      </c>
    </row>
    <row r="2682" spans="1:2" x14ac:dyDescent="0.3">
      <c r="A2682" s="6" t="s">
        <v>1671</v>
      </c>
      <c r="B2682" t="s">
        <v>3818</v>
      </c>
    </row>
    <row r="2683" spans="1:2" x14ac:dyDescent="0.3">
      <c r="A2683" s="6" t="s">
        <v>4665</v>
      </c>
      <c r="B2683" t="s">
        <v>8219</v>
      </c>
    </row>
    <row r="2684" spans="1:2" x14ac:dyDescent="0.3">
      <c r="A2684" s="6" t="s">
        <v>4666</v>
      </c>
      <c r="B2684" t="s">
        <v>8217</v>
      </c>
    </row>
    <row r="2685" spans="1:2" x14ac:dyDescent="0.3">
      <c r="A2685" s="6" t="s">
        <v>4667</v>
      </c>
      <c r="B2685" t="s">
        <v>1653</v>
      </c>
    </row>
    <row r="2686" spans="1:2" x14ac:dyDescent="0.3">
      <c r="A2686" s="6" t="s">
        <v>4668</v>
      </c>
      <c r="B2686" t="s">
        <v>2443</v>
      </c>
    </row>
    <row r="2687" spans="1:2" x14ac:dyDescent="0.3">
      <c r="A2687" s="6" t="s">
        <v>4669</v>
      </c>
      <c r="B2687" t="s">
        <v>3481</v>
      </c>
    </row>
    <row r="2688" spans="1:2" x14ac:dyDescent="0.3">
      <c r="A2688" s="6" t="s">
        <v>4670</v>
      </c>
      <c r="B2688" t="s">
        <v>2545</v>
      </c>
    </row>
    <row r="2689" spans="1:2" x14ac:dyDescent="0.3">
      <c r="A2689" s="6" t="s">
        <v>4671</v>
      </c>
      <c r="B2689" t="s">
        <v>2619</v>
      </c>
    </row>
    <row r="2690" spans="1:2" x14ac:dyDescent="0.3">
      <c r="A2690" s="6" t="s">
        <v>4672</v>
      </c>
      <c r="B2690" t="s">
        <v>3299</v>
      </c>
    </row>
    <row r="2691" spans="1:2" x14ac:dyDescent="0.3">
      <c r="A2691" s="6" t="s">
        <v>4673</v>
      </c>
      <c r="B2691" t="s">
        <v>6370</v>
      </c>
    </row>
    <row r="2692" spans="1:2" x14ac:dyDescent="0.3">
      <c r="A2692" s="6" t="s">
        <v>4674</v>
      </c>
      <c r="B2692" t="s">
        <v>3304</v>
      </c>
    </row>
    <row r="2693" spans="1:2" x14ac:dyDescent="0.3">
      <c r="A2693" s="6" t="s">
        <v>1672</v>
      </c>
      <c r="B2693" t="s">
        <v>3819</v>
      </c>
    </row>
    <row r="2694" spans="1:2" x14ac:dyDescent="0.3">
      <c r="A2694" s="6" t="s">
        <v>4675</v>
      </c>
      <c r="B2694" t="s">
        <v>2067</v>
      </c>
    </row>
    <row r="2695" spans="1:2" x14ac:dyDescent="0.3">
      <c r="A2695" s="6" t="s">
        <v>4676</v>
      </c>
      <c r="B2695" t="s">
        <v>8319</v>
      </c>
    </row>
    <row r="2696" spans="1:2" x14ac:dyDescent="0.3">
      <c r="A2696" s="6" t="s">
        <v>4677</v>
      </c>
      <c r="B2696" t="s">
        <v>3256</v>
      </c>
    </row>
    <row r="2697" spans="1:2" x14ac:dyDescent="0.3">
      <c r="A2697" s="6" t="s">
        <v>4678</v>
      </c>
      <c r="B2697" t="s">
        <v>3260</v>
      </c>
    </row>
    <row r="2698" spans="1:2" x14ac:dyDescent="0.3">
      <c r="A2698" s="6" t="s">
        <v>4679</v>
      </c>
      <c r="B2698" t="s">
        <v>8382</v>
      </c>
    </row>
    <row r="2699" spans="1:2" x14ac:dyDescent="0.3">
      <c r="A2699" s="6" t="s">
        <v>4680</v>
      </c>
      <c r="B2699" t="s">
        <v>8383</v>
      </c>
    </row>
    <row r="2700" spans="1:2" x14ac:dyDescent="0.3">
      <c r="A2700" s="6" t="s">
        <v>4681</v>
      </c>
      <c r="B2700" t="s">
        <v>3257</v>
      </c>
    </row>
    <row r="2701" spans="1:2" x14ac:dyDescent="0.3">
      <c r="A2701" s="6" t="s">
        <v>4682</v>
      </c>
      <c r="B2701" t="s">
        <v>1785</v>
      </c>
    </row>
    <row r="2702" spans="1:2" x14ac:dyDescent="0.3">
      <c r="A2702" s="6" t="s">
        <v>4683</v>
      </c>
      <c r="B2702" t="s">
        <v>1828</v>
      </c>
    </row>
    <row r="2703" spans="1:2" x14ac:dyDescent="0.3">
      <c r="A2703" s="6" t="s">
        <v>4684</v>
      </c>
      <c r="B2703" t="s">
        <v>3259</v>
      </c>
    </row>
    <row r="2704" spans="1:2" x14ac:dyDescent="0.3">
      <c r="A2704" s="6" t="s">
        <v>1366</v>
      </c>
      <c r="B2704" t="s">
        <v>7372</v>
      </c>
    </row>
    <row r="2705" spans="1:2" x14ac:dyDescent="0.3">
      <c r="A2705" s="6" t="s">
        <v>1673</v>
      </c>
      <c r="B2705" t="s">
        <v>3827</v>
      </c>
    </row>
    <row r="2706" spans="1:2" x14ac:dyDescent="0.3">
      <c r="A2706" s="6" t="s">
        <v>4685</v>
      </c>
      <c r="B2706" t="s">
        <v>3258</v>
      </c>
    </row>
    <row r="2707" spans="1:2" x14ac:dyDescent="0.3">
      <c r="A2707" s="6" t="s">
        <v>4686</v>
      </c>
      <c r="B2707" t="s">
        <v>3261</v>
      </c>
    </row>
    <row r="2708" spans="1:2" x14ac:dyDescent="0.3">
      <c r="A2708" s="6" t="s">
        <v>4687</v>
      </c>
      <c r="B2708" t="s">
        <v>3262</v>
      </c>
    </row>
    <row r="2709" spans="1:2" x14ac:dyDescent="0.3">
      <c r="A2709" s="6" t="s">
        <v>4688</v>
      </c>
      <c r="B2709" t="s">
        <v>2621</v>
      </c>
    </row>
    <row r="2710" spans="1:2" x14ac:dyDescent="0.3">
      <c r="A2710" s="6" t="s">
        <v>4689</v>
      </c>
      <c r="B2710" t="s">
        <v>2622</v>
      </c>
    </row>
    <row r="2711" spans="1:2" x14ac:dyDescent="0.3">
      <c r="A2711" s="6" t="s">
        <v>4690</v>
      </c>
      <c r="B2711" t="s">
        <v>2623</v>
      </c>
    </row>
    <row r="2712" spans="1:2" x14ac:dyDescent="0.3">
      <c r="A2712" s="6" t="s">
        <v>4691</v>
      </c>
      <c r="B2712" t="s">
        <v>2624</v>
      </c>
    </row>
    <row r="2713" spans="1:2" x14ac:dyDescent="0.3">
      <c r="A2713" s="6" t="s">
        <v>4692</v>
      </c>
      <c r="B2713" t="s">
        <v>2625</v>
      </c>
    </row>
    <row r="2714" spans="1:2" x14ac:dyDescent="0.3">
      <c r="A2714" s="6" t="s">
        <v>4693</v>
      </c>
      <c r="B2714" t="s">
        <v>3267</v>
      </c>
    </row>
    <row r="2715" spans="1:2" x14ac:dyDescent="0.3">
      <c r="A2715" s="6" t="s">
        <v>4694</v>
      </c>
      <c r="B2715" t="s">
        <v>3264</v>
      </c>
    </row>
    <row r="2716" spans="1:2" x14ac:dyDescent="0.3">
      <c r="A2716" s="6" t="s">
        <v>1674</v>
      </c>
      <c r="B2716" t="s">
        <v>3825</v>
      </c>
    </row>
    <row r="2717" spans="1:2" x14ac:dyDescent="0.3">
      <c r="A2717" s="6" t="s">
        <v>4695</v>
      </c>
      <c r="B2717" t="s">
        <v>3265</v>
      </c>
    </row>
    <row r="2718" spans="1:2" x14ac:dyDescent="0.3">
      <c r="A2718" s="6" t="s">
        <v>4696</v>
      </c>
      <c r="B2718" t="s">
        <v>3266</v>
      </c>
    </row>
    <row r="2719" spans="1:2" x14ac:dyDescent="0.3">
      <c r="A2719" s="6" t="s">
        <v>4697</v>
      </c>
      <c r="B2719" t="s">
        <v>3263</v>
      </c>
    </row>
    <row r="2720" spans="1:2" x14ac:dyDescent="0.3">
      <c r="A2720" s="6" t="s">
        <v>4698</v>
      </c>
      <c r="B2720" t="s">
        <v>2069</v>
      </c>
    </row>
    <row r="2721" spans="1:2" x14ac:dyDescent="0.3">
      <c r="A2721" s="6" t="s">
        <v>4699</v>
      </c>
      <c r="B2721" t="s">
        <v>2084</v>
      </c>
    </row>
    <row r="2722" spans="1:2" x14ac:dyDescent="0.3">
      <c r="A2722" s="6" t="s">
        <v>4700</v>
      </c>
      <c r="B2722" t="s">
        <v>2070</v>
      </c>
    </row>
    <row r="2723" spans="1:2" x14ac:dyDescent="0.3">
      <c r="A2723" s="6" t="s">
        <v>4701</v>
      </c>
      <c r="B2723" t="s">
        <v>2068</v>
      </c>
    </row>
    <row r="2724" spans="1:2" x14ac:dyDescent="0.3">
      <c r="A2724" s="6" t="s">
        <v>4702</v>
      </c>
      <c r="B2724" t="s">
        <v>7391</v>
      </c>
    </row>
    <row r="2725" spans="1:2" x14ac:dyDescent="0.3">
      <c r="A2725" s="6" t="s">
        <v>4703</v>
      </c>
      <c r="B2725" t="s">
        <v>7393</v>
      </c>
    </row>
    <row r="2726" spans="1:2" x14ac:dyDescent="0.3">
      <c r="A2726" s="6" t="s">
        <v>4704</v>
      </c>
      <c r="B2726" t="s">
        <v>7392</v>
      </c>
    </row>
    <row r="2727" spans="1:2" x14ac:dyDescent="0.3">
      <c r="A2727" s="6" t="s">
        <v>1675</v>
      </c>
      <c r="B2727" t="s">
        <v>3826</v>
      </c>
    </row>
    <row r="2728" spans="1:2" x14ac:dyDescent="0.3">
      <c r="A2728" s="6" t="s">
        <v>4705</v>
      </c>
      <c r="B2728" t="s">
        <v>3355</v>
      </c>
    </row>
    <row r="2729" spans="1:2" x14ac:dyDescent="0.3">
      <c r="A2729" s="6" t="s">
        <v>4706</v>
      </c>
      <c r="B2729" t="s">
        <v>3356</v>
      </c>
    </row>
    <row r="2730" spans="1:2" x14ac:dyDescent="0.3">
      <c r="A2730" s="6" t="s">
        <v>4707</v>
      </c>
      <c r="B2730" t="s">
        <v>2518</v>
      </c>
    </row>
    <row r="2731" spans="1:2" x14ac:dyDescent="0.3">
      <c r="A2731" s="6" t="s">
        <v>4708</v>
      </c>
      <c r="B2731" t="s">
        <v>2517</v>
      </c>
    </row>
    <row r="2732" spans="1:2" x14ac:dyDescent="0.3">
      <c r="A2732" s="6" t="s">
        <v>4709</v>
      </c>
      <c r="B2732" t="s">
        <v>4185</v>
      </c>
    </row>
    <row r="2733" spans="1:2" x14ac:dyDescent="0.3">
      <c r="A2733" s="6" t="s">
        <v>4710</v>
      </c>
      <c r="B2733" t="s">
        <v>7776</v>
      </c>
    </row>
    <row r="2734" spans="1:2" x14ac:dyDescent="0.3">
      <c r="A2734" s="6" t="s">
        <v>4711</v>
      </c>
      <c r="B2734" t="s">
        <v>7921</v>
      </c>
    </row>
    <row r="2735" spans="1:2" x14ac:dyDescent="0.3">
      <c r="A2735" s="6" t="s">
        <v>4712</v>
      </c>
      <c r="B2735" t="s">
        <v>7935</v>
      </c>
    </row>
    <row r="2736" spans="1:2" x14ac:dyDescent="0.3">
      <c r="A2736" s="6" t="s">
        <v>4713</v>
      </c>
      <c r="B2736" t="s">
        <v>7777</v>
      </c>
    </row>
    <row r="2737" spans="1:2" x14ac:dyDescent="0.3">
      <c r="A2737" s="6" t="s">
        <v>4714</v>
      </c>
      <c r="B2737" t="s">
        <v>7778</v>
      </c>
    </row>
    <row r="2738" spans="1:2" x14ac:dyDescent="0.3">
      <c r="A2738" s="6" t="s">
        <v>1676</v>
      </c>
      <c r="B2738" t="s">
        <v>3828</v>
      </c>
    </row>
    <row r="2739" spans="1:2" x14ac:dyDescent="0.3">
      <c r="A2739" s="6" t="s">
        <v>4715</v>
      </c>
      <c r="B2739" t="s">
        <v>4186</v>
      </c>
    </row>
    <row r="2740" spans="1:2" x14ac:dyDescent="0.3">
      <c r="A2740" s="6" t="s">
        <v>4716</v>
      </c>
      <c r="B2740" t="s">
        <v>4187</v>
      </c>
    </row>
    <row r="2741" spans="1:2" x14ac:dyDescent="0.3">
      <c r="A2741" s="6" t="s">
        <v>4717</v>
      </c>
      <c r="B2741" t="s">
        <v>7851</v>
      </c>
    </row>
    <row r="2742" spans="1:2" x14ac:dyDescent="0.3">
      <c r="A2742" s="6" t="s">
        <v>4718</v>
      </c>
      <c r="B2742" t="s">
        <v>7781</v>
      </c>
    </row>
    <row r="2743" spans="1:2" x14ac:dyDescent="0.3">
      <c r="A2743" s="6" t="s">
        <v>4719</v>
      </c>
      <c r="B2743" t="s">
        <v>7782</v>
      </c>
    </row>
    <row r="2744" spans="1:2" x14ac:dyDescent="0.3">
      <c r="A2744" s="6" t="s">
        <v>4720</v>
      </c>
      <c r="B2744" t="s">
        <v>7842</v>
      </c>
    </row>
    <row r="2745" spans="1:2" x14ac:dyDescent="0.3">
      <c r="A2745" s="6" t="s">
        <v>4721</v>
      </c>
      <c r="B2745" t="s">
        <v>7844</v>
      </c>
    </row>
    <row r="2746" spans="1:2" x14ac:dyDescent="0.3">
      <c r="A2746" s="6" t="s">
        <v>4722</v>
      </c>
      <c r="B2746" t="s">
        <v>7843</v>
      </c>
    </row>
    <row r="2747" spans="1:2" x14ac:dyDescent="0.3">
      <c r="A2747" s="6" t="s">
        <v>4723</v>
      </c>
      <c r="B2747" t="s">
        <v>5980</v>
      </c>
    </row>
    <row r="2748" spans="1:2" x14ac:dyDescent="0.3">
      <c r="A2748" s="6" t="s">
        <v>4724</v>
      </c>
      <c r="B2748" t="s">
        <v>8071</v>
      </c>
    </row>
    <row r="2749" spans="1:2" x14ac:dyDescent="0.3">
      <c r="A2749" s="6" t="s">
        <v>1677</v>
      </c>
      <c r="B2749" t="s">
        <v>3820</v>
      </c>
    </row>
    <row r="2750" spans="1:2" x14ac:dyDescent="0.3">
      <c r="A2750" s="6" t="s">
        <v>4725</v>
      </c>
      <c r="B2750" t="s">
        <v>8070</v>
      </c>
    </row>
    <row r="2751" spans="1:2" x14ac:dyDescent="0.3">
      <c r="A2751" s="6" t="s">
        <v>4726</v>
      </c>
      <c r="B2751" t="s">
        <v>2509</v>
      </c>
    </row>
    <row r="2752" spans="1:2" x14ac:dyDescent="0.3">
      <c r="A2752" s="6" t="s">
        <v>4727</v>
      </c>
      <c r="B2752" t="s">
        <v>7998</v>
      </c>
    </row>
    <row r="2753" spans="1:2" x14ac:dyDescent="0.3">
      <c r="A2753" s="6" t="s">
        <v>4728</v>
      </c>
      <c r="B2753" t="s">
        <v>7780</v>
      </c>
    </row>
    <row r="2754" spans="1:2" x14ac:dyDescent="0.3">
      <c r="A2754" s="6" t="s">
        <v>4729</v>
      </c>
      <c r="B2754" t="s">
        <v>7995</v>
      </c>
    </row>
    <row r="2755" spans="1:2" x14ac:dyDescent="0.3">
      <c r="A2755" s="6" t="s">
        <v>4730</v>
      </c>
      <c r="B2755" t="s">
        <v>7156</v>
      </c>
    </row>
    <row r="2756" spans="1:2" x14ac:dyDescent="0.3">
      <c r="A2756" s="6" t="s">
        <v>4731</v>
      </c>
      <c r="B2756" t="s">
        <v>8440</v>
      </c>
    </row>
    <row r="2757" spans="1:2" x14ac:dyDescent="0.3">
      <c r="A2757" s="6" t="s">
        <v>4732</v>
      </c>
      <c r="B2757" t="s">
        <v>8076</v>
      </c>
    </row>
    <row r="2758" spans="1:2" x14ac:dyDescent="0.3">
      <c r="A2758" s="6" t="s">
        <v>4733</v>
      </c>
      <c r="B2758" t="s">
        <v>7996</v>
      </c>
    </row>
    <row r="2759" spans="1:2" x14ac:dyDescent="0.3">
      <c r="A2759" s="6" t="s">
        <v>4734</v>
      </c>
      <c r="B2759" t="s">
        <v>7779</v>
      </c>
    </row>
    <row r="2760" spans="1:2" x14ac:dyDescent="0.3">
      <c r="A2760" s="6" t="s">
        <v>1678</v>
      </c>
      <c r="B2760" t="s">
        <v>3829</v>
      </c>
    </row>
    <row r="2761" spans="1:2" x14ac:dyDescent="0.3">
      <c r="A2761" s="6" t="s">
        <v>4735</v>
      </c>
      <c r="B2761" t="s">
        <v>7997</v>
      </c>
    </row>
    <row r="2762" spans="1:2" x14ac:dyDescent="0.3">
      <c r="A2762" s="6" t="s">
        <v>4736</v>
      </c>
      <c r="B2762" t="s">
        <v>8074</v>
      </c>
    </row>
    <row r="2763" spans="1:2" x14ac:dyDescent="0.3">
      <c r="A2763" s="6" t="s">
        <v>4737</v>
      </c>
      <c r="B2763" t="s">
        <v>8075</v>
      </c>
    </row>
    <row r="2764" spans="1:2" x14ac:dyDescent="0.3">
      <c r="A2764" s="6" t="s">
        <v>4738</v>
      </c>
      <c r="B2764" t="s">
        <v>5986</v>
      </c>
    </row>
    <row r="2765" spans="1:2" x14ac:dyDescent="0.3">
      <c r="A2765" s="6" t="s">
        <v>4739</v>
      </c>
      <c r="B2765" t="s">
        <v>8438</v>
      </c>
    </row>
    <row r="2766" spans="1:2" x14ac:dyDescent="0.3">
      <c r="A2766" s="6" t="s">
        <v>4740</v>
      </c>
      <c r="B2766" t="s">
        <v>2513</v>
      </c>
    </row>
    <row r="2767" spans="1:2" x14ac:dyDescent="0.3">
      <c r="A2767" s="6" t="s">
        <v>4741</v>
      </c>
      <c r="B2767" t="s">
        <v>5286</v>
      </c>
    </row>
    <row r="2768" spans="1:2" x14ac:dyDescent="0.3">
      <c r="A2768" s="6" t="s">
        <v>4742</v>
      </c>
      <c r="B2768" t="s">
        <v>2514</v>
      </c>
    </row>
    <row r="2769" spans="1:2" x14ac:dyDescent="0.3">
      <c r="A2769" s="6" t="s">
        <v>4743</v>
      </c>
      <c r="B2769" t="s">
        <v>3337</v>
      </c>
    </row>
    <row r="2770" spans="1:2" x14ac:dyDescent="0.3">
      <c r="A2770" s="6" t="s">
        <v>4744</v>
      </c>
      <c r="B2770" t="s">
        <v>5894</v>
      </c>
    </row>
    <row r="2771" spans="1:2" x14ac:dyDescent="0.3">
      <c r="A2771" s="6" t="s">
        <v>1679</v>
      </c>
      <c r="B2771" t="s">
        <v>3822</v>
      </c>
    </row>
    <row r="2772" spans="1:2" x14ac:dyDescent="0.3">
      <c r="A2772" s="6" t="s">
        <v>4745</v>
      </c>
      <c r="B2772" t="s">
        <v>2791</v>
      </c>
    </row>
    <row r="2773" spans="1:2" x14ac:dyDescent="0.3">
      <c r="A2773" s="6" t="s">
        <v>4746</v>
      </c>
      <c r="B2773" t="s">
        <v>5984</v>
      </c>
    </row>
    <row r="2774" spans="1:2" x14ac:dyDescent="0.3">
      <c r="A2774" s="6" t="s">
        <v>4747</v>
      </c>
      <c r="B2774" t="s">
        <v>5985</v>
      </c>
    </row>
    <row r="2775" spans="1:2" x14ac:dyDescent="0.3">
      <c r="A2775" s="6" t="s">
        <v>4748</v>
      </c>
      <c r="B2775" t="s">
        <v>2506</v>
      </c>
    </row>
    <row r="2776" spans="1:2" x14ac:dyDescent="0.3">
      <c r="A2776" s="6" t="s">
        <v>4749</v>
      </c>
      <c r="B2776" t="s">
        <v>8439</v>
      </c>
    </row>
    <row r="2777" spans="1:2" x14ac:dyDescent="0.3">
      <c r="A2777" s="6" t="s">
        <v>4750</v>
      </c>
      <c r="B2777" t="s">
        <v>5983</v>
      </c>
    </row>
    <row r="2778" spans="1:2" x14ac:dyDescent="0.3">
      <c r="A2778" s="6" t="s">
        <v>4751</v>
      </c>
      <c r="B2778" t="s">
        <v>2505</v>
      </c>
    </row>
    <row r="2779" spans="1:2" x14ac:dyDescent="0.3">
      <c r="A2779" s="6" t="s">
        <v>4752</v>
      </c>
      <c r="B2779" t="s">
        <v>5895</v>
      </c>
    </row>
    <row r="2780" spans="1:2" x14ac:dyDescent="0.3">
      <c r="A2780" s="6" t="s">
        <v>4753</v>
      </c>
      <c r="B2780" t="s">
        <v>5896</v>
      </c>
    </row>
    <row r="2781" spans="1:2" x14ac:dyDescent="0.3">
      <c r="A2781" s="6" t="s">
        <v>4754</v>
      </c>
      <c r="B2781" t="s">
        <v>5897</v>
      </c>
    </row>
    <row r="2782" spans="1:2" x14ac:dyDescent="0.3">
      <c r="A2782" s="6" t="s">
        <v>1680</v>
      </c>
      <c r="B2782" t="s">
        <v>3821</v>
      </c>
    </row>
    <row r="2783" spans="1:2" x14ac:dyDescent="0.3">
      <c r="A2783" s="6" t="s">
        <v>4755</v>
      </c>
      <c r="B2783" t="s">
        <v>5898</v>
      </c>
    </row>
    <row r="2784" spans="1:2" x14ac:dyDescent="0.3">
      <c r="A2784" s="6" t="s">
        <v>4756</v>
      </c>
      <c r="B2784" t="s">
        <v>5899</v>
      </c>
    </row>
    <row r="2785" spans="1:2" x14ac:dyDescent="0.3">
      <c r="A2785" s="6" t="s">
        <v>4757</v>
      </c>
      <c r="B2785" t="s">
        <v>5900</v>
      </c>
    </row>
    <row r="2786" spans="1:2" x14ac:dyDescent="0.3">
      <c r="A2786" s="6" t="s">
        <v>4758</v>
      </c>
      <c r="B2786" t="s">
        <v>5901</v>
      </c>
    </row>
    <row r="2787" spans="1:2" x14ac:dyDescent="0.3">
      <c r="A2787" s="6" t="s">
        <v>4759</v>
      </c>
      <c r="B2787" t="s">
        <v>8073</v>
      </c>
    </row>
    <row r="2788" spans="1:2" x14ac:dyDescent="0.3">
      <c r="A2788" s="6" t="s">
        <v>4760</v>
      </c>
      <c r="B2788" t="s">
        <v>8072</v>
      </c>
    </row>
    <row r="2789" spans="1:2" x14ac:dyDescent="0.3">
      <c r="A2789" s="6" t="s">
        <v>4761</v>
      </c>
      <c r="B2789" t="s">
        <v>3341</v>
      </c>
    </row>
    <row r="2790" spans="1:2" x14ac:dyDescent="0.3">
      <c r="A2790" s="6" t="s">
        <v>4762</v>
      </c>
      <c r="B2790" t="s">
        <v>3340</v>
      </c>
    </row>
    <row r="2791" spans="1:2" x14ac:dyDescent="0.3">
      <c r="A2791" s="6" t="s">
        <v>4763</v>
      </c>
      <c r="B2791" t="s">
        <v>2515</v>
      </c>
    </row>
    <row r="2792" spans="1:2" x14ac:dyDescent="0.3">
      <c r="A2792" s="6" t="s">
        <v>4764</v>
      </c>
      <c r="B2792" t="s">
        <v>3339</v>
      </c>
    </row>
    <row r="2793" spans="1:2" x14ac:dyDescent="0.3">
      <c r="A2793" s="6" t="s">
        <v>1681</v>
      </c>
      <c r="B2793" t="s">
        <v>5304</v>
      </c>
    </row>
    <row r="2794" spans="1:2" x14ac:dyDescent="0.3">
      <c r="A2794" s="6" t="s">
        <v>4765</v>
      </c>
      <c r="B2794" t="s">
        <v>3338</v>
      </c>
    </row>
    <row r="2795" spans="1:2" x14ac:dyDescent="0.3">
      <c r="A2795" s="6" t="s">
        <v>4766</v>
      </c>
      <c r="B2795" t="s">
        <v>2507</v>
      </c>
    </row>
    <row r="2796" spans="1:2" x14ac:dyDescent="0.3">
      <c r="A2796" s="6" t="s">
        <v>4767</v>
      </c>
      <c r="B2796" t="s">
        <v>2508</v>
      </c>
    </row>
    <row r="2797" spans="1:2" x14ac:dyDescent="0.3">
      <c r="A2797" s="6" t="s">
        <v>4768</v>
      </c>
      <c r="B2797" t="s">
        <v>7862</v>
      </c>
    </row>
    <row r="2798" spans="1:2" x14ac:dyDescent="0.3">
      <c r="A2798" s="6" t="s">
        <v>4769</v>
      </c>
      <c r="B2798" t="s">
        <v>7994</v>
      </c>
    </row>
    <row r="2799" spans="1:2" x14ac:dyDescent="0.3">
      <c r="A2799" s="6" t="s">
        <v>4770</v>
      </c>
      <c r="B2799" t="s">
        <v>5912</v>
      </c>
    </row>
    <row r="2800" spans="1:2" x14ac:dyDescent="0.3">
      <c r="A2800" s="6" t="s">
        <v>4771</v>
      </c>
      <c r="B2800" t="s">
        <v>5905</v>
      </c>
    </row>
    <row r="2801" spans="1:2" x14ac:dyDescent="0.3">
      <c r="A2801" s="6" t="s">
        <v>4772</v>
      </c>
      <c r="B2801" t="s">
        <v>5908</v>
      </c>
    </row>
    <row r="2802" spans="1:2" x14ac:dyDescent="0.3">
      <c r="A2802" s="6" t="s">
        <v>4773</v>
      </c>
      <c r="B2802" t="s">
        <v>5907</v>
      </c>
    </row>
    <row r="2803" spans="1:2" x14ac:dyDescent="0.3">
      <c r="A2803" s="6" t="s">
        <v>4774</v>
      </c>
      <c r="B2803" t="s">
        <v>5902</v>
      </c>
    </row>
    <row r="2804" spans="1:2" x14ac:dyDescent="0.3">
      <c r="A2804" s="6" t="s">
        <v>1682</v>
      </c>
      <c r="B2804" t="s">
        <v>5305</v>
      </c>
    </row>
    <row r="2805" spans="1:2" x14ac:dyDescent="0.3">
      <c r="A2805" s="6" t="s">
        <v>4775</v>
      </c>
      <c r="B2805" t="s">
        <v>5906</v>
      </c>
    </row>
    <row r="2806" spans="1:2" x14ac:dyDescent="0.3">
      <c r="A2806" s="6" t="s">
        <v>4776</v>
      </c>
      <c r="B2806" t="s">
        <v>5909</v>
      </c>
    </row>
    <row r="2807" spans="1:2" x14ac:dyDescent="0.3">
      <c r="A2807" s="6" t="s">
        <v>4777</v>
      </c>
      <c r="B2807" t="s">
        <v>5904</v>
      </c>
    </row>
    <row r="2808" spans="1:2" x14ac:dyDescent="0.3">
      <c r="A2808" s="6" t="s">
        <v>4778</v>
      </c>
      <c r="B2808" t="s">
        <v>5903</v>
      </c>
    </row>
    <row r="2809" spans="1:2" x14ac:dyDescent="0.3">
      <c r="A2809" s="6" t="s">
        <v>4779</v>
      </c>
      <c r="B2809" t="s">
        <v>5910</v>
      </c>
    </row>
    <row r="2810" spans="1:2" x14ac:dyDescent="0.3">
      <c r="A2810" s="6" t="s">
        <v>4780</v>
      </c>
      <c r="B2810" t="s">
        <v>5911</v>
      </c>
    </row>
    <row r="2811" spans="1:2" x14ac:dyDescent="0.3">
      <c r="A2811" s="6" t="s">
        <v>4781</v>
      </c>
      <c r="B2811" t="s">
        <v>5913</v>
      </c>
    </row>
    <row r="2812" spans="1:2" x14ac:dyDescent="0.3">
      <c r="A2812" s="6" t="s">
        <v>4782</v>
      </c>
      <c r="B2812" t="s">
        <v>2519</v>
      </c>
    </row>
    <row r="2813" spans="1:2" x14ac:dyDescent="0.3">
      <c r="A2813" s="6" t="s">
        <v>4783</v>
      </c>
      <c r="B2813" t="s">
        <v>2520</v>
      </c>
    </row>
    <row r="2814" spans="1:2" x14ac:dyDescent="0.3">
      <c r="A2814" s="6" t="s">
        <v>4784</v>
      </c>
      <c r="B2814" t="s">
        <v>2521</v>
      </c>
    </row>
    <row r="2815" spans="1:2" x14ac:dyDescent="0.3">
      <c r="A2815" s="6" t="s">
        <v>1367</v>
      </c>
      <c r="B2815" t="s">
        <v>3070</v>
      </c>
    </row>
    <row r="2816" spans="1:2" x14ac:dyDescent="0.3">
      <c r="A2816" s="6" t="s">
        <v>1683</v>
      </c>
      <c r="B2816" t="s">
        <v>5306</v>
      </c>
    </row>
    <row r="2817" spans="1:2" x14ac:dyDescent="0.3">
      <c r="A2817" s="6" t="s">
        <v>4785</v>
      </c>
      <c r="B2817" t="s">
        <v>3349</v>
      </c>
    </row>
    <row r="2818" spans="1:2" x14ac:dyDescent="0.3">
      <c r="A2818" s="6" t="s">
        <v>4786</v>
      </c>
      <c r="B2818" t="s">
        <v>4467</v>
      </c>
    </row>
    <row r="2819" spans="1:2" x14ac:dyDescent="0.3">
      <c r="A2819" s="6" t="s">
        <v>4787</v>
      </c>
      <c r="B2819" t="s">
        <v>4468</v>
      </c>
    </row>
    <row r="2820" spans="1:2" x14ac:dyDescent="0.3">
      <c r="A2820" s="6" t="s">
        <v>4788</v>
      </c>
      <c r="B2820" t="s">
        <v>2510</v>
      </c>
    </row>
    <row r="2821" spans="1:2" x14ac:dyDescent="0.3">
      <c r="A2821" s="6" t="s">
        <v>4789</v>
      </c>
      <c r="B2821" t="s">
        <v>2511</v>
      </c>
    </row>
    <row r="2822" spans="1:2" x14ac:dyDescent="0.3">
      <c r="A2822" s="6" t="s">
        <v>4790</v>
      </c>
      <c r="B2822" t="s">
        <v>4466</v>
      </c>
    </row>
    <row r="2823" spans="1:2" x14ac:dyDescent="0.3">
      <c r="A2823" s="6" t="s">
        <v>4791</v>
      </c>
      <c r="B2823" t="s">
        <v>6649</v>
      </c>
    </row>
    <row r="2824" spans="1:2" x14ac:dyDescent="0.3">
      <c r="A2824" s="6" t="s">
        <v>4792</v>
      </c>
      <c r="B2824" t="s">
        <v>2512</v>
      </c>
    </row>
    <row r="2825" spans="1:2" x14ac:dyDescent="0.3">
      <c r="A2825" s="6" t="s">
        <v>4793</v>
      </c>
      <c r="B2825" t="s">
        <v>2608</v>
      </c>
    </row>
    <row r="2826" spans="1:2" x14ac:dyDescent="0.3">
      <c r="A2826" s="6" t="s">
        <v>4794</v>
      </c>
      <c r="B2826" t="s">
        <v>5979</v>
      </c>
    </row>
    <row r="2827" spans="1:2" x14ac:dyDescent="0.3">
      <c r="A2827" s="6" t="s">
        <v>1684</v>
      </c>
      <c r="B2827" t="s">
        <v>5307</v>
      </c>
    </row>
    <row r="2828" spans="1:2" x14ac:dyDescent="0.3">
      <c r="A2828" s="6" t="s">
        <v>4795</v>
      </c>
      <c r="B2828" t="s">
        <v>3336</v>
      </c>
    </row>
    <row r="2829" spans="1:2" x14ac:dyDescent="0.3">
      <c r="A2829" s="6" t="s">
        <v>4796</v>
      </c>
      <c r="B2829" t="s">
        <v>3335</v>
      </c>
    </row>
    <row r="2830" spans="1:2" x14ac:dyDescent="0.3">
      <c r="A2830" s="6" t="s">
        <v>4797</v>
      </c>
      <c r="B2830" t="s">
        <v>5282</v>
      </c>
    </row>
    <row r="2831" spans="1:2" x14ac:dyDescent="0.3">
      <c r="A2831" s="6" t="s">
        <v>4798</v>
      </c>
      <c r="B2831" t="s">
        <v>2503</v>
      </c>
    </row>
    <row r="2832" spans="1:2" x14ac:dyDescent="0.3">
      <c r="A2832" s="6" t="s">
        <v>4799</v>
      </c>
      <c r="B2832" t="s">
        <v>2504</v>
      </c>
    </row>
    <row r="2833" spans="1:2" x14ac:dyDescent="0.3">
      <c r="A2833" s="6" t="s">
        <v>4800</v>
      </c>
      <c r="B2833" t="s">
        <v>3334</v>
      </c>
    </row>
    <row r="2834" spans="1:2" x14ac:dyDescent="0.3">
      <c r="A2834" s="6" t="s">
        <v>4801</v>
      </c>
      <c r="B2834" t="s">
        <v>5284</v>
      </c>
    </row>
    <row r="2835" spans="1:2" x14ac:dyDescent="0.3">
      <c r="A2835" s="6" t="s">
        <v>4802</v>
      </c>
      <c r="B2835" t="s">
        <v>5285</v>
      </c>
    </row>
    <row r="2836" spans="1:2" x14ac:dyDescent="0.3">
      <c r="A2836" s="6" t="s">
        <v>4803</v>
      </c>
      <c r="B2836" t="s">
        <v>5978</v>
      </c>
    </row>
    <row r="2837" spans="1:2" x14ac:dyDescent="0.3">
      <c r="A2837" s="6" t="s">
        <v>4804</v>
      </c>
      <c r="B2837" t="s">
        <v>5982</v>
      </c>
    </row>
    <row r="2838" spans="1:2" x14ac:dyDescent="0.3">
      <c r="A2838" s="6" t="s">
        <v>1685</v>
      </c>
      <c r="B2838" t="s">
        <v>5312</v>
      </c>
    </row>
    <row r="2839" spans="1:2" x14ac:dyDescent="0.3">
      <c r="A2839" s="6" t="s">
        <v>4805</v>
      </c>
      <c r="B2839" t="s">
        <v>5283</v>
      </c>
    </row>
    <row r="2840" spans="1:2" x14ac:dyDescent="0.3">
      <c r="A2840" s="6" t="s">
        <v>4806</v>
      </c>
      <c r="B2840" t="s">
        <v>7863</v>
      </c>
    </row>
    <row r="2841" spans="1:2" x14ac:dyDescent="0.3">
      <c r="A2841" s="6" t="s">
        <v>4807</v>
      </c>
      <c r="B2841" t="s">
        <v>7451</v>
      </c>
    </row>
    <row r="2842" spans="1:2" x14ac:dyDescent="0.3">
      <c r="A2842" s="6" t="s">
        <v>4808</v>
      </c>
      <c r="B2842" t="s">
        <v>7452</v>
      </c>
    </row>
    <row r="2843" spans="1:2" x14ac:dyDescent="0.3">
      <c r="A2843" s="6" t="s">
        <v>4809</v>
      </c>
      <c r="B2843" t="s">
        <v>7450</v>
      </c>
    </row>
    <row r="2844" spans="1:2" x14ac:dyDescent="0.3">
      <c r="A2844" s="6" t="s">
        <v>4810</v>
      </c>
      <c r="B2844" t="s">
        <v>7377</v>
      </c>
    </row>
    <row r="2845" spans="1:2" x14ac:dyDescent="0.3">
      <c r="A2845" s="6" t="s">
        <v>4811</v>
      </c>
      <c r="B2845" t="s">
        <v>7378</v>
      </c>
    </row>
    <row r="2846" spans="1:2" x14ac:dyDescent="0.3">
      <c r="A2846" s="6" t="s">
        <v>4812</v>
      </c>
      <c r="B2846" t="s">
        <v>7379</v>
      </c>
    </row>
    <row r="2847" spans="1:2" x14ac:dyDescent="0.3">
      <c r="A2847" s="6" t="s">
        <v>4813</v>
      </c>
      <c r="B2847" t="s">
        <v>7376</v>
      </c>
    </row>
    <row r="2848" spans="1:2" x14ac:dyDescent="0.3">
      <c r="A2848" s="6" t="s">
        <v>4814</v>
      </c>
      <c r="B2848" t="s">
        <v>7380</v>
      </c>
    </row>
    <row r="2849" spans="1:2" x14ac:dyDescent="0.3">
      <c r="A2849" s="6" t="s">
        <v>1686</v>
      </c>
      <c r="B2849" t="s">
        <v>3321</v>
      </c>
    </row>
    <row r="2850" spans="1:2" x14ac:dyDescent="0.3">
      <c r="A2850" s="6" t="s">
        <v>4815</v>
      </c>
      <c r="B2850" t="s">
        <v>7375</v>
      </c>
    </row>
    <row r="2851" spans="1:2" x14ac:dyDescent="0.3">
      <c r="A2851" s="6" t="s">
        <v>4816</v>
      </c>
      <c r="B2851" t="s">
        <v>7389</v>
      </c>
    </row>
    <row r="2852" spans="1:2" x14ac:dyDescent="0.3">
      <c r="A2852" s="6" t="s">
        <v>4817</v>
      </c>
      <c r="B2852" t="s">
        <v>7390</v>
      </c>
    </row>
    <row r="2853" spans="1:2" x14ac:dyDescent="0.3">
      <c r="A2853" s="6" t="s">
        <v>4818</v>
      </c>
      <c r="B2853" t="s">
        <v>7387</v>
      </c>
    </row>
    <row r="2854" spans="1:2" x14ac:dyDescent="0.3">
      <c r="A2854" s="6" t="s">
        <v>4819</v>
      </c>
      <c r="B2854" t="s">
        <v>7388</v>
      </c>
    </row>
    <row r="2855" spans="1:2" x14ac:dyDescent="0.3">
      <c r="A2855" s="6" t="s">
        <v>4820</v>
      </c>
      <c r="B2855" t="s">
        <v>7382</v>
      </c>
    </row>
    <row r="2856" spans="1:2" x14ac:dyDescent="0.3">
      <c r="A2856" s="6" t="s">
        <v>4821</v>
      </c>
      <c r="B2856" t="s">
        <v>7381</v>
      </c>
    </row>
    <row r="2857" spans="1:2" x14ac:dyDescent="0.3">
      <c r="A2857" s="6" t="s">
        <v>4822</v>
      </c>
      <c r="B2857" t="s">
        <v>7385</v>
      </c>
    </row>
    <row r="2858" spans="1:2" x14ac:dyDescent="0.3">
      <c r="A2858" s="6" t="s">
        <v>4823</v>
      </c>
      <c r="B2858" t="s">
        <v>7386</v>
      </c>
    </row>
    <row r="2859" spans="1:2" x14ac:dyDescent="0.3">
      <c r="A2859" s="6" t="s">
        <v>4824</v>
      </c>
      <c r="B2859" t="s">
        <v>7383</v>
      </c>
    </row>
    <row r="2860" spans="1:2" x14ac:dyDescent="0.3">
      <c r="A2860" s="6" t="s">
        <v>1687</v>
      </c>
      <c r="B2860" t="s">
        <v>2564</v>
      </c>
    </row>
    <row r="2861" spans="1:2" x14ac:dyDescent="0.3">
      <c r="A2861" s="6" t="s">
        <v>4825</v>
      </c>
      <c r="B2861" t="s">
        <v>7384</v>
      </c>
    </row>
    <row r="2862" spans="1:2" x14ac:dyDescent="0.3">
      <c r="A2862" s="6" t="s">
        <v>4826</v>
      </c>
      <c r="B2862" t="s">
        <v>3331</v>
      </c>
    </row>
    <row r="2863" spans="1:2" x14ac:dyDescent="0.3">
      <c r="A2863" s="6" t="s">
        <v>4827</v>
      </c>
      <c r="B2863" t="s">
        <v>3333</v>
      </c>
    </row>
    <row r="2864" spans="1:2" x14ac:dyDescent="0.3">
      <c r="A2864" s="6" t="s">
        <v>4828</v>
      </c>
      <c r="B2864" t="s">
        <v>3332</v>
      </c>
    </row>
    <row r="2865" spans="1:2" x14ac:dyDescent="0.3">
      <c r="A2865" s="6" t="s">
        <v>4829</v>
      </c>
      <c r="B2865" t="s">
        <v>2501</v>
      </c>
    </row>
    <row r="2866" spans="1:2" x14ac:dyDescent="0.3">
      <c r="A2866" s="6" t="s">
        <v>4830</v>
      </c>
      <c r="B2866" t="s">
        <v>5280</v>
      </c>
    </row>
    <row r="2867" spans="1:2" x14ac:dyDescent="0.3">
      <c r="A2867" s="6" t="s">
        <v>4831</v>
      </c>
      <c r="B2867" t="s">
        <v>2502</v>
      </c>
    </row>
    <row r="2868" spans="1:2" x14ac:dyDescent="0.3">
      <c r="A2868" s="6" t="s">
        <v>4832</v>
      </c>
      <c r="B2868" t="s">
        <v>3329</v>
      </c>
    </row>
    <row r="2869" spans="1:2" x14ac:dyDescent="0.3">
      <c r="A2869" s="6" t="s">
        <v>4833</v>
      </c>
      <c r="B2869" t="s">
        <v>5281</v>
      </c>
    </row>
    <row r="2870" spans="1:2" x14ac:dyDescent="0.3">
      <c r="A2870" s="6" t="s">
        <v>4834</v>
      </c>
      <c r="B2870" t="s">
        <v>7448</v>
      </c>
    </row>
    <row r="2871" spans="1:2" x14ac:dyDescent="0.3">
      <c r="A2871" s="6" t="s">
        <v>1688</v>
      </c>
      <c r="B2871" t="s">
        <v>3817</v>
      </c>
    </row>
    <row r="2872" spans="1:2" x14ac:dyDescent="0.3">
      <c r="A2872" s="6" t="s">
        <v>4835</v>
      </c>
      <c r="B2872" t="s">
        <v>7447</v>
      </c>
    </row>
    <row r="2873" spans="1:2" x14ac:dyDescent="0.3">
      <c r="A2873" s="6" t="s">
        <v>4836</v>
      </c>
      <c r="B2873" t="s">
        <v>7449</v>
      </c>
    </row>
    <row r="2874" spans="1:2" x14ac:dyDescent="0.3">
      <c r="A2874" s="6" t="s">
        <v>4837</v>
      </c>
      <c r="B2874" t="s">
        <v>2499</v>
      </c>
    </row>
    <row r="2875" spans="1:2" x14ac:dyDescent="0.3">
      <c r="A2875" s="6" t="s">
        <v>4838</v>
      </c>
      <c r="B2875" t="s">
        <v>5278</v>
      </c>
    </row>
    <row r="2876" spans="1:2" x14ac:dyDescent="0.3">
      <c r="A2876" s="6" t="s">
        <v>4839</v>
      </c>
      <c r="B2876" t="s">
        <v>2500</v>
      </c>
    </row>
    <row r="2877" spans="1:2" x14ac:dyDescent="0.3">
      <c r="A2877" s="6" t="s">
        <v>4840</v>
      </c>
      <c r="B2877" t="s">
        <v>3330</v>
      </c>
    </row>
    <row r="2878" spans="1:2" x14ac:dyDescent="0.3">
      <c r="A2878" s="6" t="s">
        <v>4841</v>
      </c>
      <c r="B2878" t="s">
        <v>5279</v>
      </c>
    </row>
    <row r="2879" spans="1:2" x14ac:dyDescent="0.3">
      <c r="A2879" s="6" t="s">
        <v>4842</v>
      </c>
      <c r="B2879" t="s">
        <v>2492</v>
      </c>
    </row>
    <row r="2880" spans="1:2" x14ac:dyDescent="0.3">
      <c r="A2880" s="6" t="s">
        <v>4843</v>
      </c>
      <c r="B2880" t="s">
        <v>5276</v>
      </c>
    </row>
    <row r="2881" spans="1:2" x14ac:dyDescent="0.3">
      <c r="A2881" s="6" t="s">
        <v>4844</v>
      </c>
      <c r="B2881" t="s">
        <v>2498</v>
      </c>
    </row>
    <row r="2882" spans="1:2" x14ac:dyDescent="0.3">
      <c r="A2882" s="6" t="s">
        <v>1689</v>
      </c>
      <c r="B2882" t="s">
        <v>3185</v>
      </c>
    </row>
    <row r="2883" spans="1:2" x14ac:dyDescent="0.3">
      <c r="A2883" s="6" t="s">
        <v>4845</v>
      </c>
      <c r="B2883" t="s">
        <v>3328</v>
      </c>
    </row>
    <row r="2884" spans="1:2" x14ac:dyDescent="0.3">
      <c r="A2884" s="6" t="s">
        <v>4846</v>
      </c>
      <c r="B2884" t="s">
        <v>5277</v>
      </c>
    </row>
    <row r="2885" spans="1:2" x14ac:dyDescent="0.3">
      <c r="A2885" s="6" t="s">
        <v>4847</v>
      </c>
      <c r="B2885" t="s">
        <v>6776</v>
      </c>
    </row>
    <row r="2886" spans="1:2" x14ac:dyDescent="0.3">
      <c r="A2886" s="6" t="s">
        <v>4848</v>
      </c>
      <c r="B2886" t="s">
        <v>6775</v>
      </c>
    </row>
    <row r="2887" spans="1:2" x14ac:dyDescent="0.3">
      <c r="A2887" s="6" t="s">
        <v>4849</v>
      </c>
      <c r="B2887" t="s">
        <v>1839</v>
      </c>
    </row>
    <row r="2888" spans="1:2" x14ac:dyDescent="0.3">
      <c r="A2888" s="6" t="s">
        <v>4850</v>
      </c>
      <c r="B2888" t="s">
        <v>1842</v>
      </c>
    </row>
    <row r="2889" spans="1:2" x14ac:dyDescent="0.3">
      <c r="A2889" s="6" t="s">
        <v>4851</v>
      </c>
      <c r="B2889" t="s">
        <v>3777</v>
      </c>
    </row>
    <row r="2890" spans="1:2" x14ac:dyDescent="0.3">
      <c r="A2890" s="6" t="s">
        <v>4852</v>
      </c>
      <c r="B2890" t="s">
        <v>3778</v>
      </c>
    </row>
    <row r="2891" spans="1:2" x14ac:dyDescent="0.3">
      <c r="A2891" s="6" t="s">
        <v>4853</v>
      </c>
      <c r="B2891" t="s">
        <v>3660</v>
      </c>
    </row>
    <row r="2892" spans="1:2" x14ac:dyDescent="0.3">
      <c r="A2892" s="6" t="s">
        <v>4854</v>
      </c>
      <c r="B2892" t="s">
        <v>3810</v>
      </c>
    </row>
    <row r="2893" spans="1:2" x14ac:dyDescent="0.3">
      <c r="A2893" s="6" t="s">
        <v>1690</v>
      </c>
      <c r="B2893" t="s">
        <v>1944</v>
      </c>
    </row>
    <row r="2894" spans="1:2" x14ac:dyDescent="0.3">
      <c r="A2894" s="6" t="s">
        <v>4855</v>
      </c>
      <c r="B2894" t="s">
        <v>3662</v>
      </c>
    </row>
    <row r="2895" spans="1:2" x14ac:dyDescent="0.3">
      <c r="A2895" s="6" t="s">
        <v>4856</v>
      </c>
      <c r="B2895" t="s">
        <v>3784</v>
      </c>
    </row>
    <row r="2896" spans="1:2" x14ac:dyDescent="0.3">
      <c r="A2896" s="6" t="s">
        <v>4857</v>
      </c>
      <c r="B2896" t="s">
        <v>3786</v>
      </c>
    </row>
    <row r="2897" spans="1:2" x14ac:dyDescent="0.3">
      <c r="A2897" s="6" t="s">
        <v>4858</v>
      </c>
      <c r="B2897" t="s">
        <v>7130</v>
      </c>
    </row>
    <row r="2898" spans="1:2" x14ac:dyDescent="0.3">
      <c r="A2898" s="6" t="s">
        <v>4859</v>
      </c>
      <c r="B2898" t="s">
        <v>3785</v>
      </c>
    </row>
    <row r="2899" spans="1:2" x14ac:dyDescent="0.3">
      <c r="A2899" s="6" t="s">
        <v>4860</v>
      </c>
      <c r="B2899" t="s">
        <v>3783</v>
      </c>
    </row>
    <row r="2900" spans="1:2" x14ac:dyDescent="0.3">
      <c r="A2900" s="6" t="s">
        <v>4861</v>
      </c>
      <c r="B2900" t="s">
        <v>3779</v>
      </c>
    </row>
    <row r="2901" spans="1:2" x14ac:dyDescent="0.3">
      <c r="A2901" s="6" t="s">
        <v>4862</v>
      </c>
      <c r="B2901" t="s">
        <v>6404</v>
      </c>
    </row>
    <row r="2902" spans="1:2" x14ac:dyDescent="0.3">
      <c r="A2902" s="6" t="s">
        <v>4863</v>
      </c>
      <c r="B2902" t="s">
        <v>6405</v>
      </c>
    </row>
    <row r="2903" spans="1:2" x14ac:dyDescent="0.3">
      <c r="A2903" s="6" t="s">
        <v>4864</v>
      </c>
      <c r="B2903" t="s">
        <v>8131</v>
      </c>
    </row>
    <row r="2904" spans="1:2" x14ac:dyDescent="0.3">
      <c r="A2904" s="6" t="s">
        <v>1691</v>
      </c>
      <c r="B2904" t="s">
        <v>2589</v>
      </c>
    </row>
    <row r="2905" spans="1:2" x14ac:dyDescent="0.3">
      <c r="A2905" s="6" t="s">
        <v>4865</v>
      </c>
      <c r="B2905" t="s">
        <v>8132</v>
      </c>
    </row>
    <row r="2906" spans="1:2" x14ac:dyDescent="0.3">
      <c r="A2906" s="6" t="s">
        <v>4866</v>
      </c>
      <c r="B2906" t="s">
        <v>5939</v>
      </c>
    </row>
    <row r="2907" spans="1:2" x14ac:dyDescent="0.3">
      <c r="A2907" s="6" t="s">
        <v>4867</v>
      </c>
      <c r="B2907" t="s">
        <v>6828</v>
      </c>
    </row>
    <row r="2908" spans="1:2" x14ac:dyDescent="0.3">
      <c r="A2908" s="6" t="s">
        <v>4868</v>
      </c>
      <c r="B2908" t="s">
        <v>6829</v>
      </c>
    </row>
    <row r="2909" spans="1:2" x14ac:dyDescent="0.3">
      <c r="A2909" s="6" t="s">
        <v>4869</v>
      </c>
      <c r="B2909" t="s">
        <v>6805</v>
      </c>
    </row>
    <row r="2910" spans="1:2" x14ac:dyDescent="0.3">
      <c r="A2910" s="6" t="s">
        <v>4870</v>
      </c>
      <c r="B2910" t="s">
        <v>6806</v>
      </c>
    </row>
    <row r="2911" spans="1:2" x14ac:dyDescent="0.3">
      <c r="A2911" s="6" t="s">
        <v>4871</v>
      </c>
      <c r="B2911" t="s">
        <v>4471</v>
      </c>
    </row>
    <row r="2912" spans="1:2" x14ac:dyDescent="0.3">
      <c r="A2912" s="6" t="s">
        <v>4872</v>
      </c>
      <c r="B2912" t="s">
        <v>1825</v>
      </c>
    </row>
    <row r="2913" spans="1:2" x14ac:dyDescent="0.3">
      <c r="A2913" s="6" t="s">
        <v>4873</v>
      </c>
      <c r="B2913" t="s">
        <v>6825</v>
      </c>
    </row>
    <row r="2914" spans="1:2" x14ac:dyDescent="0.3">
      <c r="A2914" s="6" t="s">
        <v>4874</v>
      </c>
      <c r="B2914" t="s">
        <v>6826</v>
      </c>
    </row>
    <row r="2915" spans="1:2" x14ac:dyDescent="0.3">
      <c r="A2915" s="6" t="s">
        <v>1692</v>
      </c>
      <c r="B2915" t="s">
        <v>2819</v>
      </c>
    </row>
    <row r="2916" spans="1:2" x14ac:dyDescent="0.3">
      <c r="A2916" s="6" t="s">
        <v>4875</v>
      </c>
      <c r="B2916" t="s">
        <v>1824</v>
      </c>
    </row>
    <row r="2917" spans="1:2" x14ac:dyDescent="0.3">
      <c r="A2917" s="6" t="s">
        <v>4876</v>
      </c>
      <c r="B2917" t="s">
        <v>6303</v>
      </c>
    </row>
    <row r="2918" spans="1:2" x14ac:dyDescent="0.3">
      <c r="A2918" s="6" t="s">
        <v>4877</v>
      </c>
      <c r="B2918" t="s">
        <v>6865</v>
      </c>
    </row>
    <row r="2919" spans="1:2" x14ac:dyDescent="0.3">
      <c r="A2919" s="6" t="s">
        <v>4878</v>
      </c>
      <c r="B2919" t="s">
        <v>6827</v>
      </c>
    </row>
    <row r="2920" spans="1:2" x14ac:dyDescent="0.3">
      <c r="A2920" s="6" t="s">
        <v>4879</v>
      </c>
      <c r="B2920" t="s">
        <v>2354</v>
      </c>
    </row>
    <row r="2921" spans="1:2" x14ac:dyDescent="0.3">
      <c r="A2921" s="6" t="s">
        <v>4880</v>
      </c>
      <c r="B2921" t="s">
        <v>1728</v>
      </c>
    </row>
    <row r="2922" spans="1:2" x14ac:dyDescent="0.3">
      <c r="A2922" s="6" t="s">
        <v>4881</v>
      </c>
      <c r="B2922" t="s">
        <v>4206</v>
      </c>
    </row>
    <row r="2923" spans="1:2" x14ac:dyDescent="0.3">
      <c r="A2923" s="6" t="s">
        <v>4882</v>
      </c>
      <c r="B2923" t="s">
        <v>1805</v>
      </c>
    </row>
    <row r="2924" spans="1:2" x14ac:dyDescent="0.3">
      <c r="A2924" s="6" t="s">
        <v>4883</v>
      </c>
      <c r="B2924" t="s">
        <v>6777</v>
      </c>
    </row>
    <row r="2925" spans="1:2" x14ac:dyDescent="0.3">
      <c r="A2925" s="6" t="s">
        <v>4884</v>
      </c>
      <c r="B2925" t="s">
        <v>6799</v>
      </c>
    </row>
    <row r="2926" spans="1:2" x14ac:dyDescent="0.3">
      <c r="A2926" s="6" t="s">
        <v>1368</v>
      </c>
      <c r="B2926" t="s">
        <v>7888</v>
      </c>
    </row>
    <row r="2927" spans="1:2" x14ac:dyDescent="0.3">
      <c r="A2927" s="6" t="s">
        <v>1693</v>
      </c>
      <c r="B2927" t="s">
        <v>2134</v>
      </c>
    </row>
    <row r="2928" spans="1:2" x14ac:dyDescent="0.3">
      <c r="A2928" s="6" t="s">
        <v>4885</v>
      </c>
      <c r="B2928" t="s">
        <v>6798</v>
      </c>
    </row>
    <row r="2929" spans="1:2" x14ac:dyDescent="0.3">
      <c r="A2929" s="6" t="s">
        <v>4886</v>
      </c>
      <c r="B2929" t="s">
        <v>6800</v>
      </c>
    </row>
    <row r="2930" spans="1:2" x14ac:dyDescent="0.3">
      <c r="A2930" s="6" t="s">
        <v>4887</v>
      </c>
      <c r="B2930" t="s">
        <v>6779</v>
      </c>
    </row>
    <row r="2931" spans="1:2" x14ac:dyDescent="0.3">
      <c r="A2931" s="6" t="s">
        <v>4888</v>
      </c>
      <c r="B2931" t="s">
        <v>6778</v>
      </c>
    </row>
    <row r="2932" spans="1:2" x14ac:dyDescent="0.3">
      <c r="A2932" s="6" t="s">
        <v>4889</v>
      </c>
      <c r="B2932" t="s">
        <v>6803</v>
      </c>
    </row>
    <row r="2933" spans="1:2" x14ac:dyDescent="0.3">
      <c r="A2933" s="6" t="s">
        <v>4890</v>
      </c>
      <c r="B2933" t="s">
        <v>6801</v>
      </c>
    </row>
    <row r="2934" spans="1:2" x14ac:dyDescent="0.3">
      <c r="A2934" s="6" t="s">
        <v>4891</v>
      </c>
      <c r="B2934" t="s">
        <v>6802</v>
      </c>
    </row>
    <row r="2935" spans="1:2" x14ac:dyDescent="0.3">
      <c r="A2935" s="6" t="s">
        <v>4892</v>
      </c>
      <c r="B2935" t="s">
        <v>6804</v>
      </c>
    </row>
    <row r="2936" spans="1:2" x14ac:dyDescent="0.3">
      <c r="A2936" s="6" t="s">
        <v>4893</v>
      </c>
      <c r="B2936" t="s">
        <v>7245</v>
      </c>
    </row>
    <row r="2937" spans="1:2" x14ac:dyDescent="0.3">
      <c r="A2937" s="6" t="s">
        <v>4894</v>
      </c>
      <c r="B2937" t="s">
        <v>6780</v>
      </c>
    </row>
    <row r="2938" spans="1:2" x14ac:dyDescent="0.3">
      <c r="A2938" s="6" t="s">
        <v>1694</v>
      </c>
      <c r="B2938" t="s">
        <v>2749</v>
      </c>
    </row>
    <row r="2939" spans="1:2" x14ac:dyDescent="0.3">
      <c r="A2939" s="6" t="s">
        <v>4895</v>
      </c>
      <c r="B2939" t="s">
        <v>6781</v>
      </c>
    </row>
    <row r="2940" spans="1:2" x14ac:dyDescent="0.3">
      <c r="A2940" s="6" t="s">
        <v>4896</v>
      </c>
      <c r="B2940" t="s">
        <v>6792</v>
      </c>
    </row>
    <row r="2941" spans="1:2" x14ac:dyDescent="0.3">
      <c r="A2941" s="6" t="s">
        <v>4897</v>
      </c>
      <c r="B2941" t="s">
        <v>6789</v>
      </c>
    </row>
    <row r="2942" spans="1:2" x14ac:dyDescent="0.3">
      <c r="A2942" s="6" t="s">
        <v>4898</v>
      </c>
      <c r="B2942" t="s">
        <v>6787</v>
      </c>
    </row>
    <row r="2943" spans="1:2" x14ac:dyDescent="0.3">
      <c r="A2943" s="6" t="s">
        <v>4899</v>
      </c>
      <c r="B2943" t="s">
        <v>6790</v>
      </c>
    </row>
    <row r="2944" spans="1:2" x14ac:dyDescent="0.3">
      <c r="A2944" s="6" t="s">
        <v>4900</v>
      </c>
      <c r="B2944" t="s">
        <v>6788</v>
      </c>
    </row>
    <row r="2945" spans="1:2" x14ac:dyDescent="0.3">
      <c r="A2945" s="6" t="s">
        <v>4901</v>
      </c>
      <c r="B2945" t="s">
        <v>6782</v>
      </c>
    </row>
    <row r="2946" spans="1:2" x14ac:dyDescent="0.3">
      <c r="A2946" s="6" t="s">
        <v>4902</v>
      </c>
      <c r="B2946" t="s">
        <v>7131</v>
      </c>
    </row>
    <row r="2947" spans="1:2" x14ac:dyDescent="0.3">
      <c r="A2947" s="6" t="s">
        <v>4903</v>
      </c>
      <c r="B2947" t="s">
        <v>6796</v>
      </c>
    </row>
    <row r="2948" spans="1:2" x14ac:dyDescent="0.3">
      <c r="A2948" s="6" t="s">
        <v>4904</v>
      </c>
      <c r="B2948" t="s">
        <v>6784</v>
      </c>
    </row>
    <row r="2949" spans="1:2" x14ac:dyDescent="0.3">
      <c r="A2949" s="6" t="s">
        <v>1695</v>
      </c>
      <c r="B2949" t="s">
        <v>2135</v>
      </c>
    </row>
    <row r="2950" spans="1:2" x14ac:dyDescent="0.3">
      <c r="A2950" s="6" t="s">
        <v>4905</v>
      </c>
      <c r="B2950" t="s">
        <v>6785</v>
      </c>
    </row>
    <row r="2951" spans="1:2" x14ac:dyDescent="0.3">
      <c r="A2951" s="6" t="s">
        <v>4906</v>
      </c>
      <c r="B2951" t="s">
        <v>6786</v>
      </c>
    </row>
    <row r="2952" spans="1:2" x14ac:dyDescent="0.3">
      <c r="A2952" s="6" t="s">
        <v>4907</v>
      </c>
      <c r="B2952" t="s">
        <v>6794</v>
      </c>
    </row>
    <row r="2953" spans="1:2" x14ac:dyDescent="0.3">
      <c r="A2953" s="6" t="s">
        <v>4908</v>
      </c>
      <c r="B2953" t="s">
        <v>6791</v>
      </c>
    </row>
    <row r="2954" spans="1:2" x14ac:dyDescent="0.3">
      <c r="A2954" s="6" t="s">
        <v>4909</v>
      </c>
      <c r="B2954" t="s">
        <v>6783</v>
      </c>
    </row>
    <row r="2955" spans="1:2" x14ac:dyDescent="0.3">
      <c r="A2955" s="6" t="s">
        <v>4910</v>
      </c>
      <c r="B2955" t="s">
        <v>6797</v>
      </c>
    </row>
    <row r="2956" spans="1:2" x14ac:dyDescent="0.3">
      <c r="A2956" s="6" t="s">
        <v>4911</v>
      </c>
      <c r="B2956" t="s">
        <v>6795</v>
      </c>
    </row>
    <row r="2957" spans="1:2" x14ac:dyDescent="0.3">
      <c r="A2957" s="6" t="s">
        <v>4912</v>
      </c>
      <c r="B2957" t="s">
        <v>6793</v>
      </c>
    </row>
    <row r="2958" spans="1:2" x14ac:dyDescent="0.3">
      <c r="A2958" s="6" t="s">
        <v>4913</v>
      </c>
      <c r="B2958" t="s">
        <v>6232</v>
      </c>
    </row>
    <row r="2959" spans="1:2" x14ac:dyDescent="0.3">
      <c r="A2959" s="6" t="s">
        <v>4914</v>
      </c>
      <c r="B2959" t="s">
        <v>6233</v>
      </c>
    </row>
    <row r="2960" spans="1:2" x14ac:dyDescent="0.3">
      <c r="A2960" s="6" t="s">
        <v>1696</v>
      </c>
      <c r="B2960" t="s">
        <v>3815</v>
      </c>
    </row>
    <row r="2961" spans="1:2" x14ac:dyDescent="0.3">
      <c r="A2961" s="6" t="s">
        <v>4915</v>
      </c>
      <c r="B2961" t="s">
        <v>6139</v>
      </c>
    </row>
    <row r="2962" spans="1:2" x14ac:dyDescent="0.3">
      <c r="A2962" s="6" t="s">
        <v>4916</v>
      </c>
      <c r="B2962" t="s">
        <v>7129</v>
      </c>
    </row>
    <row r="2963" spans="1:2" x14ac:dyDescent="0.3">
      <c r="A2963" s="6" t="s">
        <v>4917</v>
      </c>
      <c r="B2963" t="s">
        <v>1835</v>
      </c>
    </row>
    <row r="2964" spans="1:2" x14ac:dyDescent="0.3">
      <c r="A2964" s="6" t="s">
        <v>4918</v>
      </c>
      <c r="B2964" t="s">
        <v>1838</v>
      </c>
    </row>
    <row r="2965" spans="1:2" x14ac:dyDescent="0.3">
      <c r="A2965" s="6" t="s">
        <v>4919</v>
      </c>
      <c r="B2965" t="s">
        <v>6823</v>
      </c>
    </row>
    <row r="2966" spans="1:2" x14ac:dyDescent="0.3">
      <c r="A2966" s="6" t="s">
        <v>4920</v>
      </c>
      <c r="B2966" t="s">
        <v>6824</v>
      </c>
    </row>
    <row r="2967" spans="1:2" x14ac:dyDescent="0.3">
      <c r="A2967" s="6" t="s">
        <v>4921</v>
      </c>
      <c r="B2967" t="s">
        <v>1727</v>
      </c>
    </row>
    <row r="2968" spans="1:2" x14ac:dyDescent="0.3">
      <c r="A2968" s="6" t="s">
        <v>4922</v>
      </c>
      <c r="B2968" t="s">
        <v>1895</v>
      </c>
    </row>
    <row r="2969" spans="1:2" x14ac:dyDescent="0.3">
      <c r="A2969" s="6" t="s">
        <v>4923</v>
      </c>
      <c r="B2969" t="s">
        <v>6830</v>
      </c>
    </row>
    <row r="2970" spans="1:2" x14ac:dyDescent="0.3">
      <c r="A2970" s="6" t="s">
        <v>4924</v>
      </c>
      <c r="B2970" t="s">
        <v>6831</v>
      </c>
    </row>
    <row r="2971" spans="1:2" x14ac:dyDescent="0.3">
      <c r="A2971" s="6" t="s">
        <v>1697</v>
      </c>
      <c r="B2971" t="s">
        <v>3816</v>
      </c>
    </row>
    <row r="2972" spans="1:2" x14ac:dyDescent="0.3">
      <c r="A2972" s="6" t="s">
        <v>4925</v>
      </c>
      <c r="B2972" t="s">
        <v>4730</v>
      </c>
    </row>
    <row r="2973" spans="1:2" x14ac:dyDescent="0.3">
      <c r="A2973" s="6" t="s">
        <v>4926</v>
      </c>
      <c r="B2973" t="s">
        <v>5354</v>
      </c>
    </row>
    <row r="2974" spans="1:2" x14ac:dyDescent="0.3">
      <c r="A2974" s="6" t="s">
        <v>4927</v>
      </c>
      <c r="B2974" t="s">
        <v>6773</v>
      </c>
    </row>
    <row r="2975" spans="1:2" x14ac:dyDescent="0.3">
      <c r="A2975" s="6" t="s">
        <v>4928</v>
      </c>
      <c r="B2975" t="s">
        <v>6774</v>
      </c>
    </row>
    <row r="2976" spans="1:2" x14ac:dyDescent="0.3">
      <c r="A2976" s="6" t="s">
        <v>4929</v>
      </c>
      <c r="B2976" t="s">
        <v>4160</v>
      </c>
    </row>
    <row r="2977" spans="1:2" x14ac:dyDescent="0.3">
      <c r="A2977" s="6" t="s">
        <v>4930</v>
      </c>
      <c r="B2977" t="s">
        <v>5916</v>
      </c>
    </row>
    <row r="2978" spans="1:2" x14ac:dyDescent="0.3">
      <c r="A2978" s="6" t="s">
        <v>4931</v>
      </c>
      <c r="B2978" t="s">
        <v>6809</v>
      </c>
    </row>
    <row r="2979" spans="1:2" x14ac:dyDescent="0.3">
      <c r="A2979" s="6" t="s">
        <v>4932</v>
      </c>
      <c r="B2979" t="s">
        <v>7133</v>
      </c>
    </row>
    <row r="2980" spans="1:2" x14ac:dyDescent="0.3">
      <c r="A2980" s="6" t="s">
        <v>4933</v>
      </c>
      <c r="B2980" t="s">
        <v>6810</v>
      </c>
    </row>
    <row r="2981" spans="1:2" x14ac:dyDescent="0.3">
      <c r="A2981" s="6" t="s">
        <v>4934</v>
      </c>
      <c r="B2981" t="s">
        <v>6813</v>
      </c>
    </row>
    <row r="2982" spans="1:2" x14ac:dyDescent="0.3">
      <c r="A2982" s="6" t="s">
        <v>1698</v>
      </c>
      <c r="B2982" t="s">
        <v>6285</v>
      </c>
    </row>
    <row r="2983" spans="1:2" x14ac:dyDescent="0.3">
      <c r="A2983" s="6" t="s">
        <v>4935</v>
      </c>
      <c r="B2983" t="s">
        <v>6814</v>
      </c>
    </row>
    <row r="2984" spans="1:2" x14ac:dyDescent="0.3">
      <c r="A2984" s="6" t="s">
        <v>4936</v>
      </c>
      <c r="B2984" t="s">
        <v>6817</v>
      </c>
    </row>
    <row r="2985" spans="1:2" x14ac:dyDescent="0.3">
      <c r="A2985" s="6" t="s">
        <v>4937</v>
      </c>
      <c r="B2985" t="s">
        <v>6818</v>
      </c>
    </row>
    <row r="2986" spans="1:2" x14ac:dyDescent="0.3">
      <c r="A2986" s="6" t="s">
        <v>4938</v>
      </c>
      <c r="B2986" t="s">
        <v>1645</v>
      </c>
    </row>
    <row r="2987" spans="1:2" x14ac:dyDescent="0.3">
      <c r="A2987" s="6" t="s">
        <v>4939</v>
      </c>
      <c r="B2987" t="s">
        <v>6811</v>
      </c>
    </row>
    <row r="2988" spans="1:2" x14ac:dyDescent="0.3">
      <c r="A2988" s="6" t="s">
        <v>4940</v>
      </c>
      <c r="B2988" t="s">
        <v>6812</v>
      </c>
    </row>
    <row r="2989" spans="1:2" x14ac:dyDescent="0.3">
      <c r="A2989" s="6" t="s">
        <v>4941</v>
      </c>
      <c r="B2989" t="s">
        <v>6815</v>
      </c>
    </row>
    <row r="2990" spans="1:2" x14ac:dyDescent="0.3">
      <c r="A2990" s="6" t="s">
        <v>4942</v>
      </c>
      <c r="B2990" t="s">
        <v>6816</v>
      </c>
    </row>
    <row r="2991" spans="1:2" x14ac:dyDescent="0.3">
      <c r="A2991" s="6" t="s">
        <v>4943</v>
      </c>
      <c r="B2991" t="s">
        <v>6819</v>
      </c>
    </row>
    <row r="2992" spans="1:2" x14ac:dyDescent="0.3">
      <c r="A2992" s="6" t="s">
        <v>4944</v>
      </c>
      <c r="B2992" t="s">
        <v>6820</v>
      </c>
    </row>
    <row r="2993" spans="1:2" x14ac:dyDescent="0.3">
      <c r="A2993" s="6" t="s">
        <v>1699</v>
      </c>
      <c r="B2993" t="s">
        <v>6281</v>
      </c>
    </row>
    <row r="2994" spans="1:2" x14ac:dyDescent="0.3">
      <c r="A2994" s="6" t="s">
        <v>4945</v>
      </c>
      <c r="B2994" t="s">
        <v>4823</v>
      </c>
    </row>
    <row r="2995" spans="1:2" x14ac:dyDescent="0.3">
      <c r="A2995" s="6" t="s">
        <v>4946</v>
      </c>
      <c r="B2995" t="s">
        <v>1431</v>
      </c>
    </row>
    <row r="2996" spans="1:2" x14ac:dyDescent="0.3">
      <c r="A2996" s="6" t="s">
        <v>4947</v>
      </c>
      <c r="B2996" t="s">
        <v>4821</v>
      </c>
    </row>
    <row r="2997" spans="1:2" x14ac:dyDescent="0.3">
      <c r="A2997" s="6" t="s">
        <v>4948</v>
      </c>
      <c r="B2997" t="s">
        <v>7134</v>
      </c>
    </row>
    <row r="2998" spans="1:2" x14ac:dyDescent="0.3">
      <c r="A2998" s="6" t="s">
        <v>4949</v>
      </c>
      <c r="B2998" t="s">
        <v>7135</v>
      </c>
    </row>
    <row r="2999" spans="1:2" x14ac:dyDescent="0.3">
      <c r="A2999" s="6" t="s">
        <v>4950</v>
      </c>
      <c r="B2999" t="s">
        <v>1725</v>
      </c>
    </row>
    <row r="3000" spans="1:2" x14ac:dyDescent="0.3">
      <c r="A3000" s="6" t="s">
        <v>4951</v>
      </c>
      <c r="B3000" t="s">
        <v>6821</v>
      </c>
    </row>
    <row r="3001" spans="1:2" x14ac:dyDescent="0.3">
      <c r="A3001" s="6" t="s">
        <v>4952</v>
      </c>
      <c r="B3001" t="s">
        <v>6822</v>
      </c>
    </row>
    <row r="3002" spans="1:2" x14ac:dyDescent="0.3">
      <c r="A3002" s="6" t="s">
        <v>4953</v>
      </c>
      <c r="B3002" t="s">
        <v>6807</v>
      </c>
    </row>
    <row r="3003" spans="1:2" x14ac:dyDescent="0.3">
      <c r="A3003" s="6" t="s">
        <v>4954</v>
      </c>
      <c r="B3003" t="s">
        <v>7132</v>
      </c>
    </row>
    <row r="3004" spans="1:2" x14ac:dyDescent="0.3">
      <c r="A3004" s="6" t="s">
        <v>1700</v>
      </c>
      <c r="B3004" t="s">
        <v>6282</v>
      </c>
    </row>
    <row r="3005" spans="1:2" x14ac:dyDescent="0.3">
      <c r="A3005" s="6" t="s">
        <v>4955</v>
      </c>
      <c r="B3005" t="s">
        <v>6808</v>
      </c>
    </row>
    <row r="3006" spans="1:2" x14ac:dyDescent="0.3">
      <c r="A3006" s="6" t="s">
        <v>4956</v>
      </c>
      <c r="B3006" t="s">
        <v>5994</v>
      </c>
    </row>
    <row r="3007" spans="1:2" x14ac:dyDescent="0.3">
      <c r="A3007" s="6" t="s">
        <v>4957</v>
      </c>
      <c r="B3007" t="s">
        <v>7668</v>
      </c>
    </row>
    <row r="3008" spans="1:2" x14ac:dyDescent="0.3">
      <c r="A3008" s="6" t="s">
        <v>4958</v>
      </c>
      <c r="B3008" t="s">
        <v>6148</v>
      </c>
    </row>
    <row r="3009" spans="1:2" x14ac:dyDescent="0.3">
      <c r="A3009" s="6" t="s">
        <v>4959</v>
      </c>
      <c r="B3009" t="s">
        <v>7246</v>
      </c>
    </row>
    <row r="3010" spans="1:2" x14ac:dyDescent="0.3">
      <c r="A3010" s="6" t="s">
        <v>4960</v>
      </c>
      <c r="B3010" t="s">
        <v>6359</v>
      </c>
    </row>
    <row r="3011" spans="1:2" x14ac:dyDescent="0.3">
      <c r="A3011" s="6" t="s">
        <v>4961</v>
      </c>
      <c r="B3011" t="s">
        <v>8320</v>
      </c>
    </row>
    <row r="3012" spans="1:2" x14ac:dyDescent="0.3">
      <c r="A3012" s="6" t="s">
        <v>4962</v>
      </c>
      <c r="B3012" t="s">
        <v>5992</v>
      </c>
    </row>
    <row r="3013" spans="1:2" x14ac:dyDescent="0.3">
      <c r="A3013" s="6" t="s">
        <v>4963</v>
      </c>
      <c r="B3013" t="s">
        <v>6375</v>
      </c>
    </row>
    <row r="3014" spans="1:2" x14ac:dyDescent="0.3">
      <c r="A3014" s="6" t="s">
        <v>4964</v>
      </c>
      <c r="B3014" t="s">
        <v>6119</v>
      </c>
    </row>
    <row r="3015" spans="1:2" x14ac:dyDescent="0.3">
      <c r="A3015" s="6" t="s">
        <v>1701</v>
      </c>
      <c r="B3015" t="s">
        <v>6284</v>
      </c>
    </row>
    <row r="3016" spans="1:2" x14ac:dyDescent="0.3">
      <c r="A3016" s="6" t="s">
        <v>4965</v>
      </c>
      <c r="B3016" t="s">
        <v>6023</v>
      </c>
    </row>
    <row r="3017" spans="1:2" x14ac:dyDescent="0.3">
      <c r="A3017" s="6" t="s">
        <v>4966</v>
      </c>
      <c r="B3017" t="s">
        <v>6024</v>
      </c>
    </row>
    <row r="3018" spans="1:2" x14ac:dyDescent="0.3">
      <c r="A3018" s="6" t="s">
        <v>4967</v>
      </c>
      <c r="B3018" t="s">
        <v>8399</v>
      </c>
    </row>
    <row r="3019" spans="1:2" x14ac:dyDescent="0.3">
      <c r="A3019" s="6" t="s">
        <v>4968</v>
      </c>
      <c r="B3019" t="s">
        <v>8394</v>
      </c>
    </row>
    <row r="3020" spans="1:2" x14ac:dyDescent="0.3">
      <c r="A3020" s="6" t="s">
        <v>4969</v>
      </c>
      <c r="B3020" t="s">
        <v>8398</v>
      </c>
    </row>
    <row r="3021" spans="1:2" x14ac:dyDescent="0.3">
      <c r="A3021" s="6" t="s">
        <v>4970</v>
      </c>
      <c r="B3021" t="s">
        <v>8395</v>
      </c>
    </row>
    <row r="3022" spans="1:2" x14ac:dyDescent="0.3">
      <c r="A3022" s="6" t="s">
        <v>4971</v>
      </c>
      <c r="B3022" t="s">
        <v>8393</v>
      </c>
    </row>
    <row r="3023" spans="1:2" x14ac:dyDescent="0.3">
      <c r="A3023" s="6" t="s">
        <v>4972</v>
      </c>
      <c r="B3023" t="s">
        <v>8390</v>
      </c>
    </row>
    <row r="3024" spans="1:2" x14ac:dyDescent="0.3">
      <c r="A3024" s="6" t="s">
        <v>4973</v>
      </c>
      <c r="B3024" t="s">
        <v>8391</v>
      </c>
    </row>
    <row r="3025" spans="1:2" x14ac:dyDescent="0.3">
      <c r="A3025" s="6" t="s">
        <v>4974</v>
      </c>
      <c r="B3025" t="s">
        <v>8392</v>
      </c>
    </row>
    <row r="3026" spans="1:2" x14ac:dyDescent="0.3">
      <c r="A3026" s="6" t="s">
        <v>1702</v>
      </c>
      <c r="B3026" t="s">
        <v>6283</v>
      </c>
    </row>
    <row r="3027" spans="1:2" x14ac:dyDescent="0.3">
      <c r="A3027" s="6" t="s">
        <v>4975</v>
      </c>
      <c r="B3027" t="s">
        <v>8396</v>
      </c>
    </row>
    <row r="3028" spans="1:2" x14ac:dyDescent="0.3">
      <c r="A3028" s="6" t="s">
        <v>4976</v>
      </c>
      <c r="B3028" t="s">
        <v>8397</v>
      </c>
    </row>
    <row r="3029" spans="1:2" x14ac:dyDescent="0.3">
      <c r="A3029" s="6" t="s">
        <v>4977</v>
      </c>
      <c r="B3029" t="s">
        <v>2157</v>
      </c>
    </row>
    <row r="3030" spans="1:2" x14ac:dyDescent="0.3">
      <c r="A3030" s="6" t="s">
        <v>4978</v>
      </c>
      <c r="B3030" t="s">
        <v>2158</v>
      </c>
    </row>
    <row r="3031" spans="1:2" x14ac:dyDescent="0.3">
      <c r="A3031" s="6" t="s">
        <v>4979</v>
      </c>
      <c r="B3031" t="s">
        <v>2159</v>
      </c>
    </row>
    <row r="3032" spans="1:2" x14ac:dyDescent="0.3">
      <c r="A3032" s="6" t="s">
        <v>4980</v>
      </c>
      <c r="B3032" t="s">
        <v>2160</v>
      </c>
    </row>
    <row r="3033" spans="1:2" x14ac:dyDescent="0.3">
      <c r="A3033" s="6" t="s">
        <v>4981</v>
      </c>
      <c r="B3033" t="s">
        <v>2161</v>
      </c>
    </row>
    <row r="3034" spans="1:2" x14ac:dyDescent="0.3">
      <c r="A3034" s="6" t="s">
        <v>4982</v>
      </c>
      <c r="B3034" t="s">
        <v>6374</v>
      </c>
    </row>
    <row r="3035" spans="1:2" x14ac:dyDescent="0.3">
      <c r="A3035" s="6" t="s">
        <v>4983</v>
      </c>
      <c r="B3035" t="s">
        <v>2163</v>
      </c>
    </row>
    <row r="3036" spans="1:2" x14ac:dyDescent="0.3">
      <c r="A3036" s="6" t="s">
        <v>4984</v>
      </c>
      <c r="B3036" t="s">
        <v>2162</v>
      </c>
    </row>
    <row r="3037" spans="1:2" x14ac:dyDescent="0.3">
      <c r="A3037" s="6" t="s">
        <v>1369</v>
      </c>
      <c r="B3037" t="s">
        <v>7517</v>
      </c>
    </row>
    <row r="3038" spans="1:2" x14ac:dyDescent="0.3">
      <c r="A3038" s="6" t="s">
        <v>1703</v>
      </c>
      <c r="B3038" t="s">
        <v>6286</v>
      </c>
    </row>
    <row r="3039" spans="1:2" x14ac:dyDescent="0.3">
      <c r="A3039" s="6" t="s">
        <v>4985</v>
      </c>
      <c r="B3039" t="s">
        <v>6014</v>
      </c>
    </row>
    <row r="3040" spans="1:2" x14ac:dyDescent="0.3">
      <c r="A3040" s="6" t="s">
        <v>4986</v>
      </c>
      <c r="B3040" t="s">
        <v>6013</v>
      </c>
    </row>
    <row r="3041" spans="1:2" x14ac:dyDescent="0.3">
      <c r="A3041" s="6" t="s">
        <v>4987</v>
      </c>
      <c r="B3041" t="s">
        <v>6474</v>
      </c>
    </row>
    <row r="3042" spans="1:2" x14ac:dyDescent="0.3">
      <c r="A3042" s="6" t="s">
        <v>4988</v>
      </c>
      <c r="B3042" t="s">
        <v>6040</v>
      </c>
    </row>
    <row r="3043" spans="1:2" x14ac:dyDescent="0.3">
      <c r="A3043" s="6" t="s">
        <v>4989</v>
      </c>
      <c r="B3043" t="s">
        <v>6185</v>
      </c>
    </row>
    <row r="3044" spans="1:2" x14ac:dyDescent="0.3">
      <c r="A3044" s="6" t="s">
        <v>4990</v>
      </c>
      <c r="B3044" t="s">
        <v>6041</v>
      </c>
    </row>
    <row r="3045" spans="1:2" x14ac:dyDescent="0.3">
      <c r="A3045" s="6" t="s">
        <v>4991</v>
      </c>
      <c r="B3045" t="s">
        <v>6046</v>
      </c>
    </row>
    <row r="3046" spans="1:2" x14ac:dyDescent="0.3">
      <c r="A3046" s="6" t="s">
        <v>4992</v>
      </c>
      <c r="B3046" t="s">
        <v>6188</v>
      </c>
    </row>
    <row r="3047" spans="1:2" x14ac:dyDescent="0.3">
      <c r="A3047" s="6" t="s">
        <v>4993</v>
      </c>
      <c r="B3047" t="s">
        <v>6047</v>
      </c>
    </row>
    <row r="3048" spans="1:2" x14ac:dyDescent="0.3">
      <c r="A3048" s="6" t="s">
        <v>4994</v>
      </c>
      <c r="B3048" t="s">
        <v>2171</v>
      </c>
    </row>
    <row r="3049" spans="1:2" x14ac:dyDescent="0.3">
      <c r="A3049" s="6" t="s">
        <v>1704</v>
      </c>
      <c r="B3049" t="s">
        <v>6298</v>
      </c>
    </row>
    <row r="3050" spans="1:2" x14ac:dyDescent="0.3">
      <c r="A3050" s="6" t="s">
        <v>4995</v>
      </c>
      <c r="B3050" t="s">
        <v>6183</v>
      </c>
    </row>
    <row r="3051" spans="1:2" x14ac:dyDescent="0.3">
      <c r="A3051" s="6" t="s">
        <v>4996</v>
      </c>
      <c r="B3051" t="s">
        <v>6022</v>
      </c>
    </row>
    <row r="3052" spans="1:2" x14ac:dyDescent="0.3">
      <c r="A3052" s="6" t="s">
        <v>4997</v>
      </c>
      <c r="B3052" t="s">
        <v>6982</v>
      </c>
    </row>
    <row r="3053" spans="1:2" x14ac:dyDescent="0.3">
      <c r="A3053" s="6" t="s">
        <v>4998</v>
      </c>
      <c r="B3053" t="s">
        <v>6026</v>
      </c>
    </row>
    <row r="3054" spans="1:2" x14ac:dyDescent="0.3">
      <c r="A3054" s="6" t="s">
        <v>4999</v>
      </c>
      <c r="B3054" t="s">
        <v>6184</v>
      </c>
    </row>
    <row r="3055" spans="1:2" x14ac:dyDescent="0.3">
      <c r="A3055" s="6" t="s">
        <v>5000</v>
      </c>
      <c r="B3055" t="s">
        <v>6027</v>
      </c>
    </row>
    <row r="3056" spans="1:2" x14ac:dyDescent="0.3">
      <c r="A3056" s="6" t="s">
        <v>5001</v>
      </c>
      <c r="B3056" t="s">
        <v>6020</v>
      </c>
    </row>
    <row r="3057" spans="1:2" x14ac:dyDescent="0.3">
      <c r="A3057" s="6" t="s">
        <v>5002</v>
      </c>
      <c r="B3057" t="s">
        <v>6182</v>
      </c>
    </row>
    <row r="3058" spans="1:2" x14ac:dyDescent="0.3">
      <c r="A3058" s="6" t="s">
        <v>5003</v>
      </c>
      <c r="B3058" t="s">
        <v>6021</v>
      </c>
    </row>
    <row r="3059" spans="1:2" x14ac:dyDescent="0.3">
      <c r="A3059" s="6" t="s">
        <v>5004</v>
      </c>
      <c r="B3059" t="s">
        <v>2169</v>
      </c>
    </row>
    <row r="3060" spans="1:2" x14ac:dyDescent="0.3">
      <c r="A3060" s="6" t="s">
        <v>1705</v>
      </c>
      <c r="B3060" t="s">
        <v>6299</v>
      </c>
    </row>
    <row r="3061" spans="1:2" x14ac:dyDescent="0.3">
      <c r="A3061" s="6" t="s">
        <v>5005</v>
      </c>
      <c r="B3061" t="s">
        <v>6181</v>
      </c>
    </row>
    <row r="3062" spans="1:2" x14ac:dyDescent="0.3">
      <c r="A3062" s="6" t="s">
        <v>5006</v>
      </c>
      <c r="B3062" t="s">
        <v>6019</v>
      </c>
    </row>
    <row r="3063" spans="1:2" x14ac:dyDescent="0.3">
      <c r="A3063" s="6" t="s">
        <v>5007</v>
      </c>
      <c r="B3063" t="s">
        <v>6929</v>
      </c>
    </row>
    <row r="3064" spans="1:2" x14ac:dyDescent="0.3">
      <c r="A3064" s="6" t="s">
        <v>5008</v>
      </c>
      <c r="B3064" t="s">
        <v>6948</v>
      </c>
    </row>
    <row r="3065" spans="1:2" x14ac:dyDescent="0.3">
      <c r="A3065" s="6" t="s">
        <v>5009</v>
      </c>
      <c r="B3065" t="s">
        <v>6947</v>
      </c>
    </row>
    <row r="3066" spans="1:2" x14ac:dyDescent="0.3">
      <c r="A3066" s="6" t="s">
        <v>5010</v>
      </c>
      <c r="B3066" t="s">
        <v>6042</v>
      </c>
    </row>
    <row r="3067" spans="1:2" x14ac:dyDescent="0.3">
      <c r="A3067" s="6" t="s">
        <v>5011</v>
      </c>
      <c r="B3067" t="s">
        <v>6187</v>
      </c>
    </row>
    <row r="3068" spans="1:2" x14ac:dyDescent="0.3">
      <c r="A3068" s="6" t="s">
        <v>5013</v>
      </c>
      <c r="B3068" t="s">
        <v>6043</v>
      </c>
    </row>
    <row r="3069" spans="1:2" x14ac:dyDescent="0.3">
      <c r="A3069" s="6" t="s">
        <v>5015</v>
      </c>
      <c r="B3069" t="s">
        <v>6044</v>
      </c>
    </row>
    <row r="3070" spans="1:2" x14ac:dyDescent="0.3">
      <c r="A3070" s="6" t="s">
        <v>5016</v>
      </c>
      <c r="B3070" t="s">
        <v>6186</v>
      </c>
    </row>
    <row r="3071" spans="1:2" x14ac:dyDescent="0.3">
      <c r="A3071" s="6" t="s">
        <v>1706</v>
      </c>
      <c r="B3071" t="s">
        <v>6300</v>
      </c>
    </row>
    <row r="3072" spans="1:2" x14ac:dyDescent="0.3">
      <c r="A3072" s="6" t="s">
        <v>5017</v>
      </c>
      <c r="B3072" t="s">
        <v>6045</v>
      </c>
    </row>
    <row r="3073" spans="1:2" x14ac:dyDescent="0.3">
      <c r="A3073" s="6" t="s">
        <v>5018</v>
      </c>
      <c r="B3073" t="s">
        <v>6654</v>
      </c>
    </row>
    <row r="3074" spans="1:2" x14ac:dyDescent="0.3">
      <c r="A3074" s="6" t="s">
        <v>5019</v>
      </c>
      <c r="B3074" t="s">
        <v>6655</v>
      </c>
    </row>
    <row r="3075" spans="1:2" x14ac:dyDescent="0.3">
      <c r="A3075" s="6" t="s">
        <v>5020</v>
      </c>
      <c r="B3075" t="s">
        <v>6656</v>
      </c>
    </row>
    <row r="3076" spans="1:2" x14ac:dyDescent="0.3">
      <c r="A3076" s="6" t="s">
        <v>5021</v>
      </c>
      <c r="B3076" t="s">
        <v>6652</v>
      </c>
    </row>
    <row r="3077" spans="1:2" x14ac:dyDescent="0.3">
      <c r="A3077" s="6" t="s">
        <v>5022</v>
      </c>
      <c r="B3077" t="s">
        <v>6657</v>
      </c>
    </row>
    <row r="3078" spans="1:2" x14ac:dyDescent="0.3">
      <c r="A3078" s="6" t="s">
        <v>5023</v>
      </c>
      <c r="B3078" t="s">
        <v>6653</v>
      </c>
    </row>
    <row r="3079" spans="1:2" x14ac:dyDescent="0.3">
      <c r="A3079" s="6" t="s">
        <v>5024</v>
      </c>
      <c r="B3079" t="s">
        <v>6659</v>
      </c>
    </row>
    <row r="3080" spans="1:2" x14ac:dyDescent="0.3">
      <c r="A3080" s="6" t="s">
        <v>5025</v>
      </c>
      <c r="B3080" t="s">
        <v>6658</v>
      </c>
    </row>
    <row r="3081" spans="1:2" x14ac:dyDescent="0.3">
      <c r="A3081" s="6" t="s">
        <v>5026</v>
      </c>
      <c r="B3081" t="s">
        <v>6651</v>
      </c>
    </row>
    <row r="3082" spans="1:2" x14ac:dyDescent="0.3">
      <c r="A3082" s="6" t="s">
        <v>1707</v>
      </c>
      <c r="B3082" t="s">
        <v>6291</v>
      </c>
    </row>
    <row r="3083" spans="1:2" x14ac:dyDescent="0.3">
      <c r="A3083" s="6" t="s">
        <v>5027</v>
      </c>
      <c r="B3083" t="s">
        <v>6204</v>
      </c>
    </row>
    <row r="3084" spans="1:2" x14ac:dyDescent="0.3">
      <c r="A3084" s="6" t="s">
        <v>5028</v>
      </c>
      <c r="B3084" t="s">
        <v>6205</v>
      </c>
    </row>
    <row r="3085" spans="1:2" x14ac:dyDescent="0.3">
      <c r="A3085" s="6" t="s">
        <v>5029</v>
      </c>
      <c r="B3085" t="s">
        <v>6206</v>
      </c>
    </row>
    <row r="3086" spans="1:2" x14ac:dyDescent="0.3">
      <c r="A3086" s="6" t="s">
        <v>5030</v>
      </c>
      <c r="B3086" t="s">
        <v>6376</v>
      </c>
    </row>
    <row r="3087" spans="1:2" x14ac:dyDescent="0.3">
      <c r="A3087" s="6" t="s">
        <v>5031</v>
      </c>
      <c r="B3087" t="s">
        <v>6377</v>
      </c>
    </row>
    <row r="3088" spans="1:2" x14ac:dyDescent="0.3">
      <c r="A3088" s="6" t="s">
        <v>5032</v>
      </c>
      <c r="B3088" t="s">
        <v>6500</v>
      </c>
    </row>
    <row r="3089" spans="1:2" x14ac:dyDescent="0.3">
      <c r="A3089" s="6" t="s">
        <v>5033</v>
      </c>
      <c r="B3089" t="s">
        <v>6502</v>
      </c>
    </row>
    <row r="3090" spans="1:2" x14ac:dyDescent="0.3">
      <c r="A3090" s="6" t="s">
        <v>5034</v>
      </c>
      <c r="B3090" t="s">
        <v>6501</v>
      </c>
    </row>
    <row r="3091" spans="1:2" x14ac:dyDescent="0.3">
      <c r="A3091" s="6" t="s">
        <v>5035</v>
      </c>
      <c r="B3091" t="s">
        <v>2173</v>
      </c>
    </row>
    <row r="3092" spans="1:2" x14ac:dyDescent="0.3">
      <c r="A3092" s="6" t="s">
        <v>5036</v>
      </c>
      <c r="B3092" t="s">
        <v>6946</v>
      </c>
    </row>
    <row r="3093" spans="1:2" x14ac:dyDescent="0.3">
      <c r="A3093" s="6" t="s">
        <v>1708</v>
      </c>
      <c r="B3093" t="s">
        <v>6287</v>
      </c>
    </row>
    <row r="3094" spans="1:2" x14ac:dyDescent="0.3">
      <c r="A3094" s="6" t="s">
        <v>5037</v>
      </c>
      <c r="B3094" t="s">
        <v>6945</v>
      </c>
    </row>
    <row r="3095" spans="1:2" x14ac:dyDescent="0.3">
      <c r="A3095" s="6" t="s">
        <v>5038</v>
      </c>
      <c r="B3095" t="s">
        <v>5993</v>
      </c>
    </row>
    <row r="3096" spans="1:2" x14ac:dyDescent="0.3">
      <c r="A3096" s="6" t="s">
        <v>5039</v>
      </c>
      <c r="B3096" t="s">
        <v>6118</v>
      </c>
    </row>
    <row r="3097" spans="1:2" x14ac:dyDescent="0.3">
      <c r="A3097" s="6" t="s">
        <v>5040</v>
      </c>
      <c r="B3097" t="s">
        <v>5995</v>
      </c>
    </row>
    <row r="3098" spans="1:2" x14ac:dyDescent="0.3">
      <c r="A3098" s="6" t="s">
        <v>5041</v>
      </c>
      <c r="B3098" t="s">
        <v>6003</v>
      </c>
    </row>
    <row r="3099" spans="1:2" x14ac:dyDescent="0.3">
      <c r="A3099" s="6" t="s">
        <v>5042</v>
      </c>
      <c r="B3099" t="s">
        <v>6002</v>
      </c>
    </row>
    <row r="3100" spans="1:2" x14ac:dyDescent="0.3">
      <c r="A3100" s="6" t="s">
        <v>5043</v>
      </c>
      <c r="B3100" t="s">
        <v>6004</v>
      </c>
    </row>
    <row r="3101" spans="1:2" x14ac:dyDescent="0.3">
      <c r="A3101" s="6" t="s">
        <v>5044</v>
      </c>
      <c r="B3101" t="s">
        <v>6001</v>
      </c>
    </row>
    <row r="3102" spans="1:2" x14ac:dyDescent="0.3">
      <c r="A3102" s="6" t="s">
        <v>5045</v>
      </c>
      <c r="B3102" t="s">
        <v>6076</v>
      </c>
    </row>
    <row r="3103" spans="1:2" x14ac:dyDescent="0.3">
      <c r="A3103" s="6" t="s">
        <v>5046</v>
      </c>
      <c r="B3103" t="s">
        <v>6000</v>
      </c>
    </row>
    <row r="3104" spans="1:2" x14ac:dyDescent="0.3">
      <c r="A3104" s="6" t="s">
        <v>1709</v>
      </c>
      <c r="B3104" t="s">
        <v>6288</v>
      </c>
    </row>
    <row r="3105" spans="1:2" x14ac:dyDescent="0.3">
      <c r="A3105" s="6" t="s">
        <v>5047</v>
      </c>
      <c r="B3105" t="s">
        <v>6664</v>
      </c>
    </row>
    <row r="3106" spans="1:2" x14ac:dyDescent="0.3">
      <c r="A3106" s="6" t="s">
        <v>5048</v>
      </c>
      <c r="B3106" t="s">
        <v>6665</v>
      </c>
    </row>
    <row r="3107" spans="1:2" x14ac:dyDescent="0.3">
      <c r="A3107" s="6" t="s">
        <v>5049</v>
      </c>
      <c r="B3107" t="s">
        <v>6661</v>
      </c>
    </row>
    <row r="3108" spans="1:2" x14ac:dyDescent="0.3">
      <c r="A3108" s="6" t="s">
        <v>5050</v>
      </c>
      <c r="B3108" t="s">
        <v>6662</v>
      </c>
    </row>
    <row r="3109" spans="1:2" x14ac:dyDescent="0.3">
      <c r="A3109" s="6" t="s">
        <v>5051</v>
      </c>
      <c r="B3109" t="s">
        <v>6667</v>
      </c>
    </row>
    <row r="3110" spans="1:2" x14ac:dyDescent="0.3">
      <c r="A3110" s="6" t="s">
        <v>5052</v>
      </c>
      <c r="B3110" t="s">
        <v>6666</v>
      </c>
    </row>
    <row r="3111" spans="1:2" x14ac:dyDescent="0.3">
      <c r="A3111" s="6" t="s">
        <v>5053</v>
      </c>
      <c r="B3111" t="s">
        <v>6663</v>
      </c>
    </row>
    <row r="3112" spans="1:2" x14ac:dyDescent="0.3">
      <c r="A3112" s="6" t="s">
        <v>5054</v>
      </c>
      <c r="B3112" t="s">
        <v>6660</v>
      </c>
    </row>
    <row r="3113" spans="1:2" x14ac:dyDescent="0.3">
      <c r="A3113" s="6" t="s">
        <v>5055</v>
      </c>
      <c r="B3113" t="s">
        <v>6207</v>
      </c>
    </row>
    <row r="3114" spans="1:2" x14ac:dyDescent="0.3">
      <c r="A3114" s="6" t="s">
        <v>5056</v>
      </c>
      <c r="B3114" t="s">
        <v>6208</v>
      </c>
    </row>
    <row r="3115" spans="1:2" x14ac:dyDescent="0.3">
      <c r="A3115" s="6" t="s">
        <v>1710</v>
      </c>
      <c r="B3115" t="s">
        <v>6290</v>
      </c>
    </row>
    <row r="3116" spans="1:2" x14ac:dyDescent="0.3">
      <c r="A3116" s="6" t="s">
        <v>5057</v>
      </c>
      <c r="B3116" t="s">
        <v>6209</v>
      </c>
    </row>
    <row r="3117" spans="1:2" x14ac:dyDescent="0.3">
      <c r="A3117" s="6" t="s">
        <v>5058</v>
      </c>
      <c r="B3117" t="s">
        <v>6212</v>
      </c>
    </row>
    <row r="3118" spans="1:2" x14ac:dyDescent="0.3">
      <c r="A3118" s="6" t="s">
        <v>5059</v>
      </c>
      <c r="B3118" t="s">
        <v>6213</v>
      </c>
    </row>
    <row r="3119" spans="1:2" x14ac:dyDescent="0.3">
      <c r="A3119" s="6" t="s">
        <v>5060</v>
      </c>
      <c r="B3119" t="s">
        <v>6211</v>
      </c>
    </row>
    <row r="3120" spans="1:2" x14ac:dyDescent="0.3">
      <c r="A3120" s="6" t="s">
        <v>5061</v>
      </c>
      <c r="B3120" t="s">
        <v>6210</v>
      </c>
    </row>
    <row r="3121" spans="1:2" x14ac:dyDescent="0.3">
      <c r="A3121" s="6" t="s">
        <v>5062</v>
      </c>
      <c r="B3121" t="s">
        <v>6005</v>
      </c>
    </row>
    <row r="3122" spans="1:2" x14ac:dyDescent="0.3">
      <c r="A3122" s="6" t="s">
        <v>5063</v>
      </c>
      <c r="B3122" t="s">
        <v>6709</v>
      </c>
    </row>
    <row r="3123" spans="1:2" x14ac:dyDescent="0.3">
      <c r="A3123" s="6" t="s">
        <v>5064</v>
      </c>
      <c r="B3123" t="s">
        <v>6248</v>
      </c>
    </row>
    <row r="3124" spans="1:2" x14ac:dyDescent="0.3">
      <c r="A3124" s="6" t="s">
        <v>5065</v>
      </c>
      <c r="B3124" t="s">
        <v>6006</v>
      </c>
    </row>
    <row r="3125" spans="1:2" x14ac:dyDescent="0.3">
      <c r="A3125" s="6" t="s">
        <v>5066</v>
      </c>
      <c r="B3125" t="s">
        <v>6007</v>
      </c>
    </row>
    <row r="3126" spans="1:2" x14ac:dyDescent="0.3">
      <c r="A3126" s="6" t="s">
        <v>1711</v>
      </c>
      <c r="B3126" t="s">
        <v>6289</v>
      </c>
    </row>
    <row r="3127" spans="1:2" x14ac:dyDescent="0.3">
      <c r="A3127" s="6" t="s">
        <v>5067</v>
      </c>
      <c r="B3127" t="s">
        <v>7309</v>
      </c>
    </row>
    <row r="3128" spans="1:2" x14ac:dyDescent="0.3">
      <c r="A3128" s="6" t="s">
        <v>5068</v>
      </c>
      <c r="B3128" t="s">
        <v>6011</v>
      </c>
    </row>
    <row r="3129" spans="1:2" x14ac:dyDescent="0.3">
      <c r="A3129" s="6" t="s">
        <v>5069</v>
      </c>
      <c r="B3129" t="s">
        <v>6907</v>
      </c>
    </row>
    <row r="3130" spans="1:2" x14ac:dyDescent="0.3">
      <c r="A3130" s="6" t="s">
        <v>5070</v>
      </c>
      <c r="B3130" t="s">
        <v>6075</v>
      </c>
    </row>
    <row r="3131" spans="1:2" x14ac:dyDescent="0.3">
      <c r="A3131" s="6" t="s">
        <v>5071</v>
      </c>
      <c r="B3131" t="s">
        <v>6908</v>
      </c>
    </row>
    <row r="3132" spans="1:2" x14ac:dyDescent="0.3">
      <c r="A3132" s="6" t="s">
        <v>5072</v>
      </c>
      <c r="B3132" t="s">
        <v>6909</v>
      </c>
    </row>
    <row r="3133" spans="1:2" x14ac:dyDescent="0.3">
      <c r="A3133" s="6" t="s">
        <v>5073</v>
      </c>
      <c r="B3133" t="s">
        <v>6911</v>
      </c>
    </row>
    <row r="3134" spans="1:2" x14ac:dyDescent="0.3">
      <c r="A3134" s="6" t="s">
        <v>5074</v>
      </c>
      <c r="B3134" t="s">
        <v>6010</v>
      </c>
    </row>
    <row r="3135" spans="1:2" x14ac:dyDescent="0.3">
      <c r="A3135" s="6" t="s">
        <v>5075</v>
      </c>
      <c r="B3135" t="s">
        <v>6009</v>
      </c>
    </row>
    <row r="3136" spans="1:2" x14ac:dyDescent="0.3">
      <c r="A3136" s="6" t="s">
        <v>5076</v>
      </c>
      <c r="B3136" t="s">
        <v>6008</v>
      </c>
    </row>
    <row r="3137" spans="1:2" x14ac:dyDescent="0.3">
      <c r="A3137" s="6" t="s">
        <v>1712</v>
      </c>
      <c r="B3137" t="s">
        <v>6292</v>
      </c>
    </row>
    <row r="3138" spans="1:2" x14ac:dyDescent="0.3">
      <c r="A3138" s="6" t="s">
        <v>5077</v>
      </c>
      <c r="B3138" t="s">
        <v>6117</v>
      </c>
    </row>
    <row r="3139" spans="1:2" x14ac:dyDescent="0.3">
      <c r="A3139" s="6" t="s">
        <v>5078</v>
      </c>
      <c r="B3139" t="s">
        <v>5991</v>
      </c>
    </row>
    <row r="3140" spans="1:2" x14ac:dyDescent="0.3">
      <c r="A3140" s="6" t="s">
        <v>5079</v>
      </c>
      <c r="B3140" t="s">
        <v>8402</v>
      </c>
    </row>
    <row r="3141" spans="1:2" x14ac:dyDescent="0.3">
      <c r="A3141" s="6" t="s">
        <v>5080</v>
      </c>
      <c r="B3141" t="s">
        <v>6910</v>
      </c>
    </row>
    <row r="3142" spans="1:2" x14ac:dyDescent="0.3">
      <c r="A3142" s="6" t="s">
        <v>5081</v>
      </c>
      <c r="B3142" t="s">
        <v>6200</v>
      </c>
    </row>
    <row r="3143" spans="1:2" x14ac:dyDescent="0.3">
      <c r="A3143" s="6" t="s">
        <v>5082</v>
      </c>
      <c r="B3143" t="s">
        <v>1698</v>
      </c>
    </row>
    <row r="3144" spans="1:2" x14ac:dyDescent="0.3">
      <c r="A3144" s="6" t="s">
        <v>5083</v>
      </c>
      <c r="B3144" t="s">
        <v>6015</v>
      </c>
    </row>
    <row r="3145" spans="1:2" x14ac:dyDescent="0.3">
      <c r="A3145" s="6" t="s">
        <v>5084</v>
      </c>
      <c r="B3145" t="s">
        <v>6525</v>
      </c>
    </row>
    <row r="3146" spans="1:2" x14ac:dyDescent="0.3">
      <c r="A3146" s="6" t="s">
        <v>5085</v>
      </c>
      <c r="B3146" t="s">
        <v>2167</v>
      </c>
    </row>
    <row r="3147" spans="1:2" x14ac:dyDescent="0.3">
      <c r="A3147" s="6" t="s">
        <v>5086</v>
      </c>
      <c r="B3147" t="s">
        <v>6012</v>
      </c>
    </row>
    <row r="3148" spans="1:2" x14ac:dyDescent="0.3">
      <c r="A3148" s="6" t="s">
        <v>1370</v>
      </c>
      <c r="B3148" t="s">
        <v>7370</v>
      </c>
    </row>
    <row r="3149" spans="1:2" x14ac:dyDescent="0.3">
      <c r="A3149" s="6" t="s">
        <v>1713</v>
      </c>
      <c r="B3149" t="s">
        <v>6293</v>
      </c>
    </row>
    <row r="3150" spans="1:2" x14ac:dyDescent="0.3">
      <c r="A3150" s="6" t="s">
        <v>5087</v>
      </c>
      <c r="B3150" t="s">
        <v>6202</v>
      </c>
    </row>
    <row r="3151" spans="1:2" x14ac:dyDescent="0.3">
      <c r="A3151" s="6" t="s">
        <v>5088</v>
      </c>
      <c r="B3151" t="s">
        <v>6189</v>
      </c>
    </row>
    <row r="3152" spans="1:2" x14ac:dyDescent="0.3">
      <c r="A3152" s="6" t="s">
        <v>5089</v>
      </c>
      <c r="B3152" t="s">
        <v>6114</v>
      </c>
    </row>
    <row r="3153" spans="1:2" x14ac:dyDescent="0.3">
      <c r="A3153" s="6" t="s">
        <v>5090</v>
      </c>
      <c r="B3153" t="s">
        <v>6203</v>
      </c>
    </row>
    <row r="3154" spans="1:2" x14ac:dyDescent="0.3">
      <c r="A3154" s="6" t="s">
        <v>5091</v>
      </c>
      <c r="B3154" t="s">
        <v>6018</v>
      </c>
    </row>
    <row r="3155" spans="1:2" x14ac:dyDescent="0.3">
      <c r="A3155" s="6" t="s">
        <v>5092</v>
      </c>
      <c r="B3155" t="s">
        <v>6497</v>
      </c>
    </row>
    <row r="3156" spans="1:2" x14ac:dyDescent="0.3">
      <c r="A3156" s="6" t="s">
        <v>5093</v>
      </c>
      <c r="B3156" t="s">
        <v>6499</v>
      </c>
    </row>
    <row r="3157" spans="1:2" x14ac:dyDescent="0.3">
      <c r="A3157" s="6" t="s">
        <v>5094</v>
      </c>
      <c r="B3157" t="s">
        <v>6498</v>
      </c>
    </row>
    <row r="3158" spans="1:2" x14ac:dyDescent="0.3">
      <c r="A3158" s="6" t="s">
        <v>5095</v>
      </c>
      <c r="B3158" t="s">
        <v>6495</v>
      </c>
    </row>
    <row r="3159" spans="1:2" x14ac:dyDescent="0.3">
      <c r="A3159" s="6" t="s">
        <v>5096</v>
      </c>
      <c r="B3159" t="s">
        <v>6496</v>
      </c>
    </row>
    <row r="3160" spans="1:2" x14ac:dyDescent="0.3">
      <c r="A3160" s="6" t="s">
        <v>1714</v>
      </c>
      <c r="B3160" t="s">
        <v>6294</v>
      </c>
    </row>
    <row r="3161" spans="1:2" x14ac:dyDescent="0.3">
      <c r="A3161" s="6" t="s">
        <v>5097</v>
      </c>
      <c r="B3161" t="s">
        <v>6201</v>
      </c>
    </row>
    <row r="3162" spans="1:2" x14ac:dyDescent="0.3">
      <c r="A3162" s="6" t="s">
        <v>5098</v>
      </c>
      <c r="B3162" t="s">
        <v>6594</v>
      </c>
    </row>
    <row r="3163" spans="1:2" x14ac:dyDescent="0.3">
      <c r="A3163" s="6" t="s">
        <v>5099</v>
      </c>
      <c r="B3163" t="s">
        <v>6593</v>
      </c>
    </row>
    <row r="3164" spans="1:2" x14ac:dyDescent="0.3">
      <c r="A3164" s="6" t="s">
        <v>5100</v>
      </c>
      <c r="B3164" t="s">
        <v>6247</v>
      </c>
    </row>
    <row r="3165" spans="1:2" x14ac:dyDescent="0.3">
      <c r="A3165" s="6" t="s">
        <v>5101</v>
      </c>
      <c r="B3165" t="s">
        <v>6590</v>
      </c>
    </row>
    <row r="3166" spans="1:2" x14ac:dyDescent="0.3">
      <c r="A3166" s="6" t="s">
        <v>5102</v>
      </c>
      <c r="B3166" t="s">
        <v>6592</v>
      </c>
    </row>
    <row r="3167" spans="1:2" x14ac:dyDescent="0.3">
      <c r="A3167" s="6" t="s">
        <v>5103</v>
      </c>
      <c r="B3167" t="s">
        <v>6591</v>
      </c>
    </row>
    <row r="3168" spans="1:2" x14ac:dyDescent="0.3">
      <c r="A3168" s="6" t="s">
        <v>5104</v>
      </c>
      <c r="B3168" t="s">
        <v>6016</v>
      </c>
    </row>
    <row r="3169" spans="1:2" x14ac:dyDescent="0.3">
      <c r="A3169" s="6" t="s">
        <v>5105</v>
      </c>
      <c r="B3169" t="s">
        <v>6017</v>
      </c>
    </row>
    <row r="3170" spans="1:2" x14ac:dyDescent="0.3">
      <c r="A3170" s="6" t="s">
        <v>5106</v>
      </c>
      <c r="B3170" t="s">
        <v>6197</v>
      </c>
    </row>
    <row r="3171" spans="1:2" x14ac:dyDescent="0.3">
      <c r="A3171" s="6" t="s">
        <v>1715</v>
      </c>
      <c r="B3171" t="s">
        <v>6295</v>
      </c>
    </row>
    <row r="3172" spans="1:2" x14ac:dyDescent="0.3">
      <c r="A3172" s="6" t="s">
        <v>5107</v>
      </c>
      <c r="B3172" t="s">
        <v>6245</v>
      </c>
    </row>
    <row r="3173" spans="1:2" x14ac:dyDescent="0.3">
      <c r="A3173" s="6" t="s">
        <v>5108</v>
      </c>
      <c r="B3173" t="s">
        <v>6246</v>
      </c>
    </row>
    <row r="3174" spans="1:2" x14ac:dyDescent="0.3">
      <c r="A3174" s="6" t="s">
        <v>5109</v>
      </c>
      <c r="B3174" t="s">
        <v>6243</v>
      </c>
    </row>
    <row r="3175" spans="1:2" x14ac:dyDescent="0.3">
      <c r="A3175" s="6" t="s">
        <v>5110</v>
      </c>
      <c r="B3175" t="s">
        <v>6195</v>
      </c>
    </row>
    <row r="3176" spans="1:2" x14ac:dyDescent="0.3">
      <c r="A3176" s="6" t="s">
        <v>5111</v>
      </c>
      <c r="B3176" t="s">
        <v>6244</v>
      </c>
    </row>
    <row r="3177" spans="1:2" x14ac:dyDescent="0.3">
      <c r="A3177" s="6" t="s">
        <v>5112</v>
      </c>
      <c r="B3177" t="s">
        <v>2165</v>
      </c>
    </row>
    <row r="3178" spans="1:2" x14ac:dyDescent="0.3">
      <c r="A3178" s="6" t="s">
        <v>5113</v>
      </c>
      <c r="B3178" t="s">
        <v>6192</v>
      </c>
    </row>
    <row r="3179" spans="1:2" x14ac:dyDescent="0.3">
      <c r="A3179" s="6" t="s">
        <v>5114</v>
      </c>
      <c r="B3179" t="s">
        <v>6031</v>
      </c>
    </row>
    <row r="3180" spans="1:2" x14ac:dyDescent="0.3">
      <c r="A3180" s="6" t="s">
        <v>5115</v>
      </c>
      <c r="B3180" t="s">
        <v>6271</v>
      </c>
    </row>
    <row r="3181" spans="1:2" x14ac:dyDescent="0.3">
      <c r="A3181" s="6" t="s">
        <v>5116</v>
      </c>
      <c r="B3181" t="s">
        <v>6029</v>
      </c>
    </row>
    <row r="3182" spans="1:2" x14ac:dyDescent="0.3">
      <c r="A3182" s="6" t="s">
        <v>1716</v>
      </c>
      <c r="B3182" t="s">
        <v>6296</v>
      </c>
    </row>
    <row r="3183" spans="1:2" x14ac:dyDescent="0.3">
      <c r="A3183" s="6" t="s">
        <v>5117</v>
      </c>
      <c r="B3183" t="s">
        <v>6191</v>
      </c>
    </row>
    <row r="3184" spans="1:2" x14ac:dyDescent="0.3">
      <c r="A3184" s="6" t="s">
        <v>5118</v>
      </c>
      <c r="B3184" t="s">
        <v>6030</v>
      </c>
    </row>
    <row r="3185" spans="1:2" x14ac:dyDescent="0.3">
      <c r="A3185" s="6" t="s">
        <v>5119</v>
      </c>
      <c r="B3185" t="s">
        <v>6032</v>
      </c>
    </row>
    <row r="3186" spans="1:2" x14ac:dyDescent="0.3">
      <c r="A3186" s="6" t="s">
        <v>5120</v>
      </c>
      <c r="B3186" t="s">
        <v>6193</v>
      </c>
    </row>
    <row r="3187" spans="1:2" x14ac:dyDescent="0.3">
      <c r="A3187" s="6" t="s">
        <v>5121</v>
      </c>
      <c r="B3187" t="s">
        <v>6033</v>
      </c>
    </row>
    <row r="3188" spans="1:2" x14ac:dyDescent="0.3">
      <c r="A3188" s="6" t="s">
        <v>5122</v>
      </c>
      <c r="B3188" t="s">
        <v>6272</v>
      </c>
    </row>
    <row r="3189" spans="1:2" x14ac:dyDescent="0.3">
      <c r="A3189" s="6" t="s">
        <v>5123</v>
      </c>
      <c r="B3189" t="s">
        <v>2166</v>
      </c>
    </row>
    <row r="3190" spans="1:2" x14ac:dyDescent="0.3">
      <c r="A3190" s="6" t="s">
        <v>5124</v>
      </c>
      <c r="B3190" t="s">
        <v>6199</v>
      </c>
    </row>
    <row r="3191" spans="1:2" x14ac:dyDescent="0.3">
      <c r="A3191" s="6" t="s">
        <v>5125</v>
      </c>
      <c r="B3191" t="s">
        <v>6039</v>
      </c>
    </row>
    <row r="3192" spans="1:2" x14ac:dyDescent="0.3">
      <c r="A3192" s="6" t="s">
        <v>5126</v>
      </c>
      <c r="B3192" t="s">
        <v>2164</v>
      </c>
    </row>
    <row r="3193" spans="1:2" x14ac:dyDescent="0.3">
      <c r="A3193" s="6" t="s">
        <v>1717</v>
      </c>
      <c r="B3193" t="s">
        <v>6297</v>
      </c>
    </row>
    <row r="3194" spans="1:2" x14ac:dyDescent="0.3">
      <c r="A3194" s="6" t="s">
        <v>5127</v>
      </c>
      <c r="B3194" t="s">
        <v>6190</v>
      </c>
    </row>
    <row r="3195" spans="1:2" x14ac:dyDescent="0.3">
      <c r="A3195" s="6" t="s">
        <v>5128</v>
      </c>
      <c r="B3195" t="s">
        <v>6028</v>
      </c>
    </row>
    <row r="3196" spans="1:2" x14ac:dyDescent="0.3">
      <c r="A3196" s="6" t="s">
        <v>5129</v>
      </c>
      <c r="B3196" t="s">
        <v>6198</v>
      </c>
    </row>
    <row r="3197" spans="1:2" x14ac:dyDescent="0.3">
      <c r="A3197" s="6" t="s">
        <v>5130</v>
      </c>
      <c r="B3197" t="s">
        <v>6037</v>
      </c>
    </row>
    <row r="3198" spans="1:2" x14ac:dyDescent="0.3">
      <c r="A3198" s="6" t="s">
        <v>5131</v>
      </c>
      <c r="B3198" t="s">
        <v>6038</v>
      </c>
    </row>
    <row r="3199" spans="1:2" x14ac:dyDescent="0.3">
      <c r="A3199" s="6" t="s">
        <v>5132</v>
      </c>
      <c r="B3199" t="s">
        <v>6035</v>
      </c>
    </row>
    <row r="3200" spans="1:2" x14ac:dyDescent="0.3">
      <c r="A3200" s="6" t="s">
        <v>5133</v>
      </c>
      <c r="B3200" t="s">
        <v>6196</v>
      </c>
    </row>
    <row r="3201" spans="1:2" x14ac:dyDescent="0.3">
      <c r="A3201" s="6" t="s">
        <v>5134</v>
      </c>
      <c r="B3201" t="s">
        <v>6048</v>
      </c>
    </row>
    <row r="3202" spans="1:2" x14ac:dyDescent="0.3">
      <c r="A3202" s="6" t="s">
        <v>5135</v>
      </c>
      <c r="B3202" t="s">
        <v>6034</v>
      </c>
    </row>
    <row r="3203" spans="1:2" x14ac:dyDescent="0.3">
      <c r="A3203" s="6" t="s">
        <v>5136</v>
      </c>
      <c r="B3203" t="s">
        <v>6194</v>
      </c>
    </row>
    <row r="3204" spans="1:2" x14ac:dyDescent="0.3">
      <c r="A3204" s="6" t="s">
        <v>1718</v>
      </c>
      <c r="B3204" t="s">
        <v>8681</v>
      </c>
    </row>
    <row r="3205" spans="1:2" x14ac:dyDescent="0.3">
      <c r="A3205" s="6" t="s">
        <v>5137</v>
      </c>
      <c r="B3205" t="s">
        <v>6036</v>
      </c>
    </row>
    <row r="3206" spans="1:2" x14ac:dyDescent="0.3">
      <c r="A3206" s="6" t="s">
        <v>5138</v>
      </c>
      <c r="B3206" t="s">
        <v>7282</v>
      </c>
    </row>
    <row r="3207" spans="1:2" x14ac:dyDescent="0.3">
      <c r="A3207" s="6" t="s">
        <v>5139</v>
      </c>
      <c r="B3207" t="s">
        <v>7215</v>
      </c>
    </row>
    <row r="3208" spans="1:2" x14ac:dyDescent="0.3">
      <c r="A3208" s="6" t="s">
        <v>5140</v>
      </c>
      <c r="B3208" t="s">
        <v>7213</v>
      </c>
    </row>
    <row r="3209" spans="1:2" x14ac:dyDescent="0.3">
      <c r="A3209" s="6" t="s">
        <v>5141</v>
      </c>
      <c r="B3209" t="s">
        <v>7214</v>
      </c>
    </row>
    <row r="3210" spans="1:2" x14ac:dyDescent="0.3">
      <c r="A3210" s="6" t="s">
        <v>5142</v>
      </c>
      <c r="B3210" t="s">
        <v>7274</v>
      </c>
    </row>
    <row r="3211" spans="1:2" x14ac:dyDescent="0.3">
      <c r="A3211" s="6" t="s">
        <v>5143</v>
      </c>
      <c r="B3211" t="s">
        <v>7275</v>
      </c>
    </row>
    <row r="3212" spans="1:2" x14ac:dyDescent="0.3">
      <c r="A3212" s="6" t="s">
        <v>5144</v>
      </c>
      <c r="B3212" t="s">
        <v>7269</v>
      </c>
    </row>
    <row r="3213" spans="1:2" x14ac:dyDescent="0.3">
      <c r="A3213" s="6" t="s">
        <v>5145</v>
      </c>
      <c r="B3213" t="s">
        <v>7270</v>
      </c>
    </row>
    <row r="3214" spans="1:2" x14ac:dyDescent="0.3">
      <c r="A3214" s="6" t="s">
        <v>5146</v>
      </c>
      <c r="B3214" t="s">
        <v>7268</v>
      </c>
    </row>
    <row r="3215" spans="1:2" x14ac:dyDescent="0.3">
      <c r="A3215" s="6" t="s">
        <v>1719</v>
      </c>
      <c r="B3215" t="s">
        <v>8680</v>
      </c>
    </row>
    <row r="3216" spans="1:2" x14ac:dyDescent="0.3">
      <c r="A3216" s="6" t="s">
        <v>5147</v>
      </c>
      <c r="B3216" t="s">
        <v>7273</v>
      </c>
    </row>
    <row r="3217" spans="1:2" x14ac:dyDescent="0.3">
      <c r="A3217" s="6" t="s">
        <v>5148</v>
      </c>
      <c r="B3217" t="s">
        <v>7271</v>
      </c>
    </row>
    <row r="3218" spans="1:2" x14ac:dyDescent="0.3">
      <c r="A3218" s="6" t="s">
        <v>5149</v>
      </c>
      <c r="B3218" t="s">
        <v>7272</v>
      </c>
    </row>
    <row r="3219" spans="1:2" x14ac:dyDescent="0.3">
      <c r="A3219" s="6" t="s">
        <v>5150</v>
      </c>
      <c r="B3219" t="s">
        <v>7278</v>
      </c>
    </row>
    <row r="3220" spans="1:2" x14ac:dyDescent="0.3">
      <c r="A3220" s="6" t="s">
        <v>5151</v>
      </c>
      <c r="B3220" t="s">
        <v>7276</v>
      </c>
    </row>
    <row r="3221" spans="1:2" x14ac:dyDescent="0.3">
      <c r="A3221" s="6" t="s">
        <v>5152</v>
      </c>
      <c r="B3221" t="s">
        <v>7277</v>
      </c>
    </row>
    <row r="3222" spans="1:2" x14ac:dyDescent="0.3">
      <c r="A3222" s="6" t="s">
        <v>5153</v>
      </c>
      <c r="B3222" t="s">
        <v>7281</v>
      </c>
    </row>
    <row r="3223" spans="1:2" x14ac:dyDescent="0.3">
      <c r="A3223" s="6" t="s">
        <v>5154</v>
      </c>
      <c r="B3223" t="s">
        <v>7279</v>
      </c>
    </row>
    <row r="3224" spans="1:2" x14ac:dyDescent="0.3">
      <c r="A3224" s="6" t="s">
        <v>5155</v>
      </c>
      <c r="B3224" t="s">
        <v>7280</v>
      </c>
    </row>
    <row r="3225" spans="1:2" x14ac:dyDescent="0.3">
      <c r="A3225" s="6" t="s">
        <v>5156</v>
      </c>
      <c r="B3225" t="s">
        <v>7285</v>
      </c>
    </row>
    <row r="3226" spans="1:2" x14ac:dyDescent="0.3">
      <c r="A3226" s="6" t="s">
        <v>1720</v>
      </c>
      <c r="B3226" t="s">
        <v>7822</v>
      </c>
    </row>
    <row r="3227" spans="1:2" x14ac:dyDescent="0.3">
      <c r="A3227" s="6" t="s">
        <v>5157</v>
      </c>
      <c r="B3227" t="s">
        <v>7283</v>
      </c>
    </row>
    <row r="3228" spans="1:2" x14ac:dyDescent="0.3">
      <c r="A3228" s="6" t="s">
        <v>5158</v>
      </c>
      <c r="B3228" t="s">
        <v>7288</v>
      </c>
    </row>
    <row r="3229" spans="1:2" x14ac:dyDescent="0.3">
      <c r="A3229" s="6" t="s">
        <v>5159</v>
      </c>
      <c r="B3229" t="s">
        <v>7289</v>
      </c>
    </row>
    <row r="3230" spans="1:2" x14ac:dyDescent="0.3">
      <c r="A3230" s="6" t="s">
        <v>5160</v>
      </c>
      <c r="B3230" t="s">
        <v>7284</v>
      </c>
    </row>
    <row r="3231" spans="1:2" x14ac:dyDescent="0.3">
      <c r="A3231" s="6" t="s">
        <v>5161</v>
      </c>
      <c r="B3231" t="s">
        <v>7291</v>
      </c>
    </row>
    <row r="3232" spans="1:2" x14ac:dyDescent="0.3">
      <c r="A3232" s="6" t="s">
        <v>5162</v>
      </c>
      <c r="B3232" t="s">
        <v>7290</v>
      </c>
    </row>
    <row r="3233" spans="1:2" x14ac:dyDescent="0.3">
      <c r="A3233" s="6" t="s">
        <v>5163</v>
      </c>
      <c r="B3233" t="s">
        <v>7287</v>
      </c>
    </row>
    <row r="3234" spans="1:2" x14ac:dyDescent="0.3">
      <c r="A3234" s="6" t="s">
        <v>5164</v>
      </c>
      <c r="B3234" t="s">
        <v>7286</v>
      </c>
    </row>
    <row r="3235" spans="1:2" x14ac:dyDescent="0.3">
      <c r="A3235" s="6" t="s">
        <v>5165</v>
      </c>
      <c r="B3235" t="s">
        <v>7301</v>
      </c>
    </row>
    <row r="3236" spans="1:2" x14ac:dyDescent="0.3">
      <c r="A3236" s="6" t="s">
        <v>5166</v>
      </c>
      <c r="B3236" t="s">
        <v>7299</v>
      </c>
    </row>
    <row r="3237" spans="1:2" x14ac:dyDescent="0.3">
      <c r="A3237" s="6" t="s">
        <v>1721</v>
      </c>
      <c r="B3237" t="s">
        <v>7820</v>
      </c>
    </row>
    <row r="3238" spans="1:2" x14ac:dyDescent="0.3">
      <c r="A3238" s="6" t="s">
        <v>5167</v>
      </c>
      <c r="B3238" t="s">
        <v>7300</v>
      </c>
    </row>
    <row r="3239" spans="1:2" x14ac:dyDescent="0.3">
      <c r="A3239" s="6" t="s">
        <v>5168</v>
      </c>
      <c r="B3239" t="s">
        <v>7298</v>
      </c>
    </row>
    <row r="3240" spans="1:2" x14ac:dyDescent="0.3">
      <c r="A3240" s="6" t="s">
        <v>5169</v>
      </c>
      <c r="B3240" t="s">
        <v>7294</v>
      </c>
    </row>
    <row r="3241" spans="1:2" x14ac:dyDescent="0.3">
      <c r="A3241" s="6" t="s">
        <v>5170</v>
      </c>
      <c r="B3241" t="s">
        <v>7292</v>
      </c>
    </row>
    <row r="3242" spans="1:2" x14ac:dyDescent="0.3">
      <c r="A3242" s="6" t="s">
        <v>5171</v>
      </c>
      <c r="B3242" t="s">
        <v>7296</v>
      </c>
    </row>
    <row r="3243" spans="1:2" x14ac:dyDescent="0.3">
      <c r="A3243" s="6" t="s">
        <v>5172</v>
      </c>
      <c r="B3243" t="s">
        <v>7295</v>
      </c>
    </row>
    <row r="3244" spans="1:2" x14ac:dyDescent="0.3">
      <c r="A3244" s="6" t="s">
        <v>5173</v>
      </c>
      <c r="B3244" t="s">
        <v>7293</v>
      </c>
    </row>
    <row r="3245" spans="1:2" x14ac:dyDescent="0.3">
      <c r="A3245" s="6" t="s">
        <v>5174</v>
      </c>
      <c r="B3245" t="s">
        <v>7297</v>
      </c>
    </row>
    <row r="3246" spans="1:2" x14ac:dyDescent="0.3">
      <c r="A3246" s="6" t="s">
        <v>5175</v>
      </c>
      <c r="B3246" t="s">
        <v>8517</v>
      </c>
    </row>
    <row r="3247" spans="1:2" x14ac:dyDescent="0.3">
      <c r="A3247" s="6" t="s">
        <v>5176</v>
      </c>
      <c r="B3247" t="s">
        <v>7267</v>
      </c>
    </row>
    <row r="3248" spans="1:2" x14ac:dyDescent="0.3">
      <c r="A3248" s="6" t="s">
        <v>1722</v>
      </c>
      <c r="B3248" t="s">
        <v>7821</v>
      </c>
    </row>
    <row r="3249" spans="1:2" x14ac:dyDescent="0.3">
      <c r="A3249" s="6" t="s">
        <v>5177</v>
      </c>
      <c r="B3249" t="s">
        <v>7265</v>
      </c>
    </row>
    <row r="3250" spans="1:2" x14ac:dyDescent="0.3">
      <c r="A3250" s="6" t="s">
        <v>5178</v>
      </c>
      <c r="B3250" t="s">
        <v>7266</v>
      </c>
    </row>
    <row r="3251" spans="1:2" x14ac:dyDescent="0.3">
      <c r="A3251" s="6" t="s">
        <v>5179</v>
      </c>
      <c r="B3251" t="s">
        <v>7258</v>
      </c>
    </row>
    <row r="3252" spans="1:2" x14ac:dyDescent="0.3">
      <c r="A3252" s="6" t="s">
        <v>5180</v>
      </c>
      <c r="B3252" t="s">
        <v>7256</v>
      </c>
    </row>
    <row r="3253" spans="1:2" x14ac:dyDescent="0.3">
      <c r="A3253" s="6" t="s">
        <v>5181</v>
      </c>
      <c r="B3253" t="s">
        <v>7257</v>
      </c>
    </row>
    <row r="3254" spans="1:2" x14ac:dyDescent="0.3">
      <c r="A3254" s="6" t="s">
        <v>5182</v>
      </c>
      <c r="B3254" t="s">
        <v>7261</v>
      </c>
    </row>
    <row r="3255" spans="1:2" x14ac:dyDescent="0.3">
      <c r="A3255" s="6" t="s">
        <v>5183</v>
      </c>
      <c r="B3255" t="s">
        <v>7259</v>
      </c>
    </row>
    <row r="3256" spans="1:2" x14ac:dyDescent="0.3">
      <c r="A3256" s="6" t="s">
        <v>5184</v>
      </c>
      <c r="B3256" t="s">
        <v>7260</v>
      </c>
    </row>
    <row r="3257" spans="1:2" x14ac:dyDescent="0.3">
      <c r="A3257" s="6" t="s">
        <v>5185</v>
      </c>
      <c r="B3257" t="s">
        <v>7264</v>
      </c>
    </row>
    <row r="3258" spans="1:2" x14ac:dyDescent="0.3">
      <c r="A3258" s="6" t="s">
        <v>5186</v>
      </c>
      <c r="B3258" t="s">
        <v>7262</v>
      </c>
    </row>
    <row r="3259" spans="1:2" x14ac:dyDescent="0.3">
      <c r="A3259" s="6" t="s">
        <v>1371</v>
      </c>
      <c r="B3259" t="s">
        <v>5198</v>
      </c>
    </row>
    <row r="3260" spans="1:2" x14ac:dyDescent="0.3">
      <c r="A3260" s="6" t="s">
        <v>1723</v>
      </c>
      <c r="B3260" t="s">
        <v>7819</v>
      </c>
    </row>
    <row r="3261" spans="1:2" x14ac:dyDescent="0.3">
      <c r="A3261" s="6" t="s">
        <v>5187</v>
      </c>
      <c r="B3261" t="s">
        <v>7263</v>
      </c>
    </row>
    <row r="3262" spans="1:2" x14ac:dyDescent="0.3">
      <c r="A3262" s="6" t="s">
        <v>5188</v>
      </c>
      <c r="B3262" t="s">
        <v>7255</v>
      </c>
    </row>
    <row r="3263" spans="1:2" x14ac:dyDescent="0.3">
      <c r="A3263" s="6" t="s">
        <v>5189</v>
      </c>
      <c r="B3263" t="s">
        <v>7253</v>
      </c>
    </row>
    <row r="3264" spans="1:2" x14ac:dyDescent="0.3">
      <c r="A3264" s="6" t="s">
        <v>5190</v>
      </c>
      <c r="B3264" t="s">
        <v>7254</v>
      </c>
    </row>
    <row r="3265" spans="1:2" x14ac:dyDescent="0.3">
      <c r="A3265" s="6" t="s">
        <v>5191</v>
      </c>
      <c r="B3265" t="s">
        <v>7573</v>
      </c>
    </row>
    <row r="3266" spans="1:2" x14ac:dyDescent="0.3">
      <c r="A3266" s="6" t="s">
        <v>5192</v>
      </c>
      <c r="B3266" t="s">
        <v>7481</v>
      </c>
    </row>
    <row r="3267" spans="1:2" x14ac:dyDescent="0.3">
      <c r="A3267" s="6" t="s">
        <v>5193</v>
      </c>
      <c r="B3267" t="s">
        <v>7221</v>
      </c>
    </row>
    <row r="3268" spans="1:2" x14ac:dyDescent="0.3">
      <c r="A3268" s="6" t="s">
        <v>5194</v>
      </c>
      <c r="B3268" t="s">
        <v>7219</v>
      </c>
    </row>
    <row r="3269" spans="1:2" x14ac:dyDescent="0.3">
      <c r="A3269" s="6" t="s">
        <v>5195</v>
      </c>
      <c r="B3269" t="s">
        <v>7220</v>
      </c>
    </row>
    <row r="3270" spans="1:2" x14ac:dyDescent="0.3">
      <c r="A3270" s="6" t="s">
        <v>5196</v>
      </c>
      <c r="B3270" t="s">
        <v>7225</v>
      </c>
    </row>
    <row r="3271" spans="1:2" x14ac:dyDescent="0.3">
      <c r="A3271" s="6" t="s">
        <v>1724</v>
      </c>
      <c r="B3271" t="s">
        <v>7817</v>
      </c>
    </row>
    <row r="3272" spans="1:2" x14ac:dyDescent="0.3">
      <c r="A3272" s="6" t="s">
        <v>5197</v>
      </c>
      <c r="B3272" t="s">
        <v>7227</v>
      </c>
    </row>
    <row r="3273" spans="1:2" x14ac:dyDescent="0.3">
      <c r="A3273" s="6" t="s">
        <v>5198</v>
      </c>
      <c r="B3273" t="s">
        <v>7226</v>
      </c>
    </row>
    <row r="3274" spans="1:2" x14ac:dyDescent="0.3">
      <c r="A3274" s="6" t="s">
        <v>5199</v>
      </c>
      <c r="B3274" t="s">
        <v>7218</v>
      </c>
    </row>
    <row r="3275" spans="1:2" x14ac:dyDescent="0.3">
      <c r="A3275" s="6" t="s">
        <v>5200</v>
      </c>
      <c r="B3275" t="s">
        <v>7216</v>
      </c>
    </row>
    <row r="3276" spans="1:2" x14ac:dyDescent="0.3">
      <c r="A3276" s="6" t="s">
        <v>5201</v>
      </c>
      <c r="B3276" t="s">
        <v>7217</v>
      </c>
    </row>
    <row r="3277" spans="1:2" x14ac:dyDescent="0.3">
      <c r="A3277" s="6" t="s">
        <v>5202</v>
      </c>
      <c r="B3277" t="s">
        <v>7252</v>
      </c>
    </row>
    <row r="3278" spans="1:2" x14ac:dyDescent="0.3">
      <c r="A3278" s="6" t="s">
        <v>5203</v>
      </c>
      <c r="B3278" t="s">
        <v>7231</v>
      </c>
    </row>
    <row r="3279" spans="1:2" x14ac:dyDescent="0.3">
      <c r="A3279" s="6" t="s">
        <v>5204</v>
      </c>
      <c r="B3279" t="s">
        <v>7232</v>
      </c>
    </row>
    <row r="3280" spans="1:2" x14ac:dyDescent="0.3">
      <c r="A3280" s="6" t="s">
        <v>5205</v>
      </c>
      <c r="B3280" t="s">
        <v>7230</v>
      </c>
    </row>
    <row r="3281" spans="1:2" x14ac:dyDescent="0.3">
      <c r="A3281" s="6" t="s">
        <v>5206</v>
      </c>
      <c r="B3281" t="s">
        <v>7228</v>
      </c>
    </row>
    <row r="3282" spans="1:2" x14ac:dyDescent="0.3">
      <c r="A3282" s="6" t="s">
        <v>1725</v>
      </c>
      <c r="B3282" t="s">
        <v>7816</v>
      </c>
    </row>
    <row r="3283" spans="1:2" x14ac:dyDescent="0.3">
      <c r="A3283" s="6" t="s">
        <v>5207</v>
      </c>
      <c r="B3283" t="s">
        <v>7229</v>
      </c>
    </row>
    <row r="3284" spans="1:2" x14ac:dyDescent="0.3">
      <c r="A3284" s="6" t="s">
        <v>5208</v>
      </c>
      <c r="B3284" t="s">
        <v>7224</v>
      </c>
    </row>
    <row r="3285" spans="1:2" x14ac:dyDescent="0.3">
      <c r="A3285" s="6" t="s">
        <v>5209</v>
      </c>
      <c r="B3285" t="s">
        <v>7222</v>
      </c>
    </row>
    <row r="3286" spans="1:2" x14ac:dyDescent="0.3">
      <c r="A3286" s="6" t="s">
        <v>5210</v>
      </c>
      <c r="B3286" t="s">
        <v>7223</v>
      </c>
    </row>
    <row r="3287" spans="1:2" x14ac:dyDescent="0.3">
      <c r="A3287" s="6" t="s">
        <v>5211</v>
      </c>
      <c r="B3287" t="s">
        <v>7477</v>
      </c>
    </row>
    <row r="3288" spans="1:2" x14ac:dyDescent="0.3">
      <c r="A3288" s="6" t="s">
        <v>5212</v>
      </c>
      <c r="B3288" t="s">
        <v>7572</v>
      </c>
    </row>
    <row r="3289" spans="1:2" x14ac:dyDescent="0.3">
      <c r="A3289" s="6" t="s">
        <v>5213</v>
      </c>
      <c r="B3289" t="s">
        <v>7482</v>
      </c>
    </row>
    <row r="3290" spans="1:2" x14ac:dyDescent="0.3">
      <c r="A3290" s="6" t="s">
        <v>5214</v>
      </c>
      <c r="B3290" t="s">
        <v>8599</v>
      </c>
    </row>
    <row r="3291" spans="1:2" x14ac:dyDescent="0.3">
      <c r="A3291" s="6" t="s">
        <v>5215</v>
      </c>
      <c r="B3291" t="s">
        <v>8604</v>
      </c>
    </row>
    <row r="3292" spans="1:2" x14ac:dyDescent="0.3">
      <c r="A3292" s="6" t="s">
        <v>5216</v>
      </c>
      <c r="B3292" t="s">
        <v>8598</v>
      </c>
    </row>
    <row r="3293" spans="1:2" x14ac:dyDescent="0.3">
      <c r="A3293" s="6" t="s">
        <v>1726</v>
      </c>
      <c r="B3293" t="s">
        <v>7818</v>
      </c>
    </row>
    <row r="3294" spans="1:2" x14ac:dyDescent="0.3">
      <c r="A3294" s="6" t="s">
        <v>5217</v>
      </c>
      <c r="B3294" t="s">
        <v>8596</v>
      </c>
    </row>
    <row r="3295" spans="1:2" x14ac:dyDescent="0.3">
      <c r="A3295" s="6" t="s">
        <v>5218</v>
      </c>
      <c r="B3295" t="s">
        <v>8597</v>
      </c>
    </row>
    <row r="3296" spans="1:2" x14ac:dyDescent="0.3">
      <c r="A3296" s="6" t="s">
        <v>5219</v>
      </c>
      <c r="B3296" t="s">
        <v>8594</v>
      </c>
    </row>
    <row r="3297" spans="1:2" x14ac:dyDescent="0.3">
      <c r="A3297" s="6" t="s">
        <v>5220</v>
      </c>
      <c r="B3297" t="s">
        <v>8595</v>
      </c>
    </row>
    <row r="3298" spans="1:2" x14ac:dyDescent="0.3">
      <c r="A3298" s="6" t="s">
        <v>5221</v>
      </c>
      <c r="B3298" t="s">
        <v>8593</v>
      </c>
    </row>
    <row r="3299" spans="1:2" x14ac:dyDescent="0.3">
      <c r="A3299" s="6" t="s">
        <v>5222</v>
      </c>
      <c r="B3299" t="s">
        <v>8602</v>
      </c>
    </row>
    <row r="3300" spans="1:2" x14ac:dyDescent="0.3">
      <c r="A3300" s="6" t="s">
        <v>5223</v>
      </c>
      <c r="B3300" t="s">
        <v>8590</v>
      </c>
    </row>
    <row r="3301" spans="1:2" x14ac:dyDescent="0.3">
      <c r="A3301" s="6" t="s">
        <v>5224</v>
      </c>
      <c r="B3301" t="s">
        <v>8614</v>
      </c>
    </row>
    <row r="3302" spans="1:2" x14ac:dyDescent="0.3">
      <c r="A3302" s="6" t="s">
        <v>5225</v>
      </c>
      <c r="B3302" t="s">
        <v>8607</v>
      </c>
    </row>
    <row r="3303" spans="1:2" x14ac:dyDescent="0.3">
      <c r="A3303" s="6" t="s">
        <v>5226</v>
      </c>
      <c r="B3303" t="s">
        <v>8612</v>
      </c>
    </row>
    <row r="3304" spans="1:2" x14ac:dyDescent="0.3">
      <c r="A3304" s="6" t="s">
        <v>1727</v>
      </c>
      <c r="B3304" t="s">
        <v>8533</v>
      </c>
    </row>
    <row r="3305" spans="1:2" x14ac:dyDescent="0.3">
      <c r="A3305" s="6" t="s">
        <v>5227</v>
      </c>
      <c r="B3305" t="s">
        <v>8608</v>
      </c>
    </row>
    <row r="3306" spans="1:2" x14ac:dyDescent="0.3">
      <c r="A3306" s="6" t="s">
        <v>5228</v>
      </c>
      <c r="B3306" t="s">
        <v>8609</v>
      </c>
    </row>
    <row r="3307" spans="1:2" x14ac:dyDescent="0.3">
      <c r="A3307" s="6" t="s">
        <v>5229</v>
      </c>
      <c r="B3307" t="s">
        <v>8610</v>
      </c>
    </row>
    <row r="3308" spans="1:2" x14ac:dyDescent="0.3">
      <c r="A3308" s="6" t="s">
        <v>5230</v>
      </c>
      <c r="B3308" t="s">
        <v>8611</v>
      </c>
    </row>
    <row r="3309" spans="1:2" x14ac:dyDescent="0.3">
      <c r="A3309" s="6" t="s">
        <v>5231</v>
      </c>
      <c r="B3309" t="s">
        <v>8585</v>
      </c>
    </row>
    <row r="3310" spans="1:2" x14ac:dyDescent="0.3">
      <c r="A3310" s="6" t="s">
        <v>5232</v>
      </c>
      <c r="B3310" t="s">
        <v>8589</v>
      </c>
    </row>
    <row r="3311" spans="1:2" x14ac:dyDescent="0.3">
      <c r="A3311" s="6" t="s">
        <v>5233</v>
      </c>
      <c r="B3311" t="s">
        <v>8586</v>
      </c>
    </row>
    <row r="3312" spans="1:2" x14ac:dyDescent="0.3">
      <c r="A3312" s="6" t="s">
        <v>5234</v>
      </c>
      <c r="B3312" t="s">
        <v>8587</v>
      </c>
    </row>
    <row r="3313" spans="1:2" x14ac:dyDescent="0.3">
      <c r="A3313" s="6" t="s">
        <v>5235</v>
      </c>
      <c r="B3313" t="s">
        <v>8588</v>
      </c>
    </row>
    <row r="3314" spans="1:2" x14ac:dyDescent="0.3">
      <c r="A3314" s="6" t="s">
        <v>5236</v>
      </c>
      <c r="B3314" t="s">
        <v>8605</v>
      </c>
    </row>
    <row r="3315" spans="1:2" x14ac:dyDescent="0.3">
      <c r="A3315" s="6" t="s">
        <v>1728</v>
      </c>
      <c r="B3315" t="s">
        <v>8531</v>
      </c>
    </row>
    <row r="3316" spans="1:2" x14ac:dyDescent="0.3">
      <c r="A3316" s="6" t="s">
        <v>5237</v>
      </c>
      <c r="B3316" t="s">
        <v>8606</v>
      </c>
    </row>
    <row r="3317" spans="1:2" x14ac:dyDescent="0.3">
      <c r="A3317" s="6" t="s">
        <v>5238</v>
      </c>
      <c r="B3317" t="s">
        <v>8603</v>
      </c>
    </row>
    <row r="3318" spans="1:2" x14ac:dyDescent="0.3">
      <c r="A3318" s="6" t="s">
        <v>5239</v>
      </c>
      <c r="B3318" t="s">
        <v>8591</v>
      </c>
    </row>
    <row r="3319" spans="1:2" x14ac:dyDescent="0.3">
      <c r="A3319" s="6" t="s">
        <v>5240</v>
      </c>
      <c r="B3319" t="s">
        <v>8592</v>
      </c>
    </row>
    <row r="3320" spans="1:2" x14ac:dyDescent="0.3">
      <c r="A3320" s="6" t="s">
        <v>5241</v>
      </c>
      <c r="B3320" t="s">
        <v>8600</v>
      </c>
    </row>
    <row r="3321" spans="1:2" x14ac:dyDescent="0.3">
      <c r="A3321" s="6" t="s">
        <v>5242</v>
      </c>
      <c r="B3321" t="s">
        <v>8613</v>
      </c>
    </row>
    <row r="3322" spans="1:2" x14ac:dyDescent="0.3">
      <c r="A3322" s="6" t="s">
        <v>5243</v>
      </c>
      <c r="B3322" t="s">
        <v>8601</v>
      </c>
    </row>
    <row r="3323" spans="1:2" x14ac:dyDescent="0.3">
      <c r="A3323" s="6" t="s">
        <v>5244</v>
      </c>
      <c r="B3323" t="s">
        <v>8584</v>
      </c>
    </row>
    <row r="3324" spans="1:2" x14ac:dyDescent="0.3">
      <c r="A3324" s="6" t="s">
        <v>5245</v>
      </c>
      <c r="B3324" t="s">
        <v>2671</v>
      </c>
    </row>
    <row r="3325" spans="1:2" x14ac:dyDescent="0.3">
      <c r="A3325" s="6" t="s">
        <v>5246</v>
      </c>
      <c r="B3325" t="s">
        <v>2010</v>
      </c>
    </row>
    <row r="3326" spans="1:2" x14ac:dyDescent="0.3">
      <c r="A3326" s="6" t="s">
        <v>1729</v>
      </c>
      <c r="B3326" t="s">
        <v>8532</v>
      </c>
    </row>
    <row r="3327" spans="1:2" x14ac:dyDescent="0.3">
      <c r="A3327" s="6" t="s">
        <v>5247</v>
      </c>
      <c r="B3327" t="s">
        <v>2672</v>
      </c>
    </row>
    <row r="3328" spans="1:2" x14ac:dyDescent="0.3">
      <c r="A3328" s="6" t="s">
        <v>5248</v>
      </c>
      <c r="B3328" t="s">
        <v>2684</v>
      </c>
    </row>
    <row r="3329" spans="1:2" x14ac:dyDescent="0.3">
      <c r="A3329" s="6" t="s">
        <v>5249</v>
      </c>
      <c r="B3329" t="s">
        <v>2683</v>
      </c>
    </row>
    <row r="3330" spans="1:2" x14ac:dyDescent="0.3">
      <c r="A3330" s="6" t="s">
        <v>5250</v>
      </c>
      <c r="B3330" t="s">
        <v>2685</v>
      </c>
    </row>
    <row r="3331" spans="1:2" x14ac:dyDescent="0.3">
      <c r="A3331" s="6" t="s">
        <v>5251</v>
      </c>
      <c r="B3331" t="s">
        <v>2241</v>
      </c>
    </row>
    <row r="3332" spans="1:2" x14ac:dyDescent="0.3">
      <c r="A3332" s="6" t="s">
        <v>5252</v>
      </c>
      <c r="B3332" t="s">
        <v>2245</v>
      </c>
    </row>
    <row r="3333" spans="1:2" x14ac:dyDescent="0.3">
      <c r="A3333" s="6" t="s">
        <v>5253</v>
      </c>
      <c r="B3333" t="s">
        <v>2009</v>
      </c>
    </row>
    <row r="3334" spans="1:2" x14ac:dyDescent="0.3">
      <c r="A3334" s="6" t="s">
        <v>5254</v>
      </c>
      <c r="B3334" t="s">
        <v>2238</v>
      </c>
    </row>
    <row r="3335" spans="1:2" x14ac:dyDescent="0.3">
      <c r="A3335" s="6" t="s">
        <v>5255</v>
      </c>
      <c r="B3335" t="s">
        <v>2246</v>
      </c>
    </row>
    <row r="3336" spans="1:2" x14ac:dyDescent="0.3">
      <c r="A3336" s="6" t="s">
        <v>5256</v>
      </c>
      <c r="B3336" t="s">
        <v>2234</v>
      </c>
    </row>
    <row r="3337" spans="1:2" x14ac:dyDescent="0.3">
      <c r="A3337" s="6" t="s">
        <v>1730</v>
      </c>
      <c r="B3337" t="s">
        <v>8385</v>
      </c>
    </row>
    <row r="3338" spans="1:2" x14ac:dyDescent="0.3">
      <c r="A3338" s="6" t="s">
        <v>5257</v>
      </c>
      <c r="B3338" t="s">
        <v>2248</v>
      </c>
    </row>
    <row r="3339" spans="1:2" x14ac:dyDescent="0.3">
      <c r="A3339" s="6" t="s">
        <v>5258</v>
      </c>
      <c r="B3339" t="s">
        <v>2038</v>
      </c>
    </row>
    <row r="3340" spans="1:2" x14ac:dyDescent="0.3">
      <c r="A3340" s="6" t="s">
        <v>5259</v>
      </c>
      <c r="B3340" t="s">
        <v>2235</v>
      </c>
    </row>
    <row r="3341" spans="1:2" x14ac:dyDescent="0.3">
      <c r="A3341" s="6" t="s">
        <v>5260</v>
      </c>
      <c r="B3341" t="s">
        <v>1989</v>
      </c>
    </row>
    <row r="3342" spans="1:2" x14ac:dyDescent="0.3">
      <c r="A3342" s="6" t="s">
        <v>5261</v>
      </c>
      <c r="B3342" t="s">
        <v>2651</v>
      </c>
    </row>
    <row r="3343" spans="1:2" x14ac:dyDescent="0.3">
      <c r="A3343" s="6" t="s">
        <v>5262</v>
      </c>
      <c r="B3343" t="s">
        <v>2679</v>
      </c>
    </row>
    <row r="3344" spans="1:2" x14ac:dyDescent="0.3">
      <c r="A3344" s="6" t="s">
        <v>5263</v>
      </c>
      <c r="B3344" t="s">
        <v>2320</v>
      </c>
    </row>
    <row r="3345" spans="1:2" x14ac:dyDescent="0.3">
      <c r="A3345" s="6" t="s">
        <v>5264</v>
      </c>
      <c r="B3345" t="s">
        <v>2321</v>
      </c>
    </row>
    <row r="3346" spans="1:2" x14ac:dyDescent="0.3">
      <c r="A3346" s="6" t="s">
        <v>5265</v>
      </c>
      <c r="B3346" t="s">
        <v>2276</v>
      </c>
    </row>
    <row r="3347" spans="1:2" x14ac:dyDescent="0.3">
      <c r="A3347" s="6" t="s">
        <v>5266</v>
      </c>
      <c r="B3347" t="s">
        <v>2271</v>
      </c>
    </row>
    <row r="3348" spans="1:2" x14ac:dyDescent="0.3">
      <c r="A3348" s="6" t="s">
        <v>1731</v>
      </c>
      <c r="B3348" t="s">
        <v>3139</v>
      </c>
    </row>
    <row r="3349" spans="1:2" x14ac:dyDescent="0.3">
      <c r="A3349" s="6" t="s">
        <v>5267</v>
      </c>
      <c r="B3349" t="s">
        <v>2275</v>
      </c>
    </row>
    <row r="3350" spans="1:2" x14ac:dyDescent="0.3">
      <c r="A3350" s="6" t="s">
        <v>5268</v>
      </c>
      <c r="B3350" t="s">
        <v>2272</v>
      </c>
    </row>
    <row r="3351" spans="1:2" x14ac:dyDescent="0.3">
      <c r="A3351" s="6" t="s">
        <v>5269</v>
      </c>
      <c r="B3351" t="s">
        <v>2438</v>
      </c>
    </row>
    <row r="3352" spans="1:2" x14ac:dyDescent="0.3">
      <c r="A3352" s="6" t="s">
        <v>5270</v>
      </c>
      <c r="B3352" t="s">
        <v>2273</v>
      </c>
    </row>
    <row r="3353" spans="1:2" x14ac:dyDescent="0.3">
      <c r="A3353" s="6" t="s">
        <v>5271</v>
      </c>
      <c r="B3353" t="s">
        <v>2274</v>
      </c>
    </row>
    <row r="3354" spans="1:2" x14ac:dyDescent="0.3">
      <c r="A3354" s="6" t="s">
        <v>5272</v>
      </c>
      <c r="B3354" t="s">
        <v>2706</v>
      </c>
    </row>
    <row r="3355" spans="1:2" x14ac:dyDescent="0.3">
      <c r="A3355" s="6" t="s">
        <v>5273</v>
      </c>
      <c r="B3355" t="s">
        <v>2612</v>
      </c>
    </row>
    <row r="3356" spans="1:2" x14ac:dyDescent="0.3">
      <c r="A3356" s="6" t="s">
        <v>5274</v>
      </c>
      <c r="B3356" t="s">
        <v>2437</v>
      </c>
    </row>
    <row r="3357" spans="1:2" x14ac:dyDescent="0.3">
      <c r="A3357" s="6" t="s">
        <v>5275</v>
      </c>
      <c r="B3357" t="s">
        <v>2436</v>
      </c>
    </row>
    <row r="3358" spans="1:2" x14ac:dyDescent="0.3">
      <c r="A3358" s="6" t="s">
        <v>5276</v>
      </c>
      <c r="B3358" t="s">
        <v>2270</v>
      </c>
    </row>
    <row r="3359" spans="1:2" x14ac:dyDescent="0.3">
      <c r="A3359" s="6" t="s">
        <v>1732</v>
      </c>
      <c r="B3359" t="s">
        <v>3156</v>
      </c>
    </row>
    <row r="3360" spans="1:2" x14ac:dyDescent="0.3">
      <c r="A3360" s="6" t="s">
        <v>5277</v>
      </c>
      <c r="B3360" t="s">
        <v>2249</v>
      </c>
    </row>
    <row r="3361" spans="1:2" x14ac:dyDescent="0.3">
      <c r="A3361" s="6" t="s">
        <v>5278</v>
      </c>
      <c r="B3361" t="s">
        <v>2277</v>
      </c>
    </row>
    <row r="3362" spans="1:2" x14ac:dyDescent="0.3">
      <c r="A3362" s="6" t="s">
        <v>5279</v>
      </c>
      <c r="B3362" t="s">
        <v>6640</v>
      </c>
    </row>
    <row r="3363" spans="1:2" x14ac:dyDescent="0.3">
      <c r="A3363" s="6" t="s">
        <v>5280</v>
      </c>
      <c r="B3363" t="s">
        <v>6304</v>
      </c>
    </row>
    <row r="3364" spans="1:2" x14ac:dyDescent="0.3">
      <c r="A3364" s="6" t="s">
        <v>5281</v>
      </c>
      <c r="B3364" t="s">
        <v>3571</v>
      </c>
    </row>
    <row r="3365" spans="1:2" x14ac:dyDescent="0.3">
      <c r="A3365" s="6" t="s">
        <v>5282</v>
      </c>
      <c r="B3365" t="s">
        <v>6585</v>
      </c>
    </row>
    <row r="3366" spans="1:2" x14ac:dyDescent="0.3">
      <c r="A3366" s="6" t="s">
        <v>5283</v>
      </c>
      <c r="B3366" t="s">
        <v>6584</v>
      </c>
    </row>
    <row r="3367" spans="1:2" x14ac:dyDescent="0.3">
      <c r="A3367" s="6" t="s">
        <v>5284</v>
      </c>
      <c r="B3367" t="s">
        <v>1900</v>
      </c>
    </row>
    <row r="3368" spans="1:2" x14ac:dyDescent="0.3">
      <c r="A3368" s="6" t="s">
        <v>5285</v>
      </c>
      <c r="B3368" t="s">
        <v>6587</v>
      </c>
    </row>
    <row r="3369" spans="1:2" x14ac:dyDescent="0.3">
      <c r="A3369" s="6" t="s">
        <v>5286</v>
      </c>
      <c r="B3369" t="s">
        <v>6586</v>
      </c>
    </row>
    <row r="3370" spans="1:2" x14ac:dyDescent="0.3">
      <c r="A3370" s="6" t="s">
        <v>1372</v>
      </c>
      <c r="B3370" t="s">
        <v>7306</v>
      </c>
    </row>
    <row r="3371" spans="1:2" x14ac:dyDescent="0.3">
      <c r="A3371" s="6" t="s">
        <v>1733</v>
      </c>
      <c r="B3371" t="s">
        <v>3163</v>
      </c>
    </row>
    <row r="3372" spans="1:2" x14ac:dyDescent="0.3">
      <c r="A3372" s="6" t="s">
        <v>5287</v>
      </c>
      <c r="B3372" t="s">
        <v>6432</v>
      </c>
    </row>
    <row r="3373" spans="1:2" x14ac:dyDescent="0.3">
      <c r="A3373" s="6" t="s">
        <v>5288</v>
      </c>
      <c r="B3373" t="s">
        <v>7678</v>
      </c>
    </row>
    <row r="3374" spans="1:2" x14ac:dyDescent="0.3">
      <c r="A3374" s="6" t="s">
        <v>5289</v>
      </c>
      <c r="B3374" t="s">
        <v>7679</v>
      </c>
    </row>
    <row r="3375" spans="1:2" x14ac:dyDescent="0.3">
      <c r="A3375" s="6" t="s">
        <v>5290</v>
      </c>
      <c r="B3375" t="s">
        <v>7680</v>
      </c>
    </row>
    <row r="3376" spans="1:2" x14ac:dyDescent="0.3">
      <c r="A3376" s="6" t="s">
        <v>5291</v>
      </c>
      <c r="B3376" t="s">
        <v>7681</v>
      </c>
    </row>
    <row r="3377" spans="1:2" x14ac:dyDescent="0.3">
      <c r="A3377" s="6" t="s">
        <v>5292</v>
      </c>
      <c r="B3377" t="s">
        <v>3570</v>
      </c>
    </row>
    <row r="3378" spans="1:2" x14ac:dyDescent="0.3">
      <c r="A3378" s="6" t="s">
        <v>5293</v>
      </c>
      <c r="B3378" t="s">
        <v>7308</v>
      </c>
    </row>
    <row r="3379" spans="1:2" x14ac:dyDescent="0.3">
      <c r="A3379" s="6" t="s">
        <v>5294</v>
      </c>
      <c r="B3379" t="s">
        <v>8061</v>
      </c>
    </row>
    <row r="3380" spans="1:2" x14ac:dyDescent="0.3">
      <c r="A3380" s="6" t="s">
        <v>5295</v>
      </c>
      <c r="B3380" t="s">
        <v>1463</v>
      </c>
    </row>
    <row r="3381" spans="1:2" x14ac:dyDescent="0.3">
      <c r="A3381" s="6" t="s">
        <v>1734</v>
      </c>
      <c r="B3381" t="s">
        <v>3165</v>
      </c>
    </row>
    <row r="3382" spans="1:2" x14ac:dyDescent="0.3">
      <c r="A3382" s="6" t="s">
        <v>5296</v>
      </c>
      <c r="B3382" t="s">
        <v>7456</v>
      </c>
    </row>
    <row r="3383" spans="1:2" x14ac:dyDescent="0.3">
      <c r="A3383" s="6" t="s">
        <v>5297</v>
      </c>
      <c r="B3383" t="s">
        <v>7029</v>
      </c>
    </row>
    <row r="3384" spans="1:2" x14ac:dyDescent="0.3">
      <c r="A3384" s="11" t="s">
        <v>5298</v>
      </c>
      <c r="B3384" t="s">
        <v>5881</v>
      </c>
    </row>
    <row r="3385" spans="1:2" x14ac:dyDescent="0.3">
      <c r="A3385" s="6" t="s">
        <v>5299</v>
      </c>
      <c r="B3385" t="s">
        <v>5892</v>
      </c>
    </row>
    <row r="3386" spans="1:2" x14ac:dyDescent="0.3">
      <c r="A3386" s="6" t="s">
        <v>5300</v>
      </c>
      <c r="B3386" t="s">
        <v>5893</v>
      </c>
    </row>
    <row r="3387" spans="1:2" x14ac:dyDescent="0.3">
      <c r="A3387" s="6" t="s">
        <v>5301</v>
      </c>
      <c r="B3387" t="s">
        <v>7071</v>
      </c>
    </row>
    <row r="3388" spans="1:2" x14ac:dyDescent="0.3">
      <c r="A3388" s="6" t="s">
        <v>5302</v>
      </c>
      <c r="B3388" t="s">
        <v>7072</v>
      </c>
    </row>
    <row r="3389" spans="1:2" x14ac:dyDescent="0.3">
      <c r="A3389" s="6" t="s">
        <v>5303</v>
      </c>
      <c r="B3389" t="s">
        <v>6571</v>
      </c>
    </row>
    <row r="3390" spans="1:2" x14ac:dyDescent="0.3">
      <c r="A3390" s="6" t="s">
        <v>5304</v>
      </c>
      <c r="B3390" t="s">
        <v>6572</v>
      </c>
    </row>
    <row r="3391" spans="1:2" x14ac:dyDescent="0.3">
      <c r="A3391" s="6" t="s">
        <v>5305</v>
      </c>
      <c r="B3391" t="s">
        <v>6241</v>
      </c>
    </row>
    <row r="3392" spans="1:2" x14ac:dyDescent="0.3">
      <c r="A3392" s="6" t="s">
        <v>1735</v>
      </c>
      <c r="B3392" t="s">
        <v>3171</v>
      </c>
    </row>
    <row r="3393" spans="1:2" x14ac:dyDescent="0.3">
      <c r="A3393" s="6" t="s">
        <v>5306</v>
      </c>
      <c r="B3393" t="s">
        <v>6671</v>
      </c>
    </row>
    <row r="3394" spans="1:2" x14ac:dyDescent="0.3">
      <c r="A3394" s="6" t="s">
        <v>5307</v>
      </c>
      <c r="B3394" t="s">
        <v>8162</v>
      </c>
    </row>
    <row r="3395" spans="1:2" x14ac:dyDescent="0.3">
      <c r="A3395" s="6" t="s">
        <v>5308</v>
      </c>
      <c r="B3395" t="s">
        <v>8428</v>
      </c>
    </row>
    <row r="3396" spans="1:2" x14ac:dyDescent="0.3">
      <c r="A3396" s="6" t="s">
        <v>5309</v>
      </c>
      <c r="B3396" t="s">
        <v>6912</v>
      </c>
    </row>
    <row r="3397" spans="1:2" x14ac:dyDescent="0.3">
      <c r="A3397" s="6" t="s">
        <v>5310</v>
      </c>
      <c r="B3397" t="s">
        <v>6570</v>
      </c>
    </row>
    <row r="3398" spans="1:2" x14ac:dyDescent="0.3">
      <c r="A3398" s="6" t="s">
        <v>5311</v>
      </c>
      <c r="B3398" t="s">
        <v>6569</v>
      </c>
    </row>
    <row r="3399" spans="1:2" x14ac:dyDescent="0.3">
      <c r="A3399" s="6" t="s">
        <v>5312</v>
      </c>
      <c r="B3399" t="s">
        <v>7205</v>
      </c>
    </row>
    <row r="3400" spans="1:2" x14ac:dyDescent="0.3">
      <c r="A3400" s="6" t="s">
        <v>5313</v>
      </c>
      <c r="B3400" t="s">
        <v>7206</v>
      </c>
    </row>
    <row r="3401" spans="1:2" x14ac:dyDescent="0.3">
      <c r="A3401" s="6" t="s">
        <v>5314</v>
      </c>
      <c r="B3401" t="s">
        <v>6967</v>
      </c>
    </row>
    <row r="3402" spans="1:2" x14ac:dyDescent="0.3">
      <c r="A3402" s="6" t="s">
        <v>5315</v>
      </c>
      <c r="B3402" t="s">
        <v>6968</v>
      </c>
    </row>
    <row r="3403" spans="1:2" x14ac:dyDescent="0.3">
      <c r="A3403" s="6" t="s">
        <v>1736</v>
      </c>
      <c r="B3403" t="s">
        <v>3154</v>
      </c>
    </row>
    <row r="3404" spans="1:2" x14ac:dyDescent="0.3">
      <c r="A3404" s="6" t="s">
        <v>5316</v>
      </c>
      <c r="B3404" t="s">
        <v>6965</v>
      </c>
    </row>
    <row r="3405" spans="1:2" x14ac:dyDescent="0.3">
      <c r="A3405" s="6" t="s">
        <v>5317</v>
      </c>
      <c r="B3405" t="s">
        <v>6966</v>
      </c>
    </row>
    <row r="3406" spans="1:2" x14ac:dyDescent="0.3">
      <c r="A3406" s="6" t="s">
        <v>5318</v>
      </c>
      <c r="B3406" t="s">
        <v>7395</v>
      </c>
    </row>
    <row r="3407" spans="1:2" x14ac:dyDescent="0.3">
      <c r="A3407" s="6" t="s">
        <v>5319</v>
      </c>
      <c r="B3407" t="s">
        <v>7396</v>
      </c>
    </row>
    <row r="3408" spans="1:2" x14ac:dyDescent="0.3">
      <c r="A3408" s="6" t="s">
        <v>5320</v>
      </c>
      <c r="B3408" t="s">
        <v>6135</v>
      </c>
    </row>
    <row r="3409" spans="1:2" x14ac:dyDescent="0.3">
      <c r="A3409" s="6" t="s">
        <v>5321</v>
      </c>
      <c r="B3409" t="s">
        <v>6919</v>
      </c>
    </row>
    <row r="3410" spans="1:2" x14ac:dyDescent="0.3">
      <c r="A3410" s="6" t="s">
        <v>5322</v>
      </c>
      <c r="B3410" t="s">
        <v>6917</v>
      </c>
    </row>
    <row r="3411" spans="1:2" x14ac:dyDescent="0.3">
      <c r="A3411" s="6" t="s">
        <v>5323</v>
      </c>
      <c r="B3411" t="s">
        <v>5317</v>
      </c>
    </row>
    <row r="3412" spans="1:2" x14ac:dyDescent="0.3">
      <c r="A3412" s="6" t="s">
        <v>5324</v>
      </c>
      <c r="B3412" t="s">
        <v>6918</v>
      </c>
    </row>
    <row r="3413" spans="1:2" x14ac:dyDescent="0.3">
      <c r="A3413" s="6" t="s">
        <v>5325</v>
      </c>
      <c r="B3413" t="s">
        <v>6916</v>
      </c>
    </row>
    <row r="3414" spans="1:2" x14ac:dyDescent="0.3">
      <c r="A3414" s="6" t="s">
        <v>1737</v>
      </c>
      <c r="B3414" t="s">
        <v>3187</v>
      </c>
    </row>
    <row r="3415" spans="1:2" x14ac:dyDescent="0.3">
      <c r="A3415" s="6" t="s">
        <v>5326</v>
      </c>
      <c r="B3415" t="s">
        <v>1733</v>
      </c>
    </row>
    <row r="3416" spans="1:2" x14ac:dyDescent="0.3">
      <c r="A3416" s="6" t="s">
        <v>5327</v>
      </c>
      <c r="B3416" t="s">
        <v>2030</v>
      </c>
    </row>
    <row r="3417" spans="1:2" x14ac:dyDescent="0.3">
      <c r="A3417" s="6" t="s">
        <v>5328</v>
      </c>
      <c r="B3417" t="s">
        <v>6920</v>
      </c>
    </row>
    <row r="3418" spans="1:2" x14ac:dyDescent="0.3">
      <c r="A3418" s="6" t="s">
        <v>5329</v>
      </c>
      <c r="B3418" t="s">
        <v>6249</v>
      </c>
    </row>
    <row r="3419" spans="1:2" x14ac:dyDescent="0.3">
      <c r="A3419" s="6" t="s">
        <v>5330</v>
      </c>
      <c r="B3419" t="s">
        <v>6648</v>
      </c>
    </row>
    <row r="3420" spans="1:2" x14ac:dyDescent="0.3">
      <c r="A3420" s="6" t="s">
        <v>5331</v>
      </c>
      <c r="B3420" t="s">
        <v>7858</v>
      </c>
    </row>
    <row r="3421" spans="1:2" x14ac:dyDescent="0.3">
      <c r="A3421" s="6" t="s">
        <v>5332</v>
      </c>
      <c r="B3421" t="s">
        <v>7859</v>
      </c>
    </row>
    <row r="3422" spans="1:2" x14ac:dyDescent="0.3">
      <c r="A3422" s="6" t="s">
        <v>5333</v>
      </c>
      <c r="B3422" t="s">
        <v>7860</v>
      </c>
    </row>
    <row r="3423" spans="1:2" x14ac:dyDescent="0.3">
      <c r="A3423" s="6" t="s">
        <v>5334</v>
      </c>
      <c r="B3423" t="s">
        <v>8112</v>
      </c>
    </row>
    <row r="3424" spans="1:2" x14ac:dyDescent="0.3">
      <c r="A3424" s="6" t="s">
        <v>5335</v>
      </c>
      <c r="B3424" t="s">
        <v>8113</v>
      </c>
    </row>
    <row r="3425" spans="1:2" x14ac:dyDescent="0.3">
      <c r="A3425" s="6" t="s">
        <v>1738</v>
      </c>
      <c r="B3425" t="s">
        <v>1507</v>
      </c>
    </row>
    <row r="3426" spans="1:2" x14ac:dyDescent="0.3">
      <c r="A3426" s="6" t="s">
        <v>5336</v>
      </c>
      <c r="B3426" t="s">
        <v>6915</v>
      </c>
    </row>
    <row r="3427" spans="1:2" x14ac:dyDescent="0.3">
      <c r="A3427" s="6" t="s">
        <v>5337</v>
      </c>
      <c r="B3427" t="s">
        <v>7093</v>
      </c>
    </row>
    <row r="3428" spans="1:2" x14ac:dyDescent="0.3">
      <c r="A3428" s="6" t="s">
        <v>5338</v>
      </c>
      <c r="B3428" t="s">
        <v>7092</v>
      </c>
    </row>
    <row r="3429" spans="1:2" x14ac:dyDescent="0.3">
      <c r="A3429" s="6" t="s">
        <v>5339</v>
      </c>
      <c r="B3429" t="s">
        <v>7091</v>
      </c>
    </row>
    <row r="3430" spans="1:2" x14ac:dyDescent="0.3">
      <c r="A3430" s="6" t="s">
        <v>5340</v>
      </c>
      <c r="B3430" t="s">
        <v>6553</v>
      </c>
    </row>
    <row r="3431" spans="1:2" x14ac:dyDescent="0.3">
      <c r="A3431" s="6" t="s">
        <v>5341</v>
      </c>
      <c r="B3431" t="s">
        <v>6307</v>
      </c>
    </row>
    <row r="3432" spans="1:2" x14ac:dyDescent="0.3">
      <c r="A3432" s="6" t="s">
        <v>5342</v>
      </c>
      <c r="B3432" t="s">
        <v>6554</v>
      </c>
    </row>
    <row r="3433" spans="1:2" x14ac:dyDescent="0.3">
      <c r="A3433" s="6" t="s">
        <v>5343</v>
      </c>
      <c r="B3433" t="s">
        <v>6308</v>
      </c>
    </row>
    <row r="3434" spans="1:2" x14ac:dyDescent="0.3">
      <c r="A3434" s="6" t="s">
        <v>1739</v>
      </c>
      <c r="B3434" t="s">
        <v>1654</v>
      </c>
    </row>
    <row r="3435" spans="1:2" x14ac:dyDescent="0.3">
      <c r="A3435" s="6" t="s">
        <v>5344</v>
      </c>
      <c r="B3435" t="s">
        <v>7536</v>
      </c>
    </row>
    <row r="3436" spans="1:2" x14ac:dyDescent="0.3">
      <c r="A3436" s="6" t="s">
        <v>5345</v>
      </c>
      <c r="B3436" t="s">
        <v>7560</v>
      </c>
    </row>
    <row r="3437" spans="1:2" x14ac:dyDescent="0.3">
      <c r="A3437" s="6" t="s">
        <v>5346</v>
      </c>
      <c r="B3437" t="s">
        <v>7563</v>
      </c>
    </row>
    <row r="3438" spans="1:2" x14ac:dyDescent="0.3">
      <c r="A3438" s="6" t="s">
        <v>5347</v>
      </c>
      <c r="B3438" t="s">
        <v>7566</v>
      </c>
    </row>
    <row r="3439" spans="1:2" x14ac:dyDescent="0.3">
      <c r="A3439" s="6" t="s">
        <v>5348</v>
      </c>
      <c r="B3439" t="s">
        <v>7556</v>
      </c>
    </row>
    <row r="3440" spans="1:2" x14ac:dyDescent="0.3">
      <c r="A3440" s="6" t="s">
        <v>5349</v>
      </c>
      <c r="B3440" t="s">
        <v>7558</v>
      </c>
    </row>
    <row r="3441" spans="1:2" x14ac:dyDescent="0.3">
      <c r="A3441" s="6" t="s">
        <v>5350</v>
      </c>
      <c r="B3441" t="s">
        <v>7537</v>
      </c>
    </row>
    <row r="3442" spans="1:2" x14ac:dyDescent="0.3">
      <c r="A3442" s="6" t="s">
        <v>5351</v>
      </c>
      <c r="B3442" t="s">
        <v>7562</v>
      </c>
    </row>
    <row r="3443" spans="1:2" x14ac:dyDescent="0.3">
      <c r="A3443" s="6" t="s">
        <v>5352</v>
      </c>
      <c r="B3443" t="s">
        <v>7565</v>
      </c>
    </row>
    <row r="3444" spans="1:2" x14ac:dyDescent="0.3">
      <c r="A3444" s="6" t="s">
        <v>5353</v>
      </c>
      <c r="B3444" t="s">
        <v>7559</v>
      </c>
    </row>
    <row r="3445" spans="1:2" x14ac:dyDescent="0.3">
      <c r="A3445" s="6" t="s">
        <v>1740</v>
      </c>
      <c r="B3445" t="s">
        <v>4163</v>
      </c>
    </row>
    <row r="3446" spans="1:2" x14ac:dyDescent="0.3">
      <c r="A3446" s="6" t="s">
        <v>5354</v>
      </c>
      <c r="B3446" t="s">
        <v>6612</v>
      </c>
    </row>
    <row r="3447" spans="1:2" x14ac:dyDescent="0.3">
      <c r="A3447" s="6" t="s">
        <v>5355</v>
      </c>
      <c r="B3447" t="s">
        <v>6610</v>
      </c>
    </row>
    <row r="3448" spans="1:2" x14ac:dyDescent="0.3">
      <c r="A3448" s="6" t="s">
        <v>5356</v>
      </c>
      <c r="B3448" t="s">
        <v>6611</v>
      </c>
    </row>
    <row r="3449" spans="1:2" x14ac:dyDescent="0.3">
      <c r="A3449" s="6" t="s">
        <v>5357</v>
      </c>
      <c r="B3449" t="s">
        <v>7535</v>
      </c>
    </row>
    <row r="3450" spans="1:2" x14ac:dyDescent="0.3">
      <c r="A3450" s="6" t="s">
        <v>5358</v>
      </c>
      <c r="B3450" t="s">
        <v>7564</v>
      </c>
    </row>
    <row r="3451" spans="1:2" x14ac:dyDescent="0.3">
      <c r="A3451" s="6" t="s">
        <v>5359</v>
      </c>
      <c r="B3451" t="s">
        <v>7555</v>
      </c>
    </row>
    <row r="3452" spans="1:2" x14ac:dyDescent="0.3">
      <c r="A3452" s="6" t="s">
        <v>5360</v>
      </c>
      <c r="B3452" t="s">
        <v>7557</v>
      </c>
    </row>
    <row r="3453" spans="1:2" x14ac:dyDescent="0.3">
      <c r="A3453" s="6" t="s">
        <v>5361</v>
      </c>
      <c r="B3453" t="s">
        <v>7561</v>
      </c>
    </row>
    <row r="3454" spans="1:2" x14ac:dyDescent="0.3">
      <c r="A3454" s="6" t="s">
        <v>5362</v>
      </c>
      <c r="B3454" t="s">
        <v>8464</v>
      </c>
    </row>
    <row r="3455" spans="1:2" x14ac:dyDescent="0.3">
      <c r="A3455" s="6" t="s">
        <v>5363</v>
      </c>
      <c r="B3455" t="s">
        <v>6605</v>
      </c>
    </row>
    <row r="3456" spans="1:2" x14ac:dyDescent="0.3">
      <c r="A3456" s="6" t="s">
        <v>1741</v>
      </c>
      <c r="B3456" t="s">
        <v>3170</v>
      </c>
    </row>
    <row r="3457" spans="1:2" x14ac:dyDescent="0.3">
      <c r="A3457" s="6" t="s">
        <v>5364</v>
      </c>
      <c r="B3457" t="s">
        <v>6603</v>
      </c>
    </row>
    <row r="3458" spans="1:2" x14ac:dyDescent="0.3">
      <c r="A3458" s="6" t="s">
        <v>5365</v>
      </c>
      <c r="B3458" t="s">
        <v>6517</v>
      </c>
    </row>
    <row r="3459" spans="1:2" x14ac:dyDescent="0.3">
      <c r="A3459" s="6" t="s">
        <v>5366</v>
      </c>
      <c r="B3459" t="s">
        <v>8406</v>
      </c>
    </row>
    <row r="3460" spans="1:2" x14ac:dyDescent="0.3">
      <c r="A3460" s="6" t="s">
        <v>5367</v>
      </c>
      <c r="B3460" t="s">
        <v>8407</v>
      </c>
    </row>
    <row r="3461" spans="1:2" x14ac:dyDescent="0.3">
      <c r="A3461" s="6" t="s">
        <v>5368</v>
      </c>
      <c r="B3461" t="s">
        <v>8408</v>
      </c>
    </row>
    <row r="3462" spans="1:2" x14ac:dyDescent="0.3">
      <c r="A3462" s="6" t="s">
        <v>5369</v>
      </c>
      <c r="B3462" t="s">
        <v>6516</v>
      </c>
    </row>
    <row r="3463" spans="1:2" x14ac:dyDescent="0.3">
      <c r="A3463" s="6" t="s">
        <v>5370</v>
      </c>
      <c r="B3463" t="s">
        <v>6515</v>
      </c>
    </row>
    <row r="3464" spans="1:2" x14ac:dyDescent="0.3">
      <c r="A3464" s="6" t="s">
        <v>5371</v>
      </c>
      <c r="B3464" t="s">
        <v>6538</v>
      </c>
    </row>
    <row r="3465" spans="1:2" x14ac:dyDescent="0.3">
      <c r="A3465" s="6" t="s">
        <v>5372</v>
      </c>
      <c r="B3465" t="s">
        <v>6518</v>
      </c>
    </row>
    <row r="3466" spans="1:2" x14ac:dyDescent="0.3">
      <c r="A3466" s="6" t="s">
        <v>5373</v>
      </c>
      <c r="B3466" t="s">
        <v>6519</v>
      </c>
    </row>
    <row r="3467" spans="1:2" x14ac:dyDescent="0.3">
      <c r="A3467" s="6" t="s">
        <v>1742</v>
      </c>
      <c r="B3467" t="s">
        <v>2712</v>
      </c>
    </row>
    <row r="3468" spans="1:2" x14ac:dyDescent="0.3">
      <c r="A3468" s="6" t="s">
        <v>5374</v>
      </c>
      <c r="B3468" t="s">
        <v>6943</v>
      </c>
    </row>
    <row r="3469" spans="1:2" x14ac:dyDescent="0.3">
      <c r="A3469" s="6" t="s">
        <v>5375</v>
      </c>
      <c r="B3469" t="s">
        <v>6520</v>
      </c>
    </row>
    <row r="3470" spans="1:2" x14ac:dyDescent="0.3">
      <c r="A3470" s="6" t="s">
        <v>5376</v>
      </c>
      <c r="B3470" t="s">
        <v>6521</v>
      </c>
    </row>
    <row r="3471" spans="1:2" x14ac:dyDescent="0.3">
      <c r="A3471" s="6" t="s">
        <v>5377</v>
      </c>
      <c r="B3471" t="s">
        <v>6522</v>
      </c>
    </row>
    <row r="3472" spans="1:2" x14ac:dyDescent="0.3">
      <c r="A3472" s="6" t="s">
        <v>5378</v>
      </c>
      <c r="B3472" t="s">
        <v>6523</v>
      </c>
    </row>
    <row r="3473" spans="1:2" x14ac:dyDescent="0.3">
      <c r="A3473" s="6" t="s">
        <v>5379</v>
      </c>
      <c r="B3473" t="s">
        <v>6524</v>
      </c>
    </row>
    <row r="3474" spans="1:2" x14ac:dyDescent="0.3">
      <c r="A3474" s="6" t="s">
        <v>5380</v>
      </c>
      <c r="B3474" t="s">
        <v>7064</v>
      </c>
    </row>
    <row r="3475" spans="1:2" x14ac:dyDescent="0.3">
      <c r="A3475" s="6" t="s">
        <v>5381</v>
      </c>
      <c r="B3475" t="s">
        <v>6401</v>
      </c>
    </row>
    <row r="3476" spans="1:2" x14ac:dyDescent="0.3">
      <c r="A3476" s="6" t="s">
        <v>5382</v>
      </c>
      <c r="B3476" t="s">
        <v>6318</v>
      </c>
    </row>
    <row r="3477" spans="1:2" x14ac:dyDescent="0.3">
      <c r="A3477" s="6" t="s">
        <v>1373</v>
      </c>
      <c r="B3477" t="s">
        <v>6138</v>
      </c>
    </row>
    <row r="3478" spans="1:2" x14ac:dyDescent="0.3">
      <c r="A3478" s="6" t="s">
        <v>1743</v>
      </c>
      <c r="B3478" t="s">
        <v>1508</v>
      </c>
    </row>
    <row r="3479" spans="1:2" x14ac:dyDescent="0.3">
      <c r="A3479" s="6" t="s">
        <v>5383</v>
      </c>
      <c r="B3479" t="s">
        <v>6420</v>
      </c>
    </row>
    <row r="3480" spans="1:2" x14ac:dyDescent="0.3">
      <c r="A3480" s="6" t="s">
        <v>5384</v>
      </c>
      <c r="B3480" t="s">
        <v>7483</v>
      </c>
    </row>
    <row r="3481" spans="1:2" x14ac:dyDescent="0.3">
      <c r="A3481" s="6" t="s">
        <v>5385</v>
      </c>
      <c r="B3481" t="s">
        <v>6563</v>
      </c>
    </row>
    <row r="3482" spans="1:2" x14ac:dyDescent="0.3">
      <c r="A3482" s="6" t="s">
        <v>5386</v>
      </c>
      <c r="B3482" t="s">
        <v>6552</v>
      </c>
    </row>
    <row r="3483" spans="1:2" x14ac:dyDescent="0.3">
      <c r="A3483" s="6" t="s">
        <v>5387</v>
      </c>
      <c r="B3483" t="s">
        <v>6421</v>
      </c>
    </row>
    <row r="3484" spans="1:2" x14ac:dyDescent="0.3">
      <c r="A3484" s="6" t="s">
        <v>5388</v>
      </c>
      <c r="B3484" t="s">
        <v>7832</v>
      </c>
    </row>
    <row r="3485" spans="1:2" x14ac:dyDescent="0.3">
      <c r="A3485" s="6" t="s">
        <v>5389</v>
      </c>
      <c r="B3485" t="s">
        <v>8573</v>
      </c>
    </row>
    <row r="3486" spans="1:2" x14ac:dyDescent="0.3">
      <c r="A3486" s="6" t="s">
        <v>5390</v>
      </c>
      <c r="B3486" t="s">
        <v>8252</v>
      </c>
    </row>
    <row r="3487" spans="1:2" x14ac:dyDescent="0.3">
      <c r="A3487" s="6" t="s">
        <v>5391</v>
      </c>
      <c r="B3487" t="s">
        <v>7512</v>
      </c>
    </row>
    <row r="3488" spans="1:2" x14ac:dyDescent="0.3">
      <c r="A3488" s="6" t="s">
        <v>5392</v>
      </c>
      <c r="B3488" t="s">
        <v>8108</v>
      </c>
    </row>
    <row r="3489" spans="1:2" x14ac:dyDescent="0.3">
      <c r="A3489" s="6" t="s">
        <v>1744</v>
      </c>
      <c r="B3489" t="s">
        <v>6870</v>
      </c>
    </row>
    <row r="3490" spans="1:2" x14ac:dyDescent="0.3">
      <c r="A3490" s="6" t="s">
        <v>5393</v>
      </c>
      <c r="B3490" t="s">
        <v>7792</v>
      </c>
    </row>
    <row r="3491" spans="1:2" x14ac:dyDescent="0.3">
      <c r="A3491" s="6" t="s">
        <v>5394</v>
      </c>
      <c r="B3491" t="s">
        <v>8060</v>
      </c>
    </row>
    <row r="3492" spans="1:2" x14ac:dyDescent="0.3">
      <c r="A3492" s="6" t="s">
        <v>5395</v>
      </c>
      <c r="B3492" t="s">
        <v>8059</v>
      </c>
    </row>
    <row r="3493" spans="1:2" x14ac:dyDescent="0.3">
      <c r="A3493" s="6" t="s">
        <v>5396</v>
      </c>
      <c r="B3493" t="s">
        <v>6503</v>
      </c>
    </row>
    <row r="3494" spans="1:2" x14ac:dyDescent="0.3">
      <c r="A3494" s="6" t="s">
        <v>5397</v>
      </c>
      <c r="B3494" t="s">
        <v>7864</v>
      </c>
    </row>
    <row r="3495" spans="1:2" x14ac:dyDescent="0.3">
      <c r="A3495" s="6" t="s">
        <v>5398</v>
      </c>
      <c r="B3495" t="s">
        <v>7868</v>
      </c>
    </row>
    <row r="3496" spans="1:2" x14ac:dyDescent="0.3">
      <c r="A3496" s="6" t="s">
        <v>5399</v>
      </c>
      <c r="B3496" t="s">
        <v>7865</v>
      </c>
    </row>
    <row r="3497" spans="1:2" x14ac:dyDescent="0.3">
      <c r="A3497" s="6" t="s">
        <v>5400</v>
      </c>
      <c r="B3497" t="s">
        <v>8466</v>
      </c>
    </row>
    <row r="3498" spans="1:2" x14ac:dyDescent="0.3">
      <c r="A3498" s="6" t="s">
        <v>5401</v>
      </c>
      <c r="B3498" t="s">
        <v>8458</v>
      </c>
    </row>
    <row r="3499" spans="1:2" x14ac:dyDescent="0.3">
      <c r="A3499" s="6" t="s">
        <v>5402</v>
      </c>
      <c r="B3499" t="s">
        <v>8120</v>
      </c>
    </row>
    <row r="3500" spans="1:2" x14ac:dyDescent="0.3">
      <c r="A3500" s="6" t="s">
        <v>1745</v>
      </c>
      <c r="B3500" t="s">
        <v>6691</v>
      </c>
    </row>
    <row r="3501" spans="1:2" x14ac:dyDescent="0.3">
      <c r="A3501" s="6" t="s">
        <v>5403</v>
      </c>
      <c r="B3501" t="s">
        <v>8121</v>
      </c>
    </row>
    <row r="3502" spans="1:2" x14ac:dyDescent="0.3">
      <c r="A3502" s="6" t="s">
        <v>5404</v>
      </c>
      <c r="B3502" t="s">
        <v>7062</v>
      </c>
    </row>
    <row r="3503" spans="1:2" x14ac:dyDescent="0.3">
      <c r="A3503" s="6" t="s">
        <v>5405</v>
      </c>
      <c r="B3503" t="s">
        <v>8116</v>
      </c>
    </row>
    <row r="3504" spans="1:2" x14ac:dyDescent="0.3">
      <c r="A3504" s="6" t="s">
        <v>5406</v>
      </c>
      <c r="B3504" t="s">
        <v>8114</v>
      </c>
    </row>
    <row r="3505" spans="1:2" x14ac:dyDescent="0.3">
      <c r="A3505" s="6" t="s">
        <v>5407</v>
      </c>
      <c r="B3505" t="s">
        <v>6505</v>
      </c>
    </row>
    <row r="3506" spans="1:2" x14ac:dyDescent="0.3">
      <c r="A3506" s="6" t="s">
        <v>5408</v>
      </c>
      <c r="B3506" t="s">
        <v>8563</v>
      </c>
    </row>
    <row r="3507" spans="1:2" x14ac:dyDescent="0.3">
      <c r="A3507" s="6" t="s">
        <v>5409</v>
      </c>
      <c r="B3507" t="s">
        <v>6504</v>
      </c>
    </row>
    <row r="3508" spans="1:2" x14ac:dyDescent="0.3">
      <c r="A3508" s="6" t="s">
        <v>5410</v>
      </c>
      <c r="B3508" t="s">
        <v>8117</v>
      </c>
    </row>
    <row r="3509" spans="1:2" x14ac:dyDescent="0.3">
      <c r="A3509" s="6" t="s">
        <v>5411</v>
      </c>
      <c r="B3509" t="s">
        <v>8115</v>
      </c>
    </row>
    <row r="3510" spans="1:2" x14ac:dyDescent="0.3">
      <c r="A3510" s="6" t="s">
        <v>5412</v>
      </c>
      <c r="B3510" t="s">
        <v>6507</v>
      </c>
    </row>
    <row r="3511" spans="1:2" x14ac:dyDescent="0.3">
      <c r="A3511" s="6" t="s">
        <v>1746</v>
      </c>
      <c r="B3511" t="s">
        <v>8530</v>
      </c>
    </row>
    <row r="3512" spans="1:2" x14ac:dyDescent="0.3">
      <c r="A3512" s="6" t="s">
        <v>5413</v>
      </c>
      <c r="B3512" t="s">
        <v>8564</v>
      </c>
    </row>
    <row r="3513" spans="1:2" x14ac:dyDescent="0.3">
      <c r="A3513" s="6" t="s">
        <v>5414</v>
      </c>
      <c r="B3513" t="s">
        <v>6506</v>
      </c>
    </row>
    <row r="3514" spans="1:2" x14ac:dyDescent="0.3">
      <c r="A3514" s="6" t="s">
        <v>5415</v>
      </c>
      <c r="B3514" t="s">
        <v>7082</v>
      </c>
    </row>
    <row r="3515" spans="1:2" x14ac:dyDescent="0.3">
      <c r="A3515" s="6" t="s">
        <v>5416</v>
      </c>
      <c r="B3515" t="s">
        <v>8118</v>
      </c>
    </row>
    <row r="3516" spans="1:2" x14ac:dyDescent="0.3">
      <c r="A3516" s="6" t="s">
        <v>5417</v>
      </c>
      <c r="B3516" t="s">
        <v>7833</v>
      </c>
    </row>
    <row r="3517" spans="1:2" x14ac:dyDescent="0.3">
      <c r="A3517" s="6" t="s">
        <v>5418</v>
      </c>
      <c r="B3517" t="s">
        <v>6509</v>
      </c>
    </row>
    <row r="3518" spans="1:2" x14ac:dyDescent="0.3">
      <c r="A3518" s="6" t="s">
        <v>5419</v>
      </c>
      <c r="B3518" t="s">
        <v>8565</v>
      </c>
    </row>
    <row r="3519" spans="1:2" x14ac:dyDescent="0.3">
      <c r="A3519" s="6" t="s">
        <v>5420</v>
      </c>
      <c r="B3519" t="s">
        <v>6508</v>
      </c>
    </row>
    <row r="3520" spans="1:2" x14ac:dyDescent="0.3">
      <c r="A3520" s="6" t="s">
        <v>5421</v>
      </c>
      <c r="B3520" t="s">
        <v>7083</v>
      </c>
    </row>
    <row r="3521" spans="1:2" x14ac:dyDescent="0.3">
      <c r="A3521" s="6" t="s">
        <v>5422</v>
      </c>
      <c r="B3521" t="s">
        <v>8661</v>
      </c>
    </row>
    <row r="3522" spans="1:2" x14ac:dyDescent="0.3">
      <c r="A3522" s="6" t="s">
        <v>1747</v>
      </c>
      <c r="B3522" t="s">
        <v>2446</v>
      </c>
    </row>
    <row r="3523" spans="1:2" x14ac:dyDescent="0.3">
      <c r="A3523" s="6" t="s">
        <v>5423</v>
      </c>
      <c r="B3523" t="s">
        <v>7834</v>
      </c>
    </row>
    <row r="3524" spans="1:2" x14ac:dyDescent="0.3">
      <c r="A3524" s="6" t="s">
        <v>5424</v>
      </c>
      <c r="B3524" t="s">
        <v>7429</v>
      </c>
    </row>
    <row r="3525" spans="1:2" x14ac:dyDescent="0.3">
      <c r="A3525" s="6" t="s">
        <v>5425</v>
      </c>
      <c r="B3525" t="s">
        <v>6511</v>
      </c>
    </row>
    <row r="3526" spans="1:2" x14ac:dyDescent="0.3">
      <c r="A3526" s="6" t="s">
        <v>5426</v>
      </c>
      <c r="B3526" t="s">
        <v>6510</v>
      </c>
    </row>
    <row r="3527" spans="1:2" x14ac:dyDescent="0.3">
      <c r="A3527" s="6" t="s">
        <v>5427</v>
      </c>
      <c r="B3527" t="s">
        <v>7084</v>
      </c>
    </row>
    <row r="3528" spans="1:2" x14ac:dyDescent="0.3">
      <c r="A3528" s="6" t="s">
        <v>5428</v>
      </c>
      <c r="B3528" t="s">
        <v>7722</v>
      </c>
    </row>
    <row r="3529" spans="1:2" x14ac:dyDescent="0.3">
      <c r="A3529" s="6" t="s">
        <v>5429</v>
      </c>
      <c r="B3529" t="s">
        <v>6456</v>
      </c>
    </row>
    <row r="3530" spans="1:2" x14ac:dyDescent="0.3">
      <c r="A3530" s="6" t="s">
        <v>5430</v>
      </c>
      <c r="B3530" t="s">
        <v>8119</v>
      </c>
    </row>
    <row r="3531" spans="1:2" x14ac:dyDescent="0.3">
      <c r="A3531" s="6" t="s">
        <v>5431</v>
      </c>
      <c r="B3531" t="s">
        <v>7723</v>
      </c>
    </row>
    <row r="3532" spans="1:2" x14ac:dyDescent="0.3">
      <c r="A3532" s="6" t="s">
        <v>5432</v>
      </c>
      <c r="B3532" t="s">
        <v>7847</v>
      </c>
    </row>
    <row r="3533" spans="1:2" x14ac:dyDescent="0.3">
      <c r="A3533" s="6" t="s">
        <v>1748</v>
      </c>
      <c r="B3533" t="s">
        <v>7682</v>
      </c>
    </row>
    <row r="3534" spans="1:2" x14ac:dyDescent="0.3">
      <c r="A3534" s="6" t="s">
        <v>5433</v>
      </c>
      <c r="B3534" t="s">
        <v>8077</v>
      </c>
    </row>
    <row r="3535" spans="1:2" x14ac:dyDescent="0.3">
      <c r="A3535" s="6" t="s">
        <v>5434</v>
      </c>
      <c r="B3535" t="s">
        <v>6468</v>
      </c>
    </row>
    <row r="3536" spans="1:2" x14ac:dyDescent="0.3">
      <c r="A3536" s="6" t="s">
        <v>5435</v>
      </c>
      <c r="B3536" t="s">
        <v>6547</v>
      </c>
    </row>
    <row r="3537" spans="1:2" x14ac:dyDescent="0.3">
      <c r="A3537" s="6" t="s">
        <v>5436</v>
      </c>
      <c r="B3537" t="s">
        <v>8078</v>
      </c>
    </row>
    <row r="3538" spans="1:2" x14ac:dyDescent="0.3">
      <c r="A3538" s="6" t="s">
        <v>5437</v>
      </c>
      <c r="B3538" t="s">
        <v>7096</v>
      </c>
    </row>
    <row r="3539" spans="1:2" x14ac:dyDescent="0.3">
      <c r="A3539" s="6" t="s">
        <v>5438</v>
      </c>
      <c r="B3539" t="s">
        <v>7848</v>
      </c>
    </row>
    <row r="3540" spans="1:2" x14ac:dyDescent="0.3">
      <c r="A3540" s="6" t="s">
        <v>5439</v>
      </c>
      <c r="B3540" t="s">
        <v>6457</v>
      </c>
    </row>
    <row r="3541" spans="1:2" x14ac:dyDescent="0.3">
      <c r="A3541" s="6" t="s">
        <v>5440</v>
      </c>
      <c r="B3541" t="s">
        <v>7849</v>
      </c>
    </row>
    <row r="3542" spans="1:2" x14ac:dyDescent="0.3">
      <c r="A3542" s="6" t="s">
        <v>5441</v>
      </c>
      <c r="B3542" t="s">
        <v>7078</v>
      </c>
    </row>
    <row r="3543" spans="1:2" x14ac:dyDescent="0.3">
      <c r="A3543" s="6" t="s">
        <v>5442</v>
      </c>
      <c r="B3543" t="s">
        <v>7063</v>
      </c>
    </row>
    <row r="3544" spans="1:2" x14ac:dyDescent="0.3">
      <c r="A3544" s="6" t="s">
        <v>1749</v>
      </c>
      <c r="B3544" t="s">
        <v>1983</v>
      </c>
    </row>
    <row r="3545" spans="1:2" x14ac:dyDescent="0.3">
      <c r="A3545" s="6" t="s">
        <v>5443</v>
      </c>
      <c r="B3545" t="s">
        <v>7127</v>
      </c>
    </row>
    <row r="3546" spans="1:2" x14ac:dyDescent="0.3">
      <c r="A3546" s="6" t="s">
        <v>5444</v>
      </c>
      <c r="B3546" t="s">
        <v>7128</v>
      </c>
    </row>
    <row r="3547" spans="1:2" x14ac:dyDescent="0.3">
      <c r="A3547" s="6" t="s">
        <v>5445</v>
      </c>
      <c r="B3547" t="s">
        <v>7324</v>
      </c>
    </row>
    <row r="3548" spans="1:2" x14ac:dyDescent="0.3">
      <c r="A3548" s="6" t="s">
        <v>5446</v>
      </c>
      <c r="B3548" t="s">
        <v>6962</v>
      </c>
    </row>
    <row r="3549" spans="1:2" x14ac:dyDescent="0.3">
      <c r="A3549" s="6" t="s">
        <v>5447</v>
      </c>
      <c r="B3549" t="s">
        <v>6963</v>
      </c>
    </row>
    <row r="3550" spans="1:2" x14ac:dyDescent="0.3">
      <c r="A3550" s="6" t="s">
        <v>5448</v>
      </c>
      <c r="B3550" t="s">
        <v>6369</v>
      </c>
    </row>
    <row r="3551" spans="1:2" x14ac:dyDescent="0.3">
      <c r="A3551" s="6" t="s">
        <v>5449</v>
      </c>
      <c r="B3551" t="s">
        <v>7322</v>
      </c>
    </row>
    <row r="3552" spans="1:2" x14ac:dyDescent="0.3">
      <c r="A3552" s="6" t="s">
        <v>5450</v>
      </c>
      <c r="B3552" t="s">
        <v>7325</v>
      </c>
    </row>
    <row r="3553" spans="1:2" x14ac:dyDescent="0.3">
      <c r="A3553" s="6" t="s">
        <v>5451</v>
      </c>
      <c r="B3553" t="s">
        <v>7323</v>
      </c>
    </row>
    <row r="3554" spans="1:2" x14ac:dyDescent="0.3">
      <c r="A3554" s="6" t="s">
        <v>5452</v>
      </c>
      <c r="B3554" t="s">
        <v>6622</v>
      </c>
    </row>
    <row r="3555" spans="1:2" x14ac:dyDescent="0.3">
      <c r="A3555" s="6" t="s">
        <v>1750</v>
      </c>
      <c r="B3555" t="s">
        <v>3449</v>
      </c>
    </row>
    <row r="3556" spans="1:2" x14ac:dyDescent="0.3">
      <c r="A3556" s="6" t="s">
        <v>5453</v>
      </c>
      <c r="B3556" t="s">
        <v>7195</v>
      </c>
    </row>
    <row r="3557" spans="1:2" x14ac:dyDescent="0.3">
      <c r="A3557" s="6" t="s">
        <v>5454</v>
      </c>
      <c r="B3557" t="s">
        <v>7196</v>
      </c>
    </row>
    <row r="3558" spans="1:2" x14ac:dyDescent="0.3">
      <c r="A3558" s="6" t="s">
        <v>5455</v>
      </c>
      <c r="B3558" t="s">
        <v>7369</v>
      </c>
    </row>
    <row r="3559" spans="1:2" x14ac:dyDescent="0.3">
      <c r="A3559" s="6" t="s">
        <v>5456</v>
      </c>
      <c r="B3559" t="s">
        <v>7368</v>
      </c>
    </row>
    <row r="3560" spans="1:2" x14ac:dyDescent="0.3">
      <c r="A3560" s="6" t="s">
        <v>5457</v>
      </c>
      <c r="B3560" t="s">
        <v>7192</v>
      </c>
    </row>
    <row r="3561" spans="1:2" x14ac:dyDescent="0.3">
      <c r="A3561" s="6" t="s">
        <v>5458</v>
      </c>
      <c r="B3561" t="s">
        <v>7191</v>
      </c>
    </row>
    <row r="3562" spans="1:2" x14ac:dyDescent="0.3">
      <c r="A3562" s="6" t="s">
        <v>5459</v>
      </c>
      <c r="B3562" t="s">
        <v>7194</v>
      </c>
    </row>
    <row r="3563" spans="1:2" x14ac:dyDescent="0.3">
      <c r="A3563" s="6" t="s">
        <v>5460</v>
      </c>
      <c r="B3563" t="s">
        <v>7193</v>
      </c>
    </row>
    <row r="3564" spans="1:2" x14ac:dyDescent="0.3">
      <c r="A3564" s="6" t="s">
        <v>5461</v>
      </c>
      <c r="B3564" t="s">
        <v>6623</v>
      </c>
    </row>
    <row r="3565" spans="1:2" x14ac:dyDescent="0.3">
      <c r="A3565" s="6" t="s">
        <v>5462</v>
      </c>
      <c r="B3565" t="s">
        <v>6934</v>
      </c>
    </row>
    <row r="3566" spans="1:2" x14ac:dyDescent="0.3">
      <c r="A3566" s="6" t="s">
        <v>1751</v>
      </c>
      <c r="B3566" t="s">
        <v>2740</v>
      </c>
    </row>
    <row r="3567" spans="1:2" x14ac:dyDescent="0.3">
      <c r="A3567" s="6" t="s">
        <v>5463</v>
      </c>
      <c r="B3567" t="s">
        <v>6935</v>
      </c>
    </row>
    <row r="3568" spans="1:2" x14ac:dyDescent="0.3">
      <c r="A3568" s="6" t="s">
        <v>5464</v>
      </c>
      <c r="B3568" t="s">
        <v>6050</v>
      </c>
    </row>
    <row r="3569" spans="1:2" x14ac:dyDescent="0.3">
      <c r="A3569" s="6" t="s">
        <v>5465</v>
      </c>
      <c r="B3569" t="s">
        <v>6049</v>
      </c>
    </row>
    <row r="3570" spans="1:2" x14ac:dyDescent="0.3">
      <c r="A3570" s="6" t="s">
        <v>5466</v>
      </c>
      <c r="B3570" t="s">
        <v>7634</v>
      </c>
    </row>
    <row r="3571" spans="1:2" x14ac:dyDescent="0.3">
      <c r="A3571" s="6" t="s">
        <v>5467</v>
      </c>
      <c r="B3571" t="s">
        <v>8431</v>
      </c>
    </row>
    <row r="3572" spans="1:2" x14ac:dyDescent="0.3">
      <c r="A3572" s="6" t="s">
        <v>5468</v>
      </c>
      <c r="B3572" t="s">
        <v>8430</v>
      </c>
    </row>
    <row r="3573" spans="1:2" x14ac:dyDescent="0.3">
      <c r="A3573" s="6" t="s">
        <v>5469</v>
      </c>
      <c r="B3573" t="s">
        <v>3045</v>
      </c>
    </row>
    <row r="3574" spans="1:2" x14ac:dyDescent="0.3">
      <c r="A3574" s="6" t="s">
        <v>5470</v>
      </c>
      <c r="B3574" t="s">
        <v>4981</v>
      </c>
    </row>
    <row r="3575" spans="1:2" x14ac:dyDescent="0.3">
      <c r="A3575" s="6" t="s">
        <v>5471</v>
      </c>
      <c r="B3575" t="s">
        <v>5200</v>
      </c>
    </row>
    <row r="3576" spans="1:2" x14ac:dyDescent="0.3">
      <c r="A3576" s="6" t="s">
        <v>1752</v>
      </c>
      <c r="B3576" t="s">
        <v>2741</v>
      </c>
    </row>
    <row r="3577" spans="1:2" x14ac:dyDescent="0.3">
      <c r="A3577" s="6" t="s">
        <v>5472</v>
      </c>
      <c r="B3577" t="s">
        <v>7867</v>
      </c>
    </row>
    <row r="3578" spans="1:2" x14ac:dyDescent="0.3">
      <c r="A3578" s="6" t="s">
        <v>5473</v>
      </c>
      <c r="B3578" t="s">
        <v>7866</v>
      </c>
    </row>
    <row r="3579" spans="1:2" x14ac:dyDescent="0.3">
      <c r="A3579" s="6" t="s">
        <v>5474</v>
      </c>
      <c r="B3579" t="s">
        <v>7636</v>
      </c>
    </row>
    <row r="3580" spans="1:2" x14ac:dyDescent="0.3">
      <c r="A3580" s="6" t="s">
        <v>5475</v>
      </c>
      <c r="B3580" t="s">
        <v>7635</v>
      </c>
    </row>
    <row r="3581" spans="1:2" x14ac:dyDescent="0.3">
      <c r="A3581" s="6" t="s">
        <v>1374</v>
      </c>
      <c r="B3581" t="s">
        <v>7304</v>
      </c>
    </row>
    <row r="3582" spans="1:2" x14ac:dyDescent="0.3">
      <c r="A3582" s="6" t="s">
        <v>1753</v>
      </c>
      <c r="B3582" t="s">
        <v>2742</v>
      </c>
    </row>
    <row r="3583" spans="1:2" x14ac:dyDescent="0.3">
      <c r="A3583" s="6" t="s">
        <v>5476</v>
      </c>
      <c r="B3583" t="s">
        <v>6913</v>
      </c>
    </row>
    <row r="3584" spans="1:2" x14ac:dyDescent="0.3">
      <c r="A3584" s="6" t="s">
        <v>5477</v>
      </c>
      <c r="B3584" t="s">
        <v>8633</v>
      </c>
    </row>
    <row r="3585" spans="1:2" x14ac:dyDescent="0.3">
      <c r="A3585" s="6" t="s">
        <v>1754</v>
      </c>
      <c r="B3585" t="s">
        <v>2743</v>
      </c>
    </row>
    <row r="3586" spans="1:2" x14ac:dyDescent="0.3">
      <c r="A3586" s="6" t="s">
        <v>5478</v>
      </c>
      <c r="B3586" t="s">
        <v>8461</v>
      </c>
    </row>
    <row r="3587" spans="1:2" x14ac:dyDescent="0.3">
      <c r="A3587" s="6" t="s">
        <v>5479</v>
      </c>
      <c r="B3587" t="s">
        <v>8237</v>
      </c>
    </row>
    <row r="3588" spans="1:2" x14ac:dyDescent="0.3">
      <c r="A3588" s="6" t="s">
        <v>5480</v>
      </c>
      <c r="B3588" t="s">
        <v>8238</v>
      </c>
    </row>
    <row r="3589" spans="1:2" x14ac:dyDescent="0.3">
      <c r="A3589" s="6" t="s">
        <v>5481</v>
      </c>
      <c r="B3589" t="s">
        <v>8388</v>
      </c>
    </row>
    <row r="3590" spans="1:2" x14ac:dyDescent="0.3">
      <c r="A3590" s="6" t="s">
        <v>1755</v>
      </c>
      <c r="B3590" t="s">
        <v>2744</v>
      </c>
    </row>
    <row r="3591" spans="1:2" x14ac:dyDescent="0.3">
      <c r="A3591" s="6" t="s">
        <v>5483</v>
      </c>
      <c r="B3591" t="s">
        <v>6957</v>
      </c>
    </row>
    <row r="3592" spans="1:2" x14ac:dyDescent="0.3">
      <c r="A3592" s="6" t="s">
        <v>5484</v>
      </c>
      <c r="B3592" t="s">
        <v>7846</v>
      </c>
    </row>
    <row r="3593" spans="1:2" x14ac:dyDescent="0.3">
      <c r="A3593" s="6" t="s">
        <v>1756</v>
      </c>
      <c r="B3593" t="s">
        <v>3761</v>
      </c>
    </row>
    <row r="3594" spans="1:2" x14ac:dyDescent="0.3">
      <c r="A3594" s="6" t="s">
        <v>5485</v>
      </c>
      <c r="B3594" t="s">
        <v>6470</v>
      </c>
    </row>
    <row r="3595" spans="1:2" x14ac:dyDescent="0.3">
      <c r="A3595" s="6" t="s">
        <v>5486</v>
      </c>
      <c r="B3595" t="s">
        <v>8634</v>
      </c>
    </row>
    <row r="3596" spans="1:2" x14ac:dyDescent="0.3">
      <c r="A3596" s="6" t="s">
        <v>5487</v>
      </c>
      <c r="B3596" t="s">
        <v>8462</v>
      </c>
    </row>
    <row r="3597" spans="1:2" x14ac:dyDescent="0.3">
      <c r="A3597" s="6" t="s">
        <v>1757</v>
      </c>
      <c r="B3597" t="s">
        <v>3760</v>
      </c>
    </row>
    <row r="3598" spans="1:2" x14ac:dyDescent="0.3">
      <c r="A3598" s="6" t="s">
        <v>5488</v>
      </c>
      <c r="B3598" t="s">
        <v>8635</v>
      </c>
    </row>
    <row r="3599" spans="1:2" x14ac:dyDescent="0.3">
      <c r="A3599" s="6" t="s">
        <v>5489</v>
      </c>
      <c r="B3599" t="s">
        <v>8235</v>
      </c>
    </row>
    <row r="3600" spans="1:2" x14ac:dyDescent="0.3">
      <c r="A3600" s="6" t="s">
        <v>5490</v>
      </c>
      <c r="B3600" t="s">
        <v>8463</v>
      </c>
    </row>
    <row r="3601" spans="1:2" x14ac:dyDescent="0.3">
      <c r="A3601" s="6" t="s">
        <v>5491</v>
      </c>
      <c r="B3601" t="s">
        <v>8236</v>
      </c>
    </row>
    <row r="3602" spans="1:2" x14ac:dyDescent="0.3">
      <c r="A3602" s="6" t="s">
        <v>5492</v>
      </c>
      <c r="B3602" t="s">
        <v>8387</v>
      </c>
    </row>
    <row r="3603" spans="1:2" x14ac:dyDescent="0.3">
      <c r="A3603" s="6" t="s">
        <v>1758</v>
      </c>
      <c r="B3603" t="s">
        <v>3762</v>
      </c>
    </row>
    <row r="3604" spans="1:2" x14ac:dyDescent="0.3">
      <c r="A3604" s="6" t="s">
        <v>5493</v>
      </c>
      <c r="B3604" t="s">
        <v>6941</v>
      </c>
    </row>
    <row r="3605" spans="1:2" x14ac:dyDescent="0.3">
      <c r="A3605" s="6" t="s">
        <v>5494</v>
      </c>
      <c r="B3605" t="s">
        <v>6942</v>
      </c>
    </row>
    <row r="3606" spans="1:2" x14ac:dyDescent="0.3">
      <c r="A3606" s="6" t="s">
        <v>5495</v>
      </c>
      <c r="B3606" t="s">
        <v>6940</v>
      </c>
    </row>
    <row r="3607" spans="1:2" x14ac:dyDescent="0.3">
      <c r="A3607" s="6" t="s">
        <v>5496</v>
      </c>
      <c r="B3607" t="s">
        <v>6416</v>
      </c>
    </row>
    <row r="3608" spans="1:2" x14ac:dyDescent="0.3">
      <c r="A3608" s="6" t="s">
        <v>5497</v>
      </c>
      <c r="B3608" t="s">
        <v>6513</v>
      </c>
    </row>
    <row r="3609" spans="1:2" x14ac:dyDescent="0.3">
      <c r="A3609" s="6" t="s">
        <v>5498</v>
      </c>
      <c r="B3609" t="s">
        <v>7069</v>
      </c>
    </row>
    <row r="3610" spans="1:2" x14ac:dyDescent="0.3">
      <c r="A3610" s="6" t="s">
        <v>5499</v>
      </c>
      <c r="B3610" t="s">
        <v>7070</v>
      </c>
    </row>
    <row r="3611" spans="1:2" x14ac:dyDescent="0.3">
      <c r="A3611" s="6" t="s">
        <v>5500</v>
      </c>
      <c r="B3611" t="s">
        <v>4105</v>
      </c>
    </row>
    <row r="3612" spans="1:2" x14ac:dyDescent="0.3">
      <c r="A3612" s="6" t="s">
        <v>1759</v>
      </c>
      <c r="B3612" t="s">
        <v>3745</v>
      </c>
    </row>
    <row r="3613" spans="1:2" x14ac:dyDescent="0.3">
      <c r="A3613" s="6" t="s">
        <v>5501</v>
      </c>
      <c r="B3613" t="s">
        <v>4103</v>
      </c>
    </row>
    <row r="3614" spans="1:2" x14ac:dyDescent="0.3">
      <c r="A3614" s="6" t="s">
        <v>5502</v>
      </c>
      <c r="B3614" t="s">
        <v>4100</v>
      </c>
    </row>
    <row r="3615" spans="1:2" x14ac:dyDescent="0.3">
      <c r="A3615" s="6" t="s">
        <v>5503</v>
      </c>
      <c r="B3615" t="s">
        <v>4102</v>
      </c>
    </row>
    <row r="3616" spans="1:2" x14ac:dyDescent="0.3">
      <c r="A3616" s="6" t="s">
        <v>5504</v>
      </c>
      <c r="B3616" t="s">
        <v>4101</v>
      </c>
    </row>
    <row r="3617" spans="1:2" x14ac:dyDescent="0.3">
      <c r="A3617" s="6" t="s">
        <v>5505</v>
      </c>
      <c r="B3617" t="s">
        <v>7672</v>
      </c>
    </row>
    <row r="3618" spans="1:2" x14ac:dyDescent="0.3">
      <c r="A3618" s="6" t="s">
        <v>5506</v>
      </c>
      <c r="B3618" t="s">
        <v>7673</v>
      </c>
    </row>
    <row r="3619" spans="1:2" x14ac:dyDescent="0.3">
      <c r="A3619" s="6" t="s">
        <v>5507</v>
      </c>
      <c r="B3619" t="s">
        <v>7669</v>
      </c>
    </row>
    <row r="3620" spans="1:2" x14ac:dyDescent="0.3">
      <c r="A3620" s="6" t="s">
        <v>5508</v>
      </c>
      <c r="B3620" t="s">
        <v>8429</v>
      </c>
    </row>
    <row r="3621" spans="1:2" x14ac:dyDescent="0.3">
      <c r="A3621" s="6" t="s">
        <v>5509</v>
      </c>
      <c r="B3621" t="s">
        <v>7670</v>
      </c>
    </row>
    <row r="3622" spans="1:2" x14ac:dyDescent="0.3">
      <c r="A3622" s="6" t="s">
        <v>5510</v>
      </c>
      <c r="B3622" t="s">
        <v>8624</v>
      </c>
    </row>
    <row r="3623" spans="1:2" x14ac:dyDescent="0.3">
      <c r="A3623" s="6" t="s">
        <v>1760</v>
      </c>
      <c r="B3623" t="s">
        <v>6231</v>
      </c>
    </row>
    <row r="3624" spans="1:2" x14ac:dyDescent="0.3">
      <c r="A3624" s="6" t="s">
        <v>5511</v>
      </c>
      <c r="B3624" t="s">
        <v>8625</v>
      </c>
    </row>
    <row r="3625" spans="1:2" x14ac:dyDescent="0.3">
      <c r="A3625" s="6" t="s">
        <v>5512</v>
      </c>
      <c r="B3625" t="s">
        <v>8692</v>
      </c>
    </row>
    <row r="3626" spans="1:2" x14ac:dyDescent="0.3">
      <c r="A3626" s="6" t="s">
        <v>5513</v>
      </c>
      <c r="B3626" t="s">
        <v>7671</v>
      </c>
    </row>
    <row r="3627" spans="1:2" x14ac:dyDescent="0.3">
      <c r="A3627" s="6" t="s">
        <v>5514</v>
      </c>
      <c r="B3627" t="s">
        <v>6415</v>
      </c>
    </row>
    <row r="3628" spans="1:2" x14ac:dyDescent="0.3">
      <c r="A3628" s="6" t="s">
        <v>5515</v>
      </c>
      <c r="B3628" t="s">
        <v>7095</v>
      </c>
    </row>
    <row r="3629" spans="1:2" x14ac:dyDescent="0.3">
      <c r="A3629" s="6" t="s">
        <v>5516</v>
      </c>
      <c r="B3629" t="s">
        <v>7026</v>
      </c>
    </row>
    <row r="3630" spans="1:2" x14ac:dyDescent="0.3">
      <c r="A3630" s="6" t="s">
        <v>5517</v>
      </c>
      <c r="B3630" t="s">
        <v>7027</v>
      </c>
    </row>
    <row r="3631" spans="1:2" x14ac:dyDescent="0.3">
      <c r="A3631" s="6" t="s">
        <v>5518</v>
      </c>
      <c r="B3631" t="s">
        <v>7094</v>
      </c>
    </row>
    <row r="3632" spans="1:2" x14ac:dyDescent="0.3">
      <c r="A3632" s="6" t="s">
        <v>5519</v>
      </c>
      <c r="B3632" t="s">
        <v>8516</v>
      </c>
    </row>
    <row r="3633" spans="1:2" x14ac:dyDescent="0.3">
      <c r="A3633" s="6" t="s">
        <v>5520</v>
      </c>
      <c r="B3633" t="s">
        <v>6408</v>
      </c>
    </row>
    <row r="3634" spans="1:2" x14ac:dyDescent="0.3">
      <c r="A3634" s="6" t="s">
        <v>1761</v>
      </c>
      <c r="B3634" t="s">
        <v>3776</v>
      </c>
    </row>
    <row r="3635" spans="1:2" x14ac:dyDescent="0.3">
      <c r="A3635" s="6" t="s">
        <v>5521</v>
      </c>
      <c r="B3635" t="s">
        <v>6921</v>
      </c>
    </row>
    <row r="3636" spans="1:2" x14ac:dyDescent="0.3">
      <c r="A3636" s="6" t="s">
        <v>5522</v>
      </c>
      <c r="B3636" t="s">
        <v>6922</v>
      </c>
    </row>
    <row r="3637" spans="1:2" x14ac:dyDescent="0.3">
      <c r="A3637" s="6" t="s">
        <v>5523</v>
      </c>
      <c r="B3637" t="s">
        <v>6958</v>
      </c>
    </row>
    <row r="3638" spans="1:2" x14ac:dyDescent="0.3">
      <c r="A3638" s="6" t="s">
        <v>5524</v>
      </c>
      <c r="B3638" t="s">
        <v>6240</v>
      </c>
    </row>
    <row r="3639" spans="1:2" x14ac:dyDescent="0.3">
      <c r="A3639" s="6" t="s">
        <v>5525</v>
      </c>
      <c r="B3639" t="s">
        <v>6668</v>
      </c>
    </row>
    <row r="3640" spans="1:2" x14ac:dyDescent="0.3">
      <c r="A3640" s="6" t="s">
        <v>5526</v>
      </c>
      <c r="B3640" t="s">
        <v>6703</v>
      </c>
    </row>
    <row r="3641" spans="1:2" x14ac:dyDescent="0.3">
      <c r="A3641" s="6" t="s">
        <v>5527</v>
      </c>
      <c r="B3641" t="s">
        <v>8163</v>
      </c>
    </row>
    <row r="3642" spans="1:2" x14ac:dyDescent="0.3">
      <c r="A3642" s="6" t="s">
        <v>5528</v>
      </c>
      <c r="B3642" t="s">
        <v>6428</v>
      </c>
    </row>
    <row r="3643" spans="1:2" x14ac:dyDescent="0.3">
      <c r="A3643" s="6" t="s">
        <v>5529</v>
      </c>
      <c r="B3643" t="s">
        <v>6429</v>
      </c>
    </row>
    <row r="3644" spans="1:2" x14ac:dyDescent="0.3">
      <c r="A3644" s="6" t="s">
        <v>5530</v>
      </c>
      <c r="B3644" t="s">
        <v>6409</v>
      </c>
    </row>
    <row r="3645" spans="1:2" x14ac:dyDescent="0.3">
      <c r="A3645" s="6" t="s">
        <v>1762</v>
      </c>
      <c r="B3645" t="s">
        <v>3775</v>
      </c>
    </row>
    <row r="3646" spans="1:2" x14ac:dyDescent="0.3">
      <c r="A3646" s="6" t="s">
        <v>5531</v>
      </c>
      <c r="B3646" t="s">
        <v>6407</v>
      </c>
    </row>
    <row r="3647" spans="1:2" x14ac:dyDescent="0.3">
      <c r="A3647" s="6" t="s">
        <v>5532</v>
      </c>
      <c r="B3647" t="s">
        <v>6406</v>
      </c>
    </row>
    <row r="3648" spans="1:2" x14ac:dyDescent="0.3">
      <c r="A3648" s="6" t="s">
        <v>5533</v>
      </c>
      <c r="B3648" t="s">
        <v>3987</v>
      </c>
    </row>
    <row r="3649" spans="1:2" x14ac:dyDescent="0.3">
      <c r="A3649" s="6" t="s">
        <v>5534</v>
      </c>
      <c r="B3649" t="s">
        <v>5891</v>
      </c>
    </row>
    <row r="3650" spans="1:2" x14ac:dyDescent="0.3">
      <c r="A3650" s="6" t="s">
        <v>5535</v>
      </c>
      <c r="B3650" t="s">
        <v>2281</v>
      </c>
    </row>
    <row r="3651" spans="1:2" x14ac:dyDescent="0.3">
      <c r="A3651" s="6" t="s">
        <v>5536</v>
      </c>
      <c r="B3651" t="s">
        <v>2283</v>
      </c>
    </row>
    <row r="3652" spans="1:2" x14ac:dyDescent="0.3">
      <c r="A3652" s="6" t="s">
        <v>5537</v>
      </c>
      <c r="B3652" t="s">
        <v>1871</v>
      </c>
    </row>
    <row r="3653" spans="1:2" x14ac:dyDescent="0.3">
      <c r="A3653" s="6" t="s">
        <v>5538</v>
      </c>
      <c r="B3653" t="s">
        <v>4825</v>
      </c>
    </row>
    <row r="3654" spans="1:2" x14ac:dyDescent="0.3">
      <c r="A3654" s="6" t="s">
        <v>5539</v>
      </c>
      <c r="B3654" t="s">
        <v>6097</v>
      </c>
    </row>
    <row r="3655" spans="1:2" x14ac:dyDescent="0.3">
      <c r="A3655" s="6" t="s">
        <v>5540</v>
      </c>
      <c r="B3655" t="s">
        <v>4201</v>
      </c>
    </row>
    <row r="3656" spans="1:2" x14ac:dyDescent="0.3">
      <c r="A3656" s="6" t="s">
        <v>1375</v>
      </c>
      <c r="B3656" t="s">
        <v>7305</v>
      </c>
    </row>
    <row r="3657" spans="1:2" x14ac:dyDescent="0.3">
      <c r="A3657" s="6" t="s">
        <v>1763</v>
      </c>
      <c r="B3657" t="s">
        <v>3523</v>
      </c>
    </row>
    <row r="3658" spans="1:2" x14ac:dyDescent="0.3">
      <c r="A3658" s="6" t="s">
        <v>5541</v>
      </c>
      <c r="B3658" t="s">
        <v>4202</v>
      </c>
    </row>
    <row r="3659" spans="1:2" x14ac:dyDescent="0.3">
      <c r="A3659" s="6" t="s">
        <v>5542</v>
      </c>
      <c r="B3659" t="s">
        <v>4204</v>
      </c>
    </row>
    <row r="3660" spans="1:2" x14ac:dyDescent="0.3">
      <c r="A3660" s="6" t="s">
        <v>5543</v>
      </c>
      <c r="B3660" t="s">
        <v>5940</v>
      </c>
    </row>
    <row r="3661" spans="1:2" x14ac:dyDescent="0.3">
      <c r="A3661" s="6" t="s">
        <v>5544</v>
      </c>
      <c r="B3661" t="s">
        <v>5990</v>
      </c>
    </row>
    <row r="3662" spans="1:2" x14ac:dyDescent="0.3">
      <c r="A3662" s="6" t="s">
        <v>5545</v>
      </c>
      <c r="B3662" t="s">
        <v>8465</v>
      </c>
    </row>
    <row r="3663" spans="1:2" x14ac:dyDescent="0.3">
      <c r="A3663" s="6" t="s">
        <v>5546</v>
      </c>
      <c r="B3663" t="s">
        <v>8443</v>
      </c>
    </row>
    <row r="3664" spans="1:2" x14ac:dyDescent="0.3">
      <c r="A3664" s="6" t="s">
        <v>5547</v>
      </c>
      <c r="B3664" t="s">
        <v>8442</v>
      </c>
    </row>
    <row r="3665" spans="1:2" x14ac:dyDescent="0.3">
      <c r="A3665" s="6" t="s">
        <v>5548</v>
      </c>
      <c r="B3665" t="s">
        <v>7443</v>
      </c>
    </row>
    <row r="3666" spans="1:2" x14ac:dyDescent="0.3">
      <c r="A3666" s="6" t="s">
        <v>5549</v>
      </c>
      <c r="B3666" t="s">
        <v>7444</v>
      </c>
    </row>
    <row r="3667" spans="1:2" x14ac:dyDescent="0.3">
      <c r="A3667" s="6" t="s">
        <v>5550</v>
      </c>
      <c r="B3667" t="s">
        <v>7445</v>
      </c>
    </row>
    <row r="3668" spans="1:2" x14ac:dyDescent="0.3">
      <c r="A3668" s="6" t="s">
        <v>1764</v>
      </c>
      <c r="B3668" t="s">
        <v>4311</v>
      </c>
    </row>
    <row r="3669" spans="1:2" x14ac:dyDescent="0.3">
      <c r="A3669" s="6" t="s">
        <v>5551</v>
      </c>
      <c r="B3669" t="s">
        <v>7446</v>
      </c>
    </row>
    <row r="3670" spans="1:2" x14ac:dyDescent="0.3">
      <c r="A3670" s="6" t="s">
        <v>5552</v>
      </c>
      <c r="B3670" t="s">
        <v>7442</v>
      </c>
    </row>
    <row r="3671" spans="1:2" x14ac:dyDescent="0.3">
      <c r="A3671" s="6" t="s">
        <v>5553</v>
      </c>
      <c r="B3671" t="s">
        <v>7441</v>
      </c>
    </row>
    <row r="3672" spans="1:2" x14ac:dyDescent="0.3">
      <c r="A3672" s="6" t="s">
        <v>5554</v>
      </c>
      <c r="B3672" t="s">
        <v>7509</v>
      </c>
    </row>
    <row r="3673" spans="1:2" x14ac:dyDescent="0.3">
      <c r="A3673" s="6" t="s">
        <v>5555</v>
      </c>
      <c r="B3673" t="s">
        <v>7510</v>
      </c>
    </row>
    <row r="3674" spans="1:2" x14ac:dyDescent="0.3">
      <c r="A3674" s="6" t="s">
        <v>5556</v>
      </c>
      <c r="B3674" t="s">
        <v>7633</v>
      </c>
    </row>
    <row r="3675" spans="1:2" x14ac:dyDescent="0.3">
      <c r="A3675" s="6" t="s">
        <v>5557</v>
      </c>
      <c r="B3675" t="s">
        <v>6171</v>
      </c>
    </row>
    <row r="3676" spans="1:2" x14ac:dyDescent="0.3">
      <c r="A3676" s="6" t="s">
        <v>5558</v>
      </c>
      <c r="B3676" t="s">
        <v>6170</v>
      </c>
    </row>
    <row r="3677" spans="1:2" x14ac:dyDescent="0.3">
      <c r="A3677" s="6" t="s">
        <v>5559</v>
      </c>
      <c r="B3677" t="s">
        <v>6568</v>
      </c>
    </row>
    <row r="3678" spans="1:2" x14ac:dyDescent="0.3">
      <c r="A3678" s="6" t="s">
        <v>5560</v>
      </c>
      <c r="B3678" t="s">
        <v>6961</v>
      </c>
    </row>
    <row r="3679" spans="1:2" x14ac:dyDescent="0.3">
      <c r="A3679" s="6" t="s">
        <v>1765</v>
      </c>
      <c r="B3679" t="s">
        <v>3742</v>
      </c>
    </row>
    <row r="3680" spans="1:2" x14ac:dyDescent="0.3">
      <c r="A3680" s="6" t="s">
        <v>5561</v>
      </c>
      <c r="B3680" t="s">
        <v>8523</v>
      </c>
    </row>
    <row r="3681" spans="1:2" x14ac:dyDescent="0.3">
      <c r="A3681" s="6" t="s">
        <v>5562</v>
      </c>
      <c r="B3681" t="s">
        <v>8164</v>
      </c>
    </row>
    <row r="3682" spans="1:2" x14ac:dyDescent="0.3">
      <c r="A3682" s="6" t="s">
        <v>5563</v>
      </c>
      <c r="B3682" t="s">
        <v>6311</v>
      </c>
    </row>
    <row r="3683" spans="1:2" x14ac:dyDescent="0.3">
      <c r="A3683" s="6" t="s">
        <v>5564</v>
      </c>
      <c r="B3683" t="s">
        <v>6310</v>
      </c>
    </row>
    <row r="3684" spans="1:2" x14ac:dyDescent="0.3">
      <c r="A3684" s="6" t="s">
        <v>5565</v>
      </c>
      <c r="B3684" t="s">
        <v>6956</v>
      </c>
    </row>
    <row r="3685" spans="1:2" x14ac:dyDescent="0.3">
      <c r="A3685" s="6" t="s">
        <v>5566</v>
      </c>
      <c r="B3685" t="s">
        <v>6955</v>
      </c>
    </row>
    <row r="3686" spans="1:2" x14ac:dyDescent="0.3">
      <c r="A3686" s="6" t="s">
        <v>5567</v>
      </c>
      <c r="B3686" t="s">
        <v>7318</v>
      </c>
    </row>
    <row r="3687" spans="1:2" x14ac:dyDescent="0.3">
      <c r="A3687" s="6" t="s">
        <v>5568</v>
      </c>
      <c r="B3687" t="s">
        <v>7321</v>
      </c>
    </row>
    <row r="3688" spans="1:2" x14ac:dyDescent="0.3">
      <c r="A3688" s="6" t="s">
        <v>5569</v>
      </c>
      <c r="B3688" t="s">
        <v>7320</v>
      </c>
    </row>
    <row r="3689" spans="1:2" x14ac:dyDescent="0.3">
      <c r="A3689" s="6" t="s">
        <v>1766</v>
      </c>
      <c r="B3689" t="s">
        <v>1982</v>
      </c>
    </row>
    <row r="3690" spans="1:2" x14ac:dyDescent="0.3">
      <c r="A3690" s="6" t="s">
        <v>5570</v>
      </c>
      <c r="B3690" t="s">
        <v>7319</v>
      </c>
    </row>
    <row r="3691" spans="1:2" x14ac:dyDescent="0.3">
      <c r="A3691" s="6" t="s">
        <v>5571</v>
      </c>
      <c r="B3691" t="s">
        <v>6454</v>
      </c>
    </row>
    <row r="3692" spans="1:2" x14ac:dyDescent="0.3">
      <c r="A3692" s="6" t="s">
        <v>5572</v>
      </c>
      <c r="B3692" t="s">
        <v>6309</v>
      </c>
    </row>
    <row r="3693" spans="1:2" x14ac:dyDescent="0.3">
      <c r="A3693" s="6" t="s">
        <v>5573</v>
      </c>
      <c r="B3693" t="s">
        <v>6455</v>
      </c>
    </row>
    <row r="3694" spans="1:2" x14ac:dyDescent="0.3">
      <c r="A3694" s="6" t="s">
        <v>5574</v>
      </c>
      <c r="B3694" t="s">
        <v>8441</v>
      </c>
    </row>
    <row r="3695" spans="1:2" x14ac:dyDescent="0.3">
      <c r="A3695" s="6" t="s">
        <v>5575</v>
      </c>
      <c r="B3695" t="s">
        <v>6163</v>
      </c>
    </row>
    <row r="3696" spans="1:2" x14ac:dyDescent="0.3">
      <c r="A3696" s="6" t="s">
        <v>1767</v>
      </c>
      <c r="B3696" t="s">
        <v>1977</v>
      </c>
    </row>
    <row r="3697" spans="1:2" x14ac:dyDescent="0.3">
      <c r="A3697" s="6" t="s">
        <v>5576</v>
      </c>
      <c r="B3697" t="s">
        <v>4178</v>
      </c>
    </row>
    <row r="3698" spans="1:2" x14ac:dyDescent="0.3">
      <c r="A3698" s="6" t="s">
        <v>5577</v>
      </c>
      <c r="B3698" t="s">
        <v>2883</v>
      </c>
    </row>
    <row r="3699" spans="1:2" x14ac:dyDescent="0.3">
      <c r="A3699" s="6" t="s">
        <v>5578</v>
      </c>
      <c r="B3699" t="s">
        <v>2802</v>
      </c>
    </row>
    <row r="3700" spans="1:2" x14ac:dyDescent="0.3">
      <c r="A3700" s="6" t="s">
        <v>5579</v>
      </c>
      <c r="B3700" t="s">
        <v>2803</v>
      </c>
    </row>
    <row r="3701" spans="1:2" x14ac:dyDescent="0.3">
      <c r="A3701" s="6" t="s">
        <v>5580</v>
      </c>
      <c r="B3701" t="s">
        <v>2761</v>
      </c>
    </row>
    <row r="3702" spans="1:2" x14ac:dyDescent="0.3">
      <c r="A3702" s="6" t="s">
        <v>5581</v>
      </c>
      <c r="B3702" t="s">
        <v>2759</v>
      </c>
    </row>
    <row r="3703" spans="1:2" x14ac:dyDescent="0.3">
      <c r="A3703" s="6" t="s">
        <v>5582</v>
      </c>
      <c r="B3703" t="s">
        <v>6134</v>
      </c>
    </row>
    <row r="3704" spans="1:2" x14ac:dyDescent="0.3">
      <c r="A3704" s="6" t="s">
        <v>5583</v>
      </c>
      <c r="B3704" t="s">
        <v>7662</v>
      </c>
    </row>
    <row r="3705" spans="1:2" x14ac:dyDescent="0.3">
      <c r="A3705" s="6" t="s">
        <v>5584</v>
      </c>
      <c r="B3705" t="s">
        <v>2423</v>
      </c>
    </row>
    <row r="3706" spans="1:2" x14ac:dyDescent="0.3">
      <c r="A3706" s="6" t="s">
        <v>5585</v>
      </c>
      <c r="B3706" t="s">
        <v>5077</v>
      </c>
    </row>
    <row r="3707" spans="1:2" x14ac:dyDescent="0.3">
      <c r="A3707" s="6" t="s">
        <v>1768</v>
      </c>
      <c r="B3707" t="s">
        <v>1976</v>
      </c>
    </row>
    <row r="3708" spans="1:2" x14ac:dyDescent="0.3">
      <c r="A3708" s="6" t="s">
        <v>5586</v>
      </c>
      <c r="B3708" t="s">
        <v>2424</v>
      </c>
    </row>
    <row r="3709" spans="1:2" x14ac:dyDescent="0.3">
      <c r="A3709" s="6" t="s">
        <v>5587</v>
      </c>
      <c r="B3709" t="s">
        <v>4175</v>
      </c>
    </row>
    <row r="3710" spans="1:2" x14ac:dyDescent="0.3">
      <c r="A3710" s="6" t="s">
        <v>5588</v>
      </c>
      <c r="B3710" t="s">
        <v>2430</v>
      </c>
    </row>
    <row r="3711" spans="1:2" x14ac:dyDescent="0.3">
      <c r="A3711" s="6" t="s">
        <v>5589</v>
      </c>
      <c r="B3711" t="s">
        <v>2426</v>
      </c>
    </row>
    <row r="3712" spans="1:2" x14ac:dyDescent="0.3">
      <c r="A3712" s="6" t="s">
        <v>5590</v>
      </c>
      <c r="B3712" t="s">
        <v>2431</v>
      </c>
    </row>
    <row r="3713" spans="1:2" x14ac:dyDescent="0.3">
      <c r="A3713" s="6" t="s">
        <v>5591</v>
      </c>
      <c r="B3713" t="s">
        <v>2427</v>
      </c>
    </row>
    <row r="3714" spans="1:2" x14ac:dyDescent="0.3">
      <c r="A3714" s="6" t="s">
        <v>5592</v>
      </c>
      <c r="B3714" t="s">
        <v>2262</v>
      </c>
    </row>
    <row r="3715" spans="1:2" x14ac:dyDescent="0.3">
      <c r="A3715" s="6" t="s">
        <v>5593</v>
      </c>
      <c r="B3715" t="s">
        <v>2428</v>
      </c>
    </row>
    <row r="3716" spans="1:2" x14ac:dyDescent="0.3">
      <c r="A3716" s="6" t="s">
        <v>5594</v>
      </c>
      <c r="B3716" t="s">
        <v>2433</v>
      </c>
    </row>
    <row r="3717" spans="1:2" x14ac:dyDescent="0.3">
      <c r="A3717" s="6" t="s">
        <v>5595</v>
      </c>
      <c r="B3717" t="s">
        <v>4810</v>
      </c>
    </row>
    <row r="3718" spans="1:2" x14ac:dyDescent="0.3">
      <c r="A3718" s="6" t="s">
        <v>1769</v>
      </c>
      <c r="B3718" t="s">
        <v>1978</v>
      </c>
    </row>
    <row r="3719" spans="1:2" x14ac:dyDescent="0.3">
      <c r="A3719" s="6" t="s">
        <v>5596</v>
      </c>
      <c r="B3719" t="s">
        <v>5063</v>
      </c>
    </row>
    <row r="3720" spans="1:2" x14ac:dyDescent="0.3">
      <c r="A3720" s="6" t="s">
        <v>5597</v>
      </c>
      <c r="B3720" t="s">
        <v>3027</v>
      </c>
    </row>
    <row r="3721" spans="1:2" x14ac:dyDescent="0.3">
      <c r="A3721" s="6" t="s">
        <v>5598</v>
      </c>
      <c r="B3721" t="s">
        <v>1997</v>
      </c>
    </row>
    <row r="3722" spans="1:2" x14ac:dyDescent="0.3">
      <c r="A3722" s="6" t="s">
        <v>5599</v>
      </c>
      <c r="B3722" t="s">
        <v>3242</v>
      </c>
    </row>
    <row r="3723" spans="1:2" x14ac:dyDescent="0.3">
      <c r="A3723" s="6" t="s">
        <v>5600</v>
      </c>
      <c r="B3723" t="s">
        <v>3932</v>
      </c>
    </row>
    <row r="3724" spans="1:2" x14ac:dyDescent="0.3">
      <c r="A3724" s="6" t="s">
        <v>5601</v>
      </c>
      <c r="B3724" t="s">
        <v>3930</v>
      </c>
    </row>
    <row r="3725" spans="1:2" x14ac:dyDescent="0.3">
      <c r="A3725" s="6" t="s">
        <v>5602</v>
      </c>
      <c r="B3725" t="s">
        <v>3931</v>
      </c>
    </row>
    <row r="3726" spans="1:2" x14ac:dyDescent="0.3">
      <c r="A3726" s="6" t="s">
        <v>5603</v>
      </c>
      <c r="B3726" t="s">
        <v>2413</v>
      </c>
    </row>
    <row r="3727" spans="1:2" x14ac:dyDescent="0.3">
      <c r="A3727" s="6" t="s">
        <v>5604</v>
      </c>
      <c r="B3727" t="s">
        <v>3244</v>
      </c>
    </row>
    <row r="3728" spans="1:2" x14ac:dyDescent="0.3">
      <c r="A3728" s="6" t="s">
        <v>5605</v>
      </c>
      <c r="B3728" t="s">
        <v>3239</v>
      </c>
    </row>
    <row r="3729" spans="1:2" x14ac:dyDescent="0.3">
      <c r="A3729" s="6" t="s">
        <v>1770</v>
      </c>
      <c r="B3729" t="s">
        <v>1980</v>
      </c>
    </row>
    <row r="3730" spans="1:2" x14ac:dyDescent="0.3">
      <c r="A3730" s="6" t="s">
        <v>5606</v>
      </c>
      <c r="B3730" t="s">
        <v>1886</v>
      </c>
    </row>
    <row r="3731" spans="1:2" x14ac:dyDescent="0.3">
      <c r="A3731" s="6" t="s">
        <v>5607</v>
      </c>
      <c r="B3731" t="s">
        <v>4070</v>
      </c>
    </row>
    <row r="3732" spans="1:2" x14ac:dyDescent="0.3">
      <c r="A3732" s="6" t="s">
        <v>5608</v>
      </c>
      <c r="B3732" t="s">
        <v>2347</v>
      </c>
    </row>
    <row r="3733" spans="1:2" x14ac:dyDescent="0.3">
      <c r="A3733" s="6" t="s">
        <v>5609</v>
      </c>
      <c r="B3733" t="s">
        <v>2332</v>
      </c>
    </row>
    <row r="3734" spans="1:2" x14ac:dyDescent="0.3">
      <c r="A3734" s="6" t="s">
        <v>5610</v>
      </c>
      <c r="B3734" t="s">
        <v>4437</v>
      </c>
    </row>
    <row r="3735" spans="1:2" x14ac:dyDescent="0.3">
      <c r="A3735" s="6" t="s">
        <v>5611</v>
      </c>
      <c r="B3735" t="s">
        <v>4435</v>
      </c>
    </row>
    <row r="3736" spans="1:2" x14ac:dyDescent="0.3">
      <c r="A3736" s="6" t="s">
        <v>5612</v>
      </c>
      <c r="B3736" t="s">
        <v>2051</v>
      </c>
    </row>
    <row r="3737" spans="1:2" x14ac:dyDescent="0.3">
      <c r="A3737" s="6" t="s">
        <v>5613</v>
      </c>
      <c r="B3737" t="s">
        <v>1861</v>
      </c>
    </row>
    <row r="3738" spans="1:2" x14ac:dyDescent="0.3">
      <c r="A3738" s="6" t="s">
        <v>5614</v>
      </c>
      <c r="B3738" t="s">
        <v>1863</v>
      </c>
    </row>
    <row r="3739" spans="1:2" x14ac:dyDescent="0.3">
      <c r="A3739" s="6" t="s">
        <v>5615</v>
      </c>
      <c r="B3739" t="s">
        <v>2366</v>
      </c>
    </row>
    <row r="3740" spans="1:2" x14ac:dyDescent="0.3">
      <c r="A3740" s="6" t="s">
        <v>1771</v>
      </c>
      <c r="B3740" t="s">
        <v>6638</v>
      </c>
    </row>
    <row r="3741" spans="1:2" x14ac:dyDescent="0.3">
      <c r="A3741" s="6" t="s">
        <v>5616</v>
      </c>
      <c r="B3741" t="s">
        <v>2200</v>
      </c>
    </row>
    <row r="3742" spans="1:2" x14ac:dyDescent="0.3">
      <c r="A3742" s="6" t="s">
        <v>5617</v>
      </c>
      <c r="B3742" t="s">
        <v>2458</v>
      </c>
    </row>
    <row r="3743" spans="1:2" x14ac:dyDescent="0.3">
      <c r="A3743" s="6" t="s">
        <v>5618</v>
      </c>
      <c r="B3743" t="s">
        <v>2532</v>
      </c>
    </row>
    <row r="3744" spans="1:2" x14ac:dyDescent="0.3">
      <c r="A3744" s="6" t="s">
        <v>5619</v>
      </c>
      <c r="B3744" t="s">
        <v>2459</v>
      </c>
    </row>
    <row r="3745" spans="1:2" x14ac:dyDescent="0.3">
      <c r="A3745" s="6" t="s">
        <v>5620</v>
      </c>
      <c r="B3745" t="s">
        <v>3176</v>
      </c>
    </row>
    <row r="3746" spans="1:2" x14ac:dyDescent="0.3">
      <c r="A3746" s="6" t="s">
        <v>5621</v>
      </c>
      <c r="B3746" t="s">
        <v>1619</v>
      </c>
    </row>
    <row r="3747" spans="1:2" x14ac:dyDescent="0.3">
      <c r="A3747" s="6" t="s">
        <v>5622</v>
      </c>
      <c r="B3747" t="s">
        <v>2813</v>
      </c>
    </row>
    <row r="3748" spans="1:2" x14ac:dyDescent="0.3">
      <c r="A3748" s="6" t="s">
        <v>5623</v>
      </c>
      <c r="B3748" t="s">
        <v>2457</v>
      </c>
    </row>
    <row r="3749" spans="1:2" x14ac:dyDescent="0.3">
      <c r="A3749" s="6" t="s">
        <v>5624</v>
      </c>
      <c r="B3749" t="s">
        <v>3058</v>
      </c>
    </row>
    <row r="3750" spans="1:2" x14ac:dyDescent="0.3">
      <c r="A3750" s="6" t="s">
        <v>5625</v>
      </c>
      <c r="B3750" t="s">
        <v>1622</v>
      </c>
    </row>
    <row r="3751" spans="1:2" x14ac:dyDescent="0.3">
      <c r="A3751" s="6" t="s">
        <v>1772</v>
      </c>
      <c r="B3751" t="s">
        <v>1981</v>
      </c>
    </row>
    <row r="3752" spans="1:2" x14ac:dyDescent="0.3">
      <c r="A3752" s="6" t="s">
        <v>5626</v>
      </c>
      <c r="B3752" t="s">
        <v>1823</v>
      </c>
    </row>
    <row r="3753" spans="1:2" x14ac:dyDescent="0.3">
      <c r="A3753" s="6" t="s">
        <v>5627</v>
      </c>
      <c r="B3753" t="s">
        <v>1807</v>
      </c>
    </row>
    <row r="3754" spans="1:2" x14ac:dyDescent="0.3">
      <c r="A3754" s="6" t="s">
        <v>5628</v>
      </c>
      <c r="B3754" t="s">
        <v>3050</v>
      </c>
    </row>
    <row r="3755" spans="1:2" x14ac:dyDescent="0.3">
      <c r="A3755" s="6" t="s">
        <v>5629</v>
      </c>
      <c r="B3755" t="s">
        <v>2372</v>
      </c>
    </row>
    <row r="3756" spans="1:2" x14ac:dyDescent="0.3">
      <c r="A3756" s="6" t="s">
        <v>5630</v>
      </c>
      <c r="B3756" t="s">
        <v>4179</v>
      </c>
    </row>
    <row r="3757" spans="1:2" x14ac:dyDescent="0.3">
      <c r="A3757" s="6" t="s">
        <v>5631</v>
      </c>
      <c r="B3757" t="s">
        <v>2690</v>
      </c>
    </row>
    <row r="3758" spans="1:2" x14ac:dyDescent="0.3">
      <c r="A3758" s="6" t="s">
        <v>5632</v>
      </c>
      <c r="B3758" t="s">
        <v>3297</v>
      </c>
    </row>
    <row r="3759" spans="1:2" x14ac:dyDescent="0.3">
      <c r="A3759" s="6" t="s">
        <v>5633</v>
      </c>
      <c r="B3759" t="s">
        <v>3150</v>
      </c>
    </row>
    <row r="3760" spans="1:2" x14ac:dyDescent="0.3">
      <c r="A3760" s="6" t="s">
        <v>5634</v>
      </c>
      <c r="B3760" t="s">
        <v>4115</v>
      </c>
    </row>
    <row r="3761" spans="1:2" x14ac:dyDescent="0.3">
      <c r="A3761" s="6" t="s">
        <v>5635</v>
      </c>
      <c r="B3761" t="s">
        <v>4176</v>
      </c>
    </row>
    <row r="3762" spans="1:2" x14ac:dyDescent="0.3">
      <c r="A3762" s="6" t="s">
        <v>1376</v>
      </c>
      <c r="B3762" t="s">
        <v>6711</v>
      </c>
    </row>
    <row r="3763" spans="1:2" x14ac:dyDescent="0.3">
      <c r="A3763" s="6" t="s">
        <v>1773</v>
      </c>
      <c r="B3763" t="s">
        <v>1975</v>
      </c>
    </row>
    <row r="3764" spans="1:2" x14ac:dyDescent="0.3">
      <c r="A3764" s="6" t="s">
        <v>5636</v>
      </c>
      <c r="B3764" t="s">
        <v>1872</v>
      </c>
    </row>
    <row r="3765" spans="1:2" x14ac:dyDescent="0.3">
      <c r="A3765" s="6" t="s">
        <v>5637</v>
      </c>
      <c r="B3765" t="s">
        <v>2150</v>
      </c>
    </row>
    <row r="3766" spans="1:2" x14ac:dyDescent="0.3">
      <c r="A3766" s="6" t="s">
        <v>5638</v>
      </c>
      <c r="B3766" t="s">
        <v>3294</v>
      </c>
    </row>
    <row r="3767" spans="1:2" x14ac:dyDescent="0.3">
      <c r="A3767" s="6" t="s">
        <v>5639</v>
      </c>
      <c r="B3767" t="s">
        <v>1699</v>
      </c>
    </row>
    <row r="3768" spans="1:2" x14ac:dyDescent="0.3">
      <c r="A3768" s="6" t="s">
        <v>5640</v>
      </c>
      <c r="B3768" t="s">
        <v>7408</v>
      </c>
    </row>
    <row r="3769" spans="1:2" x14ac:dyDescent="0.3">
      <c r="A3769" s="6" t="s">
        <v>5641</v>
      </c>
      <c r="B3769" t="s">
        <v>6155</v>
      </c>
    </row>
    <row r="3770" spans="1:2" x14ac:dyDescent="0.3">
      <c r="A3770" s="6" t="s">
        <v>5642</v>
      </c>
      <c r="B3770" t="s">
        <v>6144</v>
      </c>
    </row>
    <row r="3771" spans="1:2" x14ac:dyDescent="0.3">
      <c r="A3771" s="6" t="s">
        <v>5643</v>
      </c>
      <c r="B3771" t="s">
        <v>6143</v>
      </c>
    </row>
    <row r="3772" spans="1:2" x14ac:dyDescent="0.3">
      <c r="A3772" s="6" t="s">
        <v>5644</v>
      </c>
      <c r="B3772" t="s">
        <v>7654</v>
      </c>
    </row>
    <row r="3773" spans="1:2" x14ac:dyDescent="0.3">
      <c r="A3773" s="6" t="s">
        <v>5645</v>
      </c>
      <c r="B3773" t="s">
        <v>7653</v>
      </c>
    </row>
    <row r="3774" spans="1:2" x14ac:dyDescent="0.3">
      <c r="A3774" s="6" t="s">
        <v>1774</v>
      </c>
      <c r="B3774" t="s">
        <v>1794</v>
      </c>
    </row>
    <row r="3775" spans="1:2" x14ac:dyDescent="0.3">
      <c r="A3775" s="6" t="s">
        <v>5646</v>
      </c>
      <c r="B3775" t="s">
        <v>6141</v>
      </c>
    </row>
    <row r="3776" spans="1:2" x14ac:dyDescent="0.3">
      <c r="A3776" s="6" t="s">
        <v>5647</v>
      </c>
      <c r="B3776" t="s">
        <v>8540</v>
      </c>
    </row>
    <row r="3777" spans="1:2" x14ac:dyDescent="0.3">
      <c r="A3777" s="6" t="s">
        <v>5648</v>
      </c>
      <c r="B3777" t="s">
        <v>8539</v>
      </c>
    </row>
    <row r="3778" spans="1:2" x14ac:dyDescent="0.3">
      <c r="A3778" s="6" t="s">
        <v>5649</v>
      </c>
      <c r="B3778" t="s">
        <v>2319</v>
      </c>
    </row>
    <row r="3779" spans="1:2" x14ac:dyDescent="0.3">
      <c r="A3779" s="6" t="s">
        <v>5650</v>
      </c>
      <c r="B3779" t="s">
        <v>2590</v>
      </c>
    </row>
    <row r="3780" spans="1:2" x14ac:dyDescent="0.3">
      <c r="A3780" s="6" t="s">
        <v>5651</v>
      </c>
      <c r="B3780" t="s">
        <v>2318</v>
      </c>
    </row>
    <row r="3781" spans="1:2" x14ac:dyDescent="0.3">
      <c r="A3781" s="6" t="s">
        <v>5652</v>
      </c>
      <c r="B3781" t="s">
        <v>1986</v>
      </c>
    </row>
    <row r="3782" spans="1:2" x14ac:dyDescent="0.3">
      <c r="A3782" s="6" t="s">
        <v>5653</v>
      </c>
      <c r="B3782" t="s">
        <v>2577</v>
      </c>
    </row>
    <row r="3783" spans="1:2" x14ac:dyDescent="0.3">
      <c r="A3783" s="6" t="s">
        <v>5654</v>
      </c>
      <c r="B3783" t="s">
        <v>2576</v>
      </c>
    </row>
    <row r="3784" spans="1:2" x14ac:dyDescent="0.3">
      <c r="A3784" s="6" t="s">
        <v>5655</v>
      </c>
      <c r="B3784" t="s">
        <v>2575</v>
      </c>
    </row>
    <row r="3785" spans="1:2" x14ac:dyDescent="0.3">
      <c r="A3785" s="6" t="s">
        <v>1775</v>
      </c>
      <c r="B3785" t="s">
        <v>1793</v>
      </c>
    </row>
    <row r="3786" spans="1:2" x14ac:dyDescent="0.3">
      <c r="A3786" s="6" t="s">
        <v>5656</v>
      </c>
      <c r="B3786" t="s">
        <v>2103</v>
      </c>
    </row>
    <row r="3787" spans="1:2" x14ac:dyDescent="0.3">
      <c r="A3787" s="6" t="s">
        <v>5657</v>
      </c>
      <c r="B3787" t="s">
        <v>2102</v>
      </c>
    </row>
    <row r="3788" spans="1:2" x14ac:dyDescent="0.3">
      <c r="A3788" s="6" t="s">
        <v>5658</v>
      </c>
      <c r="B3788" t="s">
        <v>2842</v>
      </c>
    </row>
    <row r="3789" spans="1:2" x14ac:dyDescent="0.3">
      <c r="A3789" s="6" t="s">
        <v>5659</v>
      </c>
      <c r="B3789" t="s">
        <v>2833</v>
      </c>
    </row>
    <row r="3790" spans="1:2" x14ac:dyDescent="0.3">
      <c r="A3790" s="6" t="s">
        <v>5660</v>
      </c>
      <c r="B3790" t="s">
        <v>2834</v>
      </c>
    </row>
    <row r="3791" spans="1:2" x14ac:dyDescent="0.3">
      <c r="A3791" s="6" t="s">
        <v>5661</v>
      </c>
      <c r="B3791" t="s">
        <v>2315</v>
      </c>
    </row>
    <row r="3792" spans="1:2" x14ac:dyDescent="0.3">
      <c r="A3792" s="6" t="s">
        <v>5662</v>
      </c>
      <c r="B3792" t="s">
        <v>3833</v>
      </c>
    </row>
    <row r="3793" spans="1:2" x14ac:dyDescent="0.3">
      <c r="A3793" s="6" t="s">
        <v>5663</v>
      </c>
      <c r="B3793" t="s">
        <v>2578</v>
      </c>
    </row>
    <row r="3794" spans="1:2" x14ac:dyDescent="0.3">
      <c r="A3794" s="6" t="s">
        <v>5664</v>
      </c>
      <c r="B3794" t="s">
        <v>2579</v>
      </c>
    </row>
    <row r="3795" spans="1:2" x14ac:dyDescent="0.3">
      <c r="A3795" s="6" t="s">
        <v>5665</v>
      </c>
      <c r="B3795" t="s">
        <v>2580</v>
      </c>
    </row>
    <row r="3796" spans="1:2" x14ac:dyDescent="0.3">
      <c r="A3796" s="6" t="s">
        <v>1776</v>
      </c>
      <c r="B3796" t="s">
        <v>1790</v>
      </c>
    </row>
    <row r="3797" spans="1:2" x14ac:dyDescent="0.3">
      <c r="A3797" s="6" t="s">
        <v>5666</v>
      </c>
      <c r="B3797" t="s">
        <v>2581</v>
      </c>
    </row>
    <row r="3798" spans="1:2" x14ac:dyDescent="0.3">
      <c r="A3798" s="6" t="s">
        <v>5667</v>
      </c>
      <c r="B3798" t="s">
        <v>7367</v>
      </c>
    </row>
    <row r="3799" spans="1:2" x14ac:dyDescent="0.3">
      <c r="A3799" s="6" t="s">
        <v>5668</v>
      </c>
      <c r="B3799" t="s">
        <v>7081</v>
      </c>
    </row>
    <row r="3800" spans="1:2" x14ac:dyDescent="0.3">
      <c r="A3800" s="6" t="s">
        <v>5669</v>
      </c>
      <c r="B3800" t="s">
        <v>2106</v>
      </c>
    </row>
    <row r="3801" spans="1:2" x14ac:dyDescent="0.3">
      <c r="A3801" s="6" t="s">
        <v>5670</v>
      </c>
      <c r="B3801" t="s">
        <v>2107</v>
      </c>
    </row>
    <row r="3802" spans="1:2" x14ac:dyDescent="0.3">
      <c r="A3802" s="6" t="s">
        <v>5671</v>
      </c>
      <c r="B3802" t="s">
        <v>1765</v>
      </c>
    </row>
    <row r="3803" spans="1:2" x14ac:dyDescent="0.3">
      <c r="A3803" s="6" t="s">
        <v>5672</v>
      </c>
      <c r="B3803" t="s">
        <v>1766</v>
      </c>
    </row>
    <row r="3804" spans="1:2" x14ac:dyDescent="0.3">
      <c r="A3804" s="6" t="s">
        <v>5673</v>
      </c>
      <c r="B3804" t="s">
        <v>1767</v>
      </c>
    </row>
    <row r="3805" spans="1:2" x14ac:dyDescent="0.3">
      <c r="A3805" s="6" t="s">
        <v>5674</v>
      </c>
      <c r="B3805" t="s">
        <v>2104</v>
      </c>
    </row>
    <row r="3806" spans="1:2" x14ac:dyDescent="0.3">
      <c r="A3806" s="6" t="s">
        <v>5675</v>
      </c>
      <c r="B3806" t="s">
        <v>2072</v>
      </c>
    </row>
    <row r="3807" spans="1:2" x14ac:dyDescent="0.3">
      <c r="A3807" s="6" t="s">
        <v>1777</v>
      </c>
      <c r="B3807" t="s">
        <v>2836</v>
      </c>
    </row>
    <row r="3808" spans="1:2" x14ac:dyDescent="0.3">
      <c r="A3808" s="6" t="s">
        <v>5676</v>
      </c>
      <c r="B3808" t="s">
        <v>2141</v>
      </c>
    </row>
    <row r="3809" spans="1:2" x14ac:dyDescent="0.3">
      <c r="A3809" s="6" t="s">
        <v>5677</v>
      </c>
      <c r="B3809" t="s">
        <v>5803</v>
      </c>
    </row>
    <row r="3810" spans="1:2" x14ac:dyDescent="0.3">
      <c r="A3810" s="6" t="s">
        <v>5678</v>
      </c>
      <c r="B3810" t="s">
        <v>6136</v>
      </c>
    </row>
    <row r="3811" spans="1:2" x14ac:dyDescent="0.3">
      <c r="A3811" s="6" t="s">
        <v>5679</v>
      </c>
      <c r="B3811" t="s">
        <v>6137</v>
      </c>
    </row>
    <row r="3812" spans="1:2" x14ac:dyDescent="0.3">
      <c r="A3812" s="6" t="s">
        <v>5680</v>
      </c>
      <c r="B3812" t="s">
        <v>2795</v>
      </c>
    </row>
    <row r="3813" spans="1:2" x14ac:dyDescent="0.3">
      <c r="A3813" s="6" t="s">
        <v>5681</v>
      </c>
      <c r="B3813" t="s">
        <v>2817</v>
      </c>
    </row>
    <row r="3814" spans="1:2" x14ac:dyDescent="0.3">
      <c r="A3814" s="6" t="s">
        <v>5682</v>
      </c>
      <c r="B3814" t="s">
        <v>4123</v>
      </c>
    </row>
    <row r="3815" spans="1:2" x14ac:dyDescent="0.3">
      <c r="A3815" s="6" t="s">
        <v>5683</v>
      </c>
      <c r="B3815" t="s">
        <v>2627</v>
      </c>
    </row>
    <row r="3816" spans="1:2" x14ac:dyDescent="0.3">
      <c r="A3816" s="6" t="s">
        <v>5684</v>
      </c>
      <c r="B3816" t="s">
        <v>2630</v>
      </c>
    </row>
    <row r="3817" spans="1:2" x14ac:dyDescent="0.3">
      <c r="A3817" s="6" t="s">
        <v>5685</v>
      </c>
      <c r="B3817" t="s">
        <v>2222</v>
      </c>
    </row>
    <row r="3818" spans="1:2" x14ac:dyDescent="0.3">
      <c r="A3818" s="6" t="s">
        <v>1778</v>
      </c>
      <c r="B3818" t="s">
        <v>6437</v>
      </c>
    </row>
    <row r="3819" spans="1:2" x14ac:dyDescent="0.3">
      <c r="A3819" s="6" t="s">
        <v>5686</v>
      </c>
      <c r="B3819" t="s">
        <v>2226</v>
      </c>
    </row>
    <row r="3820" spans="1:2" x14ac:dyDescent="0.3">
      <c r="A3820" s="6" t="s">
        <v>5687</v>
      </c>
      <c r="B3820" t="s">
        <v>2225</v>
      </c>
    </row>
    <row r="3821" spans="1:2" x14ac:dyDescent="0.3">
      <c r="A3821" s="6" t="s">
        <v>5688</v>
      </c>
      <c r="B3821" t="s">
        <v>2223</v>
      </c>
    </row>
    <row r="3822" spans="1:2" x14ac:dyDescent="0.3">
      <c r="A3822" s="6" t="s">
        <v>5689</v>
      </c>
      <c r="B3822" t="s">
        <v>2300</v>
      </c>
    </row>
    <row r="3823" spans="1:2" x14ac:dyDescent="0.3">
      <c r="A3823" s="6" t="s">
        <v>5690</v>
      </c>
      <c r="B3823" t="s">
        <v>2224</v>
      </c>
    </row>
    <row r="3824" spans="1:2" x14ac:dyDescent="0.3">
      <c r="A3824" s="6" t="s">
        <v>5691</v>
      </c>
      <c r="B3824" t="s">
        <v>4124</v>
      </c>
    </row>
    <row r="3825" spans="1:2" x14ac:dyDescent="0.3">
      <c r="A3825" s="6" t="s">
        <v>5692</v>
      </c>
      <c r="B3825" t="s">
        <v>4302</v>
      </c>
    </row>
    <row r="3826" spans="1:2" x14ac:dyDescent="0.3">
      <c r="A3826" s="6" t="s">
        <v>5693</v>
      </c>
      <c r="B3826" t="s">
        <v>4303</v>
      </c>
    </row>
    <row r="3827" spans="1:2" x14ac:dyDescent="0.3">
      <c r="A3827" s="6" t="s">
        <v>5694</v>
      </c>
      <c r="B3827" t="s">
        <v>4126</v>
      </c>
    </row>
    <row r="3828" spans="1:2" x14ac:dyDescent="0.3">
      <c r="A3828" s="6" t="s">
        <v>5695</v>
      </c>
      <c r="B3828" t="s">
        <v>2221</v>
      </c>
    </row>
    <row r="3829" spans="1:2" x14ac:dyDescent="0.3">
      <c r="A3829" s="6" t="s">
        <v>1779</v>
      </c>
      <c r="B3829" t="s">
        <v>7734</v>
      </c>
    </row>
    <row r="3830" spans="1:2" x14ac:dyDescent="0.3">
      <c r="A3830" s="6" t="s">
        <v>5696</v>
      </c>
      <c r="B3830" t="s">
        <v>2219</v>
      </c>
    </row>
    <row r="3831" spans="1:2" x14ac:dyDescent="0.3">
      <c r="A3831" s="6" t="s">
        <v>5697</v>
      </c>
      <c r="B3831" t="s">
        <v>2631</v>
      </c>
    </row>
    <row r="3832" spans="1:2" x14ac:dyDescent="0.3">
      <c r="A3832" s="6" t="s">
        <v>5698</v>
      </c>
      <c r="B3832" t="s">
        <v>4300</v>
      </c>
    </row>
    <row r="3833" spans="1:2" x14ac:dyDescent="0.3">
      <c r="A3833" s="6" t="s">
        <v>5699</v>
      </c>
      <c r="B3833" t="s">
        <v>4301</v>
      </c>
    </row>
    <row r="3834" spans="1:2" x14ac:dyDescent="0.3">
      <c r="A3834" s="6" t="s">
        <v>5700</v>
      </c>
      <c r="B3834" t="s">
        <v>4125</v>
      </c>
    </row>
    <row r="3835" spans="1:2" x14ac:dyDescent="0.3">
      <c r="A3835" s="6" t="s">
        <v>5701</v>
      </c>
      <c r="B3835" t="s">
        <v>2227</v>
      </c>
    </row>
    <row r="3836" spans="1:2" x14ac:dyDescent="0.3">
      <c r="A3836" s="6" t="s">
        <v>5702</v>
      </c>
      <c r="B3836" t="s">
        <v>2220</v>
      </c>
    </row>
    <row r="3837" spans="1:2" x14ac:dyDescent="0.3">
      <c r="A3837" s="6" t="s">
        <v>5703</v>
      </c>
      <c r="B3837" t="s">
        <v>6721</v>
      </c>
    </row>
    <row r="3838" spans="1:2" x14ac:dyDescent="0.3">
      <c r="A3838" s="6" t="s">
        <v>5704</v>
      </c>
      <c r="B3838" t="s">
        <v>6720</v>
      </c>
    </row>
    <row r="3839" spans="1:2" x14ac:dyDescent="0.3">
      <c r="A3839" s="6" t="s">
        <v>5705</v>
      </c>
      <c r="B3839" t="s">
        <v>1571</v>
      </c>
    </row>
    <row r="3840" spans="1:2" x14ac:dyDescent="0.3">
      <c r="A3840" s="6" t="s">
        <v>1780</v>
      </c>
      <c r="B3840" t="s">
        <v>3323</v>
      </c>
    </row>
    <row r="3841" spans="1:2" x14ac:dyDescent="0.3">
      <c r="A3841" s="6" t="s">
        <v>5706</v>
      </c>
      <c r="B3841" t="s">
        <v>3458</v>
      </c>
    </row>
    <row r="3842" spans="1:2" x14ac:dyDescent="0.3">
      <c r="A3842" s="6" t="s">
        <v>5707</v>
      </c>
      <c r="B3842" t="s">
        <v>1722</v>
      </c>
    </row>
    <row r="3843" spans="1:2" x14ac:dyDescent="0.3">
      <c r="A3843" s="6" t="s">
        <v>5708</v>
      </c>
      <c r="B3843" t="s">
        <v>1641</v>
      </c>
    </row>
    <row r="3844" spans="1:2" x14ac:dyDescent="0.3">
      <c r="A3844" s="6" t="s">
        <v>5709</v>
      </c>
      <c r="B3844" t="s">
        <v>1570</v>
      </c>
    </row>
    <row r="3845" spans="1:2" x14ac:dyDescent="0.3">
      <c r="A3845" s="6" t="s">
        <v>5710</v>
      </c>
      <c r="B3845" t="s">
        <v>1640</v>
      </c>
    </row>
    <row r="3846" spans="1:2" x14ac:dyDescent="0.3">
      <c r="A3846" s="6" t="s">
        <v>5711</v>
      </c>
      <c r="B3846" t="s">
        <v>6725</v>
      </c>
    </row>
    <row r="3847" spans="1:2" x14ac:dyDescent="0.3">
      <c r="A3847" s="6" t="s">
        <v>5712</v>
      </c>
      <c r="B3847" t="s">
        <v>6724</v>
      </c>
    </row>
    <row r="3848" spans="1:2" x14ac:dyDescent="0.3">
      <c r="A3848" s="6" t="s">
        <v>5713</v>
      </c>
      <c r="B3848" t="s">
        <v>1575</v>
      </c>
    </row>
    <row r="3849" spans="1:2" x14ac:dyDescent="0.3">
      <c r="A3849" s="6" t="s">
        <v>5714</v>
      </c>
      <c r="B3849" t="s">
        <v>5350</v>
      </c>
    </row>
    <row r="3850" spans="1:2" x14ac:dyDescent="0.3">
      <c r="A3850" s="6" t="s">
        <v>5715</v>
      </c>
      <c r="B3850" t="s">
        <v>5349</v>
      </c>
    </row>
    <row r="3851" spans="1:2" x14ac:dyDescent="0.3">
      <c r="A3851" s="6" t="s">
        <v>1781</v>
      </c>
      <c r="B3851" t="s">
        <v>7738</v>
      </c>
    </row>
    <row r="3852" spans="1:2" x14ac:dyDescent="0.3">
      <c r="A3852" s="6" t="s">
        <v>5716</v>
      </c>
      <c r="B3852" t="s">
        <v>1574</v>
      </c>
    </row>
    <row r="3853" spans="1:2" x14ac:dyDescent="0.3">
      <c r="A3853" s="6" t="s">
        <v>5717</v>
      </c>
      <c r="B3853" t="s">
        <v>6723</v>
      </c>
    </row>
    <row r="3854" spans="1:2" x14ac:dyDescent="0.3">
      <c r="A3854" s="6" t="s">
        <v>5718</v>
      </c>
      <c r="B3854" t="s">
        <v>6722</v>
      </c>
    </row>
    <row r="3855" spans="1:2" x14ac:dyDescent="0.3">
      <c r="A3855" s="6" t="s">
        <v>5719</v>
      </c>
      <c r="B3855" t="s">
        <v>1573</v>
      </c>
    </row>
    <row r="3856" spans="1:2" x14ac:dyDescent="0.3">
      <c r="A3856" s="6" t="s">
        <v>5720</v>
      </c>
      <c r="B3856" t="s">
        <v>3467</v>
      </c>
    </row>
    <row r="3857" spans="1:2" x14ac:dyDescent="0.3">
      <c r="A3857" s="6" t="s">
        <v>5721</v>
      </c>
      <c r="B3857" t="s">
        <v>3465</v>
      </c>
    </row>
    <row r="3858" spans="1:2" x14ac:dyDescent="0.3">
      <c r="A3858" s="6" t="s">
        <v>5722</v>
      </c>
      <c r="B3858" t="s">
        <v>1643</v>
      </c>
    </row>
    <row r="3859" spans="1:2" x14ac:dyDescent="0.3">
      <c r="A3859" s="6" t="s">
        <v>5723</v>
      </c>
      <c r="B3859" t="s">
        <v>1572</v>
      </c>
    </row>
    <row r="3860" spans="1:2" x14ac:dyDescent="0.3">
      <c r="A3860" s="6" t="s">
        <v>5724</v>
      </c>
      <c r="B3860" t="s">
        <v>1642</v>
      </c>
    </row>
    <row r="3861" spans="1:2" x14ac:dyDescent="0.3">
      <c r="A3861" s="6" t="s">
        <v>5725</v>
      </c>
      <c r="B3861" t="s">
        <v>6726</v>
      </c>
    </row>
    <row r="3862" spans="1:2" x14ac:dyDescent="0.3">
      <c r="A3862" s="6" t="s">
        <v>1782</v>
      </c>
      <c r="B3862" t="s">
        <v>6153</v>
      </c>
    </row>
    <row r="3863" spans="1:2" x14ac:dyDescent="0.3">
      <c r="A3863" s="6" t="s">
        <v>5726</v>
      </c>
      <c r="B3863" t="s">
        <v>1577</v>
      </c>
    </row>
    <row r="3864" spans="1:2" x14ac:dyDescent="0.3">
      <c r="A3864" s="6" t="s">
        <v>5727</v>
      </c>
      <c r="B3864" t="s">
        <v>5352</v>
      </c>
    </row>
    <row r="3865" spans="1:2" x14ac:dyDescent="0.3">
      <c r="A3865" s="6" t="s">
        <v>5728</v>
      </c>
      <c r="B3865" t="s">
        <v>5351</v>
      </c>
    </row>
    <row r="3866" spans="1:2" x14ac:dyDescent="0.3">
      <c r="A3866" s="6" t="s">
        <v>5729</v>
      </c>
      <c r="B3866" t="s">
        <v>1652</v>
      </c>
    </row>
    <row r="3867" spans="1:2" x14ac:dyDescent="0.3">
      <c r="A3867" s="6" t="s">
        <v>5730</v>
      </c>
      <c r="B3867" t="s">
        <v>1576</v>
      </c>
    </row>
    <row r="3868" spans="1:2" x14ac:dyDescent="0.3">
      <c r="A3868" s="6" t="s">
        <v>5731</v>
      </c>
      <c r="B3868" t="s">
        <v>1649</v>
      </c>
    </row>
    <row r="3869" spans="1:2" x14ac:dyDescent="0.3">
      <c r="A3869" s="6" t="s">
        <v>5732</v>
      </c>
      <c r="B3869" t="s">
        <v>2860</v>
      </c>
    </row>
    <row r="3870" spans="1:2" x14ac:dyDescent="0.3">
      <c r="A3870" s="6" t="s">
        <v>5733</v>
      </c>
      <c r="B3870" t="s">
        <v>6094</v>
      </c>
    </row>
    <row r="3871" spans="1:2" x14ac:dyDescent="0.3">
      <c r="A3871" s="6" t="s">
        <v>5734</v>
      </c>
      <c r="B3871" t="s">
        <v>6714</v>
      </c>
    </row>
    <row r="3872" spans="1:2" x14ac:dyDescent="0.3">
      <c r="A3872" s="6" t="s">
        <v>5735</v>
      </c>
      <c r="B3872" t="s">
        <v>6713</v>
      </c>
    </row>
    <row r="3873" spans="1:2" x14ac:dyDescent="0.3">
      <c r="A3873" s="6" t="s">
        <v>1377</v>
      </c>
      <c r="B3873" t="s">
        <v>6712</v>
      </c>
    </row>
    <row r="3874" spans="1:2" x14ac:dyDescent="0.3">
      <c r="A3874" s="6" t="s">
        <v>1783</v>
      </c>
      <c r="B3874" t="s">
        <v>6438</v>
      </c>
    </row>
    <row r="3875" spans="1:2" x14ac:dyDescent="0.3">
      <c r="A3875" s="6" t="s">
        <v>5736</v>
      </c>
      <c r="B3875" t="s">
        <v>1559</v>
      </c>
    </row>
    <row r="3876" spans="1:2" x14ac:dyDescent="0.3">
      <c r="A3876" s="6" t="s">
        <v>5737</v>
      </c>
      <c r="B3876" t="s">
        <v>3470</v>
      </c>
    </row>
    <row r="3877" spans="1:2" x14ac:dyDescent="0.3">
      <c r="A3877" s="6" t="s">
        <v>5738</v>
      </c>
      <c r="B3877" t="s">
        <v>3469</v>
      </c>
    </row>
    <row r="3878" spans="1:2" x14ac:dyDescent="0.3">
      <c r="A3878" s="6" t="s">
        <v>5739</v>
      </c>
      <c r="B3878" t="s">
        <v>2717</v>
      </c>
    </row>
    <row r="3879" spans="1:2" x14ac:dyDescent="0.3">
      <c r="A3879" s="6" t="s">
        <v>5740</v>
      </c>
      <c r="B3879" t="s">
        <v>2716</v>
      </c>
    </row>
    <row r="3880" spans="1:2" x14ac:dyDescent="0.3">
      <c r="A3880" s="6" t="s">
        <v>5741</v>
      </c>
      <c r="B3880" t="s">
        <v>1558</v>
      </c>
    </row>
    <row r="3881" spans="1:2" x14ac:dyDescent="0.3">
      <c r="A3881" s="6" t="s">
        <v>5742</v>
      </c>
      <c r="B3881" t="s">
        <v>6718</v>
      </c>
    </row>
    <row r="3882" spans="1:2" x14ac:dyDescent="0.3">
      <c r="A3882" s="6" t="s">
        <v>5743</v>
      </c>
      <c r="B3882" t="s">
        <v>6717</v>
      </c>
    </row>
    <row r="3883" spans="1:2" x14ac:dyDescent="0.3">
      <c r="A3883" s="6" t="s">
        <v>5744</v>
      </c>
      <c r="B3883" t="s">
        <v>1563</v>
      </c>
    </row>
    <row r="3884" spans="1:2" x14ac:dyDescent="0.3">
      <c r="A3884" s="6" t="s">
        <v>5745</v>
      </c>
      <c r="B3884" t="s">
        <v>1796</v>
      </c>
    </row>
    <row r="3885" spans="1:2" x14ac:dyDescent="0.3">
      <c r="A3885" s="6" t="s">
        <v>1784</v>
      </c>
      <c r="B3885" t="s">
        <v>7735</v>
      </c>
    </row>
    <row r="3886" spans="1:2" x14ac:dyDescent="0.3">
      <c r="A3886" s="6" t="s">
        <v>5746</v>
      </c>
      <c r="B3886" t="s">
        <v>1833</v>
      </c>
    </row>
    <row r="3887" spans="1:2" x14ac:dyDescent="0.3">
      <c r="A3887" s="6" t="s">
        <v>5747</v>
      </c>
      <c r="B3887" t="s">
        <v>1562</v>
      </c>
    </row>
    <row r="3888" spans="1:2" x14ac:dyDescent="0.3">
      <c r="A3888" s="6" t="s">
        <v>5748</v>
      </c>
      <c r="B3888" t="s">
        <v>6716</v>
      </c>
    </row>
    <row r="3889" spans="1:2" x14ac:dyDescent="0.3">
      <c r="A3889" s="6" t="s">
        <v>5749</v>
      </c>
      <c r="B3889" t="s">
        <v>6715</v>
      </c>
    </row>
    <row r="3890" spans="1:2" x14ac:dyDescent="0.3">
      <c r="A3890" s="6" t="s">
        <v>5750</v>
      </c>
      <c r="B3890" t="s">
        <v>1561</v>
      </c>
    </row>
    <row r="3891" spans="1:2" x14ac:dyDescent="0.3">
      <c r="A3891" s="6" t="s">
        <v>5751</v>
      </c>
      <c r="B3891" t="s">
        <v>1817</v>
      </c>
    </row>
    <row r="3892" spans="1:2" x14ac:dyDescent="0.3">
      <c r="A3892" s="6" t="s">
        <v>5752</v>
      </c>
      <c r="B3892" t="s">
        <v>1836</v>
      </c>
    </row>
    <row r="3893" spans="1:2" x14ac:dyDescent="0.3">
      <c r="A3893" s="6" t="s">
        <v>5753</v>
      </c>
      <c r="B3893" t="s">
        <v>2846</v>
      </c>
    </row>
    <row r="3894" spans="1:2" x14ac:dyDescent="0.3">
      <c r="A3894" s="6" t="s">
        <v>5754</v>
      </c>
      <c r="B3894" t="s">
        <v>2835</v>
      </c>
    </row>
    <row r="3895" spans="1:2" x14ac:dyDescent="0.3">
      <c r="A3895" s="6" t="s">
        <v>5755</v>
      </c>
      <c r="B3895" t="s">
        <v>1560</v>
      </c>
    </row>
    <row r="3896" spans="1:2" x14ac:dyDescent="0.3">
      <c r="A3896" s="6" t="s">
        <v>1785</v>
      </c>
      <c r="B3896" t="s">
        <v>3324</v>
      </c>
    </row>
    <row r="3897" spans="1:2" x14ac:dyDescent="0.3">
      <c r="A3897" s="6" t="s">
        <v>5756</v>
      </c>
      <c r="B3897" t="s">
        <v>6719</v>
      </c>
    </row>
    <row r="3898" spans="1:2" x14ac:dyDescent="0.3">
      <c r="A3898" s="6" t="s">
        <v>5757</v>
      </c>
      <c r="B3898" t="s">
        <v>6728</v>
      </c>
    </row>
    <row r="3899" spans="1:2" x14ac:dyDescent="0.3">
      <c r="A3899" s="6" t="s">
        <v>5758</v>
      </c>
      <c r="B3899" t="s">
        <v>6727</v>
      </c>
    </row>
    <row r="3900" spans="1:2" x14ac:dyDescent="0.3">
      <c r="A3900" s="6" t="s">
        <v>5759</v>
      </c>
      <c r="B3900" t="s">
        <v>1565</v>
      </c>
    </row>
    <row r="3901" spans="1:2" x14ac:dyDescent="0.3">
      <c r="A3901" s="6" t="s">
        <v>5760</v>
      </c>
      <c r="B3901" t="s">
        <v>1798</v>
      </c>
    </row>
    <row r="3902" spans="1:2" x14ac:dyDescent="0.3">
      <c r="A3902" s="6" t="s">
        <v>5761</v>
      </c>
      <c r="B3902" t="s">
        <v>1723</v>
      </c>
    </row>
    <row r="3903" spans="1:2" x14ac:dyDescent="0.3">
      <c r="A3903" s="6" t="s">
        <v>5762</v>
      </c>
      <c r="B3903" t="s">
        <v>2850</v>
      </c>
    </row>
    <row r="3904" spans="1:2" x14ac:dyDescent="0.3">
      <c r="A3904" s="6" t="s">
        <v>5763</v>
      </c>
      <c r="B3904" t="s">
        <v>2847</v>
      </c>
    </row>
    <row r="3905" spans="1:2" x14ac:dyDescent="0.3">
      <c r="A3905" s="6" t="s">
        <v>5764</v>
      </c>
      <c r="B3905" t="s">
        <v>1564</v>
      </c>
    </row>
    <row r="3906" spans="1:2" x14ac:dyDescent="0.3">
      <c r="A3906" s="6" t="s">
        <v>5765</v>
      </c>
      <c r="B3906" t="s">
        <v>2851</v>
      </c>
    </row>
    <row r="3907" spans="1:2" x14ac:dyDescent="0.3">
      <c r="A3907" s="6" t="s">
        <v>1786</v>
      </c>
      <c r="B3907" t="s">
        <v>7736</v>
      </c>
    </row>
    <row r="3908" spans="1:2" x14ac:dyDescent="0.3">
      <c r="A3908" s="6" t="s">
        <v>5766</v>
      </c>
      <c r="B3908" t="s">
        <v>3317</v>
      </c>
    </row>
    <row r="3909" spans="1:2" x14ac:dyDescent="0.3">
      <c r="A3909" s="6" t="s">
        <v>5767</v>
      </c>
      <c r="B3909" t="s">
        <v>3314</v>
      </c>
    </row>
    <row r="3910" spans="1:2" x14ac:dyDescent="0.3">
      <c r="A3910" s="6" t="s">
        <v>5768</v>
      </c>
      <c r="B3910" t="s">
        <v>8529</v>
      </c>
    </row>
    <row r="3911" spans="1:2" x14ac:dyDescent="0.3">
      <c r="A3911" s="6" t="s">
        <v>5769</v>
      </c>
      <c r="B3911" t="s">
        <v>6556</v>
      </c>
    </row>
    <row r="3912" spans="1:2" x14ac:dyDescent="0.3">
      <c r="A3912" s="6" t="s">
        <v>5770</v>
      </c>
      <c r="B3912" t="s">
        <v>6555</v>
      </c>
    </row>
    <row r="3913" spans="1:2" x14ac:dyDescent="0.3">
      <c r="A3913" s="6" t="s">
        <v>5771</v>
      </c>
      <c r="B3913" t="s">
        <v>2097</v>
      </c>
    </row>
    <row r="3914" spans="1:2" x14ac:dyDescent="0.3">
      <c r="A3914" s="6" t="s">
        <v>5772</v>
      </c>
      <c r="B3914" t="s">
        <v>3144</v>
      </c>
    </row>
    <row r="3915" spans="1:2" x14ac:dyDescent="0.3">
      <c r="A3915" s="6" t="s">
        <v>5773</v>
      </c>
      <c r="B3915" t="s">
        <v>2095</v>
      </c>
    </row>
    <row r="3916" spans="1:2" x14ac:dyDescent="0.3">
      <c r="A3916" s="6" t="s">
        <v>5774</v>
      </c>
      <c r="B3916" t="s">
        <v>2096</v>
      </c>
    </row>
    <row r="3917" spans="1:2" x14ac:dyDescent="0.3">
      <c r="A3917" s="6" t="s">
        <v>5775</v>
      </c>
      <c r="B3917" t="s">
        <v>3142</v>
      </c>
    </row>
    <row r="3918" spans="1:2" x14ac:dyDescent="0.3">
      <c r="A3918" s="6" t="s">
        <v>1787</v>
      </c>
      <c r="B3918" t="s">
        <v>1603</v>
      </c>
    </row>
    <row r="3919" spans="1:2" x14ac:dyDescent="0.3">
      <c r="A3919" s="6" t="s">
        <v>5776</v>
      </c>
      <c r="B3919" t="s">
        <v>3753</v>
      </c>
    </row>
    <row r="3920" spans="1:2" x14ac:dyDescent="0.3">
      <c r="A3920" s="6" t="s">
        <v>5777</v>
      </c>
      <c r="B3920" t="s">
        <v>3754</v>
      </c>
    </row>
    <row r="3921" spans="1:2" x14ac:dyDescent="0.3">
      <c r="A3921" s="6" t="s">
        <v>5778</v>
      </c>
      <c r="B3921" t="s">
        <v>3755</v>
      </c>
    </row>
    <row r="3922" spans="1:2" x14ac:dyDescent="0.3">
      <c r="A3922" s="6" t="s">
        <v>5779</v>
      </c>
      <c r="B3922" t="s">
        <v>5928</v>
      </c>
    </row>
    <row r="3923" spans="1:2" x14ac:dyDescent="0.3">
      <c r="A3923" s="6" t="s">
        <v>5780</v>
      </c>
      <c r="B3923" t="s">
        <v>6129</v>
      </c>
    </row>
    <row r="3924" spans="1:2" x14ac:dyDescent="0.3">
      <c r="A3924" s="6" t="s">
        <v>5781</v>
      </c>
      <c r="B3924" t="s">
        <v>2100</v>
      </c>
    </row>
    <row r="3925" spans="1:2" x14ac:dyDescent="0.3">
      <c r="A3925" s="6" t="s">
        <v>5782</v>
      </c>
      <c r="B3925" t="s">
        <v>3147</v>
      </c>
    </row>
    <row r="3926" spans="1:2" x14ac:dyDescent="0.3">
      <c r="A3926" s="6" t="s">
        <v>5783</v>
      </c>
      <c r="B3926" t="s">
        <v>2099</v>
      </c>
    </row>
    <row r="3927" spans="1:2" x14ac:dyDescent="0.3">
      <c r="A3927" s="6" t="s">
        <v>5784</v>
      </c>
      <c r="B3927" t="s">
        <v>3146</v>
      </c>
    </row>
    <row r="3928" spans="1:2" x14ac:dyDescent="0.3">
      <c r="A3928" s="6" t="s">
        <v>5785</v>
      </c>
      <c r="B3928" t="s">
        <v>8025</v>
      </c>
    </row>
    <row r="3929" spans="1:2" x14ac:dyDescent="0.3">
      <c r="A3929" s="6" t="s">
        <v>1788</v>
      </c>
      <c r="B3929" t="s">
        <v>7726</v>
      </c>
    </row>
    <row r="3930" spans="1:2" x14ac:dyDescent="0.3">
      <c r="A3930" s="6" t="s">
        <v>5786</v>
      </c>
      <c r="B3930" t="s">
        <v>8556</v>
      </c>
    </row>
    <row r="3931" spans="1:2" x14ac:dyDescent="0.3">
      <c r="A3931" s="6" t="s">
        <v>5787</v>
      </c>
      <c r="B3931" t="s">
        <v>1902</v>
      </c>
    </row>
    <row r="3932" spans="1:2" x14ac:dyDescent="0.3">
      <c r="A3932" s="6" t="s">
        <v>5788</v>
      </c>
      <c r="B3932" t="s">
        <v>7691</v>
      </c>
    </row>
    <row r="3933" spans="1:2" x14ac:dyDescent="0.3">
      <c r="A3933" s="6" t="s">
        <v>5789</v>
      </c>
      <c r="B3933" t="s">
        <v>2368</v>
      </c>
    </row>
    <row r="3934" spans="1:2" x14ac:dyDescent="0.3">
      <c r="A3934" s="6" t="s">
        <v>1789</v>
      </c>
      <c r="B3934" t="s">
        <v>6439</v>
      </c>
    </row>
    <row r="3935" spans="1:2" x14ac:dyDescent="0.3">
      <c r="A3935" s="6" t="s">
        <v>1790</v>
      </c>
      <c r="B3935" t="s">
        <v>7737</v>
      </c>
    </row>
    <row r="3936" spans="1:2" x14ac:dyDescent="0.3">
      <c r="A3936" s="11" t="s">
        <v>5843</v>
      </c>
      <c r="B3936" t="s">
        <v>5881</v>
      </c>
    </row>
    <row r="3937" spans="1:2" x14ac:dyDescent="0.3">
      <c r="A3937" s="11" t="s">
        <v>5844</v>
      </c>
      <c r="B3937" t="s">
        <v>5881</v>
      </c>
    </row>
    <row r="3938" spans="1:2" x14ac:dyDescent="0.3">
      <c r="A3938" s="11" t="s">
        <v>5845</v>
      </c>
      <c r="B3938" t="s">
        <v>5881</v>
      </c>
    </row>
    <row r="3939" spans="1:2" x14ac:dyDescent="0.3">
      <c r="A3939" s="6" t="s">
        <v>1791</v>
      </c>
      <c r="B3939" t="s">
        <v>1604</v>
      </c>
    </row>
    <row r="3940" spans="1:2" x14ac:dyDescent="0.3">
      <c r="A3940" s="11" t="s">
        <v>5846</v>
      </c>
      <c r="B3940" t="s">
        <v>5881</v>
      </c>
    </row>
    <row r="3941" spans="1:2" x14ac:dyDescent="0.3">
      <c r="A3941" s="11" t="s">
        <v>5847</v>
      </c>
      <c r="B3941" t="s">
        <v>5881</v>
      </c>
    </row>
    <row r="3942" spans="1:2" x14ac:dyDescent="0.3">
      <c r="A3942" s="11" t="s">
        <v>5848</v>
      </c>
      <c r="B3942" t="s">
        <v>5881</v>
      </c>
    </row>
    <row r="3943" spans="1:2" x14ac:dyDescent="0.3">
      <c r="A3943" s="11" t="s">
        <v>5849</v>
      </c>
      <c r="B3943" t="s">
        <v>5881</v>
      </c>
    </row>
    <row r="3944" spans="1:2" x14ac:dyDescent="0.3">
      <c r="A3944" s="11" t="s">
        <v>5850</v>
      </c>
      <c r="B3944" t="s">
        <v>5881</v>
      </c>
    </row>
    <row r="3945" spans="1:2" x14ac:dyDescent="0.3">
      <c r="A3945" s="11" t="s">
        <v>5851</v>
      </c>
      <c r="B3945" t="s">
        <v>5881</v>
      </c>
    </row>
    <row r="3946" spans="1:2" x14ac:dyDescent="0.3">
      <c r="A3946" s="11" t="s">
        <v>5852</v>
      </c>
      <c r="B3946" t="s">
        <v>5881</v>
      </c>
    </row>
    <row r="3947" spans="1:2" x14ac:dyDescent="0.3">
      <c r="A3947" s="11" t="s">
        <v>5853</v>
      </c>
      <c r="B3947" t="s">
        <v>5881</v>
      </c>
    </row>
    <row r="3948" spans="1:2" x14ac:dyDescent="0.3">
      <c r="A3948" s="9" t="s">
        <v>5854</v>
      </c>
      <c r="B3948">
        <v>8243</v>
      </c>
    </row>
    <row r="3949" spans="1:2" x14ac:dyDescent="0.3">
      <c r="A3949" s="11" t="s">
        <v>5855</v>
      </c>
      <c r="B3949" s="9" t="s">
        <v>8778</v>
      </c>
    </row>
    <row r="3950" spans="1:2" x14ac:dyDescent="0.3">
      <c r="A3950" s="6" t="s">
        <v>1792</v>
      </c>
      <c r="B3950" t="s">
        <v>6978</v>
      </c>
    </row>
    <row r="3951" spans="1:2" x14ac:dyDescent="0.3">
      <c r="A3951" s="11" t="s">
        <v>5856</v>
      </c>
      <c r="B3951" t="s">
        <v>5881</v>
      </c>
    </row>
    <row r="3952" spans="1:2" x14ac:dyDescent="0.3">
      <c r="A3952" s="11" t="s">
        <v>5857</v>
      </c>
      <c r="B3952" t="s">
        <v>5881</v>
      </c>
    </row>
    <row r="3953" spans="1:2" x14ac:dyDescent="0.3">
      <c r="A3953" s="11" t="s">
        <v>5858</v>
      </c>
      <c r="B3953" t="s">
        <v>5881</v>
      </c>
    </row>
    <row r="3954" spans="1:2" x14ac:dyDescent="0.3">
      <c r="A3954" s="11" t="s">
        <v>5859</v>
      </c>
      <c r="B3954" t="s">
        <v>5881</v>
      </c>
    </row>
    <row r="3955" spans="1:2" x14ac:dyDescent="0.3">
      <c r="A3955" s="11" t="s">
        <v>5860</v>
      </c>
      <c r="B3955" t="s">
        <v>5881</v>
      </c>
    </row>
    <row r="3956" spans="1:2" x14ac:dyDescent="0.3">
      <c r="A3956" s="11" t="s">
        <v>5861</v>
      </c>
      <c r="B3956" t="s">
        <v>5881</v>
      </c>
    </row>
    <row r="3957" spans="1:2" x14ac:dyDescent="0.3">
      <c r="A3957" s="11" t="s">
        <v>5862</v>
      </c>
      <c r="B3957" t="s">
        <v>5881</v>
      </c>
    </row>
    <row r="3958" spans="1:2" x14ac:dyDescent="0.3">
      <c r="A3958" s="11" t="s">
        <v>5863</v>
      </c>
      <c r="B3958" t="s">
        <v>5881</v>
      </c>
    </row>
    <row r="3959" spans="1:2" x14ac:dyDescent="0.3">
      <c r="A3959" s="11" t="s">
        <v>5864</v>
      </c>
      <c r="B3959" t="s">
        <v>5881</v>
      </c>
    </row>
    <row r="3960" spans="1:2" x14ac:dyDescent="0.3">
      <c r="A3960" s="11" t="s">
        <v>5865</v>
      </c>
      <c r="B3960" t="s">
        <v>5881</v>
      </c>
    </row>
    <row r="3961" spans="1:2" x14ac:dyDescent="0.3">
      <c r="A3961" s="6" t="s">
        <v>1378</v>
      </c>
      <c r="B3961" t="s">
        <v>6710</v>
      </c>
    </row>
    <row r="3962" spans="1:2" x14ac:dyDescent="0.3">
      <c r="A3962" s="6" t="s">
        <v>1793</v>
      </c>
      <c r="B3962" t="s">
        <v>6440</v>
      </c>
    </row>
    <row r="3963" spans="1:2" x14ac:dyDescent="0.3">
      <c r="A3963" s="11" t="s">
        <v>5866</v>
      </c>
      <c r="B3963" t="s">
        <v>5881</v>
      </c>
    </row>
    <row r="3964" spans="1:2" x14ac:dyDescent="0.3">
      <c r="A3964" s="11" t="s">
        <v>5867</v>
      </c>
      <c r="B3964" t="s">
        <v>5881</v>
      </c>
    </row>
    <row r="3965" spans="1:2" x14ac:dyDescent="0.3">
      <c r="A3965" s="11" t="s">
        <v>5868</v>
      </c>
      <c r="B3965" t="s">
        <v>5881</v>
      </c>
    </row>
    <row r="3966" spans="1:2" x14ac:dyDescent="0.3">
      <c r="A3966" s="11" t="s">
        <v>5869</v>
      </c>
      <c r="B3966" t="s">
        <v>5881</v>
      </c>
    </row>
    <row r="3967" spans="1:2" x14ac:dyDescent="0.3">
      <c r="A3967" s="11" t="s">
        <v>5870</v>
      </c>
      <c r="B3967" t="s">
        <v>5881</v>
      </c>
    </row>
    <row r="3968" spans="1:2" x14ac:dyDescent="0.3">
      <c r="A3968" s="11" t="s">
        <v>5871</v>
      </c>
      <c r="B3968" t="s">
        <v>5881</v>
      </c>
    </row>
    <row r="3969" spans="1:2" x14ac:dyDescent="0.3">
      <c r="A3969" s="11" t="s">
        <v>5872</v>
      </c>
      <c r="B3969" t="s">
        <v>5881</v>
      </c>
    </row>
    <row r="3970" spans="1:2" x14ac:dyDescent="0.3">
      <c r="A3970" s="11" t="s">
        <v>5873</v>
      </c>
      <c r="B3970" t="s">
        <v>5881</v>
      </c>
    </row>
    <row r="3971" spans="1:2" x14ac:dyDescent="0.3">
      <c r="A3971" s="11" t="s">
        <v>5874</v>
      </c>
      <c r="B3971" t="s">
        <v>5881</v>
      </c>
    </row>
    <row r="3972" spans="1:2" x14ac:dyDescent="0.3">
      <c r="A3972" s="11" t="s">
        <v>5875</v>
      </c>
      <c r="B3972" t="s">
        <v>5881</v>
      </c>
    </row>
    <row r="3973" spans="1:2" x14ac:dyDescent="0.3">
      <c r="A3973" s="6" t="s">
        <v>1794</v>
      </c>
      <c r="B3973" t="s">
        <v>7739</v>
      </c>
    </row>
    <row r="3974" spans="1:2" x14ac:dyDescent="0.3">
      <c r="A3974" s="11" t="s">
        <v>5876</v>
      </c>
      <c r="B3974" t="s">
        <v>5881</v>
      </c>
    </row>
    <row r="3975" spans="1:2" x14ac:dyDescent="0.3">
      <c r="A3975" s="11" t="s">
        <v>5877</v>
      </c>
      <c r="B3975" t="s">
        <v>5881</v>
      </c>
    </row>
    <row r="3976" spans="1:2" x14ac:dyDescent="0.3">
      <c r="A3976" s="6" t="s">
        <v>1795</v>
      </c>
      <c r="B3976" t="s">
        <v>7727</v>
      </c>
    </row>
    <row r="3977" spans="1:2" x14ac:dyDescent="0.3">
      <c r="A3977" s="6" t="s">
        <v>1796</v>
      </c>
      <c r="B3977" t="s">
        <v>6608</v>
      </c>
    </row>
    <row r="3978" spans="1:2" x14ac:dyDescent="0.3">
      <c r="A3978" s="6" t="s">
        <v>1797</v>
      </c>
      <c r="B3978" t="s">
        <v>3325</v>
      </c>
    </row>
    <row r="3979" spans="1:2" x14ac:dyDescent="0.3">
      <c r="A3979" s="6" t="s">
        <v>1798</v>
      </c>
      <c r="B3979" t="s">
        <v>7743</v>
      </c>
    </row>
    <row r="3980" spans="1:2" x14ac:dyDescent="0.3">
      <c r="A3980" s="6" t="s">
        <v>1799</v>
      </c>
      <c r="B3980" t="s">
        <v>1789</v>
      </c>
    </row>
    <row r="3981" spans="1:2" x14ac:dyDescent="0.3">
      <c r="A3981" s="6" t="s">
        <v>1800</v>
      </c>
      <c r="B3981" t="s">
        <v>7744</v>
      </c>
    </row>
    <row r="3982" spans="1:2" x14ac:dyDescent="0.3">
      <c r="A3982" s="6" t="s">
        <v>1801</v>
      </c>
      <c r="B3982" t="s">
        <v>4470</v>
      </c>
    </row>
    <row r="3983" spans="1:2" x14ac:dyDescent="0.3">
      <c r="A3983" s="6" t="s">
        <v>1802</v>
      </c>
      <c r="B3983" t="s">
        <v>7740</v>
      </c>
    </row>
    <row r="3984" spans="1:2" x14ac:dyDescent="0.3">
      <c r="A3984" s="6" t="s">
        <v>1379</v>
      </c>
      <c r="B3984" t="s">
        <v>3454</v>
      </c>
    </row>
    <row r="3985" spans="1:2" x14ac:dyDescent="0.3">
      <c r="A3985" s="6" t="s">
        <v>1803</v>
      </c>
      <c r="B3985" t="s">
        <v>6977</v>
      </c>
    </row>
    <row r="3986" spans="1:2" x14ac:dyDescent="0.3">
      <c r="A3986" s="6" t="s">
        <v>1804</v>
      </c>
      <c r="B3986" t="s">
        <v>6441</v>
      </c>
    </row>
    <row r="3987" spans="1:2" x14ac:dyDescent="0.3">
      <c r="A3987" s="6" t="s">
        <v>1805</v>
      </c>
      <c r="B3987" t="s">
        <v>3326</v>
      </c>
    </row>
    <row r="3988" spans="1:2" x14ac:dyDescent="0.3">
      <c r="A3988" s="6" t="s">
        <v>1806</v>
      </c>
      <c r="B3988" t="s">
        <v>7745</v>
      </c>
    </row>
    <row r="3989" spans="1:2" x14ac:dyDescent="0.3">
      <c r="A3989" s="6" t="s">
        <v>1807</v>
      </c>
      <c r="B3989" t="s">
        <v>7240</v>
      </c>
    </row>
    <row r="3990" spans="1:2" x14ac:dyDescent="0.3">
      <c r="A3990" s="6" t="s">
        <v>1808</v>
      </c>
      <c r="B3990" t="s">
        <v>2058</v>
      </c>
    </row>
    <row r="3991" spans="1:2" x14ac:dyDescent="0.3">
      <c r="A3991" s="6" t="s">
        <v>1809</v>
      </c>
      <c r="B3991" t="s">
        <v>7939</v>
      </c>
    </row>
    <row r="3992" spans="1:2" x14ac:dyDescent="0.3">
      <c r="A3992" s="6" t="s">
        <v>1810</v>
      </c>
      <c r="B3992" t="s">
        <v>2818</v>
      </c>
    </row>
    <row r="3993" spans="1:2" x14ac:dyDescent="0.3">
      <c r="A3993" s="6" t="s">
        <v>1811</v>
      </c>
      <c r="B3993" t="s">
        <v>7741</v>
      </c>
    </row>
    <row r="3994" spans="1:2" x14ac:dyDescent="0.3">
      <c r="A3994" s="6" t="s">
        <v>1812</v>
      </c>
      <c r="B3994" t="s">
        <v>3327</v>
      </c>
    </row>
    <row r="3995" spans="1:2" x14ac:dyDescent="0.3">
      <c r="A3995" s="6" t="s">
        <v>1380</v>
      </c>
      <c r="B3995" t="s">
        <v>7880</v>
      </c>
    </row>
    <row r="3996" spans="1:2" x14ac:dyDescent="0.3">
      <c r="A3996" s="6" t="s">
        <v>1813</v>
      </c>
      <c r="B3996" t="s">
        <v>7728</v>
      </c>
    </row>
    <row r="3997" spans="1:2" x14ac:dyDescent="0.3">
      <c r="A3997" s="6" t="s">
        <v>1814</v>
      </c>
      <c r="B3997" t="s">
        <v>1538</v>
      </c>
    </row>
    <row r="3998" spans="1:2" x14ac:dyDescent="0.3">
      <c r="A3998" s="6" t="s">
        <v>1815</v>
      </c>
      <c r="B3998" t="s">
        <v>5942</v>
      </c>
    </row>
    <row r="3999" spans="1:2" x14ac:dyDescent="0.3">
      <c r="A3999" s="6" t="s">
        <v>1816</v>
      </c>
      <c r="B3999" t="s">
        <v>7742</v>
      </c>
    </row>
    <row r="4000" spans="1:2" x14ac:dyDescent="0.3">
      <c r="A4000" s="6" t="s">
        <v>1817</v>
      </c>
      <c r="B4000" t="s">
        <v>1633</v>
      </c>
    </row>
    <row r="4001" spans="1:2" x14ac:dyDescent="0.3">
      <c r="A4001" s="6" t="s">
        <v>1818</v>
      </c>
      <c r="B4001" t="s">
        <v>6601</v>
      </c>
    </row>
    <row r="4002" spans="1:2" x14ac:dyDescent="0.3">
      <c r="A4002" s="6" t="s">
        <v>1819</v>
      </c>
      <c r="B4002" t="s">
        <v>7746</v>
      </c>
    </row>
    <row r="4003" spans="1:2" x14ac:dyDescent="0.3">
      <c r="A4003" s="6" t="s">
        <v>1820</v>
      </c>
      <c r="B4003" t="s">
        <v>1634</v>
      </c>
    </row>
    <row r="4004" spans="1:2" x14ac:dyDescent="0.3">
      <c r="A4004" s="6" t="s">
        <v>1821</v>
      </c>
      <c r="B4004" t="s">
        <v>7750</v>
      </c>
    </row>
    <row r="4005" spans="1:2" x14ac:dyDescent="0.3">
      <c r="A4005" s="6" t="s">
        <v>1822</v>
      </c>
      <c r="B4005" t="s">
        <v>2003</v>
      </c>
    </row>
    <row r="4006" spans="1:2" x14ac:dyDescent="0.3">
      <c r="A4006" s="6" t="s">
        <v>1381</v>
      </c>
      <c r="B4006" t="s">
        <v>8138</v>
      </c>
    </row>
    <row r="4007" spans="1:2" x14ac:dyDescent="0.3">
      <c r="A4007" s="6" t="s">
        <v>1823</v>
      </c>
      <c r="B4007" t="s">
        <v>7751</v>
      </c>
    </row>
    <row r="4008" spans="1:2" x14ac:dyDescent="0.3">
      <c r="A4008" s="6" t="s">
        <v>1824</v>
      </c>
      <c r="B4008" t="s">
        <v>2254</v>
      </c>
    </row>
    <row r="4009" spans="1:2" x14ac:dyDescent="0.3">
      <c r="A4009" s="6" t="s">
        <v>1825</v>
      </c>
      <c r="B4009" t="s">
        <v>7747</v>
      </c>
    </row>
    <row r="4010" spans="1:2" x14ac:dyDescent="0.3">
      <c r="A4010" s="6" t="s">
        <v>1826</v>
      </c>
      <c r="B4010" t="s">
        <v>1637</v>
      </c>
    </row>
    <row r="4011" spans="1:2" x14ac:dyDescent="0.3">
      <c r="A4011" s="6" t="s">
        <v>1827</v>
      </c>
      <c r="B4011" t="s">
        <v>6442</v>
      </c>
    </row>
    <row r="4012" spans="1:2" x14ac:dyDescent="0.3">
      <c r="A4012" s="6" t="s">
        <v>1828</v>
      </c>
      <c r="B4012" t="s">
        <v>5296</v>
      </c>
    </row>
    <row r="4013" spans="1:2" x14ac:dyDescent="0.3">
      <c r="A4013" s="6" t="s">
        <v>1829</v>
      </c>
      <c r="B4013" t="s">
        <v>7748</v>
      </c>
    </row>
    <row r="4014" spans="1:2" x14ac:dyDescent="0.3">
      <c r="A4014" s="6" t="s">
        <v>1830</v>
      </c>
      <c r="B4014" t="s">
        <v>2120</v>
      </c>
    </row>
    <row r="4015" spans="1:2" x14ac:dyDescent="0.3">
      <c r="A4015" s="6" t="s">
        <v>1831</v>
      </c>
      <c r="B4015" t="s">
        <v>7729</v>
      </c>
    </row>
    <row r="4016" spans="1:2" x14ac:dyDescent="0.3">
      <c r="A4016" s="6" t="s">
        <v>1832</v>
      </c>
      <c r="B4016" t="s">
        <v>6609</v>
      </c>
    </row>
    <row r="4017" spans="1:2" x14ac:dyDescent="0.3">
      <c r="A4017" s="6" t="s">
        <v>1337</v>
      </c>
      <c r="B4017" t="s">
        <v>7881</v>
      </c>
    </row>
    <row r="4018" spans="1:2" x14ac:dyDescent="0.3">
      <c r="A4018" s="6" t="s">
        <v>1382</v>
      </c>
      <c r="B4018" t="s">
        <v>8542</v>
      </c>
    </row>
    <row r="4019" spans="1:2" x14ac:dyDescent="0.3">
      <c r="A4019" s="6" t="s">
        <v>1833</v>
      </c>
      <c r="B4019" t="s">
        <v>7749</v>
      </c>
    </row>
    <row r="4020" spans="1:2" x14ac:dyDescent="0.3">
      <c r="A4020" s="6" t="s">
        <v>1834</v>
      </c>
      <c r="B4020" t="s">
        <v>2122</v>
      </c>
    </row>
    <row r="4021" spans="1:2" x14ac:dyDescent="0.3">
      <c r="A4021" s="6" t="s">
        <v>1835</v>
      </c>
      <c r="B4021" t="s">
        <v>7730</v>
      </c>
    </row>
    <row r="4022" spans="1:2" x14ac:dyDescent="0.3">
      <c r="A4022" s="6" t="s">
        <v>1836</v>
      </c>
      <c r="B4022" t="s">
        <v>6443</v>
      </c>
    </row>
    <row r="4023" spans="1:2" x14ac:dyDescent="0.3">
      <c r="A4023" s="6" t="s">
        <v>1837</v>
      </c>
      <c r="B4023" t="s">
        <v>8374</v>
      </c>
    </row>
    <row r="4024" spans="1:2" x14ac:dyDescent="0.3">
      <c r="A4024" s="6" t="s">
        <v>1838</v>
      </c>
      <c r="B4024" t="s">
        <v>7911</v>
      </c>
    </row>
    <row r="4025" spans="1:2" x14ac:dyDescent="0.3">
      <c r="A4025" s="6" t="s">
        <v>1839</v>
      </c>
      <c r="B4025" t="s">
        <v>8375</v>
      </c>
    </row>
    <row r="4026" spans="1:2" x14ac:dyDescent="0.3">
      <c r="A4026" s="6" t="s">
        <v>1840</v>
      </c>
      <c r="B4026" t="s">
        <v>6599</v>
      </c>
    </row>
    <row r="4027" spans="1:2" x14ac:dyDescent="0.3">
      <c r="A4027" s="6" t="s">
        <v>1841</v>
      </c>
      <c r="B4027" t="s">
        <v>7752</v>
      </c>
    </row>
    <row r="4028" spans="1:2" x14ac:dyDescent="0.3">
      <c r="A4028" s="6" t="s">
        <v>1842</v>
      </c>
      <c r="B4028" t="s">
        <v>6381</v>
      </c>
    </row>
    <row r="4029" spans="1:2" x14ac:dyDescent="0.3">
      <c r="A4029" s="6" t="s">
        <v>1383</v>
      </c>
      <c r="B4029" t="s">
        <v>8064</v>
      </c>
    </row>
    <row r="4030" spans="1:2" x14ac:dyDescent="0.3">
      <c r="A4030" s="6" t="s">
        <v>1843</v>
      </c>
      <c r="B4030" t="s">
        <v>6979</v>
      </c>
    </row>
    <row r="4031" spans="1:2" x14ac:dyDescent="0.3">
      <c r="A4031" s="6" t="s">
        <v>1844</v>
      </c>
      <c r="B4031" t="s">
        <v>7753</v>
      </c>
    </row>
    <row r="4032" spans="1:2" x14ac:dyDescent="0.3">
      <c r="A4032" s="6" t="s">
        <v>1845</v>
      </c>
      <c r="B4032" t="s">
        <v>6116</v>
      </c>
    </row>
    <row r="4033" spans="1:2" x14ac:dyDescent="0.3">
      <c r="A4033" s="6" t="s">
        <v>1846</v>
      </c>
      <c r="B4033" t="s">
        <v>6980</v>
      </c>
    </row>
    <row r="4034" spans="1:2" x14ac:dyDescent="0.3">
      <c r="A4034" s="6" t="s">
        <v>1847</v>
      </c>
      <c r="B4034" t="s">
        <v>7841</v>
      </c>
    </row>
    <row r="4035" spans="1:2" x14ac:dyDescent="0.3">
      <c r="A4035" s="6" t="s">
        <v>1848</v>
      </c>
      <c r="B4035" t="s">
        <v>8133</v>
      </c>
    </row>
    <row r="4036" spans="1:2" x14ac:dyDescent="0.3">
      <c r="A4036" s="6" t="s">
        <v>1849</v>
      </c>
      <c r="B4036" t="s">
        <v>7476</v>
      </c>
    </row>
    <row r="4037" spans="1:2" x14ac:dyDescent="0.3">
      <c r="A4037" s="6" t="s">
        <v>1850</v>
      </c>
      <c r="B4037" t="s">
        <v>7475</v>
      </c>
    </row>
    <row r="4038" spans="1:2" x14ac:dyDescent="0.3">
      <c r="A4038" s="6" t="s">
        <v>1851</v>
      </c>
      <c r="B4038" t="s">
        <v>2704</v>
      </c>
    </row>
    <row r="4039" spans="1:2" x14ac:dyDescent="0.3">
      <c r="A4039" s="6" t="s">
        <v>1852</v>
      </c>
      <c r="B4039" t="s">
        <v>3443</v>
      </c>
    </row>
    <row r="4040" spans="1:2" x14ac:dyDescent="0.3">
      <c r="A4040" s="6" t="s">
        <v>1384</v>
      </c>
      <c r="B4040" t="s">
        <v>8657</v>
      </c>
    </row>
    <row r="4041" spans="1:2" x14ac:dyDescent="0.3">
      <c r="A4041" s="6" t="s">
        <v>1853</v>
      </c>
      <c r="B4041" t="s">
        <v>8384</v>
      </c>
    </row>
    <row r="4042" spans="1:2" x14ac:dyDescent="0.3">
      <c r="A4042" s="6" t="s">
        <v>1854</v>
      </c>
      <c r="B4042" t="s">
        <v>2705</v>
      </c>
    </row>
    <row r="4043" spans="1:2" x14ac:dyDescent="0.3">
      <c r="A4043" s="6" t="s">
        <v>1855</v>
      </c>
      <c r="B4043" t="s">
        <v>3836</v>
      </c>
    </row>
    <row r="4044" spans="1:2" x14ac:dyDescent="0.3">
      <c r="A4044" s="6" t="s">
        <v>1856</v>
      </c>
      <c r="B4044" t="s">
        <v>3716</v>
      </c>
    </row>
    <row r="4045" spans="1:2" x14ac:dyDescent="0.3">
      <c r="A4045" s="6" t="s">
        <v>1857</v>
      </c>
      <c r="B4045" t="s">
        <v>3715</v>
      </c>
    </row>
    <row r="4046" spans="1:2" x14ac:dyDescent="0.3">
      <c r="A4046" s="6" t="s">
        <v>1858</v>
      </c>
      <c r="B4046" t="s">
        <v>8065</v>
      </c>
    </row>
    <row r="4047" spans="1:2" x14ac:dyDescent="0.3">
      <c r="A4047" s="6" t="s">
        <v>1859</v>
      </c>
      <c r="B4047" t="s">
        <v>8253</v>
      </c>
    </row>
    <row r="4048" spans="1:2" x14ac:dyDescent="0.3">
      <c r="A4048" s="6" t="s">
        <v>1860</v>
      </c>
      <c r="B4048" t="s">
        <v>1448</v>
      </c>
    </row>
    <row r="4049" spans="1:2" x14ac:dyDescent="0.3">
      <c r="A4049" s="6" t="s">
        <v>1861</v>
      </c>
      <c r="B4049" t="s">
        <v>2326</v>
      </c>
    </row>
    <row r="4050" spans="1:2" x14ac:dyDescent="0.3">
      <c r="A4050" s="6" t="s">
        <v>1862</v>
      </c>
      <c r="B4050" t="s">
        <v>1449</v>
      </c>
    </row>
    <row r="4051" spans="1:2" x14ac:dyDescent="0.3">
      <c r="A4051" s="6" t="s">
        <v>1385</v>
      </c>
      <c r="B4051" t="s">
        <v>3788</v>
      </c>
    </row>
    <row r="4052" spans="1:2" x14ac:dyDescent="0.3">
      <c r="A4052" s="6" t="s">
        <v>1863</v>
      </c>
      <c r="B4052" t="s">
        <v>2327</v>
      </c>
    </row>
    <row r="4053" spans="1:2" x14ac:dyDescent="0.3">
      <c r="A4053" s="6" t="s">
        <v>1864</v>
      </c>
      <c r="B4053" t="s">
        <v>8022</v>
      </c>
    </row>
    <row r="4054" spans="1:2" x14ac:dyDescent="0.3">
      <c r="A4054" s="6" t="s">
        <v>1865</v>
      </c>
      <c r="B4054" t="s">
        <v>7944</v>
      </c>
    </row>
    <row r="4055" spans="1:2" x14ac:dyDescent="0.3">
      <c r="A4055" s="6" t="s">
        <v>1866</v>
      </c>
      <c r="B4055" t="s">
        <v>7942</v>
      </c>
    </row>
    <row r="4056" spans="1:2" x14ac:dyDescent="0.3">
      <c r="A4056" s="6" t="s">
        <v>1867</v>
      </c>
      <c r="B4056" t="s">
        <v>7943</v>
      </c>
    </row>
    <row r="4057" spans="1:2" x14ac:dyDescent="0.3">
      <c r="A4057" s="6" t="s">
        <v>1868</v>
      </c>
      <c r="B4057" t="s">
        <v>8023</v>
      </c>
    </row>
    <row r="4058" spans="1:2" x14ac:dyDescent="0.3">
      <c r="A4058" s="6" t="s">
        <v>1869</v>
      </c>
      <c r="B4058" t="s">
        <v>8024</v>
      </c>
    </row>
    <row r="4059" spans="1:2" x14ac:dyDescent="0.3">
      <c r="A4059" s="6" t="s">
        <v>1870</v>
      </c>
      <c r="B4059" t="s">
        <v>8020</v>
      </c>
    </row>
    <row r="4060" spans="1:2" x14ac:dyDescent="0.3">
      <c r="A4060" s="6" t="s">
        <v>1871</v>
      </c>
      <c r="B4060" t="s">
        <v>8513</v>
      </c>
    </row>
    <row r="4061" spans="1:2" x14ac:dyDescent="0.3">
      <c r="A4061" s="6" t="s">
        <v>1872</v>
      </c>
      <c r="B4061" t="s">
        <v>8631</v>
      </c>
    </row>
    <row r="4062" spans="1:2" x14ac:dyDescent="0.3">
      <c r="A4062" s="6" t="s">
        <v>1386</v>
      </c>
      <c r="B4062" t="s">
        <v>3787</v>
      </c>
    </row>
    <row r="4063" spans="1:2" x14ac:dyDescent="0.3">
      <c r="A4063" s="6" t="s">
        <v>1873</v>
      </c>
      <c r="B4063" t="s">
        <v>2017</v>
      </c>
    </row>
    <row r="4064" spans="1:2" x14ac:dyDescent="0.3">
      <c r="A4064" s="6" t="s">
        <v>1874</v>
      </c>
      <c r="B4064" t="s">
        <v>2020</v>
      </c>
    </row>
    <row r="4065" spans="1:2" x14ac:dyDescent="0.3">
      <c r="A4065" s="6" t="s">
        <v>1875</v>
      </c>
      <c r="B4065" t="s">
        <v>2004</v>
      </c>
    </row>
    <row r="4066" spans="1:2" x14ac:dyDescent="0.3">
      <c r="A4066" s="6" t="s">
        <v>1876</v>
      </c>
      <c r="B4066" t="s">
        <v>7136</v>
      </c>
    </row>
    <row r="4067" spans="1:2" x14ac:dyDescent="0.3">
      <c r="A4067" s="6" t="s">
        <v>1877</v>
      </c>
      <c r="B4067" t="s">
        <v>6444</v>
      </c>
    </row>
    <row r="4068" spans="1:2" x14ac:dyDescent="0.3">
      <c r="A4068" s="6" t="s">
        <v>1878</v>
      </c>
      <c r="B4068" t="s">
        <v>2005</v>
      </c>
    </row>
    <row r="4069" spans="1:2" x14ac:dyDescent="0.3">
      <c r="A4069" s="6" t="s">
        <v>1879</v>
      </c>
      <c r="B4069" t="s">
        <v>6412</v>
      </c>
    </row>
    <row r="4070" spans="1:2" x14ac:dyDescent="0.3">
      <c r="A4070" s="6" t="s">
        <v>1880</v>
      </c>
      <c r="B4070" t="s">
        <v>6445</v>
      </c>
    </row>
    <row r="4071" spans="1:2" x14ac:dyDescent="0.3">
      <c r="A4071" s="6" t="s">
        <v>1881</v>
      </c>
      <c r="B4071" t="s">
        <v>7137</v>
      </c>
    </row>
    <row r="4072" spans="1:2" x14ac:dyDescent="0.3">
      <c r="A4072" s="6" t="s">
        <v>1882</v>
      </c>
      <c r="B4072" t="s">
        <v>2008</v>
      </c>
    </row>
    <row r="4073" spans="1:2" x14ac:dyDescent="0.3">
      <c r="A4073" s="6" t="s">
        <v>1387</v>
      </c>
      <c r="B4073" t="s">
        <v>3453</v>
      </c>
    </row>
    <row r="4074" spans="1:2" x14ac:dyDescent="0.3">
      <c r="A4074" s="6" t="s">
        <v>1883</v>
      </c>
      <c r="B4074" t="s">
        <v>6413</v>
      </c>
    </row>
    <row r="4075" spans="1:2" x14ac:dyDescent="0.3">
      <c r="A4075" s="6" t="s">
        <v>1884</v>
      </c>
      <c r="B4075" t="s">
        <v>7345</v>
      </c>
    </row>
    <row r="4076" spans="1:2" x14ac:dyDescent="0.3">
      <c r="A4076" s="6" t="s">
        <v>1885</v>
      </c>
      <c r="B4076" t="s">
        <v>1450</v>
      </c>
    </row>
    <row r="4077" spans="1:2" x14ac:dyDescent="0.3">
      <c r="A4077" s="6" t="s">
        <v>1886</v>
      </c>
      <c r="B4077" t="s">
        <v>7138</v>
      </c>
    </row>
    <row r="4078" spans="1:2" x14ac:dyDescent="0.3">
      <c r="A4078" s="6" t="s">
        <v>1887</v>
      </c>
      <c r="B4078" t="s">
        <v>2329</v>
      </c>
    </row>
    <row r="4079" spans="1:2" x14ac:dyDescent="0.3">
      <c r="A4079" s="6" t="s">
        <v>1888</v>
      </c>
      <c r="B4079" t="s">
        <v>2021</v>
      </c>
    </row>
    <row r="4080" spans="1:2" x14ac:dyDescent="0.3">
      <c r="A4080" s="6" t="s">
        <v>1889</v>
      </c>
      <c r="B4080" t="s">
        <v>7139</v>
      </c>
    </row>
    <row r="4081" spans="1:2" x14ac:dyDescent="0.3">
      <c r="A4081" s="6" t="s">
        <v>1890</v>
      </c>
      <c r="B4081" t="s">
        <v>6446</v>
      </c>
    </row>
    <row r="4082" spans="1:2" x14ac:dyDescent="0.3">
      <c r="A4082" s="6" t="s">
        <v>1891</v>
      </c>
      <c r="B4082" t="s">
        <v>2022</v>
      </c>
    </row>
    <row r="4083" spans="1:2" x14ac:dyDescent="0.3">
      <c r="A4083" s="6" t="s">
        <v>1892</v>
      </c>
      <c r="B4083" t="s">
        <v>7140</v>
      </c>
    </row>
    <row r="4084" spans="1:2" x14ac:dyDescent="0.3">
      <c r="A4084" s="6" t="s">
        <v>1388</v>
      </c>
      <c r="B4084" t="s">
        <v>8541</v>
      </c>
    </row>
    <row r="4085" spans="1:2" x14ac:dyDescent="0.3">
      <c r="A4085" s="6" t="s">
        <v>1893</v>
      </c>
      <c r="B4085" t="s">
        <v>6687</v>
      </c>
    </row>
    <row r="4086" spans="1:2" x14ac:dyDescent="0.3">
      <c r="A4086" s="6" t="s">
        <v>1894</v>
      </c>
      <c r="B4086" t="s">
        <v>6700</v>
      </c>
    </row>
    <row r="4087" spans="1:2" x14ac:dyDescent="0.3">
      <c r="A4087" s="6" t="s">
        <v>1895</v>
      </c>
      <c r="B4087" t="s">
        <v>6701</v>
      </c>
    </row>
    <row r="4088" spans="1:2" x14ac:dyDescent="0.3">
      <c r="A4088" s="6" t="s">
        <v>1896</v>
      </c>
      <c r="B4088" t="s">
        <v>6702</v>
      </c>
    </row>
    <row r="4089" spans="1:2" x14ac:dyDescent="0.3">
      <c r="A4089" s="6" t="s">
        <v>1897</v>
      </c>
      <c r="B4089" t="s">
        <v>6321</v>
      </c>
    </row>
    <row r="4090" spans="1:2" x14ac:dyDescent="0.3">
      <c r="A4090" s="6" t="s">
        <v>1898</v>
      </c>
      <c r="B4090" t="s">
        <v>6606</v>
      </c>
    </row>
    <row r="4091" spans="1:2" x14ac:dyDescent="0.3">
      <c r="A4091" s="6" t="s">
        <v>1899</v>
      </c>
      <c r="B4091" t="s">
        <v>2024</v>
      </c>
    </row>
    <row r="4092" spans="1:2" x14ac:dyDescent="0.3">
      <c r="A4092" s="6" t="s">
        <v>1900</v>
      </c>
      <c r="B4092" t="s">
        <v>7141</v>
      </c>
    </row>
    <row r="4093" spans="1:2" x14ac:dyDescent="0.3">
      <c r="A4093" s="6" t="s">
        <v>1901</v>
      </c>
      <c r="B4093" t="s">
        <v>2027</v>
      </c>
    </row>
    <row r="4094" spans="1:2" x14ac:dyDescent="0.3">
      <c r="A4094" s="6" t="s">
        <v>1902</v>
      </c>
      <c r="B4094" t="s">
        <v>7346</v>
      </c>
    </row>
    <row r="4095" spans="1:2" x14ac:dyDescent="0.3">
      <c r="A4095" s="6" t="s">
        <v>1389</v>
      </c>
      <c r="B4095" t="s">
        <v>8630</v>
      </c>
    </row>
    <row r="4096" spans="1:2" x14ac:dyDescent="0.3">
      <c r="A4096" s="6" t="s">
        <v>1903</v>
      </c>
      <c r="B4096" t="s">
        <v>6447</v>
      </c>
    </row>
    <row r="4097" spans="1:2" x14ac:dyDescent="0.3">
      <c r="A4097" s="6" t="s">
        <v>1904</v>
      </c>
      <c r="B4097" t="s">
        <v>7142</v>
      </c>
    </row>
    <row r="4098" spans="1:2" x14ac:dyDescent="0.3">
      <c r="A4098" s="6" t="s">
        <v>1905</v>
      </c>
      <c r="B4098" t="s">
        <v>2032</v>
      </c>
    </row>
    <row r="4099" spans="1:2" x14ac:dyDescent="0.3">
      <c r="A4099" s="6" t="s">
        <v>1906</v>
      </c>
      <c r="B4099" t="s">
        <v>7347</v>
      </c>
    </row>
    <row r="4100" spans="1:2" x14ac:dyDescent="0.3">
      <c r="A4100" s="6" t="s">
        <v>1907</v>
      </c>
      <c r="B4100" t="s">
        <v>6448</v>
      </c>
    </row>
    <row r="4101" spans="1:2" x14ac:dyDescent="0.3">
      <c r="A4101" s="6" t="s">
        <v>1908</v>
      </c>
      <c r="B4101" t="s">
        <v>7143</v>
      </c>
    </row>
    <row r="4102" spans="1:2" x14ac:dyDescent="0.3">
      <c r="A4102" s="6" t="s">
        <v>1909</v>
      </c>
      <c r="B4102" t="s">
        <v>2034</v>
      </c>
    </row>
    <row r="4103" spans="1:2" x14ac:dyDescent="0.3">
      <c r="A4103" s="6" t="s">
        <v>1910</v>
      </c>
      <c r="B4103" t="s">
        <v>7144</v>
      </c>
    </row>
    <row r="4104" spans="1:2" x14ac:dyDescent="0.3">
      <c r="A4104" s="6" t="s">
        <v>1911</v>
      </c>
      <c r="B4104" t="s">
        <v>6449</v>
      </c>
    </row>
    <row r="4105" spans="1:2" x14ac:dyDescent="0.3">
      <c r="A4105" s="6" t="s">
        <v>1912</v>
      </c>
      <c r="B4105" t="s">
        <v>2040</v>
      </c>
    </row>
    <row r="4106" spans="1:2" x14ac:dyDescent="0.3">
      <c r="A4106" s="6" t="s">
        <v>1390</v>
      </c>
      <c r="B4106" t="s">
        <v>8080</v>
      </c>
    </row>
    <row r="4107" spans="1:2" x14ac:dyDescent="0.3">
      <c r="A4107" s="6" t="s">
        <v>1913</v>
      </c>
      <c r="B4107" t="s">
        <v>7145</v>
      </c>
    </row>
    <row r="4108" spans="1:2" x14ac:dyDescent="0.3">
      <c r="A4108" s="6" t="s">
        <v>1914</v>
      </c>
      <c r="B4108" t="s">
        <v>6627</v>
      </c>
    </row>
    <row r="4109" spans="1:2" x14ac:dyDescent="0.3">
      <c r="A4109" s="6" t="s">
        <v>1915</v>
      </c>
      <c r="B4109" t="s">
        <v>6699</v>
      </c>
    </row>
    <row r="4110" spans="1:2" x14ac:dyDescent="0.3">
      <c r="A4110" s="6" t="s">
        <v>1916</v>
      </c>
      <c r="B4110" t="s">
        <v>6693</v>
      </c>
    </row>
    <row r="4111" spans="1:2" x14ac:dyDescent="0.3">
      <c r="A4111" s="6" t="s">
        <v>1917</v>
      </c>
      <c r="B4111" t="s">
        <v>2043</v>
      </c>
    </row>
    <row r="4112" spans="1:2" x14ac:dyDescent="0.3">
      <c r="A4112" s="6" t="s">
        <v>1918</v>
      </c>
      <c r="B4112" t="s">
        <v>7146</v>
      </c>
    </row>
    <row r="4113" spans="1:2" x14ac:dyDescent="0.3">
      <c r="A4113" s="6" t="s">
        <v>1919</v>
      </c>
      <c r="B4113" t="s">
        <v>6607</v>
      </c>
    </row>
    <row r="4114" spans="1:2" x14ac:dyDescent="0.3">
      <c r="A4114" s="6" t="s">
        <v>1920</v>
      </c>
      <c r="B4114" t="s">
        <v>2044</v>
      </c>
    </row>
    <row r="4115" spans="1:2" x14ac:dyDescent="0.3">
      <c r="A4115" s="6" t="s">
        <v>1921</v>
      </c>
      <c r="B4115" t="s">
        <v>7147</v>
      </c>
    </row>
    <row r="4116" spans="1:2" x14ac:dyDescent="0.3">
      <c r="A4116" s="6" t="s">
        <v>1922</v>
      </c>
      <c r="B4116" t="s">
        <v>7154</v>
      </c>
    </row>
    <row r="4117" spans="1:2" x14ac:dyDescent="0.3">
      <c r="A4117" s="6" t="s">
        <v>1391</v>
      </c>
      <c r="B4117" t="s">
        <v>8543</v>
      </c>
    </row>
    <row r="4118" spans="1:2" x14ac:dyDescent="0.3">
      <c r="A4118" s="6" t="s">
        <v>1923</v>
      </c>
      <c r="B4118" t="s">
        <v>2174</v>
      </c>
    </row>
    <row r="4119" spans="1:2" x14ac:dyDescent="0.3">
      <c r="A4119" s="6" t="s">
        <v>1924</v>
      </c>
      <c r="B4119" t="s">
        <v>7148</v>
      </c>
    </row>
    <row r="4120" spans="1:2" x14ac:dyDescent="0.3">
      <c r="A4120" s="6" t="s">
        <v>1925</v>
      </c>
      <c r="B4120" t="s">
        <v>2236</v>
      </c>
    </row>
    <row r="4121" spans="1:2" x14ac:dyDescent="0.3">
      <c r="A4121" s="6" t="s">
        <v>1926</v>
      </c>
      <c r="B4121" t="s">
        <v>7149</v>
      </c>
    </row>
    <row r="4122" spans="1:2" x14ac:dyDescent="0.3">
      <c r="A4122" s="6" t="s">
        <v>1927</v>
      </c>
      <c r="B4122" t="s">
        <v>2244</v>
      </c>
    </row>
    <row r="4123" spans="1:2" x14ac:dyDescent="0.3">
      <c r="A4123" s="6" t="s">
        <v>1928</v>
      </c>
      <c r="B4123" t="s">
        <v>7150</v>
      </c>
    </row>
    <row r="4124" spans="1:2" x14ac:dyDescent="0.3">
      <c r="A4124" s="6" t="s">
        <v>1929</v>
      </c>
      <c r="B4124" t="s">
        <v>2250</v>
      </c>
    </row>
    <row r="4125" spans="1:2" x14ac:dyDescent="0.3">
      <c r="A4125" s="6" t="s">
        <v>1930</v>
      </c>
      <c r="B4125" t="s">
        <v>7151</v>
      </c>
    </row>
    <row r="4126" spans="1:2" x14ac:dyDescent="0.3">
      <c r="A4126" s="6" t="s">
        <v>1931</v>
      </c>
      <c r="B4126" t="s">
        <v>2251</v>
      </c>
    </row>
    <row r="4127" spans="1:2" x14ac:dyDescent="0.3">
      <c r="A4127" s="6" t="s">
        <v>1932</v>
      </c>
      <c r="B4127" t="s">
        <v>6450</v>
      </c>
    </row>
    <row r="4128" spans="1:2" x14ac:dyDescent="0.3">
      <c r="A4128" s="6" t="s">
        <v>1338</v>
      </c>
      <c r="B4128" t="s">
        <v>6025</v>
      </c>
    </row>
    <row r="4129" spans="1:2" x14ac:dyDescent="0.3">
      <c r="A4129" s="6" t="s">
        <v>1392</v>
      </c>
      <c r="B4129" t="s">
        <v>8535</v>
      </c>
    </row>
    <row r="4130" spans="1:2" x14ac:dyDescent="0.3">
      <c r="A4130" s="6" t="s">
        <v>1933</v>
      </c>
      <c r="B4130" t="s">
        <v>7152</v>
      </c>
    </row>
    <row r="4131" spans="1:2" x14ac:dyDescent="0.3">
      <c r="A4131" s="6" t="s">
        <v>1934</v>
      </c>
      <c r="B4131" t="s">
        <v>2252</v>
      </c>
    </row>
    <row r="4132" spans="1:2" x14ac:dyDescent="0.3">
      <c r="A4132" s="6" t="s">
        <v>1935</v>
      </c>
      <c r="B4132" t="s">
        <v>6451</v>
      </c>
    </row>
    <row r="4133" spans="1:2" x14ac:dyDescent="0.3">
      <c r="A4133" s="6" t="s">
        <v>1936</v>
      </c>
      <c r="B4133" t="s">
        <v>7153</v>
      </c>
    </row>
    <row r="4134" spans="1:2" x14ac:dyDescent="0.3">
      <c r="A4134" s="6" t="s">
        <v>1937</v>
      </c>
      <c r="B4134" t="s">
        <v>2253</v>
      </c>
    </row>
    <row r="4135" spans="1:2" x14ac:dyDescent="0.3">
      <c r="A4135" s="6" t="s">
        <v>1938</v>
      </c>
      <c r="B4135" t="s">
        <v>6452</v>
      </c>
    </row>
    <row r="4136" spans="1:2" x14ac:dyDescent="0.3">
      <c r="A4136" s="6" t="s">
        <v>1939</v>
      </c>
      <c r="B4136" t="s">
        <v>6959</v>
      </c>
    </row>
    <row r="4137" spans="1:2" x14ac:dyDescent="0.3">
      <c r="A4137" s="6" t="s">
        <v>1940</v>
      </c>
      <c r="B4137" t="s">
        <v>7155</v>
      </c>
    </row>
    <row r="4138" spans="1:2" x14ac:dyDescent="0.3">
      <c r="A4138" s="6" t="s">
        <v>1941</v>
      </c>
      <c r="B4138" t="s">
        <v>8034</v>
      </c>
    </row>
    <row r="4139" spans="1:2" x14ac:dyDescent="0.3">
      <c r="A4139" s="6" t="s">
        <v>1942</v>
      </c>
      <c r="B4139" t="s">
        <v>8031</v>
      </c>
    </row>
    <row r="4140" spans="1:2" x14ac:dyDescent="0.3">
      <c r="A4140" s="6" t="s">
        <v>1393</v>
      </c>
      <c r="B4140" t="s">
        <v>5355</v>
      </c>
    </row>
    <row r="4141" spans="1:2" x14ac:dyDescent="0.3">
      <c r="A4141" s="6" t="s">
        <v>1943</v>
      </c>
      <c r="B4141" t="s">
        <v>8030</v>
      </c>
    </row>
    <row r="4142" spans="1:2" x14ac:dyDescent="0.3">
      <c r="A4142" s="6" t="s">
        <v>1944</v>
      </c>
      <c r="B4142" t="s">
        <v>8033</v>
      </c>
    </row>
    <row r="4143" spans="1:2" x14ac:dyDescent="0.3">
      <c r="A4143" s="6" t="s">
        <v>1945</v>
      </c>
      <c r="B4143" t="s">
        <v>8029</v>
      </c>
    </row>
    <row r="4144" spans="1:2" x14ac:dyDescent="0.3">
      <c r="A4144" s="6" t="s">
        <v>1946</v>
      </c>
      <c r="B4144" t="s">
        <v>8032</v>
      </c>
    </row>
    <row r="4145" spans="1:2" x14ac:dyDescent="0.3">
      <c r="A4145" s="6" t="s">
        <v>1947</v>
      </c>
      <c r="B4145" t="s">
        <v>8037</v>
      </c>
    </row>
    <row r="4146" spans="1:2" x14ac:dyDescent="0.3">
      <c r="A4146" s="6" t="s">
        <v>1948</v>
      </c>
      <c r="B4146" t="s">
        <v>8036</v>
      </c>
    </row>
    <row r="4147" spans="1:2" x14ac:dyDescent="0.3">
      <c r="A4147" s="6" t="s">
        <v>1949</v>
      </c>
      <c r="B4147" t="s">
        <v>8039</v>
      </c>
    </row>
    <row r="4148" spans="1:2" x14ac:dyDescent="0.3">
      <c r="A4148" s="6" t="s">
        <v>1950</v>
      </c>
      <c r="B4148" t="s">
        <v>8035</v>
      </c>
    </row>
    <row r="4149" spans="1:2" x14ac:dyDescent="0.3">
      <c r="A4149" s="6" t="s">
        <v>1951</v>
      </c>
      <c r="B4149" t="s">
        <v>8038</v>
      </c>
    </row>
    <row r="4150" spans="1:2" x14ac:dyDescent="0.3">
      <c r="A4150" s="6" t="s">
        <v>1952</v>
      </c>
      <c r="B4150" t="s">
        <v>8058</v>
      </c>
    </row>
    <row r="4151" spans="1:2" x14ac:dyDescent="0.3">
      <c r="A4151" s="6" t="s">
        <v>1394</v>
      </c>
      <c r="B4151" t="s">
        <v>3811</v>
      </c>
    </row>
    <row r="4152" spans="1:2" x14ac:dyDescent="0.3">
      <c r="A4152" s="6" t="s">
        <v>1953</v>
      </c>
      <c r="B4152" t="s">
        <v>8045</v>
      </c>
    </row>
    <row r="4153" spans="1:2" x14ac:dyDescent="0.3">
      <c r="A4153" s="6" t="s">
        <v>1954</v>
      </c>
      <c r="B4153" t="s">
        <v>8042</v>
      </c>
    </row>
    <row r="4154" spans="1:2" x14ac:dyDescent="0.3">
      <c r="A4154" s="6" t="s">
        <v>1955</v>
      </c>
      <c r="B4154" t="s">
        <v>8041</v>
      </c>
    </row>
    <row r="4155" spans="1:2" x14ac:dyDescent="0.3">
      <c r="A4155" s="6" t="s">
        <v>1956</v>
      </c>
      <c r="B4155" t="s">
        <v>8044</v>
      </c>
    </row>
    <row r="4156" spans="1:2" x14ac:dyDescent="0.3">
      <c r="A4156" s="6" t="s">
        <v>1957</v>
      </c>
      <c r="B4156" t="s">
        <v>8040</v>
      </c>
    </row>
    <row r="4157" spans="1:2" x14ac:dyDescent="0.3">
      <c r="A4157" s="6" t="s">
        <v>1958</v>
      </c>
      <c r="B4157" t="s">
        <v>8043</v>
      </c>
    </row>
    <row r="4158" spans="1:2" x14ac:dyDescent="0.3">
      <c r="A4158" s="6" t="s">
        <v>1959</v>
      </c>
      <c r="B4158" t="s">
        <v>8051</v>
      </c>
    </row>
    <row r="4159" spans="1:2" x14ac:dyDescent="0.3">
      <c r="A4159" s="6" t="s">
        <v>1960</v>
      </c>
      <c r="B4159" t="s">
        <v>8048</v>
      </c>
    </row>
    <row r="4160" spans="1:2" x14ac:dyDescent="0.3">
      <c r="A4160" s="6" t="s">
        <v>1961</v>
      </c>
      <c r="B4160" t="s">
        <v>8047</v>
      </c>
    </row>
    <row r="4161" spans="1:2" x14ac:dyDescent="0.3">
      <c r="A4161" s="6" t="s">
        <v>1962</v>
      </c>
      <c r="B4161" t="s">
        <v>8050</v>
      </c>
    </row>
    <row r="4162" spans="1:2" x14ac:dyDescent="0.3">
      <c r="A4162" s="6" t="s">
        <v>1395</v>
      </c>
      <c r="B4162" t="s">
        <v>6750</v>
      </c>
    </row>
    <row r="4163" spans="1:2" x14ac:dyDescent="0.3">
      <c r="A4163" s="6" t="s">
        <v>1963</v>
      </c>
      <c r="B4163" t="s">
        <v>8046</v>
      </c>
    </row>
    <row r="4164" spans="1:2" x14ac:dyDescent="0.3">
      <c r="A4164" s="6" t="s">
        <v>1964</v>
      </c>
      <c r="B4164" t="s">
        <v>8049</v>
      </c>
    </row>
    <row r="4165" spans="1:2" x14ac:dyDescent="0.3">
      <c r="A4165" s="6" t="s">
        <v>1965</v>
      </c>
      <c r="B4165" t="s">
        <v>8057</v>
      </c>
    </row>
    <row r="4166" spans="1:2" x14ac:dyDescent="0.3">
      <c r="A4166" s="6" t="s">
        <v>1966</v>
      </c>
      <c r="B4166" t="s">
        <v>8054</v>
      </c>
    </row>
    <row r="4167" spans="1:2" x14ac:dyDescent="0.3">
      <c r="A4167" s="6" t="s">
        <v>1967</v>
      </c>
      <c r="B4167" t="s">
        <v>8053</v>
      </c>
    </row>
    <row r="4168" spans="1:2" x14ac:dyDescent="0.3">
      <c r="A4168" s="6" t="s">
        <v>1968</v>
      </c>
      <c r="B4168" t="s">
        <v>8056</v>
      </c>
    </row>
    <row r="4169" spans="1:2" x14ac:dyDescent="0.3">
      <c r="A4169" s="6" t="s">
        <v>1969</v>
      </c>
      <c r="B4169" t="s">
        <v>8052</v>
      </c>
    </row>
    <row r="4170" spans="1:2" x14ac:dyDescent="0.3">
      <c r="A4170" s="6" t="s">
        <v>1970</v>
      </c>
      <c r="B4170" t="s">
        <v>8055</v>
      </c>
    </row>
    <row r="4171" spans="1:2" x14ac:dyDescent="0.3">
      <c r="A4171" s="6" t="s">
        <v>1971</v>
      </c>
      <c r="B4171" t="s">
        <v>8709</v>
      </c>
    </row>
    <row r="4172" spans="1:2" x14ac:dyDescent="0.3">
      <c r="A4172" s="6" t="s">
        <v>1972</v>
      </c>
      <c r="B4172" t="s">
        <v>7338</v>
      </c>
    </row>
    <row r="4173" spans="1:2" x14ac:dyDescent="0.3">
      <c r="A4173" s="6" t="s">
        <v>1396</v>
      </c>
      <c r="B4173" t="s">
        <v>6214</v>
      </c>
    </row>
    <row r="4174" spans="1:2" x14ac:dyDescent="0.3">
      <c r="A4174" s="6" t="s">
        <v>1973</v>
      </c>
      <c r="B4174" t="s">
        <v>6339</v>
      </c>
    </row>
    <row r="4175" spans="1:2" x14ac:dyDescent="0.3">
      <c r="A4175" s="6" t="s">
        <v>1974</v>
      </c>
      <c r="B4175" t="s">
        <v>6981</v>
      </c>
    </row>
    <row r="4176" spans="1:2" x14ac:dyDescent="0.3">
      <c r="A4176" s="6" t="s">
        <v>1975</v>
      </c>
      <c r="B4176" t="s">
        <v>6642</v>
      </c>
    </row>
    <row r="4177" spans="1:2" x14ac:dyDescent="0.3">
      <c r="A4177" s="6" t="s">
        <v>1976</v>
      </c>
      <c r="B4177" t="s">
        <v>6970</v>
      </c>
    </row>
    <row r="4178" spans="1:2" x14ac:dyDescent="0.3">
      <c r="A4178" s="6" t="s">
        <v>1977</v>
      </c>
      <c r="B4178" t="s">
        <v>6972</v>
      </c>
    </row>
    <row r="4179" spans="1:2" x14ac:dyDescent="0.3">
      <c r="A4179" s="6" t="s">
        <v>1978</v>
      </c>
      <c r="B4179" t="s">
        <v>6975</v>
      </c>
    </row>
    <row r="4180" spans="1:2" x14ac:dyDescent="0.3">
      <c r="A4180" s="6" t="s">
        <v>1979</v>
      </c>
      <c r="B4180" t="s">
        <v>6974</v>
      </c>
    </row>
    <row r="4181" spans="1:2" x14ac:dyDescent="0.3">
      <c r="A4181" s="6" t="s">
        <v>1980</v>
      </c>
      <c r="B4181" t="s">
        <v>6976</v>
      </c>
    </row>
    <row r="4182" spans="1:2" x14ac:dyDescent="0.3">
      <c r="A4182" s="6" t="s">
        <v>1981</v>
      </c>
      <c r="B4182" t="s">
        <v>2012</v>
      </c>
    </row>
    <row r="4183" spans="1:2" x14ac:dyDescent="0.3">
      <c r="A4183" s="6" t="s">
        <v>1982</v>
      </c>
      <c r="B4183" t="s">
        <v>5945</v>
      </c>
    </row>
    <row r="4184" spans="1:2" x14ac:dyDescent="0.3">
      <c r="A4184" s="6" t="s">
        <v>1397</v>
      </c>
      <c r="B4184" t="s">
        <v>6371</v>
      </c>
    </row>
    <row r="4185" spans="1:2" x14ac:dyDescent="0.3">
      <c r="A4185" s="6" t="s">
        <v>1983</v>
      </c>
      <c r="B4185" t="s">
        <v>7102</v>
      </c>
    </row>
    <row r="4186" spans="1:2" x14ac:dyDescent="0.3">
      <c r="A4186" s="6" t="s">
        <v>1984</v>
      </c>
      <c r="B4186" t="s">
        <v>5943</v>
      </c>
    </row>
    <row r="4187" spans="1:2" x14ac:dyDescent="0.3">
      <c r="A4187" s="6" t="s">
        <v>1985</v>
      </c>
      <c r="B4187" t="s">
        <v>7100</v>
      </c>
    </row>
    <row r="4188" spans="1:2" x14ac:dyDescent="0.3">
      <c r="A4188" s="6" t="s">
        <v>1986</v>
      </c>
      <c r="B4188" t="s">
        <v>5946</v>
      </c>
    </row>
    <row r="4189" spans="1:2" x14ac:dyDescent="0.3">
      <c r="A4189" s="6" t="s">
        <v>1987</v>
      </c>
      <c r="B4189" t="s">
        <v>7099</v>
      </c>
    </row>
    <row r="4190" spans="1:2" x14ac:dyDescent="0.3">
      <c r="A4190" s="6" t="s">
        <v>1988</v>
      </c>
      <c r="B4190" t="s">
        <v>5944</v>
      </c>
    </row>
    <row r="4191" spans="1:2" x14ac:dyDescent="0.3">
      <c r="A4191" s="6" t="s">
        <v>1989</v>
      </c>
      <c r="B4191" t="s">
        <v>7098</v>
      </c>
    </row>
    <row r="4192" spans="1:2" x14ac:dyDescent="0.3">
      <c r="A4192" s="6" t="s">
        <v>1990</v>
      </c>
      <c r="B4192" t="s">
        <v>2189</v>
      </c>
    </row>
    <row r="4193" spans="1:2" x14ac:dyDescent="0.3">
      <c r="A4193" s="6" t="s">
        <v>1991</v>
      </c>
      <c r="B4193" t="s">
        <v>7097</v>
      </c>
    </row>
    <row r="4194" spans="1:2" x14ac:dyDescent="0.3">
      <c r="A4194" s="6" t="s">
        <v>1992</v>
      </c>
      <c r="B4194" t="s">
        <v>5947</v>
      </c>
    </row>
    <row r="4195" spans="1:2" x14ac:dyDescent="0.3">
      <c r="A4195" s="6" t="s">
        <v>1993</v>
      </c>
      <c r="B4195" t="s">
        <v>7101</v>
      </c>
    </row>
    <row r="4196" spans="1:2" x14ac:dyDescent="0.3">
      <c r="A4196" s="6" t="s">
        <v>1994</v>
      </c>
      <c r="B4196" t="s">
        <v>5950</v>
      </c>
    </row>
    <row r="4197" spans="1:2" x14ac:dyDescent="0.3">
      <c r="A4197" s="6" t="s">
        <v>1995</v>
      </c>
      <c r="B4197" t="s">
        <v>7125</v>
      </c>
    </row>
    <row r="4198" spans="1:2" x14ac:dyDescent="0.3">
      <c r="A4198" s="6" t="s">
        <v>1996</v>
      </c>
      <c r="B4198" t="s">
        <v>5948</v>
      </c>
    </row>
    <row r="4199" spans="1:2" x14ac:dyDescent="0.3">
      <c r="A4199" s="6" t="s">
        <v>1997</v>
      </c>
      <c r="B4199" t="s">
        <v>7107</v>
      </c>
    </row>
    <row r="4200" spans="1:2" x14ac:dyDescent="0.3">
      <c r="A4200" s="6" t="s">
        <v>1998</v>
      </c>
      <c r="B4200" t="s">
        <v>5951</v>
      </c>
    </row>
    <row r="4201" spans="1:2" x14ac:dyDescent="0.3">
      <c r="A4201" s="6" t="s">
        <v>1999</v>
      </c>
      <c r="B4201" t="s">
        <v>7103</v>
      </c>
    </row>
    <row r="4202" spans="1:2" x14ac:dyDescent="0.3">
      <c r="A4202" s="6" t="s">
        <v>2000</v>
      </c>
      <c r="B4202" t="s">
        <v>5949</v>
      </c>
    </row>
    <row r="4203" spans="1:2" x14ac:dyDescent="0.3">
      <c r="A4203" s="6" t="s">
        <v>2001</v>
      </c>
      <c r="B4203" t="s">
        <v>7104</v>
      </c>
    </row>
    <row r="4204" spans="1:2" x14ac:dyDescent="0.3">
      <c r="A4204" s="6" t="s">
        <v>2002</v>
      </c>
      <c r="B4204" t="s">
        <v>5952</v>
      </c>
    </row>
    <row r="4205" spans="1:2" x14ac:dyDescent="0.3">
      <c r="A4205" s="6" t="s">
        <v>1398</v>
      </c>
      <c r="B4205" t="s">
        <v>6944</v>
      </c>
    </row>
    <row r="4206" spans="1:2" x14ac:dyDescent="0.3">
      <c r="A4206" s="6" t="s">
        <v>2003</v>
      </c>
      <c r="B4206" t="s">
        <v>7124</v>
      </c>
    </row>
    <row r="4207" spans="1:2" x14ac:dyDescent="0.3">
      <c r="A4207" s="6" t="s">
        <v>2004</v>
      </c>
      <c r="B4207" t="s">
        <v>8213</v>
      </c>
    </row>
    <row r="4208" spans="1:2" x14ac:dyDescent="0.3">
      <c r="A4208" s="6" t="s">
        <v>2005</v>
      </c>
      <c r="B4208" t="s">
        <v>8214</v>
      </c>
    </row>
    <row r="4209" spans="1:2" x14ac:dyDescent="0.3">
      <c r="A4209" s="6" t="s">
        <v>2006</v>
      </c>
      <c r="B4209" t="s">
        <v>7714</v>
      </c>
    </row>
    <row r="4210" spans="1:2" x14ac:dyDescent="0.3">
      <c r="A4210" s="6" t="s">
        <v>2007</v>
      </c>
      <c r="B4210" t="s">
        <v>7709</v>
      </c>
    </row>
    <row r="4211" spans="1:2" x14ac:dyDescent="0.3">
      <c r="A4211" s="6" t="s">
        <v>2008</v>
      </c>
      <c r="B4211" t="s">
        <v>7711</v>
      </c>
    </row>
    <row r="4212" spans="1:2" x14ac:dyDescent="0.3">
      <c r="A4212" s="6" t="s">
        <v>2009</v>
      </c>
      <c r="B4212" t="s">
        <v>7713</v>
      </c>
    </row>
    <row r="4213" spans="1:2" x14ac:dyDescent="0.3">
      <c r="A4213" s="6" t="s">
        <v>2010</v>
      </c>
      <c r="B4213" t="s">
        <v>7710</v>
      </c>
    </row>
    <row r="4214" spans="1:2" x14ac:dyDescent="0.3">
      <c r="A4214" s="6" t="s">
        <v>2011</v>
      </c>
      <c r="B4214" t="s">
        <v>7712</v>
      </c>
    </row>
    <row r="4215" spans="1:2" x14ac:dyDescent="0.3">
      <c r="A4215" s="6" t="s">
        <v>2012</v>
      </c>
      <c r="B4215" t="s">
        <v>8225</v>
      </c>
    </row>
    <row r="4216" spans="1:2" x14ac:dyDescent="0.3">
      <c r="A4216" s="6" t="s">
        <v>1399</v>
      </c>
      <c r="B4216" t="s">
        <v>2296</v>
      </c>
    </row>
    <row r="4217" spans="1:2" x14ac:dyDescent="0.3">
      <c r="A4217" s="6" t="s">
        <v>2013</v>
      </c>
      <c r="B4217" t="s">
        <v>7108</v>
      </c>
    </row>
    <row r="4218" spans="1:2" x14ac:dyDescent="0.3">
      <c r="A4218" s="6" t="s">
        <v>2014</v>
      </c>
      <c r="B4218" t="s">
        <v>2190</v>
      </c>
    </row>
    <row r="4219" spans="1:2" x14ac:dyDescent="0.3">
      <c r="A4219" s="6" t="s">
        <v>2015</v>
      </c>
      <c r="B4219" t="s">
        <v>5970</v>
      </c>
    </row>
    <row r="4220" spans="1:2" x14ac:dyDescent="0.3">
      <c r="A4220" s="6" t="s">
        <v>2016</v>
      </c>
      <c r="B4220" t="s">
        <v>5968</v>
      </c>
    </row>
    <row r="4221" spans="1:2" x14ac:dyDescent="0.3">
      <c r="A4221" s="6" t="s">
        <v>2017</v>
      </c>
      <c r="B4221" t="s">
        <v>5971</v>
      </c>
    </row>
    <row r="4222" spans="1:2" x14ac:dyDescent="0.3">
      <c r="A4222" s="6" t="s">
        <v>2018</v>
      </c>
      <c r="B4222" t="s">
        <v>5969</v>
      </c>
    </row>
    <row r="4223" spans="1:2" x14ac:dyDescent="0.3">
      <c r="A4223" s="6" t="s">
        <v>2019</v>
      </c>
      <c r="B4223" t="s">
        <v>2629</v>
      </c>
    </row>
    <row r="4224" spans="1:2" x14ac:dyDescent="0.3">
      <c r="A4224" s="6" t="s">
        <v>2020</v>
      </c>
      <c r="B4224" t="s">
        <v>5972</v>
      </c>
    </row>
    <row r="4225" spans="1:2" x14ac:dyDescent="0.3">
      <c r="A4225" s="6" t="s">
        <v>2021</v>
      </c>
      <c r="B4225" t="s">
        <v>3830</v>
      </c>
    </row>
    <row r="4226" spans="1:2" x14ac:dyDescent="0.3">
      <c r="A4226" s="6" t="s">
        <v>2022</v>
      </c>
      <c r="B4226" t="s">
        <v>5298</v>
      </c>
    </row>
    <row r="4227" spans="1:2" x14ac:dyDescent="0.3">
      <c r="A4227" s="6" t="s">
        <v>1400</v>
      </c>
      <c r="B4227" t="s">
        <v>8515</v>
      </c>
    </row>
    <row r="4228" spans="1:2" x14ac:dyDescent="0.3">
      <c r="A4228" s="6" t="s">
        <v>2023</v>
      </c>
      <c r="B4228" t="s">
        <v>6115</v>
      </c>
    </row>
    <row r="4229" spans="1:2" x14ac:dyDescent="0.3">
      <c r="A4229" s="6" t="s">
        <v>2024</v>
      </c>
      <c r="B4229" t="s">
        <v>6101</v>
      </c>
    </row>
    <row r="4230" spans="1:2" x14ac:dyDescent="0.3">
      <c r="A4230" s="6" t="s">
        <v>2025</v>
      </c>
      <c r="B4230" t="s">
        <v>5973</v>
      </c>
    </row>
    <row r="4231" spans="1:2" x14ac:dyDescent="0.3">
      <c r="A4231" s="6" t="s">
        <v>2026</v>
      </c>
      <c r="B4231" t="s">
        <v>5955</v>
      </c>
    </row>
    <row r="4232" spans="1:2" x14ac:dyDescent="0.3">
      <c r="A4232" s="6" t="s">
        <v>2027</v>
      </c>
      <c r="B4232" t="s">
        <v>7126</v>
      </c>
    </row>
    <row r="4233" spans="1:2" x14ac:dyDescent="0.3">
      <c r="A4233" s="6" t="s">
        <v>2028</v>
      </c>
      <c r="B4233" t="s">
        <v>5953</v>
      </c>
    </row>
    <row r="4234" spans="1:2" x14ac:dyDescent="0.3">
      <c r="A4234" s="6" t="s">
        <v>2029</v>
      </c>
      <c r="B4234" t="s">
        <v>7109</v>
      </c>
    </row>
    <row r="4235" spans="1:2" x14ac:dyDescent="0.3">
      <c r="A4235" s="6" t="s">
        <v>2030</v>
      </c>
      <c r="B4235" t="s">
        <v>5956</v>
      </c>
    </row>
    <row r="4236" spans="1:2" x14ac:dyDescent="0.3">
      <c r="A4236" s="6" t="s">
        <v>2031</v>
      </c>
      <c r="B4236" t="s">
        <v>7110</v>
      </c>
    </row>
    <row r="4237" spans="1:2" x14ac:dyDescent="0.3">
      <c r="A4237" s="6" t="s">
        <v>2032</v>
      </c>
      <c r="B4237" t="s">
        <v>5954</v>
      </c>
    </row>
    <row r="4238" spans="1:2" x14ac:dyDescent="0.3">
      <c r="A4238" s="6" t="s">
        <v>1339</v>
      </c>
      <c r="B4238" t="s">
        <v>8518</v>
      </c>
    </row>
    <row r="4239" spans="1:2" x14ac:dyDescent="0.3">
      <c r="A4239" s="6" t="s">
        <v>1401</v>
      </c>
      <c r="B4239" t="s">
        <v>7914</v>
      </c>
    </row>
    <row r="4240" spans="1:2" x14ac:dyDescent="0.3">
      <c r="A4240" s="6" t="s">
        <v>2033</v>
      </c>
      <c r="B4240" t="s">
        <v>7112</v>
      </c>
    </row>
    <row r="4241" spans="1:2" x14ac:dyDescent="0.3">
      <c r="A4241" s="6" t="s">
        <v>2034</v>
      </c>
      <c r="B4241" t="s">
        <v>7111</v>
      </c>
    </row>
    <row r="4242" spans="1:2" x14ac:dyDescent="0.3">
      <c r="A4242" s="6" t="s">
        <v>2035</v>
      </c>
      <c r="B4242" t="s">
        <v>7113</v>
      </c>
    </row>
    <row r="4243" spans="1:2" x14ac:dyDescent="0.3">
      <c r="A4243" s="6" t="s">
        <v>2036</v>
      </c>
      <c r="B4243" t="s">
        <v>5957</v>
      </c>
    </row>
    <row r="4244" spans="1:2" x14ac:dyDescent="0.3">
      <c r="A4244" s="6" t="s">
        <v>2037</v>
      </c>
      <c r="B4244" t="s">
        <v>7720</v>
      </c>
    </row>
    <row r="4245" spans="1:2" x14ac:dyDescent="0.3">
      <c r="A4245" s="6" t="s">
        <v>2038</v>
      </c>
      <c r="B4245" t="s">
        <v>7715</v>
      </c>
    </row>
    <row r="4246" spans="1:2" x14ac:dyDescent="0.3">
      <c r="A4246" s="6" t="s">
        <v>2039</v>
      </c>
      <c r="B4246" t="s">
        <v>7717</v>
      </c>
    </row>
    <row r="4247" spans="1:2" x14ac:dyDescent="0.3">
      <c r="A4247" s="6" t="s">
        <v>2040</v>
      </c>
      <c r="B4247" t="s">
        <v>7719</v>
      </c>
    </row>
    <row r="4248" spans="1:2" x14ac:dyDescent="0.3">
      <c r="A4248" s="6" t="s">
        <v>2041</v>
      </c>
      <c r="B4248" t="s">
        <v>7716</v>
      </c>
    </row>
    <row r="4249" spans="1:2" x14ac:dyDescent="0.3">
      <c r="A4249" s="6" t="s">
        <v>2042</v>
      </c>
      <c r="B4249" t="s">
        <v>7718</v>
      </c>
    </row>
    <row r="4250" spans="1:2" x14ac:dyDescent="0.3">
      <c r="A4250" s="6" t="s">
        <v>1402</v>
      </c>
      <c r="B4250" t="s">
        <v>6166</v>
      </c>
    </row>
    <row r="4251" spans="1:2" x14ac:dyDescent="0.3">
      <c r="A4251" s="6" t="s">
        <v>2043</v>
      </c>
      <c r="B4251" t="s">
        <v>8101</v>
      </c>
    </row>
    <row r="4252" spans="1:2" x14ac:dyDescent="0.3">
      <c r="A4252" s="6" t="s">
        <v>2044</v>
      </c>
      <c r="B4252" t="s">
        <v>8103</v>
      </c>
    </row>
    <row r="4253" spans="1:2" x14ac:dyDescent="0.3">
      <c r="A4253" s="6" t="s">
        <v>2045</v>
      </c>
      <c r="B4253" t="s">
        <v>8105</v>
      </c>
    </row>
    <row r="4254" spans="1:2" x14ac:dyDescent="0.3">
      <c r="A4254" s="6" t="s">
        <v>2046</v>
      </c>
      <c r="B4254" t="s">
        <v>8102</v>
      </c>
    </row>
    <row r="4255" spans="1:2" x14ac:dyDescent="0.3">
      <c r="A4255" s="6" t="s">
        <v>2047</v>
      </c>
      <c r="B4255" t="s">
        <v>8104</v>
      </c>
    </row>
    <row r="4256" spans="1:2" x14ac:dyDescent="0.3">
      <c r="A4256" s="6" t="s">
        <v>2048</v>
      </c>
      <c r="B4256" t="s">
        <v>2191</v>
      </c>
    </row>
    <row r="4257" spans="1:2" x14ac:dyDescent="0.3">
      <c r="A4257" s="6" t="s">
        <v>2049</v>
      </c>
      <c r="B4257" t="s">
        <v>8106</v>
      </c>
    </row>
    <row r="4258" spans="1:2" x14ac:dyDescent="0.3">
      <c r="A4258" s="6" t="s">
        <v>2050</v>
      </c>
      <c r="B4258" t="s">
        <v>6154</v>
      </c>
    </row>
    <row r="4259" spans="1:2" x14ac:dyDescent="0.3">
      <c r="A4259" s="6" t="s">
        <v>2051</v>
      </c>
      <c r="B4259" t="s">
        <v>6708</v>
      </c>
    </row>
    <row r="4260" spans="1:2" x14ac:dyDescent="0.3">
      <c r="A4260" s="6" t="s">
        <v>2052</v>
      </c>
      <c r="B4260" t="s">
        <v>6706</v>
      </c>
    </row>
    <row r="4261" spans="1:2" x14ac:dyDescent="0.3">
      <c r="A4261" s="6" t="s">
        <v>1403</v>
      </c>
      <c r="B4261" t="s">
        <v>7307</v>
      </c>
    </row>
    <row r="4262" spans="1:2" x14ac:dyDescent="0.3">
      <c r="A4262" s="6" t="s">
        <v>2053</v>
      </c>
      <c r="B4262" t="s">
        <v>6707</v>
      </c>
    </row>
    <row r="4263" spans="1:2" x14ac:dyDescent="0.3">
      <c r="A4263" s="6" t="s">
        <v>2054</v>
      </c>
      <c r="B4263" t="s">
        <v>6275</v>
      </c>
    </row>
    <row r="4264" spans="1:2" x14ac:dyDescent="0.3">
      <c r="A4264" s="6" t="s">
        <v>2055</v>
      </c>
      <c r="B4264" t="s">
        <v>6274</v>
      </c>
    </row>
    <row r="4265" spans="1:2" x14ac:dyDescent="0.3">
      <c r="A4265" s="6" t="s">
        <v>2056</v>
      </c>
      <c r="B4265" t="s">
        <v>6390</v>
      </c>
    </row>
    <row r="4266" spans="1:2" x14ac:dyDescent="0.3">
      <c r="A4266" s="6" t="s">
        <v>2057</v>
      </c>
      <c r="B4266" t="s">
        <v>6276</v>
      </c>
    </row>
    <row r="4267" spans="1:2" x14ac:dyDescent="0.3">
      <c r="A4267" s="6" t="s">
        <v>2058</v>
      </c>
      <c r="B4267" t="s">
        <v>5297</v>
      </c>
    </row>
    <row r="4268" spans="1:2" x14ac:dyDescent="0.3">
      <c r="A4268" s="6" t="s">
        <v>2059</v>
      </c>
      <c r="B4268" t="s">
        <v>8697</v>
      </c>
    </row>
    <row r="4269" spans="1:2" x14ac:dyDescent="0.3">
      <c r="A4269" s="6" t="s">
        <v>2060</v>
      </c>
      <c r="B4269" t="s">
        <v>7117</v>
      </c>
    </row>
    <row r="4270" spans="1:2" x14ac:dyDescent="0.3">
      <c r="A4270" s="6" t="s">
        <v>2061</v>
      </c>
      <c r="B4270" t="s">
        <v>7118</v>
      </c>
    </row>
    <row r="4271" spans="1:2" x14ac:dyDescent="0.3">
      <c r="A4271" s="6" t="s">
        <v>2062</v>
      </c>
      <c r="B4271" t="s">
        <v>7115</v>
      </c>
    </row>
    <row r="4272" spans="1:2" x14ac:dyDescent="0.3">
      <c r="A4272" s="6" t="s">
        <v>1404</v>
      </c>
      <c r="B4272" t="s">
        <v>8536</v>
      </c>
    </row>
    <row r="4273" spans="1:2" x14ac:dyDescent="0.3">
      <c r="A4273" s="6" t="s">
        <v>2063</v>
      </c>
      <c r="B4273" t="s">
        <v>7119</v>
      </c>
    </row>
    <row r="4274" spans="1:2" x14ac:dyDescent="0.3">
      <c r="A4274" s="6" t="s">
        <v>2064</v>
      </c>
      <c r="B4274" t="s">
        <v>7116</v>
      </c>
    </row>
    <row r="4275" spans="1:2" x14ac:dyDescent="0.3">
      <c r="A4275" s="6" t="s">
        <v>2065</v>
      </c>
      <c r="B4275" t="s">
        <v>7114</v>
      </c>
    </row>
    <row r="4276" spans="1:2" x14ac:dyDescent="0.3">
      <c r="A4276" s="6" t="s">
        <v>2066</v>
      </c>
      <c r="B4276" t="s">
        <v>5959</v>
      </c>
    </row>
    <row r="4277" spans="1:2" x14ac:dyDescent="0.3">
      <c r="A4277" s="6" t="s">
        <v>2067</v>
      </c>
      <c r="B4277" t="s">
        <v>5960</v>
      </c>
    </row>
    <row r="4278" spans="1:2" x14ac:dyDescent="0.3">
      <c r="A4278" s="6" t="s">
        <v>2068</v>
      </c>
      <c r="B4278" t="s">
        <v>5958</v>
      </c>
    </row>
    <row r="4279" spans="1:2" x14ac:dyDescent="0.3">
      <c r="A4279" s="6" t="s">
        <v>2069</v>
      </c>
      <c r="B4279" t="s">
        <v>5961</v>
      </c>
    </row>
    <row r="4280" spans="1:2" x14ac:dyDescent="0.3">
      <c r="A4280" s="6" t="s">
        <v>2070</v>
      </c>
      <c r="B4280" t="s">
        <v>2192</v>
      </c>
    </row>
    <row r="4281" spans="1:2" x14ac:dyDescent="0.3">
      <c r="A4281" s="6" t="s">
        <v>2071</v>
      </c>
      <c r="B4281" t="s">
        <v>5962</v>
      </c>
    </row>
    <row r="4282" spans="1:2" x14ac:dyDescent="0.3">
      <c r="A4282" s="6" t="s">
        <v>2072</v>
      </c>
      <c r="B4282" t="s">
        <v>1600</v>
      </c>
    </row>
    <row r="4283" spans="1:2" x14ac:dyDescent="0.3">
      <c r="A4283" s="6" t="s">
        <v>1405</v>
      </c>
      <c r="B4283" t="s">
        <v>8537</v>
      </c>
    </row>
    <row r="4284" spans="1:2" x14ac:dyDescent="0.3">
      <c r="A4284" s="6" t="s">
        <v>2073</v>
      </c>
      <c r="B4284" t="s">
        <v>2033</v>
      </c>
    </row>
    <row r="4285" spans="1:2" x14ac:dyDescent="0.3">
      <c r="A4285" s="6" t="s">
        <v>2074</v>
      </c>
      <c r="B4285" t="s">
        <v>7917</v>
      </c>
    </row>
    <row r="4286" spans="1:2" x14ac:dyDescent="0.3">
      <c r="A4286" s="6" t="s">
        <v>2075</v>
      </c>
      <c r="B4286" t="s">
        <v>6871</v>
      </c>
    </row>
    <row r="4287" spans="1:2" x14ac:dyDescent="0.3">
      <c r="A4287" s="6" t="s">
        <v>2076</v>
      </c>
      <c r="B4287" t="s">
        <v>7121</v>
      </c>
    </row>
    <row r="4288" spans="1:2" x14ac:dyDescent="0.3">
      <c r="A4288" s="6" t="s">
        <v>2077</v>
      </c>
      <c r="B4288" t="s">
        <v>7105</v>
      </c>
    </row>
    <row r="4289" spans="1:2" x14ac:dyDescent="0.3">
      <c r="A4289" s="6" t="s">
        <v>2078</v>
      </c>
      <c r="B4289" t="s">
        <v>7120</v>
      </c>
    </row>
    <row r="4290" spans="1:2" x14ac:dyDescent="0.3">
      <c r="A4290" s="6" t="s">
        <v>2079</v>
      </c>
      <c r="B4290" t="s">
        <v>7123</v>
      </c>
    </row>
    <row r="4291" spans="1:2" x14ac:dyDescent="0.3">
      <c r="A4291" s="6" t="s">
        <v>2080</v>
      </c>
      <c r="B4291" t="s">
        <v>7122</v>
      </c>
    </row>
    <row r="4292" spans="1:2" x14ac:dyDescent="0.3">
      <c r="A4292" s="6" t="s">
        <v>2081</v>
      </c>
      <c r="B4292" t="s">
        <v>7106</v>
      </c>
    </row>
    <row r="4293" spans="1:2" x14ac:dyDescent="0.3">
      <c r="A4293" s="6" t="s">
        <v>2082</v>
      </c>
      <c r="B4293" t="s">
        <v>5965</v>
      </c>
    </row>
    <row r="4294" spans="1:2" x14ac:dyDescent="0.3">
      <c r="A4294" s="6" t="s">
        <v>1406</v>
      </c>
      <c r="B4294" t="s">
        <v>2211</v>
      </c>
    </row>
    <row r="4295" spans="1:2" x14ac:dyDescent="0.3">
      <c r="A4295" s="6" t="s">
        <v>2083</v>
      </c>
      <c r="B4295" t="s">
        <v>5963</v>
      </c>
    </row>
    <row r="4296" spans="1:2" x14ac:dyDescent="0.3">
      <c r="A4296" s="6" t="s">
        <v>2084</v>
      </c>
      <c r="B4296" t="s">
        <v>5966</v>
      </c>
    </row>
    <row r="4297" spans="1:2" x14ac:dyDescent="0.3">
      <c r="A4297" s="6" t="s">
        <v>2085</v>
      </c>
      <c r="B4297" t="s">
        <v>5964</v>
      </c>
    </row>
    <row r="4298" spans="1:2" x14ac:dyDescent="0.3">
      <c r="A4298" s="6" t="s">
        <v>2086</v>
      </c>
      <c r="B4298" t="s">
        <v>2193</v>
      </c>
    </row>
    <row r="4299" spans="1:2" x14ac:dyDescent="0.3">
      <c r="A4299" s="6" t="s">
        <v>2087</v>
      </c>
      <c r="B4299" t="s">
        <v>5967</v>
      </c>
    </row>
    <row r="4300" spans="1:2" x14ac:dyDescent="0.3">
      <c r="A4300" s="6" t="s">
        <v>2088</v>
      </c>
      <c r="B4300" t="s">
        <v>8215</v>
      </c>
    </row>
    <row r="4301" spans="1:2" x14ac:dyDescent="0.3">
      <c r="A4301" s="6" t="s">
        <v>2089</v>
      </c>
      <c r="B4301" t="s">
        <v>1602</v>
      </c>
    </row>
    <row r="4302" spans="1:2" x14ac:dyDescent="0.3">
      <c r="A4302" s="6" t="s">
        <v>2090</v>
      </c>
      <c r="B4302" t="s">
        <v>2059</v>
      </c>
    </row>
    <row r="4303" spans="1:2" x14ac:dyDescent="0.3">
      <c r="A4303" s="6" t="s">
        <v>2091</v>
      </c>
      <c r="B4303" t="s">
        <v>6330</v>
      </c>
    </row>
    <row r="4304" spans="1:2" x14ac:dyDescent="0.3">
      <c r="A4304" s="6" t="s">
        <v>2092</v>
      </c>
      <c r="B4304" t="s">
        <v>6329</v>
      </c>
    </row>
    <row r="4305" spans="1:2" x14ac:dyDescent="0.3">
      <c r="A4305" s="6" t="s">
        <v>1407</v>
      </c>
      <c r="B4305" t="s">
        <v>1753</v>
      </c>
    </row>
    <row r="4306" spans="1:2" x14ac:dyDescent="0.3">
      <c r="A4306" s="6" t="s">
        <v>2093</v>
      </c>
      <c r="B4306" t="s">
        <v>6327</v>
      </c>
    </row>
    <row r="4307" spans="1:2" x14ac:dyDescent="0.3">
      <c r="A4307" s="6" t="s">
        <v>2094</v>
      </c>
      <c r="B4307" t="s">
        <v>6343</v>
      </c>
    </row>
    <row r="4308" spans="1:2" x14ac:dyDescent="0.3">
      <c r="A4308" s="6" t="s">
        <v>2095</v>
      </c>
      <c r="B4308" t="s">
        <v>6328</v>
      </c>
    </row>
    <row r="4309" spans="1:2" x14ac:dyDescent="0.3">
      <c r="A4309" s="6" t="s">
        <v>2096</v>
      </c>
      <c r="B4309" t="s">
        <v>6342</v>
      </c>
    </row>
    <row r="4310" spans="1:2" x14ac:dyDescent="0.3">
      <c r="A4310" s="6" t="s">
        <v>2097</v>
      </c>
      <c r="B4310" t="s">
        <v>8156</v>
      </c>
    </row>
    <row r="4311" spans="1:2" x14ac:dyDescent="0.3">
      <c r="A4311" s="6" t="s">
        <v>2098</v>
      </c>
      <c r="B4311" t="s">
        <v>8154</v>
      </c>
    </row>
    <row r="4312" spans="1:2" x14ac:dyDescent="0.3">
      <c r="A4312" s="6" t="s">
        <v>2099</v>
      </c>
      <c r="B4312" t="s">
        <v>8155</v>
      </c>
    </row>
    <row r="4313" spans="1:2" x14ac:dyDescent="0.3">
      <c r="A4313" s="6" t="s">
        <v>2100</v>
      </c>
      <c r="B4313" t="s">
        <v>7332</v>
      </c>
    </row>
    <row r="4314" spans="1:2" x14ac:dyDescent="0.3">
      <c r="A4314" s="6" t="s">
        <v>2101</v>
      </c>
      <c r="B4314" t="s">
        <v>7329</v>
      </c>
    </row>
    <row r="4315" spans="1:2" x14ac:dyDescent="0.3">
      <c r="A4315" s="6" t="s">
        <v>2102</v>
      </c>
      <c r="B4315" t="s">
        <v>7327</v>
      </c>
    </row>
    <row r="4316" spans="1:2" x14ac:dyDescent="0.3">
      <c r="A4316" s="6" t="s">
        <v>1408</v>
      </c>
      <c r="B4316" t="s">
        <v>1752</v>
      </c>
    </row>
    <row r="4317" spans="1:2" x14ac:dyDescent="0.3">
      <c r="A4317" s="6" t="s">
        <v>2103</v>
      </c>
      <c r="B4317" t="s">
        <v>7330</v>
      </c>
    </row>
    <row r="4318" spans="1:2" x14ac:dyDescent="0.3">
      <c r="A4318" s="6" t="s">
        <v>2104</v>
      </c>
      <c r="B4318" t="s">
        <v>7328</v>
      </c>
    </row>
    <row r="4319" spans="1:2" x14ac:dyDescent="0.3">
      <c r="A4319" s="6" t="s">
        <v>2105</v>
      </c>
      <c r="B4319" t="s">
        <v>7331</v>
      </c>
    </row>
    <row r="4320" spans="1:2" x14ac:dyDescent="0.3">
      <c r="A4320" s="6" t="s">
        <v>2106</v>
      </c>
      <c r="B4320" t="s">
        <v>6336</v>
      </c>
    </row>
    <row r="4321" spans="1:2" x14ac:dyDescent="0.3">
      <c r="A4321" s="6" t="s">
        <v>2107</v>
      </c>
      <c r="B4321" t="s">
        <v>6333</v>
      </c>
    </row>
    <row r="4322" spans="1:2" x14ac:dyDescent="0.3">
      <c r="A4322" s="6" t="s">
        <v>2108</v>
      </c>
      <c r="B4322" t="s">
        <v>6331</v>
      </c>
    </row>
    <row r="4323" spans="1:2" x14ac:dyDescent="0.3">
      <c r="A4323" s="6" t="s">
        <v>2109</v>
      </c>
      <c r="B4323" t="s">
        <v>6334</v>
      </c>
    </row>
    <row r="4324" spans="1:2" x14ac:dyDescent="0.3">
      <c r="A4324" s="6" t="s">
        <v>2110</v>
      </c>
      <c r="B4324" t="s">
        <v>6332</v>
      </c>
    </row>
    <row r="4325" spans="1:2" x14ac:dyDescent="0.3">
      <c r="A4325" s="6" t="s">
        <v>2111</v>
      </c>
      <c r="B4325" t="s">
        <v>6335</v>
      </c>
    </row>
    <row r="4326" spans="1:2" x14ac:dyDescent="0.3">
      <c r="A4326" s="6" t="s">
        <v>2112</v>
      </c>
      <c r="B4326" t="s">
        <v>6386</v>
      </c>
    </row>
    <row r="4327" spans="1:2" x14ac:dyDescent="0.3">
      <c r="A4327" s="6" t="s">
        <v>1409</v>
      </c>
      <c r="B4327" t="s">
        <v>1751</v>
      </c>
    </row>
    <row r="4328" spans="1:2" x14ac:dyDescent="0.3">
      <c r="A4328" s="6" t="s">
        <v>2113</v>
      </c>
      <c r="B4328" t="s">
        <v>6387</v>
      </c>
    </row>
    <row r="4329" spans="1:2" x14ac:dyDescent="0.3">
      <c r="A4329" s="6" t="s">
        <v>2114</v>
      </c>
      <c r="B4329" t="s">
        <v>6385</v>
      </c>
    </row>
    <row r="4330" spans="1:2" x14ac:dyDescent="0.3">
      <c r="A4330" s="6" t="s">
        <v>2115</v>
      </c>
      <c r="B4330" t="s">
        <v>6389</v>
      </c>
    </row>
    <row r="4331" spans="1:2" x14ac:dyDescent="0.3">
      <c r="A4331" s="6" t="s">
        <v>2116</v>
      </c>
      <c r="B4331" t="s">
        <v>6388</v>
      </c>
    </row>
    <row r="4332" spans="1:2" x14ac:dyDescent="0.3">
      <c r="A4332" s="6" t="s">
        <v>2117</v>
      </c>
      <c r="B4332" t="s">
        <v>7337</v>
      </c>
    </row>
    <row r="4333" spans="1:2" x14ac:dyDescent="0.3">
      <c r="A4333" s="6" t="s">
        <v>2118</v>
      </c>
      <c r="B4333" t="s">
        <v>7335</v>
      </c>
    </row>
    <row r="4334" spans="1:2" x14ac:dyDescent="0.3">
      <c r="A4334" s="6" t="s">
        <v>2119</v>
      </c>
      <c r="B4334" t="s">
        <v>7334</v>
      </c>
    </row>
    <row r="4335" spans="1:2" x14ac:dyDescent="0.3">
      <c r="A4335" s="6" t="s">
        <v>2120</v>
      </c>
      <c r="B4335" t="s">
        <v>7336</v>
      </c>
    </row>
    <row r="4336" spans="1:2" x14ac:dyDescent="0.3">
      <c r="A4336" s="6" t="s">
        <v>2121</v>
      </c>
      <c r="B4336" t="s">
        <v>7333</v>
      </c>
    </row>
    <row r="4337" spans="1:2" x14ac:dyDescent="0.3">
      <c r="A4337" s="6" t="s">
        <v>2122</v>
      </c>
      <c r="B4337" t="s">
        <v>6344</v>
      </c>
    </row>
    <row r="4338" spans="1:2" x14ac:dyDescent="0.3">
      <c r="A4338" s="6" t="s">
        <v>1410</v>
      </c>
      <c r="B4338" t="s">
        <v>6636</v>
      </c>
    </row>
    <row r="4339" spans="1:2" x14ac:dyDescent="0.3">
      <c r="A4339" s="6" t="s">
        <v>2123</v>
      </c>
      <c r="B4339" t="s">
        <v>6337</v>
      </c>
    </row>
    <row r="4340" spans="1:2" x14ac:dyDescent="0.3">
      <c r="A4340" s="6" t="s">
        <v>2124</v>
      </c>
      <c r="B4340" t="s">
        <v>6340</v>
      </c>
    </row>
    <row r="4341" spans="1:2" x14ac:dyDescent="0.3">
      <c r="A4341" s="6" t="s">
        <v>2125</v>
      </c>
      <c r="B4341" t="s">
        <v>6338</v>
      </c>
    </row>
    <row r="4342" spans="1:2" x14ac:dyDescent="0.3">
      <c r="A4342" s="6" t="s">
        <v>2126</v>
      </c>
      <c r="B4342" t="s">
        <v>6341</v>
      </c>
    </row>
    <row r="4343" spans="1:2" x14ac:dyDescent="0.3">
      <c r="A4343" s="6" t="s">
        <v>2127</v>
      </c>
      <c r="B4343" t="s">
        <v>8159</v>
      </c>
    </row>
    <row r="4344" spans="1:2" x14ac:dyDescent="0.3">
      <c r="A4344" s="6" t="s">
        <v>2128</v>
      </c>
      <c r="B4344" t="s">
        <v>8158</v>
      </c>
    </row>
    <row r="4345" spans="1:2" x14ac:dyDescent="0.3">
      <c r="A4345" s="6" t="s">
        <v>2129</v>
      </c>
      <c r="B4345" t="s">
        <v>8157</v>
      </c>
    </row>
    <row r="4346" spans="1:2" x14ac:dyDescent="0.3">
      <c r="A4346" s="6" t="s">
        <v>2130</v>
      </c>
      <c r="B4346" t="s">
        <v>6346</v>
      </c>
    </row>
    <row r="4347" spans="1:2" x14ac:dyDescent="0.3">
      <c r="A4347" s="6" t="s">
        <v>2131</v>
      </c>
      <c r="B4347" t="s">
        <v>7343</v>
      </c>
    </row>
    <row r="4348" spans="1:2" x14ac:dyDescent="0.3">
      <c r="A4348" s="6" t="s">
        <v>2132</v>
      </c>
      <c r="B4348" t="s">
        <v>6350</v>
      </c>
    </row>
    <row r="4349" spans="1:2" x14ac:dyDescent="0.3">
      <c r="A4349" s="6" t="s">
        <v>1340</v>
      </c>
      <c r="B4349" t="s">
        <v>8137</v>
      </c>
    </row>
    <row r="4350" spans="1:2" x14ac:dyDescent="0.3">
      <c r="A4350" s="6" t="s">
        <v>1411</v>
      </c>
      <c r="B4350" t="s">
        <v>6634</v>
      </c>
    </row>
    <row r="4351" spans="1:2" x14ac:dyDescent="0.3">
      <c r="A4351" s="6" t="s">
        <v>2133</v>
      </c>
      <c r="B4351" t="s">
        <v>7340</v>
      </c>
    </row>
    <row r="4352" spans="1:2" x14ac:dyDescent="0.3">
      <c r="A4352" s="6" t="s">
        <v>2134</v>
      </c>
      <c r="B4352" t="s">
        <v>6349</v>
      </c>
    </row>
    <row r="4353" spans="1:2" x14ac:dyDescent="0.3">
      <c r="A4353" s="6" t="s">
        <v>2135</v>
      </c>
      <c r="B4353" t="s">
        <v>6347</v>
      </c>
    </row>
    <row r="4354" spans="1:2" x14ac:dyDescent="0.3">
      <c r="A4354" s="6" t="s">
        <v>2136</v>
      </c>
      <c r="B4354" t="s">
        <v>7341</v>
      </c>
    </row>
    <row r="4355" spans="1:2" x14ac:dyDescent="0.3">
      <c r="A4355" s="6" t="s">
        <v>2137</v>
      </c>
      <c r="B4355" t="s">
        <v>6348</v>
      </c>
    </row>
    <row r="4356" spans="1:2" x14ac:dyDescent="0.3">
      <c r="A4356" s="6" t="s">
        <v>2138</v>
      </c>
      <c r="B4356" t="s">
        <v>7339</v>
      </c>
    </row>
    <row r="4357" spans="1:2" x14ac:dyDescent="0.3">
      <c r="A4357" s="6" t="s">
        <v>2139</v>
      </c>
      <c r="B4357" t="s">
        <v>6345</v>
      </c>
    </row>
    <row r="4358" spans="1:2" x14ac:dyDescent="0.3">
      <c r="A4358" s="6" t="s">
        <v>2140</v>
      </c>
      <c r="B4358" t="s">
        <v>7342</v>
      </c>
    </row>
    <row r="4359" spans="1:2" x14ac:dyDescent="0.3">
      <c r="A4359" s="6" t="s">
        <v>2141</v>
      </c>
      <c r="B4359" t="s">
        <v>8160</v>
      </c>
    </row>
    <row r="4360" spans="1:2" x14ac:dyDescent="0.3">
      <c r="A4360" s="6" t="s">
        <v>2142</v>
      </c>
      <c r="B4360" t="s">
        <v>6352</v>
      </c>
    </row>
    <row r="4361" spans="1:2" x14ac:dyDescent="0.3">
      <c r="A4361" s="6" t="s">
        <v>1412</v>
      </c>
      <c r="B4361" t="s">
        <v>6635</v>
      </c>
    </row>
    <row r="4362" spans="1:2" x14ac:dyDescent="0.3">
      <c r="A4362" s="6" t="s">
        <v>2143</v>
      </c>
      <c r="B4362" t="s">
        <v>6356</v>
      </c>
    </row>
    <row r="4363" spans="1:2" x14ac:dyDescent="0.3">
      <c r="A4363" s="6" t="s">
        <v>2144</v>
      </c>
      <c r="B4363" t="s">
        <v>6355</v>
      </c>
    </row>
    <row r="4364" spans="1:2" x14ac:dyDescent="0.3">
      <c r="A4364" s="6" t="s">
        <v>2145</v>
      </c>
      <c r="B4364" t="s">
        <v>7344</v>
      </c>
    </row>
    <row r="4365" spans="1:2" x14ac:dyDescent="0.3">
      <c r="A4365" s="6" t="s">
        <v>2146</v>
      </c>
      <c r="B4365" t="s">
        <v>6354</v>
      </c>
    </row>
    <row r="4366" spans="1:2" x14ac:dyDescent="0.3">
      <c r="A4366" s="6" t="s">
        <v>2147</v>
      </c>
      <c r="B4366" t="s">
        <v>8161</v>
      </c>
    </row>
    <row r="4367" spans="1:2" x14ac:dyDescent="0.3">
      <c r="A4367" s="6" t="s">
        <v>2148</v>
      </c>
      <c r="B4367" t="s">
        <v>6353</v>
      </c>
    </row>
    <row r="4368" spans="1:2" x14ac:dyDescent="0.3">
      <c r="A4368" s="6" t="s">
        <v>2149</v>
      </c>
      <c r="B4368" t="s">
        <v>6351</v>
      </c>
    </row>
    <row r="4369" spans="1:2" x14ac:dyDescent="0.3">
      <c r="A4369" s="6" t="s">
        <v>2150</v>
      </c>
      <c r="B4369" t="s">
        <v>6055</v>
      </c>
    </row>
    <row r="4370" spans="1:2" x14ac:dyDescent="0.3">
      <c r="A4370" s="6" t="s">
        <v>2151</v>
      </c>
      <c r="B4370" t="s">
        <v>6110</v>
      </c>
    </row>
    <row r="4371" spans="1:2" x14ac:dyDescent="0.3">
      <c r="A4371" s="6" t="s">
        <v>2152</v>
      </c>
      <c r="B4371" t="s">
        <v>6108</v>
      </c>
    </row>
    <row r="4372" spans="1:2" x14ac:dyDescent="0.3">
      <c r="A4372" s="6" t="s">
        <v>1413</v>
      </c>
      <c r="B4372" t="s">
        <v>6633</v>
      </c>
    </row>
    <row r="4373" spans="1:2" x14ac:dyDescent="0.3">
      <c r="A4373" s="6" t="s">
        <v>2153</v>
      </c>
      <c r="B4373" t="s">
        <v>6690</v>
      </c>
    </row>
    <row r="4374" spans="1:2" x14ac:dyDescent="0.3">
      <c r="A4374" s="6" t="s">
        <v>2154</v>
      </c>
      <c r="B4374" t="s">
        <v>6056</v>
      </c>
    </row>
    <row r="4375" spans="1:2" x14ac:dyDescent="0.3">
      <c r="A4375" s="6" t="s">
        <v>2155</v>
      </c>
      <c r="B4375" t="s">
        <v>6059</v>
      </c>
    </row>
    <row r="4376" spans="1:2" x14ac:dyDescent="0.3">
      <c r="A4376" s="6" t="s">
        <v>2156</v>
      </c>
      <c r="B4376" t="s">
        <v>6063</v>
      </c>
    </row>
    <row r="4377" spans="1:2" x14ac:dyDescent="0.3">
      <c r="A4377" s="6" t="s">
        <v>2157</v>
      </c>
      <c r="B4377" t="s">
        <v>6111</v>
      </c>
    </row>
    <row r="4378" spans="1:2" x14ac:dyDescent="0.3">
      <c r="A4378" s="6" t="s">
        <v>2158</v>
      </c>
      <c r="B4378" t="s">
        <v>6053</v>
      </c>
    </row>
    <row r="4379" spans="1:2" x14ac:dyDescent="0.3">
      <c r="A4379" s="6" t="s">
        <v>2159</v>
      </c>
      <c r="B4379" t="s">
        <v>6060</v>
      </c>
    </row>
    <row r="4380" spans="1:2" x14ac:dyDescent="0.3">
      <c r="A4380" s="6" t="s">
        <v>2160</v>
      </c>
      <c r="B4380" t="s">
        <v>6692</v>
      </c>
    </row>
    <row r="4381" spans="1:2" x14ac:dyDescent="0.3">
      <c r="A4381" s="6" t="s">
        <v>2161</v>
      </c>
      <c r="B4381" t="s">
        <v>6689</v>
      </c>
    </row>
    <row r="4382" spans="1:2" x14ac:dyDescent="0.3">
      <c r="A4382" s="6" t="s">
        <v>2162</v>
      </c>
      <c r="B4382" t="s">
        <v>6057</v>
      </c>
    </row>
    <row r="4383" spans="1:2" x14ac:dyDescent="0.3">
      <c r="A4383" s="6" t="s">
        <v>1414</v>
      </c>
      <c r="B4383" t="s">
        <v>6637</v>
      </c>
    </row>
    <row r="4384" spans="1:2" x14ac:dyDescent="0.3">
      <c r="A4384" s="6" t="s">
        <v>2163</v>
      </c>
      <c r="B4384" t="s">
        <v>6058</v>
      </c>
    </row>
    <row r="4385" spans="1:2" x14ac:dyDescent="0.3">
      <c r="A4385" s="6" t="s">
        <v>2164</v>
      </c>
      <c r="B4385" t="s">
        <v>6107</v>
      </c>
    </row>
    <row r="4386" spans="1:2" x14ac:dyDescent="0.3">
      <c r="A4386" s="6" t="s">
        <v>2165</v>
      </c>
      <c r="B4386" t="s">
        <v>6067</v>
      </c>
    </row>
    <row r="4387" spans="1:2" x14ac:dyDescent="0.3">
      <c r="A4387" s="6" t="s">
        <v>2166</v>
      </c>
      <c r="B4387" t="s">
        <v>6054</v>
      </c>
    </row>
    <row r="4388" spans="1:2" x14ac:dyDescent="0.3">
      <c r="A4388" s="6" t="s">
        <v>2167</v>
      </c>
      <c r="B4388" t="s">
        <v>6061</v>
      </c>
    </row>
    <row r="4389" spans="1:2" x14ac:dyDescent="0.3">
      <c r="A4389" s="6" t="s">
        <v>2168</v>
      </c>
      <c r="B4389" t="s">
        <v>6064</v>
      </c>
    </row>
    <row r="4390" spans="1:2" x14ac:dyDescent="0.3">
      <c r="A4390" s="6" t="s">
        <v>2169</v>
      </c>
      <c r="B4390" t="s">
        <v>6066</v>
      </c>
    </row>
    <row r="4391" spans="1:2" x14ac:dyDescent="0.3">
      <c r="A4391" s="6" t="s">
        <v>2170</v>
      </c>
      <c r="B4391" t="s">
        <v>6052</v>
      </c>
    </row>
    <row r="4392" spans="1:2" x14ac:dyDescent="0.3">
      <c r="A4392" s="6" t="s">
        <v>2171</v>
      </c>
      <c r="B4392" t="s">
        <v>6062</v>
      </c>
    </row>
    <row r="4393" spans="1:2" x14ac:dyDescent="0.3">
      <c r="A4393" s="6" t="s">
        <v>2172</v>
      </c>
      <c r="B4393" t="s">
        <v>6109</v>
      </c>
    </row>
    <row r="4394" spans="1:2" x14ac:dyDescent="0.3">
      <c r="A4394" s="6" t="s">
        <v>1415</v>
      </c>
      <c r="B4394" t="s">
        <v>2155</v>
      </c>
    </row>
    <row r="4395" spans="1:2" x14ac:dyDescent="0.3">
      <c r="A4395" s="6" t="s">
        <v>2173</v>
      </c>
      <c r="B4395" t="s">
        <v>6065</v>
      </c>
    </row>
    <row r="4396" spans="1:2" x14ac:dyDescent="0.3">
      <c r="A4396" s="6" t="s">
        <v>2174</v>
      </c>
      <c r="B4396" t="s">
        <v>6971</v>
      </c>
    </row>
    <row r="4397" spans="1:2" x14ac:dyDescent="0.3">
      <c r="A4397" s="6" t="s">
        <v>2175</v>
      </c>
      <c r="B4397" t="s">
        <v>7531</v>
      </c>
    </row>
    <row r="4398" spans="1:2" x14ac:dyDescent="0.3">
      <c r="A4398" s="6" t="s">
        <v>2176</v>
      </c>
      <c r="B4398" t="s">
        <v>6641</v>
      </c>
    </row>
    <row r="4399" spans="1:2" x14ac:dyDescent="0.3">
      <c r="A4399" s="6" t="s">
        <v>2177</v>
      </c>
      <c r="B4399" t="s">
        <v>6973</v>
      </c>
    </row>
    <row r="4400" spans="1:2" x14ac:dyDescent="0.3">
      <c r="A4400" s="6" t="s">
        <v>2178</v>
      </c>
      <c r="B4400" t="s">
        <v>7532</v>
      </c>
    </row>
    <row r="4401" spans="1:2" x14ac:dyDescent="0.3">
      <c r="A4401" s="6" t="s">
        <v>2179</v>
      </c>
      <c r="B4401" t="s">
        <v>7706</v>
      </c>
    </row>
    <row r="4402" spans="1:2" x14ac:dyDescent="0.3">
      <c r="A4402" s="6" t="s">
        <v>2180</v>
      </c>
      <c r="B4402" t="s">
        <v>7707</v>
      </c>
    </row>
    <row r="4403" spans="1:2" x14ac:dyDescent="0.3">
      <c r="A4403" s="6" t="s">
        <v>2181</v>
      </c>
      <c r="B4403" t="s">
        <v>7708</v>
      </c>
    </row>
    <row r="4404" spans="1:2" x14ac:dyDescent="0.3">
      <c r="A4404" s="6" t="s">
        <v>2182</v>
      </c>
      <c r="B4404" t="s">
        <v>1967</v>
      </c>
    </row>
    <row r="4405" spans="1:2" x14ac:dyDescent="0.3">
      <c r="A4405" s="6" t="s">
        <v>1416</v>
      </c>
      <c r="B4405" t="s">
        <v>2156</v>
      </c>
    </row>
    <row r="4406" spans="1:2" x14ac:dyDescent="0.3">
      <c r="A4406" s="6" t="s">
        <v>2183</v>
      </c>
      <c r="B4406" t="s">
        <v>1968</v>
      </c>
    </row>
    <row r="4407" spans="1:2" x14ac:dyDescent="0.3">
      <c r="A4407" s="6" t="s">
        <v>2184</v>
      </c>
      <c r="B4407" t="s">
        <v>2031</v>
      </c>
    </row>
    <row r="4408" spans="1:2" x14ac:dyDescent="0.3">
      <c r="A4408" s="6" t="s">
        <v>2185</v>
      </c>
      <c r="B4408" t="s">
        <v>1443</v>
      </c>
    </row>
    <row r="4409" spans="1:2" x14ac:dyDescent="0.3">
      <c r="A4409" s="6" t="s">
        <v>2186</v>
      </c>
      <c r="B4409" t="s">
        <v>2294</v>
      </c>
    </row>
    <row r="4410" spans="1:2" x14ac:dyDescent="0.3">
      <c r="A4410" s="6" t="s">
        <v>2187</v>
      </c>
      <c r="B4410" t="s">
        <v>2295</v>
      </c>
    </row>
    <row r="4411" spans="1:2" x14ac:dyDescent="0.3">
      <c r="A4411" s="6" t="s">
        <v>2188</v>
      </c>
      <c r="B4411" t="s">
        <v>1445</v>
      </c>
    </row>
    <row r="4412" spans="1:2" x14ac:dyDescent="0.3">
      <c r="A4412" s="6" t="s">
        <v>2189</v>
      </c>
      <c r="B4412" t="s">
        <v>2325</v>
      </c>
    </row>
    <row r="4413" spans="1:2" x14ac:dyDescent="0.3">
      <c r="A4413" s="6" t="s">
        <v>2190</v>
      </c>
      <c r="B4413" t="s">
        <v>8629</v>
      </c>
    </row>
    <row r="4414" spans="1:2" x14ac:dyDescent="0.3">
      <c r="A4414" s="6" t="s">
        <v>2191</v>
      </c>
      <c r="B4414" t="s">
        <v>8626</v>
      </c>
    </row>
    <row r="4415" spans="1:2" x14ac:dyDescent="0.3">
      <c r="A4415" s="6" t="s">
        <v>2192</v>
      </c>
      <c r="B4415" t="s">
        <v>8627</v>
      </c>
    </row>
    <row r="4416" spans="1:2" x14ac:dyDescent="0.3">
      <c r="A4416" s="6" t="s">
        <v>1417</v>
      </c>
      <c r="B4416" t="s">
        <v>8658</v>
      </c>
    </row>
    <row r="4417" spans="1:2" x14ac:dyDescent="0.3">
      <c r="A4417" s="6" t="s">
        <v>2193</v>
      </c>
      <c r="B4417" t="s">
        <v>6688</v>
      </c>
    </row>
    <row r="4418" spans="1:2" x14ac:dyDescent="0.3">
      <c r="A4418" s="6" t="s">
        <v>2194</v>
      </c>
      <c r="B4418" t="s">
        <v>2015</v>
      </c>
    </row>
    <row r="4419" spans="1:2" x14ac:dyDescent="0.3">
      <c r="A4419" s="6" t="s">
        <v>2195</v>
      </c>
      <c r="B4419" t="s">
        <v>2016</v>
      </c>
    </row>
    <row r="4420" spans="1:2" x14ac:dyDescent="0.3">
      <c r="A4420" s="6" t="s">
        <v>2196</v>
      </c>
      <c r="B4420" t="s">
        <v>1906</v>
      </c>
    </row>
    <row r="4421" spans="1:2" x14ac:dyDescent="0.3">
      <c r="A4421" s="6" t="s">
        <v>2197</v>
      </c>
      <c r="B4421" t="s">
        <v>1907</v>
      </c>
    </row>
    <row r="4422" spans="1:2" x14ac:dyDescent="0.3">
      <c r="A4422" s="6" t="s">
        <v>2198</v>
      </c>
      <c r="B4422" t="s">
        <v>1996</v>
      </c>
    </row>
    <row r="4423" spans="1:2" x14ac:dyDescent="0.3">
      <c r="A4423" s="6" t="s">
        <v>2199</v>
      </c>
      <c r="B4423" t="s">
        <v>6068</v>
      </c>
    </row>
    <row r="4424" spans="1:2" x14ac:dyDescent="0.3">
      <c r="A4424" s="6" t="s">
        <v>2200</v>
      </c>
      <c r="B4424" t="s">
        <v>6113</v>
      </c>
    </row>
    <row r="4425" spans="1:2" x14ac:dyDescent="0.3">
      <c r="A4425" s="6" t="s">
        <v>2201</v>
      </c>
      <c r="B4425" t="s">
        <v>6112</v>
      </c>
    </row>
    <row r="4426" spans="1:2" x14ac:dyDescent="0.3">
      <c r="A4426" s="6" t="s">
        <v>2202</v>
      </c>
      <c r="B4426" t="s">
        <v>8703</v>
      </c>
    </row>
    <row r="4427" spans="1:2" x14ac:dyDescent="0.3">
      <c r="A4427" s="6" t="s">
        <v>1418</v>
      </c>
      <c r="B4427" t="s">
        <v>6100</v>
      </c>
    </row>
    <row r="4428" spans="1:2" x14ac:dyDescent="0.3">
      <c r="A4428" s="6" t="s">
        <v>2203</v>
      </c>
      <c r="B4428" t="s">
        <v>1444</v>
      </c>
    </row>
    <row r="4429" spans="1:2" x14ac:dyDescent="0.3">
      <c r="A4429" s="6" t="s">
        <v>2204</v>
      </c>
      <c r="B4429" t="s">
        <v>1487</v>
      </c>
    </row>
    <row r="4430" spans="1:2" x14ac:dyDescent="0.3">
      <c r="A4430" s="6" t="s">
        <v>2205</v>
      </c>
      <c r="B4430" t="s">
        <v>1488</v>
      </c>
    </row>
    <row r="4431" spans="1:2" x14ac:dyDescent="0.3">
      <c r="A4431" s="6" t="s">
        <v>2206</v>
      </c>
      <c r="B4431" t="s">
        <v>2136</v>
      </c>
    </row>
    <row r="4432" spans="1:2" x14ac:dyDescent="0.3">
      <c r="A4432" s="6" t="s">
        <v>2207</v>
      </c>
      <c r="B4432" t="s">
        <v>2137</v>
      </c>
    </row>
    <row r="4433" spans="1:2" x14ac:dyDescent="0.3">
      <c r="A4433" s="6" t="s">
        <v>2208</v>
      </c>
      <c r="B4433" t="s">
        <v>2138</v>
      </c>
    </row>
    <row r="4434" spans="1:2" x14ac:dyDescent="0.3">
      <c r="A4434" s="6" t="s">
        <v>2209</v>
      </c>
      <c r="B4434" t="s">
        <v>2139</v>
      </c>
    </row>
    <row r="4435" spans="1:2" x14ac:dyDescent="0.3">
      <c r="A4435" s="6" t="s">
        <v>2210</v>
      </c>
      <c r="B4435" t="s">
        <v>2140</v>
      </c>
    </row>
    <row r="4436" spans="1:2" x14ac:dyDescent="0.3">
      <c r="A4436" s="6" t="s">
        <v>2211</v>
      </c>
      <c r="B4436" t="s">
        <v>6149</v>
      </c>
    </row>
    <row r="4437" spans="1:2" x14ac:dyDescent="0.3">
      <c r="A4437" s="6" t="s">
        <v>2212</v>
      </c>
      <c r="B4437" t="s">
        <v>6150</v>
      </c>
    </row>
    <row r="4438" spans="1:2" x14ac:dyDescent="0.3">
      <c r="A4438" s="6" t="s">
        <v>1419</v>
      </c>
      <c r="B4438" t="s">
        <v>1756</v>
      </c>
    </row>
    <row r="4439" spans="1:2" x14ac:dyDescent="0.3">
      <c r="A4439" s="6" t="s">
        <v>2213</v>
      </c>
      <c r="B4439" t="s">
        <v>6158</v>
      </c>
    </row>
    <row r="4440" spans="1:2" x14ac:dyDescent="0.3">
      <c r="A4440" s="6" t="s">
        <v>2214</v>
      </c>
      <c r="B4440" t="s">
        <v>6157</v>
      </c>
    </row>
    <row r="4441" spans="1:2" x14ac:dyDescent="0.3">
      <c r="A4441" s="6" t="s">
        <v>2215</v>
      </c>
      <c r="B4441" t="s">
        <v>6151</v>
      </c>
    </row>
    <row r="4442" spans="1:2" x14ac:dyDescent="0.3">
      <c r="A4442" s="6" t="s">
        <v>2216</v>
      </c>
      <c r="B4442" t="s">
        <v>6152</v>
      </c>
    </row>
    <row r="4443" spans="1:2" x14ac:dyDescent="0.3">
      <c r="A4443" s="12" t="s">
        <v>2217</v>
      </c>
      <c r="B4443" t="s">
        <v>1482</v>
      </c>
    </row>
    <row r="4444" spans="1:2" x14ac:dyDescent="0.3">
      <c r="A4444" s="12" t="s">
        <v>2218</v>
      </c>
      <c r="B4444" t="s">
        <v>1483</v>
      </c>
    </row>
    <row r="4445" spans="1:2" x14ac:dyDescent="0.3">
      <c r="A4445" s="12" t="s">
        <v>2219</v>
      </c>
      <c r="B4445" t="s">
        <v>1484</v>
      </c>
    </row>
    <row r="4446" spans="1:2" x14ac:dyDescent="0.3">
      <c r="A4446" s="12" t="s">
        <v>2220</v>
      </c>
      <c r="B4446" t="s">
        <v>6573</v>
      </c>
    </row>
    <row r="4447" spans="1:2" x14ac:dyDescent="0.3">
      <c r="A4447" s="12" t="s">
        <v>2221</v>
      </c>
      <c r="B4447" t="s">
        <v>2126</v>
      </c>
    </row>
    <row r="4448" spans="1:2" x14ac:dyDescent="0.3">
      <c r="A4448" s="12" t="s">
        <v>2222</v>
      </c>
      <c r="B4448" t="s">
        <v>1854</v>
      </c>
    </row>
    <row r="4449" spans="1:2" x14ac:dyDescent="0.3">
      <c r="A4449" s="12" t="s">
        <v>1420</v>
      </c>
      <c r="B4449" t="s">
        <v>1755</v>
      </c>
    </row>
    <row r="4450" spans="1:2" x14ac:dyDescent="0.3">
      <c r="A4450" s="12" t="s">
        <v>2223</v>
      </c>
      <c r="B4450" t="s">
        <v>2557</v>
      </c>
    </row>
    <row r="4451" spans="1:2" x14ac:dyDescent="0.3">
      <c r="A4451" s="12" t="s">
        <v>2224</v>
      </c>
      <c r="B4451" t="s">
        <v>2567</v>
      </c>
    </row>
    <row r="4452" spans="1:2" x14ac:dyDescent="0.3">
      <c r="A4452" s="12" t="s">
        <v>2225</v>
      </c>
      <c r="B4452" t="s">
        <v>2278</v>
      </c>
    </row>
    <row r="4453" spans="1:2" x14ac:dyDescent="0.3">
      <c r="A4453" s="12" t="s">
        <v>2226</v>
      </c>
      <c r="B4453" t="s">
        <v>2317</v>
      </c>
    </row>
    <row r="4454" spans="1:2" x14ac:dyDescent="0.3">
      <c r="A4454" s="12" t="s">
        <v>2227</v>
      </c>
      <c r="B4454" t="s">
        <v>7316</v>
      </c>
    </row>
    <row r="4455" spans="1:2" x14ac:dyDescent="0.3">
      <c r="A4455" s="12" t="s">
        <v>2228</v>
      </c>
      <c r="B4455" t="s">
        <v>7317</v>
      </c>
    </row>
    <row r="4456" spans="1:2" x14ac:dyDescent="0.3">
      <c r="A4456" s="12" t="s">
        <v>2229</v>
      </c>
      <c r="B4456" t="s">
        <v>1479</v>
      </c>
    </row>
    <row r="4457" spans="1:2" x14ac:dyDescent="0.3">
      <c r="A4457" s="12" t="s">
        <v>2230</v>
      </c>
      <c r="B4457" t="s">
        <v>1480</v>
      </c>
    </row>
    <row r="4458" spans="1:2" x14ac:dyDescent="0.3">
      <c r="A4458" s="12" t="s">
        <v>2231</v>
      </c>
      <c r="B4458" t="s">
        <v>1481</v>
      </c>
    </row>
    <row r="4459" spans="1:2" x14ac:dyDescent="0.3">
      <c r="A4459" s="12" t="s">
        <v>2232</v>
      </c>
      <c r="B4459" t="s">
        <v>8062</v>
      </c>
    </row>
    <row r="4460" spans="1:2" x14ac:dyDescent="0.3">
      <c r="A4460" s="12" t="s">
        <v>1341</v>
      </c>
      <c r="B4460" t="s">
        <v>6838</v>
      </c>
    </row>
    <row r="4461" spans="1:2" x14ac:dyDescent="0.3">
      <c r="A4461" s="12" t="s">
        <v>1421</v>
      </c>
      <c r="B4461" t="s">
        <v>1754</v>
      </c>
    </row>
    <row r="4462" spans="1:2" x14ac:dyDescent="0.3">
      <c r="A4462" s="12" t="s">
        <v>2233</v>
      </c>
      <c r="B4462" t="s">
        <v>1464</v>
      </c>
    </row>
    <row r="4463" spans="1:2" x14ac:dyDescent="0.3">
      <c r="A4463" s="12" t="s">
        <v>2234</v>
      </c>
      <c r="B4463" t="s">
        <v>1465</v>
      </c>
    </row>
    <row r="4464" spans="1:2" x14ac:dyDescent="0.3">
      <c r="A4464" s="12" t="s">
        <v>2235</v>
      </c>
      <c r="B4464" t="s">
        <v>8063</v>
      </c>
    </row>
    <row r="4465" spans="1:2" x14ac:dyDescent="0.3">
      <c r="A4465" s="12" t="s">
        <v>2236</v>
      </c>
      <c r="B4465" t="s">
        <v>2997</v>
      </c>
    </row>
    <row r="4466" spans="1:2" x14ac:dyDescent="0.3">
      <c r="A4466" s="12" t="s">
        <v>2237</v>
      </c>
      <c r="B4466" t="s">
        <v>2998</v>
      </c>
    </row>
    <row r="4467" spans="1:2" x14ac:dyDescent="0.3">
      <c r="A4467" s="12" t="s">
        <v>2238</v>
      </c>
      <c r="B4467" t="s">
        <v>2999</v>
      </c>
    </row>
    <row r="4468" spans="1:2" x14ac:dyDescent="0.3">
      <c r="A4468" s="12" t="s">
        <v>2239</v>
      </c>
      <c r="B4468" t="s">
        <v>3054</v>
      </c>
    </row>
    <row r="4469" spans="1:2" x14ac:dyDescent="0.3">
      <c r="A4469" s="12" t="s">
        <v>2240</v>
      </c>
      <c r="B4469" t="s">
        <v>3072</v>
      </c>
    </row>
    <row r="4470" spans="1:2" x14ac:dyDescent="0.3">
      <c r="A4470" s="12" t="s">
        <v>2241</v>
      </c>
      <c r="B4470" t="s">
        <v>3197</v>
      </c>
    </row>
    <row r="4471" spans="1:2" x14ac:dyDescent="0.3">
      <c r="A4471" s="12" t="s">
        <v>2242</v>
      </c>
      <c r="B4471" t="s">
        <v>3198</v>
      </c>
    </row>
    <row r="4472" spans="1:2" x14ac:dyDescent="0.3">
      <c r="A4472" s="12" t="s">
        <v>1422</v>
      </c>
      <c r="B4472" t="s">
        <v>8069</v>
      </c>
    </row>
    <row r="4473" spans="1:2" x14ac:dyDescent="0.3">
      <c r="A4473" s="12" t="s">
        <v>2243</v>
      </c>
      <c r="B4473" t="s">
        <v>7530</v>
      </c>
    </row>
    <row r="4474" spans="1:2" x14ac:dyDescent="0.3">
      <c r="A4474" s="12" t="s">
        <v>2244</v>
      </c>
      <c r="B4474" t="s">
        <v>1477</v>
      </c>
    </row>
    <row r="4475" spans="1:2" x14ac:dyDescent="0.3">
      <c r="A4475" s="12" t="s">
        <v>2245</v>
      </c>
      <c r="B4475" t="s">
        <v>1478</v>
      </c>
    </row>
    <row r="4476" spans="1:2" x14ac:dyDescent="0.3">
      <c r="A4476" s="12" t="s">
        <v>2246</v>
      </c>
      <c r="B4476" t="s">
        <v>8710</v>
      </c>
    </row>
    <row r="4477" spans="1:2" x14ac:dyDescent="0.3">
      <c r="A4477" s="12" t="s">
        <v>2247</v>
      </c>
      <c r="B4477" t="s">
        <v>2348</v>
      </c>
    </row>
    <row r="4478" spans="1:2" x14ac:dyDescent="0.3">
      <c r="A4478" s="12" t="s">
        <v>2248</v>
      </c>
      <c r="B4478" t="s">
        <v>2342</v>
      </c>
    </row>
    <row r="4479" spans="1:2" x14ac:dyDescent="0.3">
      <c r="A4479" s="12" t="s">
        <v>2249</v>
      </c>
      <c r="B4479" t="s">
        <v>1485</v>
      </c>
    </row>
    <row r="4480" spans="1:2" x14ac:dyDescent="0.3">
      <c r="A4480" s="12" t="s">
        <v>2250</v>
      </c>
      <c r="B4480" t="s">
        <v>2128</v>
      </c>
    </row>
    <row r="4481" spans="1:2" x14ac:dyDescent="0.3">
      <c r="A4481" s="12" t="s">
        <v>2251</v>
      </c>
      <c r="B4481" t="s">
        <v>2771</v>
      </c>
    </row>
    <row r="4482" spans="1:2" x14ac:dyDescent="0.3">
      <c r="A4482" s="12" t="s">
        <v>2252</v>
      </c>
      <c r="B4482" t="s">
        <v>2406</v>
      </c>
    </row>
    <row r="4483" spans="1:2" x14ac:dyDescent="0.3">
      <c r="A4483" s="12" t="s">
        <v>1423</v>
      </c>
      <c r="B4483" t="s">
        <v>8688</v>
      </c>
    </row>
    <row r="4484" spans="1:2" x14ac:dyDescent="0.3">
      <c r="A4484" s="12" t="s">
        <v>2253</v>
      </c>
      <c r="B4484" t="s">
        <v>1516</v>
      </c>
    </row>
    <row r="4485" spans="1:2" x14ac:dyDescent="0.3">
      <c r="A4485" s="12" t="s">
        <v>2254</v>
      </c>
      <c r="B4485" t="s">
        <v>2777</v>
      </c>
    </row>
    <row r="4486" spans="1:2" x14ac:dyDescent="0.3">
      <c r="A4486" s="12" t="s">
        <v>2255</v>
      </c>
      <c r="B4486" t="s">
        <v>1514</v>
      </c>
    </row>
    <row r="4487" spans="1:2" x14ac:dyDescent="0.3">
      <c r="A4487" s="12" t="s">
        <v>2256</v>
      </c>
      <c r="B4487" t="s">
        <v>1513</v>
      </c>
    </row>
    <row r="4488" spans="1:2" x14ac:dyDescent="0.3">
      <c r="A4488" s="12" t="s">
        <v>2257</v>
      </c>
      <c r="B4488" t="s">
        <v>1515</v>
      </c>
    </row>
    <row r="4489" spans="1:2" x14ac:dyDescent="0.3">
      <c r="A4489" s="12" t="s">
        <v>2258</v>
      </c>
      <c r="B4489" t="s">
        <v>2638</v>
      </c>
    </row>
    <row r="4490" spans="1:2" x14ac:dyDescent="0.3">
      <c r="A4490" s="12" t="s">
        <v>2259</v>
      </c>
      <c r="B4490" t="s">
        <v>1665</v>
      </c>
    </row>
    <row r="4491" spans="1:2" x14ac:dyDescent="0.3">
      <c r="A4491" s="12" t="s">
        <v>2260</v>
      </c>
      <c r="B4491" t="s">
        <v>1664</v>
      </c>
    </row>
    <row r="4492" spans="1:2" x14ac:dyDescent="0.3">
      <c r="A4492" s="12" t="s">
        <v>2261</v>
      </c>
      <c r="B4492" t="s">
        <v>1437</v>
      </c>
    </row>
    <row r="4493" spans="1:2" x14ac:dyDescent="0.3">
      <c r="A4493" s="12" t="s">
        <v>2262</v>
      </c>
      <c r="B4493" t="s">
        <v>5201</v>
      </c>
    </row>
    <row r="4494" spans="1:2" x14ac:dyDescent="0.3">
      <c r="A4494" s="12" t="s">
        <v>1424</v>
      </c>
      <c r="B4494" t="s">
        <v>8691</v>
      </c>
    </row>
    <row r="4495" spans="1:2" x14ac:dyDescent="0.3">
      <c r="A4495" s="12" t="s">
        <v>2263</v>
      </c>
      <c r="B4495" t="s">
        <v>1667</v>
      </c>
    </row>
    <row r="4496" spans="1:2" x14ac:dyDescent="0.3">
      <c r="A4496" s="12" t="s">
        <v>2264</v>
      </c>
      <c r="B4496" t="s">
        <v>1669</v>
      </c>
    </row>
    <row r="4497" spans="1:2" x14ac:dyDescent="0.3">
      <c r="A4497" s="12" t="s">
        <v>2265</v>
      </c>
      <c r="B4497" t="s">
        <v>2637</v>
      </c>
    </row>
    <row r="4498" spans="1:2" x14ac:dyDescent="0.3">
      <c r="A4498" s="12" t="s">
        <v>2266</v>
      </c>
      <c r="B4498" t="s">
        <v>1922</v>
      </c>
    </row>
    <row r="4499" spans="1:2" x14ac:dyDescent="0.3">
      <c r="A4499" s="12" t="s">
        <v>2267</v>
      </c>
      <c r="B4499" t="s">
        <v>1921</v>
      </c>
    </row>
    <row r="4500" spans="1:2" x14ac:dyDescent="0.3">
      <c r="A4500" s="12" t="s">
        <v>2268</v>
      </c>
      <c r="B4500" t="s">
        <v>1923</v>
      </c>
    </row>
    <row r="4501" spans="1:2" x14ac:dyDescent="0.3">
      <c r="A4501" s="12" t="s">
        <v>2269</v>
      </c>
      <c r="B4501" t="s">
        <v>2656</v>
      </c>
    </row>
    <row r="4502" spans="1:2" x14ac:dyDescent="0.3">
      <c r="A4502" s="12" t="s">
        <v>2270</v>
      </c>
      <c r="B4502" t="s">
        <v>2654</v>
      </c>
    </row>
    <row r="4503" spans="1:2" x14ac:dyDescent="0.3">
      <c r="A4503" s="12" t="s">
        <v>2271</v>
      </c>
      <c r="B4503" t="s">
        <v>2660</v>
      </c>
    </row>
    <row r="4504" spans="1:2" x14ac:dyDescent="0.3">
      <c r="A4504" s="12" t="s">
        <v>2272</v>
      </c>
      <c r="B4504" t="s">
        <v>2658</v>
      </c>
    </row>
    <row r="4505" spans="1:2" x14ac:dyDescent="0.3">
      <c r="A4505" s="12" t="s">
        <v>1425</v>
      </c>
      <c r="B4505" t="s">
        <v>1831</v>
      </c>
    </row>
    <row r="4506" spans="1:2" x14ac:dyDescent="0.3">
      <c r="A4506" s="12" t="s">
        <v>2273</v>
      </c>
      <c r="B4506" t="s">
        <v>2657</v>
      </c>
    </row>
    <row r="4507" spans="1:2" x14ac:dyDescent="0.3">
      <c r="A4507" s="12" t="s">
        <v>2274</v>
      </c>
      <c r="B4507" t="s">
        <v>2659</v>
      </c>
    </row>
    <row r="4508" spans="1:2" x14ac:dyDescent="0.3">
      <c r="A4508" s="12" t="s">
        <v>2275</v>
      </c>
      <c r="B4508" t="s">
        <v>6436</v>
      </c>
    </row>
    <row r="4509" spans="1:2" x14ac:dyDescent="0.3">
      <c r="A4509" s="12" t="s">
        <v>2276</v>
      </c>
      <c r="B4509" t="s">
        <v>6434</v>
      </c>
    </row>
    <row r="4510" spans="1:2" x14ac:dyDescent="0.3">
      <c r="A4510" s="12" t="s">
        <v>2277</v>
      </c>
      <c r="B4510" t="s">
        <v>6435</v>
      </c>
    </row>
    <row r="4511" spans="1:2" x14ac:dyDescent="0.3">
      <c r="A4511" s="12" t="s">
        <v>2278</v>
      </c>
      <c r="B4511" t="s">
        <v>8307</v>
      </c>
    </row>
    <row r="4512" spans="1:2" x14ac:dyDescent="0.3">
      <c r="A4512" s="12" t="s">
        <v>2279</v>
      </c>
      <c r="B4512" t="s">
        <v>3053</v>
      </c>
    </row>
    <row r="4513" spans="1:2" x14ac:dyDescent="0.3">
      <c r="A4513" s="12" t="s">
        <v>2280</v>
      </c>
      <c r="B4513" t="s">
        <v>3052</v>
      </c>
    </row>
    <row r="4514" spans="1:2" x14ac:dyDescent="0.3">
      <c r="A4514" s="12" t="s">
        <v>2281</v>
      </c>
      <c r="B4514" t="s">
        <v>1512</v>
      </c>
    </row>
    <row r="4515" spans="1:2" x14ac:dyDescent="0.3">
      <c r="A4515" s="12" t="s">
        <v>2282</v>
      </c>
      <c r="B4515" t="s">
        <v>2852</v>
      </c>
    </row>
    <row r="4516" spans="1:2" x14ac:dyDescent="0.3">
      <c r="A4516" s="12" t="s">
        <v>1426</v>
      </c>
      <c r="B4516" t="s">
        <v>2558</v>
      </c>
    </row>
    <row r="4517" spans="1:2" x14ac:dyDescent="0.3">
      <c r="A4517" s="12" t="s">
        <v>2283</v>
      </c>
      <c r="B4517" t="s">
        <v>1510</v>
      </c>
    </row>
    <row r="4518" spans="1:2" x14ac:dyDescent="0.3">
      <c r="A4518" s="12" t="s">
        <v>2284</v>
      </c>
      <c r="B4518" t="s">
        <v>1509</v>
      </c>
    </row>
    <row r="4519" spans="1:2" x14ac:dyDescent="0.3">
      <c r="A4519" s="12" t="s">
        <v>2285</v>
      </c>
      <c r="B4519" t="s">
        <v>1511</v>
      </c>
    </row>
    <row r="4520" spans="1:2" x14ac:dyDescent="0.3">
      <c r="A4520" s="12" t="s">
        <v>2286</v>
      </c>
      <c r="B4520" t="s">
        <v>2094</v>
      </c>
    </row>
    <row r="4521" spans="1:2" x14ac:dyDescent="0.3">
      <c r="A4521" s="12" t="s">
        <v>2287</v>
      </c>
      <c r="B4521" t="s">
        <v>2092</v>
      </c>
    </row>
    <row r="4522" spans="1:2" x14ac:dyDescent="0.3">
      <c r="A4522" s="12" t="s">
        <v>2288</v>
      </c>
      <c r="B4522" t="s">
        <v>2093</v>
      </c>
    </row>
    <row r="4523" spans="1:2" x14ac:dyDescent="0.3">
      <c r="A4523" s="12" t="s">
        <v>2289</v>
      </c>
      <c r="B4523" t="s">
        <v>2115</v>
      </c>
    </row>
    <row r="4524" spans="1:2" x14ac:dyDescent="0.3">
      <c r="A4524" s="12" t="s">
        <v>2290</v>
      </c>
      <c r="B4524" t="s">
        <v>2090</v>
      </c>
    </row>
    <row r="4525" spans="1:2" x14ac:dyDescent="0.3">
      <c r="A4525" s="12" t="s">
        <v>2291</v>
      </c>
      <c r="B4525" t="s">
        <v>2088</v>
      </c>
    </row>
    <row r="4526" spans="1:2" x14ac:dyDescent="0.3">
      <c r="A4526" s="12" t="s">
        <v>2292</v>
      </c>
      <c r="B4526" t="s">
        <v>2089</v>
      </c>
    </row>
    <row r="4527" spans="1:2" x14ac:dyDescent="0.3">
      <c r="A4527" s="12" t="s">
        <v>1427</v>
      </c>
      <c r="B4527" t="s">
        <v>2559</v>
      </c>
    </row>
    <row r="4528" spans="1:2" x14ac:dyDescent="0.3">
      <c r="A4528" s="12" t="s">
        <v>2293</v>
      </c>
      <c r="B4528" t="s">
        <v>8508</v>
      </c>
    </row>
    <row r="4529" spans="1:2" x14ac:dyDescent="0.3">
      <c r="A4529" s="12" t="s">
        <v>2294</v>
      </c>
      <c r="B4529" t="s">
        <v>7689</v>
      </c>
    </row>
    <row r="4530" spans="1:2" x14ac:dyDescent="0.3">
      <c r="A4530" s="12" t="s">
        <v>2295</v>
      </c>
      <c r="B4530" t="s">
        <v>8507</v>
      </c>
    </row>
    <row r="4531" spans="1:2" x14ac:dyDescent="0.3">
      <c r="A4531" s="12" t="s">
        <v>2296</v>
      </c>
      <c r="B4531" t="s">
        <v>8506</v>
      </c>
    </row>
    <row r="4532" spans="1:2" x14ac:dyDescent="0.3">
      <c r="A4532" s="12" t="s">
        <v>2297</v>
      </c>
      <c r="B4532" t="s">
        <v>8500</v>
      </c>
    </row>
    <row r="4533" spans="1:2" x14ac:dyDescent="0.3">
      <c r="A4533" s="12" t="s">
        <v>2298</v>
      </c>
      <c r="B4533" t="s">
        <v>8498</v>
      </c>
    </row>
    <row r="4534" spans="1:2" x14ac:dyDescent="0.3">
      <c r="A4534" s="12" t="s">
        <v>2299</v>
      </c>
      <c r="B4534" t="s">
        <v>8499</v>
      </c>
    </row>
    <row r="4535" spans="1:2" x14ac:dyDescent="0.3">
      <c r="A4535" s="12" t="s">
        <v>2300</v>
      </c>
      <c r="B4535" t="s">
        <v>8497</v>
      </c>
    </row>
    <row r="4536" spans="1:2" x14ac:dyDescent="0.3">
      <c r="A4536" s="12" t="s">
        <v>2301</v>
      </c>
      <c r="B4536" t="s">
        <v>8495</v>
      </c>
    </row>
    <row r="4537" spans="1:2" x14ac:dyDescent="0.3">
      <c r="A4537" s="12" t="s">
        <v>2302</v>
      </c>
      <c r="B4537" t="s">
        <v>8496</v>
      </c>
    </row>
    <row r="4538" spans="1:2" x14ac:dyDescent="0.3">
      <c r="A4538" s="12" t="s">
        <v>1428</v>
      </c>
      <c r="B4538" t="s">
        <v>1650</v>
      </c>
    </row>
    <row r="4539" spans="1:2" x14ac:dyDescent="0.3">
      <c r="A4539" s="12" t="s">
        <v>2303</v>
      </c>
      <c r="B4539" t="s">
        <v>8501</v>
      </c>
    </row>
    <row r="4540" spans="1:2" x14ac:dyDescent="0.3">
      <c r="A4540" s="12" t="s">
        <v>2304</v>
      </c>
      <c r="B4540" t="s">
        <v>8502</v>
      </c>
    </row>
    <row r="4541" spans="1:2" x14ac:dyDescent="0.3">
      <c r="A4541" s="12" t="s">
        <v>2305</v>
      </c>
      <c r="B4541" t="s">
        <v>8478</v>
      </c>
    </row>
    <row r="4542" spans="1:2" x14ac:dyDescent="0.3">
      <c r="A4542" s="12" t="s">
        <v>2306</v>
      </c>
      <c r="B4542" t="s">
        <v>8476</v>
      </c>
    </row>
    <row r="4543" spans="1:2" x14ac:dyDescent="0.3">
      <c r="A4543" s="12" t="s">
        <v>2307</v>
      </c>
      <c r="B4543" t="s">
        <v>8477</v>
      </c>
    </row>
    <row r="4544" spans="1:2" x14ac:dyDescent="0.3">
      <c r="A4544" s="12" t="s">
        <v>2308</v>
      </c>
      <c r="B4544" t="s">
        <v>8505</v>
      </c>
    </row>
    <row r="4545" spans="1:2" x14ac:dyDescent="0.3">
      <c r="A4545" s="12" t="s">
        <v>2309</v>
      </c>
      <c r="B4545" t="s">
        <v>8503</v>
      </c>
    </row>
    <row r="4546" spans="1:2" x14ac:dyDescent="0.3">
      <c r="A4546" s="12" t="s">
        <v>2310</v>
      </c>
      <c r="B4546" t="s">
        <v>8504</v>
      </c>
    </row>
    <row r="4547" spans="1:2" x14ac:dyDescent="0.3">
      <c r="A4547" s="12" t="s">
        <v>2311</v>
      </c>
      <c r="B4547" t="s">
        <v>8475</v>
      </c>
    </row>
    <row r="4548" spans="1:2" x14ac:dyDescent="0.3">
      <c r="A4548" s="12" t="s">
        <v>2312</v>
      </c>
      <c r="B4548" t="s">
        <v>8473</v>
      </c>
    </row>
    <row r="4549" spans="1:2" x14ac:dyDescent="0.3">
      <c r="A4549" s="12" t="s">
        <v>1429</v>
      </c>
      <c r="B4549" t="s">
        <v>4796</v>
      </c>
    </row>
    <row r="4550" spans="1:2" x14ac:dyDescent="0.3">
      <c r="A4550" s="12" t="s">
        <v>2313</v>
      </c>
      <c r="B4550" t="s">
        <v>8474</v>
      </c>
    </row>
    <row r="4551" spans="1:2" x14ac:dyDescent="0.3">
      <c r="A4551" s="12" t="s">
        <v>2314</v>
      </c>
      <c r="B4551" t="s">
        <v>8484</v>
      </c>
    </row>
    <row r="4552" spans="1:2" x14ac:dyDescent="0.3">
      <c r="A4552" s="12" t="s">
        <v>2315</v>
      </c>
      <c r="B4552" t="s">
        <v>8485</v>
      </c>
    </row>
    <row r="4553" spans="1:2" x14ac:dyDescent="0.3">
      <c r="A4553" s="12" t="s">
        <v>2316</v>
      </c>
      <c r="B4553" t="s">
        <v>8491</v>
      </c>
    </row>
    <row r="4554" spans="1:2" x14ac:dyDescent="0.3">
      <c r="A4554" s="12" t="s">
        <v>2317</v>
      </c>
      <c r="B4554" t="s">
        <v>8492</v>
      </c>
    </row>
    <row r="4555" spans="1:2" x14ac:dyDescent="0.3">
      <c r="A4555" s="12" t="s">
        <v>2318</v>
      </c>
      <c r="B4555" t="s">
        <v>8490</v>
      </c>
    </row>
    <row r="4556" spans="1:2" x14ac:dyDescent="0.3">
      <c r="A4556" s="12" t="s">
        <v>2319</v>
      </c>
      <c r="B4556" t="s">
        <v>8493</v>
      </c>
    </row>
    <row r="4557" spans="1:2" x14ac:dyDescent="0.3">
      <c r="A4557" s="12" t="s">
        <v>2320</v>
      </c>
      <c r="B4557" t="s">
        <v>8494</v>
      </c>
    </row>
    <row r="4558" spans="1:2" x14ac:dyDescent="0.3">
      <c r="A4558" s="12" t="s">
        <v>2321</v>
      </c>
      <c r="B4558" t="s">
        <v>8488</v>
      </c>
    </row>
    <row r="4559" spans="1:2" x14ac:dyDescent="0.3">
      <c r="A4559" s="12" t="s">
        <v>2322</v>
      </c>
      <c r="B4559" t="s">
        <v>8489</v>
      </c>
    </row>
    <row r="4560" spans="1:2" x14ac:dyDescent="0.3">
      <c r="A4560" s="12" t="s">
        <v>1430</v>
      </c>
      <c r="B4560" t="s">
        <v>4797</v>
      </c>
    </row>
    <row r="4561" spans="1:2" x14ac:dyDescent="0.3">
      <c r="A4561" s="12" t="s">
        <v>2323</v>
      </c>
      <c r="B4561" t="s">
        <v>8486</v>
      </c>
    </row>
    <row r="4562" spans="1:2" x14ac:dyDescent="0.3">
      <c r="A4562" s="12" t="s">
        <v>2324</v>
      </c>
      <c r="B4562" t="s">
        <v>8482</v>
      </c>
    </row>
    <row r="4563" spans="1:2" x14ac:dyDescent="0.3">
      <c r="A4563" s="12" t="s">
        <v>2325</v>
      </c>
      <c r="B4563" t="s">
        <v>8483</v>
      </c>
    </row>
    <row r="4564" spans="1:2" x14ac:dyDescent="0.3">
      <c r="A4564" s="12" t="s">
        <v>2326</v>
      </c>
      <c r="B4564" t="s">
        <v>8487</v>
      </c>
    </row>
    <row r="4565" spans="1:2" x14ac:dyDescent="0.3">
      <c r="A4565" s="12" t="s">
        <v>2327</v>
      </c>
      <c r="B4565" t="s">
        <v>8148</v>
      </c>
    </row>
    <row r="4566" spans="1:2" x14ac:dyDescent="0.3">
      <c r="A4566" s="12" t="s">
        <v>2328</v>
      </c>
      <c r="B4566" t="s">
        <v>3497</v>
      </c>
    </row>
    <row r="4567" spans="1:2" x14ac:dyDescent="0.3">
      <c r="A4567" s="12" t="s">
        <v>2329</v>
      </c>
      <c r="B4567" t="s">
        <v>8149</v>
      </c>
    </row>
    <row r="4568" spans="1:2" x14ac:dyDescent="0.3">
      <c r="A4568" s="12" t="s">
        <v>2330</v>
      </c>
      <c r="B4568" t="s">
        <v>3498</v>
      </c>
    </row>
    <row r="4569" spans="1:2" x14ac:dyDescent="0.3">
      <c r="A4569" s="12" t="s">
        <v>2331</v>
      </c>
      <c r="B4569" t="s">
        <v>8150</v>
      </c>
    </row>
    <row r="4570" spans="1:2" x14ac:dyDescent="0.3">
      <c r="A4570" s="6" t="s">
        <v>2332</v>
      </c>
      <c r="B4570" t="s">
        <v>3499</v>
      </c>
    </row>
    <row r="4571" spans="1:2" x14ac:dyDescent="0.3">
      <c r="A4571" s="11" t="s">
        <v>8777</v>
      </c>
      <c r="B4571" t="s">
        <v>5881</v>
      </c>
    </row>
  </sheetData>
  <sortState xmlns:xlrd2="http://schemas.microsoft.com/office/spreadsheetml/2017/richdata2" ref="A2:B4572">
    <sortCondition ref="A2:A45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Perfil Lista de precios</vt:lpstr>
      <vt:lpstr>Precios</vt:lpstr>
      <vt:lpstr>Relacion codigos</vt:lpstr>
      <vt:lpstr>'Perfil Lista de precios'!Área_de_impresión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Rodrigo Aguirre</cp:lastModifiedBy>
  <cp:lastPrinted>2024-12-20T14:02:44Z</cp:lastPrinted>
  <dcterms:created xsi:type="dcterms:W3CDTF">2017-05-08T19:27:56Z</dcterms:created>
  <dcterms:modified xsi:type="dcterms:W3CDTF">2026-08-28T01:21:09Z</dcterms:modified>
</cp:coreProperties>
</file>