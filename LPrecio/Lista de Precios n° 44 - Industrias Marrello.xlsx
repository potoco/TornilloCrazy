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xWindow="0" yWindow="0" windowWidth="19200" windowHeight="7635"/>
  </bookViews>
  <sheets>
    <sheet name="ListaDePrecios" sheetId="1" r:id="rId1"/>
  </sheets>
  <definedNames>
    <definedName name="_xlnm._FilterDatabase" localSheetId="0" hidden="1">ListaDePrecios!$A$3:$D$263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6" i="1" l="1"/>
  <c r="F183" i="1"/>
  <c r="F188" i="1"/>
  <c r="E61" i="1"/>
  <c r="E62" i="1"/>
  <c r="E63" i="1"/>
  <c r="E64" i="1"/>
  <c r="E65" i="1"/>
  <c r="E15" i="1"/>
  <c r="E16" i="1"/>
  <c r="E19" i="1"/>
  <c r="E20" i="1"/>
  <c r="E17" i="1"/>
  <c r="E18" i="1"/>
  <c r="E171" i="1"/>
  <c r="E172" i="1"/>
  <c r="E173" i="1"/>
  <c r="E169" i="1"/>
  <c r="E170" i="1"/>
  <c r="E67" i="1"/>
  <c r="E31" i="1"/>
  <c r="E21" i="1"/>
  <c r="E22" i="1"/>
  <c r="E23" i="1"/>
  <c r="E32" i="1"/>
  <c r="E24" i="1"/>
  <c r="E25" i="1"/>
  <c r="E33" i="1"/>
  <c r="E26" i="1"/>
  <c r="E27" i="1"/>
  <c r="E35" i="1"/>
  <c r="E28" i="1"/>
  <c r="E29" i="1"/>
  <c r="E30" i="1"/>
  <c r="E38" i="1"/>
  <c r="E46" i="1"/>
  <c r="E50" i="1"/>
  <c r="E39" i="1"/>
  <c r="E47" i="1"/>
  <c r="E51" i="1"/>
  <c r="E40" i="1"/>
  <c r="E48" i="1"/>
  <c r="E52" i="1"/>
  <c r="E41" i="1"/>
  <c r="E49" i="1"/>
  <c r="E53" i="1"/>
  <c r="E37" i="1"/>
  <c r="E34" i="1"/>
  <c r="E36" i="1"/>
  <c r="E42" i="1"/>
  <c r="E43" i="1"/>
  <c r="E44" i="1"/>
  <c r="E45" i="1"/>
  <c r="E59" i="1"/>
  <c r="E57" i="1"/>
  <c r="E54" i="1"/>
  <c r="E55" i="1"/>
  <c r="E56" i="1"/>
  <c r="E58" i="1"/>
  <c r="E88" i="1"/>
  <c r="E174" i="1"/>
  <c r="E175" i="1"/>
  <c r="E176" i="1"/>
  <c r="E177" i="1"/>
  <c r="E263" i="1"/>
  <c r="E80" i="1"/>
  <c r="E81" i="1"/>
  <c r="E82" i="1"/>
  <c r="E83" i="1"/>
  <c r="E84" i="1"/>
  <c r="E85" i="1"/>
  <c r="E86" i="1"/>
  <c r="E87" i="1"/>
  <c r="E200" i="1"/>
  <c r="E199" i="1"/>
  <c r="E201" i="1"/>
  <c r="E202" i="1"/>
  <c r="E203" i="1"/>
  <c r="E204" i="1"/>
  <c r="E205" i="1"/>
  <c r="E206" i="1"/>
  <c r="E178" i="1"/>
  <c r="E179" i="1"/>
  <c r="E180" i="1"/>
  <c r="E181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76" i="1"/>
  <c r="E110" i="1"/>
  <c r="E111" i="1"/>
  <c r="E103" i="1"/>
  <c r="E104" i="1"/>
  <c r="E105" i="1"/>
  <c r="E106" i="1"/>
  <c r="E107" i="1"/>
  <c r="E108" i="1"/>
  <c r="E109" i="1"/>
  <c r="E72" i="1"/>
  <c r="E73" i="1"/>
  <c r="E74" i="1"/>
  <c r="E75" i="1"/>
  <c r="E70" i="1"/>
  <c r="E71" i="1"/>
  <c r="E6" i="1"/>
  <c r="E3" i="1"/>
  <c r="E4" i="1"/>
  <c r="E7" i="1"/>
  <c r="E5" i="1"/>
  <c r="E116" i="1"/>
  <c r="E117" i="1"/>
  <c r="E118" i="1"/>
  <c r="E119" i="1"/>
  <c r="E120" i="1"/>
  <c r="E121" i="1"/>
  <c r="E122" i="1"/>
  <c r="E123" i="1"/>
  <c r="E124" i="1"/>
  <c r="E113" i="1"/>
  <c r="E114" i="1"/>
  <c r="E115" i="1"/>
  <c r="E182" i="1"/>
  <c r="F182" i="1" s="1"/>
  <c r="E186" i="1"/>
  <c r="E184" i="1"/>
  <c r="F184" i="1" s="1"/>
  <c r="E183" i="1"/>
  <c r="E187" i="1"/>
  <c r="F187" i="1" s="1"/>
  <c r="E188" i="1"/>
  <c r="E185" i="1"/>
  <c r="F185" i="1" s="1"/>
  <c r="E136" i="1"/>
  <c r="E137" i="1"/>
  <c r="E138" i="1"/>
  <c r="E139" i="1"/>
  <c r="E133" i="1"/>
  <c r="E134" i="1"/>
  <c r="E135" i="1"/>
  <c r="E125" i="1"/>
  <c r="E168" i="1"/>
  <c r="E166" i="1"/>
  <c r="E167" i="1"/>
  <c r="E162" i="1"/>
  <c r="E131" i="1"/>
  <c r="E130" i="1"/>
  <c r="E132" i="1"/>
  <c r="E160" i="1"/>
  <c r="E161" i="1"/>
  <c r="E156" i="1"/>
  <c r="E157" i="1"/>
  <c r="E158" i="1"/>
  <c r="E159" i="1"/>
  <c r="E165" i="1"/>
  <c r="E163" i="1"/>
  <c r="E164" i="1"/>
  <c r="E189" i="1"/>
  <c r="E155" i="1"/>
  <c r="E143" i="1"/>
  <c r="E144" i="1"/>
  <c r="E141" i="1"/>
  <c r="E142" i="1"/>
  <c r="E145" i="1"/>
  <c r="E146" i="1"/>
  <c r="E147" i="1"/>
  <c r="E148" i="1"/>
  <c r="E149" i="1"/>
  <c r="E140" i="1"/>
  <c r="E150" i="1"/>
  <c r="E151" i="1"/>
  <c r="E152" i="1"/>
  <c r="E153" i="1"/>
  <c r="E154" i="1"/>
  <c r="E69" i="1"/>
  <c r="E126" i="1"/>
  <c r="E127" i="1"/>
  <c r="E128" i="1"/>
  <c r="E79" i="1"/>
  <c r="E78" i="1"/>
  <c r="E77" i="1"/>
  <c r="E190" i="1"/>
  <c r="E191" i="1"/>
  <c r="E192" i="1"/>
  <c r="E193" i="1"/>
  <c r="E194" i="1"/>
  <c r="E195" i="1"/>
  <c r="E196" i="1"/>
  <c r="E197" i="1"/>
  <c r="E198" i="1"/>
  <c r="E211" i="1"/>
  <c r="E212" i="1"/>
  <c r="E207" i="1"/>
  <c r="E208" i="1"/>
  <c r="E210" i="1"/>
  <c r="E209" i="1"/>
  <c r="E214" i="1"/>
  <c r="E213" i="1"/>
  <c r="E238" i="1"/>
  <c r="E231" i="1"/>
  <c r="E232" i="1"/>
  <c r="E233" i="1"/>
  <c r="E234" i="1"/>
  <c r="E235" i="1"/>
  <c r="E236" i="1"/>
  <c r="E237" i="1"/>
  <c r="E228" i="1"/>
  <c r="E229" i="1"/>
  <c r="E230" i="1"/>
  <c r="E220" i="1"/>
  <c r="E221" i="1"/>
  <c r="E222" i="1"/>
  <c r="E223" i="1"/>
  <c r="E224" i="1"/>
  <c r="E225" i="1"/>
  <c r="E226" i="1"/>
  <c r="E227" i="1"/>
  <c r="E243" i="1"/>
  <c r="E239" i="1"/>
  <c r="E240" i="1"/>
  <c r="E241" i="1"/>
  <c r="E242" i="1"/>
  <c r="E219" i="1"/>
  <c r="E215" i="1"/>
  <c r="E216" i="1"/>
  <c r="E217" i="1"/>
  <c r="E218" i="1"/>
  <c r="E244" i="1"/>
  <c r="E245" i="1"/>
  <c r="E246" i="1"/>
  <c r="E247" i="1"/>
  <c r="E249" i="1"/>
  <c r="E250" i="1"/>
  <c r="E251" i="1"/>
  <c r="E252" i="1"/>
  <c r="E248" i="1"/>
  <c r="E253" i="1"/>
  <c r="E254" i="1"/>
  <c r="E255" i="1"/>
  <c r="E256" i="1"/>
  <c r="E14" i="1"/>
  <c r="E10" i="1"/>
  <c r="E8" i="1"/>
  <c r="E11" i="1"/>
  <c r="E12" i="1"/>
  <c r="E13" i="1"/>
  <c r="E9" i="1"/>
  <c r="E66" i="1"/>
  <c r="E68" i="1"/>
  <c r="E129" i="1"/>
  <c r="E258" i="1"/>
  <c r="E259" i="1"/>
  <c r="E257" i="1"/>
  <c r="E261" i="1"/>
  <c r="E262" i="1"/>
  <c r="E260" i="1"/>
  <c r="E60" i="1"/>
</calcChain>
</file>

<file path=xl/sharedStrings.xml><?xml version="1.0" encoding="utf-8"?>
<sst xmlns="http://schemas.openxmlformats.org/spreadsheetml/2006/main" count="787" uniqueCount="547">
  <si>
    <t>1/2LUZ1</t>
  </si>
  <si>
    <t>GRAMPA MEDIA OMEGA P/ CAÑO LUZ 1"</t>
  </si>
  <si>
    <t>GRAMPAS</t>
  </si>
  <si>
    <t>1/2LUZ3/4</t>
  </si>
  <si>
    <t>GRAMPA MEDIA OMEGA P/ CAÑO LUZ 3/4</t>
  </si>
  <si>
    <t>1/2LUZ5/8</t>
  </si>
  <si>
    <t>GRAMPA MEDIA OMEGA P/ CAÑO LUZ 5/8</t>
  </si>
  <si>
    <t>1/2LUZ7/8</t>
  </si>
  <si>
    <t>GRAMPA MEDIA OMEGA P/ CAÑO LUZ 7/8</t>
  </si>
  <si>
    <t>1/2OME1</t>
  </si>
  <si>
    <t>GRAMPA MEDIA OMEGA DE 1"</t>
  </si>
  <si>
    <t>1/2OME1/2</t>
  </si>
  <si>
    <t>GRAMPA MEDIA OMEGA DE 1/2"</t>
  </si>
  <si>
    <t>1/2OME3/4</t>
  </si>
  <si>
    <t>GRAMPA MEDIA OMEGA DE 3/4"</t>
  </si>
  <si>
    <t>45X07</t>
  </si>
  <si>
    <t>CURVA 45º x 07 CM. Ø</t>
  </si>
  <si>
    <t>CURVAS Y CODOS</t>
  </si>
  <si>
    <t>45X08</t>
  </si>
  <si>
    <t>CURVA 45º x 08 CM. Ø</t>
  </si>
  <si>
    <t>45X09</t>
  </si>
  <si>
    <t>CURVA 45º x 09 CM. Ø</t>
  </si>
  <si>
    <t>45X10</t>
  </si>
  <si>
    <t>CURVA 45º x 10 CM. Ø</t>
  </si>
  <si>
    <t>45X11</t>
  </si>
  <si>
    <t>CURVA 45º X 11 CM Ø</t>
  </si>
  <si>
    <t>45X12</t>
  </si>
  <si>
    <t>CURVA 45º x 12 CM. Ø</t>
  </si>
  <si>
    <t>45X15</t>
  </si>
  <si>
    <t>CURVA 45º x 15 CM. Ø</t>
  </si>
  <si>
    <t>90X07</t>
  </si>
  <si>
    <t>CURVA 90º x 07 CM. Ø</t>
  </si>
  <si>
    <t>90X08</t>
  </si>
  <si>
    <t>CURVA 90º x 08 CM. Ø</t>
  </si>
  <si>
    <t>90X09</t>
  </si>
  <si>
    <t>CURVA 90º x 09 CM. Ø</t>
  </si>
  <si>
    <t>90X10</t>
  </si>
  <si>
    <t>CURVA 90º x 10 CM. Ø</t>
  </si>
  <si>
    <t>90X11</t>
  </si>
  <si>
    <t>CURVA 90º x 11 CM. Ø</t>
  </si>
  <si>
    <t>90X12</t>
  </si>
  <si>
    <t>CURVA 90º x 12 CM. Ø</t>
  </si>
  <si>
    <t>90X15</t>
  </si>
  <si>
    <t>CURVA 90º x 15 CM. Ø</t>
  </si>
  <si>
    <t>90X40</t>
  </si>
  <si>
    <t>CODO DE 40 CM.Ø EN 3 CASCOS EN CH.25</t>
  </si>
  <si>
    <t>ART07</t>
  </si>
  <si>
    <t>CURVA ARTICULADA DE 7,5 CM. Ø CHAPA #30</t>
  </si>
  <si>
    <t>ART09</t>
  </si>
  <si>
    <t>CURVA ARTICULADA DE 9 CM. Ø CHAPA #30</t>
  </si>
  <si>
    <t>ART10</t>
  </si>
  <si>
    <t>CURVA ARTICULADA DE 10 CM. Ø CHAPA #30</t>
  </si>
  <si>
    <t>ART12</t>
  </si>
  <si>
    <t>CURVA ARTICULADA DE 12,5 CM. Ø CHAPA #30</t>
  </si>
  <si>
    <t>ART15</t>
  </si>
  <si>
    <t>CURVA ARTICULADA DE 15 CM. Ø CHAPA #30</t>
  </si>
  <si>
    <t>ART18</t>
  </si>
  <si>
    <t>CURVA ARTICULADA DE 18 CM Ø CHAPA #30</t>
  </si>
  <si>
    <t>ART20</t>
  </si>
  <si>
    <t>CURVA ARTICULADA DE 20 CM. Ø CHAPA #30</t>
  </si>
  <si>
    <t>ART25</t>
  </si>
  <si>
    <t>CURVA ARTICULADA DE 25 CM. Ø CHAPA #30</t>
  </si>
  <si>
    <t>ART30</t>
  </si>
  <si>
    <t>CURVA ARTICULADA DE 30 CM. Ø CHAPA #25</t>
  </si>
  <si>
    <t>ARTSAL09</t>
  </si>
  <si>
    <t>CODO ART. CH.NEGRA #24 DE 09 CMØ</t>
  </si>
  <si>
    <t>ARTSAL10</t>
  </si>
  <si>
    <t>CODO ART. CH.NEGRA #24 DE 10 CMØ</t>
  </si>
  <si>
    <t>ARTSAL12</t>
  </si>
  <si>
    <t>CODO ART. CH.NEGRA #24 DE 12,5 CMØ</t>
  </si>
  <si>
    <t>ARTSAL15</t>
  </si>
  <si>
    <t>CODO ART. CH.NEGRA #24 DE 15 CMØ</t>
  </si>
  <si>
    <t>BASEOL10</t>
  </si>
  <si>
    <t>BASE Y PROLONGACION EXTR. EOL.10 CM</t>
  </si>
  <si>
    <t>EOLICOS</t>
  </si>
  <si>
    <t>BASEOL20</t>
  </si>
  <si>
    <t>BASE Y PROLONGACION EXT.EOL. 20CM.</t>
  </si>
  <si>
    <t>BASEOL40</t>
  </si>
  <si>
    <t>BASE Y PROLONGACION EXT.EOL. 40CM.</t>
  </si>
  <si>
    <t>BASEOL60</t>
  </si>
  <si>
    <t>BASE y PROLONGACION P/EXT.EOL. 60cm</t>
  </si>
  <si>
    <t>BASEOL75</t>
  </si>
  <si>
    <t>BASE Y PROLONGACION EXT.EOL.75 CM.</t>
  </si>
  <si>
    <t>BOQ07</t>
  </si>
  <si>
    <t>BOQUETA PARA CANALETA DE 7,5 CM. Ø</t>
  </si>
  <si>
    <t>TERMINALES Y BOQUETAS</t>
  </si>
  <si>
    <t>BOQ10</t>
  </si>
  <si>
    <t>BOQUETA PARA CANALETA DE 10 CM. Ø</t>
  </si>
  <si>
    <t>BOQ10X5</t>
  </si>
  <si>
    <t>BOQUETA DE 10X5 CM. EN CHAPA 30</t>
  </si>
  <si>
    <t>BOQ12</t>
  </si>
  <si>
    <t>BOQUETA PARA CANALETA DE 12,5 CM. Ø</t>
  </si>
  <si>
    <t>BOQ15</t>
  </si>
  <si>
    <t>BOQUETA PARA CANALETA DE 15 CM. Ø</t>
  </si>
  <si>
    <t>BOQ16</t>
  </si>
  <si>
    <t>BOQUETA PARA CANALETA DE 16CM Ø</t>
  </si>
  <si>
    <t>BOQ9X6</t>
  </si>
  <si>
    <t>BOQUETA DE 9X6 CM. EN CHAPA 30</t>
  </si>
  <si>
    <t>CAMCHU100</t>
  </si>
  <si>
    <t>CAMPANA CHURRASQUERA 1 M. FRENTE X 0,59 CM FONDO - 15 CM Ø</t>
  </si>
  <si>
    <t>CAMPANAS</t>
  </si>
  <si>
    <t>CAMCHU120</t>
  </si>
  <si>
    <t>CAMPANA CHURRASQUERA 1,20 M. FRENTE X 0,70 CM FONDO - 15 CM Ø</t>
  </si>
  <si>
    <t>CAMLIS60</t>
  </si>
  <si>
    <t>CAMPANA COCINA LISA - 60 CM FRENTE X 51 CM FONDO - 12,5 CM Ø</t>
  </si>
  <si>
    <t>CAMLIS75</t>
  </si>
  <si>
    <t>CAMPANA DE COCINA LISA 75 CM FRENTE X 54 CM FONDO - 12,5 CM Ø</t>
  </si>
  <si>
    <t>CAMZOC60</t>
  </si>
  <si>
    <t>CAMPANA COCINA C/ZOCALO 60 CM FRENTE X 51 CM FONDO - 12,5 CM Ø</t>
  </si>
  <si>
    <t>CAMZOC75</t>
  </si>
  <si>
    <t>CAMPANA COCINA C/ZOCALO 75 CM FRENTE X 54 CM FONDO - 12,5 CM Ø</t>
  </si>
  <si>
    <t>CAN033</t>
  </si>
  <si>
    <t>METROS CANALETA S/SOLDAR 33 CM.</t>
  </si>
  <si>
    <t>CANALETAS</t>
  </si>
  <si>
    <t>CAN040</t>
  </si>
  <si>
    <t>METROS CANALETA S/SOLDAR 40 CM.</t>
  </si>
  <si>
    <t>CAN050</t>
  </si>
  <si>
    <t>METROS CANALETA S/SOLDAR 50 CM.</t>
  </si>
  <si>
    <t>CAN07</t>
  </si>
  <si>
    <t>CAÑO EN CHAPA 30 DE 7,5 CM. Ø x METRO</t>
  </si>
  <si>
    <t>CAÑOS</t>
  </si>
  <si>
    <t>CAN08</t>
  </si>
  <si>
    <t>CAÑO EN CHAPA 30 DE 08 CM. Ø x METRO</t>
  </si>
  <si>
    <t>CAN09</t>
  </si>
  <si>
    <t>CAÑO EN CHAPA 30 DE 09 CM. Ø x METRO</t>
  </si>
  <si>
    <t>CAN10</t>
  </si>
  <si>
    <t>CAÑO EN CHAPA 30 DE 10 CM. Ø x METRO</t>
  </si>
  <si>
    <t>CAN10X5</t>
  </si>
  <si>
    <t>CAÑO RECTANGULAR DE 10X5 cm. CH.30 (METRO)</t>
  </si>
  <si>
    <t>CAN11</t>
  </si>
  <si>
    <t>CAÑO EN CHAPA 30 DE 11 CM. Ø x METRO</t>
  </si>
  <si>
    <t>CAN12</t>
  </si>
  <si>
    <t>CAÑO EN CHAPA 30 DE 12.5 CM. Ø x METRO</t>
  </si>
  <si>
    <t>CAN12X8</t>
  </si>
  <si>
    <t>CAÑO RECTANGULAR DE 12X8 cm. CH.30 (METRO)</t>
  </si>
  <si>
    <t>CAN15</t>
  </si>
  <si>
    <t>CAÑO EN CHAPA 30 DE 15 CM. Ø x METRO</t>
  </si>
  <si>
    <t>CAN18</t>
  </si>
  <si>
    <t>CAÑO EN CHAPA 30 DE 18 CM. Ø x METRO</t>
  </si>
  <si>
    <t>CAN18X18</t>
  </si>
  <si>
    <t>CAÑO RECTANGULAR DE 18X18 cm. CH.30 (METRO)</t>
  </si>
  <si>
    <t>CAN20</t>
  </si>
  <si>
    <t>CAÑO EN CHAPA 30 DE 20 CM. Ø x METRO</t>
  </si>
  <si>
    <t>CAN25</t>
  </si>
  <si>
    <t>CAÑO EN CHAPA 30 DE 25 CM. Ø x METRO</t>
  </si>
  <si>
    <t>CAN30</t>
  </si>
  <si>
    <t>CAÑO EN CHAPA 30 DE 30 CM. Ø x METRO</t>
  </si>
  <si>
    <t>CAN30G22</t>
  </si>
  <si>
    <t>CAÑO REF. CH.GALV. #22 30 CM.Ø POR MT.</t>
  </si>
  <si>
    <t>CAN30G25</t>
  </si>
  <si>
    <t>CAÑO REF. CH.GALV. #25 30 CM.Ø POR MT.</t>
  </si>
  <si>
    <t>CAN30L18</t>
  </si>
  <si>
    <t>CAÑO REF. CH.LAF. #18 30 CM.Ø POR MT.</t>
  </si>
  <si>
    <t>CAN38G22</t>
  </si>
  <si>
    <t>CAÑO REF. CH.GALV. #22 38 CM.Ø POR MT.</t>
  </si>
  <si>
    <t>CAN38G25</t>
  </si>
  <si>
    <t>CAÑO REF. CH.GALV. #25 38 CM.Ø POR MT.</t>
  </si>
  <si>
    <t>CAN38L18</t>
  </si>
  <si>
    <t>CAÑO REF. CH.LAF. #18 38 CM.Ø POR MT.</t>
  </si>
  <si>
    <t>CAN40G22</t>
  </si>
  <si>
    <t>CAÑO REF. CH.GALV. #22 40 CM.Ø POR MT.</t>
  </si>
  <si>
    <t>CAN40G25</t>
  </si>
  <si>
    <t>CAÑO REF. CH.GALV. #25 40 CM.Ø POR MT.</t>
  </si>
  <si>
    <t>CAN40L18</t>
  </si>
  <si>
    <t>CAÑO REF. CH.LAF. #18 40 CM.Ø POR MT.</t>
  </si>
  <si>
    <t>CAN50G22</t>
  </si>
  <si>
    <t>CAÑO REF. CH.GALV. #22 50 CM.Ø POR MT.</t>
  </si>
  <si>
    <t>CAN50G25</t>
  </si>
  <si>
    <t>CAÑO REF. CH.GALV. #25 50 CM.Ø POR MT.</t>
  </si>
  <si>
    <t>CAN50L18</t>
  </si>
  <si>
    <t>CAÑO REF. CH.LAF. #18 50 CM.Ø POR MT.</t>
  </si>
  <si>
    <t>CAN9X6</t>
  </si>
  <si>
    <t>CAÑO RECTANGULAR DE 9X6 cm. CH.30 (METRO)</t>
  </si>
  <si>
    <t>CANAME30</t>
  </si>
  <si>
    <t>METROS CANALETA AMERICANA DE 30 CM.</t>
  </si>
  <si>
    <t>CANAME40</t>
  </si>
  <si>
    <t>METROS CANALETA AMERICANA DE 40 CM.</t>
  </si>
  <si>
    <t>CANREC15X8</t>
  </si>
  <si>
    <t>CAÑO RECTANGULAR DE 15X8 cm. CH.30 (METRO)</t>
  </si>
  <si>
    <t>CANREC19X13</t>
  </si>
  <si>
    <t>CAÑO RECTANGULAR DE 19X13 cm. CH.30 (METRO)</t>
  </si>
  <si>
    <t>CANREF07</t>
  </si>
  <si>
    <t>CAÑO REF. CH.GALV. #25 07.5 CM.Ø</t>
  </si>
  <si>
    <t>CANREF10</t>
  </si>
  <si>
    <t>CAÑO REF. CH.GALV. #25 10 CM.Ø</t>
  </si>
  <si>
    <t>CANREF12</t>
  </si>
  <si>
    <t>CAÑO REF. CH.GALV. #25 12.5 CM.Ø</t>
  </si>
  <si>
    <t>CANREF15</t>
  </si>
  <si>
    <t>CAÑO REF. CH.GALV. #25 15 CM.Ø</t>
  </si>
  <si>
    <t>CANSAL07</t>
  </si>
  <si>
    <t>CAÑO SALAMANDRA DE 7,5 CM Ø #24</t>
  </si>
  <si>
    <t>CANSAL09</t>
  </si>
  <si>
    <t>CAÑO SALAMANDRA 9 CM. Ø CH.NEGRA #24</t>
  </si>
  <si>
    <t>CANSAL10</t>
  </si>
  <si>
    <t>CAÑO SALAMANDRA 10 CM. Ø CH.NEGRA #24</t>
  </si>
  <si>
    <t>CANSAL12</t>
  </si>
  <si>
    <t>CAÑO SALAMANDRA 12.5 CM. Ø CH.NEGRA #24</t>
  </si>
  <si>
    <t>CANSAL15</t>
  </si>
  <si>
    <t>CAÑO SALAMANDRA 15 CM. Ø CH.NEGRA #24</t>
  </si>
  <si>
    <t>CANSAL20</t>
  </si>
  <si>
    <t>CAÑO SALAMANDRA DE 20 CM. Ø #24</t>
  </si>
  <si>
    <t>CAPABLA</t>
  </si>
  <si>
    <t>CAPELOTO MODELO "A" BLANCO</t>
  </si>
  <si>
    <t>ARTICULOS VARIOS SEGUN MEDIDAS</t>
  </si>
  <si>
    <t>CAPACIN</t>
  </si>
  <si>
    <t>CAPELOTO MODELO "A" CINCALUM</t>
  </si>
  <si>
    <t>CAPAGAL</t>
  </si>
  <si>
    <t>CAPELOTO MODELO "A" GALVANIZADO</t>
  </si>
  <si>
    <t>CAPFBLA</t>
  </si>
  <si>
    <t>CAPELOTO MODELO "F" BLANCO</t>
  </si>
  <si>
    <t>CAPFCIN</t>
  </si>
  <si>
    <t>CAPELOTO MODELO "F" CINCALUM</t>
  </si>
  <si>
    <t>CAPFGAL</t>
  </si>
  <si>
    <t>CAPELOTO MODELO "F" GALVANIZADO</t>
  </si>
  <si>
    <t>CEN033</t>
  </si>
  <si>
    <t>CENTRAL 33 CM.C/BOQUETA P/CANALETA</t>
  </si>
  <si>
    <t>CEN40</t>
  </si>
  <si>
    <t>CENTRAL 40 CM.C/BOQUETA P/CANALETA</t>
  </si>
  <si>
    <t>CENAME30</t>
  </si>
  <si>
    <t>CENTRAL CANALETA AMERICANA 30 CM</t>
  </si>
  <si>
    <t>CERRADU</t>
  </si>
  <si>
    <t>CERRADURA PUERTA DE GAS</t>
  </si>
  <si>
    <t>PUERTA DE GAS</t>
  </si>
  <si>
    <t>CNF025</t>
  </si>
  <si>
    <t>METROS CENEFA 25 CM.(TRAMO 2 MTS)</t>
  </si>
  <si>
    <t>CENEFAS</t>
  </si>
  <si>
    <t>CNF033</t>
  </si>
  <si>
    <t>METROS CENEFA 33 CM.(TRAMO 2 MTS)</t>
  </si>
  <si>
    <t>CNF040</t>
  </si>
  <si>
    <t>METROS CENEFA 40 CM.(TRAMO 2 MTS)</t>
  </si>
  <si>
    <t>CNF050</t>
  </si>
  <si>
    <t>METROS CENEFA 50 CM.(TRAMO 2 MTS)</t>
  </si>
  <si>
    <t>CNFFLOR</t>
  </si>
  <si>
    <t>TIRON CENEFA FLOR X 2.44MT CH.27GALV</t>
  </si>
  <si>
    <t>COD10X5</t>
  </si>
  <si>
    <t>CODO 45º/90º  10X5 CM.</t>
  </si>
  <si>
    <t>COD9X6</t>
  </si>
  <si>
    <t>CODO 90ª 9X6 CM.</t>
  </si>
  <si>
    <t>COM07</t>
  </si>
  <si>
    <t>SOMBRERETE COMUN 7,5 CM. Ø EN CH. GALV. #30</t>
  </si>
  <si>
    <t>SOMBRERETES</t>
  </si>
  <si>
    <t>COM08</t>
  </si>
  <si>
    <t>SOMBRERETE COMUN 08 CM. Ø EN CH. GALV. #30</t>
  </si>
  <si>
    <t>COM09</t>
  </si>
  <si>
    <t>SOMBRERETE COMUN 09 CM. Ø EN CH. GALV. #30</t>
  </si>
  <si>
    <t>COM10</t>
  </si>
  <si>
    <t>SOMBRERETE COMUN 10 CM. Ø EN CH. GALV. #30</t>
  </si>
  <si>
    <t>COM12</t>
  </si>
  <si>
    <t>SOMBRERETE COMUN 12,5 CM. Ø EN CH. GALV. #30</t>
  </si>
  <si>
    <t>COM15</t>
  </si>
  <si>
    <t>SOMBRERETE COMUN 15 CM. Ø EN CH. GALV. #30</t>
  </si>
  <si>
    <t>COM18</t>
  </si>
  <si>
    <t>SOMBRERETE COMUN 18 CM. Ø EN CH. GALV. #30</t>
  </si>
  <si>
    <t>COM20</t>
  </si>
  <si>
    <t>SOMBRERETE COMUN 20 CM. Ø EN CH. GALV. #30</t>
  </si>
  <si>
    <t>CON10A07</t>
  </si>
  <si>
    <t>CONO DE REDUCCION DE 10 A 07 CM.Ø</t>
  </si>
  <si>
    <t>CONOS</t>
  </si>
  <si>
    <t>CON12A07</t>
  </si>
  <si>
    <t>CONO DE REDUCCION DE 12 A 07 CM.Ø</t>
  </si>
  <si>
    <t>CON12A10</t>
  </si>
  <si>
    <t>CONO DE REDUCCION DE 12 A 10 CM.Ø</t>
  </si>
  <si>
    <t>CON15A10</t>
  </si>
  <si>
    <t>CONO DE REDUCCION DE 15 A 10 CM.Ø</t>
  </si>
  <si>
    <t>CON15A12</t>
  </si>
  <si>
    <t>CONO DE REDUCCION DE 15 A 12 CM.Ø</t>
  </si>
  <si>
    <t>CON20A10</t>
  </si>
  <si>
    <t>CONO DE REDUCCION DE 20 A 10 CM.Ø</t>
  </si>
  <si>
    <t>CON20A15</t>
  </si>
  <si>
    <t>CONO DE REDUCCION DE 20 A 15 CM.Ø</t>
  </si>
  <si>
    <t>CON25A15</t>
  </si>
  <si>
    <t>CONO DE REDUCCION DE 25 A 15 CM.Ø</t>
  </si>
  <si>
    <t>CONREP10A07</t>
  </si>
  <si>
    <t>REDUCCION 10 A 07 CM Ø EN 3 SEGMENTOS CH. GALV. #22</t>
  </si>
  <si>
    <t>CONREP12A10</t>
  </si>
  <si>
    <t>REDUCCION  12 A 10 CM Ø EN 3 SEGMENTOS CH. GALV. #22</t>
  </si>
  <si>
    <t>CONREP15A10</t>
  </si>
  <si>
    <t>REDUCCION 15 A 10 CM Ø EN 3 SEGMENTOS CH. GALV. #22</t>
  </si>
  <si>
    <t>CONREP15A12</t>
  </si>
  <si>
    <t>REDUCCION 15 A 12 CM Ø EN 3 SEGMENTOS CH. GALV. #22</t>
  </si>
  <si>
    <t>CONREP20A10</t>
  </si>
  <si>
    <t>REDUCCION 20 A 10 CM Ø EN 3 SEGMENTOS CH. GALV. #22</t>
  </si>
  <si>
    <t>CONREP20A12</t>
  </si>
  <si>
    <t>REDUCCION 20 A 12 CM Ø EN 3 SEGMENTOS CH. GALV. #22</t>
  </si>
  <si>
    <t>CONREP20A15</t>
  </si>
  <si>
    <t>REDUCCION 20 A 15 CM Ø EN 3 SEGMENTOS CH. GALV. #22</t>
  </si>
  <si>
    <t>CONREP25A15</t>
  </si>
  <si>
    <t>REDUCCION 25 A 15 CM Ø EN 3 SEGMENTOS CH. GALV. #22</t>
  </si>
  <si>
    <t>CUM025</t>
  </si>
  <si>
    <t>METROS CUMBRERA 25 CM.(TRAMO 2 MTS)</t>
  </si>
  <si>
    <t>CUMBRERAS</t>
  </si>
  <si>
    <t>CUM033</t>
  </si>
  <si>
    <t>METROS CUMBRERA 33 CM.(TRAMO 2 MTS)</t>
  </si>
  <si>
    <t>CUM040</t>
  </si>
  <si>
    <t>METROS CUMBRERA 40 CM.(TRAMO 2 MTS)</t>
  </si>
  <si>
    <t>CUM050</t>
  </si>
  <si>
    <t>METROS CUMBRERA 50 CM.(TRAMO 2 MTS)</t>
  </si>
  <si>
    <t>CUP9X6</t>
  </si>
  <si>
    <t>CUPLA M/H PARA CAÑO RECTANGULAR DE 9X6 CM. EN CHAPA 30</t>
  </si>
  <si>
    <t>ESC033</t>
  </si>
  <si>
    <t>ESCUADRA EXT/INT DE 33 CM.</t>
  </si>
  <si>
    <t>ESCUADRAS</t>
  </si>
  <si>
    <t>ESC040</t>
  </si>
  <si>
    <t>ESCUADRA EXT/INT DE 40 CM.</t>
  </si>
  <si>
    <t>EVA</t>
  </si>
  <si>
    <t>EVAPORADOR PARA MEMBRANA DE TECHOS</t>
  </si>
  <si>
    <t>EVAPORADOR</t>
  </si>
  <si>
    <t>EXTEOL100</t>
  </si>
  <si>
    <t>EXTRACTOR EOLICO DE 10 CM. (4")</t>
  </si>
  <si>
    <t>EXTEOL125</t>
  </si>
  <si>
    <t>EXTRACTOR EOLICO DE 12.5 CM (5")</t>
  </si>
  <si>
    <t>EXTEOL150</t>
  </si>
  <si>
    <t>EXTRACTOR EOLICO DE 15 CM. (6")</t>
  </si>
  <si>
    <t>EXTEOL200</t>
  </si>
  <si>
    <t>EXTRACTOR EOLICO DE 20 CM. (8")</t>
  </si>
  <si>
    <t>EXTEOL250</t>
  </si>
  <si>
    <t>EXTRACTOR EOLICO DE 25 CM (10")</t>
  </si>
  <si>
    <t>EXTEOL300</t>
  </si>
  <si>
    <t>EXTRACTOR EOLICO DE 30CM (12")</t>
  </si>
  <si>
    <t>EXTEOL400</t>
  </si>
  <si>
    <t>EXTRACTOR EOLICO DE 40 CM. (16")</t>
  </si>
  <si>
    <t>EXTEOL600</t>
  </si>
  <si>
    <t>EXTRACTOR EOLICO DE 60 CM. (24")</t>
  </si>
  <si>
    <t>EXTEOL750</t>
  </si>
  <si>
    <t>EXTRACTOR EOLICO DE 75CM. (30")</t>
  </si>
  <si>
    <t>FLE</t>
  </si>
  <si>
    <t>FLEJE 50cm. P/ABRAZADERA</t>
  </si>
  <si>
    <t>GAB10M</t>
  </si>
  <si>
    <t>GABINETE GAS 10M3 AUTORIZADO ECOGAS</t>
  </si>
  <si>
    <t>GABGAS</t>
  </si>
  <si>
    <t>GABINETE GAS 50X40 APROBADO</t>
  </si>
  <si>
    <t>GABICHI</t>
  </si>
  <si>
    <t>GABINETE PARA GAS CHICO 20x40CM</t>
  </si>
  <si>
    <t>GARAME9X6</t>
  </si>
  <si>
    <t>GARGOLA AMERICANA Nº27 SAL. 9X6</t>
  </si>
  <si>
    <t>GAS07</t>
  </si>
  <si>
    <t>SOMBRERETE APROB. GAS DOBLE ARO 7,5 CM. Ø</t>
  </si>
  <si>
    <t>GAS08</t>
  </si>
  <si>
    <t>SOMBRERETE APROB. GAS DOBLE ARO 8 CM. Ø</t>
  </si>
  <si>
    <t>GAS09</t>
  </si>
  <si>
    <t>SOMBRERETE APROB. GAS DOBLE ARO 9 CM. Ø</t>
  </si>
  <si>
    <t>GAS10</t>
  </si>
  <si>
    <t>SOMBRERETE APROB. GAS DOBLE ARO 10 CM. Ø</t>
  </si>
  <si>
    <t>GAS11</t>
  </si>
  <si>
    <t>SOMBRERETE APROB. GAS DOBLE ARO 11 CM. Ø</t>
  </si>
  <si>
    <t>GAS12</t>
  </si>
  <si>
    <t>SOMBRERETE APROB. GAS DOBLE ARO 12,5 CM. Ø</t>
  </si>
  <si>
    <t>GAS15</t>
  </si>
  <si>
    <t>SOMBRERETE APROB. GAS DOBLE ARO 15 CM. Ø</t>
  </si>
  <si>
    <t>GAS18</t>
  </si>
  <si>
    <t>SOMBRERETE APROB. GAS DOBLE ARO 18 CM. Ø</t>
  </si>
  <si>
    <t>GAS20</t>
  </si>
  <si>
    <t>SOMBRERETE APROB. GAS DOBLE ARO 20 CM. Ø</t>
  </si>
  <si>
    <t>GAS25</t>
  </si>
  <si>
    <t>SOMBRERETE APROB. GAS DOBLE ARO 25 CM. Ø</t>
  </si>
  <si>
    <t>GAS30</t>
  </si>
  <si>
    <t>SOMBRERETE APROB. GAS DOBLE ARO 30 CM. Ø</t>
  </si>
  <si>
    <t>GASNOR07</t>
  </si>
  <si>
    <t>SOMBRERETE GAS NORMALIZADO 7,5 cm. Ø</t>
  </si>
  <si>
    <t>GASNOR10</t>
  </si>
  <si>
    <t>SOMBRERETE GAS NORMALIZADO 10 cm. Ø</t>
  </si>
  <si>
    <t>GASNOR12</t>
  </si>
  <si>
    <t>SOMBRERETE GAS NORMALIZADO 12,5 cm Ø</t>
  </si>
  <si>
    <t>GASNOR15</t>
  </si>
  <si>
    <t>SOMBRERETE GAS NORMALIZADO 15 cm. Ø</t>
  </si>
  <si>
    <t>GASNOR20</t>
  </si>
  <si>
    <t>SOMBRERETE GAS NORMALIZADO 20CM. Ø</t>
  </si>
  <si>
    <t>GO1CHI</t>
  </si>
  <si>
    <t>METROS GOTERO 14 cm. (TRAMO 1 MT.)</t>
  </si>
  <si>
    <t>GOTEROS</t>
  </si>
  <si>
    <t>GO1GRA</t>
  </si>
  <si>
    <t>METROS GOTERO 20 cm. (TRAMO 1 MT.)</t>
  </si>
  <si>
    <t>GO1MED</t>
  </si>
  <si>
    <t>METROS GOTERO 16,5cm (TRAMO 1 MT.)</t>
  </si>
  <si>
    <t>GOTCHI</t>
  </si>
  <si>
    <t>METROS GOTERO 14 cm. (TRAMO 2 MTS.)</t>
  </si>
  <si>
    <t>GOTGRA</t>
  </si>
  <si>
    <t>METROS GOTERO 20 cm. (TRAMO 2 MTS.)</t>
  </si>
  <si>
    <t>GOTGRAREF</t>
  </si>
  <si>
    <t>METROS GOTERO 20 cm. (TRAMO 2 MTS.) CH25GALV</t>
  </si>
  <si>
    <t>GOTMED</t>
  </si>
  <si>
    <t>METROS GOTERO 16,5cm (TRAMO 2 MTS.)</t>
  </si>
  <si>
    <t>GRA33</t>
  </si>
  <si>
    <t>GRAMPAS PARA CANALETA DE 33 CM.</t>
  </si>
  <si>
    <t>GRAAME30</t>
  </si>
  <si>
    <t>GRAMPAS P/CANALETA AMERICANA 30 CM.</t>
  </si>
  <si>
    <t>GRAAME38</t>
  </si>
  <si>
    <t>GRAMPAS P/CANALETA AMERICANA 38 CM.</t>
  </si>
  <si>
    <t>GRACOC</t>
  </si>
  <si>
    <t>GRAMPA TIPO "L" P/COCINA DE 4x4 CM.</t>
  </si>
  <si>
    <t>GRAGALLIV</t>
  </si>
  <si>
    <t>GRAMPA LAVATORIO GALV. LIVIANA</t>
  </si>
  <si>
    <t>GRAGALPES</t>
  </si>
  <si>
    <t>GRAMPA DE LAVATORIO GALV. PESADA</t>
  </si>
  <si>
    <t>GRAHIE</t>
  </si>
  <si>
    <t>GRAMPA LAVATORIO HIERRO</t>
  </si>
  <si>
    <t>GRAL</t>
  </si>
  <si>
    <t>GRAMPA P/MARCO DE PUERTA</t>
  </si>
  <si>
    <t>GRAMEDCAN</t>
  </si>
  <si>
    <t>GRAMPA PARA CANALETA MEDIA CAÑA</t>
  </si>
  <si>
    <t>H07</t>
  </si>
  <si>
    <t>SOMBRERETE "H" P/VENTILACION 7.5 CM Ø</t>
  </si>
  <si>
    <t>H10</t>
  </si>
  <si>
    <t>SOMBRERETE "H" P/VENTILACION 10 CM Ø</t>
  </si>
  <si>
    <t>H12</t>
  </si>
  <si>
    <t>SOMBRERETE "H" P/VENTILACION 12,5 CM Ø</t>
  </si>
  <si>
    <t>H15</t>
  </si>
  <si>
    <t>SOMBRERETE "H" P/VENTILACION 15 CM Ø</t>
  </si>
  <si>
    <t>H20</t>
  </si>
  <si>
    <t>SOMBRERETE "H" P/VENTILACION 20 CM Ø</t>
  </si>
  <si>
    <t>LUZ1</t>
  </si>
  <si>
    <t>GRAMPA OMEGA PARA CAÑO LUZ DE 1"</t>
  </si>
  <si>
    <t>LUZ3/4</t>
  </si>
  <si>
    <t>GRAMPA OMEGA PARA CAÑO LUZ DE 3/4</t>
  </si>
  <si>
    <t>LUZ5/8</t>
  </si>
  <si>
    <t>GRAMPA OMEGA PARA CAÑO LUZ DE 5/8</t>
  </si>
  <si>
    <t>LUZ7/8</t>
  </si>
  <si>
    <t>GRAMPA OMEGA PARA CAÑO LUZ DE 7/8</t>
  </si>
  <si>
    <t>MEDOM5/16</t>
  </si>
  <si>
    <t>GRAMPAS MEDIA OMEGA DE 5/16" C/Alum</t>
  </si>
  <si>
    <t>MEDOME1/2</t>
  </si>
  <si>
    <t>GRAMPAS MEDIA OMEGA DE 1/2" C/Alum</t>
  </si>
  <si>
    <t>MEDOME3/8</t>
  </si>
  <si>
    <t>GRAMPAS MEDIA OMEGA DE 3/8" C/Alum</t>
  </si>
  <si>
    <t>MENSULA42</t>
  </si>
  <si>
    <t>PAR DE MENSULAS 2 mm. P/A.A. DE 42 CM.</t>
  </si>
  <si>
    <t>OME09</t>
  </si>
  <si>
    <t>GRAMPA OMEGA DE 9 CM.</t>
  </si>
  <si>
    <t>OME1</t>
  </si>
  <si>
    <t>GRAMPA OMEGA DE 1"</t>
  </si>
  <si>
    <t>OME1/2</t>
  </si>
  <si>
    <t>OME11/2</t>
  </si>
  <si>
    <t>GRAMPA OMEGA DE 1 1/2</t>
  </si>
  <si>
    <t>OME11/4</t>
  </si>
  <si>
    <t>GRAMPA OMEGA DE 1 1/4</t>
  </si>
  <si>
    <t>OME110</t>
  </si>
  <si>
    <t>GRAMPA OMEGA DE 110 MM. CAÑO PVC</t>
  </si>
  <si>
    <t>OME14</t>
  </si>
  <si>
    <t>GRAMPA OMEGA DE 14 CM.</t>
  </si>
  <si>
    <t>OME16</t>
  </si>
  <si>
    <t>GRAMPA OMEGA DE 16 CM.</t>
  </si>
  <si>
    <t>OME2</t>
  </si>
  <si>
    <t>GRAMPA OMEGA DE 2"</t>
  </si>
  <si>
    <t>OME20</t>
  </si>
  <si>
    <t>GRAMPA OMEGA DE 20 CM.</t>
  </si>
  <si>
    <t>OME21/2</t>
  </si>
  <si>
    <t>GRAMPA OMEGA 2 1/2</t>
  </si>
  <si>
    <t>OME3</t>
  </si>
  <si>
    <t>GRAMPA OMEGA DE 3"</t>
  </si>
  <si>
    <t>OME3/4</t>
  </si>
  <si>
    <t>GRAMPA OMEGA DE 3/4</t>
  </si>
  <si>
    <t>OME4</t>
  </si>
  <si>
    <t>GRAMPA OMEGA DE 4"</t>
  </si>
  <si>
    <t>OME5</t>
  </si>
  <si>
    <t>GRAMPA OMEGA DE 5"</t>
  </si>
  <si>
    <t>OME6</t>
  </si>
  <si>
    <t>GRAMPA OMEGA DE 6"</t>
  </si>
  <si>
    <t>PTAGAS</t>
  </si>
  <si>
    <t>CONJUNTO PUERTA/MARCO GAS 50X40 CM</t>
  </si>
  <si>
    <t>PTAGAS 40X20</t>
  </si>
  <si>
    <t>CONJUNTO PUERTA/MARCO GAS 40X20 CM.</t>
  </si>
  <si>
    <t>PTAGAS10M</t>
  </si>
  <si>
    <t>CONJUNTO PUERTA/MARCO GAS 10M3 AUTORIZADO ECOGAS</t>
  </si>
  <si>
    <t>REJMETLIV</t>
  </si>
  <si>
    <t>REJILLA PATIO LIVIANA 20x20 MET. DESPL. 2 MM.</t>
  </si>
  <si>
    <t>REJILLAS</t>
  </si>
  <si>
    <t>REJMETPES</t>
  </si>
  <si>
    <t>REJILLA PATIO PESADA 20x20 MET. DESPL. 3,2 MM. - CON MARCO Hº&lt;</t>
  </si>
  <si>
    <t>SELLA</t>
  </si>
  <si>
    <t>SELLAMETALES - CARTUCHO DE 300 ML.</t>
  </si>
  <si>
    <t>SELLADORES</t>
  </si>
  <si>
    <t>SELLA50</t>
  </si>
  <si>
    <t>SELLADOR DE SILICONA PARA ZINGUERIA DE 50 ML.</t>
  </si>
  <si>
    <t>T07</t>
  </si>
  <si>
    <t>RAMAL TIPO "T" 07 CM. Ø Ch. #30</t>
  </si>
  <si>
    <t>RAMALES</t>
  </si>
  <si>
    <t>T10</t>
  </si>
  <si>
    <t>RAMAL TIPO "T" 10 CM. Ø Ch. #30</t>
  </si>
  <si>
    <t>T12</t>
  </si>
  <si>
    <t>RAMAL TIPO "T" 12,5 CM. Ø Ch. #30</t>
  </si>
  <si>
    <t>T15</t>
  </si>
  <si>
    <t>RAMAL TIPO "T" 15 CM. Ø Ch. #30</t>
  </si>
  <si>
    <t>T30</t>
  </si>
  <si>
    <t>RAMAL TIPO "T" 30 CM.Ø CH. GALVANIZADA #25</t>
  </si>
  <si>
    <t>TAP20</t>
  </si>
  <si>
    <t>TAPA DE CAMARA REFORZADA 20 X 20</t>
  </si>
  <si>
    <t>TAPAS DE CAMARA</t>
  </si>
  <si>
    <t>TAP25</t>
  </si>
  <si>
    <t>TAPA DE CAMARA REFORZADA 25 X 25</t>
  </si>
  <si>
    <t>TAP30</t>
  </si>
  <si>
    <t>TAPA DE CAMARA REFORZADA 30 X 30</t>
  </si>
  <si>
    <t>TAP40</t>
  </si>
  <si>
    <t>TAPA DE CAMARA REFORZADA 40 X 40</t>
  </si>
  <si>
    <t>TAPPES60</t>
  </si>
  <si>
    <t>TAPA DE CAMARA PESADA 60 X 60 CM.</t>
  </si>
  <si>
    <t>TAPREF60</t>
  </si>
  <si>
    <t>TAPA DE CAMARA REFORZADA 60 X 60</t>
  </si>
  <si>
    <t>TAPREF70</t>
  </si>
  <si>
    <t>TAPA DE CAMARA REFORZADA 70 X 70</t>
  </si>
  <si>
    <t>TAPREF75</t>
  </si>
  <si>
    <t>TAPA DE CAMARA REFORZADA 75 X 75</t>
  </si>
  <si>
    <t>TAPSUP60</t>
  </si>
  <si>
    <t>TAPA DE CAMARA SUPER-REFORZ.60 X 60</t>
  </si>
  <si>
    <t>TERTAP033DER</t>
  </si>
  <si>
    <t>TERMINAL CON TAPA PARA CANALETA DE 33cm DERECHO</t>
  </si>
  <si>
    <t>TERTAP033IZQ</t>
  </si>
  <si>
    <t>TERMINAL CON TAPA PARA CANALETA DE 33cm IZQUIERDO</t>
  </si>
  <si>
    <t>TERTAP040</t>
  </si>
  <si>
    <t>TERMINAL CON TAPA P/CAN.[] DE 40 cm</t>
  </si>
  <si>
    <t>TERTYB033DER</t>
  </si>
  <si>
    <t>TERMINAL CON TAPA Y BOQUETA PARA CANALETA DE 33cm DERECHO</t>
  </si>
  <si>
    <t>TERTYB033IZQ</t>
  </si>
  <si>
    <t>TERMINAL CON TAPA Y BOQUETA PARA CANALETA DE 33cm IZQUIERDO</t>
  </si>
  <si>
    <t>TERTYB040</t>
  </si>
  <si>
    <t>TERMINAL CON TAPA Y BOQ.P/CAN.40cm.</t>
  </si>
  <si>
    <t>VEN020200</t>
  </si>
  <si>
    <t>REJILLA DE VENT. 20X20cm PASO 200cm2 AMURAR</t>
  </si>
  <si>
    <t>VEN020200ATO</t>
  </si>
  <si>
    <t>REJILLA DE VENT. 20X20cm PASO 200cm2 ATORNILLAR</t>
  </si>
  <si>
    <t>VEN020ATO</t>
  </si>
  <si>
    <t>REJILLA DE VENTILACION 20X20 cm - PASO 100 CM2 - ATORNILLAR</t>
  </si>
  <si>
    <t>VEN020PIN</t>
  </si>
  <si>
    <t>REJILLA DE VENTILACION 20X20 cm - PASO 100 CM2 - AMURAR</t>
  </si>
  <si>
    <t>VENTU10</t>
  </si>
  <si>
    <t>SOMBRERETE TIPO VENTURI DE 10 CM.Ø</t>
  </si>
  <si>
    <t>VENTU12</t>
  </si>
  <si>
    <t>SOMBRERETE TIPO VENTURI DE 12.5 CM.Ø</t>
  </si>
  <si>
    <t>VENTU15</t>
  </si>
  <si>
    <t>SOMBRERETE TIPO VENTURI DE 15 CM.Ø</t>
  </si>
  <si>
    <t>VENTU20</t>
  </si>
  <si>
    <t>SOMBRERETE TIPO VENTURI DE 20 CM.Ø</t>
  </si>
  <si>
    <t>Y07</t>
  </si>
  <si>
    <t>RAMAL TIPO "Y" 07 CM. Ø Ch. #30</t>
  </si>
  <si>
    <t>Y10</t>
  </si>
  <si>
    <t>RAMAL TIPO "Y" 10 CM. Ø Ch. #30</t>
  </si>
  <si>
    <t>Y12</t>
  </si>
  <si>
    <t>RAMAL TIPO "Y" 12,5 CM. Ø Ch. #30</t>
  </si>
  <si>
    <t>Y15</t>
  </si>
  <si>
    <t>RAMAL TIPO "Y" 15 CM. Ø Ch. #30</t>
  </si>
  <si>
    <t>CODIGO</t>
  </si>
  <si>
    <t>DESCRIPCION</t>
  </si>
  <si>
    <t>RUBRO</t>
  </si>
  <si>
    <t>PRECIO</t>
  </si>
  <si>
    <t>LISTA N°44</t>
  </si>
  <si>
    <t>17 DE SETIEMBRE DE 2025</t>
  </si>
  <si>
    <t>INDUSTRIAS MARRELLO</t>
  </si>
  <si>
    <t>GRAMPA OMEGA DE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</si>
</sst>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[$$-2C0A]\ * #,##0.00_-;\-[$$-2C0A]\ * #,##0.00_-;_-[$$-2C0A]\ * &quot;-&quot;??_-;_-@_-"/>
    <numFmt numFmtId="165" formatCode="_ [$$-2C0A]\ * #,##0.00_ ;_ [$$-2C0A]\ * \-#,##0.00_ ;_ [$$-2C0A]\ * &quot;-&quot;??_ ;_ @_ "/>
    <numFmt numFmtId="166" formatCode="_ [$$-2C0A]\ * #,##0_ ;_ [$$-2C0A]\ * \-#,##0_ ;_ [$$-2C0A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0" borderId="3" xfId="0" applyNumberFormat="1" applyBorder="1"/>
    <xf numFmtId="165" fontId="3" fillId="2" borderId="2" xfId="0" applyNumberFormat="1" applyFont="1" applyFill="1" applyBorder="1"/>
    <xf numFmtId="165" fontId="3" fillId="2" borderId="0" xfId="0" applyNumberFormat="1" applyFont="1" applyFill="1" applyBorder="1"/>
    <xf numFmtId="0" fontId="0" fillId="0" borderId="2" xfId="0" applyBorder="1"/>
    <xf numFmtId="166" fontId="3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3"/>
  <sheetViews>
    <sheetView tabSelected="1" topLeftCell="A16" workbookViewId="0">
      <selection activeCell="B31" sqref="B31"/>
    </sheetView>
  </sheetViews>
  <sheetFormatPr baseColWidth="10" defaultColWidth="10.7109375" defaultRowHeight="15" x14ac:dyDescent="0.25"/>
  <cols>
    <col min="1" max="1" width="14.42578125" bestFit="1" customWidth="1"/>
    <col min="2" max="2" width="66" bestFit="1" customWidth="1"/>
    <col min="3" max="3" width="14.42578125" customWidth="1"/>
    <col min="4" max="4" width="16" customWidth="1"/>
    <col min="5" max="5" width="15.7109375" customWidth="1"/>
    <col min="6" max="6" width="12.42578125" customWidth="1"/>
  </cols>
  <sheetData>
    <row r="1" spans="1:5" x14ac:dyDescent="0.25">
      <c r="A1" s="1" t="s">
        <v>545</v>
      </c>
    </row>
    <row r="2" spans="1:5" x14ac:dyDescent="0.25">
      <c r="A2" s="1" t="s">
        <v>543</v>
      </c>
      <c r="B2" s="1" t="s">
        <v>544</v>
      </c>
    </row>
    <row r="3" spans="1:5" ht="16.5" thickBot="1" x14ac:dyDescent="0.3">
      <c r="A3" s="3" t="s">
        <v>75</v>
      </c>
      <c r="B3" s="3" t="s">
        <v>76</v>
      </c>
      <c r="C3" s="3" t="s">
        <v>74</v>
      </c>
      <c r="D3" s="4">
        <v>0</v>
      </c>
      <c r="E3" s="7">
        <f t="shared" ref="E3:E34" si="0">D3*1.21*1.7</f>
        <v>0</v>
      </c>
    </row>
    <row r="4" spans="1:5" ht="16.5" thickBot="1" x14ac:dyDescent="0.3">
      <c r="A4" s="3" t="s">
        <v>77</v>
      </c>
      <c r="B4" s="3" t="s">
        <v>78</v>
      </c>
      <c r="C4" s="3" t="s">
        <v>74</v>
      </c>
      <c r="D4" s="5">
        <v>0</v>
      </c>
      <c r="E4" s="6">
        <f t="shared" si="0"/>
        <v>0</v>
      </c>
    </row>
    <row r="5" spans="1:5" ht="16.5" thickBot="1" x14ac:dyDescent="0.3">
      <c r="A5" s="3" t="s">
        <v>81</v>
      </c>
      <c r="B5" s="3" t="s">
        <v>82</v>
      </c>
      <c r="C5" s="3" t="s">
        <v>74</v>
      </c>
      <c r="D5" s="4">
        <v>0</v>
      </c>
      <c r="E5" s="6">
        <f t="shared" si="0"/>
        <v>0</v>
      </c>
    </row>
    <row r="6" spans="1:5" ht="16.5" thickBot="1" x14ac:dyDescent="0.3">
      <c r="A6" s="3" t="s">
        <v>72</v>
      </c>
      <c r="B6" s="3" t="s">
        <v>73</v>
      </c>
      <c r="C6" s="3" t="s">
        <v>74</v>
      </c>
      <c r="D6" s="4">
        <v>0</v>
      </c>
      <c r="E6" s="6">
        <f t="shared" si="0"/>
        <v>0</v>
      </c>
    </row>
    <row r="7" spans="1:5" ht="16.5" thickBot="1" x14ac:dyDescent="0.3">
      <c r="A7" s="3" t="s">
        <v>79</v>
      </c>
      <c r="B7" s="3" t="s">
        <v>80</v>
      </c>
      <c r="C7" s="3" t="s">
        <v>74</v>
      </c>
      <c r="D7" s="4">
        <v>0</v>
      </c>
      <c r="E7" s="6">
        <f t="shared" si="0"/>
        <v>0</v>
      </c>
    </row>
    <row r="8" spans="1:5" ht="16.5" thickBot="1" x14ac:dyDescent="0.3">
      <c r="A8" s="3" t="s">
        <v>88</v>
      </c>
      <c r="B8" s="3" t="s">
        <v>89</v>
      </c>
      <c r="C8" s="3" t="s">
        <v>85</v>
      </c>
      <c r="D8" s="4">
        <v>2099</v>
      </c>
      <c r="E8" s="6">
        <f t="shared" si="0"/>
        <v>4317.643</v>
      </c>
    </row>
    <row r="9" spans="1:5" ht="16.5" thickBot="1" x14ac:dyDescent="0.3">
      <c r="A9" s="3" t="s">
        <v>96</v>
      </c>
      <c r="B9" s="3" t="s">
        <v>97</v>
      </c>
      <c r="C9" s="3" t="s">
        <v>85</v>
      </c>
      <c r="D9" s="4">
        <v>2099</v>
      </c>
      <c r="E9" s="6">
        <f t="shared" si="0"/>
        <v>4317.643</v>
      </c>
    </row>
    <row r="10" spans="1:5" ht="16.5" thickBot="1" x14ac:dyDescent="0.3">
      <c r="A10" s="3" t="s">
        <v>86</v>
      </c>
      <c r="B10" s="3" t="s">
        <v>87</v>
      </c>
      <c r="C10" s="3" t="s">
        <v>85</v>
      </c>
      <c r="D10" s="4">
        <v>2099</v>
      </c>
      <c r="E10" s="6">
        <f t="shared" si="0"/>
        <v>4317.643</v>
      </c>
    </row>
    <row r="11" spans="1:5" ht="16.5" thickBot="1" x14ac:dyDescent="0.3">
      <c r="A11" s="3" t="s">
        <v>90</v>
      </c>
      <c r="B11" s="3" t="s">
        <v>91</v>
      </c>
      <c r="C11" s="3" t="s">
        <v>85</v>
      </c>
      <c r="D11" s="4">
        <v>2309</v>
      </c>
      <c r="E11" s="6">
        <f t="shared" si="0"/>
        <v>4749.6129999999994</v>
      </c>
    </row>
    <row r="12" spans="1:5" ht="16.5" thickBot="1" x14ac:dyDescent="0.3">
      <c r="A12" s="3" t="s">
        <v>92</v>
      </c>
      <c r="B12" s="3" t="s">
        <v>93</v>
      </c>
      <c r="C12" s="3" t="s">
        <v>85</v>
      </c>
      <c r="D12" s="4">
        <v>2716</v>
      </c>
      <c r="E12" s="6">
        <f t="shared" si="0"/>
        <v>5586.8119999999999</v>
      </c>
    </row>
    <row r="13" spans="1:5" ht="16.5" thickBot="1" x14ac:dyDescent="0.3">
      <c r="A13" s="3" t="s">
        <v>94</v>
      </c>
      <c r="B13" s="3" t="s">
        <v>95</v>
      </c>
      <c r="C13" s="3" t="s">
        <v>85</v>
      </c>
      <c r="D13" s="4">
        <v>3210</v>
      </c>
      <c r="E13" s="6">
        <f t="shared" si="0"/>
        <v>6602.9699999999993</v>
      </c>
    </row>
    <row r="14" spans="1:5" ht="16.5" thickBot="1" x14ac:dyDescent="0.3">
      <c r="A14" s="3" t="s">
        <v>83</v>
      </c>
      <c r="B14" s="3" t="s">
        <v>84</v>
      </c>
      <c r="C14" s="3" t="s">
        <v>85</v>
      </c>
      <c r="D14" s="4">
        <v>1889</v>
      </c>
      <c r="E14" s="6">
        <f t="shared" si="0"/>
        <v>3885.6729999999998</v>
      </c>
    </row>
    <row r="15" spans="1:5" ht="16.5" thickBot="1" x14ac:dyDescent="0.3">
      <c r="A15" s="3" t="s">
        <v>98</v>
      </c>
      <c r="B15" s="3" t="s">
        <v>99</v>
      </c>
      <c r="C15" s="3" t="s">
        <v>100</v>
      </c>
      <c r="D15" s="4">
        <v>86420</v>
      </c>
      <c r="E15" s="6">
        <f t="shared" si="0"/>
        <v>177765.94</v>
      </c>
    </row>
    <row r="16" spans="1:5" ht="16.5" thickBot="1" x14ac:dyDescent="0.3">
      <c r="A16" s="3" t="s">
        <v>101</v>
      </c>
      <c r="B16" s="3" t="s">
        <v>102</v>
      </c>
      <c r="C16" s="3" t="s">
        <v>100</v>
      </c>
      <c r="D16" s="4">
        <v>98765</v>
      </c>
      <c r="E16" s="6">
        <f t="shared" si="0"/>
        <v>203159.60499999998</v>
      </c>
    </row>
    <row r="17" spans="1:5" ht="16.5" thickBot="1" x14ac:dyDescent="0.3">
      <c r="A17" s="3" t="s">
        <v>107</v>
      </c>
      <c r="B17" s="3" t="s">
        <v>108</v>
      </c>
      <c r="C17" s="3" t="s">
        <v>100</v>
      </c>
      <c r="D17" s="4">
        <v>28395</v>
      </c>
      <c r="E17" s="6">
        <f t="shared" si="0"/>
        <v>58408.514999999992</v>
      </c>
    </row>
    <row r="18" spans="1:5" ht="16.5" thickBot="1" x14ac:dyDescent="0.3">
      <c r="A18" s="3" t="s">
        <v>109</v>
      </c>
      <c r="B18" s="3" t="s">
        <v>110</v>
      </c>
      <c r="C18" s="3" t="s">
        <v>100</v>
      </c>
      <c r="D18" s="4">
        <v>37037</v>
      </c>
      <c r="E18" s="6">
        <f t="shared" si="0"/>
        <v>76185.108999999997</v>
      </c>
    </row>
    <row r="19" spans="1:5" ht="16.5" thickBot="1" x14ac:dyDescent="0.3">
      <c r="A19" s="3" t="s">
        <v>103</v>
      </c>
      <c r="B19" s="3" t="s">
        <v>104</v>
      </c>
      <c r="C19" s="3" t="s">
        <v>100</v>
      </c>
      <c r="D19" s="4">
        <v>24691</v>
      </c>
      <c r="E19" s="6">
        <f t="shared" si="0"/>
        <v>50789.387000000002</v>
      </c>
    </row>
    <row r="20" spans="1:5" ht="16.5" thickBot="1" x14ac:dyDescent="0.3">
      <c r="A20" s="3" t="s">
        <v>105</v>
      </c>
      <c r="B20" s="3" t="s">
        <v>106</v>
      </c>
      <c r="C20" s="3" t="s">
        <v>100</v>
      </c>
      <c r="D20" s="4">
        <v>30864</v>
      </c>
      <c r="E20" s="6">
        <f t="shared" si="0"/>
        <v>63487.248</v>
      </c>
    </row>
    <row r="21" spans="1:5" ht="16.5" thickBot="1" x14ac:dyDescent="0.3">
      <c r="A21" s="3" t="s">
        <v>121</v>
      </c>
      <c r="B21" s="3" t="s">
        <v>122</v>
      </c>
      <c r="C21" s="3" t="s">
        <v>120</v>
      </c>
      <c r="D21" s="4">
        <v>3704</v>
      </c>
      <c r="E21" s="6">
        <f t="shared" si="0"/>
        <v>7619.1279999999997</v>
      </c>
    </row>
    <row r="22" spans="1:5" ht="16.5" thickBot="1" x14ac:dyDescent="0.3">
      <c r="A22" s="3" t="s">
        <v>123</v>
      </c>
      <c r="B22" s="3" t="s">
        <v>124</v>
      </c>
      <c r="C22" s="3" t="s">
        <v>120</v>
      </c>
      <c r="D22" s="4">
        <v>3519</v>
      </c>
      <c r="E22" s="6">
        <f t="shared" si="0"/>
        <v>7238.5829999999996</v>
      </c>
    </row>
    <row r="23" spans="1:5" ht="16.5" thickBot="1" x14ac:dyDescent="0.3">
      <c r="A23" s="3" t="s">
        <v>125</v>
      </c>
      <c r="B23" s="3" t="s">
        <v>126</v>
      </c>
      <c r="C23" s="3" t="s">
        <v>120</v>
      </c>
      <c r="D23" s="4">
        <v>3519</v>
      </c>
      <c r="E23" s="6">
        <f t="shared" si="0"/>
        <v>7238.5829999999996</v>
      </c>
    </row>
    <row r="24" spans="1:5" ht="16.5" thickBot="1" x14ac:dyDescent="0.3">
      <c r="A24" s="3" t="s">
        <v>129</v>
      </c>
      <c r="B24" s="3" t="s">
        <v>130</v>
      </c>
      <c r="C24" s="3" t="s">
        <v>120</v>
      </c>
      <c r="D24" s="4">
        <v>5309</v>
      </c>
      <c r="E24" s="6">
        <f t="shared" si="0"/>
        <v>10920.612999999999</v>
      </c>
    </row>
    <row r="25" spans="1:5" ht="16.5" thickBot="1" x14ac:dyDescent="0.3">
      <c r="A25" s="3" t="s">
        <v>131</v>
      </c>
      <c r="B25" s="3" t="s">
        <v>132</v>
      </c>
      <c r="C25" s="3" t="s">
        <v>120</v>
      </c>
      <c r="D25" s="4">
        <v>5309</v>
      </c>
      <c r="E25" s="6">
        <f t="shared" si="0"/>
        <v>10920.612999999999</v>
      </c>
    </row>
    <row r="26" spans="1:5" ht="16.5" thickBot="1" x14ac:dyDescent="0.3">
      <c r="A26" s="3" t="s">
        <v>135</v>
      </c>
      <c r="B26" s="3" t="s">
        <v>136</v>
      </c>
      <c r="C26" s="3" t="s">
        <v>120</v>
      </c>
      <c r="D26" s="4">
        <v>6296</v>
      </c>
      <c r="E26" s="6">
        <f t="shared" si="0"/>
        <v>12950.871999999999</v>
      </c>
    </row>
    <row r="27" spans="1:5" ht="16.5" thickBot="1" x14ac:dyDescent="0.3">
      <c r="A27" s="3" t="s">
        <v>137</v>
      </c>
      <c r="B27" s="3" t="s">
        <v>138</v>
      </c>
      <c r="C27" s="3" t="s">
        <v>120</v>
      </c>
      <c r="D27" s="4">
        <v>8642</v>
      </c>
      <c r="E27" s="6">
        <f t="shared" si="0"/>
        <v>17776.593999999997</v>
      </c>
    </row>
    <row r="28" spans="1:5" ht="16.5" thickBot="1" x14ac:dyDescent="0.3">
      <c r="A28" s="3" t="s">
        <v>141</v>
      </c>
      <c r="B28" s="3" t="s">
        <v>142</v>
      </c>
      <c r="C28" s="3" t="s">
        <v>120</v>
      </c>
      <c r="D28" s="4">
        <v>9259</v>
      </c>
      <c r="E28" s="6">
        <f t="shared" si="0"/>
        <v>19045.762999999999</v>
      </c>
    </row>
    <row r="29" spans="1:5" ht="16.5" thickBot="1" x14ac:dyDescent="0.3">
      <c r="A29" s="3" t="s">
        <v>143</v>
      </c>
      <c r="B29" s="3" t="s">
        <v>144</v>
      </c>
      <c r="C29" s="3" t="s">
        <v>120</v>
      </c>
      <c r="D29" s="4">
        <v>11728</v>
      </c>
      <c r="E29" s="6">
        <f t="shared" si="0"/>
        <v>24124.495999999999</v>
      </c>
    </row>
    <row r="30" spans="1:5" ht="16.5" thickBot="1" x14ac:dyDescent="0.3">
      <c r="A30" s="3" t="s">
        <v>145</v>
      </c>
      <c r="B30" s="3" t="s">
        <v>146</v>
      </c>
      <c r="C30" s="3" t="s">
        <v>120</v>
      </c>
      <c r="D30" s="4">
        <v>14815</v>
      </c>
      <c r="E30" s="6">
        <f t="shared" si="0"/>
        <v>30474.454999999994</v>
      </c>
    </row>
    <row r="31" spans="1:5" ht="16.5" thickBot="1" x14ac:dyDescent="0.3">
      <c r="A31" s="3" t="s">
        <v>118</v>
      </c>
      <c r="B31" s="3" t="s">
        <v>119</v>
      </c>
      <c r="C31" s="3" t="s">
        <v>120</v>
      </c>
      <c r="D31" s="4">
        <v>2840</v>
      </c>
      <c r="E31" s="6">
        <f t="shared" si="0"/>
        <v>5841.88</v>
      </c>
    </row>
    <row r="32" spans="1:5" ht="16.5" thickBot="1" x14ac:dyDescent="0.3">
      <c r="A32" s="3" t="s">
        <v>127</v>
      </c>
      <c r="B32" s="3" t="s">
        <v>128</v>
      </c>
      <c r="C32" s="3" t="s">
        <v>120</v>
      </c>
      <c r="D32" s="4">
        <v>5420</v>
      </c>
      <c r="E32" s="6">
        <f t="shared" si="0"/>
        <v>11148.939999999999</v>
      </c>
    </row>
    <row r="33" spans="1:5" ht="16.5" thickBot="1" x14ac:dyDescent="0.3">
      <c r="A33" s="3" t="s">
        <v>133</v>
      </c>
      <c r="B33" s="3" t="s">
        <v>134</v>
      </c>
      <c r="C33" s="3" t="s">
        <v>120</v>
      </c>
      <c r="D33" s="4">
        <v>6802</v>
      </c>
      <c r="E33" s="6">
        <f t="shared" si="0"/>
        <v>13991.714</v>
      </c>
    </row>
    <row r="34" spans="1:5" ht="16.5" thickBot="1" x14ac:dyDescent="0.3">
      <c r="A34" s="3" t="s">
        <v>177</v>
      </c>
      <c r="B34" s="3" t="s">
        <v>178</v>
      </c>
      <c r="C34" s="3" t="s">
        <v>120</v>
      </c>
      <c r="D34" s="4">
        <v>8445</v>
      </c>
      <c r="E34" s="6">
        <f t="shared" si="0"/>
        <v>17371.364999999998</v>
      </c>
    </row>
    <row r="35" spans="1:5" ht="16.5" thickBot="1" x14ac:dyDescent="0.3">
      <c r="A35" s="3" t="s">
        <v>139</v>
      </c>
      <c r="B35" s="3" t="s">
        <v>140</v>
      </c>
      <c r="C35" s="3" t="s">
        <v>120</v>
      </c>
      <c r="D35" s="4">
        <v>12197</v>
      </c>
      <c r="E35" s="6">
        <f t="shared" ref="E35:E66" si="1">D35*1.21*1.7</f>
        <v>25089.228999999999</v>
      </c>
    </row>
    <row r="36" spans="1:5" ht="16.5" thickBot="1" x14ac:dyDescent="0.3">
      <c r="A36" s="3" t="s">
        <v>179</v>
      </c>
      <c r="B36" s="3" t="s">
        <v>180</v>
      </c>
      <c r="C36" s="3" t="s">
        <v>120</v>
      </c>
      <c r="D36" s="4">
        <v>12197</v>
      </c>
      <c r="E36" s="6">
        <f t="shared" si="1"/>
        <v>25089.228999999999</v>
      </c>
    </row>
    <row r="37" spans="1:5" ht="16.5" thickBot="1" x14ac:dyDescent="0.3">
      <c r="A37" s="3" t="s">
        <v>171</v>
      </c>
      <c r="B37" s="3" t="s">
        <v>172</v>
      </c>
      <c r="C37" s="3" t="s">
        <v>120</v>
      </c>
      <c r="D37" s="4">
        <v>5420</v>
      </c>
      <c r="E37" s="6">
        <f t="shared" si="1"/>
        <v>11148.939999999999</v>
      </c>
    </row>
    <row r="38" spans="1:5" ht="16.5" thickBot="1" x14ac:dyDescent="0.3">
      <c r="A38" s="3" t="s">
        <v>147</v>
      </c>
      <c r="B38" s="3" t="s">
        <v>148</v>
      </c>
      <c r="C38" s="3" t="s">
        <v>120</v>
      </c>
      <c r="D38" s="4">
        <v>28285</v>
      </c>
      <c r="E38" s="6">
        <f t="shared" si="1"/>
        <v>58182.244999999995</v>
      </c>
    </row>
    <row r="39" spans="1:5" ht="16.5" thickBot="1" x14ac:dyDescent="0.3">
      <c r="A39" s="3" t="s">
        <v>153</v>
      </c>
      <c r="B39" s="3" t="s">
        <v>154</v>
      </c>
      <c r="C39" s="3" t="s">
        <v>120</v>
      </c>
      <c r="D39" s="4">
        <v>35214</v>
      </c>
      <c r="E39" s="6">
        <f t="shared" si="1"/>
        <v>72435.198000000004</v>
      </c>
    </row>
    <row r="40" spans="1:5" ht="16.5" thickBot="1" x14ac:dyDescent="0.3">
      <c r="A40" s="3" t="s">
        <v>159</v>
      </c>
      <c r="B40" s="3" t="s">
        <v>160</v>
      </c>
      <c r="C40" s="3" t="s">
        <v>120</v>
      </c>
      <c r="D40" s="4">
        <v>39021</v>
      </c>
      <c r="E40" s="6">
        <f t="shared" si="1"/>
        <v>80266.196999999986</v>
      </c>
    </row>
    <row r="41" spans="1:5" ht="16.5" thickBot="1" x14ac:dyDescent="0.3">
      <c r="A41" s="3" t="s">
        <v>165</v>
      </c>
      <c r="B41" s="3" t="s">
        <v>166</v>
      </c>
      <c r="C41" s="3" t="s">
        <v>120</v>
      </c>
      <c r="D41" s="4">
        <v>47396</v>
      </c>
      <c r="E41" s="6">
        <f t="shared" si="1"/>
        <v>97493.571999999986</v>
      </c>
    </row>
    <row r="42" spans="1:5" ht="16.5" thickBot="1" x14ac:dyDescent="0.3">
      <c r="A42" s="3" t="s">
        <v>181</v>
      </c>
      <c r="B42" s="3" t="s">
        <v>182</v>
      </c>
      <c r="C42" s="3" t="s">
        <v>120</v>
      </c>
      <c r="D42" s="4">
        <v>4714</v>
      </c>
      <c r="E42" s="6">
        <f t="shared" si="1"/>
        <v>9696.6979999999985</v>
      </c>
    </row>
    <row r="43" spans="1:5" ht="16.5" thickBot="1" x14ac:dyDescent="0.3">
      <c r="A43" s="3" t="s">
        <v>183</v>
      </c>
      <c r="B43" s="3" t="s">
        <v>184</v>
      </c>
      <c r="C43" s="3" t="s">
        <v>120</v>
      </c>
      <c r="D43" s="4">
        <v>5842</v>
      </c>
      <c r="E43" s="6">
        <f t="shared" si="1"/>
        <v>12016.993999999999</v>
      </c>
    </row>
    <row r="44" spans="1:5" ht="16.5" thickBot="1" x14ac:dyDescent="0.3">
      <c r="A44" s="3" t="s">
        <v>185</v>
      </c>
      <c r="B44" s="3" t="s">
        <v>186</v>
      </c>
      <c r="C44" s="3" t="s">
        <v>120</v>
      </c>
      <c r="D44" s="4">
        <v>8813</v>
      </c>
      <c r="E44" s="6">
        <f t="shared" si="1"/>
        <v>18128.341</v>
      </c>
    </row>
    <row r="45" spans="1:5" ht="16.5" thickBot="1" x14ac:dyDescent="0.3">
      <c r="A45" s="3" t="s">
        <v>187</v>
      </c>
      <c r="B45" s="3" t="s">
        <v>188</v>
      </c>
      <c r="C45" s="3" t="s">
        <v>120</v>
      </c>
      <c r="D45" s="4">
        <v>10451</v>
      </c>
      <c r="E45" s="6">
        <f t="shared" si="1"/>
        <v>21497.706999999999</v>
      </c>
    </row>
    <row r="46" spans="1:5" ht="16.5" thickBot="1" x14ac:dyDescent="0.3">
      <c r="A46" s="3" t="s">
        <v>149</v>
      </c>
      <c r="B46" s="3" t="s">
        <v>150</v>
      </c>
      <c r="C46" s="3" t="s">
        <v>120</v>
      </c>
      <c r="D46" s="4">
        <v>23032</v>
      </c>
      <c r="E46" s="6">
        <f t="shared" si="1"/>
        <v>47376.823999999993</v>
      </c>
    </row>
    <row r="47" spans="1:5" ht="16.5" thickBot="1" x14ac:dyDescent="0.3">
      <c r="A47" s="3" t="s">
        <v>155</v>
      </c>
      <c r="B47" s="3" t="s">
        <v>156</v>
      </c>
      <c r="C47" s="3" t="s">
        <v>120</v>
      </c>
      <c r="D47" s="4">
        <v>28552</v>
      </c>
      <c r="E47" s="6">
        <f t="shared" si="1"/>
        <v>58731.463999999993</v>
      </c>
    </row>
    <row r="48" spans="1:5" ht="16.5" thickBot="1" x14ac:dyDescent="0.3">
      <c r="A48" s="3" t="s">
        <v>161</v>
      </c>
      <c r="B48" s="3" t="s">
        <v>162</v>
      </c>
      <c r="C48" s="3" t="s">
        <v>120</v>
      </c>
      <c r="D48" s="4">
        <v>31883</v>
      </c>
      <c r="E48" s="6">
        <f t="shared" si="1"/>
        <v>65583.331000000006</v>
      </c>
    </row>
    <row r="49" spans="1:5" ht="16.5" thickBot="1" x14ac:dyDescent="0.3">
      <c r="A49" s="3" t="s">
        <v>167</v>
      </c>
      <c r="B49" s="3" t="s">
        <v>168</v>
      </c>
      <c r="C49" s="3" t="s">
        <v>120</v>
      </c>
      <c r="D49" s="4">
        <v>38069</v>
      </c>
      <c r="E49" s="6">
        <f t="shared" si="1"/>
        <v>78307.93299999999</v>
      </c>
    </row>
    <row r="50" spans="1:5" ht="16.5" thickBot="1" x14ac:dyDescent="0.3">
      <c r="A50" s="3" t="s">
        <v>151</v>
      </c>
      <c r="B50" s="3" t="s">
        <v>152</v>
      </c>
      <c r="C50" s="3" t="s">
        <v>120</v>
      </c>
      <c r="D50" s="4">
        <v>52631</v>
      </c>
      <c r="E50" s="6">
        <f t="shared" si="1"/>
        <v>108261.96699999999</v>
      </c>
    </row>
    <row r="51" spans="1:5" ht="16.5" thickBot="1" x14ac:dyDescent="0.3">
      <c r="A51" s="3" t="s">
        <v>157</v>
      </c>
      <c r="B51" s="3" t="s">
        <v>158</v>
      </c>
      <c r="C51" s="3" t="s">
        <v>120</v>
      </c>
      <c r="D51" s="4">
        <v>60673</v>
      </c>
      <c r="E51" s="6">
        <f t="shared" si="1"/>
        <v>124804.361</v>
      </c>
    </row>
    <row r="52" spans="1:5" ht="16.5" thickBot="1" x14ac:dyDescent="0.3">
      <c r="A52" s="3" t="s">
        <v>163</v>
      </c>
      <c r="B52" s="3" t="s">
        <v>164</v>
      </c>
      <c r="C52" s="3" t="s">
        <v>120</v>
      </c>
      <c r="D52" s="4">
        <v>64051</v>
      </c>
      <c r="E52" s="6">
        <f t="shared" si="1"/>
        <v>131752.90699999998</v>
      </c>
    </row>
    <row r="53" spans="1:5" ht="16.5" thickBot="1" x14ac:dyDescent="0.3">
      <c r="A53" s="3" t="s">
        <v>169</v>
      </c>
      <c r="B53" s="3" t="s">
        <v>170</v>
      </c>
      <c r="C53" s="3" t="s">
        <v>120</v>
      </c>
      <c r="D53" s="4">
        <v>74901</v>
      </c>
      <c r="E53" s="6">
        <f t="shared" si="1"/>
        <v>154071.35699999999</v>
      </c>
    </row>
    <row r="54" spans="1:5" ht="16.5" thickBot="1" x14ac:dyDescent="0.3">
      <c r="A54" s="3" t="s">
        <v>193</v>
      </c>
      <c r="B54" s="3" t="s">
        <v>194</v>
      </c>
      <c r="C54" s="3" t="s">
        <v>120</v>
      </c>
      <c r="D54" s="4">
        <v>6173</v>
      </c>
      <c r="E54" s="6">
        <f t="shared" si="1"/>
        <v>12697.860999999999</v>
      </c>
    </row>
    <row r="55" spans="1:5" ht="16.5" thickBot="1" x14ac:dyDescent="0.3">
      <c r="A55" s="3" t="s">
        <v>195</v>
      </c>
      <c r="B55" s="3" t="s">
        <v>196</v>
      </c>
      <c r="C55" s="3" t="s">
        <v>120</v>
      </c>
      <c r="D55" s="4">
        <v>8025</v>
      </c>
      <c r="E55" s="6">
        <f t="shared" si="1"/>
        <v>16507.424999999999</v>
      </c>
    </row>
    <row r="56" spans="1:5" ht="16.5" thickBot="1" x14ac:dyDescent="0.3">
      <c r="A56" s="3" t="s">
        <v>197</v>
      </c>
      <c r="B56" s="3" t="s">
        <v>198</v>
      </c>
      <c r="C56" s="3" t="s">
        <v>120</v>
      </c>
      <c r="D56" s="4">
        <v>9877</v>
      </c>
      <c r="E56" s="6">
        <f t="shared" si="1"/>
        <v>20316.989000000001</v>
      </c>
    </row>
    <row r="57" spans="1:5" ht="16.5" thickBot="1" x14ac:dyDescent="0.3">
      <c r="A57" s="3" t="s">
        <v>191</v>
      </c>
      <c r="B57" s="3" t="s">
        <v>192</v>
      </c>
      <c r="C57" s="3" t="s">
        <v>120</v>
      </c>
      <c r="D57" s="4">
        <v>6173</v>
      </c>
      <c r="E57" s="6">
        <f t="shared" si="1"/>
        <v>12697.860999999999</v>
      </c>
    </row>
    <row r="58" spans="1:5" ht="16.5" thickBot="1" x14ac:dyDescent="0.3">
      <c r="A58" s="3" t="s">
        <v>199</v>
      </c>
      <c r="B58" s="3" t="s">
        <v>200</v>
      </c>
      <c r="C58" s="3" t="s">
        <v>120</v>
      </c>
      <c r="D58" s="4">
        <v>12346</v>
      </c>
      <c r="E58" s="6">
        <f t="shared" si="1"/>
        <v>25395.721999999998</v>
      </c>
    </row>
    <row r="59" spans="1:5" ht="16.5" thickBot="1" x14ac:dyDescent="0.3">
      <c r="A59" s="3" t="s">
        <v>189</v>
      </c>
      <c r="B59" s="3" t="s">
        <v>190</v>
      </c>
      <c r="C59" s="3" t="s">
        <v>120</v>
      </c>
      <c r="D59" s="4">
        <v>5062</v>
      </c>
      <c r="E59" s="6">
        <f t="shared" si="1"/>
        <v>10412.534</v>
      </c>
    </row>
    <row r="60" spans="1:5" ht="16.5" thickBot="1" x14ac:dyDescent="0.3">
      <c r="A60" s="3" t="s">
        <v>201</v>
      </c>
      <c r="B60" s="3" t="s">
        <v>202</v>
      </c>
      <c r="C60" s="3" t="s">
        <v>203</v>
      </c>
      <c r="D60" s="4">
        <v>200</v>
      </c>
      <c r="E60" s="6">
        <f t="shared" si="1"/>
        <v>411.4</v>
      </c>
    </row>
    <row r="61" spans="1:5" ht="16.5" thickBot="1" x14ac:dyDescent="0.3">
      <c r="A61" s="3" t="s">
        <v>204</v>
      </c>
      <c r="B61" s="3" t="s">
        <v>205</v>
      </c>
      <c r="C61" s="3" t="s">
        <v>203</v>
      </c>
      <c r="D61" s="4">
        <v>200</v>
      </c>
      <c r="E61" s="6">
        <f t="shared" si="1"/>
        <v>411.4</v>
      </c>
    </row>
    <row r="62" spans="1:5" ht="16.5" thickBot="1" x14ac:dyDescent="0.3">
      <c r="A62" s="3" t="s">
        <v>206</v>
      </c>
      <c r="B62" s="3" t="s">
        <v>207</v>
      </c>
      <c r="C62" s="3" t="s">
        <v>203</v>
      </c>
      <c r="D62" s="4">
        <v>200</v>
      </c>
      <c r="E62" s="6">
        <f t="shared" si="1"/>
        <v>411.4</v>
      </c>
    </row>
    <row r="63" spans="1:5" ht="16.5" thickBot="1" x14ac:dyDescent="0.3">
      <c r="A63" s="3" t="s">
        <v>208</v>
      </c>
      <c r="B63" s="3" t="s">
        <v>209</v>
      </c>
      <c r="C63" s="3" t="s">
        <v>203</v>
      </c>
      <c r="D63" s="4">
        <v>200</v>
      </c>
      <c r="E63" s="6">
        <f t="shared" si="1"/>
        <v>411.4</v>
      </c>
    </row>
    <row r="64" spans="1:5" ht="16.5" thickBot="1" x14ac:dyDescent="0.3">
      <c r="A64" s="3" t="s">
        <v>210</v>
      </c>
      <c r="B64" s="3" t="s">
        <v>211</v>
      </c>
      <c r="C64" s="3" t="s">
        <v>203</v>
      </c>
      <c r="D64" s="4">
        <v>200</v>
      </c>
      <c r="E64" s="6">
        <f t="shared" si="1"/>
        <v>411.4</v>
      </c>
    </row>
    <row r="65" spans="1:5" ht="16.5" thickBot="1" x14ac:dyDescent="0.3">
      <c r="A65" s="3" t="s">
        <v>212</v>
      </c>
      <c r="B65" s="3" t="s">
        <v>213</v>
      </c>
      <c r="C65" s="3" t="s">
        <v>203</v>
      </c>
      <c r="D65" s="4">
        <v>200</v>
      </c>
      <c r="E65" s="6">
        <f t="shared" si="1"/>
        <v>411.4</v>
      </c>
    </row>
    <row r="66" spans="1:5" ht="16.5" thickBot="1" x14ac:dyDescent="0.3">
      <c r="A66" s="3" t="s">
        <v>214</v>
      </c>
      <c r="B66" s="3" t="s">
        <v>215</v>
      </c>
      <c r="C66" s="3" t="s">
        <v>85</v>
      </c>
      <c r="D66" s="4">
        <v>5062</v>
      </c>
      <c r="E66" s="6">
        <f t="shared" si="1"/>
        <v>10412.534</v>
      </c>
    </row>
    <row r="67" spans="1:5" ht="16.5" thickBot="1" x14ac:dyDescent="0.3">
      <c r="A67" s="3" t="s">
        <v>216</v>
      </c>
      <c r="B67" s="3" t="s">
        <v>217</v>
      </c>
      <c r="C67" s="3" t="s">
        <v>113</v>
      </c>
      <c r="D67" s="4">
        <v>6790</v>
      </c>
      <c r="E67" s="6">
        <f t="shared" ref="E67:E98" si="2">D67*1.21*1.7</f>
        <v>13967.029999999999</v>
      </c>
    </row>
    <row r="68" spans="1:5" ht="16.5" thickBot="1" x14ac:dyDescent="0.3">
      <c r="A68" s="3" t="s">
        <v>218</v>
      </c>
      <c r="B68" s="3" t="s">
        <v>219</v>
      </c>
      <c r="C68" s="3" t="s">
        <v>85</v>
      </c>
      <c r="D68" s="4">
        <v>7407</v>
      </c>
      <c r="E68" s="6">
        <f t="shared" si="2"/>
        <v>15236.198999999999</v>
      </c>
    </row>
    <row r="69" spans="1:5" ht="16.5" thickBot="1" x14ac:dyDescent="0.3">
      <c r="A69" s="3" t="s">
        <v>220</v>
      </c>
      <c r="B69" s="3" t="s">
        <v>221</v>
      </c>
      <c r="C69" s="3" t="s">
        <v>222</v>
      </c>
      <c r="D69" s="4">
        <v>5679</v>
      </c>
      <c r="E69" s="6">
        <f t="shared" si="2"/>
        <v>11681.703</v>
      </c>
    </row>
    <row r="70" spans="1:5" ht="16.5" thickBot="1" x14ac:dyDescent="0.3">
      <c r="A70" s="3" t="s">
        <v>234</v>
      </c>
      <c r="B70" s="3" t="s">
        <v>235</v>
      </c>
      <c r="C70" s="3" t="s">
        <v>17</v>
      </c>
      <c r="D70" s="4">
        <v>5405</v>
      </c>
      <c r="E70" s="6">
        <f t="shared" si="2"/>
        <v>11118.084999999999</v>
      </c>
    </row>
    <row r="71" spans="1:5" ht="16.5" thickBot="1" x14ac:dyDescent="0.3">
      <c r="A71" s="3" t="s">
        <v>236</v>
      </c>
      <c r="B71" s="3" t="s">
        <v>237</v>
      </c>
      <c r="C71" s="3" t="s">
        <v>17</v>
      </c>
      <c r="D71" s="4">
        <v>5405</v>
      </c>
      <c r="E71" s="6">
        <f t="shared" si="2"/>
        <v>11118.084999999999</v>
      </c>
    </row>
    <row r="72" spans="1:5" ht="16.5" thickBot="1" x14ac:dyDescent="0.3">
      <c r="A72" s="3" t="s">
        <v>64</v>
      </c>
      <c r="B72" s="3" t="s">
        <v>65</v>
      </c>
      <c r="C72" s="3" t="s">
        <v>17</v>
      </c>
      <c r="D72" s="4">
        <v>3704</v>
      </c>
      <c r="E72" s="6">
        <f t="shared" si="2"/>
        <v>7619.1279999999997</v>
      </c>
    </row>
    <row r="73" spans="1:5" ht="16.5" thickBot="1" x14ac:dyDescent="0.3">
      <c r="A73" s="3" t="s">
        <v>66</v>
      </c>
      <c r="B73" s="3" t="s">
        <v>67</v>
      </c>
      <c r="C73" s="3" t="s">
        <v>17</v>
      </c>
      <c r="D73" s="4">
        <v>3704</v>
      </c>
      <c r="E73" s="6">
        <f t="shared" si="2"/>
        <v>7619.1279999999997</v>
      </c>
    </row>
    <row r="74" spans="1:5" ht="16.5" thickBot="1" x14ac:dyDescent="0.3">
      <c r="A74" s="3" t="s">
        <v>68</v>
      </c>
      <c r="B74" s="3" t="s">
        <v>69</v>
      </c>
      <c r="C74" s="3" t="s">
        <v>17</v>
      </c>
      <c r="D74" s="4">
        <v>5926</v>
      </c>
      <c r="E74" s="6">
        <f t="shared" si="2"/>
        <v>12189.781999999999</v>
      </c>
    </row>
    <row r="75" spans="1:5" ht="16.5" thickBot="1" x14ac:dyDescent="0.3">
      <c r="A75" s="3" t="s">
        <v>70</v>
      </c>
      <c r="B75" s="3" t="s">
        <v>71</v>
      </c>
      <c r="C75" s="3" t="s">
        <v>17</v>
      </c>
      <c r="D75" s="4">
        <v>7407</v>
      </c>
      <c r="E75" s="6">
        <f t="shared" si="2"/>
        <v>15236.198999999999</v>
      </c>
    </row>
    <row r="76" spans="1:5" ht="16.5" thickBot="1" x14ac:dyDescent="0.3">
      <c r="A76" s="3" t="s">
        <v>44</v>
      </c>
      <c r="B76" s="3" t="s">
        <v>45</v>
      </c>
      <c r="C76" s="3" t="s">
        <v>17</v>
      </c>
      <c r="D76" s="4">
        <v>40390.93</v>
      </c>
      <c r="E76" s="6">
        <f t="shared" si="2"/>
        <v>83084.14301</v>
      </c>
    </row>
    <row r="77" spans="1:5" ht="16.5" thickBot="1" x14ac:dyDescent="0.3">
      <c r="A77" s="3" t="s">
        <v>461</v>
      </c>
      <c r="B77" s="3" t="s">
        <v>462</v>
      </c>
      <c r="C77" s="3" t="s">
        <v>222</v>
      </c>
      <c r="D77" s="4">
        <v>53000</v>
      </c>
      <c r="E77" s="6">
        <f t="shared" si="2"/>
        <v>109021</v>
      </c>
    </row>
    <row r="78" spans="1:5" ht="16.5" thickBot="1" x14ac:dyDescent="0.3">
      <c r="A78" s="3" t="s">
        <v>459</v>
      </c>
      <c r="B78" s="3" t="s">
        <v>460</v>
      </c>
      <c r="C78" s="3" t="s">
        <v>222</v>
      </c>
      <c r="D78" s="4">
        <v>14691</v>
      </c>
      <c r="E78" s="6">
        <f t="shared" si="2"/>
        <v>30219.386999999999</v>
      </c>
    </row>
    <row r="79" spans="1:5" ht="16.5" thickBot="1" x14ac:dyDescent="0.3">
      <c r="A79" s="3" t="s">
        <v>457</v>
      </c>
      <c r="B79" s="3" t="s">
        <v>458</v>
      </c>
      <c r="C79" s="3" t="s">
        <v>222</v>
      </c>
      <c r="D79" s="4">
        <v>21852</v>
      </c>
      <c r="E79" s="6">
        <f t="shared" si="2"/>
        <v>44949.563999999998</v>
      </c>
    </row>
    <row r="80" spans="1:5" ht="16.5" thickBot="1" x14ac:dyDescent="0.3">
      <c r="A80" s="3" t="s">
        <v>255</v>
      </c>
      <c r="B80" s="3" t="s">
        <v>256</v>
      </c>
      <c r="C80" s="3" t="s">
        <v>257</v>
      </c>
      <c r="D80" s="4">
        <v>3086</v>
      </c>
      <c r="E80" s="6">
        <f t="shared" si="2"/>
        <v>6347.902</v>
      </c>
    </row>
    <row r="81" spans="1:5" ht="16.5" thickBot="1" x14ac:dyDescent="0.3">
      <c r="A81" s="3" t="s">
        <v>258</v>
      </c>
      <c r="B81" s="3" t="s">
        <v>259</v>
      </c>
      <c r="C81" s="3" t="s">
        <v>257</v>
      </c>
      <c r="D81" s="4">
        <v>3457</v>
      </c>
      <c r="E81" s="6">
        <f t="shared" si="2"/>
        <v>7111.049</v>
      </c>
    </row>
    <row r="82" spans="1:5" ht="16.5" thickBot="1" x14ac:dyDescent="0.3">
      <c r="A82" s="3" t="s">
        <v>260</v>
      </c>
      <c r="B82" s="3" t="s">
        <v>261</v>
      </c>
      <c r="C82" s="3" t="s">
        <v>257</v>
      </c>
      <c r="D82" s="4">
        <v>3457</v>
      </c>
      <c r="E82" s="6">
        <f t="shared" si="2"/>
        <v>7111.049</v>
      </c>
    </row>
    <row r="83" spans="1:5" ht="16.5" thickBot="1" x14ac:dyDescent="0.3">
      <c r="A83" s="3" t="s">
        <v>262</v>
      </c>
      <c r="B83" s="3" t="s">
        <v>263</v>
      </c>
      <c r="C83" s="3" t="s">
        <v>257</v>
      </c>
      <c r="D83" s="4">
        <v>3951</v>
      </c>
      <c r="E83" s="6">
        <f t="shared" si="2"/>
        <v>8127.2069999999994</v>
      </c>
    </row>
    <row r="84" spans="1:5" ht="16.5" thickBot="1" x14ac:dyDescent="0.3">
      <c r="A84" s="3" t="s">
        <v>264</v>
      </c>
      <c r="B84" s="3" t="s">
        <v>265</v>
      </c>
      <c r="C84" s="3" t="s">
        <v>257</v>
      </c>
      <c r="D84" s="4">
        <v>3951</v>
      </c>
      <c r="E84" s="6">
        <f t="shared" si="2"/>
        <v>8127.2069999999994</v>
      </c>
    </row>
    <row r="85" spans="1:5" ht="16.5" thickBot="1" x14ac:dyDescent="0.3">
      <c r="A85" s="3" t="s">
        <v>266</v>
      </c>
      <c r="B85" s="3" t="s">
        <v>267</v>
      </c>
      <c r="C85" s="3" t="s">
        <v>257</v>
      </c>
      <c r="D85" s="4">
        <v>7407</v>
      </c>
      <c r="E85" s="6">
        <f t="shared" si="2"/>
        <v>15236.198999999999</v>
      </c>
    </row>
    <row r="86" spans="1:5" ht="16.5" thickBot="1" x14ac:dyDescent="0.3">
      <c r="A86" s="3" t="s">
        <v>268</v>
      </c>
      <c r="B86" s="3" t="s">
        <v>269</v>
      </c>
      <c r="C86" s="3" t="s">
        <v>257</v>
      </c>
      <c r="D86" s="4">
        <v>8642</v>
      </c>
      <c r="E86" s="6">
        <f t="shared" si="2"/>
        <v>17776.593999999997</v>
      </c>
    </row>
    <row r="87" spans="1:5" ht="16.5" thickBot="1" x14ac:dyDescent="0.3">
      <c r="A87" s="3" t="s">
        <v>270</v>
      </c>
      <c r="B87" s="3" t="s">
        <v>271</v>
      </c>
      <c r="C87" s="3" t="s">
        <v>257</v>
      </c>
      <c r="D87" s="4">
        <v>10617</v>
      </c>
      <c r="E87" s="6">
        <f t="shared" si="2"/>
        <v>21839.168999999998</v>
      </c>
    </row>
    <row r="88" spans="1:5" ht="16.5" thickBot="1" x14ac:dyDescent="0.3">
      <c r="A88" s="3" t="s">
        <v>297</v>
      </c>
      <c r="B88" s="3" t="s">
        <v>298</v>
      </c>
      <c r="C88" s="3" t="s">
        <v>120</v>
      </c>
      <c r="D88" s="4">
        <v>2469</v>
      </c>
      <c r="E88" s="6">
        <f t="shared" si="2"/>
        <v>5078.7329999999993</v>
      </c>
    </row>
    <row r="89" spans="1:5" ht="16.5" thickBot="1" x14ac:dyDescent="0.3">
      <c r="A89" s="3" t="s">
        <v>15</v>
      </c>
      <c r="B89" s="3" t="s">
        <v>16</v>
      </c>
      <c r="C89" s="3" t="s">
        <v>17</v>
      </c>
      <c r="D89" s="4">
        <v>1420</v>
      </c>
      <c r="E89" s="6">
        <f t="shared" si="2"/>
        <v>2920.94</v>
      </c>
    </row>
    <row r="90" spans="1:5" ht="16.5" thickBot="1" x14ac:dyDescent="0.3">
      <c r="A90" s="3" t="s">
        <v>18</v>
      </c>
      <c r="B90" s="3" t="s">
        <v>19</v>
      </c>
      <c r="C90" s="3" t="s">
        <v>17</v>
      </c>
      <c r="D90" s="4">
        <v>2222</v>
      </c>
      <c r="E90" s="6">
        <f t="shared" si="2"/>
        <v>4570.6539999999995</v>
      </c>
    </row>
    <row r="91" spans="1:5" ht="16.5" thickBot="1" x14ac:dyDescent="0.3">
      <c r="A91" s="3" t="s">
        <v>20</v>
      </c>
      <c r="B91" s="3" t="s">
        <v>21</v>
      </c>
      <c r="C91" s="3" t="s">
        <v>17</v>
      </c>
      <c r="D91" s="4">
        <v>2222</v>
      </c>
      <c r="E91" s="6">
        <f t="shared" si="2"/>
        <v>4570.6539999999995</v>
      </c>
    </row>
    <row r="92" spans="1:5" ht="16.5" thickBot="1" x14ac:dyDescent="0.3">
      <c r="A92" s="3" t="s">
        <v>22</v>
      </c>
      <c r="B92" s="3" t="s">
        <v>23</v>
      </c>
      <c r="C92" s="3" t="s">
        <v>17</v>
      </c>
      <c r="D92" s="4">
        <v>2222</v>
      </c>
      <c r="E92" s="6">
        <f t="shared" si="2"/>
        <v>4570.6539999999995</v>
      </c>
    </row>
    <row r="93" spans="1:5" ht="16.5" thickBot="1" x14ac:dyDescent="0.3">
      <c r="A93" s="3" t="s">
        <v>24</v>
      </c>
      <c r="B93" s="3" t="s">
        <v>25</v>
      </c>
      <c r="C93" s="3" t="s">
        <v>17</v>
      </c>
      <c r="D93" s="4">
        <v>3704</v>
      </c>
      <c r="E93" s="6">
        <f t="shared" si="2"/>
        <v>7619.1279999999997</v>
      </c>
    </row>
    <row r="94" spans="1:5" ht="16.5" thickBot="1" x14ac:dyDescent="0.3">
      <c r="A94" s="3" t="s">
        <v>26</v>
      </c>
      <c r="B94" s="3" t="s">
        <v>27</v>
      </c>
      <c r="C94" s="3" t="s">
        <v>17</v>
      </c>
      <c r="D94" s="4">
        <v>3704</v>
      </c>
      <c r="E94" s="6">
        <f t="shared" si="2"/>
        <v>7619.1279999999997</v>
      </c>
    </row>
    <row r="95" spans="1:5" ht="16.5" thickBot="1" x14ac:dyDescent="0.3">
      <c r="A95" s="3" t="s">
        <v>28</v>
      </c>
      <c r="B95" s="3" t="s">
        <v>29</v>
      </c>
      <c r="C95" s="3" t="s">
        <v>17</v>
      </c>
      <c r="D95" s="4">
        <v>4691</v>
      </c>
      <c r="E95" s="6">
        <f t="shared" si="2"/>
        <v>9649.3869999999988</v>
      </c>
    </row>
    <row r="96" spans="1:5" ht="16.5" thickBot="1" x14ac:dyDescent="0.3">
      <c r="A96" s="3" t="s">
        <v>30</v>
      </c>
      <c r="B96" s="3" t="s">
        <v>31</v>
      </c>
      <c r="C96" s="3" t="s">
        <v>17</v>
      </c>
      <c r="D96" s="4">
        <v>2160</v>
      </c>
      <c r="E96" s="6">
        <f t="shared" si="2"/>
        <v>4443.12</v>
      </c>
    </row>
    <row r="97" spans="1:5" ht="16.5" thickBot="1" x14ac:dyDescent="0.3">
      <c r="A97" s="3" t="s">
        <v>32</v>
      </c>
      <c r="B97" s="3" t="s">
        <v>33</v>
      </c>
      <c r="C97" s="3" t="s">
        <v>17</v>
      </c>
      <c r="D97" s="4">
        <v>2593</v>
      </c>
      <c r="E97" s="6">
        <f t="shared" si="2"/>
        <v>5333.8009999999995</v>
      </c>
    </row>
    <row r="98" spans="1:5" ht="16.5" thickBot="1" x14ac:dyDescent="0.3">
      <c r="A98" s="3" t="s">
        <v>34</v>
      </c>
      <c r="B98" s="3" t="s">
        <v>35</v>
      </c>
      <c r="C98" s="3" t="s">
        <v>17</v>
      </c>
      <c r="D98" s="4">
        <v>2593</v>
      </c>
      <c r="E98" s="6">
        <f t="shared" si="2"/>
        <v>5333.8009999999995</v>
      </c>
    </row>
    <row r="99" spans="1:5" ht="16.5" thickBot="1" x14ac:dyDescent="0.3">
      <c r="A99" s="3" t="s">
        <v>36</v>
      </c>
      <c r="B99" s="3" t="s">
        <v>37</v>
      </c>
      <c r="C99" s="3" t="s">
        <v>17</v>
      </c>
      <c r="D99" s="4">
        <v>2593</v>
      </c>
      <c r="E99" s="6">
        <f t="shared" ref="E99:E111" si="3">D99*1.21*1.7</f>
        <v>5333.8009999999995</v>
      </c>
    </row>
    <row r="100" spans="1:5" ht="16.5" thickBot="1" x14ac:dyDescent="0.3">
      <c r="A100" s="3" t="s">
        <v>38</v>
      </c>
      <c r="B100" s="3" t="s">
        <v>39</v>
      </c>
      <c r="C100" s="3" t="s">
        <v>17</v>
      </c>
      <c r="D100" s="4">
        <v>4691</v>
      </c>
      <c r="E100" s="6">
        <f t="shared" si="3"/>
        <v>9649.3869999999988</v>
      </c>
    </row>
    <row r="101" spans="1:5" ht="16.5" thickBot="1" x14ac:dyDescent="0.3">
      <c r="A101" s="3" t="s">
        <v>40</v>
      </c>
      <c r="B101" s="3" t="s">
        <v>41</v>
      </c>
      <c r="C101" s="3" t="s">
        <v>17</v>
      </c>
      <c r="D101" s="4">
        <v>4074</v>
      </c>
      <c r="E101" s="6">
        <f t="shared" si="3"/>
        <v>8380.2179999999989</v>
      </c>
    </row>
    <row r="102" spans="1:5" ht="16.5" thickBot="1" x14ac:dyDescent="0.3">
      <c r="A102" s="3" t="s">
        <v>42</v>
      </c>
      <c r="B102" s="3" t="s">
        <v>43</v>
      </c>
      <c r="C102" s="3" t="s">
        <v>17</v>
      </c>
      <c r="D102" s="4">
        <v>5123</v>
      </c>
      <c r="E102" s="6">
        <f t="shared" si="3"/>
        <v>10538.011</v>
      </c>
    </row>
    <row r="103" spans="1:5" ht="16.5" thickBot="1" x14ac:dyDescent="0.3">
      <c r="A103" s="3" t="s">
        <v>50</v>
      </c>
      <c r="B103" s="3" t="s">
        <v>51</v>
      </c>
      <c r="C103" s="3" t="s">
        <v>17</v>
      </c>
      <c r="D103" s="4">
        <v>1975</v>
      </c>
      <c r="E103" s="6">
        <f t="shared" si="3"/>
        <v>4062.5749999999998</v>
      </c>
    </row>
    <row r="104" spans="1:5" ht="16.5" thickBot="1" x14ac:dyDescent="0.3">
      <c r="A104" s="3" t="s">
        <v>52</v>
      </c>
      <c r="B104" s="3" t="s">
        <v>53</v>
      </c>
      <c r="C104" s="3" t="s">
        <v>17</v>
      </c>
      <c r="D104" s="4">
        <v>3457</v>
      </c>
      <c r="E104" s="6">
        <f t="shared" si="3"/>
        <v>7111.049</v>
      </c>
    </row>
    <row r="105" spans="1:5" ht="16.5" thickBot="1" x14ac:dyDescent="0.3">
      <c r="A105" s="3" t="s">
        <v>54</v>
      </c>
      <c r="B105" s="3" t="s">
        <v>55</v>
      </c>
      <c r="C105" s="3" t="s">
        <v>17</v>
      </c>
      <c r="D105" s="4">
        <v>4444</v>
      </c>
      <c r="E105" s="6">
        <f t="shared" si="3"/>
        <v>9141.3079999999991</v>
      </c>
    </row>
    <row r="106" spans="1:5" ht="16.5" thickBot="1" x14ac:dyDescent="0.3">
      <c r="A106" s="3" t="s">
        <v>56</v>
      </c>
      <c r="B106" s="3" t="s">
        <v>57</v>
      </c>
      <c r="C106" s="3" t="s">
        <v>17</v>
      </c>
      <c r="D106" s="4">
        <v>11111</v>
      </c>
      <c r="E106" s="6">
        <f t="shared" si="3"/>
        <v>22855.326999999997</v>
      </c>
    </row>
    <row r="107" spans="1:5" ht="16.5" thickBot="1" x14ac:dyDescent="0.3">
      <c r="A107" s="3" t="s">
        <v>58</v>
      </c>
      <c r="B107" s="3" t="s">
        <v>59</v>
      </c>
      <c r="C107" s="3" t="s">
        <v>17</v>
      </c>
      <c r="D107" s="4">
        <v>11728</v>
      </c>
      <c r="E107" s="6">
        <f t="shared" si="3"/>
        <v>24124.495999999999</v>
      </c>
    </row>
    <row r="108" spans="1:5" ht="16.5" thickBot="1" x14ac:dyDescent="0.3">
      <c r="A108" s="3" t="s">
        <v>60</v>
      </c>
      <c r="B108" s="3" t="s">
        <v>61</v>
      </c>
      <c r="C108" s="3" t="s">
        <v>17</v>
      </c>
      <c r="D108" s="4">
        <v>20988</v>
      </c>
      <c r="E108" s="6">
        <f t="shared" si="3"/>
        <v>43172.315999999999</v>
      </c>
    </row>
    <row r="109" spans="1:5" ht="16.5" thickBot="1" x14ac:dyDescent="0.3">
      <c r="A109" s="3" t="s">
        <v>62</v>
      </c>
      <c r="B109" s="3" t="s">
        <v>63</v>
      </c>
      <c r="C109" s="3" t="s">
        <v>17</v>
      </c>
      <c r="D109" s="4">
        <v>24691</v>
      </c>
      <c r="E109" s="6">
        <f t="shared" si="3"/>
        <v>50789.387000000002</v>
      </c>
    </row>
    <row r="110" spans="1:5" ht="16.5" thickBot="1" x14ac:dyDescent="0.3">
      <c r="A110" s="3" t="s">
        <v>46</v>
      </c>
      <c r="B110" s="3" t="s">
        <v>47</v>
      </c>
      <c r="C110" s="3" t="s">
        <v>17</v>
      </c>
      <c r="D110" s="4">
        <v>1753</v>
      </c>
      <c r="E110" s="6">
        <f t="shared" si="3"/>
        <v>3605.9210000000003</v>
      </c>
    </row>
    <row r="111" spans="1:5" ht="16.5" thickBot="1" x14ac:dyDescent="0.3">
      <c r="A111" s="3" t="s">
        <v>48</v>
      </c>
      <c r="B111" s="3" t="s">
        <v>49</v>
      </c>
      <c r="C111" s="3" t="s">
        <v>17</v>
      </c>
      <c r="D111" s="4">
        <v>1975</v>
      </c>
      <c r="E111" s="6">
        <f t="shared" si="3"/>
        <v>4062.5749999999998</v>
      </c>
    </row>
    <row r="112" spans="1:5" ht="15.75" thickBot="1" x14ac:dyDescent="0.3">
      <c r="A112" s="2" t="s">
        <v>539</v>
      </c>
      <c r="B112" s="2" t="s">
        <v>540</v>
      </c>
      <c r="C112" s="2" t="s">
        <v>541</v>
      </c>
      <c r="D112" s="2" t="s">
        <v>542</v>
      </c>
      <c r="E112" s="8"/>
    </row>
    <row r="113" spans="1:5" ht="16.5" thickBot="1" x14ac:dyDescent="0.3">
      <c r="A113" s="3" t="s">
        <v>299</v>
      </c>
      <c r="B113" s="3" t="s">
        <v>300</v>
      </c>
      <c r="C113" s="3" t="s">
        <v>301</v>
      </c>
      <c r="D113" s="4">
        <v>9877</v>
      </c>
      <c r="E113" s="6">
        <f t="shared" ref="E113:E144" si="4">D113*1.21*1.7</f>
        <v>20316.989000000001</v>
      </c>
    </row>
    <row r="114" spans="1:5" ht="16.5" thickBot="1" x14ac:dyDescent="0.3">
      <c r="A114" s="3" t="s">
        <v>302</v>
      </c>
      <c r="B114" s="3" t="s">
        <v>303</v>
      </c>
      <c r="C114" s="3" t="s">
        <v>301</v>
      </c>
      <c r="D114" s="4">
        <v>12500</v>
      </c>
      <c r="E114" s="6">
        <f t="shared" si="4"/>
        <v>25712.5</v>
      </c>
    </row>
    <row r="115" spans="1:5" ht="16.5" thickBot="1" x14ac:dyDescent="0.3">
      <c r="A115" s="3" t="s">
        <v>304</v>
      </c>
      <c r="B115" s="3" t="s">
        <v>305</v>
      </c>
      <c r="C115" s="3" t="s">
        <v>306</v>
      </c>
      <c r="D115" s="4">
        <v>6173</v>
      </c>
      <c r="E115" s="6">
        <f t="shared" si="4"/>
        <v>12697.860999999999</v>
      </c>
    </row>
    <row r="116" spans="1:5" ht="16.5" thickBot="1" x14ac:dyDescent="0.3">
      <c r="A116" s="3" t="s">
        <v>307</v>
      </c>
      <c r="B116" s="3" t="s">
        <v>308</v>
      </c>
      <c r="C116" s="3" t="s">
        <v>74</v>
      </c>
      <c r="D116" s="4">
        <v>39277</v>
      </c>
      <c r="E116" s="6">
        <f t="shared" si="4"/>
        <v>80792.78899999999</v>
      </c>
    </row>
    <row r="117" spans="1:5" ht="16.5" thickBot="1" x14ac:dyDescent="0.3">
      <c r="A117" s="3" t="s">
        <v>309</v>
      </c>
      <c r="B117" s="3" t="s">
        <v>310</v>
      </c>
      <c r="C117" s="3" t="s">
        <v>74</v>
      </c>
      <c r="D117" s="4">
        <v>42633</v>
      </c>
      <c r="E117" s="6">
        <f t="shared" si="4"/>
        <v>87696.080999999991</v>
      </c>
    </row>
    <row r="118" spans="1:5" ht="16.5" thickBot="1" x14ac:dyDescent="0.3">
      <c r="A118" s="3" t="s">
        <v>311</v>
      </c>
      <c r="B118" s="3" t="s">
        <v>312</v>
      </c>
      <c r="C118" s="3" t="s">
        <v>74</v>
      </c>
      <c r="D118" s="4">
        <v>44312</v>
      </c>
      <c r="E118" s="6">
        <f t="shared" si="4"/>
        <v>91149.783999999985</v>
      </c>
    </row>
    <row r="119" spans="1:5" ht="16.5" thickBot="1" x14ac:dyDescent="0.3">
      <c r="A119" s="3" t="s">
        <v>313</v>
      </c>
      <c r="B119" s="3" t="s">
        <v>314</v>
      </c>
      <c r="C119" s="3" t="s">
        <v>74</v>
      </c>
      <c r="D119" s="4">
        <v>53543</v>
      </c>
      <c r="E119" s="6">
        <f t="shared" si="4"/>
        <v>110137.951</v>
      </c>
    </row>
    <row r="120" spans="1:5" ht="16.5" thickBot="1" x14ac:dyDescent="0.3">
      <c r="A120" s="3" t="s">
        <v>315</v>
      </c>
      <c r="B120" s="3" t="s">
        <v>316</v>
      </c>
      <c r="C120" s="3" t="s">
        <v>74</v>
      </c>
      <c r="D120" s="4">
        <v>71165</v>
      </c>
      <c r="E120" s="6">
        <f t="shared" si="4"/>
        <v>146386.405</v>
      </c>
    </row>
    <row r="121" spans="1:5" ht="16.5" thickBot="1" x14ac:dyDescent="0.3">
      <c r="A121" s="3" t="s">
        <v>317</v>
      </c>
      <c r="B121" s="3" t="s">
        <v>318</v>
      </c>
      <c r="C121" s="3" t="s">
        <v>74</v>
      </c>
      <c r="D121" s="4">
        <v>87517</v>
      </c>
      <c r="E121" s="6">
        <f t="shared" si="4"/>
        <v>180022.46899999998</v>
      </c>
    </row>
    <row r="122" spans="1:5" ht="16.5" thickBot="1" x14ac:dyDescent="0.3">
      <c r="A122" s="3" t="s">
        <v>319</v>
      </c>
      <c r="B122" s="3" t="s">
        <v>320</v>
      </c>
      <c r="C122" s="3" t="s">
        <v>74</v>
      </c>
      <c r="D122" s="4">
        <v>166317</v>
      </c>
      <c r="E122" s="6">
        <f t="shared" si="4"/>
        <v>342114.06900000002</v>
      </c>
    </row>
    <row r="123" spans="1:5" ht="16.5" thickBot="1" x14ac:dyDescent="0.3">
      <c r="A123" s="3" t="s">
        <v>321</v>
      </c>
      <c r="B123" s="3" t="s">
        <v>322</v>
      </c>
      <c r="C123" s="3" t="s">
        <v>74</v>
      </c>
      <c r="D123" s="4">
        <v>233450</v>
      </c>
      <c r="E123" s="6">
        <f t="shared" si="4"/>
        <v>480206.64999999997</v>
      </c>
    </row>
    <row r="124" spans="1:5" ht="16.5" thickBot="1" x14ac:dyDescent="0.3">
      <c r="A124" s="3" t="s">
        <v>323</v>
      </c>
      <c r="B124" s="3" t="s">
        <v>324</v>
      </c>
      <c r="C124" s="3" t="s">
        <v>74</v>
      </c>
      <c r="D124" s="4">
        <v>267017</v>
      </c>
      <c r="E124" s="6">
        <f t="shared" si="4"/>
        <v>549253.96900000004</v>
      </c>
    </row>
    <row r="125" spans="1:5" ht="16.5" thickBot="1" x14ac:dyDescent="0.3">
      <c r="A125" s="3" t="s">
        <v>325</v>
      </c>
      <c r="B125" s="3" t="s">
        <v>326</v>
      </c>
      <c r="C125" s="3" t="s">
        <v>2</v>
      </c>
      <c r="D125" s="4">
        <v>846</v>
      </c>
      <c r="E125" s="6">
        <f t="shared" si="4"/>
        <v>1740.222</v>
      </c>
    </row>
    <row r="126" spans="1:5" ht="16.5" thickBot="1" x14ac:dyDescent="0.3">
      <c r="A126" s="3" t="s">
        <v>327</v>
      </c>
      <c r="B126" s="3" t="s">
        <v>328</v>
      </c>
      <c r="C126" s="3" t="s">
        <v>222</v>
      </c>
      <c r="D126" s="4">
        <v>74074</v>
      </c>
      <c r="E126" s="6">
        <f t="shared" si="4"/>
        <v>152370.21799999999</v>
      </c>
    </row>
    <row r="127" spans="1:5" ht="16.5" thickBot="1" x14ac:dyDescent="0.3">
      <c r="A127" s="3" t="s">
        <v>329</v>
      </c>
      <c r="B127" s="3" t="s">
        <v>330</v>
      </c>
      <c r="C127" s="3" t="s">
        <v>222</v>
      </c>
      <c r="D127" s="4">
        <v>38466</v>
      </c>
      <c r="E127" s="6">
        <f t="shared" si="4"/>
        <v>79124.562000000005</v>
      </c>
    </row>
    <row r="128" spans="1:5" ht="16.5" thickBot="1" x14ac:dyDescent="0.3">
      <c r="A128" s="3" t="s">
        <v>331</v>
      </c>
      <c r="B128" s="3" t="s">
        <v>332</v>
      </c>
      <c r="C128" s="3" t="s">
        <v>222</v>
      </c>
      <c r="D128" s="4">
        <v>24212</v>
      </c>
      <c r="E128" s="6">
        <f t="shared" si="4"/>
        <v>49804.084000000003</v>
      </c>
    </row>
    <row r="129" spans="1:6" ht="16.5" thickBot="1" x14ac:dyDescent="0.3">
      <c r="A129" s="3" t="s">
        <v>333</v>
      </c>
      <c r="B129" s="3" t="s">
        <v>334</v>
      </c>
      <c r="C129" s="3" t="s">
        <v>85</v>
      </c>
      <c r="D129" s="4">
        <v>55556</v>
      </c>
      <c r="E129" s="6">
        <f t="shared" si="4"/>
        <v>114278.69199999998</v>
      </c>
    </row>
    <row r="130" spans="1:6" ht="16.5" thickBot="1" x14ac:dyDescent="0.3">
      <c r="A130" s="3" t="s">
        <v>392</v>
      </c>
      <c r="B130" s="3" t="s">
        <v>393</v>
      </c>
      <c r="C130" s="3" t="s">
        <v>2</v>
      </c>
      <c r="D130" s="4">
        <v>741</v>
      </c>
      <c r="E130" s="6">
        <f t="shared" si="4"/>
        <v>1524.2370000000001</v>
      </c>
    </row>
    <row r="131" spans="1:6" ht="16.5" thickBot="1" x14ac:dyDescent="0.3">
      <c r="A131" s="3" t="s">
        <v>390</v>
      </c>
      <c r="B131" s="3" t="s">
        <v>391</v>
      </c>
      <c r="C131" s="3" t="s">
        <v>2</v>
      </c>
      <c r="D131" s="4">
        <v>556</v>
      </c>
      <c r="E131" s="6">
        <f t="shared" si="4"/>
        <v>1143.692</v>
      </c>
    </row>
    <row r="132" spans="1:6" ht="16.5" thickBot="1" x14ac:dyDescent="0.3">
      <c r="A132" s="3" t="s">
        <v>394</v>
      </c>
      <c r="B132" s="3" t="s">
        <v>395</v>
      </c>
      <c r="C132" s="3" t="s">
        <v>2</v>
      </c>
      <c r="D132" s="4">
        <v>1111</v>
      </c>
      <c r="E132" s="6">
        <f t="shared" si="4"/>
        <v>2285.3269999999998</v>
      </c>
    </row>
    <row r="133" spans="1:6" ht="16.5" thickBot="1" x14ac:dyDescent="0.3">
      <c r="A133" s="3" t="s">
        <v>9</v>
      </c>
      <c r="B133" s="3" t="s">
        <v>10</v>
      </c>
      <c r="C133" s="3" t="s">
        <v>2</v>
      </c>
      <c r="D133" s="4">
        <v>148</v>
      </c>
      <c r="E133" s="6">
        <f t="shared" si="4"/>
        <v>304.43599999999998</v>
      </c>
    </row>
    <row r="134" spans="1:6" ht="16.5" thickBot="1" x14ac:dyDescent="0.3">
      <c r="A134" s="3" t="s">
        <v>11</v>
      </c>
      <c r="B134" s="3" t="s">
        <v>12</v>
      </c>
      <c r="C134" s="3" t="s">
        <v>2</v>
      </c>
      <c r="D134" s="4">
        <v>123</v>
      </c>
      <c r="E134" s="6">
        <f t="shared" si="4"/>
        <v>253.01099999999997</v>
      </c>
      <c r="F134" s="8"/>
    </row>
    <row r="135" spans="1:6" ht="16.5" thickBot="1" x14ac:dyDescent="0.3">
      <c r="A135" s="3" t="s">
        <v>13</v>
      </c>
      <c r="B135" s="3" t="s">
        <v>14</v>
      </c>
      <c r="C135" s="3" t="s">
        <v>2</v>
      </c>
      <c r="D135" s="4">
        <v>130</v>
      </c>
      <c r="E135" s="6">
        <f t="shared" si="4"/>
        <v>267.40999999999997</v>
      </c>
      <c r="F135" s="8"/>
    </row>
    <row r="136" spans="1:6" ht="16.5" thickBot="1" x14ac:dyDescent="0.3">
      <c r="A136" s="3" t="s">
        <v>0</v>
      </c>
      <c r="B136" s="3" t="s">
        <v>1</v>
      </c>
      <c r="C136" s="3" t="s">
        <v>2</v>
      </c>
      <c r="D136" s="4">
        <v>105</v>
      </c>
      <c r="E136" s="6">
        <f t="shared" si="4"/>
        <v>215.98499999999999</v>
      </c>
      <c r="F136" s="8"/>
    </row>
    <row r="137" spans="1:6" ht="16.5" thickBot="1" x14ac:dyDescent="0.3">
      <c r="A137" s="3" t="s">
        <v>3</v>
      </c>
      <c r="B137" s="3" t="s">
        <v>4</v>
      </c>
      <c r="C137" s="3" t="s">
        <v>2</v>
      </c>
      <c r="D137" s="4">
        <v>86</v>
      </c>
      <c r="E137" s="6">
        <f t="shared" si="4"/>
        <v>176.90199999999999</v>
      </c>
      <c r="F137" s="8"/>
    </row>
    <row r="138" spans="1:6" ht="16.5" thickBot="1" x14ac:dyDescent="0.3">
      <c r="A138" s="3" t="s">
        <v>5</v>
      </c>
      <c r="B138" s="3" t="s">
        <v>6</v>
      </c>
      <c r="C138" s="3" t="s">
        <v>2</v>
      </c>
      <c r="D138" s="4">
        <v>86</v>
      </c>
      <c r="E138" s="6">
        <f t="shared" si="4"/>
        <v>176.90199999999999</v>
      </c>
      <c r="F138" s="8"/>
    </row>
    <row r="139" spans="1:6" ht="16.5" thickBot="1" x14ac:dyDescent="0.3">
      <c r="A139" s="3" t="s">
        <v>7</v>
      </c>
      <c r="B139" s="3" t="s">
        <v>8</v>
      </c>
      <c r="C139" s="3" t="s">
        <v>2</v>
      </c>
      <c r="D139" s="4">
        <v>99</v>
      </c>
      <c r="E139" s="6">
        <f t="shared" si="4"/>
        <v>203.64299999999997</v>
      </c>
      <c r="F139" s="8"/>
    </row>
    <row r="140" spans="1:6" ht="16.5" thickBot="1" x14ac:dyDescent="0.3">
      <c r="A140" s="3" t="s">
        <v>445</v>
      </c>
      <c r="B140" s="3" t="s">
        <v>446</v>
      </c>
      <c r="C140" s="3" t="s">
        <v>2</v>
      </c>
      <c r="D140" s="4">
        <v>457</v>
      </c>
      <c r="E140" s="6">
        <f t="shared" si="4"/>
        <v>940.04899999999998</v>
      </c>
      <c r="F140" s="8"/>
    </row>
    <row r="141" spans="1:6" ht="16.5" thickBot="1" x14ac:dyDescent="0.3">
      <c r="A141" s="3" t="s">
        <v>431</v>
      </c>
      <c r="B141" s="3" t="s">
        <v>432</v>
      </c>
      <c r="C141" s="3" t="s">
        <v>2</v>
      </c>
      <c r="D141" s="4">
        <v>253</v>
      </c>
      <c r="E141" s="6">
        <f t="shared" si="4"/>
        <v>520.42099999999994</v>
      </c>
    </row>
    <row r="142" spans="1:6" ht="16.5" thickBot="1" x14ac:dyDescent="0.3">
      <c r="A142" s="3" t="s">
        <v>433</v>
      </c>
      <c r="B142" s="3" t="s">
        <v>434</v>
      </c>
      <c r="C142" s="3" t="s">
        <v>2</v>
      </c>
      <c r="D142" s="4">
        <v>235</v>
      </c>
      <c r="E142" s="6">
        <f t="shared" si="4"/>
        <v>483.39499999999992</v>
      </c>
    </row>
    <row r="143" spans="1:6" ht="16.5" thickBot="1" x14ac:dyDescent="0.3">
      <c r="A143" s="3" t="s">
        <v>428</v>
      </c>
      <c r="B143" s="3" t="s">
        <v>429</v>
      </c>
      <c r="C143" s="3" t="s">
        <v>2</v>
      </c>
      <c r="D143" s="4">
        <v>160</v>
      </c>
      <c r="E143" s="6">
        <f t="shared" si="4"/>
        <v>329.12</v>
      </c>
    </row>
    <row r="144" spans="1:6" ht="16.5" thickBot="1" x14ac:dyDescent="0.3">
      <c r="A144" s="3" t="s">
        <v>430</v>
      </c>
      <c r="B144" s="3" t="s">
        <v>546</v>
      </c>
      <c r="C144" s="3" t="s">
        <v>2</v>
      </c>
      <c r="D144" s="4">
        <v>130</v>
      </c>
      <c r="E144" s="6">
        <f t="shared" si="4"/>
        <v>267.40999999999997</v>
      </c>
    </row>
    <row r="145" spans="1:5" ht="16.5" thickBot="1" x14ac:dyDescent="0.3">
      <c r="A145" s="3" t="s">
        <v>435</v>
      </c>
      <c r="B145" s="3" t="s">
        <v>436</v>
      </c>
      <c r="C145" s="3" t="s">
        <v>2</v>
      </c>
      <c r="D145" s="4">
        <v>741</v>
      </c>
      <c r="E145" s="6">
        <f t="shared" ref="E145:E176" si="5">D145*1.21*1.7</f>
        <v>1524.2370000000001</v>
      </c>
    </row>
    <row r="146" spans="1:5" ht="16.5" thickBot="1" x14ac:dyDescent="0.3">
      <c r="A146" s="3" t="s">
        <v>437</v>
      </c>
      <c r="B146" s="3" t="s">
        <v>438</v>
      </c>
      <c r="C146" s="3" t="s">
        <v>2</v>
      </c>
      <c r="D146" s="4">
        <v>1481</v>
      </c>
      <c r="E146" s="6">
        <f t="shared" si="5"/>
        <v>3046.4169999999999</v>
      </c>
    </row>
    <row r="147" spans="1:5" ht="16.5" thickBot="1" x14ac:dyDescent="0.3">
      <c r="A147" s="3" t="s">
        <v>439</v>
      </c>
      <c r="B147" s="3" t="s">
        <v>440</v>
      </c>
      <c r="C147" s="3" t="s">
        <v>2</v>
      </c>
      <c r="D147" s="4">
        <v>1852</v>
      </c>
      <c r="E147" s="6">
        <f t="shared" si="5"/>
        <v>3809.5639999999999</v>
      </c>
    </row>
    <row r="148" spans="1:5" ht="16.5" thickBot="1" x14ac:dyDescent="0.3">
      <c r="A148" s="3" t="s">
        <v>441</v>
      </c>
      <c r="B148" s="3" t="s">
        <v>442</v>
      </c>
      <c r="C148" s="3" t="s">
        <v>2</v>
      </c>
      <c r="D148" s="4">
        <v>383</v>
      </c>
      <c r="E148" s="6">
        <f t="shared" si="5"/>
        <v>787.83100000000002</v>
      </c>
    </row>
    <row r="149" spans="1:5" ht="16.5" thickBot="1" x14ac:dyDescent="0.3">
      <c r="A149" s="3" t="s">
        <v>443</v>
      </c>
      <c r="B149" s="3" t="s">
        <v>444</v>
      </c>
      <c r="C149" s="3" t="s">
        <v>2</v>
      </c>
      <c r="D149" s="4">
        <v>2222</v>
      </c>
      <c r="E149" s="6">
        <f t="shared" si="5"/>
        <v>4570.6539999999995</v>
      </c>
    </row>
    <row r="150" spans="1:5" ht="16.5" thickBot="1" x14ac:dyDescent="0.3">
      <c r="A150" s="3" t="s">
        <v>447</v>
      </c>
      <c r="B150" s="3" t="s">
        <v>448</v>
      </c>
      <c r="C150" s="3" t="s">
        <v>2</v>
      </c>
      <c r="D150" s="4">
        <v>519</v>
      </c>
      <c r="E150" s="6">
        <f t="shared" si="5"/>
        <v>1067.5830000000001</v>
      </c>
    </row>
    <row r="151" spans="1:5" ht="16.5" thickBot="1" x14ac:dyDescent="0.3">
      <c r="A151" s="3" t="s">
        <v>449</v>
      </c>
      <c r="B151" s="3" t="s">
        <v>450</v>
      </c>
      <c r="C151" s="3" t="s">
        <v>2</v>
      </c>
      <c r="D151" s="4">
        <v>136</v>
      </c>
      <c r="E151" s="6">
        <f t="shared" si="5"/>
        <v>279.75200000000001</v>
      </c>
    </row>
    <row r="152" spans="1:5" ht="16.5" thickBot="1" x14ac:dyDescent="0.3">
      <c r="A152" s="3" t="s">
        <v>451</v>
      </c>
      <c r="B152" s="3" t="s">
        <v>452</v>
      </c>
      <c r="C152" s="3" t="s">
        <v>2</v>
      </c>
      <c r="D152" s="4">
        <v>741</v>
      </c>
      <c r="E152" s="6">
        <f t="shared" si="5"/>
        <v>1524.2370000000001</v>
      </c>
    </row>
    <row r="153" spans="1:5" ht="16.5" thickBot="1" x14ac:dyDescent="0.3">
      <c r="A153" s="3" t="s">
        <v>453</v>
      </c>
      <c r="B153" s="3" t="s">
        <v>454</v>
      </c>
      <c r="C153" s="3" t="s">
        <v>2</v>
      </c>
      <c r="D153" s="4">
        <v>1049</v>
      </c>
      <c r="E153" s="6">
        <f t="shared" si="5"/>
        <v>2157.7929999999997</v>
      </c>
    </row>
    <row r="154" spans="1:5" ht="16.5" thickBot="1" x14ac:dyDescent="0.3">
      <c r="A154" s="3" t="s">
        <v>455</v>
      </c>
      <c r="B154" s="3" t="s">
        <v>456</v>
      </c>
      <c r="C154" s="3" t="s">
        <v>2</v>
      </c>
      <c r="D154" s="4">
        <v>1481</v>
      </c>
      <c r="E154" s="6">
        <f t="shared" si="5"/>
        <v>3046.4169999999999</v>
      </c>
    </row>
    <row r="155" spans="1:5" ht="16.5" thickBot="1" x14ac:dyDescent="0.3">
      <c r="A155" s="3" t="s">
        <v>426</v>
      </c>
      <c r="B155" s="3" t="s">
        <v>427</v>
      </c>
      <c r="C155" s="3" t="s">
        <v>2</v>
      </c>
      <c r="D155" s="4">
        <v>741</v>
      </c>
      <c r="E155" s="6">
        <f t="shared" si="5"/>
        <v>1524.2370000000001</v>
      </c>
    </row>
    <row r="156" spans="1:5" ht="16.5" thickBot="1" x14ac:dyDescent="0.3">
      <c r="A156" s="3" t="s">
        <v>410</v>
      </c>
      <c r="B156" s="3" t="s">
        <v>411</v>
      </c>
      <c r="C156" s="3" t="s">
        <v>2</v>
      </c>
      <c r="D156" s="4">
        <v>105</v>
      </c>
      <c r="E156" s="6">
        <f t="shared" si="5"/>
        <v>215.98499999999999</v>
      </c>
    </row>
    <row r="157" spans="1:5" ht="16.5" thickBot="1" x14ac:dyDescent="0.3">
      <c r="A157" s="3" t="s">
        <v>412</v>
      </c>
      <c r="B157" s="3" t="s">
        <v>413</v>
      </c>
      <c r="C157" s="3" t="s">
        <v>2</v>
      </c>
      <c r="D157" s="4">
        <v>86</v>
      </c>
      <c r="E157" s="6">
        <f t="shared" si="5"/>
        <v>176.90199999999999</v>
      </c>
    </row>
    <row r="158" spans="1:5" ht="16.5" thickBot="1" x14ac:dyDescent="0.3">
      <c r="A158" s="3" t="s">
        <v>414</v>
      </c>
      <c r="B158" s="3" t="s">
        <v>415</v>
      </c>
      <c r="C158" s="3" t="s">
        <v>2</v>
      </c>
      <c r="D158" s="4">
        <v>86</v>
      </c>
      <c r="E158" s="6">
        <f t="shared" si="5"/>
        <v>176.90199999999999</v>
      </c>
    </row>
    <row r="159" spans="1:5" ht="16.5" thickBot="1" x14ac:dyDescent="0.3">
      <c r="A159" s="3" t="s">
        <v>416</v>
      </c>
      <c r="B159" s="3" t="s">
        <v>417</v>
      </c>
      <c r="C159" s="3" t="s">
        <v>2</v>
      </c>
      <c r="D159" s="4">
        <v>99</v>
      </c>
      <c r="E159" s="6">
        <f t="shared" si="5"/>
        <v>203.64299999999997</v>
      </c>
    </row>
    <row r="160" spans="1:5" ht="16.5" thickBot="1" x14ac:dyDescent="0.3">
      <c r="A160" s="3" t="s">
        <v>396</v>
      </c>
      <c r="B160" s="3" t="s">
        <v>397</v>
      </c>
      <c r="C160" s="3" t="s">
        <v>2</v>
      </c>
      <c r="D160" s="4">
        <v>494</v>
      </c>
      <c r="E160" s="6">
        <f t="shared" si="5"/>
        <v>1016.158</v>
      </c>
    </row>
    <row r="161" spans="1:5" ht="16.5" thickBot="1" x14ac:dyDescent="0.3">
      <c r="A161" s="3" t="s">
        <v>398</v>
      </c>
      <c r="B161" s="3" t="s">
        <v>399</v>
      </c>
      <c r="C161" s="3" t="s">
        <v>2</v>
      </c>
      <c r="D161" s="4">
        <v>1852</v>
      </c>
      <c r="E161" s="6">
        <f t="shared" si="5"/>
        <v>3809.5639999999999</v>
      </c>
    </row>
    <row r="162" spans="1:5" ht="16.5" thickBot="1" x14ac:dyDescent="0.3">
      <c r="A162" s="3" t="s">
        <v>388</v>
      </c>
      <c r="B162" s="3" t="s">
        <v>389</v>
      </c>
      <c r="C162" s="3" t="s">
        <v>2</v>
      </c>
      <c r="D162" s="4">
        <v>494</v>
      </c>
      <c r="E162" s="6">
        <f t="shared" si="5"/>
        <v>1016.158</v>
      </c>
    </row>
    <row r="163" spans="1:5" ht="16.5" thickBot="1" x14ac:dyDescent="0.3">
      <c r="A163" s="3" t="s">
        <v>420</v>
      </c>
      <c r="B163" s="3" t="s">
        <v>421</v>
      </c>
      <c r="C163" s="3" t="s">
        <v>2</v>
      </c>
      <c r="D163" s="4">
        <v>111</v>
      </c>
      <c r="E163" s="6">
        <f t="shared" si="5"/>
        <v>228.327</v>
      </c>
    </row>
    <row r="164" spans="1:5" ht="16.5" thickBot="1" x14ac:dyDescent="0.3">
      <c r="A164" s="3" t="s">
        <v>422</v>
      </c>
      <c r="B164" s="3" t="s">
        <v>423</v>
      </c>
      <c r="C164" s="3" t="s">
        <v>2</v>
      </c>
      <c r="D164" s="4">
        <v>111</v>
      </c>
      <c r="E164" s="6">
        <f t="shared" si="5"/>
        <v>228.327</v>
      </c>
    </row>
    <row r="165" spans="1:5" ht="16.5" thickBot="1" x14ac:dyDescent="0.3">
      <c r="A165" s="3" t="s">
        <v>418</v>
      </c>
      <c r="B165" s="3" t="s">
        <v>419</v>
      </c>
      <c r="C165" s="3" t="s">
        <v>2</v>
      </c>
      <c r="D165" s="4">
        <v>111</v>
      </c>
      <c r="E165" s="6">
        <f t="shared" si="5"/>
        <v>228.327</v>
      </c>
    </row>
    <row r="166" spans="1:5" ht="16.5" thickBot="1" x14ac:dyDescent="0.3">
      <c r="A166" s="3" t="s">
        <v>384</v>
      </c>
      <c r="B166" s="3" t="s">
        <v>385</v>
      </c>
      <c r="C166" s="3" t="s">
        <v>2</v>
      </c>
      <c r="D166" s="4">
        <v>1605</v>
      </c>
      <c r="E166" s="6">
        <f t="shared" si="5"/>
        <v>3301.4849999999997</v>
      </c>
    </row>
    <row r="167" spans="1:5" ht="16.5" thickBot="1" x14ac:dyDescent="0.3">
      <c r="A167" s="3" t="s">
        <v>386</v>
      </c>
      <c r="B167" s="3" t="s">
        <v>387</v>
      </c>
      <c r="C167" s="3" t="s">
        <v>2</v>
      </c>
      <c r="D167" s="4">
        <v>1852</v>
      </c>
      <c r="E167" s="6">
        <f t="shared" si="5"/>
        <v>3809.5639999999999</v>
      </c>
    </row>
    <row r="168" spans="1:5" ht="16.5" thickBot="1" x14ac:dyDescent="0.3">
      <c r="A168" s="3" t="s">
        <v>382</v>
      </c>
      <c r="B168" s="3" t="s">
        <v>383</v>
      </c>
      <c r="C168" s="3" t="s">
        <v>2</v>
      </c>
      <c r="D168" s="4">
        <v>1852</v>
      </c>
      <c r="E168" s="6">
        <f t="shared" si="5"/>
        <v>3809.5639999999999</v>
      </c>
    </row>
    <row r="169" spans="1:5" ht="16.5" thickBot="1" x14ac:dyDescent="0.3">
      <c r="A169" s="3" t="s">
        <v>173</v>
      </c>
      <c r="B169" s="3" t="s">
        <v>174</v>
      </c>
      <c r="C169" s="3" t="s">
        <v>113</v>
      </c>
      <c r="D169" s="4">
        <v>13333</v>
      </c>
      <c r="E169" s="6">
        <f t="shared" si="5"/>
        <v>27425.981</v>
      </c>
    </row>
    <row r="170" spans="1:5" ht="16.5" thickBot="1" x14ac:dyDescent="0.3">
      <c r="A170" s="3" t="s">
        <v>175</v>
      </c>
      <c r="B170" s="3" t="s">
        <v>176</v>
      </c>
      <c r="C170" s="3" t="s">
        <v>113</v>
      </c>
      <c r="D170" s="4">
        <v>14617</v>
      </c>
      <c r="E170" s="6">
        <f t="shared" si="5"/>
        <v>30067.168999999998</v>
      </c>
    </row>
    <row r="171" spans="1:5" ht="16.5" thickBot="1" x14ac:dyDescent="0.3">
      <c r="A171" s="3" t="s">
        <v>111</v>
      </c>
      <c r="B171" s="3" t="s">
        <v>112</v>
      </c>
      <c r="C171" s="3" t="s">
        <v>113</v>
      </c>
      <c r="D171" s="4">
        <v>4405</v>
      </c>
      <c r="E171" s="6">
        <f t="shared" si="5"/>
        <v>9061.0850000000009</v>
      </c>
    </row>
    <row r="172" spans="1:5" ht="16.5" thickBot="1" x14ac:dyDescent="0.3">
      <c r="A172" s="3" t="s">
        <v>114</v>
      </c>
      <c r="B172" s="3" t="s">
        <v>115</v>
      </c>
      <c r="C172" s="3" t="s">
        <v>113</v>
      </c>
      <c r="D172" s="4">
        <v>5377</v>
      </c>
      <c r="E172" s="6">
        <f t="shared" si="5"/>
        <v>11060.489</v>
      </c>
    </row>
    <row r="173" spans="1:5" ht="16.5" thickBot="1" x14ac:dyDescent="0.3">
      <c r="A173" s="3" t="s">
        <v>116</v>
      </c>
      <c r="B173" s="3" t="s">
        <v>117</v>
      </c>
      <c r="C173" s="3" t="s">
        <v>113</v>
      </c>
      <c r="D173" s="4">
        <v>6575</v>
      </c>
      <c r="E173" s="6">
        <f t="shared" si="5"/>
        <v>13524.775</v>
      </c>
    </row>
    <row r="174" spans="1:5" ht="16.5" thickBot="1" x14ac:dyDescent="0.3">
      <c r="A174" s="3" t="s">
        <v>223</v>
      </c>
      <c r="B174" s="3" t="s">
        <v>224</v>
      </c>
      <c r="C174" s="3" t="s">
        <v>225</v>
      </c>
      <c r="D174" s="4">
        <v>3414</v>
      </c>
      <c r="E174" s="6">
        <f t="shared" si="5"/>
        <v>7022.597999999999</v>
      </c>
    </row>
    <row r="175" spans="1:5" ht="16.5" thickBot="1" x14ac:dyDescent="0.3">
      <c r="A175" s="3" t="s">
        <v>226</v>
      </c>
      <c r="B175" s="3" t="s">
        <v>227</v>
      </c>
      <c r="C175" s="3" t="s">
        <v>225</v>
      </c>
      <c r="D175" s="4">
        <v>4405</v>
      </c>
      <c r="E175" s="6">
        <f t="shared" si="5"/>
        <v>9061.0850000000009</v>
      </c>
    </row>
    <row r="176" spans="1:5" ht="16.5" thickBot="1" x14ac:dyDescent="0.3">
      <c r="A176" s="3" t="s">
        <v>228</v>
      </c>
      <c r="B176" s="3" t="s">
        <v>229</v>
      </c>
      <c r="C176" s="3" t="s">
        <v>225</v>
      </c>
      <c r="D176" s="4">
        <v>5377</v>
      </c>
      <c r="E176" s="6">
        <f t="shared" si="5"/>
        <v>11060.489</v>
      </c>
    </row>
    <row r="177" spans="1:6" ht="16.5" thickBot="1" x14ac:dyDescent="0.3">
      <c r="A177" s="3" t="s">
        <v>230</v>
      </c>
      <c r="B177" s="3" t="s">
        <v>231</v>
      </c>
      <c r="C177" s="3" t="s">
        <v>225</v>
      </c>
      <c r="D177" s="4">
        <v>6574</v>
      </c>
      <c r="E177" s="6">
        <f t="shared" ref="E177:E208" si="6">D177*1.21*1.7</f>
        <v>13522.717999999999</v>
      </c>
    </row>
    <row r="178" spans="1:6" ht="16.5" thickBot="1" x14ac:dyDescent="0.3">
      <c r="A178" s="3" t="s">
        <v>288</v>
      </c>
      <c r="B178" s="3" t="s">
        <v>289</v>
      </c>
      <c r="C178" s="3" t="s">
        <v>290</v>
      </c>
      <c r="D178" s="4">
        <v>3414</v>
      </c>
      <c r="E178" s="6">
        <f t="shared" si="6"/>
        <v>7022.597999999999</v>
      </c>
    </row>
    <row r="179" spans="1:6" ht="16.5" thickBot="1" x14ac:dyDescent="0.3">
      <c r="A179" s="3" t="s">
        <v>291</v>
      </c>
      <c r="B179" s="3" t="s">
        <v>292</v>
      </c>
      <c r="C179" s="3" t="s">
        <v>290</v>
      </c>
      <c r="D179" s="4">
        <v>4405</v>
      </c>
      <c r="E179" s="6">
        <f t="shared" si="6"/>
        <v>9061.0850000000009</v>
      </c>
    </row>
    <row r="180" spans="1:6" ht="16.5" thickBot="1" x14ac:dyDescent="0.3">
      <c r="A180" s="3" t="s">
        <v>293</v>
      </c>
      <c r="B180" s="3" t="s">
        <v>294</v>
      </c>
      <c r="C180" s="3" t="s">
        <v>290</v>
      </c>
      <c r="D180" s="4">
        <v>5377</v>
      </c>
      <c r="E180" s="6">
        <f t="shared" si="6"/>
        <v>11060.489</v>
      </c>
    </row>
    <row r="181" spans="1:6" ht="16.5" thickBot="1" x14ac:dyDescent="0.3">
      <c r="A181" s="3" t="s">
        <v>295</v>
      </c>
      <c r="B181" s="3" t="s">
        <v>296</v>
      </c>
      <c r="C181" s="3" t="s">
        <v>290</v>
      </c>
      <c r="D181" s="4">
        <v>6574</v>
      </c>
      <c r="E181" s="6">
        <f t="shared" si="6"/>
        <v>13522.717999999999</v>
      </c>
    </row>
    <row r="182" spans="1:6" ht="16.5" thickBot="1" x14ac:dyDescent="0.3">
      <c r="A182" s="3" t="s">
        <v>367</v>
      </c>
      <c r="B182" s="3" t="s">
        <v>368</v>
      </c>
      <c r="C182" s="3" t="s">
        <v>369</v>
      </c>
      <c r="D182" s="4">
        <v>1846.6</v>
      </c>
      <c r="E182" s="6">
        <f t="shared" si="6"/>
        <v>3798.4561999999996</v>
      </c>
      <c r="F182" s="9">
        <f t="shared" ref="F182:F188" si="7">E182*2</f>
        <v>7596.9123999999993</v>
      </c>
    </row>
    <row r="183" spans="1:6" ht="16.5" thickBot="1" x14ac:dyDescent="0.3">
      <c r="A183" s="3" t="s">
        <v>374</v>
      </c>
      <c r="B183" s="3" t="s">
        <v>375</v>
      </c>
      <c r="C183" s="3" t="s">
        <v>369</v>
      </c>
      <c r="D183" s="4">
        <v>1846.6</v>
      </c>
      <c r="E183" s="6">
        <f t="shared" si="6"/>
        <v>3798.4561999999996</v>
      </c>
      <c r="F183" s="9">
        <f t="shared" si="7"/>
        <v>7596.9123999999993</v>
      </c>
    </row>
    <row r="184" spans="1:6" ht="16.5" thickBot="1" x14ac:dyDescent="0.3">
      <c r="A184" s="3" t="s">
        <v>372</v>
      </c>
      <c r="B184" s="3" t="s">
        <v>373</v>
      </c>
      <c r="C184" s="3" t="s">
        <v>369</v>
      </c>
      <c r="D184" s="4">
        <v>2313.0300000000002</v>
      </c>
      <c r="E184" s="6">
        <f t="shared" si="6"/>
        <v>4757.9027100000003</v>
      </c>
      <c r="F184" s="9">
        <f t="shared" si="7"/>
        <v>9515.8054200000006</v>
      </c>
    </row>
    <row r="185" spans="1:6" ht="16.5" thickBot="1" x14ac:dyDescent="0.3">
      <c r="A185" s="3" t="s">
        <v>380</v>
      </c>
      <c r="B185" s="3" t="s">
        <v>381</v>
      </c>
      <c r="C185" s="3" t="s">
        <v>369</v>
      </c>
      <c r="D185" s="4">
        <v>2313.0300000000002</v>
      </c>
      <c r="E185" s="6">
        <f t="shared" si="6"/>
        <v>4757.9027100000003</v>
      </c>
      <c r="F185" s="9">
        <f t="shared" si="7"/>
        <v>9515.8054200000006</v>
      </c>
    </row>
    <row r="186" spans="1:6" ht="16.5" thickBot="1" x14ac:dyDescent="0.3">
      <c r="A186" s="3" t="s">
        <v>370</v>
      </c>
      <c r="B186" s="3" t="s">
        <v>371</v>
      </c>
      <c r="C186" s="3" t="s">
        <v>369</v>
      </c>
      <c r="D186" s="4">
        <v>2592.4</v>
      </c>
      <c r="E186" s="6">
        <f t="shared" si="6"/>
        <v>5332.5667999999996</v>
      </c>
      <c r="F186" s="9">
        <f t="shared" si="7"/>
        <v>10665.133599999999</v>
      </c>
    </row>
    <row r="187" spans="1:6" ht="16.5" thickBot="1" x14ac:dyDescent="0.3">
      <c r="A187" s="3" t="s">
        <v>376</v>
      </c>
      <c r="B187" s="3" t="s">
        <v>377</v>
      </c>
      <c r="C187" s="3" t="s">
        <v>369</v>
      </c>
      <c r="D187" s="4">
        <v>2592.4</v>
      </c>
      <c r="E187" s="6">
        <f t="shared" si="6"/>
        <v>5332.5667999999996</v>
      </c>
      <c r="F187" s="9">
        <f t="shared" si="7"/>
        <v>10665.133599999999</v>
      </c>
    </row>
    <row r="188" spans="1:6" ht="16.5" thickBot="1" x14ac:dyDescent="0.3">
      <c r="A188" s="3" t="s">
        <v>378</v>
      </c>
      <c r="B188" s="3" t="s">
        <v>379</v>
      </c>
      <c r="C188" s="3" t="s">
        <v>369</v>
      </c>
      <c r="D188" s="4">
        <v>4444</v>
      </c>
      <c r="E188" s="6">
        <f t="shared" si="6"/>
        <v>9141.3079999999991</v>
      </c>
      <c r="F188" s="9">
        <f t="shared" si="7"/>
        <v>18282.615999999998</v>
      </c>
    </row>
    <row r="189" spans="1:6" ht="16.5" thickBot="1" x14ac:dyDescent="0.3">
      <c r="A189" s="3" t="s">
        <v>424</v>
      </c>
      <c r="B189" s="3" t="s">
        <v>425</v>
      </c>
      <c r="C189" s="3" t="s">
        <v>2</v>
      </c>
      <c r="D189" s="4">
        <v>12346</v>
      </c>
      <c r="E189" s="6">
        <f t="shared" si="6"/>
        <v>25395.721999999998</v>
      </c>
    </row>
    <row r="190" spans="1:6" ht="16.5" thickBot="1" x14ac:dyDescent="0.3">
      <c r="A190" s="3" t="s">
        <v>473</v>
      </c>
      <c r="B190" s="3" t="s">
        <v>474</v>
      </c>
      <c r="C190" s="3" t="s">
        <v>475</v>
      </c>
      <c r="D190" s="4">
        <v>6790</v>
      </c>
      <c r="E190" s="6">
        <f t="shared" si="6"/>
        <v>13967.029999999999</v>
      </c>
    </row>
    <row r="191" spans="1:6" ht="16.5" thickBot="1" x14ac:dyDescent="0.3">
      <c r="A191" s="3" t="s">
        <v>476</v>
      </c>
      <c r="B191" s="3" t="s">
        <v>477</v>
      </c>
      <c r="C191" s="3" t="s">
        <v>475</v>
      </c>
      <c r="D191" s="4">
        <v>7407</v>
      </c>
      <c r="E191" s="6">
        <f t="shared" si="6"/>
        <v>15236.198999999999</v>
      </c>
    </row>
    <row r="192" spans="1:6" ht="16.5" thickBot="1" x14ac:dyDescent="0.3">
      <c r="A192" s="3" t="s">
        <v>478</v>
      </c>
      <c r="B192" s="3" t="s">
        <v>479</v>
      </c>
      <c r="C192" s="3" t="s">
        <v>475</v>
      </c>
      <c r="D192" s="4">
        <v>9259</v>
      </c>
      <c r="E192" s="6">
        <f t="shared" si="6"/>
        <v>19045.762999999999</v>
      </c>
    </row>
    <row r="193" spans="1:5" ht="16.5" thickBot="1" x14ac:dyDescent="0.3">
      <c r="A193" s="3" t="s">
        <v>480</v>
      </c>
      <c r="B193" s="3" t="s">
        <v>481</v>
      </c>
      <c r="C193" s="3" t="s">
        <v>475</v>
      </c>
      <c r="D193" s="4">
        <v>10123</v>
      </c>
      <c r="E193" s="6">
        <f t="shared" si="6"/>
        <v>20823.010999999999</v>
      </c>
    </row>
    <row r="194" spans="1:5" ht="16.5" thickBot="1" x14ac:dyDescent="0.3">
      <c r="A194" s="3" t="s">
        <v>482</v>
      </c>
      <c r="B194" s="3" t="s">
        <v>483</v>
      </c>
      <c r="C194" s="3" t="s">
        <v>475</v>
      </c>
      <c r="D194" s="4">
        <v>34568</v>
      </c>
      <c r="E194" s="6">
        <f t="shared" si="6"/>
        <v>71106.375999999989</v>
      </c>
    </row>
    <row r="195" spans="1:5" ht="16.5" thickBot="1" x14ac:dyDescent="0.3">
      <c r="A195" s="3" t="s">
        <v>531</v>
      </c>
      <c r="B195" s="3" t="s">
        <v>532</v>
      </c>
      <c r="C195" s="3" t="s">
        <v>475</v>
      </c>
      <c r="D195" s="4">
        <v>7407</v>
      </c>
      <c r="E195" s="6">
        <f t="shared" si="6"/>
        <v>15236.198999999999</v>
      </c>
    </row>
    <row r="196" spans="1:5" ht="16.5" thickBot="1" x14ac:dyDescent="0.3">
      <c r="A196" s="3" t="s">
        <v>533</v>
      </c>
      <c r="B196" s="3" t="s">
        <v>534</v>
      </c>
      <c r="C196" s="3" t="s">
        <v>475</v>
      </c>
      <c r="D196" s="4">
        <v>8025</v>
      </c>
      <c r="E196" s="6">
        <f t="shared" si="6"/>
        <v>16507.424999999999</v>
      </c>
    </row>
    <row r="197" spans="1:5" ht="16.5" thickBot="1" x14ac:dyDescent="0.3">
      <c r="A197" s="3" t="s">
        <v>535</v>
      </c>
      <c r="B197" s="3" t="s">
        <v>536</v>
      </c>
      <c r="C197" s="3" t="s">
        <v>475</v>
      </c>
      <c r="D197" s="4">
        <v>10123</v>
      </c>
      <c r="E197" s="6">
        <f t="shared" si="6"/>
        <v>20823.010999999999</v>
      </c>
    </row>
    <row r="198" spans="1:5" ht="16.5" thickBot="1" x14ac:dyDescent="0.3">
      <c r="A198" s="3" t="s">
        <v>537</v>
      </c>
      <c r="B198" s="3" t="s">
        <v>538</v>
      </c>
      <c r="C198" s="3" t="s">
        <v>475</v>
      </c>
      <c r="D198" s="4">
        <v>11111</v>
      </c>
      <c r="E198" s="6">
        <f t="shared" si="6"/>
        <v>22855.326999999997</v>
      </c>
    </row>
    <row r="199" spans="1:5" ht="16.5" thickBot="1" x14ac:dyDescent="0.3">
      <c r="A199" s="3" t="s">
        <v>274</v>
      </c>
      <c r="B199" s="3" t="s">
        <v>275</v>
      </c>
      <c r="C199" s="3" t="s">
        <v>257</v>
      </c>
      <c r="D199" s="4">
        <v>10335</v>
      </c>
      <c r="E199" s="6">
        <f t="shared" si="6"/>
        <v>21259.095000000001</v>
      </c>
    </row>
    <row r="200" spans="1:5" ht="16.5" thickBot="1" x14ac:dyDescent="0.3">
      <c r="A200" s="3" t="s">
        <v>272</v>
      </c>
      <c r="B200" s="3" t="s">
        <v>273</v>
      </c>
      <c r="C200" s="3" t="s">
        <v>257</v>
      </c>
      <c r="D200" s="4">
        <v>9273</v>
      </c>
      <c r="E200" s="6">
        <f t="shared" si="6"/>
        <v>19074.560999999998</v>
      </c>
    </row>
    <row r="201" spans="1:5" ht="16.5" thickBot="1" x14ac:dyDescent="0.3">
      <c r="A201" s="3" t="s">
        <v>276</v>
      </c>
      <c r="B201" s="3" t="s">
        <v>277</v>
      </c>
      <c r="C201" s="3" t="s">
        <v>257</v>
      </c>
      <c r="D201" s="4">
        <v>11708</v>
      </c>
      <c r="E201" s="6">
        <f t="shared" si="6"/>
        <v>24083.356</v>
      </c>
    </row>
    <row r="202" spans="1:5" ht="16.5" thickBot="1" x14ac:dyDescent="0.3">
      <c r="A202" s="3" t="s">
        <v>278</v>
      </c>
      <c r="B202" s="3" t="s">
        <v>279</v>
      </c>
      <c r="C202" s="3" t="s">
        <v>257</v>
      </c>
      <c r="D202" s="4">
        <v>13055</v>
      </c>
      <c r="E202" s="6">
        <f t="shared" si="6"/>
        <v>26854.134999999998</v>
      </c>
    </row>
    <row r="203" spans="1:5" ht="16.5" thickBot="1" x14ac:dyDescent="0.3">
      <c r="A203" s="3" t="s">
        <v>280</v>
      </c>
      <c r="B203" s="3" t="s">
        <v>281</v>
      </c>
      <c r="C203" s="3" t="s">
        <v>257</v>
      </c>
      <c r="D203" s="4">
        <v>16940</v>
      </c>
      <c r="E203" s="6">
        <f t="shared" si="6"/>
        <v>34845.579999999994</v>
      </c>
    </row>
    <row r="204" spans="1:5" ht="16.5" thickBot="1" x14ac:dyDescent="0.3">
      <c r="A204" s="3" t="s">
        <v>282</v>
      </c>
      <c r="B204" s="3" t="s">
        <v>283</v>
      </c>
      <c r="C204" s="3" t="s">
        <v>257</v>
      </c>
      <c r="D204" s="4">
        <v>17782</v>
      </c>
      <c r="E204" s="6">
        <f t="shared" si="6"/>
        <v>36577.574000000001</v>
      </c>
    </row>
    <row r="205" spans="1:5" ht="16.5" thickBot="1" x14ac:dyDescent="0.3">
      <c r="A205" s="3" t="s">
        <v>284</v>
      </c>
      <c r="B205" s="3" t="s">
        <v>285</v>
      </c>
      <c r="C205" s="3" t="s">
        <v>257</v>
      </c>
      <c r="D205" s="4">
        <v>18041</v>
      </c>
      <c r="E205" s="6">
        <f t="shared" si="6"/>
        <v>37110.337</v>
      </c>
    </row>
    <row r="206" spans="1:5" ht="16.5" thickBot="1" x14ac:dyDescent="0.3">
      <c r="A206" s="3" t="s">
        <v>286</v>
      </c>
      <c r="B206" s="3" t="s">
        <v>287</v>
      </c>
      <c r="C206" s="3" t="s">
        <v>257</v>
      </c>
      <c r="D206" s="4">
        <v>22082</v>
      </c>
      <c r="E206" s="6">
        <f t="shared" si="6"/>
        <v>45422.673999999992</v>
      </c>
    </row>
    <row r="207" spans="1:5" ht="16.5" thickBot="1" x14ac:dyDescent="0.3">
      <c r="A207" s="3" t="s">
        <v>515</v>
      </c>
      <c r="B207" s="3" t="s">
        <v>516</v>
      </c>
      <c r="C207" s="3" t="s">
        <v>465</v>
      </c>
      <c r="D207" s="4">
        <v>1333</v>
      </c>
      <c r="E207" s="6">
        <f t="shared" si="6"/>
        <v>2741.9810000000002</v>
      </c>
    </row>
    <row r="208" spans="1:5" ht="16.5" thickBot="1" x14ac:dyDescent="0.3">
      <c r="A208" s="3" t="s">
        <v>517</v>
      </c>
      <c r="B208" s="3" t="s">
        <v>518</v>
      </c>
      <c r="C208" s="3" t="s">
        <v>465</v>
      </c>
      <c r="D208" s="4">
        <v>1420.08</v>
      </c>
      <c r="E208" s="6">
        <f t="shared" si="6"/>
        <v>2921.1045599999998</v>
      </c>
    </row>
    <row r="209" spans="1:5" ht="16.5" thickBot="1" x14ac:dyDescent="0.3">
      <c r="A209" s="3" t="s">
        <v>521</v>
      </c>
      <c r="B209" s="3" t="s">
        <v>522</v>
      </c>
      <c r="C209" s="3" t="s">
        <v>465</v>
      </c>
      <c r="D209" s="4">
        <v>1333</v>
      </c>
      <c r="E209" s="6">
        <f t="shared" ref="E209:E240" si="8">D209*1.21*1.7</f>
        <v>2741.9810000000002</v>
      </c>
    </row>
    <row r="210" spans="1:5" ht="16.5" thickBot="1" x14ac:dyDescent="0.3">
      <c r="A210" s="3" t="s">
        <v>519</v>
      </c>
      <c r="B210" s="3" t="s">
        <v>520</v>
      </c>
      <c r="C210" s="3" t="s">
        <v>465</v>
      </c>
      <c r="D210" s="4">
        <v>1420</v>
      </c>
      <c r="E210" s="6">
        <f t="shared" si="8"/>
        <v>2920.94</v>
      </c>
    </row>
    <row r="211" spans="1:5" ht="16.5" thickBot="1" x14ac:dyDescent="0.3">
      <c r="A211" s="3" t="s">
        <v>463</v>
      </c>
      <c r="B211" s="3" t="s">
        <v>464</v>
      </c>
      <c r="C211" s="3" t="s">
        <v>465</v>
      </c>
      <c r="D211" s="4">
        <v>3883.15</v>
      </c>
      <c r="E211" s="6">
        <f t="shared" si="8"/>
        <v>7987.6395499999999</v>
      </c>
    </row>
    <row r="212" spans="1:5" ht="16.5" thickBot="1" x14ac:dyDescent="0.3">
      <c r="A212" s="3" t="s">
        <v>466</v>
      </c>
      <c r="B212" s="3" t="s">
        <v>467</v>
      </c>
      <c r="C212" s="3" t="s">
        <v>465</v>
      </c>
      <c r="D212" s="4">
        <v>9152.02</v>
      </c>
      <c r="E212" s="6">
        <f t="shared" si="8"/>
        <v>18825.705139999998</v>
      </c>
    </row>
    <row r="213" spans="1:5" ht="16.5" thickBot="1" x14ac:dyDescent="0.3">
      <c r="A213" s="3" t="s">
        <v>471</v>
      </c>
      <c r="B213" s="3" t="s">
        <v>472</v>
      </c>
      <c r="C213" s="3" t="s">
        <v>470</v>
      </c>
      <c r="D213" s="4">
        <v>6500</v>
      </c>
      <c r="E213" s="6">
        <f t="shared" si="8"/>
        <v>13370.5</v>
      </c>
    </row>
    <row r="214" spans="1:5" ht="16.5" thickBot="1" x14ac:dyDescent="0.3">
      <c r="A214" s="3" t="s">
        <v>468</v>
      </c>
      <c r="B214" s="3" t="s">
        <v>469</v>
      </c>
      <c r="C214" s="3" t="s">
        <v>470</v>
      </c>
      <c r="D214" s="4">
        <v>20406</v>
      </c>
      <c r="E214" s="6">
        <f t="shared" si="8"/>
        <v>41975.141999999993</v>
      </c>
    </row>
    <row r="215" spans="1:5" ht="16.5" thickBot="1" x14ac:dyDescent="0.3">
      <c r="A215" s="3" t="s">
        <v>402</v>
      </c>
      <c r="B215" s="3" t="s">
        <v>403</v>
      </c>
      <c r="C215" s="3" t="s">
        <v>240</v>
      </c>
      <c r="D215" s="4">
        <v>8642</v>
      </c>
      <c r="E215" s="6">
        <f t="shared" si="8"/>
        <v>17776.593999999997</v>
      </c>
    </row>
    <row r="216" spans="1:5" ht="16.5" thickBot="1" x14ac:dyDescent="0.3">
      <c r="A216" s="3" t="s">
        <v>404</v>
      </c>
      <c r="B216" s="3" t="s">
        <v>405</v>
      </c>
      <c r="C216" s="3" t="s">
        <v>240</v>
      </c>
      <c r="D216" s="4">
        <v>13333</v>
      </c>
      <c r="E216" s="6">
        <f t="shared" si="8"/>
        <v>27425.981</v>
      </c>
    </row>
    <row r="217" spans="1:5" ht="16.5" thickBot="1" x14ac:dyDescent="0.3">
      <c r="A217" s="3" t="s">
        <v>406</v>
      </c>
      <c r="B217" s="3" t="s">
        <v>407</v>
      </c>
      <c r="C217" s="3" t="s">
        <v>240</v>
      </c>
      <c r="D217" s="4">
        <v>17284</v>
      </c>
      <c r="E217" s="6">
        <f t="shared" si="8"/>
        <v>35553.187999999995</v>
      </c>
    </row>
    <row r="218" spans="1:5" ht="16.5" thickBot="1" x14ac:dyDescent="0.3">
      <c r="A218" s="3" t="s">
        <v>408</v>
      </c>
      <c r="B218" s="3" t="s">
        <v>409</v>
      </c>
      <c r="C218" s="3" t="s">
        <v>240</v>
      </c>
      <c r="D218" s="4">
        <v>27160</v>
      </c>
      <c r="E218" s="6">
        <f t="shared" si="8"/>
        <v>55868.119999999995</v>
      </c>
    </row>
    <row r="219" spans="1:5" ht="16.5" thickBot="1" x14ac:dyDescent="0.3">
      <c r="A219" s="3" t="s">
        <v>400</v>
      </c>
      <c r="B219" s="3" t="s">
        <v>401</v>
      </c>
      <c r="C219" s="3" t="s">
        <v>240</v>
      </c>
      <c r="D219" s="4">
        <v>7531</v>
      </c>
      <c r="E219" s="6">
        <f t="shared" si="8"/>
        <v>15491.267</v>
      </c>
    </row>
    <row r="220" spans="1:5" ht="16.5" thickBot="1" x14ac:dyDescent="0.3">
      <c r="A220" s="3" t="s">
        <v>341</v>
      </c>
      <c r="B220" s="3" t="s">
        <v>342</v>
      </c>
      <c r="C220" s="3" t="s">
        <v>240</v>
      </c>
      <c r="D220" s="4">
        <v>4126</v>
      </c>
      <c r="E220" s="6">
        <f t="shared" si="8"/>
        <v>8487.1820000000007</v>
      </c>
    </row>
    <row r="221" spans="1:5" ht="16.5" thickBot="1" x14ac:dyDescent="0.3">
      <c r="A221" s="3" t="s">
        <v>343</v>
      </c>
      <c r="B221" s="3" t="s">
        <v>344</v>
      </c>
      <c r="C221" s="3" t="s">
        <v>240</v>
      </c>
      <c r="D221" s="4">
        <v>5606</v>
      </c>
      <c r="E221" s="6">
        <f t="shared" si="8"/>
        <v>11531.541999999999</v>
      </c>
    </row>
    <row r="222" spans="1:5" ht="16.5" thickBot="1" x14ac:dyDescent="0.3">
      <c r="A222" s="3" t="s">
        <v>345</v>
      </c>
      <c r="B222" s="3" t="s">
        <v>346</v>
      </c>
      <c r="C222" s="3" t="s">
        <v>240</v>
      </c>
      <c r="D222" s="4">
        <v>5606</v>
      </c>
      <c r="E222" s="6">
        <f t="shared" si="8"/>
        <v>11531.541999999999</v>
      </c>
    </row>
    <row r="223" spans="1:5" ht="16.5" thickBot="1" x14ac:dyDescent="0.3">
      <c r="A223" s="3" t="s">
        <v>347</v>
      </c>
      <c r="B223" s="3" t="s">
        <v>348</v>
      </c>
      <c r="C223" s="3" t="s">
        <v>240</v>
      </c>
      <c r="D223" s="4">
        <v>6132</v>
      </c>
      <c r="E223" s="6">
        <f t="shared" si="8"/>
        <v>12613.523999999999</v>
      </c>
    </row>
    <row r="224" spans="1:5" ht="16.5" thickBot="1" x14ac:dyDescent="0.3">
      <c r="A224" s="3" t="s">
        <v>349</v>
      </c>
      <c r="B224" s="3" t="s">
        <v>350</v>
      </c>
      <c r="C224" s="3" t="s">
        <v>240</v>
      </c>
      <c r="D224" s="4">
        <v>16049</v>
      </c>
      <c r="E224" s="6">
        <f t="shared" si="8"/>
        <v>33012.792999999998</v>
      </c>
    </row>
    <row r="225" spans="1:5" ht="16.5" thickBot="1" x14ac:dyDescent="0.3">
      <c r="A225" s="3" t="s">
        <v>351</v>
      </c>
      <c r="B225" s="3" t="s">
        <v>352</v>
      </c>
      <c r="C225" s="3" t="s">
        <v>240</v>
      </c>
      <c r="D225" s="4">
        <v>16667</v>
      </c>
      <c r="E225" s="6">
        <f t="shared" si="8"/>
        <v>34284.019</v>
      </c>
    </row>
    <row r="226" spans="1:5" ht="16.5" thickBot="1" x14ac:dyDescent="0.3">
      <c r="A226" s="3" t="s">
        <v>353</v>
      </c>
      <c r="B226" s="3" t="s">
        <v>354</v>
      </c>
      <c r="C226" s="3" t="s">
        <v>240</v>
      </c>
      <c r="D226" s="4">
        <v>30864</v>
      </c>
      <c r="E226" s="6">
        <f t="shared" si="8"/>
        <v>63487.248</v>
      </c>
    </row>
    <row r="227" spans="1:5" ht="16.5" thickBot="1" x14ac:dyDescent="0.3">
      <c r="A227" s="3" t="s">
        <v>355</v>
      </c>
      <c r="B227" s="3" t="s">
        <v>356</v>
      </c>
      <c r="C227" s="3" t="s">
        <v>240</v>
      </c>
      <c r="D227" s="4">
        <v>37037</v>
      </c>
      <c r="E227" s="6">
        <f t="shared" si="8"/>
        <v>76185.108999999997</v>
      </c>
    </row>
    <row r="228" spans="1:5" ht="16.5" thickBot="1" x14ac:dyDescent="0.3">
      <c r="A228" s="3" t="s">
        <v>335</v>
      </c>
      <c r="B228" s="3" t="s">
        <v>336</v>
      </c>
      <c r="C228" s="3" t="s">
        <v>240</v>
      </c>
      <c r="D228" s="4">
        <v>3847</v>
      </c>
      <c r="E228" s="6">
        <f t="shared" si="8"/>
        <v>7913.2789999999995</v>
      </c>
    </row>
    <row r="229" spans="1:5" ht="16.5" thickBot="1" x14ac:dyDescent="0.3">
      <c r="A229" s="3" t="s">
        <v>337</v>
      </c>
      <c r="B229" s="3" t="s">
        <v>338</v>
      </c>
      <c r="C229" s="3" t="s">
        <v>240</v>
      </c>
      <c r="D229" s="4">
        <v>3940</v>
      </c>
      <c r="E229" s="6">
        <f t="shared" si="8"/>
        <v>8104.579999999999</v>
      </c>
    </row>
    <row r="230" spans="1:5" ht="16.5" thickBot="1" x14ac:dyDescent="0.3">
      <c r="A230" s="3" t="s">
        <v>339</v>
      </c>
      <c r="B230" s="3" t="s">
        <v>340</v>
      </c>
      <c r="C230" s="3" t="s">
        <v>240</v>
      </c>
      <c r="D230" s="4">
        <v>4126</v>
      </c>
      <c r="E230" s="6">
        <f t="shared" si="8"/>
        <v>8487.1820000000007</v>
      </c>
    </row>
    <row r="231" spans="1:5" ht="16.5" thickBot="1" x14ac:dyDescent="0.3">
      <c r="A231" s="3" t="s">
        <v>241</v>
      </c>
      <c r="B231" s="3" t="s">
        <v>242</v>
      </c>
      <c r="C231" s="3" t="s">
        <v>240</v>
      </c>
      <c r="D231" s="4">
        <v>3333</v>
      </c>
      <c r="E231" s="6">
        <f t="shared" si="8"/>
        <v>6855.9809999999998</v>
      </c>
    </row>
    <row r="232" spans="1:5" ht="16.5" thickBot="1" x14ac:dyDescent="0.3">
      <c r="A232" s="3" t="s">
        <v>243</v>
      </c>
      <c r="B232" s="3" t="s">
        <v>244</v>
      </c>
      <c r="C232" s="3" t="s">
        <v>240</v>
      </c>
      <c r="D232" s="4">
        <v>3519</v>
      </c>
      <c r="E232" s="6">
        <f t="shared" si="8"/>
        <v>7238.5829999999996</v>
      </c>
    </row>
    <row r="233" spans="1:5" ht="16.5" thickBot="1" x14ac:dyDescent="0.3">
      <c r="A233" s="3" t="s">
        <v>245</v>
      </c>
      <c r="B233" s="3" t="s">
        <v>246</v>
      </c>
      <c r="C233" s="3" t="s">
        <v>240</v>
      </c>
      <c r="D233" s="4">
        <v>3519</v>
      </c>
      <c r="E233" s="6">
        <f t="shared" si="8"/>
        <v>7238.5829999999996</v>
      </c>
    </row>
    <row r="234" spans="1:5" ht="16.5" thickBot="1" x14ac:dyDescent="0.3">
      <c r="A234" s="3" t="s">
        <v>247</v>
      </c>
      <c r="B234" s="3" t="s">
        <v>248</v>
      </c>
      <c r="C234" s="3" t="s">
        <v>240</v>
      </c>
      <c r="D234" s="4">
        <v>4938</v>
      </c>
      <c r="E234" s="6">
        <f t="shared" si="8"/>
        <v>10157.465999999999</v>
      </c>
    </row>
    <row r="235" spans="1:5" ht="16.5" thickBot="1" x14ac:dyDescent="0.3">
      <c r="A235" s="3" t="s">
        <v>249</v>
      </c>
      <c r="B235" s="3" t="s">
        <v>250</v>
      </c>
      <c r="C235" s="3" t="s">
        <v>240</v>
      </c>
      <c r="D235" s="4">
        <v>5556</v>
      </c>
      <c r="E235" s="6">
        <f t="shared" si="8"/>
        <v>11428.692000000001</v>
      </c>
    </row>
    <row r="236" spans="1:5" ht="16.5" thickBot="1" x14ac:dyDescent="0.3">
      <c r="A236" s="3" t="s">
        <v>251</v>
      </c>
      <c r="B236" s="3" t="s">
        <v>252</v>
      </c>
      <c r="C236" s="3" t="s">
        <v>240</v>
      </c>
      <c r="D236" s="4">
        <v>9877</v>
      </c>
      <c r="E236" s="6">
        <f t="shared" si="8"/>
        <v>20316.989000000001</v>
      </c>
    </row>
    <row r="237" spans="1:5" ht="16.5" thickBot="1" x14ac:dyDescent="0.3">
      <c r="A237" s="3" t="s">
        <v>253</v>
      </c>
      <c r="B237" s="3" t="s">
        <v>254</v>
      </c>
      <c r="C237" s="3" t="s">
        <v>240</v>
      </c>
      <c r="D237" s="4">
        <v>11111</v>
      </c>
      <c r="E237" s="6">
        <f t="shared" si="8"/>
        <v>22855.326999999997</v>
      </c>
    </row>
    <row r="238" spans="1:5" ht="16.5" thickBot="1" x14ac:dyDescent="0.3">
      <c r="A238" s="3" t="s">
        <v>238</v>
      </c>
      <c r="B238" s="3" t="s">
        <v>239</v>
      </c>
      <c r="C238" s="3" t="s">
        <v>240</v>
      </c>
      <c r="D238" s="4">
        <v>3086</v>
      </c>
      <c r="E238" s="6">
        <f t="shared" si="8"/>
        <v>6347.902</v>
      </c>
    </row>
    <row r="239" spans="1:5" ht="16.5" thickBot="1" x14ac:dyDescent="0.3">
      <c r="A239" s="3" t="s">
        <v>359</v>
      </c>
      <c r="B239" s="3" t="s">
        <v>360</v>
      </c>
      <c r="C239" s="3" t="s">
        <v>240</v>
      </c>
      <c r="D239" s="4">
        <v>6852</v>
      </c>
      <c r="E239" s="6">
        <f t="shared" si="8"/>
        <v>14094.564</v>
      </c>
    </row>
    <row r="240" spans="1:5" ht="16.5" thickBot="1" x14ac:dyDescent="0.3">
      <c r="A240" s="3" t="s">
        <v>361</v>
      </c>
      <c r="B240" s="3" t="s">
        <v>362</v>
      </c>
      <c r="C240" s="3" t="s">
        <v>240</v>
      </c>
      <c r="D240" s="4">
        <v>11481</v>
      </c>
      <c r="E240" s="6">
        <f t="shared" si="8"/>
        <v>23616.417000000001</v>
      </c>
    </row>
    <row r="241" spans="1:5" ht="16.5" thickBot="1" x14ac:dyDescent="0.3">
      <c r="A241" s="3" t="s">
        <v>363</v>
      </c>
      <c r="B241" s="3" t="s">
        <v>364</v>
      </c>
      <c r="C241" s="3" t="s">
        <v>240</v>
      </c>
      <c r="D241" s="4">
        <v>13580</v>
      </c>
      <c r="E241" s="6">
        <f t="shared" ref="E241:E263" si="9">D241*1.21*1.7</f>
        <v>27934.059999999998</v>
      </c>
    </row>
    <row r="242" spans="1:5" ht="16.5" thickBot="1" x14ac:dyDescent="0.3">
      <c r="A242" s="3" t="s">
        <v>365</v>
      </c>
      <c r="B242" s="3" t="s">
        <v>366</v>
      </c>
      <c r="C242" s="3" t="s">
        <v>240</v>
      </c>
      <c r="D242" s="4">
        <v>0</v>
      </c>
      <c r="E242" s="6">
        <f t="shared" si="9"/>
        <v>0</v>
      </c>
    </row>
    <row r="243" spans="1:5" ht="16.5" thickBot="1" x14ac:dyDescent="0.3">
      <c r="A243" s="3" t="s">
        <v>357</v>
      </c>
      <c r="B243" s="3" t="s">
        <v>358</v>
      </c>
      <c r="C243" s="3" t="s">
        <v>240</v>
      </c>
      <c r="D243" s="4">
        <v>6173</v>
      </c>
      <c r="E243" s="6">
        <f t="shared" si="9"/>
        <v>12697.860999999999</v>
      </c>
    </row>
    <row r="244" spans="1:5" ht="16.5" thickBot="1" x14ac:dyDescent="0.3">
      <c r="A244" s="3" t="s">
        <v>523</v>
      </c>
      <c r="B244" s="3" t="s">
        <v>524</v>
      </c>
      <c r="C244" s="3" t="s">
        <v>240</v>
      </c>
      <c r="D244" s="4">
        <v>18519</v>
      </c>
      <c r="E244" s="6">
        <f t="shared" si="9"/>
        <v>38093.582999999999</v>
      </c>
    </row>
    <row r="245" spans="1:5" ht="16.5" thickBot="1" x14ac:dyDescent="0.3">
      <c r="A245" s="3" t="s">
        <v>525</v>
      </c>
      <c r="B245" s="3" t="s">
        <v>526</v>
      </c>
      <c r="C245" s="3" t="s">
        <v>240</v>
      </c>
      <c r="D245" s="4">
        <v>20370</v>
      </c>
      <c r="E245" s="6">
        <f t="shared" si="9"/>
        <v>41901.089999999997</v>
      </c>
    </row>
    <row r="246" spans="1:5" ht="16.5" thickBot="1" x14ac:dyDescent="0.3">
      <c r="A246" s="3" t="s">
        <v>527</v>
      </c>
      <c r="B246" s="3" t="s">
        <v>528</v>
      </c>
      <c r="C246" s="3" t="s">
        <v>240</v>
      </c>
      <c r="D246" s="4">
        <v>20370</v>
      </c>
      <c r="E246" s="6">
        <f t="shared" si="9"/>
        <v>41901.089999999997</v>
      </c>
    </row>
    <row r="247" spans="1:5" ht="16.5" thickBot="1" x14ac:dyDescent="0.3">
      <c r="A247" s="3" t="s">
        <v>529</v>
      </c>
      <c r="B247" s="3" t="s">
        <v>530</v>
      </c>
      <c r="C247" s="3" t="s">
        <v>240</v>
      </c>
      <c r="D247" s="4">
        <v>22222</v>
      </c>
      <c r="E247" s="6">
        <f t="shared" si="9"/>
        <v>45710.653999999995</v>
      </c>
    </row>
    <row r="248" spans="1:5" ht="16.5" thickBot="1" x14ac:dyDescent="0.3">
      <c r="A248" s="3" t="s">
        <v>493</v>
      </c>
      <c r="B248" s="3" t="s">
        <v>494</v>
      </c>
      <c r="C248" s="3" t="s">
        <v>486</v>
      </c>
      <c r="D248" s="4">
        <v>41975</v>
      </c>
      <c r="E248" s="6">
        <f t="shared" si="9"/>
        <v>86342.574999999997</v>
      </c>
    </row>
    <row r="249" spans="1:5" ht="16.5" thickBot="1" x14ac:dyDescent="0.3">
      <c r="A249" s="3" t="s">
        <v>484</v>
      </c>
      <c r="B249" s="3" t="s">
        <v>485</v>
      </c>
      <c r="C249" s="3" t="s">
        <v>486</v>
      </c>
      <c r="D249" s="4">
        <v>7222</v>
      </c>
      <c r="E249" s="6">
        <f t="shared" si="9"/>
        <v>14855.653999999999</v>
      </c>
    </row>
    <row r="250" spans="1:5" ht="16.5" thickBot="1" x14ac:dyDescent="0.3">
      <c r="A250" s="3" t="s">
        <v>487</v>
      </c>
      <c r="B250" s="3" t="s">
        <v>488</v>
      </c>
      <c r="C250" s="3" t="s">
        <v>486</v>
      </c>
      <c r="D250" s="4">
        <v>9630</v>
      </c>
      <c r="E250" s="6">
        <f t="shared" si="9"/>
        <v>19808.91</v>
      </c>
    </row>
    <row r="251" spans="1:5" ht="16.5" thickBot="1" x14ac:dyDescent="0.3">
      <c r="A251" s="3" t="s">
        <v>489</v>
      </c>
      <c r="B251" s="3" t="s">
        <v>490</v>
      </c>
      <c r="C251" s="3" t="s">
        <v>486</v>
      </c>
      <c r="D251" s="4">
        <v>11728</v>
      </c>
      <c r="E251" s="6">
        <f t="shared" si="9"/>
        <v>24124.495999999999</v>
      </c>
    </row>
    <row r="252" spans="1:5" ht="16.5" thickBot="1" x14ac:dyDescent="0.3">
      <c r="A252" s="3" t="s">
        <v>491</v>
      </c>
      <c r="B252" s="3" t="s">
        <v>492</v>
      </c>
      <c r="C252" s="3" t="s">
        <v>486</v>
      </c>
      <c r="D252" s="4">
        <v>14815</v>
      </c>
      <c r="E252" s="6">
        <f t="shared" si="9"/>
        <v>30474.454999999994</v>
      </c>
    </row>
    <row r="253" spans="1:5" ht="16.5" thickBot="1" x14ac:dyDescent="0.3">
      <c r="A253" s="3" t="s">
        <v>495</v>
      </c>
      <c r="B253" s="3" t="s">
        <v>496</v>
      </c>
      <c r="C253" s="3" t="s">
        <v>486</v>
      </c>
      <c r="D253" s="4">
        <v>24074</v>
      </c>
      <c r="E253" s="6">
        <f t="shared" si="9"/>
        <v>49520.218000000001</v>
      </c>
    </row>
    <row r="254" spans="1:5" ht="16.5" thickBot="1" x14ac:dyDescent="0.3">
      <c r="A254" s="3" t="s">
        <v>497</v>
      </c>
      <c r="B254" s="3" t="s">
        <v>498</v>
      </c>
      <c r="C254" s="3" t="s">
        <v>486</v>
      </c>
      <c r="D254" s="4">
        <v>44444</v>
      </c>
      <c r="E254" s="6">
        <f t="shared" si="9"/>
        <v>91421.30799999999</v>
      </c>
    </row>
    <row r="255" spans="1:5" ht="16.5" thickBot="1" x14ac:dyDescent="0.3">
      <c r="A255" s="3" t="s">
        <v>499</v>
      </c>
      <c r="B255" s="3" t="s">
        <v>500</v>
      </c>
      <c r="C255" s="3" t="s">
        <v>486</v>
      </c>
      <c r="D255" s="4">
        <v>49383.1</v>
      </c>
      <c r="E255" s="6">
        <f t="shared" si="9"/>
        <v>101581.0367</v>
      </c>
    </row>
    <row r="256" spans="1:5" ht="16.5" thickBot="1" x14ac:dyDescent="0.3">
      <c r="A256" s="3" t="s">
        <v>501</v>
      </c>
      <c r="B256" s="3" t="s">
        <v>502</v>
      </c>
      <c r="C256" s="3" t="s">
        <v>486</v>
      </c>
      <c r="D256" s="4">
        <v>29012</v>
      </c>
      <c r="E256" s="6">
        <f t="shared" si="9"/>
        <v>59677.683999999994</v>
      </c>
    </row>
    <row r="257" spans="1:5" ht="16.5" thickBot="1" x14ac:dyDescent="0.3">
      <c r="A257" s="3" t="s">
        <v>507</v>
      </c>
      <c r="B257" s="3" t="s">
        <v>508</v>
      </c>
      <c r="C257" s="3" t="s">
        <v>85</v>
      </c>
      <c r="D257" s="4">
        <v>8025</v>
      </c>
      <c r="E257" s="6">
        <f t="shared" si="9"/>
        <v>16507.424999999999</v>
      </c>
    </row>
    <row r="258" spans="1:5" ht="16.5" thickBot="1" x14ac:dyDescent="0.3">
      <c r="A258" s="3" t="s">
        <v>503</v>
      </c>
      <c r="B258" s="3" t="s">
        <v>504</v>
      </c>
      <c r="C258" s="3" t="s">
        <v>85</v>
      </c>
      <c r="D258" s="4">
        <v>4938</v>
      </c>
      <c r="E258" s="6">
        <f t="shared" si="9"/>
        <v>10157.465999999999</v>
      </c>
    </row>
    <row r="259" spans="1:5" ht="16.5" thickBot="1" x14ac:dyDescent="0.3">
      <c r="A259" s="3" t="s">
        <v>505</v>
      </c>
      <c r="B259" s="3" t="s">
        <v>506</v>
      </c>
      <c r="C259" s="3" t="s">
        <v>85</v>
      </c>
      <c r="D259" s="4">
        <v>4938</v>
      </c>
      <c r="E259" s="6">
        <f t="shared" si="9"/>
        <v>10157.465999999999</v>
      </c>
    </row>
    <row r="260" spans="1:5" ht="16.5" thickBot="1" x14ac:dyDescent="0.3">
      <c r="A260" s="3" t="s">
        <v>513</v>
      </c>
      <c r="B260" s="3" t="s">
        <v>514</v>
      </c>
      <c r="C260" s="3" t="s">
        <v>85</v>
      </c>
      <c r="D260" s="4">
        <v>8642.1</v>
      </c>
      <c r="E260" s="6">
        <f t="shared" si="9"/>
        <v>17776.7997</v>
      </c>
    </row>
    <row r="261" spans="1:5" ht="16.5" thickBot="1" x14ac:dyDescent="0.3">
      <c r="A261" s="3" t="s">
        <v>509</v>
      </c>
      <c r="B261" s="3" t="s">
        <v>510</v>
      </c>
      <c r="C261" s="3" t="s">
        <v>85</v>
      </c>
      <c r="D261" s="4">
        <v>6173</v>
      </c>
      <c r="E261" s="6">
        <f t="shared" si="9"/>
        <v>12697.860999999999</v>
      </c>
    </row>
    <row r="262" spans="1:5" ht="16.5" thickBot="1" x14ac:dyDescent="0.3">
      <c r="A262" s="3" t="s">
        <v>511</v>
      </c>
      <c r="B262" s="3" t="s">
        <v>512</v>
      </c>
      <c r="C262" s="3" t="s">
        <v>85</v>
      </c>
      <c r="D262" s="4">
        <v>6173</v>
      </c>
      <c r="E262" s="6">
        <f t="shared" si="9"/>
        <v>12697.860999999999</v>
      </c>
    </row>
    <row r="263" spans="1:5" ht="16.5" thickBot="1" x14ac:dyDescent="0.3">
      <c r="A263" s="3" t="s">
        <v>232</v>
      </c>
      <c r="B263" s="3" t="s">
        <v>233</v>
      </c>
      <c r="C263" s="3" t="s">
        <v>225</v>
      </c>
      <c r="D263" s="4">
        <v>23481</v>
      </c>
      <c r="E263" s="6">
        <f t="shared" si="9"/>
        <v>48300.416999999994</v>
      </c>
    </row>
  </sheetData>
  <autoFilter ref="A3:D263">
    <sortState ref="A4:D263">
      <sortCondition ref="C3:C263"/>
    </sortState>
  </autoFilter>
  <sortState ref="A3:F263">
    <sortCondition ref="B232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ListaDePrecios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Puesto 02</dc:creator>
  <cp:lastModifiedBy>Usuario</cp:lastModifiedBy>
  <dcterms:created xsi:type="dcterms:W3CDTF">2025-09-17T14:43:48Z</dcterms:created>
  <dcterms:modified xsi:type="dcterms:W3CDTF">2026-07-24T22:26:47Z</dcterms:modified>
</cp:coreProperties>
</file>